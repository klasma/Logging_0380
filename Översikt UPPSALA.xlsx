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46196</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46196</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46196</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30443-2025</t>
        </is>
      </c>
      <c r="B5" s="1" t="n">
        <v>45827</v>
      </c>
      <c r="C5" s="1" t="n">
        <v>46196</v>
      </c>
      <c r="D5" t="inlineStr">
        <is>
          <t>UPPSALA LÄN</t>
        </is>
      </c>
      <c r="E5" t="inlineStr">
        <is>
          <t>UPPSALA</t>
        </is>
      </c>
      <c r="G5" t="n">
        <v>10.4</v>
      </c>
      <c r="H5" t="n">
        <v>5</v>
      </c>
      <c r="I5" t="n">
        <v>12</v>
      </c>
      <c r="J5" t="n">
        <v>6</v>
      </c>
      <c r="K5" t="n">
        <v>6</v>
      </c>
      <c r="L5" t="n">
        <v>1</v>
      </c>
      <c r="M5" t="n">
        <v>0</v>
      </c>
      <c r="N5" t="n">
        <v>0</v>
      </c>
      <c r="O5" t="n">
        <v>13</v>
      </c>
      <c r="P5" t="n">
        <v>7</v>
      </c>
      <c r="Q5" t="n">
        <v>28</v>
      </c>
      <c r="R5"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34459-2022</t>
        </is>
      </c>
      <c r="B6" s="1" t="n">
        <v>44792</v>
      </c>
      <c r="C6" s="1" t="n">
        <v>46196</v>
      </c>
      <c r="D6" t="inlineStr">
        <is>
          <t>UPPSALA LÄN</t>
        </is>
      </c>
      <c r="E6" t="inlineStr">
        <is>
          <t>UPPSALA</t>
        </is>
      </c>
      <c r="F6" t="inlineStr">
        <is>
          <t>Kommuner</t>
        </is>
      </c>
      <c r="G6" t="n">
        <v>2.6</v>
      </c>
      <c r="H6" t="n">
        <v>18</v>
      </c>
      <c r="I6" t="n">
        <v>6</v>
      </c>
      <c r="J6" t="n">
        <v>8</v>
      </c>
      <c r="K6" t="n">
        <v>2</v>
      </c>
      <c r="L6" t="n">
        <v>0</v>
      </c>
      <c r="M6" t="n">
        <v>0</v>
      </c>
      <c r="N6" t="n">
        <v>0</v>
      </c>
      <c r="O6" t="n">
        <v>10</v>
      </c>
      <c r="P6" t="n">
        <v>2</v>
      </c>
      <c r="Q6" t="n">
        <v>28</v>
      </c>
      <c r="R6"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6">
        <f>HYPERLINK("https://klasma.github.io/Logging_0380/artfynd/A 34459-2022 artfynd.xlsx", "A 34459-2022")</f>
        <v/>
      </c>
      <c r="T6">
        <f>HYPERLINK("https://klasma.github.io/Logging_0380/kartor/A 34459-2022 karta.png", "A 34459-2022")</f>
        <v/>
      </c>
      <c r="V6">
        <f>HYPERLINK("https://klasma.github.io/Logging_0380/klagomål/A 34459-2022 FSC-klagomål.docx", "A 34459-2022")</f>
        <v/>
      </c>
      <c r="W6">
        <f>HYPERLINK("https://klasma.github.io/Logging_0380/klagomålsmail/A 34459-2022 FSC-klagomål mail.docx", "A 34459-2022")</f>
        <v/>
      </c>
      <c r="X6">
        <f>HYPERLINK("https://klasma.github.io/Logging_0380/tillsyn/A 34459-2022 tillsynsbegäran.docx", "A 34459-2022")</f>
        <v/>
      </c>
      <c r="Y6">
        <f>HYPERLINK("https://klasma.github.io/Logging_0380/tillsynsmail/A 34459-2022 tillsynsbegäran mail.docx", "A 34459-2022")</f>
        <v/>
      </c>
      <c r="Z6">
        <f>HYPERLINK("https://klasma.github.io/Logging_0380/fåglar/A 34459-2022 prioriterade fågelarter.docx", "A 34459-2022")</f>
        <v/>
      </c>
    </row>
    <row r="7" ht="15" customHeight="1">
      <c r="A7" t="inlineStr">
        <is>
          <t>A 24492-2023</t>
        </is>
      </c>
      <c r="B7" s="1" t="n">
        <v>45082</v>
      </c>
      <c r="C7" s="1" t="n">
        <v>46196</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46196</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46196</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46196</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46196</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46196</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46196</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53593-2025</t>
        </is>
      </c>
      <c r="B14" s="1" t="n">
        <v>45960</v>
      </c>
      <c r="C14" s="1" t="n">
        <v>46196</v>
      </c>
      <c r="D14" t="inlineStr">
        <is>
          <t>UPPSALA LÄN</t>
        </is>
      </c>
      <c r="E14" t="inlineStr">
        <is>
          <t>UPPSALA</t>
        </is>
      </c>
      <c r="G14" t="n">
        <v>10.6</v>
      </c>
      <c r="H14" t="n">
        <v>4</v>
      </c>
      <c r="I14" t="n">
        <v>6</v>
      </c>
      <c r="J14" t="n">
        <v>8</v>
      </c>
      <c r="K14" t="n">
        <v>2</v>
      </c>
      <c r="L14" t="n">
        <v>0</v>
      </c>
      <c r="M14" t="n">
        <v>0</v>
      </c>
      <c r="N14" t="n">
        <v>0</v>
      </c>
      <c r="O14" t="n">
        <v>10</v>
      </c>
      <c r="P14" t="n">
        <v>2</v>
      </c>
      <c r="Q14" t="n">
        <v>18</v>
      </c>
      <c r="R14" s="2" t="inlineStr">
        <is>
          <t>Knärot
Rosetticka
Fjällig taggsvamp s.str.
Motaggsvamp
Orange taggsvamp
Rynkskinn
Talltita
Ullticka
Vedtrappmossa
Vågticka
Brandticka
Granbarkgnagare
Gullgröppa
Rödgul trumpetsvamp
Trådticka
Vedticka
Blåsippa
Spillkråka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2523-2024</t>
        </is>
      </c>
      <c r="B15" s="1" t="n">
        <v>45313</v>
      </c>
      <c r="C15" s="1" t="n">
        <v>46196</v>
      </c>
      <c r="D15" t="inlineStr">
        <is>
          <t>UPPSALA LÄN</t>
        </is>
      </c>
      <c r="E15" t="inlineStr">
        <is>
          <t>UPPSALA</t>
        </is>
      </c>
      <c r="G15" t="n">
        <v>18.8</v>
      </c>
      <c r="H15" t="n">
        <v>7</v>
      </c>
      <c r="I15" t="n">
        <v>5</v>
      </c>
      <c r="J15" t="n">
        <v>8</v>
      </c>
      <c r="K15" t="n">
        <v>1</v>
      </c>
      <c r="L15" t="n">
        <v>0</v>
      </c>
      <c r="M15" t="n">
        <v>0</v>
      </c>
      <c r="N15" t="n">
        <v>0</v>
      </c>
      <c r="O15" t="n">
        <v>9</v>
      </c>
      <c r="P15" t="n">
        <v>1</v>
      </c>
      <c r="Q15" t="n">
        <v>18</v>
      </c>
      <c r="R15" s="2" t="inlineStr">
        <is>
          <t>Knärot
Lunglav
Rutskinn
Rödbrun blekspik
Tallticka
Talltita
Tretåig hackspett
Ullticka
Vedskivlav
Brandticka
Bronshjon
Grönpyrola
Rostfläck
Trådticka
Blåsippa
Spillkråka
Tjäder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9409-2025</t>
        </is>
      </c>
      <c r="B16" s="1" t="n">
        <v>45715</v>
      </c>
      <c r="C16" s="1" t="n">
        <v>46196</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46196</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11833-2025</t>
        </is>
      </c>
      <c r="B18" s="1" t="n">
        <v>45728</v>
      </c>
      <c r="C18" s="1" t="n">
        <v>46196</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46196</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25609-2025</t>
        </is>
      </c>
      <c r="B20" s="1" t="n">
        <v>45803</v>
      </c>
      <c r="C20" s="1" t="n">
        <v>46196</v>
      </c>
      <c r="D20" t="inlineStr">
        <is>
          <t>UPPSALA LÄN</t>
        </is>
      </c>
      <c r="E20" t="inlineStr">
        <is>
          <t>UPPSALA</t>
        </is>
      </c>
      <c r="F20" t="inlineStr">
        <is>
          <t>Holmen skog AB</t>
        </is>
      </c>
      <c r="G20" t="n">
        <v>4.5</v>
      </c>
      <c r="H20" t="n">
        <v>6</v>
      </c>
      <c r="I20" t="n">
        <v>9</v>
      </c>
      <c r="J20" t="n">
        <v>2</v>
      </c>
      <c r="K20" t="n">
        <v>2</v>
      </c>
      <c r="L20" t="n">
        <v>0</v>
      </c>
      <c r="M20" t="n">
        <v>0</v>
      </c>
      <c r="N20" t="n">
        <v>0</v>
      </c>
      <c r="O20" t="n">
        <v>4</v>
      </c>
      <c r="P20" t="n">
        <v>2</v>
      </c>
      <c r="Q20" t="n">
        <v>17</v>
      </c>
      <c r="R20" s="2" t="inlineStr">
        <is>
          <t>Knärot
Laxporing
Talltita
Vedtrappmossa
Blodticka
Blomkålssvamp
Brandticka
Bronshjon
Grönpyrola
Jättesvampmal
Mindre märgborre
Thomsons trägnagare
Vågbandad barkbock
Blåsippa
Spillkråka
Fläcknycklar
Revlummer</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22547-2026</t>
        </is>
      </c>
      <c r="B21" s="1" t="n">
        <v>46155</v>
      </c>
      <c r="C21" s="1" t="n">
        <v>46196</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46196</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46196</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46196</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46196</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26460-2023</t>
        </is>
      </c>
      <c r="B26" s="1" t="n">
        <v>45092</v>
      </c>
      <c r="C26" s="1" t="n">
        <v>46196</v>
      </c>
      <c r="D26" t="inlineStr">
        <is>
          <t>UPPSALA LÄN</t>
        </is>
      </c>
      <c r="E26" t="inlineStr">
        <is>
          <t>UPPSALA</t>
        </is>
      </c>
      <c r="G26" t="n">
        <v>6.3</v>
      </c>
      <c r="H26" t="n">
        <v>1</v>
      </c>
      <c r="I26" t="n">
        <v>10</v>
      </c>
      <c r="J26" t="n">
        <v>3</v>
      </c>
      <c r="K26" t="n">
        <v>1</v>
      </c>
      <c r="L26" t="n">
        <v>0</v>
      </c>
      <c r="M26" t="n">
        <v>0</v>
      </c>
      <c r="N26" t="n">
        <v>0</v>
      </c>
      <c r="O26" t="n">
        <v>4</v>
      </c>
      <c r="P26" t="n">
        <v>1</v>
      </c>
      <c r="Q26" t="n">
        <v>14</v>
      </c>
      <c r="R26" s="2" t="inlineStr">
        <is>
          <t>Aspgelélav
Blek fingersvamp
Kandelabersvamp
Vit vedfingersvamp
Aspvedgnagare
Barkticka
Granbarkgnagare
Grön sköldmossa
Jättesvampmal
Korallblylav
Rödgul trumpetsvamp
Skinnlav
Vedticka
Zontaggsvamp</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25143-2023</t>
        </is>
      </c>
      <c r="B27" s="1" t="n">
        <v>45086</v>
      </c>
      <c r="C27" s="1" t="n">
        <v>46196</v>
      </c>
      <c r="D27" t="inlineStr">
        <is>
          <t>UPPSALA LÄN</t>
        </is>
      </c>
      <c r="E27" t="inlineStr">
        <is>
          <t>UPPSALA</t>
        </is>
      </c>
      <c r="G27" t="n">
        <v>15.9</v>
      </c>
      <c r="H27" t="n">
        <v>6</v>
      </c>
      <c r="I27" t="n">
        <v>5</v>
      </c>
      <c r="J27" t="n">
        <v>3</v>
      </c>
      <c r="K27" t="n">
        <v>1</v>
      </c>
      <c r="L27" t="n">
        <v>0</v>
      </c>
      <c r="M27" t="n">
        <v>0</v>
      </c>
      <c r="N27" t="n">
        <v>0</v>
      </c>
      <c r="O27" t="n">
        <v>4</v>
      </c>
      <c r="P27" t="n">
        <v>1</v>
      </c>
      <c r="Q27" t="n">
        <v>14</v>
      </c>
      <c r="R27" s="2" t="inlineStr">
        <is>
          <t>Knärot
Grönhjon
Ullticka
Vågticka
Bronshjon
Fällmossa
Granbarkgnagare
Grönpyrola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row>
    <row r="28" ht="15" customHeight="1">
      <c r="A28" t="inlineStr">
        <is>
          <t>A 37004-2025</t>
        </is>
      </c>
      <c r="B28" s="1" t="n">
        <v>45874</v>
      </c>
      <c r="C28" s="1" t="n">
        <v>46196</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3100-2024</t>
        </is>
      </c>
      <c r="B29" s="1" t="n">
        <v>45316</v>
      </c>
      <c r="C29" s="1" t="n">
        <v>46196</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21809-2024</t>
        </is>
      </c>
      <c r="B30" s="1" t="n">
        <v>45442</v>
      </c>
      <c r="C30" s="1" t="n">
        <v>46196</v>
      </c>
      <c r="D30" t="inlineStr">
        <is>
          <t>UPPSALA LÄN</t>
        </is>
      </c>
      <c r="E30" t="inlineStr">
        <is>
          <t>UPPSALA</t>
        </is>
      </c>
      <c r="F30" t="inlineStr">
        <is>
          <t>Övriga statliga verk och myndigheter</t>
        </is>
      </c>
      <c r="G30" t="n">
        <v>6.6</v>
      </c>
      <c r="H30" t="n">
        <v>8</v>
      </c>
      <c r="I30" t="n">
        <v>1</v>
      </c>
      <c r="J30" t="n">
        <v>6</v>
      </c>
      <c r="K30" t="n">
        <v>3</v>
      </c>
      <c r="L30" t="n">
        <v>0</v>
      </c>
      <c r="M30" t="n">
        <v>0</v>
      </c>
      <c r="N30" t="n">
        <v>0</v>
      </c>
      <c r="O30" t="n">
        <v>9</v>
      </c>
      <c r="P30" t="n">
        <v>3</v>
      </c>
      <c r="Q30" t="n">
        <v>13</v>
      </c>
      <c r="R30" s="2" t="inlineStr">
        <is>
          <t>Bredbrämad bastardsvärmare
Cinnoberbagge
Igelkott
Brunlångöra
Järnsparv
Mindre tåtelsmygare
Nordfladdermus
Tallticka
Turkduva
Vågbandad barkbock
Blåsippa
Dvärgpipistrell
Vattenfladdermus</t>
        </is>
      </c>
      <c r="S30">
        <f>HYPERLINK("https://klasma.github.io/Logging_0380/artfynd/A 21809-2024 artfynd.xlsx", "A 21809-2024")</f>
        <v/>
      </c>
      <c r="T30">
        <f>HYPERLINK("https://klasma.github.io/Logging_0380/kartor/A 21809-2024 karta.png", "A 21809-2024")</f>
        <v/>
      </c>
      <c r="V30">
        <f>HYPERLINK("https://klasma.github.io/Logging_0380/klagomål/A 21809-2024 FSC-klagomål.docx", "A 21809-2024")</f>
        <v/>
      </c>
      <c r="W30">
        <f>HYPERLINK("https://klasma.github.io/Logging_0380/klagomålsmail/A 21809-2024 FSC-klagomål mail.docx", "A 21809-2024")</f>
        <v/>
      </c>
      <c r="X30">
        <f>HYPERLINK("https://klasma.github.io/Logging_0380/tillsyn/A 21809-2024 tillsynsbegäran.docx", "A 21809-2024")</f>
        <v/>
      </c>
      <c r="Y30">
        <f>HYPERLINK("https://klasma.github.io/Logging_0380/tillsynsmail/A 21809-2024 tillsynsbegäran mail.docx", "A 21809-2024")</f>
        <v/>
      </c>
      <c r="Z30">
        <f>HYPERLINK("https://klasma.github.io/Logging_0380/fåglar/A 21809-2024 prioriterade fågelarter.docx", "A 21809-2024")</f>
        <v/>
      </c>
    </row>
    <row r="31" ht="15" customHeight="1">
      <c r="A31" t="inlineStr">
        <is>
          <t>A 25604-2025</t>
        </is>
      </c>
      <c r="B31" s="1" t="n">
        <v>45803</v>
      </c>
      <c r="C31" s="1" t="n">
        <v>46196</v>
      </c>
      <c r="D31" t="inlineStr">
        <is>
          <t>UPPSALA LÄN</t>
        </is>
      </c>
      <c r="E31" t="inlineStr">
        <is>
          <t>UPPSALA</t>
        </is>
      </c>
      <c r="F31" t="inlineStr">
        <is>
          <t>Holmen skog AB</t>
        </is>
      </c>
      <c r="G31" t="n">
        <v>4.7</v>
      </c>
      <c r="H31" t="n">
        <v>8</v>
      </c>
      <c r="I31" t="n">
        <v>3</v>
      </c>
      <c r="J31" t="n">
        <v>2</v>
      </c>
      <c r="K31" t="n">
        <v>1</v>
      </c>
      <c r="L31" t="n">
        <v>0</v>
      </c>
      <c r="M31" t="n">
        <v>0</v>
      </c>
      <c r="N31" t="n">
        <v>0</v>
      </c>
      <c r="O31" t="n">
        <v>3</v>
      </c>
      <c r="P31" t="n">
        <v>1</v>
      </c>
      <c r="Q31" t="n">
        <v>13</v>
      </c>
      <c r="R31" s="2" t="inlineStr">
        <is>
          <t>Knärot
Talltita
Vedtrappmossa
Bronshjon
Grönpyrola
Vågbandad barkbock
Blåsippa
Kransmossa
Spillkråka
Tallbit
Grönsiska
Kungsfågel
Kopparödla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69711-2021</t>
        </is>
      </c>
      <c r="B32" s="1" t="n">
        <v>44532</v>
      </c>
      <c r="C32" s="1" t="n">
        <v>46196</v>
      </c>
      <c r="D32" t="inlineStr">
        <is>
          <t>UPPSALA LÄN</t>
        </is>
      </c>
      <c r="E32" t="inlineStr">
        <is>
          <t>UPPSALA</t>
        </is>
      </c>
      <c r="G32" t="n">
        <v>10.2</v>
      </c>
      <c r="H32" t="n">
        <v>2</v>
      </c>
      <c r="I32" t="n">
        <v>7</v>
      </c>
      <c r="J32" t="n">
        <v>5</v>
      </c>
      <c r="K32" t="n">
        <v>0</v>
      </c>
      <c r="L32" t="n">
        <v>0</v>
      </c>
      <c r="M32" t="n">
        <v>0</v>
      </c>
      <c r="N32" t="n">
        <v>0</v>
      </c>
      <c r="O32" t="n">
        <v>5</v>
      </c>
      <c r="P32" t="n">
        <v>0</v>
      </c>
      <c r="Q32" t="n">
        <v>13</v>
      </c>
      <c r="R32" s="2" t="inlineStr">
        <is>
          <t>Motaggsvamp
Rynkskinn
Talltita
Ullticka
Vedtrappmossa
Brandticka
Dvärgtufs
Granbarkgnagare
Rödgul trumpetsvamp
Skinnlav
Trådticka
Vedticka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21674-2024</t>
        </is>
      </c>
      <c r="B33" s="1" t="n">
        <v>45442</v>
      </c>
      <c r="C33" s="1" t="n">
        <v>46196</v>
      </c>
      <c r="D33" t="inlineStr">
        <is>
          <t>UPPSALA LÄN</t>
        </is>
      </c>
      <c r="E33" t="inlineStr">
        <is>
          <t>UPPSALA</t>
        </is>
      </c>
      <c r="G33" t="n">
        <v>0.9</v>
      </c>
      <c r="H33" t="n">
        <v>12</v>
      </c>
      <c r="I33" t="n">
        <v>0</v>
      </c>
      <c r="J33" t="n">
        <v>3</v>
      </c>
      <c r="K33" t="n">
        <v>4</v>
      </c>
      <c r="L33" t="n">
        <v>0</v>
      </c>
      <c r="M33" t="n">
        <v>0</v>
      </c>
      <c r="N33" t="n">
        <v>0</v>
      </c>
      <c r="O33" t="n">
        <v>7</v>
      </c>
      <c r="P33" t="n">
        <v>4</v>
      </c>
      <c r="Q33" t="n">
        <v>12</v>
      </c>
      <c r="R33" s="2" t="inlineStr">
        <is>
          <t>Gräshoppsångare
Grönfink
Stare
Tornseglare
Entita
Gulsparv
Sädesärla
Grönsiska
Kråka
Svartvit flugsnappare
Sångsvan
Trana</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2021-2022</t>
        </is>
      </c>
      <c r="B34" s="1" t="n">
        <v>44575</v>
      </c>
      <c r="C34" s="1" t="n">
        <v>46196</v>
      </c>
      <c r="D34" t="inlineStr">
        <is>
          <t>UPPSALA LÄN</t>
        </is>
      </c>
      <c r="E34" t="inlineStr">
        <is>
          <t>UPPSALA</t>
        </is>
      </c>
      <c r="G34" t="n">
        <v>11.3</v>
      </c>
      <c r="H34" t="n">
        <v>7</v>
      </c>
      <c r="I34" t="n">
        <v>1</v>
      </c>
      <c r="J34" t="n">
        <v>2</v>
      </c>
      <c r="K34" t="n">
        <v>2</v>
      </c>
      <c r="L34" t="n">
        <v>1</v>
      </c>
      <c r="M34" t="n">
        <v>0</v>
      </c>
      <c r="N34" t="n">
        <v>0</v>
      </c>
      <c r="O34" t="n">
        <v>5</v>
      </c>
      <c r="P34" t="n">
        <v>3</v>
      </c>
      <c r="Q34" t="n">
        <v>12</v>
      </c>
      <c r="R34" s="2" t="inlineStr">
        <is>
          <t>Ask
Gulvit blekspik
Stare
Motaggsvamp
Tallticka
Skinnlav
Blåsippa
Spillkråka
Buskskvätta
Grönsiska
Ärtsångare
Gullviva</t>
        </is>
      </c>
      <c r="S34">
        <f>HYPERLINK("https://klasma.github.io/Logging_0380/artfynd/A 2021-2022 artfynd.xlsx", "A 2021-2022")</f>
        <v/>
      </c>
      <c r="T34">
        <f>HYPERLINK("https://klasma.github.io/Logging_0380/kartor/A 2021-2022 karta.png", "A 2021-2022")</f>
        <v/>
      </c>
      <c r="V34">
        <f>HYPERLINK("https://klasma.github.io/Logging_0380/klagomål/A 2021-2022 FSC-klagomål.docx", "A 2021-2022")</f>
        <v/>
      </c>
      <c r="W34">
        <f>HYPERLINK("https://klasma.github.io/Logging_0380/klagomålsmail/A 2021-2022 FSC-klagomål mail.docx", "A 2021-2022")</f>
        <v/>
      </c>
      <c r="X34">
        <f>HYPERLINK("https://klasma.github.io/Logging_0380/tillsyn/A 2021-2022 tillsynsbegäran.docx", "A 2021-2022")</f>
        <v/>
      </c>
      <c r="Y34">
        <f>HYPERLINK("https://klasma.github.io/Logging_0380/tillsynsmail/A 2021-2022 tillsynsbegäran mail.docx", "A 2021-2022")</f>
        <v/>
      </c>
      <c r="Z34">
        <f>HYPERLINK("https://klasma.github.io/Logging_0380/fåglar/A 2021-2022 prioriterade fågelarter.docx", "A 2021-2022")</f>
        <v/>
      </c>
    </row>
    <row r="35" ht="15" customHeight="1">
      <c r="A35" t="inlineStr">
        <is>
          <t>A 46162-2023</t>
        </is>
      </c>
      <c r="B35" s="1" t="n">
        <v>45196</v>
      </c>
      <c r="C35" s="1" t="n">
        <v>46196</v>
      </c>
      <c r="D35" t="inlineStr">
        <is>
          <t>UPPSALA LÄN</t>
        </is>
      </c>
      <c r="E35" t="inlineStr">
        <is>
          <t>UPPSALA</t>
        </is>
      </c>
      <c r="G35" t="n">
        <v>5.5</v>
      </c>
      <c r="H35" t="n">
        <v>1</v>
      </c>
      <c r="I35" t="n">
        <v>5</v>
      </c>
      <c r="J35" t="n">
        <v>6</v>
      </c>
      <c r="K35" t="n">
        <v>1</v>
      </c>
      <c r="L35" t="n">
        <v>0</v>
      </c>
      <c r="M35" t="n">
        <v>0</v>
      </c>
      <c r="N35" t="n">
        <v>0</v>
      </c>
      <c r="O35" t="n">
        <v>7</v>
      </c>
      <c r="P35" t="n">
        <v>1</v>
      </c>
      <c r="Q35" t="n">
        <v>12</v>
      </c>
      <c r="R35" s="2" t="inlineStr">
        <is>
          <t>Knärot
Dropptaggsvamp
Fjällig taggsvamp s.str.
Rynkskinn
Såpfingersvamp
Ullticka
Vedtrappmossa
Bronshjon
Grönpyrola
Svavelriska
Vedticka
Vågbandad barkbock</t>
        </is>
      </c>
      <c r="S35">
        <f>HYPERLINK("https://klasma.github.io/Logging_0380/artfynd/A 46162-2023 artfynd.xlsx", "A 46162-2023")</f>
        <v/>
      </c>
      <c r="T35">
        <f>HYPERLINK("https://klasma.github.io/Logging_0380/kartor/A 46162-2023 karta.png", "A 46162-2023")</f>
        <v/>
      </c>
      <c r="U35">
        <f>HYPERLINK("https://klasma.github.io/Logging_0380/knärot/A 46162-2023 karta knärot.png", "A 46162-2023")</f>
        <v/>
      </c>
      <c r="V35">
        <f>HYPERLINK("https://klasma.github.io/Logging_0380/klagomål/A 46162-2023 FSC-klagomål.docx", "A 46162-2023")</f>
        <v/>
      </c>
      <c r="W35">
        <f>HYPERLINK("https://klasma.github.io/Logging_0380/klagomålsmail/A 46162-2023 FSC-klagomål mail.docx", "A 46162-2023")</f>
        <v/>
      </c>
      <c r="X35">
        <f>HYPERLINK("https://klasma.github.io/Logging_0380/tillsyn/A 46162-2023 tillsynsbegäran.docx", "A 46162-2023")</f>
        <v/>
      </c>
      <c r="Y35">
        <f>HYPERLINK("https://klasma.github.io/Logging_0380/tillsynsmail/A 46162-2023 tillsynsbegäran mail.docx", "A 46162-2023")</f>
        <v/>
      </c>
    </row>
    <row r="36" ht="15" customHeight="1">
      <c r="A36" t="inlineStr">
        <is>
          <t>A 47453-2023</t>
        </is>
      </c>
      <c r="B36" s="1" t="n">
        <v>45202</v>
      </c>
      <c r="C36" s="1" t="n">
        <v>46196</v>
      </c>
      <c r="D36" t="inlineStr">
        <is>
          <t>UPPSALA LÄN</t>
        </is>
      </c>
      <c r="E36" t="inlineStr">
        <is>
          <t>UPPSALA</t>
        </is>
      </c>
      <c r="F36" t="inlineStr">
        <is>
          <t>Allmännings- och besparingsskogar</t>
        </is>
      </c>
      <c r="G36" t="n">
        <v>32.8</v>
      </c>
      <c r="H36" t="n">
        <v>5</v>
      </c>
      <c r="I36" t="n">
        <v>3</v>
      </c>
      <c r="J36" t="n">
        <v>6</v>
      </c>
      <c r="K36" t="n">
        <v>2</v>
      </c>
      <c r="L36" t="n">
        <v>0</v>
      </c>
      <c r="M36" t="n">
        <v>0</v>
      </c>
      <c r="N36" t="n">
        <v>0</v>
      </c>
      <c r="O36" t="n">
        <v>8</v>
      </c>
      <c r="P36" t="n">
        <v>2</v>
      </c>
      <c r="Q36" t="n">
        <v>12</v>
      </c>
      <c r="R36" s="2" t="inlineStr">
        <is>
          <t>Knärot
Ostticka
Sparvuggla
Större flatbagge
Tallticka
Talltita
Tretåig hackspett
Vedtrappmossa
Bronshjon
Jättesvampmal
Thomsons trägnagare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9401-2025</t>
        </is>
      </c>
      <c r="B37" s="1" t="n">
        <v>45715</v>
      </c>
      <c r="C37" s="1" t="n">
        <v>46196</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46196</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46196</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46196</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46196</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46196</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46196</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46196</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46196</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55788-2025</t>
        </is>
      </c>
      <c r="B46" s="1" t="n">
        <v>45972</v>
      </c>
      <c r="C46" s="1" t="n">
        <v>46196</v>
      </c>
      <c r="D46" t="inlineStr">
        <is>
          <t>UPPSALA LÄN</t>
        </is>
      </c>
      <c r="E46" t="inlineStr">
        <is>
          <t>UPPSALA</t>
        </is>
      </c>
      <c r="F46" t="inlineStr">
        <is>
          <t>Holmen skog AB</t>
        </is>
      </c>
      <c r="G46" t="n">
        <v>6.9</v>
      </c>
      <c r="H46" t="n">
        <v>6</v>
      </c>
      <c r="I46" t="n">
        <v>0</v>
      </c>
      <c r="J46" t="n">
        <v>5</v>
      </c>
      <c r="K46" t="n">
        <v>0</v>
      </c>
      <c r="L46" t="n">
        <v>0</v>
      </c>
      <c r="M46" t="n">
        <v>0</v>
      </c>
      <c r="N46" t="n">
        <v>0</v>
      </c>
      <c r="O46" t="n">
        <v>5</v>
      </c>
      <c r="P46" t="n">
        <v>0</v>
      </c>
      <c r="Q46" t="n">
        <v>9</v>
      </c>
      <c r="R46" s="2" t="inlineStr">
        <is>
          <t>Ekticka
Järnsparv
Rödbrun blekspik
Talltita
Vårärt
Blåsippa
Tjäder
Kungsfågel
Gullviva</t>
        </is>
      </c>
      <c r="S46">
        <f>HYPERLINK("https://klasma.github.io/Logging_0380/artfynd/A 55788-2025 artfynd.xlsx", "A 55788-2025")</f>
        <v/>
      </c>
      <c r="T46">
        <f>HYPERLINK("https://klasma.github.io/Logging_0380/kartor/A 55788-2025 karta.png", "A 55788-2025")</f>
        <v/>
      </c>
      <c r="V46">
        <f>HYPERLINK("https://klasma.github.io/Logging_0380/klagomål/A 55788-2025 FSC-klagomål.docx", "A 55788-2025")</f>
        <v/>
      </c>
      <c r="W46">
        <f>HYPERLINK("https://klasma.github.io/Logging_0380/klagomålsmail/A 55788-2025 FSC-klagomål mail.docx", "A 55788-2025")</f>
        <v/>
      </c>
      <c r="X46">
        <f>HYPERLINK("https://klasma.github.io/Logging_0380/tillsyn/A 55788-2025 tillsynsbegäran.docx", "A 55788-2025")</f>
        <v/>
      </c>
      <c r="Y46">
        <f>HYPERLINK("https://klasma.github.io/Logging_0380/tillsynsmail/A 55788-2025 tillsynsbegäran mail.docx", "A 55788-2025")</f>
        <v/>
      </c>
      <c r="Z46">
        <f>HYPERLINK("https://klasma.github.io/Logging_0380/fåglar/A 55788-2025 prioriterade fågelarter.docx", "A 55788-2025")</f>
        <v/>
      </c>
    </row>
    <row r="47" ht="15" customHeight="1">
      <c r="A47" t="inlineStr">
        <is>
          <t>A 25608-2025</t>
        </is>
      </c>
      <c r="B47" s="1" t="n">
        <v>45803</v>
      </c>
      <c r="C47" s="1" t="n">
        <v>46196</v>
      </c>
      <c r="D47" t="inlineStr">
        <is>
          <t>UPPSALA LÄN</t>
        </is>
      </c>
      <c r="E47" t="inlineStr">
        <is>
          <t>UPPSALA</t>
        </is>
      </c>
      <c r="F47" t="inlineStr">
        <is>
          <t>Holmen skog AB</t>
        </is>
      </c>
      <c r="G47" t="n">
        <v>3</v>
      </c>
      <c r="H47" t="n">
        <v>4</v>
      </c>
      <c r="I47" t="n">
        <v>3</v>
      </c>
      <c r="J47" t="n">
        <v>3</v>
      </c>
      <c r="K47" t="n">
        <v>1</v>
      </c>
      <c r="L47" t="n">
        <v>0</v>
      </c>
      <c r="M47" t="n">
        <v>0</v>
      </c>
      <c r="N47" t="n">
        <v>0</v>
      </c>
      <c r="O47" t="n">
        <v>4</v>
      </c>
      <c r="P47" t="n">
        <v>1</v>
      </c>
      <c r="Q47" t="n">
        <v>9</v>
      </c>
      <c r="R47" s="2" t="inlineStr">
        <is>
          <t>Knärot
Rynkskinn
Talltita
Ullticka
Bronshjon
Stuplav
Vågbandad barkbock
Blåsippa
Spillkråka</t>
        </is>
      </c>
      <c r="S47">
        <f>HYPERLINK("https://klasma.github.io/Logging_0380/artfynd/A 25608-2025 artfynd.xlsx", "A 25608-2025")</f>
        <v/>
      </c>
      <c r="T47">
        <f>HYPERLINK("https://klasma.github.io/Logging_0380/kartor/A 25608-2025 karta.png", "A 25608-2025")</f>
        <v/>
      </c>
      <c r="U47">
        <f>HYPERLINK("https://klasma.github.io/Logging_0380/knärot/A 25608-2025 karta knärot.png", "A 25608-2025")</f>
        <v/>
      </c>
      <c r="V47">
        <f>HYPERLINK("https://klasma.github.io/Logging_0380/klagomål/A 25608-2025 FSC-klagomål.docx", "A 25608-2025")</f>
        <v/>
      </c>
      <c r="W47">
        <f>HYPERLINK("https://klasma.github.io/Logging_0380/klagomålsmail/A 25608-2025 FSC-klagomål mail.docx", "A 25608-2025")</f>
        <v/>
      </c>
      <c r="X47">
        <f>HYPERLINK("https://klasma.github.io/Logging_0380/tillsyn/A 25608-2025 tillsynsbegäran.docx", "A 25608-2025")</f>
        <v/>
      </c>
      <c r="Y47">
        <f>HYPERLINK("https://klasma.github.io/Logging_0380/tillsynsmail/A 25608-2025 tillsynsbegäran mail.docx", "A 25608-2025")</f>
        <v/>
      </c>
      <c r="Z47">
        <f>HYPERLINK("https://klasma.github.io/Logging_0380/fåglar/A 25608-2025 prioriterade fågelarter.docx", "A 25608-2025")</f>
        <v/>
      </c>
    </row>
    <row r="48" ht="15" customHeight="1">
      <c r="A48" t="inlineStr">
        <is>
          <t>A 26001-2026</t>
        </is>
      </c>
      <c r="B48" s="1" t="n">
        <v>46181</v>
      </c>
      <c r="C48" s="1" t="n">
        <v>46196</v>
      </c>
      <c r="D48" t="inlineStr">
        <is>
          <t>UPPSALA LÄN</t>
        </is>
      </c>
      <c r="E48" t="inlineStr">
        <is>
          <t>UPPSALA</t>
        </is>
      </c>
      <c r="F48" t="inlineStr">
        <is>
          <t>Sveaskog</t>
        </is>
      </c>
      <c r="G48" t="n">
        <v>6.4</v>
      </c>
      <c r="H48" t="n">
        <v>1</v>
      </c>
      <c r="I48" t="n">
        <v>7</v>
      </c>
      <c r="J48" t="n">
        <v>1</v>
      </c>
      <c r="K48" t="n">
        <v>0</v>
      </c>
      <c r="L48" t="n">
        <v>0</v>
      </c>
      <c r="M48" t="n">
        <v>0</v>
      </c>
      <c r="N48" t="n">
        <v>0</v>
      </c>
      <c r="O48" t="n">
        <v>1</v>
      </c>
      <c r="P48" t="n">
        <v>0</v>
      </c>
      <c r="Q48" t="n">
        <v>9</v>
      </c>
      <c r="R48" s="2" t="inlineStr">
        <is>
          <t>Lunglav
Bronshjon
Bårdlav
Grönpyrola
Korallblylav
Mörk husmossa
Rökmusseron
Thomsons trägnagare
Blåsippa</t>
        </is>
      </c>
      <c r="S48">
        <f>HYPERLINK("https://klasma.github.io/Logging_0380/artfynd/A 26001-2026 artfynd.xlsx", "A 26001-2026")</f>
        <v/>
      </c>
      <c r="T48">
        <f>HYPERLINK("https://klasma.github.io/Logging_0380/kartor/A 26001-2026 karta.png", "A 26001-2026")</f>
        <v/>
      </c>
      <c r="V48">
        <f>HYPERLINK("https://klasma.github.io/Logging_0380/klagomål/A 26001-2026 FSC-klagomål.docx", "A 26001-2026")</f>
        <v/>
      </c>
      <c r="W48">
        <f>HYPERLINK("https://klasma.github.io/Logging_0380/klagomålsmail/A 26001-2026 FSC-klagomål mail.docx", "A 26001-2026")</f>
        <v/>
      </c>
      <c r="X48">
        <f>HYPERLINK("https://klasma.github.io/Logging_0380/tillsyn/A 26001-2026 tillsynsbegäran.docx", "A 26001-2026")</f>
        <v/>
      </c>
      <c r="Y48">
        <f>HYPERLINK("https://klasma.github.io/Logging_0380/tillsynsmail/A 26001-2026 tillsynsbegäran mail.docx", "A 26001-2026")</f>
        <v/>
      </c>
    </row>
    <row r="49" ht="15" customHeight="1">
      <c r="A49" t="inlineStr">
        <is>
          <t>A 59538-2025</t>
        </is>
      </c>
      <c r="B49" s="1" t="n">
        <v>45989</v>
      </c>
      <c r="C49" s="1" t="n">
        <v>46196</v>
      </c>
      <c r="D49" t="inlineStr">
        <is>
          <t>UPPSALA LÄN</t>
        </is>
      </c>
      <c r="E49" t="inlineStr">
        <is>
          <t>UPPSALA</t>
        </is>
      </c>
      <c r="G49" t="n">
        <v>4.3</v>
      </c>
      <c r="H49" t="n">
        <v>5</v>
      </c>
      <c r="I49" t="n">
        <v>3</v>
      </c>
      <c r="J49" t="n">
        <v>2</v>
      </c>
      <c r="K49" t="n">
        <v>1</v>
      </c>
      <c r="L49" t="n">
        <v>0</v>
      </c>
      <c r="M49" t="n">
        <v>0</v>
      </c>
      <c r="N49" t="n">
        <v>0</v>
      </c>
      <c r="O49" t="n">
        <v>3</v>
      </c>
      <c r="P49" t="n">
        <v>1</v>
      </c>
      <c r="Q49" t="n">
        <v>9</v>
      </c>
      <c r="R49" s="2" t="inlineStr">
        <is>
          <t>Knärot
Talltita
Ullticka
Bronshjon
Granbarkgnagare
Vågbandad barkbock
Spillkråka
Lopplummer (aggregat)
Revlummer</t>
        </is>
      </c>
      <c r="S49">
        <f>HYPERLINK("https://klasma.github.io/Logging_0380/artfynd/A 59538-2025 artfynd.xlsx", "A 59538-2025")</f>
        <v/>
      </c>
      <c r="T49">
        <f>HYPERLINK("https://klasma.github.io/Logging_0380/kartor/A 59538-2025 karta.png", "A 59538-2025")</f>
        <v/>
      </c>
      <c r="U49">
        <f>HYPERLINK("https://klasma.github.io/Logging_0380/knärot/A 59538-2025 karta knärot.png", "A 59538-2025")</f>
        <v/>
      </c>
      <c r="V49">
        <f>HYPERLINK("https://klasma.github.io/Logging_0380/klagomål/A 59538-2025 FSC-klagomål.docx", "A 59538-2025")</f>
        <v/>
      </c>
      <c r="W49">
        <f>HYPERLINK("https://klasma.github.io/Logging_0380/klagomålsmail/A 59538-2025 FSC-klagomål mail.docx", "A 59538-2025")</f>
        <v/>
      </c>
      <c r="X49">
        <f>HYPERLINK("https://klasma.github.io/Logging_0380/tillsyn/A 59538-2025 tillsynsbegäran.docx", "A 59538-2025")</f>
        <v/>
      </c>
      <c r="Y49">
        <f>HYPERLINK("https://klasma.github.io/Logging_0380/tillsynsmail/A 59538-2025 tillsynsbegäran mail.docx", "A 59538-2025")</f>
        <v/>
      </c>
      <c r="Z49">
        <f>HYPERLINK("https://klasma.github.io/Logging_0380/fåglar/A 59538-2025 prioriterade fågelarter.docx", "A 59538-2025")</f>
        <v/>
      </c>
    </row>
    <row r="50" ht="15" customHeight="1">
      <c r="A50" t="inlineStr">
        <is>
          <t>A 26758-2022</t>
        </is>
      </c>
      <c r="B50" s="1" t="n">
        <v>44740</v>
      </c>
      <c r="C50" s="1" t="n">
        <v>46196</v>
      </c>
      <c r="D50" t="inlineStr">
        <is>
          <t>UPPSALA LÄN</t>
        </is>
      </c>
      <c r="E50" t="inlineStr">
        <is>
          <t>UPPSALA</t>
        </is>
      </c>
      <c r="G50" t="n">
        <v>21.5</v>
      </c>
      <c r="H50" t="n">
        <v>3</v>
      </c>
      <c r="I50" t="n">
        <v>5</v>
      </c>
      <c r="J50" t="n">
        <v>2</v>
      </c>
      <c r="K50" t="n">
        <v>0</v>
      </c>
      <c r="L50" t="n">
        <v>0</v>
      </c>
      <c r="M50" t="n">
        <v>0</v>
      </c>
      <c r="N50" t="n">
        <v>0</v>
      </c>
      <c r="O50" t="n">
        <v>2</v>
      </c>
      <c r="P50" t="n">
        <v>0</v>
      </c>
      <c r="Q50" t="n">
        <v>9</v>
      </c>
      <c r="R50" s="2" t="inlineStr">
        <is>
          <t>Dvärgbägarlav
Vedtrappmossa
Blåmossa
Bronshjon
Grön sköldmossa
Thomsons trägnagare
Trådticka
Blåsippa
Mattlummer</t>
        </is>
      </c>
      <c r="S50">
        <f>HYPERLINK("https://klasma.github.io/Logging_0380/artfynd/A 26758-2022 artfynd.xlsx", "A 26758-2022")</f>
        <v/>
      </c>
      <c r="T50">
        <f>HYPERLINK("https://klasma.github.io/Logging_0380/kartor/A 26758-2022 karta.png", "A 26758-2022")</f>
        <v/>
      </c>
      <c r="V50">
        <f>HYPERLINK("https://klasma.github.io/Logging_0380/klagomål/A 26758-2022 FSC-klagomål.docx", "A 26758-2022")</f>
        <v/>
      </c>
      <c r="W50">
        <f>HYPERLINK("https://klasma.github.io/Logging_0380/klagomålsmail/A 26758-2022 FSC-klagomål mail.docx", "A 26758-2022")</f>
        <v/>
      </c>
      <c r="X50">
        <f>HYPERLINK("https://klasma.github.io/Logging_0380/tillsyn/A 26758-2022 tillsynsbegäran.docx", "A 26758-2022")</f>
        <v/>
      </c>
      <c r="Y50">
        <f>HYPERLINK("https://klasma.github.io/Logging_0380/tillsynsmail/A 26758-2022 tillsynsbegäran mail.docx", "A 26758-2022")</f>
        <v/>
      </c>
    </row>
    <row r="51" ht="15" customHeight="1">
      <c r="A51" t="inlineStr">
        <is>
          <t>A 61014-2021</t>
        </is>
      </c>
      <c r="B51" s="1" t="n">
        <v>44497</v>
      </c>
      <c r="C51" s="1" t="n">
        <v>46196</v>
      </c>
      <c r="D51" t="inlineStr">
        <is>
          <t>UPPSALA LÄN</t>
        </is>
      </c>
      <c r="E51" t="inlineStr">
        <is>
          <t>UPPSALA</t>
        </is>
      </c>
      <c r="G51" t="n">
        <v>6.6</v>
      </c>
      <c r="H51" t="n">
        <v>3</v>
      </c>
      <c r="I51" t="n">
        <v>2</v>
      </c>
      <c r="J51" t="n">
        <v>3</v>
      </c>
      <c r="K51" t="n">
        <v>2</v>
      </c>
      <c r="L51" t="n">
        <v>0</v>
      </c>
      <c r="M51" t="n">
        <v>0</v>
      </c>
      <c r="N51" t="n">
        <v>0</v>
      </c>
      <c r="O51" t="n">
        <v>5</v>
      </c>
      <c r="P51" t="n">
        <v>2</v>
      </c>
      <c r="Q51" t="n">
        <v>9</v>
      </c>
      <c r="R51" s="2" t="inlineStr">
        <is>
          <t>Garnlav
Knärot
Grönhjon
Rynkskinn
Ullticka
Brandticka
Vedticka
Tallbit
Kungsfågel</t>
        </is>
      </c>
      <c r="S51">
        <f>HYPERLINK("https://klasma.github.io/Logging_0380/artfynd/A 61014-2021 artfynd.xlsx", "A 61014-2021")</f>
        <v/>
      </c>
      <c r="T51">
        <f>HYPERLINK("https://klasma.github.io/Logging_0380/kartor/A 61014-2021 karta.png", "A 61014-2021")</f>
        <v/>
      </c>
      <c r="U51">
        <f>HYPERLINK("https://klasma.github.io/Logging_0380/knärot/A 61014-2021 karta knärot.png", "A 61014-2021")</f>
        <v/>
      </c>
      <c r="V51">
        <f>HYPERLINK("https://klasma.github.io/Logging_0380/klagomål/A 61014-2021 FSC-klagomål.docx", "A 61014-2021")</f>
        <v/>
      </c>
      <c r="W51">
        <f>HYPERLINK("https://klasma.github.io/Logging_0380/klagomålsmail/A 61014-2021 FSC-klagomål mail.docx", "A 61014-2021")</f>
        <v/>
      </c>
      <c r="X51">
        <f>HYPERLINK("https://klasma.github.io/Logging_0380/tillsyn/A 61014-2021 tillsynsbegäran.docx", "A 61014-2021")</f>
        <v/>
      </c>
      <c r="Y51">
        <f>HYPERLINK("https://klasma.github.io/Logging_0380/tillsynsmail/A 61014-2021 tillsynsbegäran mail.docx", "A 61014-2021")</f>
        <v/>
      </c>
      <c r="Z51">
        <f>HYPERLINK("https://klasma.github.io/Logging_0380/fåglar/A 61014-2021 prioriterade fågelarter.docx", "A 61014-2021")</f>
        <v/>
      </c>
    </row>
    <row r="52" ht="15" customHeight="1">
      <c r="A52" t="inlineStr">
        <is>
          <t>A 58545-2025</t>
        </is>
      </c>
      <c r="B52" s="1" t="n">
        <v>45985</v>
      </c>
      <c r="C52" s="1" t="n">
        <v>46196</v>
      </c>
      <c r="D52" t="inlineStr">
        <is>
          <t>UPPSALA LÄN</t>
        </is>
      </c>
      <c r="E52" t="inlineStr">
        <is>
          <t>UPPSALA</t>
        </is>
      </c>
      <c r="G52" t="n">
        <v>2.5</v>
      </c>
      <c r="H52" t="n">
        <v>4</v>
      </c>
      <c r="I52" t="n">
        <v>1</v>
      </c>
      <c r="J52" t="n">
        <v>3</v>
      </c>
      <c r="K52" t="n">
        <v>1</v>
      </c>
      <c r="L52" t="n">
        <v>0</v>
      </c>
      <c r="M52" t="n">
        <v>0</v>
      </c>
      <c r="N52" t="n">
        <v>0</v>
      </c>
      <c r="O52" t="n">
        <v>4</v>
      </c>
      <c r="P52" t="n">
        <v>1</v>
      </c>
      <c r="Q52" t="n">
        <v>8</v>
      </c>
      <c r="R52" s="2" t="inlineStr">
        <is>
          <t>Knärot
Rynkskinn
Ullticka
Vedtrappmossa
Rödgul trumpetsvamp
Blåsippa
Spillkråka
Revlummer</t>
        </is>
      </c>
      <c r="S52">
        <f>HYPERLINK("https://klasma.github.io/Logging_0380/artfynd/A 58545-2025 artfynd.xlsx", "A 58545-2025")</f>
        <v/>
      </c>
      <c r="T52">
        <f>HYPERLINK("https://klasma.github.io/Logging_0380/kartor/A 58545-2025 karta.png", "A 58545-2025")</f>
        <v/>
      </c>
      <c r="U52">
        <f>HYPERLINK("https://klasma.github.io/Logging_0380/knärot/A 58545-2025 karta knärot.png", "A 58545-2025")</f>
        <v/>
      </c>
      <c r="V52">
        <f>HYPERLINK("https://klasma.github.io/Logging_0380/klagomål/A 58545-2025 FSC-klagomål.docx", "A 58545-2025")</f>
        <v/>
      </c>
      <c r="W52">
        <f>HYPERLINK("https://klasma.github.io/Logging_0380/klagomålsmail/A 58545-2025 FSC-klagomål mail.docx", "A 58545-2025")</f>
        <v/>
      </c>
      <c r="X52">
        <f>HYPERLINK("https://klasma.github.io/Logging_0380/tillsyn/A 58545-2025 tillsynsbegäran.docx", "A 58545-2025")</f>
        <v/>
      </c>
      <c r="Y52">
        <f>HYPERLINK("https://klasma.github.io/Logging_0380/tillsynsmail/A 58545-2025 tillsynsbegäran mail.docx", "A 58545-2025")</f>
        <v/>
      </c>
      <c r="Z52">
        <f>HYPERLINK("https://klasma.github.io/Logging_0380/fåglar/A 58545-2025 prioriterade fågelarter.docx", "A 58545-2025")</f>
        <v/>
      </c>
    </row>
    <row r="53" ht="15" customHeight="1">
      <c r="A53" t="inlineStr">
        <is>
          <t>A 1725-2022</t>
        </is>
      </c>
      <c r="B53" s="1" t="n">
        <v>44574</v>
      </c>
      <c r="C53" s="1" t="n">
        <v>46196</v>
      </c>
      <c r="D53" t="inlineStr">
        <is>
          <t>UPPSALA LÄN</t>
        </is>
      </c>
      <c r="E53" t="inlineStr">
        <is>
          <t>UPPSALA</t>
        </is>
      </c>
      <c r="G53" t="n">
        <v>6.1</v>
      </c>
      <c r="H53" t="n">
        <v>3</v>
      </c>
      <c r="I53" t="n">
        <v>4</v>
      </c>
      <c r="J53" t="n">
        <v>1</v>
      </c>
      <c r="K53" t="n">
        <v>1</v>
      </c>
      <c r="L53" t="n">
        <v>0</v>
      </c>
      <c r="M53" t="n">
        <v>0</v>
      </c>
      <c r="N53" t="n">
        <v>0</v>
      </c>
      <c r="O53" t="n">
        <v>2</v>
      </c>
      <c r="P53" t="n">
        <v>1</v>
      </c>
      <c r="Q53" t="n">
        <v>8</v>
      </c>
      <c r="R53" s="2" t="inlineStr">
        <is>
          <t>Rökpipsvamp
Fjällig taggsvamp s.str.
Fällmossa
Grön sköldmossa
Platt fjädermossa
Stubbspretmossa
Blåsippa
Järpe</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56363-2025</t>
        </is>
      </c>
      <c r="B54" s="1" t="n">
        <v>45974</v>
      </c>
      <c r="C54" s="1" t="n">
        <v>46196</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46196</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46196</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46196</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46196</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46196</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27625-2023</t>
        </is>
      </c>
      <c r="B60" s="1" t="n">
        <v>45097</v>
      </c>
      <c r="C60" s="1" t="n">
        <v>46196</v>
      </c>
      <c r="D60" t="inlineStr">
        <is>
          <t>UPPSALA LÄN</t>
        </is>
      </c>
      <c r="E60" t="inlineStr">
        <is>
          <t>UPPSALA</t>
        </is>
      </c>
      <c r="G60" t="n">
        <v>6</v>
      </c>
      <c r="H60" t="n">
        <v>5</v>
      </c>
      <c r="I60" t="n">
        <v>1</v>
      </c>
      <c r="J60" t="n">
        <v>0</v>
      </c>
      <c r="K60" t="n">
        <v>0</v>
      </c>
      <c r="L60" t="n">
        <v>0</v>
      </c>
      <c r="M60" t="n">
        <v>0</v>
      </c>
      <c r="N60" t="n">
        <v>0</v>
      </c>
      <c r="O60" t="n">
        <v>0</v>
      </c>
      <c r="P60" t="n">
        <v>0</v>
      </c>
      <c r="Q60" t="n">
        <v>6</v>
      </c>
      <c r="R60" s="2" t="inlineStr">
        <is>
          <t>Fällmossa
Blåsippa
Spillkråka
Gröngöling
Törnskata
Skogsödla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8323-2023</t>
        </is>
      </c>
      <c r="B61" s="1" t="n">
        <v>44974</v>
      </c>
      <c r="C61" s="1" t="n">
        <v>46196</v>
      </c>
      <c r="D61" t="inlineStr">
        <is>
          <t>UPPSALA LÄN</t>
        </is>
      </c>
      <c r="E61" t="inlineStr">
        <is>
          <t>UPPSALA</t>
        </is>
      </c>
      <c r="G61" t="n">
        <v>9.4</v>
      </c>
      <c r="H61" t="n">
        <v>3</v>
      </c>
      <c r="I61" t="n">
        <v>2</v>
      </c>
      <c r="J61" t="n">
        <v>1</v>
      </c>
      <c r="K61" t="n">
        <v>0</v>
      </c>
      <c r="L61" t="n">
        <v>0</v>
      </c>
      <c r="M61" t="n">
        <v>0</v>
      </c>
      <c r="N61" t="n">
        <v>0</v>
      </c>
      <c r="O61" t="n">
        <v>1</v>
      </c>
      <c r="P61" t="n">
        <v>0</v>
      </c>
      <c r="Q61" t="n">
        <v>6</v>
      </c>
      <c r="R61" s="2" t="inlineStr">
        <is>
          <t>Tallkötticka
Blodticka
Grönpyrola
Tjäder
Vanlig groda
Revlummer</t>
        </is>
      </c>
      <c r="S61">
        <f>HYPERLINK("https://klasma.github.io/Logging_0380/artfynd/A 8323-2023 artfynd.xlsx", "A 8323-2023")</f>
        <v/>
      </c>
      <c r="T61">
        <f>HYPERLINK("https://klasma.github.io/Logging_0380/kartor/A 8323-2023 karta.png", "A 8323-2023")</f>
        <v/>
      </c>
      <c r="V61">
        <f>HYPERLINK("https://klasma.github.io/Logging_0380/klagomål/A 8323-2023 FSC-klagomål.docx", "A 8323-2023")</f>
        <v/>
      </c>
      <c r="W61">
        <f>HYPERLINK("https://klasma.github.io/Logging_0380/klagomålsmail/A 8323-2023 FSC-klagomål mail.docx", "A 8323-2023")</f>
        <v/>
      </c>
      <c r="X61">
        <f>HYPERLINK("https://klasma.github.io/Logging_0380/tillsyn/A 8323-2023 tillsynsbegäran.docx", "A 8323-2023")</f>
        <v/>
      </c>
      <c r="Y61">
        <f>HYPERLINK("https://klasma.github.io/Logging_0380/tillsynsmail/A 8323-2023 tillsynsbegäran mail.docx", "A 8323-2023")</f>
        <v/>
      </c>
      <c r="Z61">
        <f>HYPERLINK("https://klasma.github.io/Logging_0380/fåglar/A 8323-2023 prioriterade fågelarter.docx", "A 8323-2023")</f>
        <v/>
      </c>
    </row>
    <row r="62" ht="15" customHeight="1">
      <c r="A62" t="inlineStr">
        <is>
          <t>A 6602-2023</t>
        </is>
      </c>
      <c r="B62" s="1" t="n">
        <v>44966</v>
      </c>
      <c r="C62" s="1" t="n">
        <v>46196</v>
      </c>
      <c r="D62" t="inlineStr">
        <is>
          <t>UPPSALA LÄN</t>
        </is>
      </c>
      <c r="E62" t="inlineStr">
        <is>
          <t>UPPSALA</t>
        </is>
      </c>
      <c r="F62" t="inlineStr">
        <is>
          <t>Allmännings- och besparingsskogar</t>
        </is>
      </c>
      <c r="G62" t="n">
        <v>20.2</v>
      </c>
      <c r="H62" t="n">
        <v>1</v>
      </c>
      <c r="I62" t="n">
        <v>3</v>
      </c>
      <c r="J62" t="n">
        <v>2</v>
      </c>
      <c r="K62" t="n">
        <v>0</v>
      </c>
      <c r="L62" t="n">
        <v>0</v>
      </c>
      <c r="M62" t="n">
        <v>0</v>
      </c>
      <c r="N62" t="n">
        <v>0</v>
      </c>
      <c r="O62" t="n">
        <v>2</v>
      </c>
      <c r="P62" t="n">
        <v>0</v>
      </c>
      <c r="Q62" t="n">
        <v>6</v>
      </c>
      <c r="R62" s="2" t="inlineStr">
        <is>
          <t>Gullpudra
Vårärt
Stubbspretmossa
Svart trolldruva
Trubbfjädermossa
Blåsippa</t>
        </is>
      </c>
      <c r="S62">
        <f>HYPERLINK("https://klasma.github.io/Logging_0380/artfynd/A 6602-2023 artfynd.xlsx", "A 6602-2023")</f>
        <v/>
      </c>
      <c r="T62">
        <f>HYPERLINK("https://klasma.github.io/Logging_0380/kartor/A 6602-2023 karta.png", "A 6602-2023")</f>
        <v/>
      </c>
      <c r="V62">
        <f>HYPERLINK("https://klasma.github.io/Logging_0380/klagomål/A 6602-2023 FSC-klagomål.docx", "A 6602-2023")</f>
        <v/>
      </c>
      <c r="W62">
        <f>HYPERLINK("https://klasma.github.io/Logging_0380/klagomålsmail/A 6602-2023 FSC-klagomål mail.docx", "A 6602-2023")</f>
        <v/>
      </c>
      <c r="X62">
        <f>HYPERLINK("https://klasma.github.io/Logging_0380/tillsyn/A 6602-2023 tillsynsbegäran.docx", "A 6602-2023")</f>
        <v/>
      </c>
      <c r="Y62">
        <f>HYPERLINK("https://klasma.github.io/Logging_0380/tillsynsmail/A 6602-2023 tillsynsbegäran mail.docx", "A 6602-2023")</f>
        <v/>
      </c>
    </row>
    <row r="63" ht="15" customHeight="1">
      <c r="A63" t="inlineStr">
        <is>
          <t>A 22534-2026</t>
        </is>
      </c>
      <c r="B63" s="1" t="n">
        <v>46155</v>
      </c>
      <c r="C63" s="1" t="n">
        <v>46196</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46196</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13546-2025</t>
        </is>
      </c>
      <c r="B65" s="1" t="n">
        <v>45736</v>
      </c>
      <c r="C65" s="1" t="n">
        <v>46196</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HYPERLINK("https://klasma.github.io/Logging_0380/artfynd/A 13546-2025 artfynd.xlsx", "A 13546-2025")</f>
        <v/>
      </c>
      <c r="T65">
        <f>HYPERLINK("https://klasma.github.io/Logging_0380/kartor/A 13546-2025 karta.png", "A 13546-2025")</f>
        <v/>
      </c>
      <c r="V65">
        <f>HYPERLINK("https://klasma.github.io/Logging_0380/klagomål/A 13546-2025 FSC-klagomål.docx", "A 13546-2025")</f>
        <v/>
      </c>
      <c r="W65">
        <f>HYPERLINK("https://klasma.github.io/Logging_0380/klagomålsmail/A 13546-2025 FSC-klagomål mail.docx", "A 13546-2025")</f>
        <v/>
      </c>
      <c r="X65">
        <f>HYPERLINK("https://klasma.github.io/Logging_0380/tillsyn/A 13546-2025 tillsynsbegäran.docx", "A 13546-2025")</f>
        <v/>
      </c>
      <c r="Y65">
        <f>HYPERLINK("https://klasma.github.io/Logging_0380/tillsynsmail/A 13546-2025 tillsynsbegäran mail.docx", "A 13546-2025")</f>
        <v/>
      </c>
    </row>
    <row r="66" ht="15" customHeight="1">
      <c r="A66" t="inlineStr">
        <is>
          <t>A 53870-2025</t>
        </is>
      </c>
      <c r="B66" s="1" t="n">
        <v>45961</v>
      </c>
      <c r="C66" s="1" t="n">
        <v>46196</v>
      </c>
      <c r="D66" t="inlineStr">
        <is>
          <t>UPPSALA LÄN</t>
        </is>
      </c>
      <c r="E66" t="inlineStr">
        <is>
          <t>UPPSALA</t>
        </is>
      </c>
      <c r="G66" t="n">
        <v>2.3</v>
      </c>
      <c r="H66" t="n">
        <v>3</v>
      </c>
      <c r="I66" t="n">
        <v>0</v>
      </c>
      <c r="J66" t="n">
        <v>2</v>
      </c>
      <c r="K66" t="n">
        <v>1</v>
      </c>
      <c r="L66" t="n">
        <v>0</v>
      </c>
      <c r="M66" t="n">
        <v>0</v>
      </c>
      <c r="N66" t="n">
        <v>0</v>
      </c>
      <c r="O66" t="n">
        <v>3</v>
      </c>
      <c r="P66" t="n">
        <v>1</v>
      </c>
      <c r="Q66" t="n">
        <v>5</v>
      </c>
      <c r="R66" s="2" t="inlineStr">
        <is>
          <t>Knärot
Vedtrappmossa
Vitplätt
Spillkråka
Revlummer</t>
        </is>
      </c>
      <c r="S66">
        <f>HYPERLINK("https://klasma.github.io/Logging_0380/artfynd/A 53870-2025 artfynd.xlsx", "A 53870-2025")</f>
        <v/>
      </c>
      <c r="T66">
        <f>HYPERLINK("https://klasma.github.io/Logging_0380/kartor/A 53870-2025 karta.png", "A 53870-2025")</f>
        <v/>
      </c>
      <c r="U66">
        <f>HYPERLINK("https://klasma.github.io/Logging_0380/knärot/A 53870-2025 karta knärot.png", "A 53870-2025")</f>
        <v/>
      </c>
      <c r="V66">
        <f>HYPERLINK("https://klasma.github.io/Logging_0380/klagomål/A 53870-2025 FSC-klagomål.docx", "A 53870-2025")</f>
        <v/>
      </c>
      <c r="W66">
        <f>HYPERLINK("https://klasma.github.io/Logging_0380/klagomålsmail/A 53870-2025 FSC-klagomål mail.docx", "A 53870-2025")</f>
        <v/>
      </c>
      <c r="X66">
        <f>HYPERLINK("https://klasma.github.io/Logging_0380/tillsyn/A 53870-2025 tillsynsbegäran.docx", "A 53870-2025")</f>
        <v/>
      </c>
      <c r="Y66">
        <f>HYPERLINK("https://klasma.github.io/Logging_0380/tillsynsmail/A 53870-2025 tillsynsbegäran mail.docx", "A 53870-2025")</f>
        <v/>
      </c>
      <c r="Z66">
        <f>HYPERLINK("https://klasma.github.io/Logging_0380/fåglar/A 53870-2025 prioriterade fågelarter.docx", "A 53870-2025")</f>
        <v/>
      </c>
    </row>
    <row r="67" ht="15" customHeight="1">
      <c r="A67" t="inlineStr">
        <is>
          <t>A 63026-2025</t>
        </is>
      </c>
      <c r="B67" s="1" t="n">
        <v>46009</v>
      </c>
      <c r="C67" s="1" t="n">
        <v>46196</v>
      </c>
      <c r="D67" t="inlineStr">
        <is>
          <t>UPPSALA LÄN</t>
        </is>
      </c>
      <c r="E67" t="inlineStr">
        <is>
          <t>UPPSALA</t>
        </is>
      </c>
      <c r="G67" t="n">
        <v>1.1</v>
      </c>
      <c r="H67" t="n">
        <v>2</v>
      </c>
      <c r="I67" t="n">
        <v>1</v>
      </c>
      <c r="J67" t="n">
        <v>2</v>
      </c>
      <c r="K67" t="n">
        <v>0</v>
      </c>
      <c r="L67" t="n">
        <v>0</v>
      </c>
      <c r="M67" t="n">
        <v>0</v>
      </c>
      <c r="N67" t="n">
        <v>0</v>
      </c>
      <c r="O67" t="n">
        <v>2</v>
      </c>
      <c r="P67" t="n">
        <v>0</v>
      </c>
      <c r="Q67" t="n">
        <v>5</v>
      </c>
      <c r="R67" s="2" t="inlineStr">
        <is>
          <t>Rynkskinn
Ullticka
Jättesvampmal
Spillkråka
Revlummer</t>
        </is>
      </c>
      <c r="S67">
        <f>HYPERLINK("https://klasma.github.io/Logging_0380/artfynd/A 63026-2025 artfynd.xlsx", "A 63026-2025")</f>
        <v/>
      </c>
      <c r="T67">
        <f>HYPERLINK("https://klasma.github.io/Logging_0380/kartor/A 63026-2025 karta.png", "A 63026-2025")</f>
        <v/>
      </c>
      <c r="V67">
        <f>HYPERLINK("https://klasma.github.io/Logging_0380/klagomål/A 63026-2025 FSC-klagomål.docx", "A 63026-2025")</f>
        <v/>
      </c>
      <c r="W67">
        <f>HYPERLINK("https://klasma.github.io/Logging_0380/klagomålsmail/A 63026-2025 FSC-klagomål mail.docx", "A 63026-2025")</f>
        <v/>
      </c>
      <c r="X67">
        <f>HYPERLINK("https://klasma.github.io/Logging_0380/tillsyn/A 63026-2025 tillsynsbegäran.docx", "A 63026-2025")</f>
        <v/>
      </c>
      <c r="Y67">
        <f>HYPERLINK("https://klasma.github.io/Logging_0380/tillsynsmail/A 63026-2025 tillsynsbegäran mail.docx", "A 63026-2025")</f>
        <v/>
      </c>
      <c r="Z67">
        <f>HYPERLINK("https://klasma.github.io/Logging_0380/fåglar/A 63026-2025 prioriterade fågelarter.docx", "A 63026-2025")</f>
        <v/>
      </c>
    </row>
    <row r="68" ht="15" customHeight="1">
      <c r="A68" t="inlineStr">
        <is>
          <t>A 43056-2025</t>
        </is>
      </c>
      <c r="B68" s="1" t="n">
        <v>45909</v>
      </c>
      <c r="C68" s="1" t="n">
        <v>46196</v>
      </c>
      <c r="D68" t="inlineStr">
        <is>
          <t>UPPSALA LÄN</t>
        </is>
      </c>
      <c r="E68" t="inlineStr">
        <is>
          <t>UPPSALA</t>
        </is>
      </c>
      <c r="F68" t="inlineStr">
        <is>
          <t>Allmännings- och besparingsskogar</t>
        </is>
      </c>
      <c r="G68" t="n">
        <v>11.8</v>
      </c>
      <c r="H68" t="n">
        <v>2</v>
      </c>
      <c r="I68" t="n">
        <v>1</v>
      </c>
      <c r="J68" t="n">
        <v>3</v>
      </c>
      <c r="K68" t="n">
        <v>0</v>
      </c>
      <c r="L68" t="n">
        <v>0</v>
      </c>
      <c r="M68" t="n">
        <v>0</v>
      </c>
      <c r="N68" t="n">
        <v>0</v>
      </c>
      <c r="O68" t="n">
        <v>3</v>
      </c>
      <c r="P68" t="n">
        <v>0</v>
      </c>
      <c r="Q68" t="n">
        <v>5</v>
      </c>
      <c r="R68" s="2" t="inlineStr">
        <is>
          <t>Rynkskinn
Sparvuggla
Ullticka
Trådticka
Spillkråka</t>
        </is>
      </c>
      <c r="S68">
        <f>HYPERLINK("https://klasma.github.io/Logging_0380/artfynd/A 43056-2025 artfynd.xlsx", "A 43056-2025")</f>
        <v/>
      </c>
      <c r="T68">
        <f>HYPERLINK("https://klasma.github.io/Logging_0380/kartor/A 43056-2025 karta.png", "A 43056-2025")</f>
        <v/>
      </c>
      <c r="V68">
        <f>HYPERLINK("https://klasma.github.io/Logging_0380/klagomål/A 43056-2025 FSC-klagomål.docx", "A 43056-2025")</f>
        <v/>
      </c>
      <c r="W68">
        <f>HYPERLINK("https://klasma.github.io/Logging_0380/klagomålsmail/A 43056-2025 FSC-klagomål mail.docx", "A 43056-2025")</f>
        <v/>
      </c>
      <c r="X68">
        <f>HYPERLINK("https://klasma.github.io/Logging_0380/tillsyn/A 43056-2025 tillsynsbegäran.docx", "A 43056-2025")</f>
        <v/>
      </c>
      <c r="Y68">
        <f>HYPERLINK("https://klasma.github.io/Logging_0380/tillsynsmail/A 43056-2025 tillsynsbegäran mail.docx", "A 43056-2025")</f>
        <v/>
      </c>
      <c r="Z68">
        <f>HYPERLINK("https://klasma.github.io/Logging_0380/fåglar/A 43056-2025 prioriterade fågelarter.docx", "A 43056-2025")</f>
        <v/>
      </c>
    </row>
    <row r="69" ht="15" customHeight="1">
      <c r="A69" t="inlineStr">
        <is>
          <t>A 23899-2026</t>
        </is>
      </c>
      <c r="B69" s="1" t="n">
        <v>46167</v>
      </c>
      <c r="C69" s="1" t="n">
        <v>46196</v>
      </c>
      <c r="D69" t="inlineStr">
        <is>
          <t>UPPSALA LÄN</t>
        </is>
      </c>
      <c r="E69" t="inlineStr">
        <is>
          <t>UPPSALA</t>
        </is>
      </c>
      <c r="F69" t="inlineStr">
        <is>
          <t>Holmen skog AB</t>
        </is>
      </c>
      <c r="G69" t="n">
        <v>3.4</v>
      </c>
      <c r="H69" t="n">
        <v>2</v>
      </c>
      <c r="I69" t="n">
        <v>3</v>
      </c>
      <c r="J69" t="n">
        <v>1</v>
      </c>
      <c r="K69" t="n">
        <v>0</v>
      </c>
      <c r="L69" t="n">
        <v>0</v>
      </c>
      <c r="M69" t="n">
        <v>0</v>
      </c>
      <c r="N69" t="n">
        <v>0</v>
      </c>
      <c r="O69" t="n">
        <v>1</v>
      </c>
      <c r="P69" t="n">
        <v>0</v>
      </c>
      <c r="Q69" t="n">
        <v>5</v>
      </c>
      <c r="R69" s="2" t="inlineStr">
        <is>
          <t>Ullticka
Grön sköldmossa
Vanlig flatbagge
Vedticka
Vanlig padda</t>
        </is>
      </c>
      <c r="S69">
        <f>HYPERLINK("https://klasma.github.io/Logging_0380/artfynd/A 23899-2026 artfynd.xlsx", "A 23899-2026")</f>
        <v/>
      </c>
      <c r="T69">
        <f>HYPERLINK("https://klasma.github.io/Logging_0380/kartor/A 23899-2026 karta.png", "A 23899-2026")</f>
        <v/>
      </c>
      <c r="V69">
        <f>HYPERLINK("https://klasma.github.io/Logging_0380/klagomål/A 23899-2026 FSC-klagomål.docx", "A 23899-2026")</f>
        <v/>
      </c>
      <c r="W69">
        <f>HYPERLINK("https://klasma.github.io/Logging_0380/klagomålsmail/A 23899-2026 FSC-klagomål mail.docx", "A 23899-2026")</f>
        <v/>
      </c>
      <c r="X69">
        <f>HYPERLINK("https://klasma.github.io/Logging_0380/tillsyn/A 23899-2026 tillsynsbegäran.docx", "A 23899-2026")</f>
        <v/>
      </c>
      <c r="Y69">
        <f>HYPERLINK("https://klasma.github.io/Logging_0380/tillsynsmail/A 23899-2026 tillsynsbegäran mail.docx", "A 23899-2026")</f>
        <v/>
      </c>
    </row>
    <row r="70" ht="15" customHeight="1">
      <c r="A70" t="inlineStr">
        <is>
          <t>A 53851-2025</t>
        </is>
      </c>
      <c r="B70" s="1" t="n">
        <v>45961</v>
      </c>
      <c r="C70" s="1" t="n">
        <v>46196</v>
      </c>
      <c r="D70" t="inlineStr">
        <is>
          <t>UPPSALA LÄN</t>
        </is>
      </c>
      <c r="E70" t="inlineStr">
        <is>
          <t>UPPSALA</t>
        </is>
      </c>
      <c r="G70" t="n">
        <v>2.6</v>
      </c>
      <c r="H70" t="n">
        <v>3</v>
      </c>
      <c r="I70" t="n">
        <v>1</v>
      </c>
      <c r="J70" t="n">
        <v>1</v>
      </c>
      <c r="K70" t="n">
        <v>1</v>
      </c>
      <c r="L70" t="n">
        <v>0</v>
      </c>
      <c r="M70" t="n">
        <v>0</v>
      </c>
      <c r="N70" t="n">
        <v>0</v>
      </c>
      <c r="O70" t="n">
        <v>2</v>
      </c>
      <c r="P70" t="n">
        <v>1</v>
      </c>
      <c r="Q70" t="n">
        <v>5</v>
      </c>
      <c r="R70" s="2" t="inlineStr">
        <is>
          <t>Knärot
Vedtrappmossa
Jättesvampmal
Spillkråka
Revlummer</t>
        </is>
      </c>
      <c r="S70">
        <f>HYPERLINK("https://klasma.github.io/Logging_0380/artfynd/A 53851-2025 artfynd.xlsx", "A 53851-2025")</f>
        <v/>
      </c>
      <c r="T70">
        <f>HYPERLINK("https://klasma.github.io/Logging_0380/kartor/A 53851-2025 karta.png", "A 53851-2025")</f>
        <v/>
      </c>
      <c r="U70">
        <f>HYPERLINK("https://klasma.github.io/Logging_0380/knärot/A 53851-2025 karta knärot.png", "A 53851-2025")</f>
        <v/>
      </c>
      <c r="V70">
        <f>HYPERLINK("https://klasma.github.io/Logging_0380/klagomål/A 53851-2025 FSC-klagomål.docx", "A 53851-2025")</f>
        <v/>
      </c>
      <c r="W70">
        <f>HYPERLINK("https://klasma.github.io/Logging_0380/klagomålsmail/A 53851-2025 FSC-klagomål mail.docx", "A 53851-2025")</f>
        <v/>
      </c>
      <c r="X70">
        <f>HYPERLINK("https://klasma.github.io/Logging_0380/tillsyn/A 53851-2025 tillsynsbegäran.docx", "A 53851-2025")</f>
        <v/>
      </c>
      <c r="Y70">
        <f>HYPERLINK("https://klasma.github.io/Logging_0380/tillsynsmail/A 53851-2025 tillsynsbegäran mail.docx", "A 53851-2025")</f>
        <v/>
      </c>
      <c r="Z70">
        <f>HYPERLINK("https://klasma.github.io/Logging_0380/fåglar/A 53851-2025 prioriterade fågelarter.docx", "A 53851-2025")</f>
        <v/>
      </c>
    </row>
    <row r="71" ht="15" customHeight="1">
      <c r="A71" t="inlineStr">
        <is>
          <t>A 10612-2025</t>
        </is>
      </c>
      <c r="B71" s="1" t="n">
        <v>45721</v>
      </c>
      <c r="C71" s="1" t="n">
        <v>46196</v>
      </c>
      <c r="D71" t="inlineStr">
        <is>
          <t>UPPSALA LÄN</t>
        </is>
      </c>
      <c r="E71" t="inlineStr">
        <is>
          <t>UPPSALA</t>
        </is>
      </c>
      <c r="G71" t="n">
        <v>3.5</v>
      </c>
      <c r="H71" t="n">
        <v>5</v>
      </c>
      <c r="I71" t="n">
        <v>0</v>
      </c>
      <c r="J71" t="n">
        <v>3</v>
      </c>
      <c r="K71" t="n">
        <v>0</v>
      </c>
      <c r="L71" t="n">
        <v>0</v>
      </c>
      <c r="M71" t="n">
        <v>0</v>
      </c>
      <c r="N71" t="n">
        <v>0</v>
      </c>
      <c r="O71" t="n">
        <v>3</v>
      </c>
      <c r="P71" t="n">
        <v>0</v>
      </c>
      <c r="Q71" t="n">
        <v>5</v>
      </c>
      <c r="R71" s="2" t="inlineStr">
        <is>
          <t>Brunlångöra
Fransfladdermus
Nordfladdermus
Dvärgpipistrell
Större brunfladdermus</t>
        </is>
      </c>
      <c r="S71">
        <f>HYPERLINK("https://klasma.github.io/Logging_0380/artfynd/A 10612-2025 artfynd.xlsx", "A 10612-2025")</f>
        <v/>
      </c>
      <c r="T71">
        <f>HYPERLINK("https://klasma.github.io/Logging_0380/kartor/A 10612-2025 karta.png", "A 10612-2025")</f>
        <v/>
      </c>
      <c r="V71">
        <f>HYPERLINK("https://klasma.github.io/Logging_0380/klagomål/A 10612-2025 FSC-klagomål.docx", "A 10612-2025")</f>
        <v/>
      </c>
      <c r="W71">
        <f>HYPERLINK("https://klasma.github.io/Logging_0380/klagomålsmail/A 10612-2025 FSC-klagomål mail.docx", "A 10612-2025")</f>
        <v/>
      </c>
      <c r="X71">
        <f>HYPERLINK("https://klasma.github.io/Logging_0380/tillsyn/A 10612-2025 tillsynsbegäran.docx", "A 10612-2025")</f>
        <v/>
      </c>
      <c r="Y71">
        <f>HYPERLINK("https://klasma.github.io/Logging_0380/tillsynsmail/A 10612-2025 tillsynsbegäran mail.docx", "A 10612-2025")</f>
        <v/>
      </c>
    </row>
    <row r="72" ht="15" customHeight="1">
      <c r="A72" t="inlineStr">
        <is>
          <t>A 29803-2023</t>
        </is>
      </c>
      <c r="B72" s="1" t="n">
        <v>45107</v>
      </c>
      <c r="C72" s="1" t="n">
        <v>46196</v>
      </c>
      <c r="D72" t="inlineStr">
        <is>
          <t>UPPSALA LÄN</t>
        </is>
      </c>
      <c r="E72" t="inlineStr">
        <is>
          <t>UPPSALA</t>
        </is>
      </c>
      <c r="G72" t="n">
        <v>2.5</v>
      </c>
      <c r="H72" t="n">
        <v>0</v>
      </c>
      <c r="I72" t="n">
        <v>2</v>
      </c>
      <c r="J72" t="n">
        <v>3</v>
      </c>
      <c r="K72" t="n">
        <v>0</v>
      </c>
      <c r="L72" t="n">
        <v>0</v>
      </c>
      <c r="M72" t="n">
        <v>0</v>
      </c>
      <c r="N72" t="n">
        <v>0</v>
      </c>
      <c r="O72" t="n">
        <v>3</v>
      </c>
      <c r="P72" t="n">
        <v>0</v>
      </c>
      <c r="Q72" t="n">
        <v>5</v>
      </c>
      <c r="R72" s="2" t="inlineStr">
        <is>
          <t>Barrviolspindling
Fjällig taggsvamp s.str.
Flattoppad klubbsvamp
Blomkålssvamp
Svavelriska</t>
        </is>
      </c>
      <c r="S72">
        <f>HYPERLINK("https://klasma.github.io/Logging_0380/artfynd/A 29803-2023 artfynd.xlsx", "A 29803-2023")</f>
        <v/>
      </c>
      <c r="T72">
        <f>HYPERLINK("https://klasma.github.io/Logging_0380/kartor/A 29803-2023 karta.png", "A 29803-2023")</f>
        <v/>
      </c>
      <c r="V72">
        <f>HYPERLINK("https://klasma.github.io/Logging_0380/klagomål/A 29803-2023 FSC-klagomål.docx", "A 29803-2023")</f>
        <v/>
      </c>
      <c r="W72">
        <f>HYPERLINK("https://klasma.github.io/Logging_0380/klagomålsmail/A 29803-2023 FSC-klagomål mail.docx", "A 29803-2023")</f>
        <v/>
      </c>
      <c r="X72">
        <f>HYPERLINK("https://klasma.github.io/Logging_0380/tillsyn/A 29803-2023 tillsynsbegäran.docx", "A 29803-2023")</f>
        <v/>
      </c>
      <c r="Y72">
        <f>HYPERLINK("https://klasma.github.io/Logging_0380/tillsynsmail/A 29803-2023 tillsynsbegäran mail.docx", "A 29803-2023")</f>
        <v/>
      </c>
    </row>
    <row r="73" ht="15" customHeight="1">
      <c r="A73" t="inlineStr">
        <is>
          <t>A 8475-2022</t>
        </is>
      </c>
      <c r="B73" s="1" t="n">
        <v>44610</v>
      </c>
      <c r="C73" s="1" t="n">
        <v>46196</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46196</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46196</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46196</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46196</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42581-2025</t>
        </is>
      </c>
      <c r="B78" s="1" t="n">
        <v>45905</v>
      </c>
      <c r="C78" s="1" t="n">
        <v>46196</v>
      </c>
      <c r="D78" t="inlineStr">
        <is>
          <t>UPPSALA LÄN</t>
        </is>
      </c>
      <c r="E78" t="inlineStr">
        <is>
          <t>UPPSALA</t>
        </is>
      </c>
      <c r="F78" t="inlineStr">
        <is>
          <t>Kyrkan</t>
        </is>
      </c>
      <c r="G78" t="n">
        <v>2.3</v>
      </c>
      <c r="H78" t="n">
        <v>0</v>
      </c>
      <c r="I78" t="n">
        <v>2</v>
      </c>
      <c r="J78" t="n">
        <v>2</v>
      </c>
      <c r="K78" t="n">
        <v>0</v>
      </c>
      <c r="L78" t="n">
        <v>0</v>
      </c>
      <c r="M78" t="n">
        <v>0</v>
      </c>
      <c r="N78" t="n">
        <v>0</v>
      </c>
      <c r="O78" t="n">
        <v>2</v>
      </c>
      <c r="P78" t="n">
        <v>0</v>
      </c>
      <c r="Q78" t="n">
        <v>4</v>
      </c>
      <c r="R78" s="2" t="inlineStr">
        <is>
          <t>Dropptaggsvamp
Fjällig taggsvamp s.str.
Svavelriska
Trådticka</t>
        </is>
      </c>
      <c r="S78">
        <f>HYPERLINK("https://klasma.github.io/Logging_0380/artfynd/A 42581-2025 artfynd.xlsx", "A 42581-2025")</f>
        <v/>
      </c>
      <c r="T78">
        <f>HYPERLINK("https://klasma.github.io/Logging_0380/kartor/A 42581-2025 karta.png", "A 42581-2025")</f>
        <v/>
      </c>
      <c r="V78">
        <f>HYPERLINK("https://klasma.github.io/Logging_0380/klagomål/A 42581-2025 FSC-klagomål.docx", "A 42581-2025")</f>
        <v/>
      </c>
      <c r="W78">
        <f>HYPERLINK("https://klasma.github.io/Logging_0380/klagomålsmail/A 42581-2025 FSC-klagomål mail.docx", "A 42581-2025")</f>
        <v/>
      </c>
      <c r="X78">
        <f>HYPERLINK("https://klasma.github.io/Logging_0380/tillsyn/A 42581-2025 tillsynsbegäran.docx", "A 42581-2025")</f>
        <v/>
      </c>
      <c r="Y78">
        <f>HYPERLINK("https://klasma.github.io/Logging_0380/tillsynsmail/A 42581-2025 tillsynsbegäran mail.docx", "A 42581-2025")</f>
        <v/>
      </c>
    </row>
    <row r="79" ht="15" customHeight="1">
      <c r="A79" t="inlineStr">
        <is>
          <t>A 42583-2025</t>
        </is>
      </c>
      <c r="B79" s="1" t="n">
        <v>45905</v>
      </c>
      <c r="C79" s="1" t="n">
        <v>46196</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42583-2025 artfynd.xlsx", "A 42583-2025")</f>
        <v/>
      </c>
      <c r="T79">
        <f>HYPERLINK("https://klasma.github.io/Logging_0380/kartor/A 42583-2025 karta.png", "A 42583-2025")</f>
        <v/>
      </c>
      <c r="V79">
        <f>HYPERLINK("https://klasma.github.io/Logging_0380/klagomål/A 42583-2025 FSC-klagomål.docx", "A 42583-2025")</f>
        <v/>
      </c>
      <c r="W79">
        <f>HYPERLINK("https://klasma.github.io/Logging_0380/klagomålsmail/A 42583-2025 FSC-klagomål mail.docx", "A 42583-2025")</f>
        <v/>
      </c>
      <c r="X79">
        <f>HYPERLINK("https://klasma.github.io/Logging_0380/tillsyn/A 42583-2025 tillsynsbegäran.docx", "A 42583-2025")</f>
        <v/>
      </c>
      <c r="Y79">
        <f>HYPERLINK("https://klasma.github.io/Logging_0380/tillsynsmail/A 42583-2025 tillsynsbegäran mail.docx", "A 42583-2025")</f>
        <v/>
      </c>
    </row>
    <row r="80" ht="15" customHeight="1">
      <c r="A80" t="inlineStr">
        <is>
          <t>A 61374-2025</t>
        </is>
      </c>
      <c r="B80" s="1" t="n">
        <v>46001</v>
      </c>
      <c r="C80" s="1" t="n">
        <v>46196</v>
      </c>
      <c r="D80" t="inlineStr">
        <is>
          <t>UPPSALA LÄN</t>
        </is>
      </c>
      <c r="E80" t="inlineStr">
        <is>
          <t>UPPSALA</t>
        </is>
      </c>
      <c r="F80" t="inlineStr">
        <is>
          <t>Holmen skog AB</t>
        </is>
      </c>
      <c r="G80" t="n">
        <v>6.2</v>
      </c>
      <c r="H80" t="n">
        <v>0</v>
      </c>
      <c r="I80" t="n">
        <v>1</v>
      </c>
      <c r="J80" t="n">
        <v>1</v>
      </c>
      <c r="K80" t="n">
        <v>1</v>
      </c>
      <c r="L80" t="n">
        <v>1</v>
      </c>
      <c r="M80" t="n">
        <v>0</v>
      </c>
      <c r="N80" t="n">
        <v>0</v>
      </c>
      <c r="O80" t="n">
        <v>3</v>
      </c>
      <c r="P80" t="n">
        <v>2</v>
      </c>
      <c r="Q80" t="n">
        <v>4</v>
      </c>
      <c r="R80" s="2" t="inlineStr">
        <is>
          <t>Ask
Gulvit blekspik
Lunglav
Tibast</t>
        </is>
      </c>
      <c r="S80">
        <f>HYPERLINK("https://klasma.github.io/Logging_0380/artfynd/A 61374-2025 artfynd.xlsx", "A 61374-2025")</f>
        <v/>
      </c>
      <c r="T80">
        <f>HYPERLINK("https://klasma.github.io/Logging_0380/kartor/A 61374-2025 karta.png", "A 61374-2025")</f>
        <v/>
      </c>
      <c r="V80">
        <f>HYPERLINK("https://klasma.github.io/Logging_0380/klagomål/A 61374-2025 FSC-klagomål.docx", "A 61374-2025")</f>
        <v/>
      </c>
      <c r="W80">
        <f>HYPERLINK("https://klasma.github.io/Logging_0380/klagomålsmail/A 61374-2025 FSC-klagomål mail.docx", "A 61374-2025")</f>
        <v/>
      </c>
      <c r="X80">
        <f>HYPERLINK("https://klasma.github.io/Logging_0380/tillsyn/A 61374-2025 tillsynsbegäran.docx", "A 61374-2025")</f>
        <v/>
      </c>
      <c r="Y80">
        <f>HYPERLINK("https://klasma.github.io/Logging_0380/tillsynsmail/A 61374-2025 tillsynsbegäran mail.docx", "A 61374-2025")</f>
        <v/>
      </c>
    </row>
    <row r="81" ht="15" customHeight="1">
      <c r="A81" t="inlineStr">
        <is>
          <t>A 11409-2025</t>
        </is>
      </c>
      <c r="B81" s="1" t="n">
        <v>45726</v>
      </c>
      <c r="C81" s="1" t="n">
        <v>46196</v>
      </c>
      <c r="D81" t="inlineStr">
        <is>
          <t>UPPSALA LÄN</t>
        </is>
      </c>
      <c r="E81" t="inlineStr">
        <is>
          <t>UPPSALA</t>
        </is>
      </c>
      <c r="G81" t="n">
        <v>0.3</v>
      </c>
      <c r="H81" t="n">
        <v>0</v>
      </c>
      <c r="I81" t="n">
        <v>0</v>
      </c>
      <c r="J81" t="n">
        <v>3</v>
      </c>
      <c r="K81" t="n">
        <v>1</v>
      </c>
      <c r="L81" t="n">
        <v>0</v>
      </c>
      <c r="M81" t="n">
        <v>0</v>
      </c>
      <c r="N81" t="n">
        <v>0</v>
      </c>
      <c r="O81" t="n">
        <v>4</v>
      </c>
      <c r="P81" t="n">
        <v>1</v>
      </c>
      <c r="Q81" t="n">
        <v>4</v>
      </c>
      <c r="R81" s="2" t="inlineStr">
        <is>
          <t>Gulvit blekspik
Rynkskinn
Svartöra
Tagglergeting</t>
        </is>
      </c>
      <c r="S81">
        <f>HYPERLINK("https://klasma.github.io/Logging_0380/artfynd/A 11409-2025 artfynd.xlsx", "A 11409-2025")</f>
        <v/>
      </c>
      <c r="T81">
        <f>HYPERLINK("https://klasma.github.io/Logging_0380/kartor/A 11409-2025 karta.png", "A 11409-2025")</f>
        <v/>
      </c>
      <c r="V81">
        <f>HYPERLINK("https://klasma.github.io/Logging_0380/klagomål/A 11409-2025 FSC-klagomål.docx", "A 11409-2025")</f>
        <v/>
      </c>
      <c r="W81">
        <f>HYPERLINK("https://klasma.github.io/Logging_0380/klagomålsmail/A 11409-2025 FSC-klagomål mail.docx", "A 11409-2025")</f>
        <v/>
      </c>
      <c r="X81">
        <f>HYPERLINK("https://klasma.github.io/Logging_0380/tillsyn/A 11409-2025 tillsynsbegäran.docx", "A 11409-2025")</f>
        <v/>
      </c>
      <c r="Y81">
        <f>HYPERLINK("https://klasma.github.io/Logging_0380/tillsynsmail/A 11409-2025 tillsynsbegäran mail.docx", "A 11409-2025")</f>
        <v/>
      </c>
    </row>
    <row r="82" ht="15" customHeight="1">
      <c r="A82" t="inlineStr">
        <is>
          <t>A 49015-2022</t>
        </is>
      </c>
      <c r="B82" s="1" t="n">
        <v>44855</v>
      </c>
      <c r="C82" s="1" t="n">
        <v>46196</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60038-2021</t>
        </is>
      </c>
      <c r="B83" s="1" t="n">
        <v>44495</v>
      </c>
      <c r="C83" s="1" t="n">
        <v>46196</v>
      </c>
      <c r="D83" t="inlineStr">
        <is>
          <t>UPPSALA LÄN</t>
        </is>
      </c>
      <c r="E83" t="inlineStr">
        <is>
          <t>UPPSALA</t>
        </is>
      </c>
      <c r="G83" t="n">
        <v>1.2</v>
      </c>
      <c r="H83" t="n">
        <v>1</v>
      </c>
      <c r="I83" t="n">
        <v>1</v>
      </c>
      <c r="J83" t="n">
        <v>2</v>
      </c>
      <c r="K83" t="n">
        <v>0</v>
      </c>
      <c r="L83" t="n">
        <v>0</v>
      </c>
      <c r="M83" t="n">
        <v>0</v>
      </c>
      <c r="N83" t="n">
        <v>0</v>
      </c>
      <c r="O83" t="n">
        <v>2</v>
      </c>
      <c r="P83" t="n">
        <v>0</v>
      </c>
      <c r="Q83" t="n">
        <v>4</v>
      </c>
      <c r="R83" s="2" t="inlineStr">
        <is>
          <t>Rynkskinn
Ullticka
Fällmossa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58546-2025</t>
        </is>
      </c>
      <c r="B84" s="1" t="n">
        <v>45985</v>
      </c>
      <c r="C84" s="1" t="n">
        <v>46196</v>
      </c>
      <c r="D84" t="inlineStr">
        <is>
          <t>UPPSALA LÄN</t>
        </is>
      </c>
      <c r="E84" t="inlineStr">
        <is>
          <t>UPPSALA</t>
        </is>
      </c>
      <c r="G84" t="n">
        <v>0.6</v>
      </c>
      <c r="H84" t="n">
        <v>2</v>
      </c>
      <c r="I84" t="n">
        <v>1</v>
      </c>
      <c r="J84" t="n">
        <v>1</v>
      </c>
      <c r="K84" t="n">
        <v>1</v>
      </c>
      <c r="L84" t="n">
        <v>0</v>
      </c>
      <c r="M84" t="n">
        <v>0</v>
      </c>
      <c r="N84" t="n">
        <v>0</v>
      </c>
      <c r="O84" t="n">
        <v>2</v>
      </c>
      <c r="P84" t="n">
        <v>1</v>
      </c>
      <c r="Q84" t="n">
        <v>4</v>
      </c>
      <c r="R84" s="2" t="inlineStr">
        <is>
          <t>Knärot
Vedtrappmossa
Rödgul trumpetsvamp
Revlummer</t>
        </is>
      </c>
      <c r="S84">
        <f>HYPERLINK("https://klasma.github.io/Logging_0380/artfynd/A 58546-2025 artfynd.xlsx", "A 58546-2025")</f>
        <v/>
      </c>
      <c r="T84">
        <f>HYPERLINK("https://klasma.github.io/Logging_0380/kartor/A 58546-2025 karta.png", "A 58546-2025")</f>
        <v/>
      </c>
      <c r="U84">
        <f>HYPERLINK("https://klasma.github.io/Logging_0380/knärot/A 58546-2025 karta knärot.png", "A 58546-2025")</f>
        <v/>
      </c>
      <c r="V84">
        <f>HYPERLINK("https://klasma.github.io/Logging_0380/klagomål/A 58546-2025 FSC-klagomål.docx", "A 58546-2025")</f>
        <v/>
      </c>
      <c r="W84">
        <f>HYPERLINK("https://klasma.github.io/Logging_0380/klagomålsmail/A 58546-2025 FSC-klagomål mail.docx", "A 58546-2025")</f>
        <v/>
      </c>
      <c r="X84">
        <f>HYPERLINK("https://klasma.github.io/Logging_0380/tillsyn/A 58546-2025 tillsynsbegäran.docx", "A 58546-2025")</f>
        <v/>
      </c>
      <c r="Y84">
        <f>HYPERLINK("https://klasma.github.io/Logging_0380/tillsynsmail/A 58546-2025 tillsynsbegäran mail.docx", "A 58546-2025")</f>
        <v/>
      </c>
    </row>
    <row r="85" ht="15" customHeight="1">
      <c r="A85" t="inlineStr">
        <is>
          <t>A 62004-2025</t>
        </is>
      </c>
      <c r="B85" s="1" t="n">
        <v>46003</v>
      </c>
      <c r="C85" s="1" t="n">
        <v>46196</v>
      </c>
      <c r="D85" t="inlineStr">
        <is>
          <t>UPPSALA LÄN</t>
        </is>
      </c>
      <c r="E85" t="inlineStr">
        <is>
          <t>UPPSALA</t>
        </is>
      </c>
      <c r="G85" t="n">
        <v>7.2</v>
      </c>
      <c r="H85" t="n">
        <v>3</v>
      </c>
      <c r="I85" t="n">
        <v>0</v>
      </c>
      <c r="J85" t="n">
        <v>1</v>
      </c>
      <c r="K85" t="n">
        <v>1</v>
      </c>
      <c r="L85" t="n">
        <v>0</v>
      </c>
      <c r="M85" t="n">
        <v>0</v>
      </c>
      <c r="N85" t="n">
        <v>0</v>
      </c>
      <c r="O85" t="n">
        <v>2</v>
      </c>
      <c r="P85" t="n">
        <v>1</v>
      </c>
      <c r="Q85" t="n">
        <v>4</v>
      </c>
      <c r="R85" s="2" t="inlineStr">
        <is>
          <t>Knärot
Vedtrappmossa
Spillkråka
Revlummer</t>
        </is>
      </c>
      <c r="S85">
        <f>HYPERLINK("https://klasma.github.io/Logging_0380/artfynd/A 62004-2025 artfynd.xlsx", "A 62004-2025")</f>
        <v/>
      </c>
      <c r="T85">
        <f>HYPERLINK("https://klasma.github.io/Logging_0380/kartor/A 62004-2025 karta.png", "A 62004-2025")</f>
        <v/>
      </c>
      <c r="U85">
        <f>HYPERLINK("https://klasma.github.io/Logging_0380/knärot/A 62004-2025 karta knärot.png", "A 62004-2025")</f>
        <v/>
      </c>
      <c r="V85">
        <f>HYPERLINK("https://klasma.github.io/Logging_0380/klagomål/A 62004-2025 FSC-klagomål.docx", "A 62004-2025")</f>
        <v/>
      </c>
      <c r="W85">
        <f>HYPERLINK("https://klasma.github.io/Logging_0380/klagomålsmail/A 62004-2025 FSC-klagomål mail.docx", "A 62004-2025")</f>
        <v/>
      </c>
      <c r="X85">
        <f>HYPERLINK("https://klasma.github.io/Logging_0380/tillsyn/A 62004-2025 tillsynsbegäran.docx", "A 62004-2025")</f>
        <v/>
      </c>
      <c r="Y85">
        <f>HYPERLINK("https://klasma.github.io/Logging_0380/tillsynsmail/A 62004-2025 tillsynsbegäran mail.docx", "A 62004-2025")</f>
        <v/>
      </c>
      <c r="Z85">
        <f>HYPERLINK("https://klasma.github.io/Logging_0380/fåglar/A 62004-2025 prioriterade fågelarter.docx", "A 62004-2025")</f>
        <v/>
      </c>
    </row>
    <row r="86" ht="15" customHeight="1">
      <c r="A86" t="inlineStr">
        <is>
          <t>A 2524-2026</t>
        </is>
      </c>
      <c r="B86" s="1" t="n">
        <v>46037</v>
      </c>
      <c r="C86" s="1" t="n">
        <v>46196</v>
      </c>
      <c r="D86" t="inlineStr">
        <is>
          <t>UPPSALA LÄN</t>
        </is>
      </c>
      <c r="E86" t="inlineStr">
        <is>
          <t>UPPSALA</t>
        </is>
      </c>
      <c r="F86" t="inlineStr">
        <is>
          <t>Allmännings- och besparingsskogar</t>
        </is>
      </c>
      <c r="G86" t="n">
        <v>13.4</v>
      </c>
      <c r="H86" t="n">
        <v>2</v>
      </c>
      <c r="I86" t="n">
        <v>1</v>
      </c>
      <c r="J86" t="n">
        <v>1</v>
      </c>
      <c r="K86" t="n">
        <v>0</v>
      </c>
      <c r="L86" t="n">
        <v>0</v>
      </c>
      <c r="M86" t="n">
        <v>0</v>
      </c>
      <c r="N86" t="n">
        <v>0</v>
      </c>
      <c r="O86" t="n">
        <v>1</v>
      </c>
      <c r="P86" t="n">
        <v>0</v>
      </c>
      <c r="Q86" t="n">
        <v>4</v>
      </c>
      <c r="R86" s="2" t="inlineStr">
        <is>
          <t>Vågticka
Blodticka
Spillkråka
Tjäder</t>
        </is>
      </c>
      <c r="S86">
        <f>HYPERLINK("https://klasma.github.io/Logging_0380/artfynd/A 2524-2026 artfynd.xlsx", "A 2524-2026")</f>
        <v/>
      </c>
      <c r="T86">
        <f>HYPERLINK("https://klasma.github.io/Logging_0380/kartor/A 2524-2026 karta.png", "A 2524-2026")</f>
        <v/>
      </c>
      <c r="V86">
        <f>HYPERLINK("https://klasma.github.io/Logging_0380/klagomål/A 2524-2026 FSC-klagomål.docx", "A 2524-2026")</f>
        <v/>
      </c>
      <c r="W86">
        <f>HYPERLINK("https://klasma.github.io/Logging_0380/klagomålsmail/A 2524-2026 FSC-klagomål mail.docx", "A 2524-2026")</f>
        <v/>
      </c>
      <c r="X86">
        <f>HYPERLINK("https://klasma.github.io/Logging_0380/tillsyn/A 2524-2026 tillsynsbegäran.docx", "A 2524-2026")</f>
        <v/>
      </c>
      <c r="Y86">
        <f>HYPERLINK("https://klasma.github.io/Logging_0380/tillsynsmail/A 2524-2026 tillsynsbegäran mail.docx", "A 2524-2026")</f>
        <v/>
      </c>
      <c r="Z86">
        <f>HYPERLINK("https://klasma.github.io/Logging_0380/fåglar/A 2524-2026 prioriterade fågelarter.docx", "A 2524-2026")</f>
        <v/>
      </c>
    </row>
    <row r="87" ht="15" customHeight="1">
      <c r="A87" t="inlineStr">
        <is>
          <t>A 39741-2023</t>
        </is>
      </c>
      <c r="B87" s="1" t="n">
        <v>45167</v>
      </c>
      <c r="C87" s="1" t="n">
        <v>46196</v>
      </c>
      <c r="D87" t="inlineStr">
        <is>
          <t>UPPSALA LÄN</t>
        </is>
      </c>
      <c r="E87" t="inlineStr">
        <is>
          <t>UPPSALA</t>
        </is>
      </c>
      <c r="G87" t="n">
        <v>5.6</v>
      </c>
      <c r="H87" t="n">
        <v>4</v>
      </c>
      <c r="I87" t="n">
        <v>0</v>
      </c>
      <c r="J87" t="n">
        <v>2</v>
      </c>
      <c r="K87" t="n">
        <v>0</v>
      </c>
      <c r="L87" t="n">
        <v>0</v>
      </c>
      <c r="M87" t="n">
        <v>0</v>
      </c>
      <c r="N87" t="n">
        <v>0</v>
      </c>
      <c r="O87" t="n">
        <v>2</v>
      </c>
      <c r="P87" t="n">
        <v>0</v>
      </c>
      <c r="Q87" t="n">
        <v>4</v>
      </c>
      <c r="R87" s="2" t="inlineStr">
        <is>
          <t>Entita
Järnsparv
Bergfink
Grönsiska</t>
        </is>
      </c>
      <c r="S87">
        <f>HYPERLINK("https://klasma.github.io/Logging_0380/artfynd/A 39741-2023 artfynd.xlsx", "A 39741-2023")</f>
        <v/>
      </c>
      <c r="T87">
        <f>HYPERLINK("https://klasma.github.io/Logging_0380/kartor/A 39741-2023 karta.png", "A 39741-2023")</f>
        <v/>
      </c>
      <c r="V87">
        <f>HYPERLINK("https://klasma.github.io/Logging_0380/klagomål/A 39741-2023 FSC-klagomål.docx", "A 39741-2023")</f>
        <v/>
      </c>
      <c r="W87">
        <f>HYPERLINK("https://klasma.github.io/Logging_0380/klagomålsmail/A 39741-2023 FSC-klagomål mail.docx", "A 39741-2023")</f>
        <v/>
      </c>
      <c r="X87">
        <f>HYPERLINK("https://klasma.github.io/Logging_0380/tillsyn/A 39741-2023 tillsynsbegäran.docx", "A 39741-2023")</f>
        <v/>
      </c>
      <c r="Y87">
        <f>HYPERLINK("https://klasma.github.io/Logging_0380/tillsynsmail/A 39741-2023 tillsynsbegäran mail.docx", "A 39741-2023")</f>
        <v/>
      </c>
      <c r="Z87">
        <f>HYPERLINK("https://klasma.github.io/Logging_0380/fåglar/A 39741-2023 prioriterade fågelarter.docx", "A 39741-2023")</f>
        <v/>
      </c>
    </row>
    <row r="88" ht="15" customHeight="1">
      <c r="A88" t="inlineStr">
        <is>
          <t>A 11217-2024</t>
        </is>
      </c>
      <c r="B88" s="1" t="n">
        <v>45371</v>
      </c>
      <c r="C88" s="1" t="n">
        <v>46196</v>
      </c>
      <c r="D88" t="inlineStr">
        <is>
          <t>UPPSALA LÄN</t>
        </is>
      </c>
      <c r="E88" t="inlineStr">
        <is>
          <t>UPPSALA</t>
        </is>
      </c>
      <c r="F88" t="inlineStr">
        <is>
          <t>Kommuner</t>
        </is>
      </c>
      <c r="G88" t="n">
        <v>1.5</v>
      </c>
      <c r="H88" t="n">
        <v>1</v>
      </c>
      <c r="I88" t="n">
        <v>4</v>
      </c>
      <c r="J88" t="n">
        <v>0</v>
      </c>
      <c r="K88" t="n">
        <v>0</v>
      </c>
      <c r="L88" t="n">
        <v>0</v>
      </c>
      <c r="M88" t="n">
        <v>0</v>
      </c>
      <c r="N88" t="n">
        <v>0</v>
      </c>
      <c r="O88" t="n">
        <v>0</v>
      </c>
      <c r="P88" t="n">
        <v>0</v>
      </c>
      <c r="Q88" t="n">
        <v>4</v>
      </c>
      <c r="R88" s="2" t="inlineStr">
        <is>
          <t>Fällmossa
Grön sköldmossa
Lönnlav
Stor aspticka</t>
        </is>
      </c>
      <c r="S88">
        <f>HYPERLINK("https://klasma.github.io/Logging_0380/artfynd/A 11217-2024 artfynd.xlsx", "A 11217-2024")</f>
        <v/>
      </c>
      <c r="T88">
        <f>HYPERLINK("https://klasma.github.io/Logging_0380/kartor/A 11217-2024 karta.png", "A 11217-2024")</f>
        <v/>
      </c>
      <c r="V88">
        <f>HYPERLINK("https://klasma.github.io/Logging_0380/klagomål/A 11217-2024 FSC-klagomål.docx", "A 11217-2024")</f>
        <v/>
      </c>
      <c r="W88">
        <f>HYPERLINK("https://klasma.github.io/Logging_0380/klagomålsmail/A 11217-2024 FSC-klagomål mail.docx", "A 11217-2024")</f>
        <v/>
      </c>
      <c r="X88">
        <f>HYPERLINK("https://klasma.github.io/Logging_0380/tillsyn/A 11217-2024 tillsynsbegäran.docx", "A 11217-2024")</f>
        <v/>
      </c>
      <c r="Y88">
        <f>HYPERLINK("https://klasma.github.io/Logging_0380/tillsynsmail/A 11217-2024 tillsynsbegäran mail.docx", "A 11217-2024")</f>
        <v/>
      </c>
    </row>
    <row r="89" ht="15" customHeight="1">
      <c r="A89" t="inlineStr">
        <is>
          <t>A 25943-2023</t>
        </is>
      </c>
      <c r="B89" s="1" t="n">
        <v>45090</v>
      </c>
      <c r="C89" s="1" t="n">
        <v>46196</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4657-2025</t>
        </is>
      </c>
      <c r="B90" s="1" t="n">
        <v>45687</v>
      </c>
      <c r="C90" s="1" t="n">
        <v>46196</v>
      </c>
      <c r="D90" t="inlineStr">
        <is>
          <t>UPPSALA LÄN</t>
        </is>
      </c>
      <c r="E90" t="inlineStr">
        <is>
          <t>UPPSALA</t>
        </is>
      </c>
      <c r="G90" t="n">
        <v>2.9</v>
      </c>
      <c r="H90" t="n">
        <v>2</v>
      </c>
      <c r="I90" t="n">
        <v>0</v>
      </c>
      <c r="J90" t="n">
        <v>2</v>
      </c>
      <c r="K90" t="n">
        <v>0</v>
      </c>
      <c r="L90" t="n">
        <v>0</v>
      </c>
      <c r="M90" t="n">
        <v>0</v>
      </c>
      <c r="N90" t="n">
        <v>0</v>
      </c>
      <c r="O90" t="n">
        <v>2</v>
      </c>
      <c r="P90" t="n">
        <v>0</v>
      </c>
      <c r="Q90" t="n">
        <v>3</v>
      </c>
      <c r="R90" s="2" t="inlineStr">
        <is>
          <t>Grönsångare
Tallticka
Kungsfågel</t>
        </is>
      </c>
      <c r="S90">
        <f>HYPERLINK("https://klasma.github.io/Logging_0380/artfynd/A 4657-2025 artfynd.xlsx", "A 4657-2025")</f>
        <v/>
      </c>
      <c r="T90">
        <f>HYPERLINK("https://klasma.github.io/Logging_0380/kartor/A 4657-2025 karta.png", "A 4657-2025")</f>
        <v/>
      </c>
      <c r="V90">
        <f>HYPERLINK("https://klasma.github.io/Logging_0380/klagomål/A 4657-2025 FSC-klagomål.docx", "A 4657-2025")</f>
        <v/>
      </c>
      <c r="W90">
        <f>HYPERLINK("https://klasma.github.io/Logging_0380/klagomålsmail/A 4657-2025 FSC-klagomål mail.docx", "A 4657-2025")</f>
        <v/>
      </c>
      <c r="X90">
        <f>HYPERLINK("https://klasma.github.io/Logging_0380/tillsyn/A 4657-2025 tillsynsbegäran.docx", "A 4657-2025")</f>
        <v/>
      </c>
      <c r="Y90">
        <f>HYPERLINK("https://klasma.github.io/Logging_0380/tillsynsmail/A 4657-2025 tillsynsbegäran mail.docx", "A 4657-2025")</f>
        <v/>
      </c>
      <c r="Z90">
        <f>HYPERLINK("https://klasma.github.io/Logging_0380/fåglar/A 4657-2025 prioriterade fågelarter.docx", "A 4657-2025")</f>
        <v/>
      </c>
    </row>
    <row r="91" ht="15" customHeight="1">
      <c r="A91" t="inlineStr">
        <is>
          <t>A 25660-2025</t>
        </is>
      </c>
      <c r="B91" s="1" t="n">
        <v>45803</v>
      </c>
      <c r="C91" s="1" t="n">
        <v>46196</v>
      </c>
      <c r="D91" t="inlineStr">
        <is>
          <t>UPPSALA LÄN</t>
        </is>
      </c>
      <c r="E91" t="inlineStr">
        <is>
          <t>UPPSALA</t>
        </is>
      </c>
      <c r="F91" t="inlineStr">
        <is>
          <t>Holmen skog AB</t>
        </is>
      </c>
      <c r="G91" t="n">
        <v>4.8</v>
      </c>
      <c r="H91" t="n">
        <v>1</v>
      </c>
      <c r="I91" t="n">
        <v>2</v>
      </c>
      <c r="J91" t="n">
        <v>0</v>
      </c>
      <c r="K91" t="n">
        <v>0</v>
      </c>
      <c r="L91" t="n">
        <v>0</v>
      </c>
      <c r="M91" t="n">
        <v>0</v>
      </c>
      <c r="N91" t="n">
        <v>0</v>
      </c>
      <c r="O91" t="n">
        <v>0</v>
      </c>
      <c r="P91" t="n">
        <v>0</v>
      </c>
      <c r="Q91" t="n">
        <v>3</v>
      </c>
      <c r="R91" s="2" t="inlineStr">
        <is>
          <t>Mindre märgborre
Skogshakmossa
Blåsippa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43280-2025</t>
        </is>
      </c>
      <c r="B92" s="1" t="n">
        <v>45910</v>
      </c>
      <c r="C92" s="1" t="n">
        <v>46196</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46196</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3304-2025</t>
        </is>
      </c>
      <c r="B94" s="1" t="n">
        <v>45679</v>
      </c>
      <c r="C94" s="1" t="n">
        <v>46196</v>
      </c>
      <c r="D94" t="inlineStr">
        <is>
          <t>UPPSALA LÄN</t>
        </is>
      </c>
      <c r="E94" t="inlineStr">
        <is>
          <t>UPPSALA</t>
        </is>
      </c>
      <c r="F94" t="inlineStr">
        <is>
          <t>Övriga statliga verk och myndigheter</t>
        </is>
      </c>
      <c r="G94" t="n">
        <v>3.8</v>
      </c>
      <c r="H94" t="n">
        <v>3</v>
      </c>
      <c r="I94" t="n">
        <v>0</v>
      </c>
      <c r="J94" t="n">
        <v>1</v>
      </c>
      <c r="K94" t="n">
        <v>0</v>
      </c>
      <c r="L94" t="n">
        <v>0</v>
      </c>
      <c r="M94" t="n">
        <v>0</v>
      </c>
      <c r="N94" t="n">
        <v>0</v>
      </c>
      <c r="O94" t="n">
        <v>1</v>
      </c>
      <c r="P94" t="n">
        <v>0</v>
      </c>
      <c r="Q94" t="n">
        <v>3</v>
      </c>
      <c r="R94" s="2" t="inlineStr">
        <is>
          <t>Nordfladdermus
Blåsippa
Dvärgpipistrell</t>
        </is>
      </c>
      <c r="S94">
        <f>HYPERLINK("https://klasma.github.io/Logging_0380/artfynd/A 3304-2025 artfynd.xlsx", "A 3304-2025")</f>
        <v/>
      </c>
      <c r="T94">
        <f>HYPERLINK("https://klasma.github.io/Logging_0380/kartor/A 3304-2025 karta.png", "A 3304-2025")</f>
        <v/>
      </c>
      <c r="V94">
        <f>HYPERLINK("https://klasma.github.io/Logging_0380/klagomål/A 3304-2025 FSC-klagomål.docx", "A 3304-2025")</f>
        <v/>
      </c>
      <c r="W94">
        <f>HYPERLINK("https://klasma.github.io/Logging_0380/klagomålsmail/A 3304-2025 FSC-klagomål mail.docx", "A 3304-2025")</f>
        <v/>
      </c>
      <c r="X94">
        <f>HYPERLINK("https://klasma.github.io/Logging_0380/tillsyn/A 3304-2025 tillsynsbegäran.docx", "A 3304-2025")</f>
        <v/>
      </c>
      <c r="Y94">
        <f>HYPERLINK("https://klasma.github.io/Logging_0380/tillsynsmail/A 3304-2025 tillsynsbegäran mail.docx", "A 3304-2025")</f>
        <v/>
      </c>
    </row>
    <row r="95" ht="15" customHeight="1">
      <c r="A95" t="inlineStr">
        <is>
          <t>A 58906-2021</t>
        </is>
      </c>
      <c r="B95" s="1" t="n">
        <v>44489</v>
      </c>
      <c r="C95" s="1" t="n">
        <v>46196</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13085-2026</t>
        </is>
      </c>
      <c r="B96" s="1" t="n">
        <v>46093</v>
      </c>
      <c r="C96" s="1" t="n">
        <v>46196</v>
      </c>
      <c r="D96" t="inlineStr">
        <is>
          <t>UPPSALA LÄN</t>
        </is>
      </c>
      <c r="E96" t="inlineStr">
        <is>
          <t>UPPSALA</t>
        </is>
      </c>
      <c r="G96" t="n">
        <v>2.2</v>
      </c>
      <c r="H96" t="n">
        <v>1</v>
      </c>
      <c r="I96" t="n">
        <v>1</v>
      </c>
      <c r="J96" t="n">
        <v>1</v>
      </c>
      <c r="K96" t="n">
        <v>0</v>
      </c>
      <c r="L96" t="n">
        <v>0</v>
      </c>
      <c r="M96" t="n">
        <v>0</v>
      </c>
      <c r="N96" t="n">
        <v>0</v>
      </c>
      <c r="O96" t="n">
        <v>1</v>
      </c>
      <c r="P96" t="n">
        <v>0</v>
      </c>
      <c r="Q96" t="n">
        <v>3</v>
      </c>
      <c r="R96" s="2" t="inlineStr">
        <is>
          <t>Vårärt
Svart trolldruva
Blåsippa</t>
        </is>
      </c>
      <c r="S96">
        <f>HYPERLINK("https://klasma.github.io/Logging_0380/artfynd/A 13085-2026 artfynd.xlsx", "A 13085-2026")</f>
        <v/>
      </c>
      <c r="T96">
        <f>HYPERLINK("https://klasma.github.io/Logging_0380/kartor/A 13085-2026 karta.png", "A 13085-2026")</f>
        <v/>
      </c>
      <c r="V96">
        <f>HYPERLINK("https://klasma.github.io/Logging_0380/klagomål/A 13085-2026 FSC-klagomål.docx", "A 13085-2026")</f>
        <v/>
      </c>
      <c r="W96">
        <f>HYPERLINK("https://klasma.github.io/Logging_0380/klagomålsmail/A 13085-2026 FSC-klagomål mail.docx", "A 13085-2026")</f>
        <v/>
      </c>
      <c r="X96">
        <f>HYPERLINK("https://klasma.github.io/Logging_0380/tillsyn/A 13085-2026 tillsynsbegäran.docx", "A 13085-2026")</f>
        <v/>
      </c>
      <c r="Y96">
        <f>HYPERLINK("https://klasma.github.io/Logging_0380/tillsynsmail/A 13085-2026 tillsynsbegäran mail.docx", "A 13085-2026")</f>
        <v/>
      </c>
    </row>
    <row r="97" ht="15" customHeight="1">
      <c r="A97" t="inlineStr">
        <is>
          <t>A 22440-2026</t>
        </is>
      </c>
      <c r="B97" s="1" t="n">
        <v>46155</v>
      </c>
      <c r="C97" s="1" t="n">
        <v>46196</v>
      </c>
      <c r="D97" t="inlineStr">
        <is>
          <t>UPPSALA LÄN</t>
        </is>
      </c>
      <c r="E97" t="inlineStr">
        <is>
          <t>UPPSALA</t>
        </is>
      </c>
      <c r="F97" t="inlineStr">
        <is>
          <t>Kyrkan</t>
        </is>
      </c>
      <c r="G97" t="n">
        <v>1</v>
      </c>
      <c r="H97" t="n">
        <v>2</v>
      </c>
      <c r="I97" t="n">
        <v>0</v>
      </c>
      <c r="J97" t="n">
        <v>1</v>
      </c>
      <c r="K97" t="n">
        <v>0</v>
      </c>
      <c r="L97" t="n">
        <v>0</v>
      </c>
      <c r="M97" t="n">
        <v>0</v>
      </c>
      <c r="N97" t="n">
        <v>0</v>
      </c>
      <c r="O97" t="n">
        <v>1</v>
      </c>
      <c r="P97" t="n">
        <v>0</v>
      </c>
      <c r="Q97" t="n">
        <v>3</v>
      </c>
      <c r="R97" s="2" t="inlineStr">
        <is>
          <t>Tallticka
Spillkråka
Revlummer</t>
        </is>
      </c>
      <c r="S97">
        <f>HYPERLINK("https://klasma.github.io/Logging_0380/artfynd/A 22440-2026 artfynd.xlsx", "A 22440-2026")</f>
        <v/>
      </c>
      <c r="T97">
        <f>HYPERLINK("https://klasma.github.io/Logging_0380/kartor/A 22440-2026 karta.png", "A 22440-2026")</f>
        <v/>
      </c>
      <c r="V97">
        <f>HYPERLINK("https://klasma.github.io/Logging_0380/klagomål/A 22440-2026 FSC-klagomål.docx", "A 22440-2026")</f>
        <v/>
      </c>
      <c r="W97">
        <f>HYPERLINK("https://klasma.github.io/Logging_0380/klagomålsmail/A 22440-2026 FSC-klagomål mail.docx", "A 22440-2026")</f>
        <v/>
      </c>
      <c r="X97">
        <f>HYPERLINK("https://klasma.github.io/Logging_0380/tillsyn/A 22440-2026 tillsynsbegäran.docx", "A 22440-2026")</f>
        <v/>
      </c>
      <c r="Y97">
        <f>HYPERLINK("https://klasma.github.io/Logging_0380/tillsynsmail/A 22440-2026 tillsynsbegäran mail.docx", "A 22440-2026")</f>
        <v/>
      </c>
      <c r="Z97">
        <f>HYPERLINK("https://klasma.github.io/Logging_0380/fåglar/A 22440-2026 prioriterade fågelarter.docx", "A 22440-2026")</f>
        <v/>
      </c>
    </row>
    <row r="98" ht="15" customHeight="1">
      <c r="A98" t="inlineStr">
        <is>
          <t>A 65659-2021</t>
        </is>
      </c>
      <c r="B98" s="1" t="n">
        <v>44516</v>
      </c>
      <c r="C98" s="1" t="n">
        <v>46196</v>
      </c>
      <c r="D98" t="inlineStr">
        <is>
          <t>UPPSALA LÄN</t>
        </is>
      </c>
      <c r="E98" t="inlineStr">
        <is>
          <t>UPPSALA</t>
        </is>
      </c>
      <c r="G98" t="n">
        <v>2.2</v>
      </c>
      <c r="H98" t="n">
        <v>1</v>
      </c>
      <c r="I98" t="n">
        <v>1</v>
      </c>
      <c r="J98" t="n">
        <v>0</v>
      </c>
      <c r="K98" t="n">
        <v>0</v>
      </c>
      <c r="L98" t="n">
        <v>1</v>
      </c>
      <c r="M98" t="n">
        <v>0</v>
      </c>
      <c r="N98" t="n">
        <v>0</v>
      </c>
      <c r="O98" t="n">
        <v>1</v>
      </c>
      <c r="P98" t="n">
        <v>1</v>
      </c>
      <c r="Q98" t="n">
        <v>3</v>
      </c>
      <c r="R98" s="2" t="inlineStr">
        <is>
          <t>Ask
Fällmossa
Blåsippa</t>
        </is>
      </c>
      <c r="S98">
        <f>HYPERLINK("https://klasma.github.io/Logging_0380/artfynd/A 65659-2021 artfynd.xlsx", "A 65659-2021")</f>
        <v/>
      </c>
      <c r="T98">
        <f>HYPERLINK("https://klasma.github.io/Logging_0380/kartor/A 65659-2021 karta.png", "A 65659-2021")</f>
        <v/>
      </c>
      <c r="V98">
        <f>HYPERLINK("https://klasma.github.io/Logging_0380/klagomål/A 65659-2021 FSC-klagomål.docx", "A 65659-2021")</f>
        <v/>
      </c>
      <c r="W98">
        <f>HYPERLINK("https://klasma.github.io/Logging_0380/klagomålsmail/A 65659-2021 FSC-klagomål mail.docx", "A 65659-2021")</f>
        <v/>
      </c>
      <c r="X98">
        <f>HYPERLINK("https://klasma.github.io/Logging_0380/tillsyn/A 65659-2021 tillsynsbegäran.docx", "A 65659-2021")</f>
        <v/>
      </c>
      <c r="Y98">
        <f>HYPERLINK("https://klasma.github.io/Logging_0380/tillsynsmail/A 65659-2021 tillsynsbegäran mail.docx", "A 65659-2021")</f>
        <v/>
      </c>
    </row>
    <row r="99" ht="15" customHeight="1">
      <c r="A99" t="inlineStr">
        <is>
          <t>A 57793-2022</t>
        </is>
      </c>
      <c r="B99" s="1" t="n">
        <v>44897</v>
      </c>
      <c r="C99" s="1" t="n">
        <v>46196</v>
      </c>
      <c r="D99" t="inlineStr">
        <is>
          <t>UPPSALA LÄN</t>
        </is>
      </c>
      <c r="E99" t="inlineStr">
        <is>
          <t>UPPSALA</t>
        </is>
      </c>
      <c r="G99" t="n">
        <v>2.9</v>
      </c>
      <c r="H99" t="n">
        <v>2</v>
      </c>
      <c r="I99" t="n">
        <v>1</v>
      </c>
      <c r="J99" t="n">
        <v>2</v>
      </c>
      <c r="K99" t="n">
        <v>0</v>
      </c>
      <c r="L99" t="n">
        <v>0</v>
      </c>
      <c r="M99" t="n">
        <v>0</v>
      </c>
      <c r="N99" t="n">
        <v>0</v>
      </c>
      <c r="O99" t="n">
        <v>2</v>
      </c>
      <c r="P99" t="n">
        <v>0</v>
      </c>
      <c r="Q99" t="n">
        <v>3</v>
      </c>
      <c r="R99" s="2" t="inlineStr">
        <is>
          <t>Sparvuggla
Talltita
Blomkålssvamp</t>
        </is>
      </c>
      <c r="S99">
        <f>HYPERLINK("https://klasma.github.io/Logging_0380/artfynd/A 57793-2022 artfynd.xlsx", "A 57793-2022")</f>
        <v/>
      </c>
      <c r="T99">
        <f>HYPERLINK("https://klasma.github.io/Logging_0380/kartor/A 57793-2022 karta.png", "A 57793-2022")</f>
        <v/>
      </c>
      <c r="V99">
        <f>HYPERLINK("https://klasma.github.io/Logging_0380/klagomål/A 57793-2022 FSC-klagomål.docx", "A 57793-2022")</f>
        <v/>
      </c>
      <c r="W99">
        <f>HYPERLINK("https://klasma.github.io/Logging_0380/klagomålsmail/A 57793-2022 FSC-klagomål mail.docx", "A 57793-2022")</f>
        <v/>
      </c>
      <c r="X99">
        <f>HYPERLINK("https://klasma.github.io/Logging_0380/tillsyn/A 57793-2022 tillsynsbegäran.docx", "A 57793-2022")</f>
        <v/>
      </c>
      <c r="Y99">
        <f>HYPERLINK("https://klasma.github.io/Logging_0380/tillsynsmail/A 57793-2022 tillsynsbegäran mail.docx", "A 57793-2022")</f>
        <v/>
      </c>
      <c r="Z99">
        <f>HYPERLINK("https://klasma.github.io/Logging_0380/fåglar/A 57793-2022 prioriterade fågelarter.docx", "A 57793-2022")</f>
        <v/>
      </c>
    </row>
    <row r="100" ht="15" customHeight="1">
      <c r="A100" t="inlineStr">
        <is>
          <t>A 30716-2025</t>
        </is>
      </c>
      <c r="B100" s="1" t="n">
        <v>45831</v>
      </c>
      <c r="C100" s="1" t="n">
        <v>46196</v>
      </c>
      <c r="D100" t="inlineStr">
        <is>
          <t>UPPSALA LÄN</t>
        </is>
      </c>
      <c r="E100" t="inlineStr">
        <is>
          <t>UPPSALA</t>
        </is>
      </c>
      <c r="G100" t="n">
        <v>2.3</v>
      </c>
      <c r="H100" t="n">
        <v>2</v>
      </c>
      <c r="I100" t="n">
        <v>1</v>
      </c>
      <c r="J100" t="n">
        <v>1</v>
      </c>
      <c r="K100" t="n">
        <v>1</v>
      </c>
      <c r="L100" t="n">
        <v>0</v>
      </c>
      <c r="M100" t="n">
        <v>0</v>
      </c>
      <c r="N100" t="n">
        <v>0</v>
      </c>
      <c r="O100" t="n">
        <v>2</v>
      </c>
      <c r="P100" t="n">
        <v>1</v>
      </c>
      <c r="Q100" t="n">
        <v>3</v>
      </c>
      <c r="R100" s="2" t="inlineStr">
        <is>
          <t>Knärot
Talltita
Skinnlav</t>
        </is>
      </c>
      <c r="S100">
        <f>HYPERLINK("https://klasma.github.io/Logging_0380/artfynd/A 30716-2025 artfynd.xlsx", "A 30716-2025")</f>
        <v/>
      </c>
      <c r="T100">
        <f>HYPERLINK("https://klasma.github.io/Logging_0380/kartor/A 30716-2025 karta.png", "A 30716-2025")</f>
        <v/>
      </c>
      <c r="U100">
        <f>HYPERLINK("https://klasma.github.io/Logging_0380/knärot/A 30716-2025 karta knärot.png", "A 30716-2025")</f>
        <v/>
      </c>
      <c r="V100">
        <f>HYPERLINK("https://klasma.github.io/Logging_0380/klagomål/A 30716-2025 FSC-klagomål.docx", "A 30716-2025")</f>
        <v/>
      </c>
      <c r="W100">
        <f>HYPERLINK("https://klasma.github.io/Logging_0380/klagomålsmail/A 30716-2025 FSC-klagomål mail.docx", "A 30716-2025")</f>
        <v/>
      </c>
      <c r="X100">
        <f>HYPERLINK("https://klasma.github.io/Logging_0380/tillsyn/A 30716-2025 tillsynsbegäran.docx", "A 30716-2025")</f>
        <v/>
      </c>
      <c r="Y100">
        <f>HYPERLINK("https://klasma.github.io/Logging_0380/tillsynsmail/A 30716-2025 tillsynsbegäran mail.docx", "A 30716-2025")</f>
        <v/>
      </c>
      <c r="Z100">
        <f>HYPERLINK("https://klasma.github.io/Logging_0380/fåglar/A 30716-2025 prioriterade fågelarter.docx", "A 30716-2025")</f>
        <v/>
      </c>
    </row>
    <row r="101" ht="15" customHeight="1">
      <c r="A101" t="inlineStr">
        <is>
          <t>A 27816-2026</t>
        </is>
      </c>
      <c r="B101" s="1" t="n">
        <v>46191</v>
      </c>
      <c r="C101" s="1" t="n">
        <v>46196</v>
      </c>
      <c r="D101" t="inlineStr">
        <is>
          <t>UPPSALA LÄN</t>
        </is>
      </c>
      <c r="E101" t="inlineStr">
        <is>
          <t>UPPSALA</t>
        </is>
      </c>
      <c r="G101" t="n">
        <v>5.5</v>
      </c>
      <c r="H101" t="n">
        <v>0</v>
      </c>
      <c r="I101" t="n">
        <v>2</v>
      </c>
      <c r="J101" t="n">
        <v>1</v>
      </c>
      <c r="K101" t="n">
        <v>0</v>
      </c>
      <c r="L101" t="n">
        <v>0</v>
      </c>
      <c r="M101" t="n">
        <v>0</v>
      </c>
      <c r="N101" t="n">
        <v>0</v>
      </c>
      <c r="O101" t="n">
        <v>1</v>
      </c>
      <c r="P101" t="n">
        <v>0</v>
      </c>
      <c r="Q101" t="n">
        <v>3</v>
      </c>
      <c r="R101" s="2" t="inlineStr">
        <is>
          <t>Vedtrappmossa
Brandticka
Granbräken</t>
        </is>
      </c>
      <c r="S101">
        <f>HYPERLINK("https://klasma.github.io/Logging_0380/artfynd/A 27816-2026 artfynd.xlsx", "A 27816-2026")</f>
        <v/>
      </c>
      <c r="T101">
        <f>HYPERLINK("https://klasma.github.io/Logging_0380/kartor/A 27816-2026 karta.png", "A 27816-2026")</f>
        <v/>
      </c>
      <c r="V101">
        <f>HYPERLINK("https://klasma.github.io/Logging_0380/klagomål/A 27816-2026 FSC-klagomål.docx", "A 27816-2026")</f>
        <v/>
      </c>
      <c r="W101">
        <f>HYPERLINK("https://klasma.github.io/Logging_0380/klagomålsmail/A 27816-2026 FSC-klagomål mail.docx", "A 27816-2026")</f>
        <v/>
      </c>
      <c r="X101">
        <f>HYPERLINK("https://klasma.github.io/Logging_0380/tillsyn/A 27816-2026 tillsynsbegäran.docx", "A 27816-2026")</f>
        <v/>
      </c>
      <c r="Y101">
        <f>HYPERLINK("https://klasma.github.io/Logging_0380/tillsynsmail/A 27816-2026 tillsynsbegäran mail.docx", "A 27816-2026")</f>
        <v/>
      </c>
    </row>
    <row r="102" ht="15" customHeight="1">
      <c r="A102" t="inlineStr">
        <is>
          <t>A 17277-2023</t>
        </is>
      </c>
      <c r="B102" s="1" t="n">
        <v>45035</v>
      </c>
      <c r="C102" s="1" t="n">
        <v>46196</v>
      </c>
      <c r="D102" t="inlineStr">
        <is>
          <t>UPPSALA LÄN</t>
        </is>
      </c>
      <c r="E102" t="inlineStr">
        <is>
          <t>UPPSALA</t>
        </is>
      </c>
      <c r="F102" t="inlineStr">
        <is>
          <t>Övriga Aktiebolag</t>
        </is>
      </c>
      <c r="G102" t="n">
        <v>6.1</v>
      </c>
      <c r="H102" t="n">
        <v>3</v>
      </c>
      <c r="I102" t="n">
        <v>0</v>
      </c>
      <c r="J102" t="n">
        <v>1</v>
      </c>
      <c r="K102" t="n">
        <v>0</v>
      </c>
      <c r="L102" t="n">
        <v>0</v>
      </c>
      <c r="M102" t="n">
        <v>0</v>
      </c>
      <c r="N102" t="n">
        <v>0</v>
      </c>
      <c r="O102" t="n">
        <v>1</v>
      </c>
      <c r="P102" t="n">
        <v>0</v>
      </c>
      <c r="Q102" t="n">
        <v>3</v>
      </c>
      <c r="R102" s="2" t="inlineStr">
        <is>
          <t>Duvhök
Slaguggla
Trana</t>
        </is>
      </c>
      <c r="S102">
        <f>HYPERLINK("https://klasma.github.io/Logging_0380/artfynd/A 17277-2023 artfynd.xlsx", "A 17277-2023")</f>
        <v/>
      </c>
      <c r="T102">
        <f>HYPERLINK("https://klasma.github.io/Logging_0380/kartor/A 17277-2023 karta.png", "A 17277-2023")</f>
        <v/>
      </c>
      <c r="V102">
        <f>HYPERLINK("https://klasma.github.io/Logging_0380/klagomål/A 17277-2023 FSC-klagomål.docx", "A 17277-2023")</f>
        <v/>
      </c>
      <c r="W102">
        <f>HYPERLINK("https://klasma.github.io/Logging_0380/klagomålsmail/A 17277-2023 FSC-klagomål mail.docx", "A 17277-2023")</f>
        <v/>
      </c>
      <c r="X102">
        <f>HYPERLINK("https://klasma.github.io/Logging_0380/tillsyn/A 17277-2023 tillsynsbegäran.docx", "A 17277-2023")</f>
        <v/>
      </c>
      <c r="Y102">
        <f>HYPERLINK("https://klasma.github.io/Logging_0380/tillsynsmail/A 17277-2023 tillsynsbegäran mail.docx", "A 17277-2023")</f>
        <v/>
      </c>
      <c r="Z102">
        <f>HYPERLINK("https://klasma.github.io/Logging_0380/fåglar/A 17277-2023 prioriterade fågelarter.docx", "A 17277-2023")</f>
        <v/>
      </c>
    </row>
    <row r="103" ht="15" customHeight="1">
      <c r="A103" t="inlineStr">
        <is>
          <t>A 36471-2022</t>
        </is>
      </c>
      <c r="B103" s="1" t="n">
        <v>44804</v>
      </c>
      <c r="C103" s="1" t="n">
        <v>46196</v>
      </c>
      <c r="D103" t="inlineStr">
        <is>
          <t>UPPSALA LÄN</t>
        </is>
      </c>
      <c r="E103" t="inlineStr">
        <is>
          <t>UPPSALA</t>
        </is>
      </c>
      <c r="G103" t="n">
        <v>4.2</v>
      </c>
      <c r="H103" t="n">
        <v>0</v>
      </c>
      <c r="I103" t="n">
        <v>3</v>
      </c>
      <c r="J103" t="n">
        <v>0</v>
      </c>
      <c r="K103" t="n">
        <v>0</v>
      </c>
      <c r="L103" t="n">
        <v>0</v>
      </c>
      <c r="M103" t="n">
        <v>0</v>
      </c>
      <c r="N103" t="n">
        <v>0</v>
      </c>
      <c r="O103" t="n">
        <v>0</v>
      </c>
      <c r="P103" t="n">
        <v>0</v>
      </c>
      <c r="Q103" t="n">
        <v>3</v>
      </c>
      <c r="R103" s="2" t="inlineStr">
        <is>
          <t>Bronshjon
Spindelbock
Stor aspticka</t>
        </is>
      </c>
      <c r="S103">
        <f>HYPERLINK("https://klasma.github.io/Logging_0380/artfynd/A 36471-2022 artfynd.xlsx", "A 36471-2022")</f>
        <v/>
      </c>
      <c r="T103">
        <f>HYPERLINK("https://klasma.github.io/Logging_0380/kartor/A 36471-2022 karta.png", "A 36471-2022")</f>
        <v/>
      </c>
      <c r="V103">
        <f>HYPERLINK("https://klasma.github.io/Logging_0380/klagomål/A 36471-2022 FSC-klagomål.docx", "A 36471-2022")</f>
        <v/>
      </c>
      <c r="W103">
        <f>HYPERLINK("https://klasma.github.io/Logging_0380/klagomålsmail/A 36471-2022 FSC-klagomål mail.docx", "A 36471-2022")</f>
        <v/>
      </c>
      <c r="X103">
        <f>HYPERLINK("https://klasma.github.io/Logging_0380/tillsyn/A 36471-2022 tillsynsbegäran.docx", "A 36471-2022")</f>
        <v/>
      </c>
      <c r="Y103">
        <f>HYPERLINK("https://klasma.github.io/Logging_0380/tillsynsmail/A 36471-2022 tillsynsbegäran mail.docx", "A 36471-2022")</f>
        <v/>
      </c>
    </row>
    <row r="104" ht="15" customHeight="1">
      <c r="A104" t="inlineStr">
        <is>
          <t>A 88-2024</t>
        </is>
      </c>
      <c r="B104" s="1" t="n">
        <v>45293</v>
      </c>
      <c r="C104" s="1" t="n">
        <v>46196</v>
      </c>
      <c r="D104" t="inlineStr">
        <is>
          <t>UPPSALA LÄN</t>
        </is>
      </c>
      <c r="E104" t="inlineStr">
        <is>
          <t>UPPSALA</t>
        </is>
      </c>
      <c r="G104" t="n">
        <v>2.1</v>
      </c>
      <c r="H104" t="n">
        <v>0</v>
      </c>
      <c r="I104" t="n">
        <v>1</v>
      </c>
      <c r="J104" t="n">
        <v>1</v>
      </c>
      <c r="K104" t="n">
        <v>0</v>
      </c>
      <c r="L104" t="n">
        <v>1</v>
      </c>
      <c r="M104" t="n">
        <v>0</v>
      </c>
      <c r="N104" t="n">
        <v>0</v>
      </c>
      <c r="O104" t="n">
        <v>2</v>
      </c>
      <c r="P104" t="n">
        <v>1</v>
      </c>
      <c r="Q104" t="n">
        <v>3</v>
      </c>
      <c r="R104" s="2" t="inlineStr">
        <is>
          <t>Ask
Gullklöver
Sotlav</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63172-2023</t>
        </is>
      </c>
      <c r="B105" s="1" t="n">
        <v>45273</v>
      </c>
      <c r="C105" s="1" t="n">
        <v>46196</v>
      </c>
      <c r="D105" t="inlineStr">
        <is>
          <t>UPPSALA LÄN</t>
        </is>
      </c>
      <c r="E105" t="inlineStr">
        <is>
          <t>UPPSALA</t>
        </is>
      </c>
      <c r="G105" t="n">
        <v>1.8</v>
      </c>
      <c r="H105" t="n">
        <v>1</v>
      </c>
      <c r="I105" t="n">
        <v>1</v>
      </c>
      <c r="J105" t="n">
        <v>1</v>
      </c>
      <c r="K105" t="n">
        <v>0</v>
      </c>
      <c r="L105" t="n">
        <v>0</v>
      </c>
      <c r="M105" t="n">
        <v>0</v>
      </c>
      <c r="N105" t="n">
        <v>0</v>
      </c>
      <c r="O105" t="n">
        <v>1</v>
      </c>
      <c r="P105" t="n">
        <v>0</v>
      </c>
      <c r="Q105" t="n">
        <v>3</v>
      </c>
      <c r="R105" s="2" t="inlineStr">
        <is>
          <t>Tallticka
Ögonpyrola
Törnskata</t>
        </is>
      </c>
      <c r="S105">
        <f>HYPERLINK("https://klasma.github.io/Logging_0380/artfynd/A 63172-2023 artfynd.xlsx", "A 63172-2023")</f>
        <v/>
      </c>
      <c r="T105">
        <f>HYPERLINK("https://klasma.github.io/Logging_0380/kartor/A 63172-2023 karta.png", "A 63172-2023")</f>
        <v/>
      </c>
      <c r="V105">
        <f>HYPERLINK("https://klasma.github.io/Logging_0380/klagomål/A 63172-2023 FSC-klagomål.docx", "A 63172-2023")</f>
        <v/>
      </c>
      <c r="W105">
        <f>HYPERLINK("https://klasma.github.io/Logging_0380/klagomålsmail/A 63172-2023 FSC-klagomål mail.docx", "A 63172-2023")</f>
        <v/>
      </c>
      <c r="X105">
        <f>HYPERLINK("https://klasma.github.io/Logging_0380/tillsyn/A 63172-2023 tillsynsbegäran.docx", "A 63172-2023")</f>
        <v/>
      </c>
      <c r="Y105">
        <f>HYPERLINK("https://klasma.github.io/Logging_0380/tillsynsmail/A 63172-2023 tillsynsbegäran mail.docx", "A 63172-2023")</f>
        <v/>
      </c>
      <c r="Z105">
        <f>HYPERLINK("https://klasma.github.io/Logging_0380/fåglar/A 63172-2023 prioriterade fågelarter.docx", "A 63172-2023")</f>
        <v/>
      </c>
    </row>
    <row r="106" ht="15" customHeight="1">
      <c r="A106" t="inlineStr">
        <is>
          <t>A 48918-2021</t>
        </is>
      </c>
      <c r="B106" s="1" t="n">
        <v>44453</v>
      </c>
      <c r="C106" s="1" t="n">
        <v>46196</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46196</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46196</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51158-2025</t>
        </is>
      </c>
      <c r="B109" s="1" t="n">
        <v>45947</v>
      </c>
      <c r="C109" s="1" t="n">
        <v>46196</v>
      </c>
      <c r="D109" t="inlineStr">
        <is>
          <t>UPPSALA LÄN</t>
        </is>
      </c>
      <c r="E109" t="inlineStr">
        <is>
          <t>UPPSALA</t>
        </is>
      </c>
      <c r="F109" t="inlineStr">
        <is>
          <t>Övriga Aktiebolag</t>
        </is>
      </c>
      <c r="G109" t="n">
        <v>12.1</v>
      </c>
      <c r="H109" t="n">
        <v>0</v>
      </c>
      <c r="I109" t="n">
        <v>0</v>
      </c>
      <c r="J109" t="n">
        <v>0</v>
      </c>
      <c r="K109" t="n">
        <v>0</v>
      </c>
      <c r="L109" t="n">
        <v>0</v>
      </c>
      <c r="M109" t="n">
        <v>0</v>
      </c>
      <c r="N109" t="n">
        <v>0</v>
      </c>
      <c r="O109" t="n">
        <v>0</v>
      </c>
      <c r="P109" t="n">
        <v>0</v>
      </c>
      <c r="Q109" t="n">
        <v>2</v>
      </c>
      <c r="R109" s="2" t="inlineStr">
        <is>
          <t>Liljekonvalj
Vitsippa</t>
        </is>
      </c>
      <c r="S109">
        <f>HYPERLINK("https://klasma.github.io/Logging_0380/artfynd/A 51158-2025 artfynd.xlsx", "A 51158-2025")</f>
        <v/>
      </c>
      <c r="T109">
        <f>HYPERLINK("https://klasma.github.io/Logging_0380/kartor/A 51158-2025 karta.png", "A 51158-2025")</f>
        <v/>
      </c>
      <c r="V109">
        <f>HYPERLINK("https://klasma.github.io/Logging_0380/klagomål/A 51158-2025 FSC-klagomål.docx", "A 51158-2025")</f>
        <v/>
      </c>
      <c r="W109">
        <f>HYPERLINK("https://klasma.github.io/Logging_0380/klagomålsmail/A 51158-2025 FSC-klagomål mail.docx", "A 51158-2025")</f>
        <v/>
      </c>
      <c r="X109">
        <f>HYPERLINK("https://klasma.github.io/Logging_0380/tillsyn/A 51158-2025 tillsynsbegäran.docx", "A 51158-2025")</f>
        <v/>
      </c>
      <c r="Y109">
        <f>HYPERLINK("https://klasma.github.io/Logging_0380/tillsynsmail/A 51158-2025 tillsynsbegäran mail.docx", "A 51158-2025")</f>
        <v/>
      </c>
    </row>
    <row r="110" ht="15" customHeight="1">
      <c r="A110" t="inlineStr">
        <is>
          <t>A 53589-2025</t>
        </is>
      </c>
      <c r="B110" s="1" t="n">
        <v>45960</v>
      </c>
      <c r="C110" s="1" t="n">
        <v>46196</v>
      </c>
      <c r="D110" t="inlineStr">
        <is>
          <t>UPPSALA LÄN</t>
        </is>
      </c>
      <c r="E110" t="inlineStr">
        <is>
          <t>UPPSALA</t>
        </is>
      </c>
      <c r="G110" t="n">
        <v>9.699999999999999</v>
      </c>
      <c r="H110" t="n">
        <v>1</v>
      </c>
      <c r="I110" t="n">
        <v>0</v>
      </c>
      <c r="J110" t="n">
        <v>1</v>
      </c>
      <c r="K110" t="n">
        <v>0</v>
      </c>
      <c r="L110" t="n">
        <v>0</v>
      </c>
      <c r="M110" t="n">
        <v>0</v>
      </c>
      <c r="N110" t="n">
        <v>0</v>
      </c>
      <c r="O110" t="n">
        <v>1</v>
      </c>
      <c r="P110" t="n">
        <v>0</v>
      </c>
      <c r="Q110" t="n">
        <v>2</v>
      </c>
      <c r="R110" s="2" t="inlineStr">
        <is>
          <t>Vedtrappmossa
Spillkråka</t>
        </is>
      </c>
      <c r="S110">
        <f>HYPERLINK("https://klasma.github.io/Logging_0380/artfynd/A 53589-2025 artfynd.xlsx", "A 53589-2025")</f>
        <v/>
      </c>
      <c r="T110">
        <f>HYPERLINK("https://klasma.github.io/Logging_0380/kartor/A 53589-2025 karta.png", "A 53589-2025")</f>
        <v/>
      </c>
      <c r="V110">
        <f>HYPERLINK("https://klasma.github.io/Logging_0380/klagomål/A 53589-2025 FSC-klagomål.docx", "A 53589-2025")</f>
        <v/>
      </c>
      <c r="W110">
        <f>HYPERLINK("https://klasma.github.io/Logging_0380/klagomålsmail/A 53589-2025 FSC-klagomål mail.docx", "A 53589-2025")</f>
        <v/>
      </c>
      <c r="X110">
        <f>HYPERLINK("https://klasma.github.io/Logging_0380/tillsyn/A 53589-2025 tillsynsbegäran.docx", "A 53589-2025")</f>
        <v/>
      </c>
      <c r="Y110">
        <f>HYPERLINK("https://klasma.github.io/Logging_0380/tillsynsmail/A 53589-2025 tillsynsbegäran mail.docx", "A 53589-2025")</f>
        <v/>
      </c>
      <c r="Z110">
        <f>HYPERLINK("https://klasma.github.io/Logging_0380/fåglar/A 53589-2025 prioriterade fågelarter.docx", "A 53589-2025")</f>
        <v/>
      </c>
    </row>
    <row r="111" ht="15" customHeight="1">
      <c r="A111" t="inlineStr">
        <is>
          <t>A 19539-2024</t>
        </is>
      </c>
      <c r="B111" s="1" t="n">
        <v>45429</v>
      </c>
      <c r="C111" s="1" t="n">
        <v>46196</v>
      </c>
      <c r="D111" t="inlineStr">
        <is>
          <t>UPPSALA LÄN</t>
        </is>
      </c>
      <c r="E111" t="inlineStr">
        <is>
          <t>UPPSALA</t>
        </is>
      </c>
      <c r="G111" t="n">
        <v>1.9</v>
      </c>
      <c r="H111" t="n">
        <v>2</v>
      </c>
      <c r="I111" t="n">
        <v>0</v>
      </c>
      <c r="J111" t="n">
        <v>1</v>
      </c>
      <c r="K111" t="n">
        <v>1</v>
      </c>
      <c r="L111" t="n">
        <v>0</v>
      </c>
      <c r="M111" t="n">
        <v>0</v>
      </c>
      <c r="N111" t="n">
        <v>0</v>
      </c>
      <c r="O111" t="n">
        <v>2</v>
      </c>
      <c r="P111" t="n">
        <v>1</v>
      </c>
      <c r="Q111" t="n">
        <v>2</v>
      </c>
      <c r="R111" s="2" t="inlineStr">
        <is>
          <t>Grönfink
Gulsparv</t>
        </is>
      </c>
      <c r="S111">
        <f>HYPERLINK("https://klasma.github.io/Logging_0380/artfynd/A 19539-2024 artfynd.xlsx", "A 19539-2024")</f>
        <v/>
      </c>
      <c r="T111">
        <f>HYPERLINK("https://klasma.github.io/Logging_0380/kartor/A 19539-2024 karta.png", "A 19539-2024")</f>
        <v/>
      </c>
      <c r="V111">
        <f>HYPERLINK("https://klasma.github.io/Logging_0380/klagomål/A 19539-2024 FSC-klagomål.docx", "A 19539-2024")</f>
        <v/>
      </c>
      <c r="W111">
        <f>HYPERLINK("https://klasma.github.io/Logging_0380/klagomålsmail/A 19539-2024 FSC-klagomål mail.docx", "A 19539-2024")</f>
        <v/>
      </c>
      <c r="X111">
        <f>HYPERLINK("https://klasma.github.io/Logging_0380/tillsyn/A 19539-2024 tillsynsbegäran.docx", "A 19539-2024")</f>
        <v/>
      </c>
      <c r="Y111">
        <f>HYPERLINK("https://klasma.github.io/Logging_0380/tillsynsmail/A 19539-2024 tillsynsbegäran mail.docx", "A 19539-2024")</f>
        <v/>
      </c>
      <c r="Z111">
        <f>HYPERLINK("https://klasma.github.io/Logging_0380/fåglar/A 19539-2024 prioriterade fågelarter.docx", "A 19539-2024")</f>
        <v/>
      </c>
    </row>
    <row r="112" ht="15" customHeight="1">
      <c r="A112" t="inlineStr">
        <is>
          <t>A 844-2025</t>
        </is>
      </c>
      <c r="B112" s="1" t="n">
        <v>45665</v>
      </c>
      <c r="C112" s="1" t="n">
        <v>46196</v>
      </c>
      <c r="D112" t="inlineStr">
        <is>
          <t>UPPSALA LÄN</t>
        </is>
      </c>
      <c r="E112" t="inlineStr">
        <is>
          <t>UPPSALA</t>
        </is>
      </c>
      <c r="G112" t="n">
        <v>2.6</v>
      </c>
      <c r="H112" t="n">
        <v>2</v>
      </c>
      <c r="I112" t="n">
        <v>0</v>
      </c>
      <c r="J112" t="n">
        <v>0</v>
      </c>
      <c r="K112" t="n">
        <v>0</v>
      </c>
      <c r="L112" t="n">
        <v>0</v>
      </c>
      <c r="M112" t="n">
        <v>0</v>
      </c>
      <c r="N112" t="n">
        <v>0</v>
      </c>
      <c r="O112" t="n">
        <v>0</v>
      </c>
      <c r="P112" t="n">
        <v>0</v>
      </c>
      <c r="Q112" t="n">
        <v>2</v>
      </c>
      <c r="R112" s="2" t="inlineStr">
        <is>
          <t>Blåsippa
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18425-2025</t>
        </is>
      </c>
      <c r="B113" s="1" t="n">
        <v>45762</v>
      </c>
      <c r="C113" s="1" t="n">
        <v>46196</v>
      </c>
      <c r="D113" t="inlineStr">
        <is>
          <t>UPPSALA LÄN</t>
        </is>
      </c>
      <c r="E113" t="inlineStr">
        <is>
          <t>UPPSALA</t>
        </is>
      </c>
      <c r="G113" t="n">
        <v>9.800000000000001</v>
      </c>
      <c r="H113" t="n">
        <v>1</v>
      </c>
      <c r="I113" t="n">
        <v>0</v>
      </c>
      <c r="J113" t="n">
        <v>1</v>
      </c>
      <c r="K113" t="n">
        <v>0</v>
      </c>
      <c r="L113" t="n">
        <v>0</v>
      </c>
      <c r="M113" t="n">
        <v>0</v>
      </c>
      <c r="N113" t="n">
        <v>0</v>
      </c>
      <c r="O113" t="n">
        <v>1</v>
      </c>
      <c r="P113" t="n">
        <v>0</v>
      </c>
      <c r="Q113" t="n">
        <v>2</v>
      </c>
      <c r="R113" s="2" t="inlineStr">
        <is>
          <t>Tallticka
Spillkråka</t>
        </is>
      </c>
      <c r="S113">
        <f>HYPERLINK("https://klasma.github.io/Logging_0380/artfynd/A 18425-2025 artfynd.xlsx", "A 18425-2025")</f>
        <v/>
      </c>
      <c r="T113">
        <f>HYPERLINK("https://klasma.github.io/Logging_0380/kartor/A 18425-2025 karta.png", "A 18425-2025")</f>
        <v/>
      </c>
      <c r="V113">
        <f>HYPERLINK("https://klasma.github.io/Logging_0380/klagomål/A 18425-2025 FSC-klagomål.docx", "A 18425-2025")</f>
        <v/>
      </c>
      <c r="W113">
        <f>HYPERLINK("https://klasma.github.io/Logging_0380/klagomålsmail/A 18425-2025 FSC-klagomål mail.docx", "A 18425-2025")</f>
        <v/>
      </c>
      <c r="X113">
        <f>HYPERLINK("https://klasma.github.io/Logging_0380/tillsyn/A 18425-2025 tillsynsbegäran.docx", "A 18425-2025")</f>
        <v/>
      </c>
      <c r="Y113">
        <f>HYPERLINK("https://klasma.github.io/Logging_0380/tillsynsmail/A 18425-2025 tillsynsbegäran mail.docx", "A 18425-2025")</f>
        <v/>
      </c>
      <c r="Z113">
        <f>HYPERLINK("https://klasma.github.io/Logging_0380/fåglar/A 18425-2025 prioriterade fågelarter.docx", "A 18425-2025")</f>
        <v/>
      </c>
    </row>
    <row r="114" ht="15" customHeight="1">
      <c r="A114" t="inlineStr">
        <is>
          <t>A 5732-2025</t>
        </is>
      </c>
      <c r="B114" s="1" t="n">
        <v>45694</v>
      </c>
      <c r="C114" s="1" t="n">
        <v>46196</v>
      </c>
      <c r="D114" t="inlineStr">
        <is>
          <t>UPPSALA LÄN</t>
        </is>
      </c>
      <c r="E114" t="inlineStr">
        <is>
          <t>UPPSALA</t>
        </is>
      </c>
      <c r="G114" t="n">
        <v>1.9</v>
      </c>
      <c r="H114" t="n">
        <v>0</v>
      </c>
      <c r="I114" t="n">
        <v>2</v>
      </c>
      <c r="J114" t="n">
        <v>0</v>
      </c>
      <c r="K114" t="n">
        <v>0</v>
      </c>
      <c r="L114" t="n">
        <v>0</v>
      </c>
      <c r="M114" t="n">
        <v>0</v>
      </c>
      <c r="N114" t="n">
        <v>0</v>
      </c>
      <c r="O114" t="n">
        <v>0</v>
      </c>
      <c r="P114" t="n">
        <v>0</v>
      </c>
      <c r="Q114" t="n">
        <v>2</v>
      </c>
      <c r="R114" s="2" t="inlineStr">
        <is>
          <t>Fällmossa
Hasselticka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44675-2023</t>
        </is>
      </c>
      <c r="B115" s="1" t="n">
        <v>45189</v>
      </c>
      <c r="C115" s="1" t="n">
        <v>46196</v>
      </c>
      <c r="D115" t="inlineStr">
        <is>
          <t>UPPSALA LÄN</t>
        </is>
      </c>
      <c r="E115" t="inlineStr">
        <is>
          <t>UPPSALA</t>
        </is>
      </c>
      <c r="G115" t="n">
        <v>7.1</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44675-2023 artfynd.xlsx", "A 44675-2023")</f>
        <v/>
      </c>
      <c r="T115">
        <f>HYPERLINK("https://klasma.github.io/Logging_0380/kartor/A 44675-2023 karta.png", "A 44675-2023")</f>
        <v/>
      </c>
      <c r="U115">
        <f>HYPERLINK("https://klasma.github.io/Logging_0380/knärot/A 44675-2023 karta knärot.png", "A 44675-2023")</f>
        <v/>
      </c>
      <c r="V115">
        <f>HYPERLINK("https://klasma.github.io/Logging_0380/klagomål/A 44675-2023 FSC-klagomål.docx", "A 44675-2023")</f>
        <v/>
      </c>
      <c r="W115">
        <f>HYPERLINK("https://klasma.github.io/Logging_0380/klagomålsmail/A 44675-2023 FSC-klagomål mail.docx", "A 44675-2023")</f>
        <v/>
      </c>
      <c r="X115">
        <f>HYPERLINK("https://klasma.github.io/Logging_0380/tillsyn/A 44675-2023 tillsynsbegäran.docx", "A 44675-2023")</f>
        <v/>
      </c>
      <c r="Y115">
        <f>HYPERLINK("https://klasma.github.io/Logging_0380/tillsynsmail/A 44675-2023 tillsynsbegäran mail.docx", "A 44675-2023")</f>
        <v/>
      </c>
      <c r="Z115">
        <f>HYPERLINK("https://klasma.github.io/Logging_0380/fåglar/A 44675-2023 prioriterade fågelarter.docx", "A 44675-2023")</f>
        <v/>
      </c>
    </row>
    <row r="116" ht="15" customHeight="1">
      <c r="A116" t="inlineStr">
        <is>
          <t>A 35260-2025</t>
        </is>
      </c>
      <c r="B116" s="1" t="n">
        <v>45853</v>
      </c>
      <c r="C116" s="1" t="n">
        <v>46196</v>
      </c>
      <c r="D116" t="inlineStr">
        <is>
          <t>UPPSALA LÄN</t>
        </is>
      </c>
      <c r="E116" t="inlineStr">
        <is>
          <t>UPPSALA</t>
        </is>
      </c>
      <c r="G116" t="n">
        <v>7.3</v>
      </c>
      <c r="H116" t="n">
        <v>0</v>
      </c>
      <c r="I116" t="n">
        <v>1</v>
      </c>
      <c r="J116" t="n">
        <v>1</v>
      </c>
      <c r="K116" t="n">
        <v>0</v>
      </c>
      <c r="L116" t="n">
        <v>0</v>
      </c>
      <c r="M116" t="n">
        <v>0</v>
      </c>
      <c r="N116" t="n">
        <v>0</v>
      </c>
      <c r="O116" t="n">
        <v>1</v>
      </c>
      <c r="P116" t="n">
        <v>0</v>
      </c>
      <c r="Q116" t="n">
        <v>2</v>
      </c>
      <c r="R116" s="2" t="inlineStr">
        <is>
          <t>Gultoppig fingersvamp
Svavelriska</t>
        </is>
      </c>
      <c r="S116">
        <f>HYPERLINK("https://klasma.github.io/Logging_0380/artfynd/A 35260-2025 artfynd.xlsx", "A 35260-2025")</f>
        <v/>
      </c>
      <c r="T116">
        <f>HYPERLINK("https://klasma.github.io/Logging_0380/kartor/A 35260-2025 karta.png", "A 35260-2025")</f>
        <v/>
      </c>
      <c r="V116">
        <f>HYPERLINK("https://klasma.github.io/Logging_0380/klagomål/A 35260-2025 FSC-klagomål.docx", "A 35260-2025")</f>
        <v/>
      </c>
      <c r="W116">
        <f>HYPERLINK("https://klasma.github.io/Logging_0380/klagomålsmail/A 35260-2025 FSC-klagomål mail.docx", "A 35260-2025")</f>
        <v/>
      </c>
      <c r="X116">
        <f>HYPERLINK("https://klasma.github.io/Logging_0380/tillsyn/A 35260-2025 tillsynsbegäran.docx", "A 35260-2025")</f>
        <v/>
      </c>
      <c r="Y116">
        <f>HYPERLINK("https://klasma.github.io/Logging_0380/tillsynsmail/A 35260-2025 tillsynsbegäran mail.docx", "A 35260-2025")</f>
        <v/>
      </c>
    </row>
    <row r="117" ht="15" customHeight="1">
      <c r="A117" t="inlineStr">
        <is>
          <t>A 5755-2025</t>
        </is>
      </c>
      <c r="B117" s="1" t="n">
        <v>45694</v>
      </c>
      <c r="C117" s="1" t="n">
        <v>46196</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42134-2025</t>
        </is>
      </c>
      <c r="B118" s="1" t="n">
        <v>45904</v>
      </c>
      <c r="C118" s="1" t="n">
        <v>46196</v>
      </c>
      <c r="D118" t="inlineStr">
        <is>
          <t>UPPSALA LÄN</t>
        </is>
      </c>
      <c r="E118" t="inlineStr">
        <is>
          <t>UPPSALA</t>
        </is>
      </c>
      <c r="G118" t="n">
        <v>0.7</v>
      </c>
      <c r="H118" t="n">
        <v>2</v>
      </c>
      <c r="I118" t="n">
        <v>0</v>
      </c>
      <c r="J118" t="n">
        <v>1</v>
      </c>
      <c r="K118" t="n">
        <v>0</v>
      </c>
      <c r="L118" t="n">
        <v>0</v>
      </c>
      <c r="M118" t="n">
        <v>0</v>
      </c>
      <c r="N118" t="n">
        <v>0</v>
      </c>
      <c r="O118" t="n">
        <v>1</v>
      </c>
      <c r="P118" t="n">
        <v>0</v>
      </c>
      <c r="Q118" t="n">
        <v>2</v>
      </c>
      <c r="R118" s="2" t="inlineStr">
        <is>
          <t>Nordfladdermus
Större vattensalamander</t>
        </is>
      </c>
      <c r="S118">
        <f>HYPERLINK("https://klasma.github.io/Logging_0380/artfynd/A 42134-2025 artfynd.xlsx", "A 42134-2025")</f>
        <v/>
      </c>
      <c r="T118">
        <f>HYPERLINK("https://klasma.github.io/Logging_0380/kartor/A 42134-2025 karta.png", "A 42134-2025")</f>
        <v/>
      </c>
      <c r="V118">
        <f>HYPERLINK("https://klasma.github.io/Logging_0380/klagomål/A 42134-2025 FSC-klagomål.docx", "A 42134-2025")</f>
        <v/>
      </c>
      <c r="W118">
        <f>HYPERLINK("https://klasma.github.io/Logging_0380/klagomålsmail/A 42134-2025 FSC-klagomål mail.docx", "A 42134-2025")</f>
        <v/>
      </c>
      <c r="X118">
        <f>HYPERLINK("https://klasma.github.io/Logging_0380/tillsyn/A 42134-2025 tillsynsbegäran.docx", "A 42134-2025")</f>
        <v/>
      </c>
      <c r="Y118">
        <f>HYPERLINK("https://klasma.github.io/Logging_0380/tillsynsmail/A 42134-2025 tillsynsbegäran mail.docx", "A 42134-2025")</f>
        <v/>
      </c>
    </row>
    <row r="119" ht="15" customHeight="1">
      <c r="A119" t="inlineStr">
        <is>
          <t>A 25729-2024</t>
        </is>
      </c>
      <c r="B119" s="1" t="n">
        <v>45464</v>
      </c>
      <c r="C119" s="1" t="n">
        <v>46196</v>
      </c>
      <c r="D119" t="inlineStr">
        <is>
          <t>UPPSALA LÄN</t>
        </is>
      </c>
      <c r="E119" t="inlineStr">
        <is>
          <t>UPPSALA</t>
        </is>
      </c>
      <c r="G119" t="n">
        <v>22.3</v>
      </c>
      <c r="H119" t="n">
        <v>0</v>
      </c>
      <c r="I119" t="n">
        <v>1</v>
      </c>
      <c r="J119" t="n">
        <v>1</v>
      </c>
      <c r="K119" t="n">
        <v>0</v>
      </c>
      <c r="L119" t="n">
        <v>0</v>
      </c>
      <c r="M119" t="n">
        <v>0</v>
      </c>
      <c r="N119" t="n">
        <v>0</v>
      </c>
      <c r="O119" t="n">
        <v>1</v>
      </c>
      <c r="P119" t="n">
        <v>0</v>
      </c>
      <c r="Q119" t="n">
        <v>2</v>
      </c>
      <c r="R119" s="2" t="inlineStr">
        <is>
          <t>Ullticka
Bronshjon</t>
        </is>
      </c>
      <c r="S119">
        <f>HYPERLINK("https://klasma.github.io/Logging_0380/artfynd/A 25729-2024 artfynd.xlsx", "A 25729-2024")</f>
        <v/>
      </c>
      <c r="T119">
        <f>HYPERLINK("https://klasma.github.io/Logging_0380/kartor/A 25729-2024 karta.png", "A 25729-2024")</f>
        <v/>
      </c>
      <c r="V119">
        <f>HYPERLINK("https://klasma.github.io/Logging_0380/klagomål/A 25729-2024 FSC-klagomål.docx", "A 25729-2024")</f>
        <v/>
      </c>
      <c r="W119">
        <f>HYPERLINK("https://klasma.github.io/Logging_0380/klagomålsmail/A 25729-2024 FSC-klagomål mail.docx", "A 25729-2024")</f>
        <v/>
      </c>
      <c r="X119">
        <f>HYPERLINK("https://klasma.github.io/Logging_0380/tillsyn/A 25729-2024 tillsynsbegäran.docx", "A 25729-2024")</f>
        <v/>
      </c>
      <c r="Y119">
        <f>HYPERLINK("https://klasma.github.io/Logging_0380/tillsynsmail/A 25729-2024 tillsynsbegäran mail.docx", "A 25729-2024")</f>
        <v/>
      </c>
    </row>
    <row r="120" ht="15" customHeight="1">
      <c r="A120" t="inlineStr">
        <is>
          <t>A 5750-2023</t>
        </is>
      </c>
      <c r="B120" s="1" t="n">
        <v>44963</v>
      </c>
      <c r="C120" s="1" t="n">
        <v>46196</v>
      </c>
      <c r="D120" t="inlineStr">
        <is>
          <t>UPPSALA LÄN</t>
        </is>
      </c>
      <c r="E120" t="inlineStr">
        <is>
          <t>UPPSALA</t>
        </is>
      </c>
      <c r="G120" t="n">
        <v>13.8</v>
      </c>
      <c r="H120" t="n">
        <v>0</v>
      </c>
      <c r="I120" t="n">
        <v>1</v>
      </c>
      <c r="J120" t="n">
        <v>0</v>
      </c>
      <c r="K120" t="n">
        <v>1</v>
      </c>
      <c r="L120" t="n">
        <v>0</v>
      </c>
      <c r="M120" t="n">
        <v>0</v>
      </c>
      <c r="N120" t="n">
        <v>0</v>
      </c>
      <c r="O120" t="n">
        <v>1</v>
      </c>
      <c r="P120" t="n">
        <v>1</v>
      </c>
      <c r="Q120" t="n">
        <v>2</v>
      </c>
      <c r="R120" s="2" t="inlineStr">
        <is>
          <t>Raggbock
Bårdlav</t>
        </is>
      </c>
      <c r="S120">
        <f>HYPERLINK("https://klasma.github.io/Logging_0380/artfynd/A 5750-2023 artfynd.xlsx", "A 5750-2023")</f>
        <v/>
      </c>
      <c r="T120">
        <f>HYPERLINK("https://klasma.github.io/Logging_0380/kartor/A 5750-2023 karta.png", "A 5750-2023")</f>
        <v/>
      </c>
      <c r="V120">
        <f>HYPERLINK("https://klasma.github.io/Logging_0380/klagomål/A 5750-2023 FSC-klagomål.docx", "A 5750-2023")</f>
        <v/>
      </c>
      <c r="W120">
        <f>HYPERLINK("https://klasma.github.io/Logging_0380/klagomålsmail/A 5750-2023 FSC-klagomål mail.docx", "A 5750-2023")</f>
        <v/>
      </c>
      <c r="X120">
        <f>HYPERLINK("https://klasma.github.io/Logging_0380/tillsyn/A 5750-2023 tillsynsbegäran.docx", "A 5750-2023")</f>
        <v/>
      </c>
      <c r="Y120">
        <f>HYPERLINK("https://klasma.github.io/Logging_0380/tillsynsmail/A 5750-2023 tillsynsbegäran mail.docx", "A 5750-2023")</f>
        <v/>
      </c>
    </row>
    <row r="121" ht="15" customHeight="1">
      <c r="A121" t="inlineStr">
        <is>
          <t>A 46634-2022</t>
        </is>
      </c>
      <c r="B121" s="1" t="n">
        <v>44849</v>
      </c>
      <c r="C121" s="1" t="n">
        <v>46196</v>
      </c>
      <c r="D121" t="inlineStr">
        <is>
          <t>UPPSALA LÄN</t>
        </is>
      </c>
      <c r="E121" t="inlineStr">
        <is>
          <t>UPPSALA</t>
        </is>
      </c>
      <c r="G121" t="n">
        <v>2.9</v>
      </c>
      <c r="H121" t="n">
        <v>0</v>
      </c>
      <c r="I121" t="n">
        <v>0</v>
      </c>
      <c r="J121" t="n">
        <v>2</v>
      </c>
      <c r="K121" t="n">
        <v>0</v>
      </c>
      <c r="L121" t="n">
        <v>0</v>
      </c>
      <c r="M121" t="n">
        <v>0</v>
      </c>
      <c r="N121" t="n">
        <v>0</v>
      </c>
      <c r="O121" t="n">
        <v>2</v>
      </c>
      <c r="P121" t="n">
        <v>0</v>
      </c>
      <c r="Q121" t="n">
        <v>2</v>
      </c>
      <c r="R121" s="2" t="inlineStr">
        <is>
          <t>Fjällig taggsvamp s.str.
Jättekamskivling</t>
        </is>
      </c>
      <c r="S121">
        <f>HYPERLINK("https://klasma.github.io/Logging_0380/artfynd/A 46634-2022 artfynd.xlsx", "A 46634-2022")</f>
        <v/>
      </c>
      <c r="T121">
        <f>HYPERLINK("https://klasma.github.io/Logging_0380/kartor/A 46634-2022 karta.png", "A 46634-2022")</f>
        <v/>
      </c>
      <c r="V121">
        <f>HYPERLINK("https://klasma.github.io/Logging_0380/klagomål/A 46634-2022 FSC-klagomål.docx", "A 46634-2022")</f>
        <v/>
      </c>
      <c r="W121">
        <f>HYPERLINK("https://klasma.github.io/Logging_0380/klagomålsmail/A 46634-2022 FSC-klagomål mail.docx", "A 46634-2022")</f>
        <v/>
      </c>
      <c r="X121">
        <f>HYPERLINK("https://klasma.github.io/Logging_0380/tillsyn/A 46634-2022 tillsynsbegäran.docx", "A 46634-2022")</f>
        <v/>
      </c>
      <c r="Y121">
        <f>HYPERLINK("https://klasma.github.io/Logging_0380/tillsynsmail/A 46634-2022 tillsynsbegäran mail.docx", "A 46634-2022")</f>
        <v/>
      </c>
    </row>
    <row r="122" ht="15" customHeight="1">
      <c r="A122" t="inlineStr">
        <is>
          <t>A 39933-2023</t>
        </is>
      </c>
      <c r="B122" s="1" t="n">
        <v>45168</v>
      </c>
      <c r="C122" s="1" t="n">
        <v>46196</v>
      </c>
      <c r="D122" t="inlineStr">
        <is>
          <t>UPPSALA LÄN</t>
        </is>
      </c>
      <c r="E122" t="inlineStr">
        <is>
          <t>UPPSALA</t>
        </is>
      </c>
      <c r="F122" t="inlineStr">
        <is>
          <t>Holmen skog AB</t>
        </is>
      </c>
      <c r="G122" t="n">
        <v>6.3</v>
      </c>
      <c r="H122" t="n">
        <v>2</v>
      </c>
      <c r="I122" t="n">
        <v>0</v>
      </c>
      <c r="J122" t="n">
        <v>1</v>
      </c>
      <c r="K122" t="n">
        <v>0</v>
      </c>
      <c r="L122" t="n">
        <v>0</v>
      </c>
      <c r="M122" t="n">
        <v>0</v>
      </c>
      <c r="N122" t="n">
        <v>0</v>
      </c>
      <c r="O122" t="n">
        <v>1</v>
      </c>
      <c r="P122" t="n">
        <v>0</v>
      </c>
      <c r="Q122" t="n">
        <v>2</v>
      </c>
      <c r="R122" s="2" t="inlineStr">
        <is>
          <t>Entita
Spillkråka</t>
        </is>
      </c>
      <c r="S122">
        <f>HYPERLINK("https://klasma.github.io/Logging_0380/artfynd/A 39933-2023 artfynd.xlsx", "A 39933-2023")</f>
        <v/>
      </c>
      <c r="T122">
        <f>HYPERLINK("https://klasma.github.io/Logging_0380/kartor/A 39933-2023 karta.png", "A 39933-2023")</f>
        <v/>
      </c>
      <c r="V122">
        <f>HYPERLINK("https://klasma.github.io/Logging_0380/klagomål/A 39933-2023 FSC-klagomål.docx", "A 39933-2023")</f>
        <v/>
      </c>
      <c r="W122">
        <f>HYPERLINK("https://klasma.github.io/Logging_0380/klagomålsmail/A 39933-2023 FSC-klagomål mail.docx", "A 39933-2023")</f>
        <v/>
      </c>
      <c r="X122">
        <f>HYPERLINK("https://klasma.github.io/Logging_0380/tillsyn/A 39933-2023 tillsynsbegäran.docx", "A 39933-2023")</f>
        <v/>
      </c>
      <c r="Y122">
        <f>HYPERLINK("https://klasma.github.io/Logging_0380/tillsynsmail/A 39933-2023 tillsynsbegäran mail.docx", "A 39933-2023")</f>
        <v/>
      </c>
      <c r="Z122">
        <f>HYPERLINK("https://klasma.github.io/Logging_0380/fåglar/A 39933-2023 prioriterade fågelarter.docx", "A 39933-2023")</f>
        <v/>
      </c>
    </row>
    <row r="123" ht="15" customHeight="1">
      <c r="A123" t="inlineStr">
        <is>
          <t>A 20712-2025</t>
        </is>
      </c>
      <c r="B123" s="1" t="n">
        <v>45776</v>
      </c>
      <c r="C123" s="1" t="n">
        <v>46196</v>
      </c>
      <c r="D123" t="inlineStr">
        <is>
          <t>UPPSALA LÄN</t>
        </is>
      </c>
      <c r="E123" t="inlineStr">
        <is>
          <t>UPPSALA</t>
        </is>
      </c>
      <c r="G123" t="n">
        <v>1.5</v>
      </c>
      <c r="H123" t="n">
        <v>1</v>
      </c>
      <c r="I123" t="n">
        <v>1</v>
      </c>
      <c r="J123" t="n">
        <v>0</v>
      </c>
      <c r="K123" t="n">
        <v>0</v>
      </c>
      <c r="L123" t="n">
        <v>0</v>
      </c>
      <c r="M123" t="n">
        <v>0</v>
      </c>
      <c r="N123" t="n">
        <v>0</v>
      </c>
      <c r="O123" t="n">
        <v>0</v>
      </c>
      <c r="P123" t="n">
        <v>0</v>
      </c>
      <c r="Q123" t="n">
        <v>2</v>
      </c>
      <c r="R123" s="2" t="inlineStr">
        <is>
          <t>Gulpudrad spiklav
Blåsippa</t>
        </is>
      </c>
      <c r="S123">
        <f>HYPERLINK("https://klasma.github.io/Logging_0380/artfynd/A 20712-2025 artfynd.xlsx", "A 20712-2025")</f>
        <v/>
      </c>
      <c r="T123">
        <f>HYPERLINK("https://klasma.github.io/Logging_0380/kartor/A 20712-2025 karta.png", "A 20712-2025")</f>
        <v/>
      </c>
      <c r="V123">
        <f>HYPERLINK("https://klasma.github.io/Logging_0380/klagomål/A 20712-2025 FSC-klagomål.docx", "A 20712-2025")</f>
        <v/>
      </c>
      <c r="W123">
        <f>HYPERLINK("https://klasma.github.io/Logging_0380/klagomålsmail/A 20712-2025 FSC-klagomål mail.docx", "A 20712-2025")</f>
        <v/>
      </c>
      <c r="X123">
        <f>HYPERLINK("https://klasma.github.io/Logging_0380/tillsyn/A 20712-2025 tillsynsbegäran.docx", "A 20712-2025")</f>
        <v/>
      </c>
      <c r="Y123">
        <f>HYPERLINK("https://klasma.github.io/Logging_0380/tillsynsmail/A 20712-2025 tillsynsbegäran mail.docx", "A 20712-2025")</f>
        <v/>
      </c>
    </row>
    <row r="124" ht="15" customHeight="1">
      <c r="A124" t="inlineStr">
        <is>
          <t>A 22645-2022</t>
        </is>
      </c>
      <c r="B124" s="1" t="n">
        <v>44714</v>
      </c>
      <c r="C124" s="1" t="n">
        <v>46196</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46196</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46196</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46196</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46196</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58050-2021</t>
        </is>
      </c>
      <c r="B129" s="1" t="n">
        <v>44487</v>
      </c>
      <c r="C129" s="1" t="n">
        <v>46196</v>
      </c>
      <c r="D129" t="inlineStr">
        <is>
          <t>UPPSALA LÄN</t>
        </is>
      </c>
      <c r="E129" t="inlineStr">
        <is>
          <t>UPPSALA</t>
        </is>
      </c>
      <c r="G129" t="n">
        <v>4.4</v>
      </c>
      <c r="H129" t="n">
        <v>0</v>
      </c>
      <c r="I129" t="n">
        <v>0</v>
      </c>
      <c r="J129" t="n">
        <v>1</v>
      </c>
      <c r="K129" t="n">
        <v>0</v>
      </c>
      <c r="L129" t="n">
        <v>0</v>
      </c>
      <c r="M129" t="n">
        <v>0</v>
      </c>
      <c r="N129" t="n">
        <v>0</v>
      </c>
      <c r="O129" t="n">
        <v>1</v>
      </c>
      <c r="P129" t="n">
        <v>0</v>
      </c>
      <c r="Q129" t="n">
        <v>1</v>
      </c>
      <c r="R129" s="2" t="inlineStr">
        <is>
          <t>Ullticka</t>
        </is>
      </c>
      <c r="S129">
        <f>HYPERLINK("https://klasma.github.io/Logging_0380/artfynd/A 58050-2021 artfynd.xlsx", "A 58050-2021")</f>
        <v/>
      </c>
      <c r="T129">
        <f>HYPERLINK("https://klasma.github.io/Logging_0380/kartor/A 58050-2021 karta.png", "A 58050-2021")</f>
        <v/>
      </c>
      <c r="V129">
        <f>HYPERLINK("https://klasma.github.io/Logging_0380/klagomål/A 58050-2021 FSC-klagomål.docx", "A 58050-2021")</f>
        <v/>
      </c>
      <c r="W129">
        <f>HYPERLINK("https://klasma.github.io/Logging_0380/klagomålsmail/A 58050-2021 FSC-klagomål mail.docx", "A 58050-2021")</f>
        <v/>
      </c>
      <c r="X129">
        <f>HYPERLINK("https://klasma.github.io/Logging_0380/tillsyn/A 58050-2021 tillsynsbegäran.docx", "A 58050-2021")</f>
        <v/>
      </c>
      <c r="Y129">
        <f>HYPERLINK("https://klasma.github.io/Logging_0380/tillsynsmail/A 58050-2021 tillsynsbegäran mail.docx", "A 58050-2021")</f>
        <v/>
      </c>
    </row>
    <row r="130" ht="15" customHeight="1">
      <c r="A130" t="inlineStr">
        <is>
          <t>A 51475-2025</t>
        </is>
      </c>
      <c r="B130" s="1" t="n">
        <v>45950</v>
      </c>
      <c r="C130" s="1" t="n">
        <v>46196</v>
      </c>
      <c r="D130" t="inlineStr">
        <is>
          <t>UPPSALA LÄN</t>
        </is>
      </c>
      <c r="E130" t="inlineStr">
        <is>
          <t>UPPSALA</t>
        </is>
      </c>
      <c r="G130" t="n">
        <v>3.3</v>
      </c>
      <c r="H130" t="n">
        <v>0</v>
      </c>
      <c r="I130" t="n">
        <v>1</v>
      </c>
      <c r="J130" t="n">
        <v>0</v>
      </c>
      <c r="K130" t="n">
        <v>0</v>
      </c>
      <c r="L130" t="n">
        <v>0</v>
      </c>
      <c r="M130" t="n">
        <v>0</v>
      </c>
      <c r="N130" t="n">
        <v>0</v>
      </c>
      <c r="O130" t="n">
        <v>0</v>
      </c>
      <c r="P130" t="n">
        <v>0</v>
      </c>
      <c r="Q130" t="n">
        <v>1</v>
      </c>
      <c r="R130" s="2" t="inlineStr">
        <is>
          <t>Bronshjon</t>
        </is>
      </c>
      <c r="S130">
        <f>HYPERLINK("https://klasma.github.io/Logging_0380/artfynd/A 51475-2025 artfynd.xlsx", "A 51475-2025")</f>
        <v/>
      </c>
      <c r="T130">
        <f>HYPERLINK("https://klasma.github.io/Logging_0380/kartor/A 51475-2025 karta.png", "A 51475-2025")</f>
        <v/>
      </c>
      <c r="V130">
        <f>HYPERLINK("https://klasma.github.io/Logging_0380/klagomål/A 51475-2025 FSC-klagomål.docx", "A 51475-2025")</f>
        <v/>
      </c>
      <c r="W130">
        <f>HYPERLINK("https://klasma.github.io/Logging_0380/klagomålsmail/A 51475-2025 FSC-klagomål mail.docx", "A 51475-2025")</f>
        <v/>
      </c>
      <c r="X130">
        <f>HYPERLINK("https://klasma.github.io/Logging_0380/tillsyn/A 51475-2025 tillsynsbegäran.docx", "A 51475-2025")</f>
        <v/>
      </c>
      <c r="Y130">
        <f>HYPERLINK("https://klasma.github.io/Logging_0380/tillsynsmail/A 51475-2025 tillsynsbegäran mail.docx", "A 51475-2025")</f>
        <v/>
      </c>
    </row>
    <row r="131" ht="15" customHeight="1">
      <c r="A131" t="inlineStr">
        <is>
          <t>A 40568-2025</t>
        </is>
      </c>
      <c r="B131" s="1" t="n">
        <v>45896</v>
      </c>
      <c r="C131" s="1" t="n">
        <v>46196</v>
      </c>
      <c r="D131" t="inlineStr">
        <is>
          <t>UPPSALA LÄN</t>
        </is>
      </c>
      <c r="E131" t="inlineStr">
        <is>
          <t>UPPSALA</t>
        </is>
      </c>
      <c r="F131" t="inlineStr">
        <is>
          <t>Kyrkan</t>
        </is>
      </c>
      <c r="G131" t="n">
        <v>2.1</v>
      </c>
      <c r="H131" t="n">
        <v>0</v>
      </c>
      <c r="I131" t="n">
        <v>1</v>
      </c>
      <c r="J131" t="n">
        <v>0</v>
      </c>
      <c r="K131" t="n">
        <v>0</v>
      </c>
      <c r="L131" t="n">
        <v>0</v>
      </c>
      <c r="M131" t="n">
        <v>0</v>
      </c>
      <c r="N131" t="n">
        <v>0</v>
      </c>
      <c r="O131" t="n">
        <v>0</v>
      </c>
      <c r="P131" t="n">
        <v>0</v>
      </c>
      <c r="Q131" t="n">
        <v>1</v>
      </c>
      <c r="R131" s="2" t="inlineStr">
        <is>
          <t>Rödgul trumpetsvamp</t>
        </is>
      </c>
      <c r="S131">
        <f>HYPERLINK("https://klasma.github.io/Logging_0380/artfynd/A 40568-2025 artfynd.xlsx", "A 40568-2025")</f>
        <v/>
      </c>
      <c r="T131">
        <f>HYPERLINK("https://klasma.github.io/Logging_0380/kartor/A 40568-2025 karta.png", "A 40568-2025")</f>
        <v/>
      </c>
      <c r="V131">
        <f>HYPERLINK("https://klasma.github.io/Logging_0380/klagomål/A 40568-2025 FSC-klagomål.docx", "A 40568-2025")</f>
        <v/>
      </c>
      <c r="W131">
        <f>HYPERLINK("https://klasma.github.io/Logging_0380/klagomålsmail/A 40568-2025 FSC-klagomål mail.docx", "A 40568-2025")</f>
        <v/>
      </c>
      <c r="X131">
        <f>HYPERLINK("https://klasma.github.io/Logging_0380/tillsyn/A 40568-2025 tillsynsbegäran.docx", "A 40568-2025")</f>
        <v/>
      </c>
      <c r="Y131">
        <f>HYPERLINK("https://klasma.github.io/Logging_0380/tillsynsmail/A 40568-2025 tillsynsbegäran mail.docx", "A 40568-2025")</f>
        <v/>
      </c>
    </row>
    <row r="132" ht="15" customHeight="1">
      <c r="A132" t="inlineStr">
        <is>
          <t>A 29906-2023</t>
        </is>
      </c>
      <c r="B132" s="1" t="n">
        <v>45107</v>
      </c>
      <c r="C132" s="1" t="n">
        <v>46196</v>
      </c>
      <c r="D132" t="inlineStr">
        <is>
          <t>UPPSALA LÄN</t>
        </is>
      </c>
      <c r="E132" t="inlineStr">
        <is>
          <t>UPPSALA</t>
        </is>
      </c>
      <c r="F132" t="inlineStr">
        <is>
          <t>Kyrkan</t>
        </is>
      </c>
      <c r="G132" t="n">
        <v>0.5</v>
      </c>
      <c r="H132" t="n">
        <v>0</v>
      </c>
      <c r="I132" t="n">
        <v>1</v>
      </c>
      <c r="J132" t="n">
        <v>0</v>
      </c>
      <c r="K132" t="n">
        <v>0</v>
      </c>
      <c r="L132" t="n">
        <v>0</v>
      </c>
      <c r="M132" t="n">
        <v>0</v>
      </c>
      <c r="N132" t="n">
        <v>0</v>
      </c>
      <c r="O132" t="n">
        <v>0</v>
      </c>
      <c r="P132" t="n">
        <v>0</v>
      </c>
      <c r="Q132" t="n">
        <v>1</v>
      </c>
      <c r="R132" s="2" t="inlineStr">
        <is>
          <t>Sotriska</t>
        </is>
      </c>
      <c r="S132">
        <f>HYPERLINK("https://klasma.github.io/Logging_0380/artfynd/A 29906-2023 artfynd.xlsx", "A 29906-2023")</f>
        <v/>
      </c>
      <c r="T132">
        <f>HYPERLINK("https://klasma.github.io/Logging_0380/kartor/A 29906-2023 karta.png", "A 29906-2023")</f>
        <v/>
      </c>
      <c r="V132">
        <f>HYPERLINK("https://klasma.github.io/Logging_0380/klagomål/A 29906-2023 FSC-klagomål.docx", "A 29906-2023")</f>
        <v/>
      </c>
      <c r="W132">
        <f>HYPERLINK("https://klasma.github.io/Logging_0380/klagomålsmail/A 29906-2023 FSC-klagomål mail.docx", "A 29906-2023")</f>
        <v/>
      </c>
      <c r="X132">
        <f>HYPERLINK("https://klasma.github.io/Logging_0380/tillsyn/A 29906-2023 tillsynsbegäran.docx", "A 29906-2023")</f>
        <v/>
      </c>
      <c r="Y132">
        <f>HYPERLINK("https://klasma.github.io/Logging_0380/tillsynsmail/A 29906-2023 tillsynsbegäran mail.docx", "A 29906-2023")</f>
        <v/>
      </c>
    </row>
    <row r="133" ht="15" customHeight="1">
      <c r="A133" t="inlineStr">
        <is>
          <t>A 44385-2025</t>
        </is>
      </c>
      <c r="B133" s="1" t="n">
        <v>45916</v>
      </c>
      <c r="C133" s="1" t="n">
        <v>46196</v>
      </c>
      <c r="D133" t="inlineStr">
        <is>
          <t>UPPSALA LÄN</t>
        </is>
      </c>
      <c r="E133" t="inlineStr">
        <is>
          <t>UPPSALA</t>
        </is>
      </c>
      <c r="F133" t="inlineStr">
        <is>
          <t>Bergvik skog öst AB</t>
        </is>
      </c>
      <c r="G133" t="n">
        <v>6.8</v>
      </c>
      <c r="H133" t="n">
        <v>1</v>
      </c>
      <c r="I133" t="n">
        <v>0</v>
      </c>
      <c r="J133" t="n">
        <v>0</v>
      </c>
      <c r="K133" t="n">
        <v>0</v>
      </c>
      <c r="L133" t="n">
        <v>0</v>
      </c>
      <c r="M133" t="n">
        <v>0</v>
      </c>
      <c r="N133" t="n">
        <v>0</v>
      </c>
      <c r="O133" t="n">
        <v>0</v>
      </c>
      <c r="P133" t="n">
        <v>0</v>
      </c>
      <c r="Q133" t="n">
        <v>1</v>
      </c>
      <c r="R133" s="2" t="inlineStr">
        <is>
          <t>Blåsippa</t>
        </is>
      </c>
      <c r="S133">
        <f>HYPERLINK("https://klasma.github.io/Logging_0380/artfynd/A 44385-2025 artfynd.xlsx", "A 44385-2025")</f>
        <v/>
      </c>
      <c r="T133">
        <f>HYPERLINK("https://klasma.github.io/Logging_0380/kartor/A 44385-2025 karta.png", "A 44385-2025")</f>
        <v/>
      </c>
      <c r="V133">
        <f>HYPERLINK("https://klasma.github.io/Logging_0380/klagomål/A 44385-2025 FSC-klagomål.docx", "A 44385-2025")</f>
        <v/>
      </c>
      <c r="W133">
        <f>HYPERLINK("https://klasma.github.io/Logging_0380/klagomålsmail/A 44385-2025 FSC-klagomål mail.docx", "A 44385-2025")</f>
        <v/>
      </c>
      <c r="X133">
        <f>HYPERLINK("https://klasma.github.io/Logging_0380/tillsyn/A 44385-2025 tillsynsbegäran.docx", "A 44385-2025")</f>
        <v/>
      </c>
      <c r="Y133">
        <f>HYPERLINK("https://klasma.github.io/Logging_0380/tillsynsmail/A 44385-2025 tillsynsbegäran mail.docx", "A 44385-2025")</f>
        <v/>
      </c>
    </row>
    <row r="134" ht="15" customHeight="1">
      <c r="A134" t="inlineStr">
        <is>
          <t>A 27848-2023</t>
        </is>
      </c>
      <c r="B134" s="1" t="n">
        <v>45098</v>
      </c>
      <c r="C134" s="1" t="n">
        <v>46196</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13526-2025</t>
        </is>
      </c>
      <c r="B135" s="1" t="n">
        <v>45736</v>
      </c>
      <c r="C135" s="1" t="n">
        <v>46196</v>
      </c>
      <c r="D135" t="inlineStr">
        <is>
          <t>UPPSALA LÄN</t>
        </is>
      </c>
      <c r="E135" t="inlineStr">
        <is>
          <t>UPPSALA</t>
        </is>
      </c>
      <c r="F135" t="inlineStr">
        <is>
          <t>Allmännings- och besparingsskogar</t>
        </is>
      </c>
      <c r="G135" t="n">
        <v>3</v>
      </c>
      <c r="H135" t="n">
        <v>0</v>
      </c>
      <c r="I135" t="n">
        <v>0</v>
      </c>
      <c r="J135" t="n">
        <v>1</v>
      </c>
      <c r="K135" t="n">
        <v>0</v>
      </c>
      <c r="L135" t="n">
        <v>0</v>
      </c>
      <c r="M135" t="n">
        <v>0</v>
      </c>
      <c r="N135" t="n">
        <v>0</v>
      </c>
      <c r="O135" t="n">
        <v>1</v>
      </c>
      <c r="P135" t="n">
        <v>0</v>
      </c>
      <c r="Q135" t="n">
        <v>1</v>
      </c>
      <c r="R135" s="2" t="inlineStr">
        <is>
          <t>Vedtrappmossa</t>
        </is>
      </c>
      <c r="S135">
        <f>HYPERLINK("https://klasma.github.io/Logging_0380/artfynd/A 13526-2025 artfynd.xlsx", "A 13526-2025")</f>
        <v/>
      </c>
      <c r="T135">
        <f>HYPERLINK("https://klasma.github.io/Logging_0380/kartor/A 13526-2025 karta.png", "A 13526-2025")</f>
        <v/>
      </c>
      <c r="V135">
        <f>HYPERLINK("https://klasma.github.io/Logging_0380/klagomål/A 13526-2025 FSC-klagomål.docx", "A 13526-2025")</f>
        <v/>
      </c>
      <c r="W135">
        <f>HYPERLINK("https://klasma.github.io/Logging_0380/klagomålsmail/A 13526-2025 FSC-klagomål mail.docx", "A 13526-2025")</f>
        <v/>
      </c>
      <c r="X135">
        <f>HYPERLINK("https://klasma.github.io/Logging_0380/tillsyn/A 13526-2025 tillsynsbegäran.docx", "A 13526-2025")</f>
        <v/>
      </c>
      <c r="Y135">
        <f>HYPERLINK("https://klasma.github.io/Logging_0380/tillsynsmail/A 13526-2025 tillsynsbegäran mail.docx", "A 13526-2025")</f>
        <v/>
      </c>
    </row>
    <row r="136" ht="15" customHeight="1">
      <c r="A136" t="inlineStr">
        <is>
          <t>A 49164-2025</t>
        </is>
      </c>
      <c r="B136" s="1" t="n">
        <v>45938</v>
      </c>
      <c r="C136" s="1" t="n">
        <v>46196</v>
      </c>
      <c r="D136" t="inlineStr">
        <is>
          <t>UPPSALA LÄN</t>
        </is>
      </c>
      <c r="E136" t="inlineStr">
        <is>
          <t>UPPSALA</t>
        </is>
      </c>
      <c r="F136" t="inlineStr">
        <is>
          <t>Kyrkan</t>
        </is>
      </c>
      <c r="G136" t="n">
        <v>1</v>
      </c>
      <c r="H136" t="n">
        <v>0</v>
      </c>
      <c r="I136" t="n">
        <v>0</v>
      </c>
      <c r="J136" t="n">
        <v>0</v>
      </c>
      <c r="K136" t="n">
        <v>1</v>
      </c>
      <c r="L136" t="n">
        <v>0</v>
      </c>
      <c r="M136" t="n">
        <v>0</v>
      </c>
      <c r="N136" t="n">
        <v>0</v>
      </c>
      <c r="O136" t="n">
        <v>1</v>
      </c>
      <c r="P136" t="n">
        <v>1</v>
      </c>
      <c r="Q136" t="n">
        <v>1</v>
      </c>
      <c r="R136" s="2" t="inlineStr">
        <is>
          <t>Raggbock</t>
        </is>
      </c>
      <c r="S136">
        <f>HYPERLINK("https://klasma.github.io/Logging_0380/artfynd/A 49164-2025 artfynd.xlsx", "A 49164-2025")</f>
        <v/>
      </c>
      <c r="T136">
        <f>HYPERLINK("https://klasma.github.io/Logging_0380/kartor/A 49164-2025 karta.png", "A 49164-2025")</f>
        <v/>
      </c>
      <c r="V136">
        <f>HYPERLINK("https://klasma.github.io/Logging_0380/klagomål/A 49164-2025 FSC-klagomål.docx", "A 49164-2025")</f>
        <v/>
      </c>
      <c r="W136">
        <f>HYPERLINK("https://klasma.github.io/Logging_0380/klagomålsmail/A 49164-2025 FSC-klagomål mail.docx", "A 49164-2025")</f>
        <v/>
      </c>
      <c r="X136">
        <f>HYPERLINK("https://klasma.github.io/Logging_0380/tillsyn/A 49164-2025 tillsynsbegäran.docx", "A 49164-2025")</f>
        <v/>
      </c>
      <c r="Y136">
        <f>HYPERLINK("https://klasma.github.io/Logging_0380/tillsynsmail/A 49164-2025 tillsynsbegäran mail.docx", "A 49164-2025")</f>
        <v/>
      </c>
    </row>
    <row r="137" ht="15" customHeight="1">
      <c r="A137" t="inlineStr">
        <is>
          <t>A 63075-2025</t>
        </is>
      </c>
      <c r="B137" s="1" t="n">
        <v>46009</v>
      </c>
      <c r="C137" s="1" t="n">
        <v>46196</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33571-2025</t>
        </is>
      </c>
      <c r="B138" s="1" t="n">
        <v>45841</v>
      </c>
      <c r="C138" s="1" t="n">
        <v>46196</v>
      </c>
      <c r="D138" t="inlineStr">
        <is>
          <t>UPPSALA LÄN</t>
        </is>
      </c>
      <c r="E138" t="inlineStr">
        <is>
          <t>UPPSALA</t>
        </is>
      </c>
      <c r="G138" t="n">
        <v>1.6</v>
      </c>
      <c r="H138" t="n">
        <v>0</v>
      </c>
      <c r="I138" t="n">
        <v>0</v>
      </c>
      <c r="J138" t="n">
        <v>1</v>
      </c>
      <c r="K138" t="n">
        <v>0</v>
      </c>
      <c r="L138" t="n">
        <v>0</v>
      </c>
      <c r="M138" t="n">
        <v>0</v>
      </c>
      <c r="N138" t="n">
        <v>0</v>
      </c>
      <c r="O138" t="n">
        <v>1</v>
      </c>
      <c r="P138" t="n">
        <v>0</v>
      </c>
      <c r="Q138" t="n">
        <v>1</v>
      </c>
      <c r="R138" s="2" t="inlineStr">
        <is>
          <t>Blek fingersvamp</t>
        </is>
      </c>
      <c r="S138">
        <f>HYPERLINK("https://klasma.github.io/Logging_0380/artfynd/A 33571-2025 artfynd.xlsx", "A 33571-2025")</f>
        <v/>
      </c>
      <c r="T138">
        <f>HYPERLINK("https://klasma.github.io/Logging_0380/kartor/A 33571-2025 karta.png", "A 33571-2025")</f>
        <v/>
      </c>
      <c r="V138">
        <f>HYPERLINK("https://klasma.github.io/Logging_0380/klagomål/A 33571-2025 FSC-klagomål.docx", "A 33571-2025")</f>
        <v/>
      </c>
      <c r="W138">
        <f>HYPERLINK("https://klasma.github.io/Logging_0380/klagomålsmail/A 33571-2025 FSC-klagomål mail.docx", "A 33571-2025")</f>
        <v/>
      </c>
      <c r="X138">
        <f>HYPERLINK("https://klasma.github.io/Logging_0380/tillsyn/A 33571-2025 tillsynsbegäran.docx", "A 33571-2025")</f>
        <v/>
      </c>
      <c r="Y138">
        <f>HYPERLINK("https://klasma.github.io/Logging_0380/tillsynsmail/A 33571-2025 tillsynsbegäran mail.docx", "A 33571-2025")</f>
        <v/>
      </c>
    </row>
    <row r="139" ht="15" customHeight="1">
      <c r="A139" t="inlineStr">
        <is>
          <t>A 5309-2022</t>
        </is>
      </c>
      <c r="B139" s="1" t="n">
        <v>44594</v>
      </c>
      <c r="C139" s="1" t="n">
        <v>46196</v>
      </c>
      <c r="D139" t="inlineStr">
        <is>
          <t>UPPSALA LÄN</t>
        </is>
      </c>
      <c r="E139" t="inlineStr">
        <is>
          <t>UPPSALA</t>
        </is>
      </c>
      <c r="G139" t="n">
        <v>4.8</v>
      </c>
      <c r="H139" t="n">
        <v>0</v>
      </c>
      <c r="I139" t="n">
        <v>1</v>
      </c>
      <c r="J139" t="n">
        <v>0</v>
      </c>
      <c r="K139" t="n">
        <v>0</v>
      </c>
      <c r="L139" t="n">
        <v>0</v>
      </c>
      <c r="M139" t="n">
        <v>0</v>
      </c>
      <c r="N139" t="n">
        <v>0</v>
      </c>
      <c r="O139" t="n">
        <v>0</v>
      </c>
      <c r="P139" t="n">
        <v>0</v>
      </c>
      <c r="Q139" t="n">
        <v>1</v>
      </c>
      <c r="R139" s="2" t="inlineStr">
        <is>
          <t>Grönpyrola</t>
        </is>
      </c>
      <c r="S139">
        <f>HYPERLINK("https://klasma.github.io/Logging_0380/artfynd/A 5309-2022 artfynd.xlsx", "A 5309-2022")</f>
        <v/>
      </c>
      <c r="T139">
        <f>HYPERLINK("https://klasma.github.io/Logging_0380/kartor/A 5309-2022 karta.png", "A 5309-2022")</f>
        <v/>
      </c>
      <c r="V139">
        <f>HYPERLINK("https://klasma.github.io/Logging_0380/klagomål/A 5309-2022 FSC-klagomål.docx", "A 5309-2022")</f>
        <v/>
      </c>
      <c r="W139">
        <f>HYPERLINK("https://klasma.github.io/Logging_0380/klagomålsmail/A 5309-2022 FSC-klagomål mail.docx", "A 5309-2022")</f>
        <v/>
      </c>
      <c r="X139">
        <f>HYPERLINK("https://klasma.github.io/Logging_0380/tillsyn/A 5309-2022 tillsynsbegäran.docx", "A 5309-2022")</f>
        <v/>
      </c>
      <c r="Y139">
        <f>HYPERLINK("https://klasma.github.io/Logging_0380/tillsynsmail/A 5309-2022 tillsynsbegäran mail.docx", "A 5309-2022")</f>
        <v/>
      </c>
    </row>
    <row r="140" ht="15" customHeight="1">
      <c r="A140" t="inlineStr">
        <is>
          <t>A 26135-2025</t>
        </is>
      </c>
      <c r="B140" s="1" t="n">
        <v>45805</v>
      </c>
      <c r="C140" s="1" t="n">
        <v>46196</v>
      </c>
      <c r="D140" t="inlineStr">
        <is>
          <t>UPPSALA LÄN</t>
        </is>
      </c>
      <c r="E140" t="inlineStr">
        <is>
          <t>UPPSALA</t>
        </is>
      </c>
      <c r="F140" t="inlineStr">
        <is>
          <t>Holmen skog AB</t>
        </is>
      </c>
      <c r="G140" t="n">
        <v>3.1</v>
      </c>
      <c r="H140" t="n">
        <v>0</v>
      </c>
      <c r="I140" t="n">
        <v>0</v>
      </c>
      <c r="J140" t="n">
        <v>1</v>
      </c>
      <c r="K140" t="n">
        <v>0</v>
      </c>
      <c r="L140" t="n">
        <v>0</v>
      </c>
      <c r="M140" t="n">
        <v>0</v>
      </c>
      <c r="N140" t="n">
        <v>0</v>
      </c>
      <c r="O140" t="n">
        <v>1</v>
      </c>
      <c r="P140" t="n">
        <v>0</v>
      </c>
      <c r="Q140" t="n">
        <v>1</v>
      </c>
      <c r="R140" s="2" t="inlineStr">
        <is>
          <t>Vedtrappmossa</t>
        </is>
      </c>
      <c r="S140">
        <f>HYPERLINK("https://klasma.github.io/Logging_0380/artfynd/A 26135-2025 artfynd.xlsx", "A 26135-2025")</f>
        <v/>
      </c>
      <c r="T140">
        <f>HYPERLINK("https://klasma.github.io/Logging_0380/kartor/A 26135-2025 karta.png", "A 26135-2025")</f>
        <v/>
      </c>
      <c r="V140">
        <f>HYPERLINK("https://klasma.github.io/Logging_0380/klagomål/A 26135-2025 FSC-klagomål.docx", "A 26135-2025")</f>
        <v/>
      </c>
      <c r="W140">
        <f>HYPERLINK("https://klasma.github.io/Logging_0380/klagomålsmail/A 26135-2025 FSC-klagomål mail.docx", "A 26135-2025")</f>
        <v/>
      </c>
      <c r="X140">
        <f>HYPERLINK("https://klasma.github.io/Logging_0380/tillsyn/A 26135-2025 tillsynsbegäran.docx", "A 26135-2025")</f>
        <v/>
      </c>
      <c r="Y140">
        <f>HYPERLINK("https://klasma.github.io/Logging_0380/tillsynsmail/A 26135-2025 tillsynsbegäran mail.docx", "A 26135-2025")</f>
        <v/>
      </c>
    </row>
    <row r="141" ht="15" customHeight="1">
      <c r="A141" t="inlineStr">
        <is>
          <t>A 9069-2026</t>
        </is>
      </c>
      <c r="B141" s="1" t="n">
        <v>46069</v>
      </c>
      <c r="C141" s="1" t="n">
        <v>46196</v>
      </c>
      <c r="D141" t="inlineStr">
        <is>
          <t>UPPSALA LÄN</t>
        </is>
      </c>
      <c r="E141" t="inlineStr">
        <is>
          <t>UPPSALA</t>
        </is>
      </c>
      <c r="F141" t="inlineStr">
        <is>
          <t>Holmen skog AB</t>
        </is>
      </c>
      <c r="G141" t="n">
        <v>4.9</v>
      </c>
      <c r="H141" t="n">
        <v>1</v>
      </c>
      <c r="I141" t="n">
        <v>0</v>
      </c>
      <c r="J141" t="n">
        <v>0</v>
      </c>
      <c r="K141" t="n">
        <v>0</v>
      </c>
      <c r="L141" t="n">
        <v>0</v>
      </c>
      <c r="M141" t="n">
        <v>0</v>
      </c>
      <c r="N141" t="n">
        <v>0</v>
      </c>
      <c r="O141" t="n">
        <v>0</v>
      </c>
      <c r="P141" t="n">
        <v>0</v>
      </c>
      <c r="Q141" t="n">
        <v>1</v>
      </c>
      <c r="R141" s="2" t="inlineStr">
        <is>
          <t>Gröngöling</t>
        </is>
      </c>
      <c r="S141">
        <f>HYPERLINK("https://klasma.github.io/Logging_0380/artfynd/A 9069-2026 artfynd.xlsx", "A 9069-2026")</f>
        <v/>
      </c>
      <c r="T141">
        <f>HYPERLINK("https://klasma.github.io/Logging_0380/kartor/A 9069-2026 karta.png", "A 9069-2026")</f>
        <v/>
      </c>
      <c r="V141">
        <f>HYPERLINK("https://klasma.github.io/Logging_0380/klagomål/A 9069-2026 FSC-klagomål.docx", "A 9069-2026")</f>
        <v/>
      </c>
      <c r="W141">
        <f>HYPERLINK("https://klasma.github.io/Logging_0380/klagomålsmail/A 9069-2026 FSC-klagomål mail.docx", "A 9069-2026")</f>
        <v/>
      </c>
      <c r="X141">
        <f>HYPERLINK("https://klasma.github.io/Logging_0380/tillsyn/A 9069-2026 tillsynsbegäran.docx", "A 9069-2026")</f>
        <v/>
      </c>
      <c r="Y141">
        <f>HYPERLINK("https://klasma.github.io/Logging_0380/tillsynsmail/A 9069-2026 tillsynsbegäran mail.docx", "A 9069-2026")</f>
        <v/>
      </c>
    </row>
    <row r="142" ht="15" customHeight="1">
      <c r="A142" t="inlineStr">
        <is>
          <t>A 61818-2022</t>
        </is>
      </c>
      <c r="B142" s="1" t="n">
        <v>44917</v>
      </c>
      <c r="C142" s="1" t="n">
        <v>46196</v>
      </c>
      <c r="D142" t="inlineStr">
        <is>
          <t>UPPSALA LÄN</t>
        </is>
      </c>
      <c r="E142" t="inlineStr">
        <is>
          <t>UPPSALA</t>
        </is>
      </c>
      <c r="F142" t="inlineStr">
        <is>
          <t>Holmen skog AB</t>
        </is>
      </c>
      <c r="G142" t="n">
        <v>0.8</v>
      </c>
      <c r="H142" t="n">
        <v>0</v>
      </c>
      <c r="I142" t="n">
        <v>0</v>
      </c>
      <c r="J142" t="n">
        <v>1</v>
      </c>
      <c r="K142" t="n">
        <v>0</v>
      </c>
      <c r="L142" t="n">
        <v>0</v>
      </c>
      <c r="M142" t="n">
        <v>0</v>
      </c>
      <c r="N142" t="n">
        <v>0</v>
      </c>
      <c r="O142" t="n">
        <v>1</v>
      </c>
      <c r="P142" t="n">
        <v>0</v>
      </c>
      <c r="Q142" t="n">
        <v>1</v>
      </c>
      <c r="R142" s="2" t="inlineStr">
        <is>
          <t>Blekticka</t>
        </is>
      </c>
      <c r="S142">
        <f>HYPERLINK("https://klasma.github.io/Logging_0380/artfynd/A 61818-2022 artfynd.xlsx", "A 61818-2022")</f>
        <v/>
      </c>
      <c r="T142">
        <f>HYPERLINK("https://klasma.github.io/Logging_0380/kartor/A 61818-2022 karta.png", "A 61818-2022")</f>
        <v/>
      </c>
      <c r="V142">
        <f>HYPERLINK("https://klasma.github.io/Logging_0380/klagomål/A 61818-2022 FSC-klagomål.docx", "A 61818-2022")</f>
        <v/>
      </c>
      <c r="W142">
        <f>HYPERLINK("https://klasma.github.io/Logging_0380/klagomålsmail/A 61818-2022 FSC-klagomål mail.docx", "A 61818-2022")</f>
        <v/>
      </c>
      <c r="X142">
        <f>HYPERLINK("https://klasma.github.io/Logging_0380/tillsyn/A 61818-2022 tillsynsbegäran.docx", "A 61818-2022")</f>
        <v/>
      </c>
      <c r="Y142">
        <f>HYPERLINK("https://klasma.github.io/Logging_0380/tillsynsmail/A 61818-2022 tillsynsbegäran mail.docx", "A 61818-2022")</f>
        <v/>
      </c>
    </row>
    <row r="143" ht="15" customHeight="1">
      <c r="A143" t="inlineStr">
        <is>
          <t>A 6999-2023</t>
        </is>
      </c>
      <c r="B143" s="1" t="n">
        <v>44967</v>
      </c>
      <c r="C143" s="1" t="n">
        <v>46196</v>
      </c>
      <c r="D143" t="inlineStr">
        <is>
          <t>UPPSALA LÄN</t>
        </is>
      </c>
      <c r="E143" t="inlineStr">
        <is>
          <t>UPPSALA</t>
        </is>
      </c>
      <c r="G143" t="n">
        <v>1</v>
      </c>
      <c r="H143" t="n">
        <v>1</v>
      </c>
      <c r="I143" t="n">
        <v>0</v>
      </c>
      <c r="J143" t="n">
        <v>0</v>
      </c>
      <c r="K143" t="n">
        <v>0</v>
      </c>
      <c r="L143" t="n">
        <v>0</v>
      </c>
      <c r="M143" t="n">
        <v>1</v>
      </c>
      <c r="N143" t="n">
        <v>0</v>
      </c>
      <c r="O143" t="n">
        <v>1</v>
      </c>
      <c r="P143" t="n">
        <v>1</v>
      </c>
      <c r="Q143" t="n">
        <v>1</v>
      </c>
      <c r="R143" s="2" t="inlineStr">
        <is>
          <t>Ortolansparv</t>
        </is>
      </c>
      <c r="S143">
        <f>HYPERLINK("https://klasma.github.io/Logging_0380/artfynd/A 6999-2023 artfynd.xlsx", "A 6999-2023")</f>
        <v/>
      </c>
      <c r="T143">
        <f>HYPERLINK("https://klasma.github.io/Logging_0380/kartor/A 6999-2023 karta.png", "A 6999-2023")</f>
        <v/>
      </c>
      <c r="V143">
        <f>HYPERLINK("https://klasma.github.io/Logging_0380/klagomål/A 6999-2023 FSC-klagomål.docx", "A 6999-2023")</f>
        <v/>
      </c>
      <c r="W143">
        <f>HYPERLINK("https://klasma.github.io/Logging_0380/klagomålsmail/A 6999-2023 FSC-klagomål mail.docx", "A 6999-2023")</f>
        <v/>
      </c>
      <c r="X143">
        <f>HYPERLINK("https://klasma.github.io/Logging_0380/tillsyn/A 6999-2023 tillsynsbegäran.docx", "A 6999-2023")</f>
        <v/>
      </c>
      <c r="Y143">
        <f>HYPERLINK("https://klasma.github.io/Logging_0380/tillsynsmail/A 6999-2023 tillsynsbegäran mail.docx", "A 6999-2023")</f>
        <v/>
      </c>
      <c r="Z143">
        <f>HYPERLINK("https://klasma.github.io/Logging_0380/fåglar/A 6999-2023 prioriterade fågelarter.docx", "A 6999-2023")</f>
        <v/>
      </c>
    </row>
    <row r="144" ht="15" customHeight="1">
      <c r="A144" t="inlineStr">
        <is>
          <t>A 15603-2026</t>
        </is>
      </c>
      <c r="B144" s="1" t="n">
        <v>46106</v>
      </c>
      <c r="C144" s="1" t="n">
        <v>46196</v>
      </c>
      <c r="D144" t="inlineStr">
        <is>
          <t>UPPSALA LÄN</t>
        </is>
      </c>
      <c r="E144" t="inlineStr">
        <is>
          <t>UPPSALA</t>
        </is>
      </c>
      <c r="G144" t="n">
        <v>3.4</v>
      </c>
      <c r="H144" t="n">
        <v>0</v>
      </c>
      <c r="I144" t="n">
        <v>1</v>
      </c>
      <c r="J144" t="n">
        <v>0</v>
      </c>
      <c r="K144" t="n">
        <v>0</v>
      </c>
      <c r="L144" t="n">
        <v>0</v>
      </c>
      <c r="M144" t="n">
        <v>0</v>
      </c>
      <c r="N144" t="n">
        <v>0</v>
      </c>
      <c r="O144" t="n">
        <v>0</v>
      </c>
      <c r="P144" t="n">
        <v>0</v>
      </c>
      <c r="Q144" t="n">
        <v>1</v>
      </c>
      <c r="R144" s="2" t="inlineStr">
        <is>
          <t>Svavelriska</t>
        </is>
      </c>
      <c r="S144">
        <f>HYPERLINK("https://klasma.github.io/Logging_0380/artfynd/A 15603-2026 artfynd.xlsx", "A 15603-2026")</f>
        <v/>
      </c>
      <c r="T144">
        <f>HYPERLINK("https://klasma.github.io/Logging_0380/kartor/A 15603-2026 karta.png", "A 15603-2026")</f>
        <v/>
      </c>
      <c r="V144">
        <f>HYPERLINK("https://klasma.github.io/Logging_0380/klagomål/A 15603-2026 FSC-klagomål.docx", "A 15603-2026")</f>
        <v/>
      </c>
      <c r="W144">
        <f>HYPERLINK("https://klasma.github.io/Logging_0380/klagomålsmail/A 15603-2026 FSC-klagomål mail.docx", "A 15603-2026")</f>
        <v/>
      </c>
      <c r="X144">
        <f>HYPERLINK("https://klasma.github.io/Logging_0380/tillsyn/A 15603-2026 tillsynsbegäran.docx", "A 15603-2026")</f>
        <v/>
      </c>
      <c r="Y144">
        <f>HYPERLINK("https://klasma.github.io/Logging_0380/tillsynsmail/A 15603-2026 tillsynsbegäran mail.docx", "A 15603-2026")</f>
        <v/>
      </c>
    </row>
    <row r="145" ht="15" customHeight="1">
      <c r="A145" t="inlineStr">
        <is>
          <t>A 5009-2023</t>
        </is>
      </c>
      <c r="B145" s="1" t="n">
        <v>44958</v>
      </c>
      <c r="C145" s="1" t="n">
        <v>46196</v>
      </c>
      <c r="D145" t="inlineStr">
        <is>
          <t>UPPSALA LÄN</t>
        </is>
      </c>
      <c r="E145" t="inlineStr">
        <is>
          <t>UPPSALA</t>
        </is>
      </c>
      <c r="G145" t="n">
        <v>4.7</v>
      </c>
      <c r="H145" t="n">
        <v>1</v>
      </c>
      <c r="I145" t="n">
        <v>0</v>
      </c>
      <c r="J145" t="n">
        <v>0</v>
      </c>
      <c r="K145" t="n">
        <v>0</v>
      </c>
      <c r="L145" t="n">
        <v>0</v>
      </c>
      <c r="M145" t="n">
        <v>0</v>
      </c>
      <c r="N145" t="n">
        <v>0</v>
      </c>
      <c r="O145" t="n">
        <v>0</v>
      </c>
      <c r="P145" t="n">
        <v>0</v>
      </c>
      <c r="Q145" t="n">
        <v>1</v>
      </c>
      <c r="R145" s="2" t="inlineStr">
        <is>
          <t>Blåsippa</t>
        </is>
      </c>
      <c r="S145">
        <f>HYPERLINK("https://klasma.github.io/Logging_0380/artfynd/A 5009-2023 artfynd.xlsx", "A 5009-2023")</f>
        <v/>
      </c>
      <c r="T145">
        <f>HYPERLINK("https://klasma.github.io/Logging_0380/kartor/A 5009-2023 karta.png", "A 5009-2023")</f>
        <v/>
      </c>
      <c r="V145">
        <f>HYPERLINK("https://klasma.github.io/Logging_0380/klagomål/A 5009-2023 FSC-klagomål.docx", "A 5009-2023")</f>
        <v/>
      </c>
      <c r="W145">
        <f>HYPERLINK("https://klasma.github.io/Logging_0380/klagomålsmail/A 5009-2023 FSC-klagomål mail.docx", "A 5009-2023")</f>
        <v/>
      </c>
      <c r="X145">
        <f>HYPERLINK("https://klasma.github.io/Logging_0380/tillsyn/A 5009-2023 tillsynsbegäran.docx", "A 5009-2023")</f>
        <v/>
      </c>
      <c r="Y145">
        <f>HYPERLINK("https://klasma.github.io/Logging_0380/tillsynsmail/A 5009-2023 tillsynsbegäran mail.docx", "A 5009-2023")</f>
        <v/>
      </c>
    </row>
    <row r="146" ht="15" customHeight="1">
      <c r="A146" t="inlineStr">
        <is>
          <t>A 22883-2026</t>
        </is>
      </c>
      <c r="B146" s="1" t="n">
        <v>46160</v>
      </c>
      <c r="C146" s="1" t="n">
        <v>46196</v>
      </c>
      <c r="D146" t="inlineStr">
        <is>
          <t>UPPSALA LÄN</t>
        </is>
      </c>
      <c r="E146" t="inlineStr">
        <is>
          <t>UPPSALA</t>
        </is>
      </c>
      <c r="G146" t="n">
        <v>2.9</v>
      </c>
      <c r="H146" t="n">
        <v>0</v>
      </c>
      <c r="I146" t="n">
        <v>0</v>
      </c>
      <c r="J146" t="n">
        <v>1</v>
      </c>
      <c r="K146" t="n">
        <v>0</v>
      </c>
      <c r="L146" t="n">
        <v>0</v>
      </c>
      <c r="M146" t="n">
        <v>0</v>
      </c>
      <c r="N146" t="n">
        <v>0</v>
      </c>
      <c r="O146" t="n">
        <v>1</v>
      </c>
      <c r="P146" t="n">
        <v>0</v>
      </c>
      <c r="Q146" t="n">
        <v>1</v>
      </c>
      <c r="R146" s="2" t="inlineStr">
        <is>
          <t>Vedtrappmossa</t>
        </is>
      </c>
      <c r="S146">
        <f>HYPERLINK("https://klasma.github.io/Logging_0380/artfynd/A 22883-2026 artfynd.xlsx", "A 22883-2026")</f>
        <v/>
      </c>
      <c r="T146">
        <f>HYPERLINK("https://klasma.github.io/Logging_0380/kartor/A 22883-2026 karta.png", "A 22883-2026")</f>
        <v/>
      </c>
      <c r="V146">
        <f>HYPERLINK("https://klasma.github.io/Logging_0380/klagomål/A 22883-2026 FSC-klagomål.docx", "A 22883-2026")</f>
        <v/>
      </c>
      <c r="W146">
        <f>HYPERLINK("https://klasma.github.io/Logging_0380/klagomålsmail/A 22883-2026 FSC-klagomål mail.docx", "A 22883-2026")</f>
        <v/>
      </c>
      <c r="X146">
        <f>HYPERLINK("https://klasma.github.io/Logging_0380/tillsyn/A 22883-2026 tillsynsbegäran.docx", "A 22883-2026")</f>
        <v/>
      </c>
      <c r="Y146">
        <f>HYPERLINK("https://klasma.github.io/Logging_0380/tillsynsmail/A 22883-2026 tillsynsbegäran mail.docx", "A 22883-2026")</f>
        <v/>
      </c>
    </row>
    <row r="147" ht="15" customHeight="1">
      <c r="A147" t="inlineStr">
        <is>
          <t>A 55021-2022</t>
        </is>
      </c>
      <c r="B147" s="1" t="n">
        <v>44886</v>
      </c>
      <c r="C147" s="1" t="n">
        <v>46196</v>
      </c>
      <c r="D147" t="inlineStr">
        <is>
          <t>UPPSALA LÄN</t>
        </is>
      </c>
      <c r="E147" t="inlineStr">
        <is>
          <t>UPPSALA</t>
        </is>
      </c>
      <c r="G147" t="n">
        <v>1.2</v>
      </c>
      <c r="H147" t="n">
        <v>1</v>
      </c>
      <c r="I147" t="n">
        <v>0</v>
      </c>
      <c r="J147" t="n">
        <v>0</v>
      </c>
      <c r="K147" t="n">
        <v>0</v>
      </c>
      <c r="L147" t="n">
        <v>0</v>
      </c>
      <c r="M147" t="n">
        <v>0</v>
      </c>
      <c r="N147" t="n">
        <v>0</v>
      </c>
      <c r="O147" t="n">
        <v>0</v>
      </c>
      <c r="P147" t="n">
        <v>0</v>
      </c>
      <c r="Q147" t="n">
        <v>1</v>
      </c>
      <c r="R147" s="2" t="inlineStr">
        <is>
          <t>Vanlig snok</t>
        </is>
      </c>
      <c r="S147">
        <f>HYPERLINK("https://klasma.github.io/Logging_0380/artfynd/A 55021-2022 artfynd.xlsx", "A 55021-2022")</f>
        <v/>
      </c>
      <c r="T147">
        <f>HYPERLINK("https://klasma.github.io/Logging_0380/kartor/A 55021-2022 karta.png", "A 55021-2022")</f>
        <v/>
      </c>
      <c r="V147">
        <f>HYPERLINK("https://klasma.github.io/Logging_0380/klagomål/A 55021-2022 FSC-klagomål.docx", "A 55021-2022")</f>
        <v/>
      </c>
      <c r="W147">
        <f>HYPERLINK("https://klasma.github.io/Logging_0380/klagomålsmail/A 55021-2022 FSC-klagomål mail.docx", "A 55021-2022")</f>
        <v/>
      </c>
      <c r="X147">
        <f>HYPERLINK("https://klasma.github.io/Logging_0380/tillsyn/A 55021-2022 tillsynsbegäran.docx", "A 55021-2022")</f>
        <v/>
      </c>
      <c r="Y147">
        <f>HYPERLINK("https://klasma.github.io/Logging_0380/tillsynsmail/A 55021-2022 tillsynsbegäran mail.docx", "A 55021-2022")</f>
        <v/>
      </c>
    </row>
    <row r="148" ht="15" customHeight="1">
      <c r="A148" t="inlineStr">
        <is>
          <t>A 37162-2021</t>
        </is>
      </c>
      <c r="B148" s="1" t="n">
        <v>44395</v>
      </c>
      <c r="C148" s="1" t="n">
        <v>46196</v>
      </c>
      <c r="D148" t="inlineStr">
        <is>
          <t>UPPSALA LÄN</t>
        </is>
      </c>
      <c r="E148" t="inlineStr">
        <is>
          <t>UPPSALA</t>
        </is>
      </c>
      <c r="G148" t="n">
        <v>3.5</v>
      </c>
      <c r="H148" t="n">
        <v>0</v>
      </c>
      <c r="I148" t="n">
        <v>0</v>
      </c>
      <c r="J148" t="n">
        <v>0</v>
      </c>
      <c r="K148" t="n">
        <v>1</v>
      </c>
      <c r="L148" t="n">
        <v>0</v>
      </c>
      <c r="M148" t="n">
        <v>0</v>
      </c>
      <c r="N148" t="n">
        <v>0</v>
      </c>
      <c r="O148" t="n">
        <v>1</v>
      </c>
      <c r="P148" t="n">
        <v>1</v>
      </c>
      <c r="Q148" t="n">
        <v>1</v>
      </c>
      <c r="R148" s="2" t="inlineStr">
        <is>
          <t>Igelkott</t>
        </is>
      </c>
      <c r="S148">
        <f>HYPERLINK("https://klasma.github.io/Logging_0380/artfynd/A 37162-2021 artfynd.xlsx", "A 37162-2021")</f>
        <v/>
      </c>
      <c r="T148">
        <f>HYPERLINK("https://klasma.github.io/Logging_0380/kartor/A 37162-2021 karta.png", "A 37162-2021")</f>
        <v/>
      </c>
      <c r="V148">
        <f>HYPERLINK("https://klasma.github.io/Logging_0380/klagomål/A 37162-2021 FSC-klagomål.docx", "A 37162-2021")</f>
        <v/>
      </c>
      <c r="W148">
        <f>HYPERLINK("https://klasma.github.io/Logging_0380/klagomålsmail/A 37162-2021 FSC-klagomål mail.docx", "A 37162-2021")</f>
        <v/>
      </c>
      <c r="X148">
        <f>HYPERLINK("https://klasma.github.io/Logging_0380/tillsyn/A 37162-2021 tillsynsbegäran.docx", "A 37162-2021")</f>
        <v/>
      </c>
      <c r="Y148">
        <f>HYPERLINK("https://klasma.github.io/Logging_0380/tillsynsmail/A 37162-2021 tillsynsbegäran mail.docx", "A 37162-2021")</f>
        <v/>
      </c>
    </row>
    <row r="149" ht="15" customHeight="1">
      <c r="A149" t="inlineStr">
        <is>
          <t>A 41002-2023</t>
        </is>
      </c>
      <c r="B149" s="1" t="n">
        <v>45173</v>
      </c>
      <c r="C149" s="1" t="n">
        <v>46196</v>
      </c>
      <c r="D149" t="inlineStr">
        <is>
          <t>UPPSALA LÄN</t>
        </is>
      </c>
      <c r="E149" t="inlineStr">
        <is>
          <t>UPPSALA</t>
        </is>
      </c>
      <c r="G149" t="n">
        <v>6.2</v>
      </c>
      <c r="H149" t="n">
        <v>1</v>
      </c>
      <c r="I149" t="n">
        <v>0</v>
      </c>
      <c r="J149" t="n">
        <v>0</v>
      </c>
      <c r="K149" t="n">
        <v>0</v>
      </c>
      <c r="L149" t="n">
        <v>0</v>
      </c>
      <c r="M149" t="n">
        <v>0</v>
      </c>
      <c r="N149" t="n">
        <v>0</v>
      </c>
      <c r="O149" t="n">
        <v>0</v>
      </c>
      <c r="P149" t="n">
        <v>0</v>
      </c>
      <c r="Q149" t="n">
        <v>1</v>
      </c>
      <c r="R149" s="2" t="inlineStr">
        <is>
          <t>Blåsippa</t>
        </is>
      </c>
      <c r="S149">
        <f>HYPERLINK("https://klasma.github.io/Logging_0380/artfynd/A 41002-2023 artfynd.xlsx", "A 41002-2023")</f>
        <v/>
      </c>
      <c r="T149">
        <f>HYPERLINK("https://klasma.github.io/Logging_0380/kartor/A 41002-2023 karta.png", "A 41002-2023")</f>
        <v/>
      </c>
      <c r="V149">
        <f>HYPERLINK("https://klasma.github.io/Logging_0380/klagomål/A 41002-2023 FSC-klagomål.docx", "A 41002-2023")</f>
        <v/>
      </c>
      <c r="W149">
        <f>HYPERLINK("https://klasma.github.io/Logging_0380/klagomålsmail/A 41002-2023 FSC-klagomål mail.docx", "A 41002-2023")</f>
        <v/>
      </c>
      <c r="X149">
        <f>HYPERLINK("https://klasma.github.io/Logging_0380/tillsyn/A 41002-2023 tillsynsbegäran.docx", "A 41002-2023")</f>
        <v/>
      </c>
      <c r="Y149">
        <f>HYPERLINK("https://klasma.github.io/Logging_0380/tillsynsmail/A 41002-2023 tillsynsbegäran mail.docx", "A 41002-2023")</f>
        <v/>
      </c>
    </row>
    <row r="150" ht="15" customHeight="1">
      <c r="A150" t="inlineStr">
        <is>
          <t>A 59996-2024</t>
        </is>
      </c>
      <c r="B150" s="1" t="n">
        <v>45642</v>
      </c>
      <c r="C150" s="1" t="n">
        <v>46196</v>
      </c>
      <c r="D150" t="inlineStr">
        <is>
          <t>UPPSALA LÄN</t>
        </is>
      </c>
      <c r="E150" t="inlineStr">
        <is>
          <t>UPPSALA</t>
        </is>
      </c>
      <c r="F150" t="inlineStr">
        <is>
          <t>Bergvik skog väst AB</t>
        </is>
      </c>
      <c r="G150" t="n">
        <v>14.5</v>
      </c>
      <c r="H150" t="n">
        <v>0</v>
      </c>
      <c r="I150" t="n">
        <v>0</v>
      </c>
      <c r="J150" t="n">
        <v>0</v>
      </c>
      <c r="K150" t="n">
        <v>1</v>
      </c>
      <c r="L150" t="n">
        <v>0</v>
      </c>
      <c r="M150" t="n">
        <v>0</v>
      </c>
      <c r="N150" t="n">
        <v>0</v>
      </c>
      <c r="O150" t="n">
        <v>1</v>
      </c>
      <c r="P150" t="n">
        <v>1</v>
      </c>
      <c r="Q150" t="n">
        <v>1</v>
      </c>
      <c r="R150" s="2" t="inlineStr">
        <is>
          <t>Brunfläckig pärlemorfjäril</t>
        </is>
      </c>
      <c r="S150">
        <f>HYPERLINK("https://klasma.github.io/Logging_0380/artfynd/A 59996-2024 artfynd.xlsx", "A 59996-2024")</f>
        <v/>
      </c>
      <c r="T150">
        <f>HYPERLINK("https://klasma.github.io/Logging_0380/kartor/A 59996-2024 karta.png", "A 59996-2024")</f>
        <v/>
      </c>
      <c r="V150">
        <f>HYPERLINK("https://klasma.github.io/Logging_0380/klagomål/A 59996-2024 FSC-klagomål.docx", "A 59996-2024")</f>
        <v/>
      </c>
      <c r="W150">
        <f>HYPERLINK("https://klasma.github.io/Logging_0380/klagomålsmail/A 59996-2024 FSC-klagomål mail.docx", "A 59996-2024")</f>
        <v/>
      </c>
      <c r="X150">
        <f>HYPERLINK("https://klasma.github.io/Logging_0380/tillsyn/A 59996-2024 tillsynsbegäran.docx", "A 59996-2024")</f>
        <v/>
      </c>
      <c r="Y150">
        <f>HYPERLINK("https://klasma.github.io/Logging_0380/tillsynsmail/A 59996-2024 tillsynsbegäran mail.docx", "A 59996-2024")</f>
        <v/>
      </c>
    </row>
    <row r="151" ht="15" customHeight="1">
      <c r="A151" t="inlineStr">
        <is>
          <t>A 25754-2026</t>
        </is>
      </c>
      <c r="B151" s="1" t="n">
        <v>46178</v>
      </c>
      <c r="C151" s="1" t="n">
        <v>46196</v>
      </c>
      <c r="D151" t="inlineStr">
        <is>
          <t>UPPSALA LÄN</t>
        </is>
      </c>
      <c r="E151" t="inlineStr">
        <is>
          <t>UPPSALA</t>
        </is>
      </c>
      <c r="G151" t="n">
        <v>4.2</v>
      </c>
      <c r="H151" t="n">
        <v>0</v>
      </c>
      <c r="I151" t="n">
        <v>0</v>
      </c>
      <c r="J151" t="n">
        <v>1</v>
      </c>
      <c r="K151" t="n">
        <v>0</v>
      </c>
      <c r="L151" t="n">
        <v>0</v>
      </c>
      <c r="M151" t="n">
        <v>0</v>
      </c>
      <c r="N151" t="n">
        <v>0</v>
      </c>
      <c r="O151" t="n">
        <v>1</v>
      </c>
      <c r="P151" t="n">
        <v>0</v>
      </c>
      <c r="Q151" t="n">
        <v>1</v>
      </c>
      <c r="R151" s="2" t="inlineStr">
        <is>
          <t>Fjällig taggsvamp s.str.</t>
        </is>
      </c>
      <c r="S151">
        <f>HYPERLINK("https://klasma.github.io/Logging_0380/artfynd/A 25754-2026 artfynd.xlsx", "A 25754-2026")</f>
        <v/>
      </c>
      <c r="T151">
        <f>HYPERLINK("https://klasma.github.io/Logging_0380/kartor/A 25754-2026 karta.png", "A 25754-2026")</f>
        <v/>
      </c>
      <c r="V151">
        <f>HYPERLINK("https://klasma.github.io/Logging_0380/klagomål/A 25754-2026 FSC-klagomål.docx", "A 25754-2026")</f>
        <v/>
      </c>
      <c r="W151">
        <f>HYPERLINK("https://klasma.github.io/Logging_0380/klagomålsmail/A 25754-2026 FSC-klagomål mail.docx", "A 25754-2026")</f>
        <v/>
      </c>
      <c r="X151">
        <f>HYPERLINK("https://klasma.github.io/Logging_0380/tillsyn/A 25754-2026 tillsynsbegäran.docx", "A 25754-2026")</f>
        <v/>
      </c>
      <c r="Y151">
        <f>HYPERLINK("https://klasma.github.io/Logging_0380/tillsynsmail/A 25754-2026 tillsynsbegäran mail.docx", "A 25754-2026")</f>
        <v/>
      </c>
    </row>
    <row r="152" ht="15" customHeight="1">
      <c r="A152" t="inlineStr">
        <is>
          <t>A 20709-2026</t>
        </is>
      </c>
      <c r="B152" s="1" t="n">
        <v>46141</v>
      </c>
      <c r="C152" s="1" t="n">
        <v>46196</v>
      </c>
      <c r="D152" t="inlineStr">
        <is>
          <t>UPPSALA LÄN</t>
        </is>
      </c>
      <c r="E152" t="inlineStr">
        <is>
          <t>UPPSALA</t>
        </is>
      </c>
      <c r="G152" t="n">
        <v>0.9</v>
      </c>
      <c r="H152" t="n">
        <v>1</v>
      </c>
      <c r="I152" t="n">
        <v>0</v>
      </c>
      <c r="J152" t="n">
        <v>1</v>
      </c>
      <c r="K152" t="n">
        <v>0</v>
      </c>
      <c r="L152" t="n">
        <v>0</v>
      </c>
      <c r="M152" t="n">
        <v>0</v>
      </c>
      <c r="N152" t="n">
        <v>0</v>
      </c>
      <c r="O152" t="n">
        <v>1</v>
      </c>
      <c r="P152" t="n">
        <v>0</v>
      </c>
      <c r="Q152" t="n">
        <v>1</v>
      </c>
      <c r="R152" s="2" t="inlineStr">
        <is>
          <t>Nordfladdermus</t>
        </is>
      </c>
      <c r="S152">
        <f>HYPERLINK("https://klasma.github.io/Logging_0380/artfynd/A 20709-2026 artfynd.xlsx", "A 20709-2026")</f>
        <v/>
      </c>
      <c r="T152">
        <f>HYPERLINK("https://klasma.github.io/Logging_0380/kartor/A 20709-2026 karta.png", "A 20709-2026")</f>
        <v/>
      </c>
      <c r="V152">
        <f>HYPERLINK("https://klasma.github.io/Logging_0380/klagomål/A 20709-2026 FSC-klagomål.docx", "A 20709-2026")</f>
        <v/>
      </c>
      <c r="W152">
        <f>HYPERLINK("https://klasma.github.io/Logging_0380/klagomålsmail/A 20709-2026 FSC-klagomål mail.docx", "A 20709-2026")</f>
        <v/>
      </c>
      <c r="X152">
        <f>HYPERLINK("https://klasma.github.io/Logging_0380/tillsyn/A 20709-2026 tillsynsbegäran.docx", "A 20709-2026")</f>
        <v/>
      </c>
      <c r="Y152">
        <f>HYPERLINK("https://klasma.github.io/Logging_0380/tillsynsmail/A 20709-2026 tillsynsbegäran mail.docx", "A 20709-2026")</f>
        <v/>
      </c>
    </row>
    <row r="153" ht="15" customHeight="1">
      <c r="A153" t="inlineStr">
        <is>
          <t>A 20757-2026</t>
        </is>
      </c>
      <c r="B153" s="1" t="n">
        <v>46141</v>
      </c>
      <c r="C153" s="1" t="n">
        <v>46196</v>
      </c>
      <c r="D153" t="inlineStr">
        <is>
          <t>UPPSALA LÄN</t>
        </is>
      </c>
      <c r="E153" t="inlineStr">
        <is>
          <t>UPPSALA</t>
        </is>
      </c>
      <c r="G153" t="n">
        <v>2.8</v>
      </c>
      <c r="H153" t="n">
        <v>1</v>
      </c>
      <c r="I153" t="n">
        <v>0</v>
      </c>
      <c r="J153" t="n">
        <v>1</v>
      </c>
      <c r="K153" t="n">
        <v>0</v>
      </c>
      <c r="L153" t="n">
        <v>0</v>
      </c>
      <c r="M153" t="n">
        <v>0</v>
      </c>
      <c r="N153" t="n">
        <v>0</v>
      </c>
      <c r="O153" t="n">
        <v>1</v>
      </c>
      <c r="P153" t="n">
        <v>0</v>
      </c>
      <c r="Q153" t="n">
        <v>1</v>
      </c>
      <c r="R153" s="2" t="inlineStr">
        <is>
          <t>Nordfladdermus</t>
        </is>
      </c>
      <c r="S153">
        <f>HYPERLINK("https://klasma.github.io/Logging_0380/artfynd/A 20757-2026 artfynd.xlsx", "A 20757-2026")</f>
        <v/>
      </c>
      <c r="T153">
        <f>HYPERLINK("https://klasma.github.io/Logging_0380/kartor/A 20757-2026 karta.png", "A 20757-2026")</f>
        <v/>
      </c>
      <c r="V153">
        <f>HYPERLINK("https://klasma.github.io/Logging_0380/klagomål/A 20757-2026 FSC-klagomål.docx", "A 20757-2026")</f>
        <v/>
      </c>
      <c r="W153">
        <f>HYPERLINK("https://klasma.github.io/Logging_0380/klagomålsmail/A 20757-2026 FSC-klagomål mail.docx", "A 20757-2026")</f>
        <v/>
      </c>
      <c r="X153">
        <f>HYPERLINK("https://klasma.github.io/Logging_0380/tillsyn/A 20757-2026 tillsynsbegäran.docx", "A 20757-2026")</f>
        <v/>
      </c>
      <c r="Y153">
        <f>HYPERLINK("https://klasma.github.io/Logging_0380/tillsynsmail/A 20757-2026 tillsynsbegäran mail.docx", "A 20757-2026")</f>
        <v/>
      </c>
    </row>
    <row r="154" ht="15" customHeight="1">
      <c r="A154" t="inlineStr">
        <is>
          <t>A 21738-2026</t>
        </is>
      </c>
      <c r="B154" s="1" t="n">
        <v>46147</v>
      </c>
      <c r="C154" s="1" t="n">
        <v>46196</v>
      </c>
      <c r="D154" t="inlineStr">
        <is>
          <t>UPPSALA LÄN</t>
        </is>
      </c>
      <c r="E154" t="inlineStr">
        <is>
          <t>UPPSALA</t>
        </is>
      </c>
      <c r="G154" t="n">
        <v>3.1</v>
      </c>
      <c r="H154" t="n">
        <v>0</v>
      </c>
      <c r="I154" t="n">
        <v>1</v>
      </c>
      <c r="J154" t="n">
        <v>0</v>
      </c>
      <c r="K154" t="n">
        <v>0</v>
      </c>
      <c r="L154" t="n">
        <v>0</v>
      </c>
      <c r="M154" t="n">
        <v>0</v>
      </c>
      <c r="N154" t="n">
        <v>0</v>
      </c>
      <c r="O154" t="n">
        <v>0</v>
      </c>
      <c r="P154" t="n">
        <v>0</v>
      </c>
      <c r="Q154" t="n">
        <v>1</v>
      </c>
      <c r="R154" s="2" t="inlineStr">
        <is>
          <t>Tibast</t>
        </is>
      </c>
      <c r="S154">
        <f>HYPERLINK("https://klasma.github.io/Logging_0380/artfynd/A 21738-2026 artfynd.xlsx", "A 21738-2026")</f>
        <v/>
      </c>
      <c r="T154">
        <f>HYPERLINK("https://klasma.github.io/Logging_0380/kartor/A 21738-2026 karta.png", "A 21738-2026")</f>
        <v/>
      </c>
      <c r="V154">
        <f>HYPERLINK("https://klasma.github.io/Logging_0380/klagomål/A 21738-2026 FSC-klagomål.docx", "A 21738-2026")</f>
        <v/>
      </c>
      <c r="W154">
        <f>HYPERLINK("https://klasma.github.io/Logging_0380/klagomålsmail/A 21738-2026 FSC-klagomål mail.docx", "A 21738-2026")</f>
        <v/>
      </c>
      <c r="X154">
        <f>HYPERLINK("https://klasma.github.io/Logging_0380/tillsyn/A 21738-2026 tillsynsbegäran.docx", "A 21738-2026")</f>
        <v/>
      </c>
      <c r="Y154">
        <f>HYPERLINK("https://klasma.github.io/Logging_0380/tillsynsmail/A 21738-2026 tillsynsbegäran mail.docx", "A 21738-2026")</f>
        <v/>
      </c>
    </row>
    <row r="155" ht="15" customHeight="1">
      <c r="A155" t="inlineStr">
        <is>
          <t>A 22223-2026</t>
        </is>
      </c>
      <c r="B155" s="1" t="n">
        <v>46153</v>
      </c>
      <c r="C155" s="1" t="n">
        <v>46196</v>
      </c>
      <c r="D155" t="inlineStr">
        <is>
          <t>UPPSALA LÄN</t>
        </is>
      </c>
      <c r="E155" t="inlineStr">
        <is>
          <t>UPPSALA</t>
        </is>
      </c>
      <c r="G155" t="n">
        <v>6</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22223-2026 artfynd.xlsx", "A 22223-2026")</f>
        <v/>
      </c>
      <c r="T155">
        <f>HYPERLINK("https://klasma.github.io/Logging_0380/kartor/A 22223-2026 karta.png", "A 22223-2026")</f>
        <v/>
      </c>
      <c r="V155">
        <f>HYPERLINK("https://klasma.github.io/Logging_0380/klagomål/A 22223-2026 FSC-klagomål.docx", "A 22223-2026")</f>
        <v/>
      </c>
      <c r="W155">
        <f>HYPERLINK("https://klasma.github.io/Logging_0380/klagomålsmail/A 22223-2026 FSC-klagomål mail.docx", "A 22223-2026")</f>
        <v/>
      </c>
      <c r="X155">
        <f>HYPERLINK("https://klasma.github.io/Logging_0380/tillsyn/A 22223-2026 tillsynsbegäran.docx", "A 22223-2026")</f>
        <v/>
      </c>
      <c r="Y155">
        <f>HYPERLINK("https://klasma.github.io/Logging_0380/tillsynsmail/A 22223-2026 tillsynsbegäran mail.docx", "A 22223-2026")</f>
        <v/>
      </c>
    </row>
    <row r="156" ht="15" customHeight="1">
      <c r="A156" t="inlineStr">
        <is>
          <t>A 32688-2023</t>
        </is>
      </c>
      <c r="B156" s="1" t="n">
        <v>45121</v>
      </c>
      <c r="C156" s="1" t="n">
        <v>46196</v>
      </c>
      <c r="D156" t="inlineStr">
        <is>
          <t>UPPSALA LÄN</t>
        </is>
      </c>
      <c r="E156" t="inlineStr">
        <is>
          <t>UPPSALA</t>
        </is>
      </c>
      <c r="F156" t="inlineStr">
        <is>
          <t>Holmen skog AB</t>
        </is>
      </c>
      <c r="G156" t="n">
        <v>4.3</v>
      </c>
      <c r="H156" t="n">
        <v>1</v>
      </c>
      <c r="I156" t="n">
        <v>0</v>
      </c>
      <c r="J156" t="n">
        <v>0</v>
      </c>
      <c r="K156" t="n">
        <v>0</v>
      </c>
      <c r="L156" t="n">
        <v>0</v>
      </c>
      <c r="M156" t="n">
        <v>0</v>
      </c>
      <c r="N156" t="n">
        <v>0</v>
      </c>
      <c r="O156" t="n">
        <v>0</v>
      </c>
      <c r="P156" t="n">
        <v>0</v>
      </c>
      <c r="Q156" t="n">
        <v>1</v>
      </c>
      <c r="R156" s="2" t="inlineStr">
        <is>
          <t>Blåsippa</t>
        </is>
      </c>
      <c r="S156">
        <f>HYPERLINK("https://klasma.github.io/Logging_0380/artfynd/A 32688-2023 artfynd.xlsx", "A 32688-2023")</f>
        <v/>
      </c>
      <c r="T156">
        <f>HYPERLINK("https://klasma.github.io/Logging_0380/kartor/A 32688-2023 karta.png", "A 32688-2023")</f>
        <v/>
      </c>
      <c r="V156">
        <f>HYPERLINK("https://klasma.github.io/Logging_0380/klagomål/A 32688-2023 FSC-klagomål.docx", "A 32688-2023")</f>
        <v/>
      </c>
      <c r="W156">
        <f>HYPERLINK("https://klasma.github.io/Logging_0380/klagomålsmail/A 32688-2023 FSC-klagomål mail.docx", "A 32688-2023")</f>
        <v/>
      </c>
      <c r="X156">
        <f>HYPERLINK("https://klasma.github.io/Logging_0380/tillsyn/A 32688-2023 tillsynsbegäran.docx", "A 32688-2023")</f>
        <v/>
      </c>
      <c r="Y156">
        <f>HYPERLINK("https://klasma.github.io/Logging_0380/tillsynsmail/A 32688-2023 tillsynsbegäran mail.docx", "A 32688-2023")</f>
        <v/>
      </c>
    </row>
    <row r="157" ht="15" customHeight="1">
      <c r="A157" t="inlineStr">
        <is>
          <t>A 53266-2024</t>
        </is>
      </c>
      <c r="B157" s="1" t="n">
        <v>45614</v>
      </c>
      <c r="C157" s="1" t="n">
        <v>46196</v>
      </c>
      <c r="D157" t="inlineStr">
        <is>
          <t>UPPSALA LÄN</t>
        </is>
      </c>
      <c r="E157" t="inlineStr">
        <is>
          <t>UPPSALA</t>
        </is>
      </c>
      <c r="G157" t="n">
        <v>0.9</v>
      </c>
      <c r="H157" t="n">
        <v>1</v>
      </c>
      <c r="I157" t="n">
        <v>0</v>
      </c>
      <c r="J157" t="n">
        <v>1</v>
      </c>
      <c r="K157" t="n">
        <v>0</v>
      </c>
      <c r="L157" t="n">
        <v>0</v>
      </c>
      <c r="M157" t="n">
        <v>0</v>
      </c>
      <c r="N157" t="n">
        <v>0</v>
      </c>
      <c r="O157" t="n">
        <v>1</v>
      </c>
      <c r="P157" t="n">
        <v>0</v>
      </c>
      <c r="Q157" t="n">
        <v>1</v>
      </c>
      <c r="R157" s="2" t="inlineStr">
        <is>
          <t>Gulsparv</t>
        </is>
      </c>
      <c r="S157">
        <f>HYPERLINK("https://klasma.github.io/Logging_0380/artfynd/A 53266-2024 artfynd.xlsx", "A 53266-2024")</f>
        <v/>
      </c>
      <c r="T157">
        <f>HYPERLINK("https://klasma.github.io/Logging_0380/kartor/A 53266-2024 karta.png", "A 53266-2024")</f>
        <v/>
      </c>
      <c r="V157">
        <f>HYPERLINK("https://klasma.github.io/Logging_0380/klagomål/A 53266-2024 FSC-klagomål.docx", "A 53266-2024")</f>
        <v/>
      </c>
      <c r="W157">
        <f>HYPERLINK("https://klasma.github.io/Logging_0380/klagomålsmail/A 53266-2024 FSC-klagomål mail.docx", "A 53266-2024")</f>
        <v/>
      </c>
      <c r="X157">
        <f>HYPERLINK("https://klasma.github.io/Logging_0380/tillsyn/A 53266-2024 tillsynsbegäran.docx", "A 53266-2024")</f>
        <v/>
      </c>
      <c r="Y157">
        <f>HYPERLINK("https://klasma.github.io/Logging_0380/tillsynsmail/A 53266-2024 tillsynsbegäran mail.docx", "A 53266-2024")</f>
        <v/>
      </c>
      <c r="Z157">
        <f>HYPERLINK("https://klasma.github.io/Logging_0380/fåglar/A 53266-2024 prioriterade fågelarter.docx", "A 53266-2024")</f>
        <v/>
      </c>
    </row>
    <row r="158" ht="15" customHeight="1">
      <c r="A158" t="inlineStr">
        <is>
          <t>A 52849-2021</t>
        </is>
      </c>
      <c r="B158" s="1" t="n">
        <v>44467</v>
      </c>
      <c r="C158" s="1" t="n">
        <v>46196</v>
      </c>
      <c r="D158" t="inlineStr">
        <is>
          <t>UPPSALA LÄN</t>
        </is>
      </c>
      <c r="E158" t="inlineStr">
        <is>
          <t>UPPSALA</t>
        </is>
      </c>
      <c r="F158" t="inlineStr">
        <is>
          <t>Övriga Aktiebolag</t>
        </is>
      </c>
      <c r="G158" t="n">
        <v>3.3</v>
      </c>
      <c r="H158" t="n">
        <v>0</v>
      </c>
      <c r="I158" t="n">
        <v>0</v>
      </c>
      <c r="J158" t="n">
        <v>1</v>
      </c>
      <c r="K158" t="n">
        <v>0</v>
      </c>
      <c r="L158" t="n">
        <v>0</v>
      </c>
      <c r="M158" t="n">
        <v>0</v>
      </c>
      <c r="N158" t="n">
        <v>0</v>
      </c>
      <c r="O158" t="n">
        <v>1</v>
      </c>
      <c r="P158" t="n">
        <v>0</v>
      </c>
      <c r="Q158" t="n">
        <v>1</v>
      </c>
      <c r="R158" s="2" t="inlineStr">
        <is>
          <t>Skogshare</t>
        </is>
      </c>
      <c r="S158">
        <f>HYPERLINK("https://klasma.github.io/Logging_0380/artfynd/A 52849-2021 artfynd.xlsx", "A 52849-2021")</f>
        <v/>
      </c>
      <c r="T158">
        <f>HYPERLINK("https://klasma.github.io/Logging_0380/kartor/A 52849-2021 karta.png", "A 52849-2021")</f>
        <v/>
      </c>
      <c r="V158">
        <f>HYPERLINK("https://klasma.github.io/Logging_0380/klagomål/A 52849-2021 FSC-klagomål.docx", "A 52849-2021")</f>
        <v/>
      </c>
      <c r="W158">
        <f>HYPERLINK("https://klasma.github.io/Logging_0380/klagomålsmail/A 52849-2021 FSC-klagomål mail.docx", "A 52849-2021")</f>
        <v/>
      </c>
      <c r="X158">
        <f>HYPERLINK("https://klasma.github.io/Logging_0380/tillsyn/A 52849-2021 tillsynsbegäran.docx", "A 52849-2021")</f>
        <v/>
      </c>
      <c r="Y158">
        <f>HYPERLINK("https://klasma.github.io/Logging_0380/tillsynsmail/A 52849-2021 tillsynsbegäran mail.docx", "A 52849-2021")</f>
        <v/>
      </c>
    </row>
    <row r="159" ht="15" customHeight="1">
      <c r="A159" t="inlineStr">
        <is>
          <t>A 44815-2023</t>
        </is>
      </c>
      <c r="B159" s="1" t="n">
        <v>45190</v>
      </c>
      <c r="C159" s="1" t="n">
        <v>46196</v>
      </c>
      <c r="D159" t="inlineStr">
        <is>
          <t>UPPSALA LÄN</t>
        </is>
      </c>
      <c r="E159" t="inlineStr">
        <is>
          <t>UPPSALA</t>
        </is>
      </c>
      <c r="G159" t="n">
        <v>2.3</v>
      </c>
      <c r="H159" t="n">
        <v>0</v>
      </c>
      <c r="I159" t="n">
        <v>0</v>
      </c>
      <c r="J159" t="n">
        <v>0</v>
      </c>
      <c r="K159" t="n">
        <v>1</v>
      </c>
      <c r="L159" t="n">
        <v>0</v>
      </c>
      <c r="M159" t="n">
        <v>0</v>
      </c>
      <c r="N159" t="n">
        <v>0</v>
      </c>
      <c r="O159" t="n">
        <v>1</v>
      </c>
      <c r="P159" t="n">
        <v>1</v>
      </c>
      <c r="Q159" t="n">
        <v>1</v>
      </c>
      <c r="R159" s="2" t="inlineStr">
        <is>
          <t>Sexfläckig bastardsvärmare</t>
        </is>
      </c>
      <c r="S159">
        <f>HYPERLINK("https://klasma.github.io/Logging_0380/artfynd/A 44815-2023 artfynd.xlsx", "A 44815-2023")</f>
        <v/>
      </c>
      <c r="T159">
        <f>HYPERLINK("https://klasma.github.io/Logging_0380/kartor/A 44815-2023 karta.png", "A 44815-2023")</f>
        <v/>
      </c>
      <c r="V159">
        <f>HYPERLINK("https://klasma.github.io/Logging_0380/klagomål/A 44815-2023 FSC-klagomål.docx", "A 44815-2023")</f>
        <v/>
      </c>
      <c r="W159">
        <f>HYPERLINK("https://klasma.github.io/Logging_0380/klagomålsmail/A 44815-2023 FSC-klagomål mail.docx", "A 44815-2023")</f>
        <v/>
      </c>
      <c r="X159">
        <f>HYPERLINK("https://klasma.github.io/Logging_0380/tillsyn/A 44815-2023 tillsynsbegäran.docx", "A 44815-2023")</f>
        <v/>
      </c>
      <c r="Y159">
        <f>HYPERLINK("https://klasma.github.io/Logging_0380/tillsynsmail/A 44815-2023 tillsynsbegäran mail.docx", "A 44815-2023")</f>
        <v/>
      </c>
    </row>
    <row r="160" ht="15" customHeight="1">
      <c r="A160" t="inlineStr">
        <is>
          <t>A 59547-2024</t>
        </is>
      </c>
      <c r="B160" s="1" t="n">
        <v>45638</v>
      </c>
      <c r="C160" s="1" t="n">
        <v>46196</v>
      </c>
      <c r="D160" t="inlineStr">
        <is>
          <t>UPPSALA LÄN</t>
        </is>
      </c>
      <c r="E160" t="inlineStr">
        <is>
          <t>UPPSALA</t>
        </is>
      </c>
      <c r="G160" t="n">
        <v>2.2</v>
      </c>
      <c r="H160" t="n">
        <v>0</v>
      </c>
      <c r="I160" t="n">
        <v>0</v>
      </c>
      <c r="J160" t="n">
        <v>1</v>
      </c>
      <c r="K160" t="n">
        <v>0</v>
      </c>
      <c r="L160" t="n">
        <v>0</v>
      </c>
      <c r="M160" t="n">
        <v>0</v>
      </c>
      <c r="N160" t="n">
        <v>0</v>
      </c>
      <c r="O160" t="n">
        <v>1</v>
      </c>
      <c r="P160" t="n">
        <v>0</v>
      </c>
      <c r="Q160" t="n">
        <v>1</v>
      </c>
      <c r="R160" s="2" t="inlineStr">
        <is>
          <t>Ängsskära</t>
        </is>
      </c>
      <c r="S160">
        <f>HYPERLINK("https://klasma.github.io/Logging_0380/artfynd/A 59547-2024 artfynd.xlsx", "A 59547-2024")</f>
        <v/>
      </c>
      <c r="T160">
        <f>HYPERLINK("https://klasma.github.io/Logging_0380/kartor/A 59547-2024 karta.png", "A 59547-2024")</f>
        <v/>
      </c>
      <c r="V160">
        <f>HYPERLINK("https://klasma.github.io/Logging_0380/klagomål/A 59547-2024 FSC-klagomål.docx", "A 59547-2024")</f>
        <v/>
      </c>
      <c r="W160">
        <f>HYPERLINK("https://klasma.github.io/Logging_0380/klagomålsmail/A 59547-2024 FSC-klagomål mail.docx", "A 59547-2024")</f>
        <v/>
      </c>
      <c r="X160">
        <f>HYPERLINK("https://klasma.github.io/Logging_0380/tillsyn/A 59547-2024 tillsynsbegäran.docx", "A 59547-2024")</f>
        <v/>
      </c>
      <c r="Y160">
        <f>HYPERLINK("https://klasma.github.io/Logging_0380/tillsynsmail/A 59547-2024 tillsynsbegäran mail.docx", "A 59547-2024")</f>
        <v/>
      </c>
    </row>
    <row r="161" ht="15" customHeight="1">
      <c r="A161" t="inlineStr">
        <is>
          <t>A 60055-2022</t>
        </is>
      </c>
      <c r="B161" s="1" t="n">
        <v>44909</v>
      </c>
      <c r="C161" s="1" t="n">
        <v>46196</v>
      </c>
      <c r="D161" t="inlineStr">
        <is>
          <t>UPPSALA LÄN</t>
        </is>
      </c>
      <c r="E161" t="inlineStr">
        <is>
          <t>UPPSALA</t>
        </is>
      </c>
      <c r="G161" t="n">
        <v>11.4</v>
      </c>
      <c r="H161" t="n">
        <v>1</v>
      </c>
      <c r="I161" t="n">
        <v>0</v>
      </c>
      <c r="J161" t="n">
        <v>0</v>
      </c>
      <c r="K161" t="n">
        <v>0</v>
      </c>
      <c r="L161" t="n">
        <v>0</v>
      </c>
      <c r="M161" t="n">
        <v>0</v>
      </c>
      <c r="N161" t="n">
        <v>0</v>
      </c>
      <c r="O161" t="n">
        <v>0</v>
      </c>
      <c r="P161" t="n">
        <v>0</v>
      </c>
      <c r="Q161" t="n">
        <v>1</v>
      </c>
      <c r="R161" s="2" t="inlineStr">
        <is>
          <t>Tjäder</t>
        </is>
      </c>
      <c r="S161">
        <f>HYPERLINK("https://klasma.github.io/Logging_0380/artfynd/A 60055-2022 artfynd.xlsx", "A 60055-2022")</f>
        <v/>
      </c>
      <c r="T161">
        <f>HYPERLINK("https://klasma.github.io/Logging_0380/kartor/A 60055-2022 karta.png", "A 60055-2022")</f>
        <v/>
      </c>
      <c r="V161">
        <f>HYPERLINK("https://klasma.github.io/Logging_0380/klagomål/A 60055-2022 FSC-klagomål.docx", "A 60055-2022")</f>
        <v/>
      </c>
      <c r="W161">
        <f>HYPERLINK("https://klasma.github.io/Logging_0380/klagomålsmail/A 60055-2022 FSC-klagomål mail.docx", "A 60055-2022")</f>
        <v/>
      </c>
      <c r="X161">
        <f>HYPERLINK("https://klasma.github.io/Logging_0380/tillsyn/A 60055-2022 tillsynsbegäran.docx", "A 60055-2022")</f>
        <v/>
      </c>
      <c r="Y161">
        <f>HYPERLINK("https://klasma.github.io/Logging_0380/tillsynsmail/A 60055-2022 tillsynsbegäran mail.docx", "A 60055-2022")</f>
        <v/>
      </c>
      <c r="Z161">
        <f>HYPERLINK("https://klasma.github.io/Logging_0380/fåglar/A 60055-2022 prioriterade fågelarter.docx", "A 60055-2022")</f>
        <v/>
      </c>
    </row>
    <row r="162" ht="15" customHeight="1">
      <c r="A162" t="inlineStr">
        <is>
          <t>A 60954-2024</t>
        </is>
      </c>
      <c r="B162" s="1" t="n">
        <v>45645</v>
      </c>
      <c r="C162" s="1" t="n">
        <v>46196</v>
      </c>
      <c r="D162" t="inlineStr">
        <is>
          <t>UPPSALA LÄN</t>
        </is>
      </c>
      <c r="E162" t="inlineStr">
        <is>
          <t>UPPSALA</t>
        </is>
      </c>
      <c r="F162" t="inlineStr">
        <is>
          <t>Kommuner</t>
        </is>
      </c>
      <c r="G162" t="n">
        <v>1</v>
      </c>
      <c r="H162" t="n">
        <v>0</v>
      </c>
      <c r="I162" t="n">
        <v>0</v>
      </c>
      <c r="J162" t="n">
        <v>0</v>
      </c>
      <c r="K162" t="n">
        <v>1</v>
      </c>
      <c r="L162" t="n">
        <v>0</v>
      </c>
      <c r="M162" t="n">
        <v>0</v>
      </c>
      <c r="N162" t="n">
        <v>0</v>
      </c>
      <c r="O162" t="n">
        <v>1</v>
      </c>
      <c r="P162" t="n">
        <v>1</v>
      </c>
      <c r="Q162" t="n">
        <v>1</v>
      </c>
      <c r="R162" s="2" t="inlineStr">
        <is>
          <t>Aspsplintbock</t>
        </is>
      </c>
      <c r="S162">
        <f>HYPERLINK("https://klasma.github.io/Logging_0380/artfynd/A 60954-2024 artfynd.xlsx", "A 60954-2024")</f>
        <v/>
      </c>
      <c r="T162">
        <f>HYPERLINK("https://klasma.github.io/Logging_0380/kartor/A 60954-2024 karta.png", "A 60954-2024")</f>
        <v/>
      </c>
      <c r="V162">
        <f>HYPERLINK("https://klasma.github.io/Logging_0380/klagomål/A 60954-2024 FSC-klagomål.docx", "A 60954-2024")</f>
        <v/>
      </c>
      <c r="W162">
        <f>HYPERLINK("https://klasma.github.io/Logging_0380/klagomålsmail/A 60954-2024 FSC-klagomål mail.docx", "A 60954-2024")</f>
        <v/>
      </c>
      <c r="X162">
        <f>HYPERLINK("https://klasma.github.io/Logging_0380/tillsyn/A 60954-2024 tillsynsbegäran.docx", "A 60954-2024")</f>
        <v/>
      </c>
      <c r="Y162">
        <f>HYPERLINK("https://klasma.github.io/Logging_0380/tillsynsmail/A 60954-2024 tillsynsbegäran mail.docx", "A 60954-2024")</f>
        <v/>
      </c>
    </row>
    <row r="163" ht="15" customHeight="1">
      <c r="A163" t="inlineStr">
        <is>
          <t>A 13093-2024</t>
        </is>
      </c>
      <c r="B163" s="1" t="n">
        <v>45385</v>
      </c>
      <c r="C163" s="1" t="n">
        <v>46196</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3183-2024</t>
        </is>
      </c>
      <c r="B164" s="1" t="n">
        <v>45316</v>
      </c>
      <c r="C164" s="1" t="n">
        <v>46196</v>
      </c>
      <c r="D164" t="inlineStr">
        <is>
          <t>UPPSALA LÄN</t>
        </is>
      </c>
      <c r="E164" t="inlineStr">
        <is>
          <t>UPPSALA</t>
        </is>
      </c>
      <c r="F164" t="inlineStr">
        <is>
          <t>Bergvik skog öst AB</t>
        </is>
      </c>
      <c r="G164" t="n">
        <v>1.8</v>
      </c>
      <c r="H164" t="n">
        <v>1</v>
      </c>
      <c r="I164" t="n">
        <v>0</v>
      </c>
      <c r="J164" t="n">
        <v>1</v>
      </c>
      <c r="K164" t="n">
        <v>0</v>
      </c>
      <c r="L164" t="n">
        <v>0</v>
      </c>
      <c r="M164" t="n">
        <v>0</v>
      </c>
      <c r="N164" t="n">
        <v>0</v>
      </c>
      <c r="O164" t="n">
        <v>1</v>
      </c>
      <c r="P164" t="n">
        <v>0</v>
      </c>
      <c r="Q164" t="n">
        <v>1</v>
      </c>
      <c r="R164" s="2" t="inlineStr">
        <is>
          <t>Järnsparv</t>
        </is>
      </c>
      <c r="S164">
        <f>HYPERLINK("https://klasma.github.io/Logging_0380/artfynd/A 3183-2024 artfynd.xlsx", "A 3183-2024")</f>
        <v/>
      </c>
      <c r="T164">
        <f>HYPERLINK("https://klasma.github.io/Logging_0380/kartor/A 3183-2024 karta.png", "A 3183-2024")</f>
        <v/>
      </c>
      <c r="V164">
        <f>HYPERLINK("https://klasma.github.io/Logging_0380/klagomål/A 3183-2024 FSC-klagomål.docx", "A 3183-2024")</f>
        <v/>
      </c>
      <c r="W164">
        <f>HYPERLINK("https://klasma.github.io/Logging_0380/klagomålsmail/A 3183-2024 FSC-klagomål mail.docx", "A 3183-2024")</f>
        <v/>
      </c>
      <c r="X164">
        <f>HYPERLINK("https://klasma.github.io/Logging_0380/tillsyn/A 3183-2024 tillsynsbegäran.docx", "A 3183-2024")</f>
        <v/>
      </c>
      <c r="Y164">
        <f>HYPERLINK("https://klasma.github.io/Logging_0380/tillsynsmail/A 3183-2024 tillsynsbegäran mail.docx", "A 3183-2024")</f>
        <v/>
      </c>
      <c r="Z164">
        <f>HYPERLINK("https://klasma.github.io/Logging_0380/fåglar/A 3183-2024 prioriterade fågelarter.docx", "A 3183-2024")</f>
        <v/>
      </c>
    </row>
    <row r="165" ht="15" customHeight="1">
      <c r="A165" t="inlineStr">
        <is>
          <t>A 13363-2022</t>
        </is>
      </c>
      <c r="B165" s="1" t="n">
        <v>44645</v>
      </c>
      <c r="C165" s="1" t="n">
        <v>46196</v>
      </c>
      <c r="D165" t="inlineStr">
        <is>
          <t>UPPSALA LÄN</t>
        </is>
      </c>
      <c r="E165" t="inlineStr">
        <is>
          <t>UPPSALA</t>
        </is>
      </c>
      <c r="F165" t="inlineStr">
        <is>
          <t>Övriga Aktiebolag</t>
        </is>
      </c>
      <c r="G165" t="n">
        <v>9.4</v>
      </c>
      <c r="H165" t="n">
        <v>1</v>
      </c>
      <c r="I165" t="n">
        <v>0</v>
      </c>
      <c r="J165" t="n">
        <v>0</v>
      </c>
      <c r="K165" t="n">
        <v>0</v>
      </c>
      <c r="L165" t="n">
        <v>0</v>
      </c>
      <c r="M165" t="n">
        <v>0</v>
      </c>
      <c r="N165" t="n">
        <v>0</v>
      </c>
      <c r="O165" t="n">
        <v>0</v>
      </c>
      <c r="P165" t="n">
        <v>0</v>
      </c>
      <c r="Q165" t="n">
        <v>1</v>
      </c>
      <c r="R165" s="2" t="inlineStr">
        <is>
          <t>Huggorm</t>
        </is>
      </c>
      <c r="S165">
        <f>HYPERLINK("https://klasma.github.io/Logging_0380/artfynd/A 13363-2022 artfynd.xlsx", "A 13363-2022")</f>
        <v/>
      </c>
      <c r="T165">
        <f>HYPERLINK("https://klasma.github.io/Logging_0380/kartor/A 13363-2022 karta.png", "A 13363-2022")</f>
        <v/>
      </c>
      <c r="V165">
        <f>HYPERLINK("https://klasma.github.io/Logging_0380/klagomål/A 13363-2022 FSC-klagomål.docx", "A 13363-2022")</f>
        <v/>
      </c>
      <c r="W165">
        <f>HYPERLINK("https://klasma.github.io/Logging_0380/klagomålsmail/A 13363-2022 FSC-klagomål mail.docx", "A 13363-2022")</f>
        <v/>
      </c>
      <c r="X165">
        <f>HYPERLINK("https://klasma.github.io/Logging_0380/tillsyn/A 13363-2022 tillsynsbegäran.docx", "A 13363-2022")</f>
        <v/>
      </c>
      <c r="Y165">
        <f>HYPERLINK("https://klasma.github.io/Logging_0380/tillsynsmail/A 13363-2022 tillsynsbegäran mail.docx", "A 13363-2022")</f>
        <v/>
      </c>
    </row>
    <row r="166" ht="15" customHeight="1">
      <c r="A166" t="inlineStr">
        <is>
          <t>A 46069-2022</t>
        </is>
      </c>
      <c r="B166" s="1" t="n">
        <v>44847</v>
      </c>
      <c r="C166" s="1" t="n">
        <v>46196</v>
      </c>
      <c r="D166" t="inlineStr">
        <is>
          <t>UPPSALA LÄN</t>
        </is>
      </c>
      <c r="E166" t="inlineStr">
        <is>
          <t>UPPSALA</t>
        </is>
      </c>
      <c r="G166" t="n">
        <v>2.2</v>
      </c>
      <c r="H166" t="n">
        <v>0</v>
      </c>
      <c r="I166" t="n">
        <v>0</v>
      </c>
      <c r="J166" t="n">
        <v>1</v>
      </c>
      <c r="K166" t="n">
        <v>0</v>
      </c>
      <c r="L166" t="n">
        <v>0</v>
      </c>
      <c r="M166" t="n">
        <v>0</v>
      </c>
      <c r="N166" t="n">
        <v>0</v>
      </c>
      <c r="O166" t="n">
        <v>1</v>
      </c>
      <c r="P166" t="n">
        <v>0</v>
      </c>
      <c r="Q166" t="n">
        <v>1</v>
      </c>
      <c r="R166" s="2" t="inlineStr">
        <is>
          <t>Fjällig taggsvamp s.str.</t>
        </is>
      </c>
      <c r="S166">
        <f>HYPERLINK("https://klasma.github.io/Logging_0380/artfynd/A 46069-2022 artfynd.xlsx", "A 46069-2022")</f>
        <v/>
      </c>
      <c r="T166">
        <f>HYPERLINK("https://klasma.github.io/Logging_0380/kartor/A 46069-2022 karta.png", "A 46069-2022")</f>
        <v/>
      </c>
      <c r="V166">
        <f>HYPERLINK("https://klasma.github.io/Logging_0380/klagomål/A 46069-2022 FSC-klagomål.docx", "A 46069-2022")</f>
        <v/>
      </c>
      <c r="W166">
        <f>HYPERLINK("https://klasma.github.io/Logging_0380/klagomålsmail/A 46069-2022 FSC-klagomål mail.docx", "A 46069-2022")</f>
        <v/>
      </c>
      <c r="X166">
        <f>HYPERLINK("https://klasma.github.io/Logging_0380/tillsyn/A 46069-2022 tillsynsbegäran.docx", "A 46069-2022")</f>
        <v/>
      </c>
      <c r="Y166">
        <f>HYPERLINK("https://klasma.github.io/Logging_0380/tillsynsmail/A 46069-2022 tillsynsbegäran mail.docx", "A 46069-2022")</f>
        <v/>
      </c>
    </row>
    <row r="167" ht="15" customHeight="1">
      <c r="A167" t="inlineStr">
        <is>
          <t>A 60056-2022</t>
        </is>
      </c>
      <c r="B167" s="1" t="n">
        <v>44909</v>
      </c>
      <c r="C167" s="1" t="n">
        <v>46196</v>
      </c>
      <c r="D167" t="inlineStr">
        <is>
          <t>UPPSALA LÄN</t>
        </is>
      </c>
      <c r="E167" t="inlineStr">
        <is>
          <t>UPPSALA</t>
        </is>
      </c>
      <c r="G167" t="n">
        <v>1.2</v>
      </c>
      <c r="H167" t="n">
        <v>1</v>
      </c>
      <c r="I167" t="n">
        <v>0</v>
      </c>
      <c r="J167" t="n">
        <v>1</v>
      </c>
      <c r="K167" t="n">
        <v>0</v>
      </c>
      <c r="L167" t="n">
        <v>0</v>
      </c>
      <c r="M167" t="n">
        <v>0</v>
      </c>
      <c r="N167" t="n">
        <v>0</v>
      </c>
      <c r="O167" t="n">
        <v>1</v>
      </c>
      <c r="P167" t="n">
        <v>0</v>
      </c>
      <c r="Q167" t="n">
        <v>1</v>
      </c>
      <c r="R167" s="2" t="inlineStr">
        <is>
          <t>Nötkråka</t>
        </is>
      </c>
      <c r="S167">
        <f>HYPERLINK("https://klasma.github.io/Logging_0380/artfynd/A 60056-2022 artfynd.xlsx", "A 60056-2022")</f>
        <v/>
      </c>
      <c r="T167">
        <f>HYPERLINK("https://klasma.github.io/Logging_0380/kartor/A 60056-2022 karta.png", "A 60056-2022")</f>
        <v/>
      </c>
      <c r="V167">
        <f>HYPERLINK("https://klasma.github.io/Logging_0380/klagomål/A 60056-2022 FSC-klagomål.docx", "A 60056-2022")</f>
        <v/>
      </c>
      <c r="W167">
        <f>HYPERLINK("https://klasma.github.io/Logging_0380/klagomålsmail/A 60056-2022 FSC-klagomål mail.docx", "A 60056-2022")</f>
        <v/>
      </c>
      <c r="X167">
        <f>HYPERLINK("https://klasma.github.io/Logging_0380/tillsyn/A 60056-2022 tillsynsbegäran.docx", "A 60056-2022")</f>
        <v/>
      </c>
      <c r="Y167">
        <f>HYPERLINK("https://klasma.github.io/Logging_0380/tillsynsmail/A 60056-2022 tillsynsbegäran mail.docx", "A 60056-2022")</f>
        <v/>
      </c>
      <c r="Z167">
        <f>HYPERLINK("https://klasma.github.io/Logging_0380/fåglar/A 60056-2022 prioriterade fågelarter.docx", "A 60056-2022")</f>
        <v/>
      </c>
    </row>
    <row r="168" ht="15" customHeight="1">
      <c r="A168" t="inlineStr">
        <is>
          <t>A 2729-2024</t>
        </is>
      </c>
      <c r="B168" s="1" t="n">
        <v>45314</v>
      </c>
      <c r="C168" s="1" t="n">
        <v>46196</v>
      </c>
      <c r="D168" t="inlineStr">
        <is>
          <t>UPPSALA LÄN</t>
        </is>
      </c>
      <c r="E168" t="inlineStr">
        <is>
          <t>UPPSALA</t>
        </is>
      </c>
      <c r="G168" t="n">
        <v>3.3</v>
      </c>
      <c r="H168" t="n">
        <v>1</v>
      </c>
      <c r="I168" t="n">
        <v>0</v>
      </c>
      <c r="J168" t="n">
        <v>0</v>
      </c>
      <c r="K168" t="n">
        <v>0</v>
      </c>
      <c r="L168" t="n">
        <v>0</v>
      </c>
      <c r="M168" t="n">
        <v>0</v>
      </c>
      <c r="N168" t="n">
        <v>0</v>
      </c>
      <c r="O168" t="n">
        <v>0</v>
      </c>
      <c r="P168" t="n">
        <v>0</v>
      </c>
      <c r="Q168" t="n">
        <v>1</v>
      </c>
      <c r="R168" s="2" t="inlineStr">
        <is>
          <t>Revlummer</t>
        </is>
      </c>
      <c r="S168">
        <f>HYPERLINK("https://klasma.github.io/Logging_0380/artfynd/A 2729-2024 artfynd.xlsx", "A 2729-2024")</f>
        <v/>
      </c>
      <c r="T168">
        <f>HYPERLINK("https://klasma.github.io/Logging_0380/kartor/A 2729-2024 karta.png", "A 2729-2024")</f>
        <v/>
      </c>
      <c r="V168">
        <f>HYPERLINK("https://klasma.github.io/Logging_0380/klagomål/A 2729-2024 FSC-klagomål.docx", "A 2729-2024")</f>
        <v/>
      </c>
      <c r="W168">
        <f>HYPERLINK("https://klasma.github.io/Logging_0380/klagomålsmail/A 2729-2024 FSC-klagomål mail.docx", "A 2729-2024")</f>
        <v/>
      </c>
      <c r="X168">
        <f>HYPERLINK("https://klasma.github.io/Logging_0380/tillsyn/A 2729-2024 tillsynsbegäran.docx", "A 2729-2024")</f>
        <v/>
      </c>
      <c r="Y168">
        <f>HYPERLINK("https://klasma.github.io/Logging_0380/tillsynsmail/A 2729-2024 tillsynsbegäran mail.docx", "A 2729-2024")</f>
        <v/>
      </c>
    </row>
    <row r="169" ht="15" customHeight="1">
      <c r="A169" t="inlineStr">
        <is>
          <t>A 42622-2022</t>
        </is>
      </c>
      <c r="B169" s="1" t="n">
        <v>44831</v>
      </c>
      <c r="C169" s="1" t="n">
        <v>46196</v>
      </c>
      <c r="D169" t="inlineStr">
        <is>
          <t>UPPSALA LÄN</t>
        </is>
      </c>
      <c r="E169" t="inlineStr">
        <is>
          <t>UPPSALA</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HYPERLINK("https://klasma.github.io/Logging_0380/artfynd/A 42622-2022 artfynd.xlsx", "A 42622-2022")</f>
        <v/>
      </c>
      <c r="T169">
        <f>HYPERLINK("https://klasma.github.io/Logging_0380/kartor/A 42622-2022 karta.png", "A 42622-2022")</f>
        <v/>
      </c>
      <c r="V169">
        <f>HYPERLINK("https://klasma.github.io/Logging_0380/klagomål/A 42622-2022 FSC-klagomål.docx", "A 42622-2022")</f>
        <v/>
      </c>
      <c r="W169">
        <f>HYPERLINK("https://klasma.github.io/Logging_0380/klagomålsmail/A 42622-2022 FSC-klagomål mail.docx", "A 42622-2022")</f>
        <v/>
      </c>
      <c r="X169">
        <f>HYPERLINK("https://klasma.github.io/Logging_0380/tillsyn/A 42622-2022 tillsynsbegäran.docx", "A 42622-2022")</f>
        <v/>
      </c>
      <c r="Y169">
        <f>HYPERLINK("https://klasma.github.io/Logging_0380/tillsynsmail/A 42622-2022 tillsynsbegäran mail.docx", "A 42622-2022")</f>
        <v/>
      </c>
    </row>
    <row r="170" ht="15" customHeight="1">
      <c r="A170" t="inlineStr">
        <is>
          <t>A 1731-2022</t>
        </is>
      </c>
      <c r="B170" s="1" t="n">
        <v>44574</v>
      </c>
      <c r="C170" s="1" t="n">
        <v>46196</v>
      </c>
      <c r="D170" t="inlineStr">
        <is>
          <t>UPPSALA LÄN</t>
        </is>
      </c>
      <c r="E170" t="inlineStr">
        <is>
          <t>UPPSALA</t>
        </is>
      </c>
      <c r="G170" t="n">
        <v>10.1</v>
      </c>
      <c r="H170" t="n">
        <v>1</v>
      </c>
      <c r="I170" t="n">
        <v>0</v>
      </c>
      <c r="J170" t="n">
        <v>0</v>
      </c>
      <c r="K170" t="n">
        <v>0</v>
      </c>
      <c r="L170" t="n">
        <v>0</v>
      </c>
      <c r="M170" t="n">
        <v>0</v>
      </c>
      <c r="N170" t="n">
        <v>0</v>
      </c>
      <c r="O170" t="n">
        <v>0</v>
      </c>
      <c r="P170" t="n">
        <v>0</v>
      </c>
      <c r="Q170" t="n">
        <v>1</v>
      </c>
      <c r="R170" s="2" t="inlineStr">
        <is>
          <t>Vanlig snok</t>
        </is>
      </c>
      <c r="S170">
        <f>HYPERLINK("https://klasma.github.io/Logging_0380/artfynd/A 1731-2022 artfynd.xlsx", "A 1731-2022")</f>
        <v/>
      </c>
      <c r="T170">
        <f>HYPERLINK("https://klasma.github.io/Logging_0380/kartor/A 1731-2022 karta.png", "A 1731-2022")</f>
        <v/>
      </c>
      <c r="V170">
        <f>HYPERLINK("https://klasma.github.io/Logging_0380/klagomål/A 1731-2022 FSC-klagomål.docx", "A 1731-2022")</f>
        <v/>
      </c>
      <c r="W170">
        <f>HYPERLINK("https://klasma.github.io/Logging_0380/klagomålsmail/A 1731-2022 FSC-klagomål mail.docx", "A 1731-2022")</f>
        <v/>
      </c>
      <c r="X170">
        <f>HYPERLINK("https://klasma.github.io/Logging_0380/tillsyn/A 1731-2022 tillsynsbegäran.docx", "A 1731-2022")</f>
        <v/>
      </c>
      <c r="Y170">
        <f>HYPERLINK("https://klasma.github.io/Logging_0380/tillsynsmail/A 1731-2022 tillsynsbegäran mail.docx", "A 1731-2022")</f>
        <v/>
      </c>
    </row>
    <row r="171" ht="15" customHeight="1">
      <c r="A171" t="inlineStr">
        <is>
          <t>A 16761-2022</t>
        </is>
      </c>
      <c r="B171" s="1" t="n">
        <v>44673</v>
      </c>
      <c r="C171" s="1" t="n">
        <v>46196</v>
      </c>
      <c r="D171" t="inlineStr">
        <is>
          <t>UPPSALA LÄN</t>
        </is>
      </c>
      <c r="E171" t="inlineStr">
        <is>
          <t>UPPSALA</t>
        </is>
      </c>
      <c r="G171" t="n">
        <v>0.6</v>
      </c>
      <c r="H171" t="n">
        <v>1</v>
      </c>
      <c r="I171" t="n">
        <v>0</v>
      </c>
      <c r="J171" t="n">
        <v>0</v>
      </c>
      <c r="K171" t="n">
        <v>0</v>
      </c>
      <c r="L171" t="n">
        <v>0</v>
      </c>
      <c r="M171" t="n">
        <v>0</v>
      </c>
      <c r="N171" t="n">
        <v>0</v>
      </c>
      <c r="O171" t="n">
        <v>0</v>
      </c>
      <c r="P171" t="n">
        <v>0</v>
      </c>
      <c r="Q171" t="n">
        <v>1</v>
      </c>
      <c r="R171" s="2" t="inlineStr">
        <is>
          <t>Trädlärka</t>
        </is>
      </c>
      <c r="S171">
        <f>HYPERLINK("https://klasma.github.io/Logging_0380/artfynd/A 16761-2022 artfynd.xlsx", "A 16761-2022")</f>
        <v/>
      </c>
      <c r="T171">
        <f>HYPERLINK("https://klasma.github.io/Logging_0380/kartor/A 16761-2022 karta.png", "A 16761-2022")</f>
        <v/>
      </c>
      <c r="V171">
        <f>HYPERLINK("https://klasma.github.io/Logging_0380/klagomål/A 16761-2022 FSC-klagomål.docx", "A 16761-2022")</f>
        <v/>
      </c>
      <c r="W171">
        <f>HYPERLINK("https://klasma.github.io/Logging_0380/klagomålsmail/A 16761-2022 FSC-klagomål mail.docx", "A 16761-2022")</f>
        <v/>
      </c>
      <c r="X171">
        <f>HYPERLINK("https://klasma.github.io/Logging_0380/tillsyn/A 16761-2022 tillsynsbegäran.docx", "A 16761-2022")</f>
        <v/>
      </c>
      <c r="Y171">
        <f>HYPERLINK("https://klasma.github.io/Logging_0380/tillsynsmail/A 16761-2022 tillsynsbegäran mail.docx", "A 16761-2022")</f>
        <v/>
      </c>
      <c r="Z171">
        <f>HYPERLINK("https://klasma.github.io/Logging_0380/fåglar/A 16761-2022 prioriterade fågelarter.docx", "A 16761-2022")</f>
        <v/>
      </c>
    </row>
    <row r="172" ht="15" customHeight="1">
      <c r="A172" t="inlineStr">
        <is>
          <t>A 17250-2025</t>
        </is>
      </c>
      <c r="B172" s="1" t="n">
        <v>45756</v>
      </c>
      <c r="C172" s="1" t="n">
        <v>46196</v>
      </c>
      <c r="D172" t="inlineStr">
        <is>
          <t>UPPSALA LÄN</t>
        </is>
      </c>
      <c r="E172" t="inlineStr">
        <is>
          <t>UPPSALA</t>
        </is>
      </c>
      <c r="G172" t="n">
        <v>2.2</v>
      </c>
      <c r="H172" t="n">
        <v>0</v>
      </c>
      <c r="I172" t="n">
        <v>0</v>
      </c>
      <c r="J172" t="n">
        <v>1</v>
      </c>
      <c r="K172" t="n">
        <v>0</v>
      </c>
      <c r="L172" t="n">
        <v>0</v>
      </c>
      <c r="M172" t="n">
        <v>0</v>
      </c>
      <c r="N172" t="n">
        <v>0</v>
      </c>
      <c r="O172" t="n">
        <v>1</v>
      </c>
      <c r="P172" t="n">
        <v>0</v>
      </c>
      <c r="Q172" t="n">
        <v>1</v>
      </c>
      <c r="R172" s="2" t="inlineStr">
        <is>
          <t>Vedtrappmossa</t>
        </is>
      </c>
      <c r="S172">
        <f>HYPERLINK("https://klasma.github.io/Logging_0380/artfynd/A 17250-2025 artfynd.xlsx", "A 17250-2025")</f>
        <v/>
      </c>
      <c r="T172">
        <f>HYPERLINK("https://klasma.github.io/Logging_0380/kartor/A 17250-2025 karta.png", "A 17250-2025")</f>
        <v/>
      </c>
      <c r="V172">
        <f>HYPERLINK("https://klasma.github.io/Logging_0380/klagomål/A 17250-2025 FSC-klagomål.docx", "A 17250-2025")</f>
        <v/>
      </c>
      <c r="W172">
        <f>HYPERLINK("https://klasma.github.io/Logging_0380/klagomålsmail/A 17250-2025 FSC-klagomål mail.docx", "A 17250-2025")</f>
        <v/>
      </c>
      <c r="X172">
        <f>HYPERLINK("https://klasma.github.io/Logging_0380/tillsyn/A 17250-2025 tillsynsbegäran.docx", "A 17250-2025")</f>
        <v/>
      </c>
      <c r="Y172">
        <f>HYPERLINK("https://klasma.github.io/Logging_0380/tillsynsmail/A 17250-2025 tillsynsbegäran mail.docx", "A 17250-2025")</f>
        <v/>
      </c>
    </row>
    <row r="173" ht="15" customHeight="1">
      <c r="A173" t="inlineStr">
        <is>
          <t>A 21657-2024</t>
        </is>
      </c>
      <c r="B173" s="1" t="n">
        <v>45442</v>
      </c>
      <c r="C173" s="1" t="n">
        <v>46196</v>
      </c>
      <c r="D173" t="inlineStr">
        <is>
          <t>UPPSALA LÄN</t>
        </is>
      </c>
      <c r="E173" t="inlineStr">
        <is>
          <t>UPPSALA</t>
        </is>
      </c>
      <c r="G173" t="n">
        <v>5.7</v>
      </c>
      <c r="H173" t="n">
        <v>1</v>
      </c>
      <c r="I173" t="n">
        <v>0</v>
      </c>
      <c r="J173" t="n">
        <v>0</v>
      </c>
      <c r="K173" t="n">
        <v>0</v>
      </c>
      <c r="L173" t="n">
        <v>0</v>
      </c>
      <c r="M173" t="n">
        <v>0</v>
      </c>
      <c r="N173" t="n">
        <v>0</v>
      </c>
      <c r="O173" t="n">
        <v>0</v>
      </c>
      <c r="P173" t="n">
        <v>0</v>
      </c>
      <c r="Q173" t="n">
        <v>1</v>
      </c>
      <c r="R173" s="2" t="inlineStr">
        <is>
          <t>Kungsfågel</t>
        </is>
      </c>
      <c r="S173">
        <f>HYPERLINK("https://klasma.github.io/Logging_0380/artfynd/A 21657-2024 artfynd.xlsx", "A 21657-2024")</f>
        <v/>
      </c>
      <c r="T173">
        <f>HYPERLINK("https://klasma.github.io/Logging_0380/kartor/A 21657-2024 karta.png", "A 21657-2024")</f>
        <v/>
      </c>
      <c r="V173">
        <f>HYPERLINK("https://klasma.github.io/Logging_0380/klagomål/A 21657-2024 FSC-klagomål.docx", "A 21657-2024")</f>
        <v/>
      </c>
      <c r="W173">
        <f>HYPERLINK("https://klasma.github.io/Logging_0380/klagomålsmail/A 21657-2024 FSC-klagomål mail.docx", "A 21657-2024")</f>
        <v/>
      </c>
      <c r="X173">
        <f>HYPERLINK("https://klasma.github.io/Logging_0380/tillsyn/A 21657-2024 tillsynsbegäran.docx", "A 21657-2024")</f>
        <v/>
      </c>
      <c r="Y173">
        <f>HYPERLINK("https://klasma.github.io/Logging_0380/tillsynsmail/A 21657-2024 tillsynsbegäran mail.docx", "A 21657-2024")</f>
        <v/>
      </c>
    </row>
    <row r="174" ht="15" customHeight="1">
      <c r="A174" t="inlineStr">
        <is>
          <t>A 42528-2023</t>
        </is>
      </c>
      <c r="B174" s="1" t="n">
        <v>45181</v>
      </c>
      <c r="C174" s="1" t="n">
        <v>46196</v>
      </c>
      <c r="D174" t="inlineStr">
        <is>
          <t>UPPSALA LÄN</t>
        </is>
      </c>
      <c r="E174" t="inlineStr">
        <is>
          <t>UPPSALA</t>
        </is>
      </c>
      <c r="G174" t="n">
        <v>1.2</v>
      </c>
      <c r="H174" t="n">
        <v>0</v>
      </c>
      <c r="I174" t="n">
        <v>0</v>
      </c>
      <c r="J174" t="n">
        <v>1</v>
      </c>
      <c r="K174" t="n">
        <v>0</v>
      </c>
      <c r="L174" t="n">
        <v>0</v>
      </c>
      <c r="M174" t="n">
        <v>0</v>
      </c>
      <c r="N174" t="n">
        <v>0</v>
      </c>
      <c r="O174" t="n">
        <v>1</v>
      </c>
      <c r="P174" t="n">
        <v>0</v>
      </c>
      <c r="Q174" t="n">
        <v>1</v>
      </c>
      <c r="R174" s="2" t="inlineStr">
        <is>
          <t>Lunglav</t>
        </is>
      </c>
      <c r="S174">
        <f>HYPERLINK("https://klasma.github.io/Logging_0380/artfynd/A 42528-2023 artfynd.xlsx", "A 42528-2023")</f>
        <v/>
      </c>
      <c r="T174">
        <f>HYPERLINK("https://klasma.github.io/Logging_0380/kartor/A 42528-2023 karta.png", "A 42528-2023")</f>
        <v/>
      </c>
      <c r="V174">
        <f>HYPERLINK("https://klasma.github.io/Logging_0380/klagomål/A 42528-2023 FSC-klagomål.docx", "A 42528-2023")</f>
        <v/>
      </c>
      <c r="W174">
        <f>HYPERLINK("https://klasma.github.io/Logging_0380/klagomålsmail/A 42528-2023 FSC-klagomål mail.docx", "A 42528-2023")</f>
        <v/>
      </c>
      <c r="X174">
        <f>HYPERLINK("https://klasma.github.io/Logging_0380/tillsyn/A 42528-2023 tillsynsbegäran.docx", "A 42528-2023")</f>
        <v/>
      </c>
      <c r="Y174">
        <f>HYPERLINK("https://klasma.github.io/Logging_0380/tillsynsmail/A 42528-2023 tillsynsbegäran mail.docx", "A 42528-2023")</f>
        <v/>
      </c>
    </row>
    <row r="175" ht="15" customHeight="1">
      <c r="A175" t="inlineStr">
        <is>
          <t>A 29902-2023</t>
        </is>
      </c>
      <c r="B175" s="1" t="n">
        <v>45107</v>
      </c>
      <c r="C175" s="1" t="n">
        <v>46196</v>
      </c>
      <c r="D175" t="inlineStr">
        <is>
          <t>UPPSALA LÄN</t>
        </is>
      </c>
      <c r="E175" t="inlineStr">
        <is>
          <t>UPPSALA</t>
        </is>
      </c>
      <c r="F175" t="inlineStr">
        <is>
          <t>Kyrkan</t>
        </is>
      </c>
      <c r="G175" t="n">
        <v>10.6</v>
      </c>
      <c r="H175" t="n">
        <v>1</v>
      </c>
      <c r="I175" t="n">
        <v>0</v>
      </c>
      <c r="J175" t="n">
        <v>0</v>
      </c>
      <c r="K175" t="n">
        <v>0</v>
      </c>
      <c r="L175" t="n">
        <v>0</v>
      </c>
      <c r="M175" t="n">
        <v>0</v>
      </c>
      <c r="N175" t="n">
        <v>0</v>
      </c>
      <c r="O175" t="n">
        <v>0</v>
      </c>
      <c r="P175" t="n">
        <v>0</v>
      </c>
      <c r="Q175" t="n">
        <v>1</v>
      </c>
      <c r="R175" s="2" t="inlineStr">
        <is>
          <t>Järpe</t>
        </is>
      </c>
      <c r="S175">
        <f>HYPERLINK("https://klasma.github.io/Logging_0380/artfynd/A 29902-2023 artfynd.xlsx", "A 29902-2023")</f>
        <v/>
      </c>
      <c r="T175">
        <f>HYPERLINK("https://klasma.github.io/Logging_0380/kartor/A 29902-2023 karta.png", "A 29902-2023")</f>
        <v/>
      </c>
      <c r="V175">
        <f>HYPERLINK("https://klasma.github.io/Logging_0380/klagomål/A 29902-2023 FSC-klagomål.docx", "A 29902-2023")</f>
        <v/>
      </c>
      <c r="W175">
        <f>HYPERLINK("https://klasma.github.io/Logging_0380/klagomålsmail/A 29902-2023 FSC-klagomål mail.docx", "A 29902-2023")</f>
        <v/>
      </c>
      <c r="X175">
        <f>HYPERLINK("https://klasma.github.io/Logging_0380/tillsyn/A 29902-2023 tillsynsbegäran.docx", "A 29902-2023")</f>
        <v/>
      </c>
      <c r="Y175">
        <f>HYPERLINK("https://klasma.github.io/Logging_0380/tillsynsmail/A 29902-2023 tillsynsbegäran mail.docx", "A 29902-2023")</f>
        <v/>
      </c>
      <c r="Z175">
        <f>HYPERLINK("https://klasma.github.io/Logging_0380/fåglar/A 29902-2023 prioriterade fågelarter.docx", "A 29902-2023")</f>
        <v/>
      </c>
    </row>
    <row r="176" ht="15" customHeight="1">
      <c r="A176" t="inlineStr">
        <is>
          <t>A 9295-2023</t>
        </is>
      </c>
      <c r="B176" s="1" t="n">
        <v>44980</v>
      </c>
      <c r="C176" s="1" t="n">
        <v>46196</v>
      </c>
      <c r="D176" t="inlineStr">
        <is>
          <t>UPPSALA LÄN</t>
        </is>
      </c>
      <c r="E176" t="inlineStr">
        <is>
          <t>UPPSALA</t>
        </is>
      </c>
      <c r="G176" t="n">
        <v>2.1</v>
      </c>
      <c r="H176" t="n">
        <v>1</v>
      </c>
      <c r="I176" t="n">
        <v>0</v>
      </c>
      <c r="J176" t="n">
        <v>1</v>
      </c>
      <c r="K176" t="n">
        <v>0</v>
      </c>
      <c r="L176" t="n">
        <v>0</v>
      </c>
      <c r="M176" t="n">
        <v>0</v>
      </c>
      <c r="N176" t="n">
        <v>0</v>
      </c>
      <c r="O176" t="n">
        <v>1</v>
      </c>
      <c r="P176" t="n">
        <v>0</v>
      </c>
      <c r="Q176" t="n">
        <v>1</v>
      </c>
      <c r="R176" s="2" t="inlineStr">
        <is>
          <t>Sparvuggla</t>
        </is>
      </c>
      <c r="S176">
        <f>HYPERLINK("https://klasma.github.io/Logging_0380/artfynd/A 9295-2023 artfynd.xlsx", "A 9295-2023")</f>
        <v/>
      </c>
      <c r="T176">
        <f>HYPERLINK("https://klasma.github.io/Logging_0380/kartor/A 9295-2023 karta.png", "A 9295-2023")</f>
        <v/>
      </c>
      <c r="V176">
        <f>HYPERLINK("https://klasma.github.io/Logging_0380/klagomål/A 9295-2023 FSC-klagomål.docx", "A 9295-2023")</f>
        <v/>
      </c>
      <c r="W176">
        <f>HYPERLINK("https://klasma.github.io/Logging_0380/klagomålsmail/A 9295-2023 FSC-klagomål mail.docx", "A 9295-2023")</f>
        <v/>
      </c>
      <c r="X176">
        <f>HYPERLINK("https://klasma.github.io/Logging_0380/tillsyn/A 9295-2023 tillsynsbegäran.docx", "A 9295-2023")</f>
        <v/>
      </c>
      <c r="Y176">
        <f>HYPERLINK("https://klasma.github.io/Logging_0380/tillsynsmail/A 9295-2023 tillsynsbegäran mail.docx", "A 9295-2023")</f>
        <v/>
      </c>
      <c r="Z176">
        <f>HYPERLINK("https://klasma.github.io/Logging_0380/fåglar/A 9295-2023 prioriterade fågelarter.docx", "A 9295-2023")</f>
        <v/>
      </c>
    </row>
    <row r="177" ht="15" customHeight="1">
      <c r="A177" t="inlineStr">
        <is>
          <t>A 40872-2023</t>
        </is>
      </c>
      <c r="B177" s="1" t="n">
        <v>45173</v>
      </c>
      <c r="C177" s="1" t="n">
        <v>46196</v>
      </c>
      <c r="D177" t="inlineStr">
        <is>
          <t>UPPSALA LÄN</t>
        </is>
      </c>
      <c r="E177" t="inlineStr">
        <is>
          <t>UPPSALA</t>
        </is>
      </c>
      <c r="G177" t="n">
        <v>1.1</v>
      </c>
      <c r="H177" t="n">
        <v>0</v>
      </c>
      <c r="I177" t="n">
        <v>1</v>
      </c>
      <c r="J177" t="n">
        <v>0</v>
      </c>
      <c r="K177" t="n">
        <v>0</v>
      </c>
      <c r="L177" t="n">
        <v>0</v>
      </c>
      <c r="M177" t="n">
        <v>0</v>
      </c>
      <c r="N177" t="n">
        <v>0</v>
      </c>
      <c r="O177" t="n">
        <v>0</v>
      </c>
      <c r="P177" t="n">
        <v>0</v>
      </c>
      <c r="Q177" t="n">
        <v>1</v>
      </c>
      <c r="R177" s="2" t="inlineStr">
        <is>
          <t>Bronshjon</t>
        </is>
      </c>
      <c r="S177">
        <f>HYPERLINK("https://klasma.github.io/Logging_0380/artfynd/A 40872-2023 artfynd.xlsx", "A 40872-2023")</f>
        <v/>
      </c>
      <c r="T177">
        <f>HYPERLINK("https://klasma.github.io/Logging_0380/kartor/A 40872-2023 karta.png", "A 40872-2023")</f>
        <v/>
      </c>
      <c r="V177">
        <f>HYPERLINK("https://klasma.github.io/Logging_0380/klagomål/A 40872-2023 FSC-klagomål.docx", "A 40872-2023")</f>
        <v/>
      </c>
      <c r="W177">
        <f>HYPERLINK("https://klasma.github.io/Logging_0380/klagomålsmail/A 40872-2023 FSC-klagomål mail.docx", "A 40872-2023")</f>
        <v/>
      </c>
      <c r="X177">
        <f>HYPERLINK("https://klasma.github.io/Logging_0380/tillsyn/A 40872-2023 tillsynsbegäran.docx", "A 40872-2023")</f>
        <v/>
      </c>
      <c r="Y177">
        <f>HYPERLINK("https://klasma.github.io/Logging_0380/tillsynsmail/A 40872-2023 tillsynsbegäran mail.docx", "A 40872-2023")</f>
        <v/>
      </c>
    </row>
    <row r="178" ht="15" customHeight="1">
      <c r="A178" t="inlineStr">
        <is>
          <t>A 46748-2024</t>
        </is>
      </c>
      <c r="B178" s="1" t="n">
        <v>45583</v>
      </c>
      <c r="C178" s="1" t="n">
        <v>46196</v>
      </c>
      <c r="D178" t="inlineStr">
        <is>
          <t>UPPSALA LÄN</t>
        </is>
      </c>
      <c r="E178" t="inlineStr">
        <is>
          <t>UPPSALA</t>
        </is>
      </c>
      <c r="F178" t="inlineStr">
        <is>
          <t>Sveaskog</t>
        </is>
      </c>
      <c r="G178" t="n">
        <v>1.1</v>
      </c>
      <c r="H178" t="n">
        <v>1</v>
      </c>
      <c r="I178" t="n">
        <v>0</v>
      </c>
      <c r="J178" t="n">
        <v>0</v>
      </c>
      <c r="K178" t="n">
        <v>0</v>
      </c>
      <c r="L178" t="n">
        <v>0</v>
      </c>
      <c r="M178" t="n">
        <v>0</v>
      </c>
      <c r="N178" t="n">
        <v>0</v>
      </c>
      <c r="O178" t="n">
        <v>0</v>
      </c>
      <c r="P178" t="n">
        <v>0</v>
      </c>
      <c r="Q178" t="n">
        <v>1</v>
      </c>
      <c r="R178" s="2" t="inlineStr">
        <is>
          <t>Nattskärra</t>
        </is>
      </c>
      <c r="S178">
        <f>HYPERLINK("https://klasma.github.io/Logging_0380/artfynd/A 46748-2024 artfynd.xlsx", "A 46748-2024")</f>
        <v/>
      </c>
      <c r="T178">
        <f>HYPERLINK("https://klasma.github.io/Logging_0380/kartor/A 46748-2024 karta.png", "A 46748-2024")</f>
        <v/>
      </c>
      <c r="V178">
        <f>HYPERLINK("https://klasma.github.io/Logging_0380/klagomål/A 46748-2024 FSC-klagomål.docx", "A 46748-2024")</f>
        <v/>
      </c>
      <c r="W178">
        <f>HYPERLINK("https://klasma.github.io/Logging_0380/klagomålsmail/A 46748-2024 FSC-klagomål mail.docx", "A 46748-2024")</f>
        <v/>
      </c>
      <c r="X178">
        <f>HYPERLINK("https://klasma.github.io/Logging_0380/tillsyn/A 46748-2024 tillsynsbegäran.docx", "A 46748-2024")</f>
        <v/>
      </c>
      <c r="Y178">
        <f>HYPERLINK("https://klasma.github.io/Logging_0380/tillsynsmail/A 46748-2024 tillsynsbegäran mail.docx", "A 46748-2024")</f>
        <v/>
      </c>
      <c r="Z178">
        <f>HYPERLINK("https://klasma.github.io/Logging_0380/fåglar/A 46748-2024 prioriterade fågelarter.docx", "A 46748-2024")</f>
        <v/>
      </c>
    </row>
    <row r="179" ht="15" customHeight="1">
      <c r="A179" t="inlineStr">
        <is>
          <t>A 17484-2025</t>
        </is>
      </c>
      <c r="B179" s="1" t="n">
        <v>45757</v>
      </c>
      <c r="C179" s="1" t="n">
        <v>46196</v>
      </c>
      <c r="D179" t="inlineStr">
        <is>
          <t>UPPSALA LÄN</t>
        </is>
      </c>
      <c r="E179" t="inlineStr">
        <is>
          <t>UPPSALA</t>
        </is>
      </c>
      <c r="G179" t="n">
        <v>13.1</v>
      </c>
      <c r="H179" t="n">
        <v>1</v>
      </c>
      <c r="I179" t="n">
        <v>0</v>
      </c>
      <c r="J179" t="n">
        <v>0</v>
      </c>
      <c r="K179" t="n">
        <v>0</v>
      </c>
      <c r="L179" t="n">
        <v>0</v>
      </c>
      <c r="M179" t="n">
        <v>0</v>
      </c>
      <c r="N179" t="n">
        <v>0</v>
      </c>
      <c r="O179" t="n">
        <v>0</v>
      </c>
      <c r="P179" t="n">
        <v>0</v>
      </c>
      <c r="Q179" t="n">
        <v>1</v>
      </c>
      <c r="R179" s="2" t="inlineStr">
        <is>
          <t>Fläcknycklar</t>
        </is>
      </c>
      <c r="S179">
        <f>HYPERLINK("https://klasma.github.io/Logging_0380/artfynd/A 17484-2025 artfynd.xlsx", "A 17484-2025")</f>
        <v/>
      </c>
      <c r="T179">
        <f>HYPERLINK("https://klasma.github.io/Logging_0380/kartor/A 17484-2025 karta.png", "A 17484-2025")</f>
        <v/>
      </c>
      <c r="V179">
        <f>HYPERLINK("https://klasma.github.io/Logging_0380/klagomål/A 17484-2025 FSC-klagomål.docx", "A 17484-2025")</f>
        <v/>
      </c>
      <c r="W179">
        <f>HYPERLINK("https://klasma.github.io/Logging_0380/klagomålsmail/A 17484-2025 FSC-klagomål mail.docx", "A 17484-2025")</f>
        <v/>
      </c>
      <c r="X179">
        <f>HYPERLINK("https://klasma.github.io/Logging_0380/tillsyn/A 17484-2025 tillsynsbegäran.docx", "A 17484-2025")</f>
        <v/>
      </c>
      <c r="Y179">
        <f>HYPERLINK("https://klasma.github.io/Logging_0380/tillsynsmail/A 17484-2025 tillsynsbegäran mail.docx", "A 17484-2025")</f>
        <v/>
      </c>
    </row>
    <row r="180" ht="15" customHeight="1">
      <c r="A180" t="inlineStr">
        <is>
          <t>A 61830-2022</t>
        </is>
      </c>
      <c r="B180" s="1" t="n">
        <v>44917</v>
      </c>
      <c r="C180" s="1" t="n">
        <v>46196</v>
      </c>
      <c r="D180" t="inlineStr">
        <is>
          <t>UPPSALA LÄN</t>
        </is>
      </c>
      <c r="E180" t="inlineStr">
        <is>
          <t>UPPSALA</t>
        </is>
      </c>
      <c r="F180" t="inlineStr">
        <is>
          <t>Holmen skog AB</t>
        </is>
      </c>
      <c r="G180" t="n">
        <v>1.1</v>
      </c>
      <c r="H180" t="n">
        <v>0</v>
      </c>
      <c r="I180" t="n">
        <v>0</v>
      </c>
      <c r="J180" t="n">
        <v>1</v>
      </c>
      <c r="K180" t="n">
        <v>0</v>
      </c>
      <c r="L180" t="n">
        <v>0</v>
      </c>
      <c r="M180" t="n">
        <v>0</v>
      </c>
      <c r="N180" t="n">
        <v>0</v>
      </c>
      <c r="O180" t="n">
        <v>1</v>
      </c>
      <c r="P180" t="n">
        <v>0</v>
      </c>
      <c r="Q180" t="n">
        <v>1</v>
      </c>
      <c r="R180" s="2" t="inlineStr">
        <is>
          <t>Rödbrun blekspik</t>
        </is>
      </c>
      <c r="S180">
        <f>HYPERLINK("https://klasma.github.io/Logging_0380/artfynd/A 61830-2022 artfynd.xlsx", "A 61830-2022")</f>
        <v/>
      </c>
      <c r="T180">
        <f>HYPERLINK("https://klasma.github.io/Logging_0380/kartor/A 61830-2022 karta.png", "A 61830-2022")</f>
        <v/>
      </c>
      <c r="V180">
        <f>HYPERLINK("https://klasma.github.io/Logging_0380/klagomål/A 61830-2022 FSC-klagomål.docx", "A 61830-2022")</f>
        <v/>
      </c>
      <c r="W180">
        <f>HYPERLINK("https://klasma.github.io/Logging_0380/klagomålsmail/A 61830-2022 FSC-klagomål mail.docx", "A 61830-2022")</f>
        <v/>
      </c>
      <c r="X180">
        <f>HYPERLINK("https://klasma.github.io/Logging_0380/tillsyn/A 61830-2022 tillsynsbegäran.docx", "A 61830-2022")</f>
        <v/>
      </c>
      <c r="Y180">
        <f>HYPERLINK("https://klasma.github.io/Logging_0380/tillsynsmail/A 61830-2022 tillsynsbegäran mail.docx", "A 61830-2022")</f>
        <v/>
      </c>
    </row>
    <row r="181" ht="15" customHeight="1">
      <c r="A181" t="inlineStr">
        <is>
          <t>A 3260-2022</t>
        </is>
      </c>
      <c r="B181" s="1" t="n">
        <v>44583</v>
      </c>
      <c r="C181" s="1" t="n">
        <v>46196</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46196</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46196</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46196</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46196</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46196</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46196</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46196</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46196</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46196</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46196</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15583-2022</t>
        </is>
      </c>
      <c r="B192" s="1" t="n">
        <v>44662</v>
      </c>
      <c r="C192" s="1" t="n">
        <v>46196</v>
      </c>
      <c r="D192" t="inlineStr">
        <is>
          <t>UPPSALA LÄN</t>
        </is>
      </c>
      <c r="E192" t="inlineStr">
        <is>
          <t>UPPSALA</t>
        </is>
      </c>
      <c r="F192" t="inlineStr">
        <is>
          <t>Övriga Aktiebolag</t>
        </is>
      </c>
      <c r="G192" t="n">
        <v>4.3</v>
      </c>
      <c r="H192" t="n">
        <v>0</v>
      </c>
      <c r="I192" t="n">
        <v>0</v>
      </c>
      <c r="J192" t="n">
        <v>0</v>
      </c>
      <c r="K192" t="n">
        <v>0</v>
      </c>
      <c r="L192" t="n">
        <v>0</v>
      </c>
      <c r="M192" t="n">
        <v>0</v>
      </c>
      <c r="N192" t="n">
        <v>0</v>
      </c>
      <c r="O192" t="n">
        <v>0</v>
      </c>
      <c r="P192" t="n">
        <v>0</v>
      </c>
      <c r="Q192" t="n">
        <v>0</v>
      </c>
      <c r="R192" s="2" t="inlineStr"/>
    </row>
    <row r="193" ht="15" customHeight="1">
      <c r="A193" t="inlineStr">
        <is>
          <t>A 57890-2021</t>
        </is>
      </c>
      <c r="B193" s="1" t="n">
        <v>44486</v>
      </c>
      <c r="C193" s="1" t="n">
        <v>46196</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1148-2022</t>
        </is>
      </c>
      <c r="B194" s="1" t="n">
        <v>44572</v>
      </c>
      <c r="C194" s="1" t="n">
        <v>46196</v>
      </c>
      <c r="D194" t="inlineStr">
        <is>
          <t>UPPSALA LÄN</t>
        </is>
      </c>
      <c r="E194" t="inlineStr">
        <is>
          <t>UPPSALA</t>
        </is>
      </c>
      <c r="F194" t="inlineStr">
        <is>
          <t>Kyrkan</t>
        </is>
      </c>
      <c r="G194" t="n">
        <v>0.5</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46196</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7124-2022</t>
        </is>
      </c>
      <c r="B196" s="1" t="n">
        <v>44603</v>
      </c>
      <c r="C196" s="1" t="n">
        <v>46196</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752-2022</t>
        </is>
      </c>
      <c r="B197" s="1" t="n">
        <v>44569</v>
      </c>
      <c r="C197" s="1" t="n">
        <v>46196</v>
      </c>
      <c r="D197" t="inlineStr">
        <is>
          <t>UPPSALA LÄN</t>
        </is>
      </c>
      <c r="E197" t="inlineStr">
        <is>
          <t>UPPSALA</t>
        </is>
      </c>
      <c r="F197" t="inlineStr">
        <is>
          <t>Holmen skog AB</t>
        </is>
      </c>
      <c r="G197" t="n">
        <v>1</v>
      </c>
      <c r="H197" t="n">
        <v>0</v>
      </c>
      <c r="I197" t="n">
        <v>0</v>
      </c>
      <c r="J197" t="n">
        <v>0</v>
      </c>
      <c r="K197" t="n">
        <v>0</v>
      </c>
      <c r="L197" t="n">
        <v>0</v>
      </c>
      <c r="M197" t="n">
        <v>0</v>
      </c>
      <c r="N197" t="n">
        <v>0</v>
      </c>
      <c r="O197" t="n">
        <v>0</v>
      </c>
      <c r="P197" t="n">
        <v>0</v>
      </c>
      <c r="Q197" t="n">
        <v>0</v>
      </c>
      <c r="R197" s="2" t="inlineStr"/>
    </row>
    <row r="198" ht="15" customHeight="1">
      <c r="A198" t="inlineStr">
        <is>
          <t>A 20764-2022</t>
        </is>
      </c>
      <c r="B198" s="1" t="n">
        <v>44700</v>
      </c>
      <c r="C198" s="1" t="n">
        <v>46196</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44265-2022</t>
        </is>
      </c>
      <c r="B199" s="1" t="n">
        <v>44839</v>
      </c>
      <c r="C199" s="1" t="n">
        <v>46196</v>
      </c>
      <c r="D199" t="inlineStr">
        <is>
          <t>UPPSALA LÄN</t>
        </is>
      </c>
      <c r="E199" t="inlineStr">
        <is>
          <t>UPPSALA</t>
        </is>
      </c>
      <c r="G199" t="n">
        <v>2</v>
      </c>
      <c r="H199" t="n">
        <v>0</v>
      </c>
      <c r="I199" t="n">
        <v>0</v>
      </c>
      <c r="J199" t="n">
        <v>0</v>
      </c>
      <c r="K199" t="n">
        <v>0</v>
      </c>
      <c r="L199" t="n">
        <v>0</v>
      </c>
      <c r="M199" t="n">
        <v>0</v>
      </c>
      <c r="N199" t="n">
        <v>0</v>
      </c>
      <c r="O199" t="n">
        <v>0</v>
      </c>
      <c r="P199" t="n">
        <v>0</v>
      </c>
      <c r="Q199" t="n">
        <v>0</v>
      </c>
      <c r="R199" s="2" t="inlineStr"/>
    </row>
    <row r="200" ht="15" customHeight="1">
      <c r="A200" t="inlineStr">
        <is>
          <t>A 32954-2022</t>
        </is>
      </c>
      <c r="B200" s="1" t="n">
        <v>44784</v>
      </c>
      <c r="C200" s="1" t="n">
        <v>46196</v>
      </c>
      <c r="D200" t="inlineStr">
        <is>
          <t>UPPSALA LÄN</t>
        </is>
      </c>
      <c r="E200" t="inlineStr">
        <is>
          <t>UPPSALA</t>
        </is>
      </c>
      <c r="G200" t="n">
        <v>2.6</v>
      </c>
      <c r="H200" t="n">
        <v>0</v>
      </c>
      <c r="I200" t="n">
        <v>0</v>
      </c>
      <c r="J200" t="n">
        <v>0</v>
      </c>
      <c r="K200" t="n">
        <v>0</v>
      </c>
      <c r="L200" t="n">
        <v>0</v>
      </c>
      <c r="M200" t="n">
        <v>0</v>
      </c>
      <c r="N200" t="n">
        <v>0</v>
      </c>
      <c r="O200" t="n">
        <v>0</v>
      </c>
      <c r="P200" t="n">
        <v>0</v>
      </c>
      <c r="Q200" t="n">
        <v>0</v>
      </c>
      <c r="R200" s="2" t="inlineStr"/>
    </row>
    <row r="201" ht="15" customHeight="1">
      <c r="A201" t="inlineStr">
        <is>
          <t>A 8451-2022</t>
        </is>
      </c>
      <c r="B201" s="1" t="n">
        <v>44612</v>
      </c>
      <c r="C201" s="1" t="n">
        <v>46196</v>
      </c>
      <c r="D201" t="inlineStr">
        <is>
          <t>UPPSALA LÄN</t>
        </is>
      </c>
      <c r="E201" t="inlineStr">
        <is>
          <t>UPPSALA</t>
        </is>
      </c>
      <c r="G201" t="n">
        <v>1.8</v>
      </c>
      <c r="H201" t="n">
        <v>0</v>
      </c>
      <c r="I201" t="n">
        <v>0</v>
      </c>
      <c r="J201" t="n">
        <v>0</v>
      </c>
      <c r="K201" t="n">
        <v>0</v>
      </c>
      <c r="L201" t="n">
        <v>0</v>
      </c>
      <c r="M201" t="n">
        <v>0</v>
      </c>
      <c r="N201" t="n">
        <v>0</v>
      </c>
      <c r="O201" t="n">
        <v>0</v>
      </c>
      <c r="P201" t="n">
        <v>0</v>
      </c>
      <c r="Q201" t="n">
        <v>0</v>
      </c>
      <c r="R201" s="2" t="inlineStr"/>
    </row>
    <row r="202" ht="15" customHeight="1">
      <c r="A202" t="inlineStr">
        <is>
          <t>A 55040-2022</t>
        </is>
      </c>
      <c r="B202" s="1" t="n">
        <v>44886</v>
      </c>
      <c r="C202" s="1" t="n">
        <v>46196</v>
      </c>
      <c r="D202" t="inlineStr">
        <is>
          <t>UPPSALA LÄN</t>
        </is>
      </c>
      <c r="E202" t="inlineStr">
        <is>
          <t>UPPSALA</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5924-2022</t>
        </is>
      </c>
      <c r="B203" s="1" t="n">
        <v>44598</v>
      </c>
      <c r="C203" s="1" t="n">
        <v>46196</v>
      </c>
      <c r="D203" t="inlineStr">
        <is>
          <t>UPPSALA LÄN</t>
        </is>
      </c>
      <c r="E203" t="inlineStr">
        <is>
          <t>UPPSALA</t>
        </is>
      </c>
      <c r="G203" t="n">
        <v>6.8</v>
      </c>
      <c r="H203" t="n">
        <v>0</v>
      </c>
      <c r="I203" t="n">
        <v>0</v>
      </c>
      <c r="J203" t="n">
        <v>0</v>
      </c>
      <c r="K203" t="n">
        <v>0</v>
      </c>
      <c r="L203" t="n">
        <v>0</v>
      </c>
      <c r="M203" t="n">
        <v>0</v>
      </c>
      <c r="N203" t="n">
        <v>0</v>
      </c>
      <c r="O203" t="n">
        <v>0</v>
      </c>
      <c r="P203" t="n">
        <v>0</v>
      </c>
      <c r="Q203" t="n">
        <v>0</v>
      </c>
      <c r="R203" s="2" t="inlineStr"/>
    </row>
    <row r="204" ht="15" customHeight="1">
      <c r="A204" t="inlineStr">
        <is>
          <t>A 54732-2022</t>
        </is>
      </c>
      <c r="B204" s="1" t="n">
        <v>44883</v>
      </c>
      <c r="C204" s="1" t="n">
        <v>46196</v>
      </c>
      <c r="D204" t="inlineStr">
        <is>
          <t>UPPSALA LÄN</t>
        </is>
      </c>
      <c r="E204" t="inlineStr">
        <is>
          <t>UPPSALA</t>
        </is>
      </c>
      <c r="F204" t="inlineStr">
        <is>
          <t>Övriga Aktiebolag</t>
        </is>
      </c>
      <c r="G204" t="n">
        <v>0.7</v>
      </c>
      <c r="H204" t="n">
        <v>0</v>
      </c>
      <c r="I204" t="n">
        <v>0</v>
      </c>
      <c r="J204" t="n">
        <v>0</v>
      </c>
      <c r="K204" t="n">
        <v>0</v>
      </c>
      <c r="L204" t="n">
        <v>0</v>
      </c>
      <c r="M204" t="n">
        <v>0</v>
      </c>
      <c r="N204" t="n">
        <v>0</v>
      </c>
      <c r="O204" t="n">
        <v>0</v>
      </c>
      <c r="P204" t="n">
        <v>0</v>
      </c>
      <c r="Q204" t="n">
        <v>0</v>
      </c>
      <c r="R204" s="2" t="inlineStr"/>
    </row>
    <row r="205" ht="15" customHeight="1">
      <c r="A205" t="inlineStr">
        <is>
          <t>A 8465-2022</t>
        </is>
      </c>
      <c r="B205" s="1" t="n">
        <v>44610</v>
      </c>
      <c r="C205" s="1" t="n">
        <v>46196</v>
      </c>
      <c r="D205" t="inlineStr">
        <is>
          <t>UPPSALA LÄN</t>
        </is>
      </c>
      <c r="E205" t="inlineStr">
        <is>
          <t>UPPSALA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50006-2022</t>
        </is>
      </c>
      <c r="B206" s="1" t="n">
        <v>44865</v>
      </c>
      <c r="C206" s="1" t="n">
        <v>46196</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21228-2022</t>
        </is>
      </c>
      <c r="B207" s="1" t="n">
        <v>44704</v>
      </c>
      <c r="C207" s="1" t="n">
        <v>46196</v>
      </c>
      <c r="D207" t="inlineStr">
        <is>
          <t>UPPSALA LÄN</t>
        </is>
      </c>
      <c r="E207" t="inlineStr">
        <is>
          <t>UPPSALA</t>
        </is>
      </c>
      <c r="G207" t="n">
        <v>0.2</v>
      </c>
      <c r="H207" t="n">
        <v>0</v>
      </c>
      <c r="I207" t="n">
        <v>0</v>
      </c>
      <c r="J207" t="n">
        <v>0</v>
      </c>
      <c r="K207" t="n">
        <v>0</v>
      </c>
      <c r="L207" t="n">
        <v>0</v>
      </c>
      <c r="M207" t="n">
        <v>0</v>
      </c>
      <c r="N207" t="n">
        <v>0</v>
      </c>
      <c r="O207" t="n">
        <v>0</v>
      </c>
      <c r="P207" t="n">
        <v>0</v>
      </c>
      <c r="Q207" t="n">
        <v>0</v>
      </c>
      <c r="R207" s="2" t="inlineStr"/>
    </row>
    <row r="208" ht="15" customHeight="1">
      <c r="A208" t="inlineStr">
        <is>
          <t>A 70032-2021</t>
        </is>
      </c>
      <c r="B208" s="1" t="n">
        <v>44533</v>
      </c>
      <c r="C208" s="1" t="n">
        <v>46196</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30783-2022</t>
        </is>
      </c>
      <c r="B209" s="1" t="n">
        <v>44764</v>
      </c>
      <c r="C209" s="1" t="n">
        <v>46196</v>
      </c>
      <c r="D209" t="inlineStr">
        <is>
          <t>UPPSALA LÄN</t>
        </is>
      </c>
      <c r="E209" t="inlineStr">
        <is>
          <t>UPPSALA</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59881-2021</t>
        </is>
      </c>
      <c r="B210" s="1" t="n">
        <v>44494</v>
      </c>
      <c r="C210" s="1" t="n">
        <v>46196</v>
      </c>
      <c r="D210" t="inlineStr">
        <is>
          <t>UPPSALA LÄN</t>
        </is>
      </c>
      <c r="E210" t="inlineStr">
        <is>
          <t>UPPSALA</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46196</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46196</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46196</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46196</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46196</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46196</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46196</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46196</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51821-2021</t>
        </is>
      </c>
      <c r="B220" s="1" t="n">
        <v>44461</v>
      </c>
      <c r="C220" s="1" t="n">
        <v>46196</v>
      </c>
      <c r="D220" t="inlineStr">
        <is>
          <t>UPPSALA LÄN</t>
        </is>
      </c>
      <c r="E220" t="inlineStr">
        <is>
          <t>UPPSALA</t>
        </is>
      </c>
      <c r="F220" t="inlineStr">
        <is>
          <t>Övriga Aktiebolag</t>
        </is>
      </c>
      <c r="G220" t="n">
        <v>5.3</v>
      </c>
      <c r="H220" t="n">
        <v>0</v>
      </c>
      <c r="I220" t="n">
        <v>0</v>
      </c>
      <c r="J220" t="n">
        <v>0</v>
      </c>
      <c r="K220" t="n">
        <v>0</v>
      </c>
      <c r="L220" t="n">
        <v>0</v>
      </c>
      <c r="M220" t="n">
        <v>0</v>
      </c>
      <c r="N220" t="n">
        <v>0</v>
      </c>
      <c r="O220" t="n">
        <v>0</v>
      </c>
      <c r="P220" t="n">
        <v>0</v>
      </c>
      <c r="Q220" t="n">
        <v>0</v>
      </c>
      <c r="R220" s="2" t="inlineStr"/>
    </row>
    <row r="221" ht="15" customHeight="1">
      <c r="A221" t="inlineStr">
        <is>
          <t>A 33920-2021</t>
        </is>
      </c>
      <c r="B221" s="1" t="n">
        <v>44378</v>
      </c>
      <c r="C221" s="1" t="n">
        <v>46196</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62865-2021</t>
        </is>
      </c>
      <c r="B222" s="1" t="n">
        <v>44504</v>
      </c>
      <c r="C222" s="1" t="n">
        <v>46196</v>
      </c>
      <c r="D222" t="inlineStr">
        <is>
          <t>UPPSALA LÄN</t>
        </is>
      </c>
      <c r="E222" t="inlineStr">
        <is>
          <t>UPPSALA</t>
        </is>
      </c>
      <c r="F222" t="inlineStr">
        <is>
          <t>Bergvik skog öst AB</t>
        </is>
      </c>
      <c r="G222" t="n">
        <v>1.7</v>
      </c>
      <c r="H222" t="n">
        <v>0</v>
      </c>
      <c r="I222" t="n">
        <v>0</v>
      </c>
      <c r="J222" t="n">
        <v>0</v>
      </c>
      <c r="K222" t="n">
        <v>0</v>
      </c>
      <c r="L222" t="n">
        <v>0</v>
      </c>
      <c r="M222" t="n">
        <v>0</v>
      </c>
      <c r="N222" t="n">
        <v>0</v>
      </c>
      <c r="O222" t="n">
        <v>0</v>
      </c>
      <c r="P222" t="n">
        <v>0</v>
      </c>
      <c r="Q222" t="n">
        <v>0</v>
      </c>
      <c r="R222" s="2" t="inlineStr"/>
    </row>
    <row r="223" ht="15" customHeight="1">
      <c r="A223" t="inlineStr">
        <is>
          <t>A 34838-2021</t>
        </is>
      </c>
      <c r="B223" s="1" t="n">
        <v>44383</v>
      </c>
      <c r="C223" s="1" t="n">
        <v>46196</v>
      </c>
      <c r="D223" t="inlineStr">
        <is>
          <t>UPPSALA LÄN</t>
        </is>
      </c>
      <c r="E223" t="inlineStr">
        <is>
          <t>UPPSALA</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13009-2022</t>
        </is>
      </c>
      <c r="B224" s="1" t="n">
        <v>44643</v>
      </c>
      <c r="C224" s="1" t="n">
        <v>46196</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29134-2022</t>
        </is>
      </c>
      <c r="B225" s="1" t="n">
        <v>44750</v>
      </c>
      <c r="C225" s="1" t="n">
        <v>46196</v>
      </c>
      <c r="D225" t="inlineStr">
        <is>
          <t>UPPSALA LÄN</t>
        </is>
      </c>
      <c r="E225" t="inlineStr">
        <is>
          <t>UPPSALA</t>
        </is>
      </c>
      <c r="G225" t="n">
        <v>1.2</v>
      </c>
      <c r="H225" t="n">
        <v>0</v>
      </c>
      <c r="I225" t="n">
        <v>0</v>
      </c>
      <c r="J225" t="n">
        <v>0</v>
      </c>
      <c r="K225" t="n">
        <v>0</v>
      </c>
      <c r="L225" t="n">
        <v>0</v>
      </c>
      <c r="M225" t="n">
        <v>0</v>
      </c>
      <c r="N225" t="n">
        <v>0</v>
      </c>
      <c r="O225" t="n">
        <v>0</v>
      </c>
      <c r="P225" t="n">
        <v>0</v>
      </c>
      <c r="Q225" t="n">
        <v>0</v>
      </c>
      <c r="R225" s="2" t="inlineStr"/>
    </row>
    <row r="226" ht="15" customHeight="1">
      <c r="A226" t="inlineStr">
        <is>
          <t>A 45849-2022</t>
        </is>
      </c>
      <c r="B226" s="1" t="n">
        <v>44846</v>
      </c>
      <c r="C226" s="1" t="n">
        <v>46196</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46196</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46196</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46196</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v>
      </c>
      <c r="C230" s="1" t="n">
        <v>46196</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v>
      </c>
      <c r="C231" s="1" t="n">
        <v>46196</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35539-2022</t>
        </is>
      </c>
      <c r="B232" s="1" t="n">
        <v>44799</v>
      </c>
      <c r="C232" s="1" t="n">
        <v>46196</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21394-2022</t>
        </is>
      </c>
      <c r="B233" s="1" t="n">
        <v>44705</v>
      </c>
      <c r="C233" s="1" t="n">
        <v>46196</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1936-2022</t>
        </is>
      </c>
      <c r="B234" s="1" t="n">
        <v>44575</v>
      </c>
      <c r="C234" s="1" t="n">
        <v>46196</v>
      </c>
      <c r="D234" t="inlineStr">
        <is>
          <t>UPPSALA LÄN</t>
        </is>
      </c>
      <c r="E234" t="inlineStr">
        <is>
          <t>UPPSALA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2017-2022</t>
        </is>
      </c>
      <c r="B235" s="1" t="n">
        <v>44575</v>
      </c>
      <c r="C235" s="1" t="n">
        <v>46196</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20980-2022</t>
        </is>
      </c>
      <c r="B236" s="1" t="n">
        <v>44702</v>
      </c>
      <c r="C236" s="1" t="n">
        <v>46196</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46097-2021</t>
        </is>
      </c>
      <c r="B237" s="1" t="n">
        <v>44442</v>
      </c>
      <c r="C237" s="1" t="n">
        <v>46196</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46099-2021</t>
        </is>
      </c>
      <c r="B238" s="1" t="n">
        <v>44442</v>
      </c>
      <c r="C238" s="1" t="n">
        <v>46196</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73468-2021</t>
        </is>
      </c>
      <c r="B239" s="1" t="n">
        <v>44551</v>
      </c>
      <c r="C239" s="1" t="n">
        <v>46196</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874-2022</t>
        </is>
      </c>
      <c r="B240" s="1" t="n">
        <v>44571</v>
      </c>
      <c r="C240" s="1" t="n">
        <v>46196</v>
      </c>
      <c r="D240" t="inlineStr">
        <is>
          <t>UPPSALA LÄN</t>
        </is>
      </c>
      <c r="E240" t="inlineStr">
        <is>
          <t>UPPSALA</t>
        </is>
      </c>
      <c r="G240" t="n">
        <v>7.2</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46196</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46196</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11693-2022</t>
        </is>
      </c>
      <c r="B243" s="1" t="n">
        <v>44634</v>
      </c>
      <c r="C243" s="1" t="n">
        <v>46196</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v>
      </c>
      <c r="C244" s="1" t="n">
        <v>46196</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5996-2022</t>
        </is>
      </c>
      <c r="B245" s="1" t="n">
        <v>44599</v>
      </c>
      <c r="C245" s="1" t="n">
        <v>46196</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51396-2021</t>
        </is>
      </c>
      <c r="B246" s="1" t="n">
        <v>44461</v>
      </c>
      <c r="C246" s="1" t="n">
        <v>46196</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50092-2022</t>
        </is>
      </c>
      <c r="B247" s="1" t="n">
        <v>44865</v>
      </c>
      <c r="C247" s="1" t="n">
        <v>46196</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5081-2022</t>
        </is>
      </c>
      <c r="B248" s="1" t="n">
        <v>44593</v>
      </c>
      <c r="C248" s="1" t="n">
        <v>46196</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56463-2021</t>
        </is>
      </c>
      <c r="B249" s="1" t="n">
        <v>44479</v>
      </c>
      <c r="C249" s="1" t="n">
        <v>46196</v>
      </c>
      <c r="D249" t="inlineStr">
        <is>
          <t>UPPSALA LÄN</t>
        </is>
      </c>
      <c r="E249" t="inlineStr">
        <is>
          <t>UPPSALA</t>
        </is>
      </c>
      <c r="G249" t="n">
        <v>6.4</v>
      </c>
      <c r="H249" t="n">
        <v>0</v>
      </c>
      <c r="I249" t="n">
        <v>0</v>
      </c>
      <c r="J249" t="n">
        <v>0</v>
      </c>
      <c r="K249" t="n">
        <v>0</v>
      </c>
      <c r="L249" t="n">
        <v>0</v>
      </c>
      <c r="M249" t="n">
        <v>0</v>
      </c>
      <c r="N249" t="n">
        <v>0</v>
      </c>
      <c r="O249" t="n">
        <v>0</v>
      </c>
      <c r="P249" t="n">
        <v>0</v>
      </c>
      <c r="Q249" t="n">
        <v>0</v>
      </c>
      <c r="R249" s="2" t="inlineStr"/>
    </row>
    <row r="250" ht="15" customHeight="1">
      <c r="A250" t="inlineStr">
        <is>
          <t>A 71643-2021</t>
        </is>
      </c>
      <c r="B250" s="1" t="n">
        <v>44543</v>
      </c>
      <c r="C250" s="1" t="n">
        <v>46196</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60032-2021</t>
        </is>
      </c>
      <c r="B251" s="1" t="n">
        <v>44495</v>
      </c>
      <c r="C251" s="1" t="n">
        <v>46196</v>
      </c>
      <c r="D251" t="inlineStr">
        <is>
          <t>UPPSALA LÄN</t>
        </is>
      </c>
      <c r="E251" t="inlineStr">
        <is>
          <t>UPPSALA</t>
        </is>
      </c>
      <c r="G251" t="n">
        <v>1.8</v>
      </c>
      <c r="H251" t="n">
        <v>0</v>
      </c>
      <c r="I251" t="n">
        <v>0</v>
      </c>
      <c r="J251" t="n">
        <v>0</v>
      </c>
      <c r="K251" t="n">
        <v>0</v>
      </c>
      <c r="L251" t="n">
        <v>0</v>
      </c>
      <c r="M251" t="n">
        <v>0</v>
      </c>
      <c r="N251" t="n">
        <v>0</v>
      </c>
      <c r="O251" t="n">
        <v>0</v>
      </c>
      <c r="P251" t="n">
        <v>0</v>
      </c>
      <c r="Q251" t="n">
        <v>0</v>
      </c>
      <c r="R251" s="2" t="inlineStr"/>
    </row>
    <row r="252" ht="15" customHeight="1">
      <c r="A252" t="inlineStr">
        <is>
          <t>A 66927-2021</t>
        </is>
      </c>
      <c r="B252" s="1" t="n">
        <v>44522</v>
      </c>
      <c r="C252" s="1" t="n">
        <v>46196</v>
      </c>
      <c r="D252" t="inlineStr">
        <is>
          <t>UPPSALA LÄN</t>
        </is>
      </c>
      <c r="E252" t="inlineStr">
        <is>
          <t>UPPSALA</t>
        </is>
      </c>
      <c r="G252" t="n">
        <v>2.9</v>
      </c>
      <c r="H252" t="n">
        <v>0</v>
      </c>
      <c r="I252" t="n">
        <v>0</v>
      </c>
      <c r="J252" t="n">
        <v>0</v>
      </c>
      <c r="K252" t="n">
        <v>0</v>
      </c>
      <c r="L252" t="n">
        <v>0</v>
      </c>
      <c r="M252" t="n">
        <v>0</v>
      </c>
      <c r="N252" t="n">
        <v>0</v>
      </c>
      <c r="O252" t="n">
        <v>0</v>
      </c>
      <c r="P252" t="n">
        <v>0</v>
      </c>
      <c r="Q252" t="n">
        <v>0</v>
      </c>
      <c r="R252" s="2" t="inlineStr"/>
    </row>
    <row r="253" ht="15" customHeight="1">
      <c r="A253" t="inlineStr">
        <is>
          <t>A 46293-2022</t>
        </is>
      </c>
      <c r="B253" s="1" t="n">
        <v>44847</v>
      </c>
      <c r="C253" s="1" t="n">
        <v>46196</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v>
      </c>
      <c r="C254" s="1" t="n">
        <v>46196</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18330-2022</t>
        </is>
      </c>
      <c r="B255" s="1" t="n">
        <v>44685</v>
      </c>
      <c r="C255" s="1" t="n">
        <v>46196</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25745-2022</t>
        </is>
      </c>
      <c r="B256" s="1" t="n">
        <v>44733</v>
      </c>
      <c r="C256" s="1" t="n">
        <v>46196</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22021-2022</t>
        </is>
      </c>
      <c r="B257" s="1" t="n">
        <v>44711</v>
      </c>
      <c r="C257" s="1" t="n">
        <v>46196</v>
      </c>
      <c r="D257" t="inlineStr">
        <is>
          <t>UPPSALA LÄN</t>
        </is>
      </c>
      <c r="E257" t="inlineStr">
        <is>
          <t>UPPSALA</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46196</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10411-2022</t>
        </is>
      </c>
      <c r="B259" s="1" t="n">
        <v>44623</v>
      </c>
      <c r="C259" s="1" t="n">
        <v>46196</v>
      </c>
      <c r="D259" t="inlineStr">
        <is>
          <t>UPPSALA LÄN</t>
        </is>
      </c>
      <c r="E259" t="inlineStr">
        <is>
          <t>UPPSALA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25120-2022</t>
        </is>
      </c>
      <c r="B260" s="1" t="n">
        <v>44729</v>
      </c>
      <c r="C260" s="1" t="n">
        <v>46196</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15377-2022</t>
        </is>
      </c>
      <c r="B261" s="1" t="n">
        <v>44659</v>
      </c>
      <c r="C261" s="1" t="n">
        <v>46196</v>
      </c>
      <c r="D261" t="inlineStr">
        <is>
          <t>UPPSALA LÄN</t>
        </is>
      </c>
      <c r="E261" t="inlineStr">
        <is>
          <t>UPPSALA</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34061-2022</t>
        </is>
      </c>
      <c r="B262" s="1" t="n">
        <v>44791</v>
      </c>
      <c r="C262" s="1" t="n">
        <v>46196</v>
      </c>
      <c r="D262" t="inlineStr">
        <is>
          <t>UPPSALA LÄN</t>
        </is>
      </c>
      <c r="E262" t="inlineStr">
        <is>
          <t>UPPSALA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10464-2022</t>
        </is>
      </c>
      <c r="B263" s="1" t="n">
        <v>44623</v>
      </c>
      <c r="C263" s="1" t="n">
        <v>46196</v>
      </c>
      <c r="D263" t="inlineStr">
        <is>
          <t>UPPSALA LÄN</t>
        </is>
      </c>
      <c r="E263" t="inlineStr">
        <is>
          <t>UPPSALA</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35411-2022</t>
        </is>
      </c>
      <c r="B264" s="1" t="n">
        <v>44798</v>
      </c>
      <c r="C264" s="1" t="n">
        <v>46196</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15310-2022</t>
        </is>
      </c>
      <c r="B265" s="1" t="n">
        <v>44659</v>
      </c>
      <c r="C265" s="1" t="n">
        <v>46196</v>
      </c>
      <c r="D265" t="inlineStr">
        <is>
          <t>UPPSALA LÄN</t>
        </is>
      </c>
      <c r="E265" t="inlineStr">
        <is>
          <t>UPPSALA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5006-2022</t>
        </is>
      </c>
      <c r="B266" s="1" t="n">
        <v>44593</v>
      </c>
      <c r="C266" s="1" t="n">
        <v>46196</v>
      </c>
      <c r="D266" t="inlineStr">
        <is>
          <t>UPPSALA LÄN</t>
        </is>
      </c>
      <c r="E266" t="inlineStr">
        <is>
          <t>UPPSALA</t>
        </is>
      </c>
      <c r="F266" t="inlineStr">
        <is>
          <t>BillerudKorsnäs AB</t>
        </is>
      </c>
      <c r="G266" t="n">
        <v>1.4</v>
      </c>
      <c r="H266" t="n">
        <v>0</v>
      </c>
      <c r="I266" t="n">
        <v>0</v>
      </c>
      <c r="J266" t="n">
        <v>0</v>
      </c>
      <c r="K266" t="n">
        <v>0</v>
      </c>
      <c r="L266" t="n">
        <v>0</v>
      </c>
      <c r="M266" t="n">
        <v>0</v>
      </c>
      <c r="N266" t="n">
        <v>0</v>
      </c>
      <c r="O266" t="n">
        <v>0</v>
      </c>
      <c r="P266" t="n">
        <v>0</v>
      </c>
      <c r="Q266" t="n">
        <v>0</v>
      </c>
      <c r="R266" s="2" t="inlineStr"/>
    </row>
    <row r="267" ht="15" customHeight="1">
      <c r="A267" t="inlineStr">
        <is>
          <t>A 5007-2022</t>
        </is>
      </c>
      <c r="B267" s="1" t="n">
        <v>44593</v>
      </c>
      <c r="C267" s="1" t="n">
        <v>46196</v>
      </c>
      <c r="D267" t="inlineStr">
        <is>
          <t>UPPSALA LÄN</t>
        </is>
      </c>
      <c r="E267" t="inlineStr">
        <is>
          <t>UPPSALA</t>
        </is>
      </c>
      <c r="F267" t="inlineStr">
        <is>
          <t>BillerudKorsnäs AB</t>
        </is>
      </c>
      <c r="G267" t="n">
        <v>3.6</v>
      </c>
      <c r="H267" t="n">
        <v>0</v>
      </c>
      <c r="I267" t="n">
        <v>0</v>
      </c>
      <c r="J267" t="n">
        <v>0</v>
      </c>
      <c r="K267" t="n">
        <v>0</v>
      </c>
      <c r="L267" t="n">
        <v>0</v>
      </c>
      <c r="M267" t="n">
        <v>0</v>
      </c>
      <c r="N267" t="n">
        <v>0</v>
      </c>
      <c r="O267" t="n">
        <v>0</v>
      </c>
      <c r="P267" t="n">
        <v>0</v>
      </c>
      <c r="Q267" t="n">
        <v>0</v>
      </c>
      <c r="R267" s="2" t="inlineStr"/>
    </row>
    <row r="268" ht="15" customHeight="1">
      <c r="A268" t="inlineStr">
        <is>
          <t>A 2980-2025</t>
        </is>
      </c>
      <c r="B268" s="1" t="n">
        <v>45678</v>
      </c>
      <c r="C268" s="1" t="n">
        <v>46196</v>
      </c>
      <c r="D268" t="inlineStr">
        <is>
          <t>UPPSALA LÄN</t>
        </is>
      </c>
      <c r="E268" t="inlineStr">
        <is>
          <t>UPPSALA</t>
        </is>
      </c>
      <c r="G268" t="n">
        <v>5</v>
      </c>
      <c r="H268" t="n">
        <v>0</v>
      </c>
      <c r="I268" t="n">
        <v>0</v>
      </c>
      <c r="J268" t="n">
        <v>0</v>
      </c>
      <c r="K268" t="n">
        <v>0</v>
      </c>
      <c r="L268" t="n">
        <v>0</v>
      </c>
      <c r="M268" t="n">
        <v>0</v>
      </c>
      <c r="N268" t="n">
        <v>0</v>
      </c>
      <c r="O268" t="n">
        <v>0</v>
      </c>
      <c r="P268" t="n">
        <v>0</v>
      </c>
      <c r="Q268" t="n">
        <v>0</v>
      </c>
      <c r="R268" s="2" t="inlineStr"/>
    </row>
    <row r="269" ht="15" customHeight="1">
      <c r="A269" t="inlineStr">
        <is>
          <t>A 56679-2022</t>
        </is>
      </c>
      <c r="B269" s="1" t="n">
        <v>44893</v>
      </c>
      <c r="C269" s="1" t="n">
        <v>46196</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26323-2023</t>
        </is>
      </c>
      <c r="B270" s="1" t="n">
        <v>45091</v>
      </c>
      <c r="C270" s="1" t="n">
        <v>46196</v>
      </c>
      <c r="D270" t="inlineStr">
        <is>
          <t>UPPSALA LÄN</t>
        </is>
      </c>
      <c r="E270" t="inlineStr">
        <is>
          <t>UPPSALA</t>
        </is>
      </c>
      <c r="G270" t="n">
        <v>3.1</v>
      </c>
      <c r="H270" t="n">
        <v>0</v>
      </c>
      <c r="I270" t="n">
        <v>0</v>
      </c>
      <c r="J270" t="n">
        <v>0</v>
      </c>
      <c r="K270" t="n">
        <v>0</v>
      </c>
      <c r="L270" t="n">
        <v>0</v>
      </c>
      <c r="M270" t="n">
        <v>0</v>
      </c>
      <c r="N270" t="n">
        <v>0</v>
      </c>
      <c r="O270" t="n">
        <v>0</v>
      </c>
      <c r="P270" t="n">
        <v>0</v>
      </c>
      <c r="Q270" t="n">
        <v>0</v>
      </c>
      <c r="R270" s="2" t="inlineStr"/>
    </row>
    <row r="271" ht="15" customHeight="1">
      <c r="A271" t="inlineStr">
        <is>
          <t>A 2927-2022</t>
        </is>
      </c>
      <c r="B271" s="1" t="n">
        <v>44581</v>
      </c>
      <c r="C271" s="1" t="n">
        <v>46196</v>
      </c>
      <c r="D271" t="inlineStr">
        <is>
          <t>UPPSALA LÄN</t>
        </is>
      </c>
      <c r="E271" t="inlineStr">
        <is>
          <t>UPPSALA</t>
        </is>
      </c>
      <c r="F271" t="inlineStr">
        <is>
          <t>Holmen skog AB</t>
        </is>
      </c>
      <c r="G271" t="n">
        <v>1.3</v>
      </c>
      <c r="H271" t="n">
        <v>0</v>
      </c>
      <c r="I271" t="n">
        <v>0</v>
      </c>
      <c r="J271" t="n">
        <v>0</v>
      </c>
      <c r="K271" t="n">
        <v>0</v>
      </c>
      <c r="L271" t="n">
        <v>0</v>
      </c>
      <c r="M271" t="n">
        <v>0</v>
      </c>
      <c r="N271" t="n">
        <v>0</v>
      </c>
      <c r="O271" t="n">
        <v>0</v>
      </c>
      <c r="P271" t="n">
        <v>0</v>
      </c>
      <c r="Q271" t="n">
        <v>0</v>
      </c>
      <c r="R271" s="2" t="inlineStr"/>
    </row>
    <row r="272" ht="15" customHeight="1">
      <c r="A272" t="inlineStr">
        <is>
          <t>A 5989-2022</t>
        </is>
      </c>
      <c r="B272" s="1" t="n">
        <v>44599</v>
      </c>
      <c r="C272" s="1" t="n">
        <v>46196</v>
      </c>
      <c r="D272" t="inlineStr">
        <is>
          <t>UPPSALA LÄN</t>
        </is>
      </c>
      <c r="E272" t="inlineStr">
        <is>
          <t>UPPSALA</t>
        </is>
      </c>
      <c r="G272" t="n">
        <v>2.8</v>
      </c>
      <c r="H272" t="n">
        <v>0</v>
      </c>
      <c r="I272" t="n">
        <v>0</v>
      </c>
      <c r="J272" t="n">
        <v>0</v>
      </c>
      <c r="K272" t="n">
        <v>0</v>
      </c>
      <c r="L272" t="n">
        <v>0</v>
      </c>
      <c r="M272" t="n">
        <v>0</v>
      </c>
      <c r="N272" t="n">
        <v>0</v>
      </c>
      <c r="O272" t="n">
        <v>0</v>
      </c>
      <c r="P272" t="n">
        <v>0</v>
      </c>
      <c r="Q272" t="n">
        <v>0</v>
      </c>
      <c r="R272" s="2" t="inlineStr"/>
    </row>
    <row r="273" ht="15" customHeight="1">
      <c r="A273" t="inlineStr">
        <is>
          <t>A 6059-2025</t>
        </is>
      </c>
      <c r="B273" s="1" t="n">
        <v>45695</v>
      </c>
      <c r="C273" s="1" t="n">
        <v>46196</v>
      </c>
      <c r="D273" t="inlineStr">
        <is>
          <t>UPPSALA LÄN</t>
        </is>
      </c>
      <c r="E273" t="inlineStr">
        <is>
          <t>UPPSALA</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12221-2022</t>
        </is>
      </c>
      <c r="B274" s="1" t="n">
        <v>44637</v>
      </c>
      <c r="C274" s="1" t="n">
        <v>46196</v>
      </c>
      <c r="D274" t="inlineStr">
        <is>
          <t>UPPSALA LÄN</t>
        </is>
      </c>
      <c r="E274" t="inlineStr">
        <is>
          <t>UPPSALA</t>
        </is>
      </c>
      <c r="G274" t="n">
        <v>1.4</v>
      </c>
      <c r="H274" t="n">
        <v>0</v>
      </c>
      <c r="I274" t="n">
        <v>0</v>
      </c>
      <c r="J274" t="n">
        <v>0</v>
      </c>
      <c r="K274" t="n">
        <v>0</v>
      </c>
      <c r="L274" t="n">
        <v>0</v>
      </c>
      <c r="M274" t="n">
        <v>0</v>
      </c>
      <c r="N274" t="n">
        <v>0</v>
      </c>
      <c r="O274" t="n">
        <v>0</v>
      </c>
      <c r="P274" t="n">
        <v>0</v>
      </c>
      <c r="Q274" t="n">
        <v>0</v>
      </c>
      <c r="R274" s="2" t="inlineStr"/>
    </row>
    <row r="275" ht="15" customHeight="1">
      <c r="A275" t="inlineStr">
        <is>
          <t>A 53921-2024</t>
        </is>
      </c>
      <c r="B275" s="1" t="n">
        <v>45615</v>
      </c>
      <c r="C275" s="1" t="n">
        <v>46196</v>
      </c>
      <c r="D275" t="inlineStr">
        <is>
          <t>UPPSALA LÄN</t>
        </is>
      </c>
      <c r="E275" t="inlineStr">
        <is>
          <t>UPPSALA</t>
        </is>
      </c>
      <c r="G275" t="n">
        <v>8.1</v>
      </c>
      <c r="H275" t="n">
        <v>0</v>
      </c>
      <c r="I275" t="n">
        <v>0</v>
      </c>
      <c r="J275" t="n">
        <v>0</v>
      </c>
      <c r="K275" t="n">
        <v>0</v>
      </c>
      <c r="L275" t="n">
        <v>0</v>
      </c>
      <c r="M275" t="n">
        <v>0</v>
      </c>
      <c r="N275" t="n">
        <v>0</v>
      </c>
      <c r="O275" t="n">
        <v>0</v>
      </c>
      <c r="P275" t="n">
        <v>0</v>
      </c>
      <c r="Q275" t="n">
        <v>0</v>
      </c>
      <c r="R275" s="2" t="inlineStr"/>
    </row>
    <row r="276" ht="15" customHeight="1">
      <c r="A276" t="inlineStr">
        <is>
          <t>A 12293-2022</t>
        </is>
      </c>
      <c r="B276" s="1" t="n">
        <v>44637</v>
      </c>
      <c r="C276" s="1" t="n">
        <v>46196</v>
      </c>
      <c r="D276" t="inlineStr">
        <is>
          <t>UPPSALA LÄN</t>
        </is>
      </c>
      <c r="E276" t="inlineStr">
        <is>
          <t>UPPSALA</t>
        </is>
      </c>
      <c r="F276" t="inlineStr">
        <is>
          <t>Kommuner</t>
        </is>
      </c>
      <c r="G276" t="n">
        <v>0.8</v>
      </c>
      <c r="H276" t="n">
        <v>0</v>
      </c>
      <c r="I276" t="n">
        <v>0</v>
      </c>
      <c r="J276" t="n">
        <v>0</v>
      </c>
      <c r="K276" t="n">
        <v>0</v>
      </c>
      <c r="L276" t="n">
        <v>0</v>
      </c>
      <c r="M276" t="n">
        <v>0</v>
      </c>
      <c r="N276" t="n">
        <v>0</v>
      </c>
      <c r="O276" t="n">
        <v>0</v>
      </c>
      <c r="P276" t="n">
        <v>0</v>
      </c>
      <c r="Q276" t="n">
        <v>0</v>
      </c>
      <c r="R276" s="2" t="inlineStr"/>
    </row>
    <row r="277" ht="15" customHeight="1">
      <c r="A277" t="inlineStr">
        <is>
          <t>A 6997-2023</t>
        </is>
      </c>
      <c r="B277" s="1" t="n">
        <v>44967</v>
      </c>
      <c r="C277" s="1" t="n">
        <v>46196</v>
      </c>
      <c r="D277" t="inlineStr">
        <is>
          <t>UPPSALA LÄN</t>
        </is>
      </c>
      <c r="E277" t="inlineStr">
        <is>
          <t>UPPSALA</t>
        </is>
      </c>
      <c r="G277" t="n">
        <v>3.9</v>
      </c>
      <c r="H277" t="n">
        <v>0</v>
      </c>
      <c r="I277" t="n">
        <v>0</v>
      </c>
      <c r="J277" t="n">
        <v>0</v>
      </c>
      <c r="K277" t="n">
        <v>0</v>
      </c>
      <c r="L277" t="n">
        <v>0</v>
      </c>
      <c r="M277" t="n">
        <v>0</v>
      </c>
      <c r="N277" t="n">
        <v>0</v>
      </c>
      <c r="O277" t="n">
        <v>0</v>
      </c>
      <c r="P277" t="n">
        <v>0</v>
      </c>
      <c r="Q277" t="n">
        <v>0</v>
      </c>
      <c r="R277" s="2" t="inlineStr"/>
    </row>
    <row r="278" ht="15" customHeight="1">
      <c r="A278" t="inlineStr">
        <is>
          <t>A 22018-2025</t>
        </is>
      </c>
      <c r="B278" s="1" t="n">
        <v>45784</v>
      </c>
      <c r="C278" s="1" t="n">
        <v>46196</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66686-2021</t>
        </is>
      </c>
      <c r="B279" s="1" t="n">
        <v>44519</v>
      </c>
      <c r="C279" s="1" t="n">
        <v>46196</v>
      </c>
      <c r="D279" t="inlineStr">
        <is>
          <t>UPPSALA LÄN</t>
        </is>
      </c>
      <c r="E279" t="inlineStr">
        <is>
          <t>UPPSALA</t>
        </is>
      </c>
      <c r="G279" t="n">
        <v>6.4</v>
      </c>
      <c r="H279" t="n">
        <v>0</v>
      </c>
      <c r="I279" t="n">
        <v>0</v>
      </c>
      <c r="J279" t="n">
        <v>0</v>
      </c>
      <c r="K279" t="n">
        <v>0</v>
      </c>
      <c r="L279" t="n">
        <v>0</v>
      </c>
      <c r="M279" t="n">
        <v>0</v>
      </c>
      <c r="N279" t="n">
        <v>0</v>
      </c>
      <c r="O279" t="n">
        <v>0</v>
      </c>
      <c r="P279" t="n">
        <v>0</v>
      </c>
      <c r="Q279" t="n">
        <v>0</v>
      </c>
      <c r="R279" s="2" t="inlineStr"/>
    </row>
    <row r="280" ht="15" customHeight="1">
      <c r="A280" t="inlineStr">
        <is>
          <t>A 50951-2025</t>
        </is>
      </c>
      <c r="B280" s="1" t="n">
        <v>45946</v>
      </c>
      <c r="C280" s="1" t="n">
        <v>46196</v>
      </c>
      <c r="D280" t="inlineStr">
        <is>
          <t>UPPSALA LÄN</t>
        </is>
      </c>
      <c r="E280" t="inlineStr">
        <is>
          <t>UPPSALA</t>
        </is>
      </c>
      <c r="G280" t="n">
        <v>2.9</v>
      </c>
      <c r="H280" t="n">
        <v>0</v>
      </c>
      <c r="I280" t="n">
        <v>0</v>
      </c>
      <c r="J280" t="n">
        <v>0</v>
      </c>
      <c r="K280" t="n">
        <v>0</v>
      </c>
      <c r="L280" t="n">
        <v>0</v>
      </c>
      <c r="M280" t="n">
        <v>0</v>
      </c>
      <c r="N280" t="n">
        <v>0</v>
      </c>
      <c r="O280" t="n">
        <v>0</v>
      </c>
      <c r="P280" t="n">
        <v>0</v>
      </c>
      <c r="Q280" t="n">
        <v>0</v>
      </c>
      <c r="R280" s="2" t="inlineStr"/>
    </row>
    <row r="281" ht="15" customHeight="1">
      <c r="A281" t="inlineStr">
        <is>
          <t>A 50708-2025</t>
        </is>
      </c>
      <c r="B281" s="1" t="n">
        <v>45946</v>
      </c>
      <c r="C281" s="1" t="n">
        <v>46196</v>
      </c>
      <c r="D281" t="inlineStr">
        <is>
          <t>UPPSALA LÄN</t>
        </is>
      </c>
      <c r="E281" t="inlineStr">
        <is>
          <t>UPPSALA</t>
        </is>
      </c>
      <c r="G281" t="n">
        <v>6.7</v>
      </c>
      <c r="H281" t="n">
        <v>0</v>
      </c>
      <c r="I281" t="n">
        <v>0</v>
      </c>
      <c r="J281" t="n">
        <v>0</v>
      </c>
      <c r="K281" t="n">
        <v>0</v>
      </c>
      <c r="L281" t="n">
        <v>0</v>
      </c>
      <c r="M281" t="n">
        <v>0</v>
      </c>
      <c r="N281" t="n">
        <v>0</v>
      </c>
      <c r="O281" t="n">
        <v>0</v>
      </c>
      <c r="P281" t="n">
        <v>0</v>
      </c>
      <c r="Q281" t="n">
        <v>0</v>
      </c>
      <c r="R281" s="2" t="inlineStr"/>
    </row>
    <row r="282" ht="15" customHeight="1">
      <c r="A282" t="inlineStr">
        <is>
          <t>A 50949-2025</t>
        </is>
      </c>
      <c r="B282" s="1" t="n">
        <v>45946</v>
      </c>
      <c r="C282" s="1" t="n">
        <v>46196</v>
      </c>
      <c r="D282" t="inlineStr">
        <is>
          <t>UPPSALA LÄN</t>
        </is>
      </c>
      <c r="E282" t="inlineStr">
        <is>
          <t>UPPSALA</t>
        </is>
      </c>
      <c r="G282" t="n">
        <v>0.8</v>
      </c>
      <c r="H282" t="n">
        <v>0</v>
      </c>
      <c r="I282" t="n">
        <v>0</v>
      </c>
      <c r="J282" t="n">
        <v>0</v>
      </c>
      <c r="K282" t="n">
        <v>0</v>
      </c>
      <c r="L282" t="n">
        <v>0</v>
      </c>
      <c r="M282" t="n">
        <v>0</v>
      </c>
      <c r="N282" t="n">
        <v>0</v>
      </c>
      <c r="O282" t="n">
        <v>0</v>
      </c>
      <c r="P282" t="n">
        <v>0</v>
      </c>
      <c r="Q282" t="n">
        <v>0</v>
      </c>
      <c r="R282" s="2" t="inlineStr"/>
    </row>
    <row r="283" ht="15" customHeight="1">
      <c r="A283" t="inlineStr">
        <is>
          <t>A 40701-2024</t>
        </is>
      </c>
      <c r="B283" s="1" t="n">
        <v>45558</v>
      </c>
      <c r="C283" s="1" t="n">
        <v>46196</v>
      </c>
      <c r="D283" t="inlineStr">
        <is>
          <t>UPPSALA LÄN</t>
        </is>
      </c>
      <c r="E283" t="inlineStr">
        <is>
          <t>UPPSALA</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758-2022</t>
        </is>
      </c>
      <c r="B284" s="1" t="n">
        <v>44569</v>
      </c>
      <c r="C284" s="1" t="n">
        <v>46196</v>
      </c>
      <c r="D284" t="inlineStr">
        <is>
          <t>UPPSALA LÄN</t>
        </is>
      </c>
      <c r="E284" t="inlineStr">
        <is>
          <t>UPPSALA</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59570-2023</t>
        </is>
      </c>
      <c r="B285" s="1" t="n">
        <v>45254</v>
      </c>
      <c r="C285" s="1" t="n">
        <v>46196</v>
      </c>
      <c r="D285" t="inlineStr">
        <is>
          <t>UPPSALA LÄN</t>
        </is>
      </c>
      <c r="E285" t="inlineStr">
        <is>
          <t>UPPSALA</t>
        </is>
      </c>
      <c r="G285" t="n">
        <v>6.7</v>
      </c>
      <c r="H285" t="n">
        <v>0</v>
      </c>
      <c r="I285" t="n">
        <v>0</v>
      </c>
      <c r="J285" t="n">
        <v>0</v>
      </c>
      <c r="K285" t="n">
        <v>0</v>
      </c>
      <c r="L285" t="n">
        <v>0</v>
      </c>
      <c r="M285" t="n">
        <v>0</v>
      </c>
      <c r="N285" t="n">
        <v>0</v>
      </c>
      <c r="O285" t="n">
        <v>0</v>
      </c>
      <c r="P285" t="n">
        <v>0</v>
      </c>
      <c r="Q285" t="n">
        <v>0</v>
      </c>
      <c r="R285" s="2" t="inlineStr"/>
    </row>
    <row r="286" ht="15" customHeight="1">
      <c r="A286" t="inlineStr">
        <is>
          <t>A 10650-2024</t>
        </is>
      </c>
      <c r="B286" s="1" t="n">
        <v>45368</v>
      </c>
      <c r="C286" s="1" t="n">
        <v>46196</v>
      </c>
      <c r="D286" t="inlineStr">
        <is>
          <t>UPPSALA LÄN</t>
        </is>
      </c>
      <c r="E286" t="inlineStr">
        <is>
          <t>UPPSALA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51090-2025</t>
        </is>
      </c>
      <c r="B287" s="1" t="n">
        <v>45947</v>
      </c>
      <c r="C287" s="1" t="n">
        <v>46196</v>
      </c>
      <c r="D287" t="inlineStr">
        <is>
          <t>UPPSALA LÄN</t>
        </is>
      </c>
      <c r="E287" t="inlineStr">
        <is>
          <t>UPPSALA</t>
        </is>
      </c>
      <c r="F287" t="inlineStr">
        <is>
          <t>Övriga Aktiebolag</t>
        </is>
      </c>
      <c r="G287" t="n">
        <v>17.5</v>
      </c>
      <c r="H287" t="n">
        <v>0</v>
      </c>
      <c r="I287" t="n">
        <v>0</v>
      </c>
      <c r="J287" t="n">
        <v>0</v>
      </c>
      <c r="K287" t="n">
        <v>0</v>
      </c>
      <c r="L287" t="n">
        <v>0</v>
      </c>
      <c r="M287" t="n">
        <v>0</v>
      </c>
      <c r="N287" t="n">
        <v>0</v>
      </c>
      <c r="O287" t="n">
        <v>0</v>
      </c>
      <c r="P287" t="n">
        <v>0</v>
      </c>
      <c r="Q287" t="n">
        <v>0</v>
      </c>
      <c r="R287" s="2" t="inlineStr"/>
    </row>
    <row r="288" ht="15" customHeight="1">
      <c r="A288" t="inlineStr">
        <is>
          <t>A 51433-2025</t>
        </is>
      </c>
      <c r="B288" s="1" t="n">
        <v>45950</v>
      </c>
      <c r="C288" s="1" t="n">
        <v>46196</v>
      </c>
      <c r="D288" t="inlineStr">
        <is>
          <t>UPPSALA LÄN</t>
        </is>
      </c>
      <c r="E288" t="inlineStr">
        <is>
          <t>UPPSALA</t>
        </is>
      </c>
      <c r="F288" t="inlineStr">
        <is>
          <t>Bergvik skog öst AB</t>
        </is>
      </c>
      <c r="G288" t="n">
        <v>14.7</v>
      </c>
      <c r="H288" t="n">
        <v>0</v>
      </c>
      <c r="I288" t="n">
        <v>0</v>
      </c>
      <c r="J288" t="n">
        <v>0</v>
      </c>
      <c r="K288" t="n">
        <v>0</v>
      </c>
      <c r="L288" t="n">
        <v>0</v>
      </c>
      <c r="M288" t="n">
        <v>0</v>
      </c>
      <c r="N288" t="n">
        <v>0</v>
      </c>
      <c r="O288" t="n">
        <v>0</v>
      </c>
      <c r="P288" t="n">
        <v>0</v>
      </c>
      <c r="Q288" t="n">
        <v>0</v>
      </c>
      <c r="R288" s="2" t="inlineStr"/>
    </row>
    <row r="289" ht="15" customHeight="1">
      <c r="A289" t="inlineStr">
        <is>
          <t>A 46925-2024</t>
        </is>
      </c>
      <c r="B289" s="1" t="n">
        <v>45584</v>
      </c>
      <c r="C289" s="1" t="n">
        <v>46196</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51493-2025</t>
        </is>
      </c>
      <c r="B290" s="1" t="n">
        <v>45950</v>
      </c>
      <c r="C290" s="1" t="n">
        <v>46196</v>
      </c>
      <c r="D290" t="inlineStr">
        <is>
          <t>UPPSALA LÄN</t>
        </is>
      </c>
      <c r="E290" t="inlineStr">
        <is>
          <t>UPPSALA</t>
        </is>
      </c>
      <c r="G290" t="n">
        <v>2</v>
      </c>
      <c r="H290" t="n">
        <v>0</v>
      </c>
      <c r="I290" t="n">
        <v>0</v>
      </c>
      <c r="J290" t="n">
        <v>0</v>
      </c>
      <c r="K290" t="n">
        <v>0</v>
      </c>
      <c r="L290" t="n">
        <v>0</v>
      </c>
      <c r="M290" t="n">
        <v>0</v>
      </c>
      <c r="N290" t="n">
        <v>0</v>
      </c>
      <c r="O290" t="n">
        <v>0</v>
      </c>
      <c r="P290" t="n">
        <v>0</v>
      </c>
      <c r="Q290" t="n">
        <v>0</v>
      </c>
      <c r="R290" s="2" t="inlineStr"/>
    </row>
    <row r="291" ht="15" customHeight="1">
      <c r="A291" t="inlineStr">
        <is>
          <t>A 51505-2025</t>
        </is>
      </c>
      <c r="B291" s="1" t="n">
        <v>45950</v>
      </c>
      <c r="C291" s="1" t="n">
        <v>46196</v>
      </c>
      <c r="D291" t="inlineStr">
        <is>
          <t>UPPSALA LÄN</t>
        </is>
      </c>
      <c r="E291" t="inlineStr">
        <is>
          <t>UPPSALA</t>
        </is>
      </c>
      <c r="G291" t="n">
        <v>6.7</v>
      </c>
      <c r="H291" t="n">
        <v>0</v>
      </c>
      <c r="I291" t="n">
        <v>0</v>
      </c>
      <c r="J291" t="n">
        <v>0</v>
      </c>
      <c r="K291" t="n">
        <v>0</v>
      </c>
      <c r="L291" t="n">
        <v>0</v>
      </c>
      <c r="M291" t="n">
        <v>0</v>
      </c>
      <c r="N291" t="n">
        <v>0</v>
      </c>
      <c r="O291" t="n">
        <v>0</v>
      </c>
      <c r="P291" t="n">
        <v>0</v>
      </c>
      <c r="Q291" t="n">
        <v>0</v>
      </c>
      <c r="R291" s="2" t="inlineStr"/>
    </row>
    <row r="292" ht="15" customHeight="1">
      <c r="A292" t="inlineStr">
        <is>
          <t>A 51275-2025</t>
        </is>
      </c>
      <c r="B292" s="1" t="n">
        <v>45949</v>
      </c>
      <c r="C292" s="1" t="n">
        <v>46196</v>
      </c>
      <c r="D292" t="inlineStr">
        <is>
          <t>UPPSALA LÄN</t>
        </is>
      </c>
      <c r="E292" t="inlineStr">
        <is>
          <t>UPPSALA</t>
        </is>
      </c>
      <c r="G292" t="n">
        <v>0.3</v>
      </c>
      <c r="H292" t="n">
        <v>0</v>
      </c>
      <c r="I292" t="n">
        <v>0</v>
      </c>
      <c r="J292" t="n">
        <v>0</v>
      </c>
      <c r="K292" t="n">
        <v>0</v>
      </c>
      <c r="L292" t="n">
        <v>0</v>
      </c>
      <c r="M292" t="n">
        <v>0</v>
      </c>
      <c r="N292" t="n">
        <v>0</v>
      </c>
      <c r="O292" t="n">
        <v>0</v>
      </c>
      <c r="P292" t="n">
        <v>0</v>
      </c>
      <c r="Q292" t="n">
        <v>0</v>
      </c>
      <c r="R292" s="2" t="inlineStr"/>
    </row>
    <row r="293" ht="15" customHeight="1">
      <c r="A293" t="inlineStr">
        <is>
          <t>A 26208-2023</t>
        </is>
      </c>
      <c r="B293" s="1" t="n">
        <v>45091</v>
      </c>
      <c r="C293" s="1" t="n">
        <v>46196</v>
      </c>
      <c r="D293" t="inlineStr">
        <is>
          <t>UPPSALA LÄN</t>
        </is>
      </c>
      <c r="E293" t="inlineStr">
        <is>
          <t>UPPSALA</t>
        </is>
      </c>
      <c r="F293" t="inlineStr">
        <is>
          <t>Holmen skog AB</t>
        </is>
      </c>
      <c r="G293" t="n">
        <v>1.9</v>
      </c>
      <c r="H293" t="n">
        <v>0</v>
      </c>
      <c r="I293" t="n">
        <v>0</v>
      </c>
      <c r="J293" t="n">
        <v>0</v>
      </c>
      <c r="K293" t="n">
        <v>0</v>
      </c>
      <c r="L293" t="n">
        <v>0</v>
      </c>
      <c r="M293" t="n">
        <v>0</v>
      </c>
      <c r="N293" t="n">
        <v>0</v>
      </c>
      <c r="O293" t="n">
        <v>0</v>
      </c>
      <c r="P293" t="n">
        <v>0</v>
      </c>
      <c r="Q293" t="n">
        <v>0</v>
      </c>
      <c r="R293" s="2" t="inlineStr"/>
    </row>
    <row r="294" ht="15" customHeight="1">
      <c r="A294" t="inlineStr">
        <is>
          <t>A 11260-2024</t>
        </is>
      </c>
      <c r="B294" s="1" t="n">
        <v>45371</v>
      </c>
      <c r="C294" s="1" t="n">
        <v>46196</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3973-2025</t>
        </is>
      </c>
      <c r="B295" s="1" t="n">
        <v>45684</v>
      </c>
      <c r="C295" s="1" t="n">
        <v>46196</v>
      </c>
      <c r="D295" t="inlineStr">
        <is>
          <t>UPPSALA LÄN</t>
        </is>
      </c>
      <c r="E295" t="inlineStr">
        <is>
          <t>UPPSALA</t>
        </is>
      </c>
      <c r="G295" t="n">
        <v>8</v>
      </c>
      <c r="H295" t="n">
        <v>0</v>
      </c>
      <c r="I295" t="n">
        <v>0</v>
      </c>
      <c r="J295" t="n">
        <v>0</v>
      </c>
      <c r="K295" t="n">
        <v>0</v>
      </c>
      <c r="L295" t="n">
        <v>0</v>
      </c>
      <c r="M295" t="n">
        <v>0</v>
      </c>
      <c r="N295" t="n">
        <v>0</v>
      </c>
      <c r="O295" t="n">
        <v>0</v>
      </c>
      <c r="P295" t="n">
        <v>0</v>
      </c>
      <c r="Q295" t="n">
        <v>0</v>
      </c>
      <c r="R295" s="2" t="inlineStr"/>
    </row>
    <row r="296" ht="15" customHeight="1">
      <c r="A296" t="inlineStr">
        <is>
          <t>A 17211-2025</t>
        </is>
      </c>
      <c r="B296" s="1" t="n">
        <v>45756</v>
      </c>
      <c r="C296" s="1" t="n">
        <v>46196</v>
      </c>
      <c r="D296" t="inlineStr">
        <is>
          <t>UPPSALA LÄN</t>
        </is>
      </c>
      <c r="E296" t="inlineStr">
        <is>
          <t>UPPSALA</t>
        </is>
      </c>
      <c r="G296" t="n">
        <v>1.2</v>
      </c>
      <c r="H296" t="n">
        <v>0</v>
      </c>
      <c r="I296" t="n">
        <v>0</v>
      </c>
      <c r="J296" t="n">
        <v>0</v>
      </c>
      <c r="K296" t="n">
        <v>0</v>
      </c>
      <c r="L296" t="n">
        <v>0</v>
      </c>
      <c r="M296" t="n">
        <v>0</v>
      </c>
      <c r="N296" t="n">
        <v>0</v>
      </c>
      <c r="O296" t="n">
        <v>0</v>
      </c>
      <c r="P296" t="n">
        <v>0</v>
      </c>
      <c r="Q296" t="n">
        <v>0</v>
      </c>
      <c r="R296" s="2" t="inlineStr"/>
    </row>
    <row r="297" ht="15" customHeight="1">
      <c r="A297" t="inlineStr">
        <is>
          <t>A 52429-2025</t>
        </is>
      </c>
      <c r="B297" s="1" t="n">
        <v>45954</v>
      </c>
      <c r="C297" s="1" t="n">
        <v>46196</v>
      </c>
      <c r="D297" t="inlineStr">
        <is>
          <t>UPPSALA LÄN</t>
        </is>
      </c>
      <c r="E297" t="inlineStr">
        <is>
          <t>UPPSALA</t>
        </is>
      </c>
      <c r="G297" t="n">
        <v>16.6</v>
      </c>
      <c r="H297" t="n">
        <v>0</v>
      </c>
      <c r="I297" t="n">
        <v>0</v>
      </c>
      <c r="J297" t="n">
        <v>0</v>
      </c>
      <c r="K297" t="n">
        <v>0</v>
      </c>
      <c r="L297" t="n">
        <v>0</v>
      </c>
      <c r="M297" t="n">
        <v>0</v>
      </c>
      <c r="N297" t="n">
        <v>0</v>
      </c>
      <c r="O297" t="n">
        <v>0</v>
      </c>
      <c r="P297" t="n">
        <v>0</v>
      </c>
      <c r="Q297" t="n">
        <v>0</v>
      </c>
      <c r="R297" s="2" t="inlineStr"/>
    </row>
    <row r="298" ht="15" customHeight="1">
      <c r="A298" t="inlineStr">
        <is>
          <t>A 42276-2024</t>
        </is>
      </c>
      <c r="B298" s="1" t="n">
        <v>45562</v>
      </c>
      <c r="C298" s="1" t="n">
        <v>46196</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42131-2023</t>
        </is>
      </c>
      <c r="B299" s="1" t="n">
        <v>45177</v>
      </c>
      <c r="C299" s="1" t="n">
        <v>46196</v>
      </c>
      <c r="D299" t="inlineStr">
        <is>
          <t>UPPSALA LÄN</t>
        </is>
      </c>
      <c r="E299" t="inlineStr">
        <is>
          <t>UPPSALA</t>
        </is>
      </c>
      <c r="F299" t="inlineStr">
        <is>
          <t>Allmännings- och besparingsskogar</t>
        </is>
      </c>
      <c r="G299" t="n">
        <v>6.3</v>
      </c>
      <c r="H299" t="n">
        <v>0</v>
      </c>
      <c r="I299" t="n">
        <v>0</v>
      </c>
      <c r="J299" t="n">
        <v>0</v>
      </c>
      <c r="K299" t="n">
        <v>0</v>
      </c>
      <c r="L299" t="n">
        <v>0</v>
      </c>
      <c r="M299" t="n">
        <v>0</v>
      </c>
      <c r="N299" t="n">
        <v>0</v>
      </c>
      <c r="O299" t="n">
        <v>0</v>
      </c>
      <c r="P299" t="n">
        <v>0</v>
      </c>
      <c r="Q299" t="n">
        <v>0</v>
      </c>
      <c r="R299" s="2" t="inlineStr"/>
    </row>
    <row r="300" ht="15" customHeight="1">
      <c r="A300" t="inlineStr">
        <is>
          <t>A 4980-2024</t>
        </is>
      </c>
      <c r="B300" s="1" t="n">
        <v>45329</v>
      </c>
      <c r="C300" s="1" t="n">
        <v>46196</v>
      </c>
      <c r="D300" t="inlineStr">
        <is>
          <t>UPPSALA LÄN</t>
        </is>
      </c>
      <c r="E300" t="inlineStr">
        <is>
          <t>UPPSALA</t>
        </is>
      </c>
      <c r="G300" t="n">
        <v>10.8</v>
      </c>
      <c r="H300" t="n">
        <v>0</v>
      </c>
      <c r="I300" t="n">
        <v>0</v>
      </c>
      <c r="J300" t="n">
        <v>0</v>
      </c>
      <c r="K300" t="n">
        <v>0</v>
      </c>
      <c r="L300" t="n">
        <v>0</v>
      </c>
      <c r="M300" t="n">
        <v>0</v>
      </c>
      <c r="N300" t="n">
        <v>0</v>
      </c>
      <c r="O300" t="n">
        <v>0</v>
      </c>
      <c r="P300" t="n">
        <v>0</v>
      </c>
      <c r="Q300" t="n">
        <v>0</v>
      </c>
      <c r="R300" s="2" t="inlineStr"/>
    </row>
    <row r="301" ht="15" customHeight="1">
      <c r="A301" t="inlineStr">
        <is>
          <t>A 750-2022</t>
        </is>
      </c>
      <c r="B301" s="1" t="n">
        <v>44569</v>
      </c>
      <c r="C301" s="1" t="n">
        <v>46196</v>
      </c>
      <c r="D301" t="inlineStr">
        <is>
          <t>UPPSALA LÄN</t>
        </is>
      </c>
      <c r="E301" t="inlineStr">
        <is>
          <t>UPPSALA</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46751-2024</t>
        </is>
      </c>
      <c r="B302" s="1" t="n">
        <v>45583</v>
      </c>
      <c r="C302" s="1" t="n">
        <v>46196</v>
      </c>
      <c r="D302" t="inlineStr">
        <is>
          <t>UPPSALA LÄN</t>
        </is>
      </c>
      <c r="E302" t="inlineStr">
        <is>
          <t>UPPSALA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52523-2025</t>
        </is>
      </c>
      <c r="B303" s="1" t="n">
        <v>45954</v>
      </c>
      <c r="C303" s="1" t="n">
        <v>46196</v>
      </c>
      <c r="D303" t="inlineStr">
        <is>
          <t>UPPSALA LÄN</t>
        </is>
      </c>
      <c r="E303" t="inlineStr">
        <is>
          <t>UPPSALA</t>
        </is>
      </c>
      <c r="G303" t="n">
        <v>1.8</v>
      </c>
      <c r="H303" t="n">
        <v>0</v>
      </c>
      <c r="I303" t="n">
        <v>0</v>
      </c>
      <c r="J303" t="n">
        <v>0</v>
      </c>
      <c r="K303" t="n">
        <v>0</v>
      </c>
      <c r="L303" t="n">
        <v>0</v>
      </c>
      <c r="M303" t="n">
        <v>0</v>
      </c>
      <c r="N303" t="n">
        <v>0</v>
      </c>
      <c r="O303" t="n">
        <v>0</v>
      </c>
      <c r="P303" t="n">
        <v>0</v>
      </c>
      <c r="Q303" t="n">
        <v>0</v>
      </c>
      <c r="R303" s="2" t="inlineStr"/>
    </row>
    <row r="304" ht="15" customHeight="1">
      <c r="A304" t="inlineStr">
        <is>
          <t>A 52517-2025</t>
        </is>
      </c>
      <c r="B304" s="1" t="n">
        <v>45954</v>
      </c>
      <c r="C304" s="1" t="n">
        <v>46196</v>
      </c>
      <c r="D304" t="inlineStr">
        <is>
          <t>UPPSALA LÄN</t>
        </is>
      </c>
      <c r="E304" t="inlineStr">
        <is>
          <t>UPPSALA</t>
        </is>
      </c>
      <c r="G304" t="n">
        <v>10.3</v>
      </c>
      <c r="H304" t="n">
        <v>0</v>
      </c>
      <c r="I304" t="n">
        <v>0</v>
      </c>
      <c r="J304" t="n">
        <v>0</v>
      </c>
      <c r="K304" t="n">
        <v>0</v>
      </c>
      <c r="L304" t="n">
        <v>0</v>
      </c>
      <c r="M304" t="n">
        <v>0</v>
      </c>
      <c r="N304" t="n">
        <v>0</v>
      </c>
      <c r="O304" t="n">
        <v>0</v>
      </c>
      <c r="P304" t="n">
        <v>0</v>
      </c>
      <c r="Q304" t="n">
        <v>0</v>
      </c>
      <c r="R304" s="2" t="inlineStr"/>
    </row>
    <row r="305" ht="15" customHeight="1">
      <c r="A305" t="inlineStr">
        <is>
          <t>A 8090-2022</t>
        </is>
      </c>
      <c r="B305" s="1" t="n">
        <v>44608</v>
      </c>
      <c r="C305" s="1" t="n">
        <v>46196</v>
      </c>
      <c r="D305" t="inlineStr">
        <is>
          <t>UPPSALA LÄN</t>
        </is>
      </c>
      <c r="E305" t="inlineStr">
        <is>
          <t>UPPSALA</t>
        </is>
      </c>
      <c r="G305" t="n">
        <v>1.4</v>
      </c>
      <c r="H305" t="n">
        <v>0</v>
      </c>
      <c r="I305" t="n">
        <v>0</v>
      </c>
      <c r="J305" t="n">
        <v>0</v>
      </c>
      <c r="K305" t="n">
        <v>0</v>
      </c>
      <c r="L305" t="n">
        <v>0</v>
      </c>
      <c r="M305" t="n">
        <v>0</v>
      </c>
      <c r="N305" t="n">
        <v>0</v>
      </c>
      <c r="O305" t="n">
        <v>0</v>
      </c>
      <c r="P305" t="n">
        <v>0</v>
      </c>
      <c r="Q305" t="n">
        <v>0</v>
      </c>
      <c r="R305" s="2" t="inlineStr"/>
    </row>
    <row r="306" ht="15" customHeight="1">
      <c r="A306" t="inlineStr">
        <is>
          <t>A 5006-2022</t>
        </is>
      </c>
      <c r="B306" s="1" t="n">
        <v>44593</v>
      </c>
      <c r="C306" s="1" t="n">
        <v>46196</v>
      </c>
      <c r="D306" t="inlineStr">
        <is>
          <t>UPPSALA LÄN</t>
        </is>
      </c>
      <c r="E306" t="inlineStr">
        <is>
          <t>UPPSALA</t>
        </is>
      </c>
      <c r="F306" t="inlineStr">
        <is>
          <t>BillerudKorsnäs AB</t>
        </is>
      </c>
      <c r="G306" t="n">
        <v>1.4</v>
      </c>
      <c r="H306" t="n">
        <v>0</v>
      </c>
      <c r="I306" t="n">
        <v>0</v>
      </c>
      <c r="J306" t="n">
        <v>0</v>
      </c>
      <c r="K306" t="n">
        <v>0</v>
      </c>
      <c r="L306" t="n">
        <v>0</v>
      </c>
      <c r="M306" t="n">
        <v>0</v>
      </c>
      <c r="N306" t="n">
        <v>0</v>
      </c>
      <c r="O306" t="n">
        <v>0</v>
      </c>
      <c r="P306" t="n">
        <v>0</v>
      </c>
      <c r="Q306" t="n">
        <v>0</v>
      </c>
      <c r="R306" s="2" t="inlineStr"/>
    </row>
    <row r="307" ht="15" customHeight="1">
      <c r="A307" t="inlineStr">
        <is>
          <t>A 53224-2025</t>
        </is>
      </c>
      <c r="B307" s="1" t="n">
        <v>45958</v>
      </c>
      <c r="C307" s="1" t="n">
        <v>46196</v>
      </c>
      <c r="D307" t="inlineStr">
        <is>
          <t>UPPSALA LÄN</t>
        </is>
      </c>
      <c r="E307" t="inlineStr">
        <is>
          <t>UPPSALA</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53230-2025</t>
        </is>
      </c>
      <c r="B308" s="1" t="n">
        <v>45958</v>
      </c>
      <c r="C308" s="1" t="n">
        <v>46196</v>
      </c>
      <c r="D308" t="inlineStr">
        <is>
          <t>UPPSALA LÄN</t>
        </is>
      </c>
      <c r="E308" t="inlineStr">
        <is>
          <t>UPPSALA</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32928-2025</t>
        </is>
      </c>
      <c r="B309" s="1" t="n">
        <v>45839</v>
      </c>
      <c r="C309" s="1" t="n">
        <v>46196</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53234-2025</t>
        </is>
      </c>
      <c r="B310" s="1" t="n">
        <v>45958</v>
      </c>
      <c r="C310" s="1" t="n">
        <v>46196</v>
      </c>
      <c r="D310" t="inlineStr">
        <is>
          <t>UPPSALA LÄN</t>
        </is>
      </c>
      <c r="E310" t="inlineStr">
        <is>
          <t>UPPSALA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53235-2025</t>
        </is>
      </c>
      <c r="B311" s="1" t="n">
        <v>45958</v>
      </c>
      <c r="C311" s="1" t="n">
        <v>46196</v>
      </c>
      <c r="D311" t="inlineStr">
        <is>
          <t>UPPSALA LÄN</t>
        </is>
      </c>
      <c r="E311" t="inlineStr">
        <is>
          <t>UPPSALA</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53161-2025</t>
        </is>
      </c>
      <c r="B312" s="1" t="n">
        <v>45958</v>
      </c>
      <c r="C312" s="1" t="n">
        <v>46196</v>
      </c>
      <c r="D312" t="inlineStr">
        <is>
          <t>UPPSALA LÄN</t>
        </is>
      </c>
      <c r="E312" t="inlineStr">
        <is>
          <t>UPPSALA</t>
        </is>
      </c>
      <c r="F312" t="inlineStr">
        <is>
          <t>Bergvik skog väst AB</t>
        </is>
      </c>
      <c r="G312" t="n">
        <v>14.5</v>
      </c>
      <c r="H312" t="n">
        <v>0</v>
      </c>
      <c r="I312" t="n">
        <v>0</v>
      </c>
      <c r="J312" t="n">
        <v>0</v>
      </c>
      <c r="K312" t="n">
        <v>0</v>
      </c>
      <c r="L312" t="n">
        <v>0</v>
      </c>
      <c r="M312" t="n">
        <v>0</v>
      </c>
      <c r="N312" t="n">
        <v>0</v>
      </c>
      <c r="O312" t="n">
        <v>0</v>
      </c>
      <c r="P312" t="n">
        <v>0</v>
      </c>
      <c r="Q312" t="n">
        <v>0</v>
      </c>
      <c r="R312" s="2" t="inlineStr"/>
    </row>
    <row r="313" ht="15" customHeight="1">
      <c r="A313" t="inlineStr">
        <is>
          <t>A 53423-2025</t>
        </is>
      </c>
      <c r="B313" s="1" t="n">
        <v>45959</v>
      </c>
      <c r="C313" s="1" t="n">
        <v>46196</v>
      </c>
      <c r="D313" t="inlineStr">
        <is>
          <t>UPPSALA LÄN</t>
        </is>
      </c>
      <c r="E313" t="inlineStr">
        <is>
          <t>UPPSALA</t>
        </is>
      </c>
      <c r="F313" t="inlineStr">
        <is>
          <t>Övriga Aktiebolag</t>
        </is>
      </c>
      <c r="G313" t="n">
        <v>23.6</v>
      </c>
      <c r="H313" t="n">
        <v>0</v>
      </c>
      <c r="I313" t="n">
        <v>0</v>
      </c>
      <c r="J313" t="n">
        <v>0</v>
      </c>
      <c r="K313" t="n">
        <v>0</v>
      </c>
      <c r="L313" t="n">
        <v>0</v>
      </c>
      <c r="M313" t="n">
        <v>0</v>
      </c>
      <c r="N313" t="n">
        <v>0</v>
      </c>
      <c r="O313" t="n">
        <v>0</v>
      </c>
      <c r="P313" t="n">
        <v>0</v>
      </c>
      <c r="Q313" t="n">
        <v>0</v>
      </c>
      <c r="R313" s="2" t="inlineStr"/>
    </row>
    <row r="314" ht="15" customHeight="1">
      <c r="A314" t="inlineStr">
        <is>
          <t>A 53228-2025</t>
        </is>
      </c>
      <c r="B314" s="1" t="n">
        <v>45958</v>
      </c>
      <c r="C314" s="1" t="n">
        <v>46196</v>
      </c>
      <c r="D314" t="inlineStr">
        <is>
          <t>UPPSALA LÄN</t>
        </is>
      </c>
      <c r="E314" t="inlineStr">
        <is>
          <t>UPPSALA</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53238-2025</t>
        </is>
      </c>
      <c r="B315" s="1" t="n">
        <v>45958</v>
      </c>
      <c r="C315" s="1" t="n">
        <v>46196</v>
      </c>
      <c r="D315" t="inlineStr">
        <is>
          <t>UPPSALA LÄN</t>
        </is>
      </c>
      <c r="E315" t="inlineStr">
        <is>
          <t>UPPSALA</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53242-2025</t>
        </is>
      </c>
      <c r="B316" s="1" t="n">
        <v>45958</v>
      </c>
      <c r="C316" s="1" t="n">
        <v>46196</v>
      </c>
      <c r="D316" t="inlineStr">
        <is>
          <t>UPPSALA LÄN</t>
        </is>
      </c>
      <c r="E316" t="inlineStr">
        <is>
          <t>UPPSALA</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53248-2025</t>
        </is>
      </c>
      <c r="B317" s="1" t="n">
        <v>45958</v>
      </c>
      <c r="C317" s="1" t="n">
        <v>46196</v>
      </c>
      <c r="D317" t="inlineStr">
        <is>
          <t>UPPSALA LÄN</t>
        </is>
      </c>
      <c r="E317" t="inlineStr">
        <is>
          <t>UPPSALA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53886-2025</t>
        </is>
      </c>
      <c r="B318" s="1" t="n">
        <v>45961</v>
      </c>
      <c r="C318" s="1" t="n">
        <v>46196</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53891-2025</t>
        </is>
      </c>
      <c r="B319" s="1" t="n">
        <v>45961</v>
      </c>
      <c r="C319" s="1" t="n">
        <v>46196</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54393-2025</t>
        </is>
      </c>
      <c r="B320" s="1" t="n">
        <v>45965</v>
      </c>
      <c r="C320" s="1" t="n">
        <v>46196</v>
      </c>
      <c r="D320" t="inlineStr">
        <is>
          <t>UPPSALA LÄN</t>
        </is>
      </c>
      <c r="E320" t="inlineStr">
        <is>
          <t>UPPSALA</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30319-2024</t>
        </is>
      </c>
      <c r="B321" s="1" t="n">
        <v>45490</v>
      </c>
      <c r="C321" s="1" t="n">
        <v>46196</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45885-2023</t>
        </is>
      </c>
      <c r="B322" s="1" t="n">
        <v>45195</v>
      </c>
      <c r="C322" s="1" t="n">
        <v>46196</v>
      </c>
      <c r="D322" t="inlineStr">
        <is>
          <t>UPPSALA LÄN</t>
        </is>
      </c>
      <c r="E322" t="inlineStr">
        <is>
          <t>UPPSALA</t>
        </is>
      </c>
      <c r="G322" t="n">
        <v>6.5</v>
      </c>
      <c r="H322" t="n">
        <v>0</v>
      </c>
      <c r="I322" t="n">
        <v>0</v>
      </c>
      <c r="J322" t="n">
        <v>0</v>
      </c>
      <c r="K322" t="n">
        <v>0</v>
      </c>
      <c r="L322" t="n">
        <v>0</v>
      </c>
      <c r="M322" t="n">
        <v>0</v>
      </c>
      <c r="N322" t="n">
        <v>0</v>
      </c>
      <c r="O322" t="n">
        <v>0</v>
      </c>
      <c r="P322" t="n">
        <v>0</v>
      </c>
      <c r="Q322" t="n">
        <v>0</v>
      </c>
      <c r="R322" s="2" t="inlineStr"/>
    </row>
    <row r="323" ht="15" customHeight="1">
      <c r="A323" t="inlineStr">
        <is>
          <t>A 39148-2022</t>
        </is>
      </c>
      <c r="B323" s="1" t="n">
        <v>44816</v>
      </c>
      <c r="C323" s="1" t="n">
        <v>46196</v>
      </c>
      <c r="D323" t="inlineStr">
        <is>
          <t>UPPSALA LÄN</t>
        </is>
      </c>
      <c r="E323" t="inlineStr">
        <is>
          <t>UPPSALA</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5729-2025</t>
        </is>
      </c>
      <c r="B324" s="1" t="n">
        <v>45694</v>
      </c>
      <c r="C324" s="1" t="n">
        <v>46196</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20903-2024</t>
        </is>
      </c>
      <c r="B325" s="1" t="n">
        <v>45439</v>
      </c>
      <c r="C325" s="1" t="n">
        <v>46196</v>
      </c>
      <c r="D325" t="inlineStr">
        <is>
          <t>UPPSALA LÄN</t>
        </is>
      </c>
      <c r="E325" t="inlineStr">
        <is>
          <t>UPPSALA</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5876-2024</t>
        </is>
      </c>
      <c r="B326" s="1" t="n">
        <v>45335</v>
      </c>
      <c r="C326" s="1" t="n">
        <v>46196</v>
      </c>
      <c r="D326" t="inlineStr">
        <is>
          <t>UPPSALA LÄN</t>
        </is>
      </c>
      <c r="E326" t="inlineStr">
        <is>
          <t>UPPSALA</t>
        </is>
      </c>
      <c r="F326" t="inlineStr">
        <is>
          <t>Kyrkan</t>
        </is>
      </c>
      <c r="G326" t="n">
        <v>1.7</v>
      </c>
      <c r="H326" t="n">
        <v>0</v>
      </c>
      <c r="I326" t="n">
        <v>0</v>
      </c>
      <c r="J326" t="n">
        <v>0</v>
      </c>
      <c r="K326" t="n">
        <v>0</v>
      </c>
      <c r="L326" t="n">
        <v>0</v>
      </c>
      <c r="M326" t="n">
        <v>0</v>
      </c>
      <c r="N326" t="n">
        <v>0</v>
      </c>
      <c r="O326" t="n">
        <v>0</v>
      </c>
      <c r="P326" t="n">
        <v>0</v>
      </c>
      <c r="Q326" t="n">
        <v>0</v>
      </c>
      <c r="R326" s="2" t="inlineStr"/>
    </row>
    <row r="327" ht="15" customHeight="1">
      <c r="A327" t="inlineStr">
        <is>
          <t>A 59098-2024</t>
        </is>
      </c>
      <c r="B327" s="1" t="n">
        <v>45636</v>
      </c>
      <c r="C327" s="1" t="n">
        <v>46196</v>
      </c>
      <c r="D327" t="inlineStr">
        <is>
          <t>UPPSALA LÄN</t>
        </is>
      </c>
      <c r="E327" t="inlineStr">
        <is>
          <t>UPPSALA</t>
        </is>
      </c>
      <c r="G327" t="n">
        <v>2.2</v>
      </c>
      <c r="H327" t="n">
        <v>0</v>
      </c>
      <c r="I327" t="n">
        <v>0</v>
      </c>
      <c r="J327" t="n">
        <v>0</v>
      </c>
      <c r="K327" t="n">
        <v>0</v>
      </c>
      <c r="L327" t="n">
        <v>0</v>
      </c>
      <c r="M327" t="n">
        <v>0</v>
      </c>
      <c r="N327" t="n">
        <v>0</v>
      </c>
      <c r="O327" t="n">
        <v>0</v>
      </c>
      <c r="P327" t="n">
        <v>0</v>
      </c>
      <c r="Q327" t="n">
        <v>0</v>
      </c>
      <c r="R327" s="2" t="inlineStr"/>
    </row>
    <row r="328" ht="15" customHeight="1">
      <c r="A328" t="inlineStr">
        <is>
          <t>A 55594-2025</t>
        </is>
      </c>
      <c r="B328" s="1" t="n">
        <v>45971</v>
      </c>
      <c r="C328" s="1" t="n">
        <v>46196</v>
      </c>
      <c r="D328" t="inlineStr">
        <is>
          <t>UPPSALA LÄN</t>
        </is>
      </c>
      <c r="E328" t="inlineStr">
        <is>
          <t>UPPSALA</t>
        </is>
      </c>
      <c r="F328" t="inlineStr">
        <is>
          <t>Allmännings- och besparingsskogar</t>
        </is>
      </c>
      <c r="G328" t="n">
        <v>3.2</v>
      </c>
      <c r="H328" t="n">
        <v>0</v>
      </c>
      <c r="I328" t="n">
        <v>0</v>
      </c>
      <c r="J328" t="n">
        <v>0</v>
      </c>
      <c r="K328" t="n">
        <v>0</v>
      </c>
      <c r="L328" t="n">
        <v>0</v>
      </c>
      <c r="M328" t="n">
        <v>0</v>
      </c>
      <c r="N328" t="n">
        <v>0</v>
      </c>
      <c r="O328" t="n">
        <v>0</v>
      </c>
      <c r="P328" t="n">
        <v>0</v>
      </c>
      <c r="Q328" t="n">
        <v>0</v>
      </c>
      <c r="R328" s="2" t="inlineStr"/>
    </row>
    <row r="329" ht="15" customHeight="1">
      <c r="A329" t="inlineStr">
        <is>
          <t>A 34520-2024</t>
        </is>
      </c>
      <c r="B329" s="1" t="n">
        <v>45525</v>
      </c>
      <c r="C329" s="1" t="n">
        <v>46196</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55357-2025</t>
        </is>
      </c>
      <c r="B330" s="1" t="n">
        <v>45971</v>
      </c>
      <c r="C330" s="1" t="n">
        <v>46196</v>
      </c>
      <c r="D330" t="inlineStr">
        <is>
          <t>UPPSALA LÄN</t>
        </is>
      </c>
      <c r="E330" t="inlineStr">
        <is>
          <t>UPPSALA</t>
        </is>
      </c>
      <c r="G330" t="n">
        <v>6</v>
      </c>
      <c r="H330" t="n">
        <v>0</v>
      </c>
      <c r="I330" t="n">
        <v>0</v>
      </c>
      <c r="J330" t="n">
        <v>0</v>
      </c>
      <c r="K330" t="n">
        <v>0</v>
      </c>
      <c r="L330" t="n">
        <v>0</v>
      </c>
      <c r="M330" t="n">
        <v>0</v>
      </c>
      <c r="N330" t="n">
        <v>0</v>
      </c>
      <c r="O330" t="n">
        <v>0</v>
      </c>
      <c r="P330" t="n">
        <v>0</v>
      </c>
      <c r="Q330" t="n">
        <v>0</v>
      </c>
      <c r="R330" s="2" t="inlineStr"/>
    </row>
    <row r="331" ht="15" customHeight="1">
      <c r="A331" t="inlineStr">
        <is>
          <t>A 24961-2025</t>
        </is>
      </c>
      <c r="B331" s="1" t="n">
        <v>45799</v>
      </c>
      <c r="C331" s="1" t="n">
        <v>46196</v>
      </c>
      <c r="D331" t="inlineStr">
        <is>
          <t>UPPSALA LÄN</t>
        </is>
      </c>
      <c r="E331" t="inlineStr">
        <is>
          <t>UPPSALA</t>
        </is>
      </c>
      <c r="G331" t="n">
        <v>0.7</v>
      </c>
      <c r="H331" t="n">
        <v>0</v>
      </c>
      <c r="I331" t="n">
        <v>0</v>
      </c>
      <c r="J331" t="n">
        <v>0</v>
      </c>
      <c r="K331" t="n">
        <v>0</v>
      </c>
      <c r="L331" t="n">
        <v>0</v>
      </c>
      <c r="M331" t="n">
        <v>0</v>
      </c>
      <c r="N331" t="n">
        <v>0</v>
      </c>
      <c r="O331" t="n">
        <v>0</v>
      </c>
      <c r="P331" t="n">
        <v>0</v>
      </c>
      <c r="Q331" t="n">
        <v>0</v>
      </c>
      <c r="R331" s="2" t="inlineStr"/>
    </row>
    <row r="332" ht="15" customHeight="1">
      <c r="A332" t="inlineStr">
        <is>
          <t>A 12828-2025</t>
        </is>
      </c>
      <c r="B332" s="1" t="n">
        <v>45733</v>
      </c>
      <c r="C332" s="1" t="n">
        <v>46196</v>
      </c>
      <c r="D332" t="inlineStr">
        <is>
          <t>UPPSALA LÄN</t>
        </is>
      </c>
      <c r="E332" t="inlineStr">
        <is>
          <t>UPPSALA</t>
        </is>
      </c>
      <c r="G332" t="n">
        <v>5.3</v>
      </c>
      <c r="H332" t="n">
        <v>0</v>
      </c>
      <c r="I332" t="n">
        <v>0</v>
      </c>
      <c r="J332" t="n">
        <v>0</v>
      </c>
      <c r="K332" t="n">
        <v>0</v>
      </c>
      <c r="L332" t="n">
        <v>0</v>
      </c>
      <c r="M332" t="n">
        <v>0</v>
      </c>
      <c r="N332" t="n">
        <v>0</v>
      </c>
      <c r="O332" t="n">
        <v>0</v>
      </c>
      <c r="P332" t="n">
        <v>0</v>
      </c>
      <c r="Q332" t="n">
        <v>0</v>
      </c>
      <c r="R332" s="2" t="inlineStr"/>
    </row>
    <row r="333" ht="15" customHeight="1">
      <c r="A333" t="inlineStr">
        <is>
          <t>A 25030-2025</t>
        </is>
      </c>
      <c r="B333" s="1" t="n">
        <v>45799</v>
      </c>
      <c r="C333" s="1" t="n">
        <v>46196</v>
      </c>
      <c r="D333" t="inlineStr">
        <is>
          <t>UPPSALA LÄN</t>
        </is>
      </c>
      <c r="E333" t="inlineStr">
        <is>
          <t>UPPSALA</t>
        </is>
      </c>
      <c r="F333" t="inlineStr">
        <is>
          <t>Sveaskog</t>
        </is>
      </c>
      <c r="G333" t="n">
        <v>6</v>
      </c>
      <c r="H333" t="n">
        <v>0</v>
      </c>
      <c r="I333" t="n">
        <v>0</v>
      </c>
      <c r="J333" t="n">
        <v>0</v>
      </c>
      <c r="K333" t="n">
        <v>0</v>
      </c>
      <c r="L333" t="n">
        <v>0</v>
      </c>
      <c r="M333" t="n">
        <v>0</v>
      </c>
      <c r="N333" t="n">
        <v>0</v>
      </c>
      <c r="O333" t="n">
        <v>0</v>
      </c>
      <c r="P333" t="n">
        <v>0</v>
      </c>
      <c r="Q333" t="n">
        <v>0</v>
      </c>
      <c r="R333" s="2" t="inlineStr"/>
    </row>
    <row r="334" ht="15" customHeight="1">
      <c r="A334" t="inlineStr">
        <is>
          <t>A 24913-2025</t>
        </is>
      </c>
      <c r="B334" s="1" t="n">
        <v>45799</v>
      </c>
      <c r="C334" s="1" t="n">
        <v>46196</v>
      </c>
      <c r="D334" t="inlineStr">
        <is>
          <t>UPPSALA LÄN</t>
        </is>
      </c>
      <c r="E334" t="inlineStr">
        <is>
          <t>UPPSALA</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24916-2025</t>
        </is>
      </c>
      <c r="B335" s="1" t="n">
        <v>45799</v>
      </c>
      <c r="C335" s="1" t="n">
        <v>46196</v>
      </c>
      <c r="D335" t="inlineStr">
        <is>
          <t>UPPSALA LÄN</t>
        </is>
      </c>
      <c r="E335" t="inlineStr">
        <is>
          <t>UPPSALA</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24525-2025</t>
        </is>
      </c>
      <c r="B336" s="1" t="n">
        <v>45798</v>
      </c>
      <c r="C336" s="1" t="n">
        <v>46196</v>
      </c>
      <c r="D336" t="inlineStr">
        <is>
          <t>UPPSALA LÄN</t>
        </is>
      </c>
      <c r="E336" t="inlineStr">
        <is>
          <t>UPPSALA</t>
        </is>
      </c>
      <c r="G336" t="n">
        <v>3.2</v>
      </c>
      <c r="H336" t="n">
        <v>0</v>
      </c>
      <c r="I336" t="n">
        <v>0</v>
      </c>
      <c r="J336" t="n">
        <v>0</v>
      </c>
      <c r="K336" t="n">
        <v>0</v>
      </c>
      <c r="L336" t="n">
        <v>0</v>
      </c>
      <c r="M336" t="n">
        <v>0</v>
      </c>
      <c r="N336" t="n">
        <v>0</v>
      </c>
      <c r="O336" t="n">
        <v>0</v>
      </c>
      <c r="P336" t="n">
        <v>0</v>
      </c>
      <c r="Q336" t="n">
        <v>0</v>
      </c>
      <c r="R336" s="2" t="inlineStr"/>
    </row>
    <row r="337" ht="15" customHeight="1">
      <c r="A337" t="inlineStr">
        <is>
          <t>A 11744-2023</t>
        </is>
      </c>
      <c r="B337" s="1" t="n">
        <v>44993</v>
      </c>
      <c r="C337" s="1" t="n">
        <v>46196</v>
      </c>
      <c r="D337" t="inlineStr">
        <is>
          <t>UPPSALA LÄN</t>
        </is>
      </c>
      <c r="E337" t="inlineStr">
        <is>
          <t>UPPSALA</t>
        </is>
      </c>
      <c r="G337" t="n">
        <v>1.4</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46196</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55732-2025</t>
        </is>
      </c>
      <c r="B339" s="1" t="n">
        <v>45972</v>
      </c>
      <c r="C339" s="1" t="n">
        <v>46196</v>
      </c>
      <c r="D339" t="inlineStr">
        <is>
          <t>UPPSALA LÄN</t>
        </is>
      </c>
      <c r="E339" t="inlineStr">
        <is>
          <t>UPPSALA</t>
        </is>
      </c>
      <c r="G339" t="n">
        <v>10.9</v>
      </c>
      <c r="H339" t="n">
        <v>0</v>
      </c>
      <c r="I339" t="n">
        <v>0</v>
      </c>
      <c r="J339" t="n">
        <v>0</v>
      </c>
      <c r="K339" t="n">
        <v>0</v>
      </c>
      <c r="L339" t="n">
        <v>0</v>
      </c>
      <c r="M339" t="n">
        <v>0</v>
      </c>
      <c r="N339" t="n">
        <v>0</v>
      </c>
      <c r="O339" t="n">
        <v>0</v>
      </c>
      <c r="P339" t="n">
        <v>0</v>
      </c>
      <c r="Q339" t="n">
        <v>0</v>
      </c>
      <c r="R339" s="2" t="inlineStr"/>
    </row>
    <row r="340" ht="15" customHeight="1">
      <c r="A340" t="inlineStr">
        <is>
          <t>A 8132-2024</t>
        </is>
      </c>
      <c r="B340" s="1" t="n">
        <v>45351</v>
      </c>
      <c r="C340" s="1" t="n">
        <v>46196</v>
      </c>
      <c r="D340" t="inlineStr">
        <is>
          <t>UPPSALA LÄN</t>
        </is>
      </c>
      <c r="E340" t="inlineStr">
        <is>
          <t>UPPSALA</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58023-2022</t>
        </is>
      </c>
      <c r="B341" s="1" t="n">
        <v>44900</v>
      </c>
      <c r="C341" s="1" t="n">
        <v>46196</v>
      </c>
      <c r="D341" t="inlineStr">
        <is>
          <t>UPPSALA LÄN</t>
        </is>
      </c>
      <c r="E341" t="inlineStr">
        <is>
          <t>UPPSALA</t>
        </is>
      </c>
      <c r="G341" t="n">
        <v>0.7</v>
      </c>
      <c r="H341" t="n">
        <v>0</v>
      </c>
      <c r="I341" t="n">
        <v>0</v>
      </c>
      <c r="J341" t="n">
        <v>0</v>
      </c>
      <c r="K341" t="n">
        <v>0</v>
      </c>
      <c r="L341" t="n">
        <v>0</v>
      </c>
      <c r="M341" t="n">
        <v>0</v>
      </c>
      <c r="N341" t="n">
        <v>0</v>
      </c>
      <c r="O341" t="n">
        <v>0</v>
      </c>
      <c r="P341" t="n">
        <v>0</v>
      </c>
      <c r="Q341" t="n">
        <v>0</v>
      </c>
      <c r="R341" s="2" t="inlineStr"/>
    </row>
    <row r="342" ht="15" customHeight="1">
      <c r="A342" t="inlineStr">
        <is>
          <t>A 51661-2022</t>
        </is>
      </c>
      <c r="B342" s="1" t="n">
        <v>44872</v>
      </c>
      <c r="C342" s="1" t="n">
        <v>46196</v>
      </c>
      <c r="D342" t="inlineStr">
        <is>
          <t>UPPSALA LÄN</t>
        </is>
      </c>
      <c r="E342" t="inlineStr">
        <is>
          <t>UPPSALA</t>
        </is>
      </c>
      <c r="G342" t="n">
        <v>8.9</v>
      </c>
      <c r="H342" t="n">
        <v>0</v>
      </c>
      <c r="I342" t="n">
        <v>0</v>
      </c>
      <c r="J342" t="n">
        <v>0</v>
      </c>
      <c r="K342" t="n">
        <v>0</v>
      </c>
      <c r="L342" t="n">
        <v>0</v>
      </c>
      <c r="M342" t="n">
        <v>0</v>
      </c>
      <c r="N342" t="n">
        <v>0</v>
      </c>
      <c r="O342" t="n">
        <v>0</v>
      </c>
      <c r="P342" t="n">
        <v>0</v>
      </c>
      <c r="Q342" t="n">
        <v>0</v>
      </c>
      <c r="R342" s="2" t="inlineStr"/>
    </row>
    <row r="343" ht="15" customHeight="1">
      <c r="A343" t="inlineStr">
        <is>
          <t>A 56466-2025</t>
        </is>
      </c>
      <c r="B343" s="1" t="n">
        <v>45975</v>
      </c>
      <c r="C343" s="1" t="n">
        <v>46196</v>
      </c>
      <c r="D343" t="inlineStr">
        <is>
          <t>UPPSALA LÄN</t>
        </is>
      </c>
      <c r="E343" t="inlineStr">
        <is>
          <t>UPPSALA</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56620-2025</t>
        </is>
      </c>
      <c r="B344" s="1" t="n">
        <v>45975</v>
      </c>
      <c r="C344" s="1" t="n">
        <v>46196</v>
      </c>
      <c r="D344" t="inlineStr">
        <is>
          <t>UPPSALA LÄN</t>
        </is>
      </c>
      <c r="E344" t="inlineStr">
        <is>
          <t>UPPSALA</t>
        </is>
      </c>
      <c r="G344" t="n">
        <v>3.6</v>
      </c>
      <c r="H344" t="n">
        <v>0</v>
      </c>
      <c r="I344" t="n">
        <v>0</v>
      </c>
      <c r="J344" t="n">
        <v>0</v>
      </c>
      <c r="K344" t="n">
        <v>0</v>
      </c>
      <c r="L344" t="n">
        <v>0</v>
      </c>
      <c r="M344" t="n">
        <v>0</v>
      </c>
      <c r="N344" t="n">
        <v>0</v>
      </c>
      <c r="O344" t="n">
        <v>0</v>
      </c>
      <c r="P344" t="n">
        <v>0</v>
      </c>
      <c r="Q344" t="n">
        <v>0</v>
      </c>
      <c r="R344" s="2" t="inlineStr"/>
    </row>
    <row r="345" ht="15" customHeight="1">
      <c r="A345" t="inlineStr">
        <is>
          <t>A 56656-2025</t>
        </is>
      </c>
      <c r="B345" s="1" t="n">
        <v>45975</v>
      </c>
      <c r="C345" s="1" t="n">
        <v>46196</v>
      </c>
      <c r="D345" t="inlineStr">
        <is>
          <t>UPPSALA LÄN</t>
        </is>
      </c>
      <c r="E345" t="inlineStr">
        <is>
          <t>UPPSALA</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25280-2023</t>
        </is>
      </c>
      <c r="B346" s="1" t="n">
        <v>45086</v>
      </c>
      <c r="C346" s="1" t="n">
        <v>46196</v>
      </c>
      <c r="D346" t="inlineStr">
        <is>
          <t>UPPSALA LÄN</t>
        </is>
      </c>
      <c r="E346" t="inlineStr">
        <is>
          <t>UPPSALA</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42084-2025</t>
        </is>
      </c>
      <c r="B347" s="1" t="n">
        <v>45903</v>
      </c>
      <c r="C347" s="1" t="n">
        <v>46196</v>
      </c>
      <c r="D347" t="inlineStr">
        <is>
          <t>UPPSALA LÄN</t>
        </is>
      </c>
      <c r="E347" t="inlineStr">
        <is>
          <t>UPPSALA</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42085-2025</t>
        </is>
      </c>
      <c r="B348" s="1" t="n">
        <v>45903</v>
      </c>
      <c r="C348" s="1" t="n">
        <v>46196</v>
      </c>
      <c r="D348" t="inlineStr">
        <is>
          <t>UPPSALA LÄN</t>
        </is>
      </c>
      <c r="E348" t="inlineStr">
        <is>
          <t>UPPSALA</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42541-2025</t>
        </is>
      </c>
      <c r="B349" s="1" t="n">
        <v>45905</v>
      </c>
      <c r="C349" s="1" t="n">
        <v>46196</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25674-2025</t>
        </is>
      </c>
      <c r="B350" s="1" t="n">
        <v>45803</v>
      </c>
      <c r="C350" s="1" t="n">
        <v>46196</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42347-2025</t>
        </is>
      </c>
      <c r="B351" s="1" t="n">
        <v>45904</v>
      </c>
      <c r="C351" s="1" t="n">
        <v>46196</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52197-2024</t>
        </is>
      </c>
      <c r="B352" s="1" t="n">
        <v>45608</v>
      </c>
      <c r="C352" s="1" t="n">
        <v>46196</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6628-2024</t>
        </is>
      </c>
      <c r="B353" s="1" t="n">
        <v>45341</v>
      </c>
      <c r="C353" s="1" t="n">
        <v>46196</v>
      </c>
      <c r="D353" t="inlineStr">
        <is>
          <t>UPPSALA LÄN</t>
        </is>
      </c>
      <c r="E353" t="inlineStr">
        <is>
          <t>UPPSALA</t>
        </is>
      </c>
      <c r="G353" t="n">
        <v>4.3</v>
      </c>
      <c r="H353" t="n">
        <v>0</v>
      </c>
      <c r="I353" t="n">
        <v>0</v>
      </c>
      <c r="J353" t="n">
        <v>0</v>
      </c>
      <c r="K353" t="n">
        <v>0</v>
      </c>
      <c r="L353" t="n">
        <v>0</v>
      </c>
      <c r="M353" t="n">
        <v>0</v>
      </c>
      <c r="N353" t="n">
        <v>0</v>
      </c>
      <c r="O353" t="n">
        <v>0</v>
      </c>
      <c r="P353" t="n">
        <v>0</v>
      </c>
      <c r="Q353" t="n">
        <v>0</v>
      </c>
      <c r="R353" s="2" t="inlineStr"/>
    </row>
    <row r="354" ht="15" customHeight="1">
      <c r="A354" t="inlineStr">
        <is>
          <t>A 15264-2025</t>
        </is>
      </c>
      <c r="B354" s="1" t="n">
        <v>45744</v>
      </c>
      <c r="C354" s="1" t="n">
        <v>46196</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57789-2025</t>
        </is>
      </c>
      <c r="B355" s="1" t="n">
        <v>45981</v>
      </c>
      <c r="C355" s="1" t="n">
        <v>46196</v>
      </c>
      <c r="D355" t="inlineStr">
        <is>
          <t>UPPSALA LÄN</t>
        </is>
      </c>
      <c r="E355" t="inlineStr">
        <is>
          <t>UPPSALA</t>
        </is>
      </c>
      <c r="G355" t="n">
        <v>2.2</v>
      </c>
      <c r="H355" t="n">
        <v>0</v>
      </c>
      <c r="I355" t="n">
        <v>0</v>
      </c>
      <c r="J355" t="n">
        <v>0</v>
      </c>
      <c r="K355" t="n">
        <v>0</v>
      </c>
      <c r="L355" t="n">
        <v>0</v>
      </c>
      <c r="M355" t="n">
        <v>0</v>
      </c>
      <c r="N355" t="n">
        <v>0</v>
      </c>
      <c r="O355" t="n">
        <v>0</v>
      </c>
      <c r="P355" t="n">
        <v>0</v>
      </c>
      <c r="Q355" t="n">
        <v>0</v>
      </c>
      <c r="R355" s="2" t="inlineStr"/>
    </row>
    <row r="356" ht="15" customHeight="1">
      <c r="A356" t="inlineStr">
        <is>
          <t>A 34243-2021</t>
        </is>
      </c>
      <c r="B356" s="1" t="n">
        <v>44379</v>
      </c>
      <c r="C356" s="1" t="n">
        <v>46196</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57827-2025</t>
        </is>
      </c>
      <c r="B357" s="1" t="n">
        <v>45981</v>
      </c>
      <c r="C357" s="1" t="n">
        <v>46196</v>
      </c>
      <c r="D357" t="inlineStr">
        <is>
          <t>UPPSALA LÄN</t>
        </is>
      </c>
      <c r="E357" t="inlineStr">
        <is>
          <t>UPPSALA</t>
        </is>
      </c>
      <c r="F357" t="inlineStr">
        <is>
          <t>Kyrkan</t>
        </is>
      </c>
      <c r="G357" t="n">
        <v>2.9</v>
      </c>
      <c r="H357" t="n">
        <v>0</v>
      </c>
      <c r="I357" t="n">
        <v>0</v>
      </c>
      <c r="J357" t="n">
        <v>0</v>
      </c>
      <c r="K357" t="n">
        <v>0</v>
      </c>
      <c r="L357" t="n">
        <v>0</v>
      </c>
      <c r="M357" t="n">
        <v>0</v>
      </c>
      <c r="N357" t="n">
        <v>0</v>
      </c>
      <c r="O357" t="n">
        <v>0</v>
      </c>
      <c r="P357" t="n">
        <v>0</v>
      </c>
      <c r="Q357" t="n">
        <v>0</v>
      </c>
      <c r="R357" s="2" t="inlineStr"/>
    </row>
    <row r="358" ht="15" customHeight="1">
      <c r="A358" t="inlineStr">
        <is>
          <t>A 57796-2025</t>
        </is>
      </c>
      <c r="B358" s="1" t="n">
        <v>45981</v>
      </c>
      <c r="C358" s="1" t="n">
        <v>46196</v>
      </c>
      <c r="D358" t="inlineStr">
        <is>
          <t>UPPSALA LÄN</t>
        </is>
      </c>
      <c r="E358" t="inlineStr">
        <is>
          <t>UPPSALA</t>
        </is>
      </c>
      <c r="G358" t="n">
        <v>2.6</v>
      </c>
      <c r="H358" t="n">
        <v>0</v>
      </c>
      <c r="I358" t="n">
        <v>0</v>
      </c>
      <c r="J358" t="n">
        <v>0</v>
      </c>
      <c r="K358" t="n">
        <v>0</v>
      </c>
      <c r="L358" t="n">
        <v>0</v>
      </c>
      <c r="M358" t="n">
        <v>0</v>
      </c>
      <c r="N358" t="n">
        <v>0</v>
      </c>
      <c r="O358" t="n">
        <v>0</v>
      </c>
      <c r="P358" t="n">
        <v>0</v>
      </c>
      <c r="Q358" t="n">
        <v>0</v>
      </c>
      <c r="R358" s="2" t="inlineStr"/>
    </row>
    <row r="359" ht="15" customHeight="1">
      <c r="A359" t="inlineStr">
        <is>
          <t>A 57836-2025</t>
        </is>
      </c>
      <c r="B359" s="1" t="n">
        <v>45981</v>
      </c>
      <c r="C359" s="1" t="n">
        <v>46196</v>
      </c>
      <c r="D359" t="inlineStr">
        <is>
          <t>UPPSALA LÄN</t>
        </is>
      </c>
      <c r="E359" t="inlineStr">
        <is>
          <t>UPPSALA</t>
        </is>
      </c>
      <c r="F359" t="inlineStr">
        <is>
          <t>Kyrkan</t>
        </is>
      </c>
      <c r="G359" t="n">
        <v>0.8</v>
      </c>
      <c r="H359" t="n">
        <v>0</v>
      </c>
      <c r="I359" t="n">
        <v>0</v>
      </c>
      <c r="J359" t="n">
        <v>0</v>
      </c>
      <c r="K359" t="n">
        <v>0</v>
      </c>
      <c r="L359" t="n">
        <v>0</v>
      </c>
      <c r="M359" t="n">
        <v>0</v>
      </c>
      <c r="N359" t="n">
        <v>0</v>
      </c>
      <c r="O359" t="n">
        <v>0</v>
      </c>
      <c r="P359" t="n">
        <v>0</v>
      </c>
      <c r="Q359" t="n">
        <v>0</v>
      </c>
      <c r="R359" s="2" t="inlineStr"/>
    </row>
    <row r="360" ht="15" customHeight="1">
      <c r="A360" t="inlineStr">
        <is>
          <t>A 26139-2025</t>
        </is>
      </c>
      <c r="B360" s="1" t="n">
        <v>45805</v>
      </c>
      <c r="C360" s="1" t="n">
        <v>46196</v>
      </c>
      <c r="D360" t="inlineStr">
        <is>
          <t>UPPSALA LÄN</t>
        </is>
      </c>
      <c r="E360" t="inlineStr">
        <is>
          <t>UPPSALA</t>
        </is>
      </c>
      <c r="F360" t="inlineStr">
        <is>
          <t>Holmen skog AB</t>
        </is>
      </c>
      <c r="G360" t="n">
        <v>0.7</v>
      </c>
      <c r="H360" t="n">
        <v>0</v>
      </c>
      <c r="I360" t="n">
        <v>0</v>
      </c>
      <c r="J360" t="n">
        <v>0</v>
      </c>
      <c r="K360" t="n">
        <v>0</v>
      </c>
      <c r="L360" t="n">
        <v>0</v>
      </c>
      <c r="M360" t="n">
        <v>0</v>
      </c>
      <c r="N360" t="n">
        <v>0</v>
      </c>
      <c r="O360" t="n">
        <v>0</v>
      </c>
      <c r="P360" t="n">
        <v>0</v>
      </c>
      <c r="Q360" t="n">
        <v>0</v>
      </c>
      <c r="R360" s="2" t="inlineStr"/>
    </row>
    <row r="361" ht="15" customHeight="1">
      <c r="A361" t="inlineStr">
        <is>
          <t>A 26141-2025</t>
        </is>
      </c>
      <c r="B361" s="1" t="n">
        <v>45805</v>
      </c>
      <c r="C361" s="1" t="n">
        <v>46196</v>
      </c>
      <c r="D361" t="inlineStr">
        <is>
          <t>UPPSALA LÄN</t>
        </is>
      </c>
      <c r="E361" t="inlineStr">
        <is>
          <t>UPPSALA</t>
        </is>
      </c>
      <c r="F361" t="inlineStr">
        <is>
          <t>Holmen skog AB</t>
        </is>
      </c>
      <c r="G361" t="n">
        <v>1.3</v>
      </c>
      <c r="H361" t="n">
        <v>0</v>
      </c>
      <c r="I361" t="n">
        <v>0</v>
      </c>
      <c r="J361" t="n">
        <v>0</v>
      </c>
      <c r="K361" t="n">
        <v>0</v>
      </c>
      <c r="L361" t="n">
        <v>0</v>
      </c>
      <c r="M361" t="n">
        <v>0</v>
      </c>
      <c r="N361" t="n">
        <v>0</v>
      </c>
      <c r="O361" t="n">
        <v>0</v>
      </c>
      <c r="P361" t="n">
        <v>0</v>
      </c>
      <c r="Q361" t="n">
        <v>0</v>
      </c>
      <c r="R361" s="2" t="inlineStr"/>
    </row>
    <row r="362" ht="15" customHeight="1">
      <c r="A362" t="inlineStr">
        <is>
          <t>A 49682-2023</t>
        </is>
      </c>
      <c r="B362" s="1" t="n">
        <v>45212</v>
      </c>
      <c r="C362" s="1" t="n">
        <v>46196</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26155-2025</t>
        </is>
      </c>
      <c r="B363" s="1" t="n">
        <v>45805</v>
      </c>
      <c r="C363" s="1" t="n">
        <v>46196</v>
      </c>
      <c r="D363" t="inlineStr">
        <is>
          <t>UPPSALA LÄN</t>
        </is>
      </c>
      <c r="E363" t="inlineStr">
        <is>
          <t>UPPSALA</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69691-2021</t>
        </is>
      </c>
      <c r="B364" s="1" t="n">
        <v>44532</v>
      </c>
      <c r="C364" s="1" t="n">
        <v>46196</v>
      </c>
      <c r="D364" t="inlineStr">
        <is>
          <t>UPPSALA LÄN</t>
        </is>
      </c>
      <c r="E364" t="inlineStr">
        <is>
          <t>UPPSALA</t>
        </is>
      </c>
      <c r="G364" t="n">
        <v>2.3</v>
      </c>
      <c r="H364" t="n">
        <v>0</v>
      </c>
      <c r="I364" t="n">
        <v>0</v>
      </c>
      <c r="J364" t="n">
        <v>0</v>
      </c>
      <c r="K364" t="n">
        <v>0</v>
      </c>
      <c r="L364" t="n">
        <v>0</v>
      </c>
      <c r="M364" t="n">
        <v>0</v>
      </c>
      <c r="N364" t="n">
        <v>0</v>
      </c>
      <c r="O364" t="n">
        <v>0</v>
      </c>
      <c r="P364" t="n">
        <v>0</v>
      </c>
      <c r="Q364" t="n">
        <v>0</v>
      </c>
      <c r="R364" s="2" t="inlineStr"/>
    </row>
    <row r="365" ht="15" customHeight="1">
      <c r="A365" t="inlineStr">
        <is>
          <t>A 53206-2025</t>
        </is>
      </c>
      <c r="B365" s="1" t="n">
        <v>45958</v>
      </c>
      <c r="C365" s="1" t="n">
        <v>46196</v>
      </c>
      <c r="D365" t="inlineStr">
        <is>
          <t>UPPSALA LÄN</t>
        </is>
      </c>
      <c r="E365" t="inlineStr">
        <is>
          <t>UPPSALA</t>
        </is>
      </c>
      <c r="F365" t="inlineStr">
        <is>
          <t>Bergvik skog väst AB</t>
        </is>
      </c>
      <c r="G365" t="n">
        <v>18.6</v>
      </c>
      <c r="H365" t="n">
        <v>0</v>
      </c>
      <c r="I365" t="n">
        <v>0</v>
      </c>
      <c r="J365" t="n">
        <v>0</v>
      </c>
      <c r="K365" t="n">
        <v>0</v>
      </c>
      <c r="L365" t="n">
        <v>0</v>
      </c>
      <c r="M365" t="n">
        <v>0</v>
      </c>
      <c r="N365" t="n">
        <v>0</v>
      </c>
      <c r="O365" t="n">
        <v>0</v>
      </c>
      <c r="P365" t="n">
        <v>0</v>
      </c>
      <c r="Q365" t="n">
        <v>0</v>
      </c>
      <c r="R365" s="2" t="inlineStr"/>
    </row>
    <row r="366" ht="15" customHeight="1">
      <c r="A366" t="inlineStr">
        <is>
          <t>A 5362-2023</t>
        </is>
      </c>
      <c r="B366" s="1" t="n">
        <v>44944</v>
      </c>
      <c r="C366" s="1" t="n">
        <v>46196</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26762-2023</t>
        </is>
      </c>
      <c r="B367" s="1" t="n">
        <v>45093</v>
      </c>
      <c r="C367" s="1" t="n">
        <v>46196</v>
      </c>
      <c r="D367" t="inlineStr">
        <is>
          <t>UPPSALA LÄN</t>
        </is>
      </c>
      <c r="E367" t="inlineStr">
        <is>
          <t>UPPSALA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7058-2023</t>
        </is>
      </c>
      <c r="B368" s="1" t="n">
        <v>44969</v>
      </c>
      <c r="C368" s="1" t="n">
        <v>46196</v>
      </c>
      <c r="D368" t="inlineStr">
        <is>
          <t>UPPSALA LÄN</t>
        </is>
      </c>
      <c r="E368" t="inlineStr">
        <is>
          <t>UPPSALA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43893-2025</t>
        </is>
      </c>
      <c r="B369" s="1" t="n">
        <v>45912</v>
      </c>
      <c r="C369" s="1" t="n">
        <v>46196</v>
      </c>
      <c r="D369" t="inlineStr">
        <is>
          <t>UPPSALA LÄN</t>
        </is>
      </c>
      <c r="E369" t="inlineStr">
        <is>
          <t>UPPSALA</t>
        </is>
      </c>
      <c r="F369" t="inlineStr">
        <is>
          <t>Kyrkan</t>
        </is>
      </c>
      <c r="G369" t="n">
        <v>5.7</v>
      </c>
      <c r="H369" t="n">
        <v>0</v>
      </c>
      <c r="I369" t="n">
        <v>0</v>
      </c>
      <c r="J369" t="n">
        <v>0</v>
      </c>
      <c r="K369" t="n">
        <v>0</v>
      </c>
      <c r="L369" t="n">
        <v>0</v>
      </c>
      <c r="M369" t="n">
        <v>0</v>
      </c>
      <c r="N369" t="n">
        <v>0</v>
      </c>
      <c r="O369" t="n">
        <v>0</v>
      </c>
      <c r="P369" t="n">
        <v>0</v>
      </c>
      <c r="Q369" t="n">
        <v>0</v>
      </c>
      <c r="R369" s="2" t="inlineStr"/>
    </row>
    <row r="370" ht="15" customHeight="1">
      <c r="A370" t="inlineStr">
        <is>
          <t>A 16811-2023</t>
        </is>
      </c>
      <c r="B370" s="1" t="n">
        <v>45033</v>
      </c>
      <c r="C370" s="1" t="n">
        <v>46196</v>
      </c>
      <c r="D370" t="inlineStr">
        <is>
          <t>UPPSALA LÄN</t>
        </is>
      </c>
      <c r="E370" t="inlineStr">
        <is>
          <t>UPPSALA</t>
        </is>
      </c>
      <c r="G370" t="n">
        <v>10.1</v>
      </c>
      <c r="H370" t="n">
        <v>0</v>
      </c>
      <c r="I370" t="n">
        <v>0</v>
      </c>
      <c r="J370" t="n">
        <v>0</v>
      </c>
      <c r="K370" t="n">
        <v>0</v>
      </c>
      <c r="L370" t="n">
        <v>0</v>
      </c>
      <c r="M370" t="n">
        <v>0</v>
      </c>
      <c r="N370" t="n">
        <v>0</v>
      </c>
      <c r="O370" t="n">
        <v>0</v>
      </c>
      <c r="P370" t="n">
        <v>0</v>
      </c>
      <c r="Q370" t="n">
        <v>0</v>
      </c>
      <c r="R370" s="2" t="inlineStr"/>
    </row>
    <row r="371" ht="15" customHeight="1">
      <c r="A371" t="inlineStr">
        <is>
          <t>A 44226-2025</t>
        </is>
      </c>
      <c r="B371" s="1" t="n">
        <v>45915</v>
      </c>
      <c r="C371" s="1" t="n">
        <v>46196</v>
      </c>
      <c r="D371" t="inlineStr">
        <is>
          <t>UPPSALA LÄN</t>
        </is>
      </c>
      <c r="E371" t="inlineStr">
        <is>
          <t>UPPSALA</t>
        </is>
      </c>
      <c r="F371" t="inlineStr">
        <is>
          <t>Kyrkan</t>
        </is>
      </c>
      <c r="G371" t="n">
        <v>2.5</v>
      </c>
      <c r="H371" t="n">
        <v>0</v>
      </c>
      <c r="I371" t="n">
        <v>0</v>
      </c>
      <c r="J371" t="n">
        <v>0</v>
      </c>
      <c r="K371" t="n">
        <v>0</v>
      </c>
      <c r="L371" t="n">
        <v>0</v>
      </c>
      <c r="M371" t="n">
        <v>0</v>
      </c>
      <c r="N371" t="n">
        <v>0</v>
      </c>
      <c r="O371" t="n">
        <v>0</v>
      </c>
      <c r="P371" t="n">
        <v>0</v>
      </c>
      <c r="Q371" t="n">
        <v>0</v>
      </c>
      <c r="R371" s="2" t="inlineStr"/>
    </row>
    <row r="372" ht="15" customHeight="1">
      <c r="A372" t="inlineStr">
        <is>
          <t>A 58104-2025</t>
        </is>
      </c>
      <c r="B372" s="1" t="n">
        <v>45982</v>
      </c>
      <c r="C372" s="1" t="n">
        <v>46196</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58193-2025</t>
        </is>
      </c>
      <c r="B373" s="1" t="n">
        <v>45983</v>
      </c>
      <c r="C373" s="1" t="n">
        <v>46196</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26740-2025</t>
        </is>
      </c>
      <c r="B374" s="1" t="n">
        <v>45809</v>
      </c>
      <c r="C374" s="1" t="n">
        <v>46196</v>
      </c>
      <c r="D374" t="inlineStr">
        <is>
          <t>UPPSALA LÄN</t>
        </is>
      </c>
      <c r="E374" t="inlineStr">
        <is>
          <t>UPPSALA</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49996-2023</t>
        </is>
      </c>
      <c r="B375" s="1" t="n">
        <v>45215</v>
      </c>
      <c r="C375" s="1" t="n">
        <v>46196</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26713-2025</t>
        </is>
      </c>
      <c r="B376" s="1" t="n">
        <v>45809</v>
      </c>
      <c r="C376" s="1" t="n">
        <v>46196</v>
      </c>
      <c r="D376" t="inlineStr">
        <is>
          <t>UPPSALA LÄN</t>
        </is>
      </c>
      <c r="E376" t="inlineStr">
        <is>
          <t>UPPSALA</t>
        </is>
      </c>
      <c r="G376" t="n">
        <v>3.8</v>
      </c>
      <c r="H376" t="n">
        <v>0</v>
      </c>
      <c r="I376" t="n">
        <v>0</v>
      </c>
      <c r="J376" t="n">
        <v>0</v>
      </c>
      <c r="K376" t="n">
        <v>0</v>
      </c>
      <c r="L376" t="n">
        <v>0</v>
      </c>
      <c r="M376" t="n">
        <v>0</v>
      </c>
      <c r="N376" t="n">
        <v>0</v>
      </c>
      <c r="O376" t="n">
        <v>0</v>
      </c>
      <c r="P376" t="n">
        <v>0</v>
      </c>
      <c r="Q376" t="n">
        <v>0</v>
      </c>
      <c r="R376" s="2" t="inlineStr"/>
    </row>
    <row r="377" ht="15" customHeight="1">
      <c r="A377" t="inlineStr">
        <is>
          <t>A 40325-2023</t>
        </is>
      </c>
      <c r="B377" s="1" t="n">
        <v>45169</v>
      </c>
      <c r="C377" s="1" t="n">
        <v>46196</v>
      </c>
      <c r="D377" t="inlineStr">
        <is>
          <t>UPPSALA LÄN</t>
        </is>
      </c>
      <c r="E377" t="inlineStr">
        <is>
          <t>UPPSALA</t>
        </is>
      </c>
      <c r="F377" t="inlineStr">
        <is>
          <t>Kommuner</t>
        </is>
      </c>
      <c r="G377" t="n">
        <v>1.3</v>
      </c>
      <c r="H377" t="n">
        <v>0</v>
      </c>
      <c r="I377" t="n">
        <v>0</v>
      </c>
      <c r="J377" t="n">
        <v>0</v>
      </c>
      <c r="K377" t="n">
        <v>0</v>
      </c>
      <c r="L377" t="n">
        <v>0</v>
      </c>
      <c r="M377" t="n">
        <v>0</v>
      </c>
      <c r="N377" t="n">
        <v>0</v>
      </c>
      <c r="O377" t="n">
        <v>0</v>
      </c>
      <c r="P377" t="n">
        <v>0</v>
      </c>
      <c r="Q377" t="n">
        <v>0</v>
      </c>
      <c r="R377" s="2" t="inlineStr"/>
    </row>
    <row r="378" ht="15" customHeight="1">
      <c r="A378" t="inlineStr">
        <is>
          <t>A 23494-2024</t>
        </is>
      </c>
      <c r="B378" s="1" t="n">
        <v>45453</v>
      </c>
      <c r="C378" s="1" t="n">
        <v>46196</v>
      </c>
      <c r="D378" t="inlineStr">
        <is>
          <t>UPPSALA LÄN</t>
        </is>
      </c>
      <c r="E378" t="inlineStr">
        <is>
          <t>UPPSALA</t>
        </is>
      </c>
      <c r="F378" t="inlineStr">
        <is>
          <t>Kyrkan</t>
        </is>
      </c>
      <c r="G378" t="n">
        <v>0.8</v>
      </c>
      <c r="H378" t="n">
        <v>0</v>
      </c>
      <c r="I378" t="n">
        <v>0</v>
      </c>
      <c r="J378" t="n">
        <v>0</v>
      </c>
      <c r="K378" t="n">
        <v>0</v>
      </c>
      <c r="L378" t="n">
        <v>0</v>
      </c>
      <c r="M378" t="n">
        <v>0</v>
      </c>
      <c r="N378" t="n">
        <v>0</v>
      </c>
      <c r="O378" t="n">
        <v>0</v>
      </c>
      <c r="P378" t="n">
        <v>0</v>
      </c>
      <c r="Q378" t="n">
        <v>0</v>
      </c>
      <c r="R378" s="2" t="inlineStr"/>
    </row>
    <row r="379" ht="15" customHeight="1">
      <c r="A379" t="inlineStr">
        <is>
          <t>A 50395-2023</t>
        </is>
      </c>
      <c r="B379" s="1" t="n">
        <v>45216</v>
      </c>
      <c r="C379" s="1" t="n">
        <v>46196</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32127-2024</t>
        </is>
      </c>
      <c r="B380" s="1" t="n">
        <v>45511</v>
      </c>
      <c r="C380" s="1" t="n">
        <v>46196</v>
      </c>
      <c r="D380" t="inlineStr">
        <is>
          <t>UPPSALA LÄN</t>
        </is>
      </c>
      <c r="E380" t="inlineStr">
        <is>
          <t>UPPSALA</t>
        </is>
      </c>
      <c r="G380" t="n">
        <v>3.7</v>
      </c>
      <c r="H380" t="n">
        <v>0</v>
      </c>
      <c r="I380" t="n">
        <v>0</v>
      </c>
      <c r="J380" t="n">
        <v>0</v>
      </c>
      <c r="K380" t="n">
        <v>0</v>
      </c>
      <c r="L380" t="n">
        <v>0</v>
      </c>
      <c r="M380" t="n">
        <v>0</v>
      </c>
      <c r="N380" t="n">
        <v>0</v>
      </c>
      <c r="O380" t="n">
        <v>0</v>
      </c>
      <c r="P380" t="n">
        <v>0</v>
      </c>
      <c r="Q380" t="n">
        <v>0</v>
      </c>
      <c r="R380" s="2" t="inlineStr"/>
    </row>
    <row r="381" ht="15" customHeight="1">
      <c r="A381" t="inlineStr">
        <is>
          <t>A 44470-2025</t>
        </is>
      </c>
      <c r="B381" s="1" t="n">
        <v>45916</v>
      </c>
      <c r="C381" s="1" t="n">
        <v>46196</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4412-2024</t>
        </is>
      </c>
      <c r="B382" s="1" t="n">
        <v>45327</v>
      </c>
      <c r="C382" s="1" t="n">
        <v>46196</v>
      </c>
      <c r="D382" t="inlineStr">
        <is>
          <t>UPPSALA LÄN</t>
        </is>
      </c>
      <c r="E382" t="inlineStr">
        <is>
          <t>UPPSALA</t>
        </is>
      </c>
      <c r="G382" t="n">
        <v>5.4</v>
      </c>
      <c r="H382" t="n">
        <v>0</v>
      </c>
      <c r="I382" t="n">
        <v>0</v>
      </c>
      <c r="J382" t="n">
        <v>0</v>
      </c>
      <c r="K382" t="n">
        <v>0</v>
      </c>
      <c r="L382" t="n">
        <v>0</v>
      </c>
      <c r="M382" t="n">
        <v>0</v>
      </c>
      <c r="N382" t="n">
        <v>0</v>
      </c>
      <c r="O382" t="n">
        <v>0</v>
      </c>
      <c r="P382" t="n">
        <v>0</v>
      </c>
      <c r="Q382" t="n">
        <v>0</v>
      </c>
      <c r="R382" s="2" t="inlineStr"/>
    </row>
    <row r="383" ht="15" customHeight="1">
      <c r="A383" t="inlineStr">
        <is>
          <t>A 59207-2025</t>
        </is>
      </c>
      <c r="B383" s="1" t="n">
        <v>45988</v>
      </c>
      <c r="C383" s="1" t="n">
        <v>46196</v>
      </c>
      <c r="D383" t="inlineStr">
        <is>
          <t>UPPSALA LÄN</t>
        </is>
      </c>
      <c r="E383" t="inlineStr">
        <is>
          <t>UPPSALA</t>
        </is>
      </c>
      <c r="F383" t="inlineStr">
        <is>
          <t>Kyrkan</t>
        </is>
      </c>
      <c r="G383" t="n">
        <v>1.5</v>
      </c>
      <c r="H383" t="n">
        <v>0</v>
      </c>
      <c r="I383" t="n">
        <v>0</v>
      </c>
      <c r="J383" t="n">
        <v>0</v>
      </c>
      <c r="K383" t="n">
        <v>0</v>
      </c>
      <c r="L383" t="n">
        <v>0</v>
      </c>
      <c r="M383" t="n">
        <v>0</v>
      </c>
      <c r="N383" t="n">
        <v>0</v>
      </c>
      <c r="O383" t="n">
        <v>0</v>
      </c>
      <c r="P383" t="n">
        <v>0</v>
      </c>
      <c r="Q383" t="n">
        <v>0</v>
      </c>
      <c r="R383" s="2" t="inlineStr"/>
    </row>
    <row r="384" ht="15" customHeight="1">
      <c r="A384" t="inlineStr">
        <is>
          <t>A 9313-2023</t>
        </is>
      </c>
      <c r="B384" s="1" t="n">
        <v>44980</v>
      </c>
      <c r="C384" s="1" t="n">
        <v>46196</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39818-2024</t>
        </is>
      </c>
      <c r="B385" s="1" t="n">
        <v>45552</v>
      </c>
      <c r="C385" s="1" t="n">
        <v>46196</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44813-2025</t>
        </is>
      </c>
      <c r="B386" s="1" t="n">
        <v>45918</v>
      </c>
      <c r="C386" s="1" t="n">
        <v>46196</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18607-2024</t>
        </is>
      </c>
      <c r="B387" s="1" t="n">
        <v>45425</v>
      </c>
      <c r="C387" s="1" t="n">
        <v>46196</v>
      </c>
      <c r="D387" t="inlineStr">
        <is>
          <t>UPPSALA LÄN</t>
        </is>
      </c>
      <c r="E387" t="inlineStr">
        <is>
          <t>UPPSALA</t>
        </is>
      </c>
      <c r="G387" t="n">
        <v>4.3</v>
      </c>
      <c r="H387" t="n">
        <v>0</v>
      </c>
      <c r="I387" t="n">
        <v>0</v>
      </c>
      <c r="J387" t="n">
        <v>0</v>
      </c>
      <c r="K387" t="n">
        <v>0</v>
      </c>
      <c r="L387" t="n">
        <v>0</v>
      </c>
      <c r="M387" t="n">
        <v>0</v>
      </c>
      <c r="N387" t="n">
        <v>0</v>
      </c>
      <c r="O387" t="n">
        <v>0</v>
      </c>
      <c r="P387" t="n">
        <v>0</v>
      </c>
      <c r="Q387" t="n">
        <v>0</v>
      </c>
      <c r="R387" s="2" t="inlineStr"/>
    </row>
    <row r="388" ht="15" customHeight="1">
      <c r="A388" t="inlineStr">
        <is>
          <t>A 45519-2025</t>
        </is>
      </c>
      <c r="B388" s="1" t="n">
        <v>45922</v>
      </c>
      <c r="C388" s="1" t="n">
        <v>46196</v>
      </c>
      <c r="D388" t="inlineStr">
        <is>
          <t>UPPSALA LÄN</t>
        </is>
      </c>
      <c r="E388" t="inlineStr">
        <is>
          <t>UPPSALA</t>
        </is>
      </c>
      <c r="G388" t="n">
        <v>0.3</v>
      </c>
      <c r="H388" t="n">
        <v>0</v>
      </c>
      <c r="I388" t="n">
        <v>0</v>
      </c>
      <c r="J388" t="n">
        <v>0</v>
      </c>
      <c r="K388" t="n">
        <v>0</v>
      </c>
      <c r="L388" t="n">
        <v>0</v>
      </c>
      <c r="M388" t="n">
        <v>0</v>
      </c>
      <c r="N388" t="n">
        <v>0</v>
      </c>
      <c r="O388" t="n">
        <v>0</v>
      </c>
      <c r="P388" t="n">
        <v>0</v>
      </c>
      <c r="Q388" t="n">
        <v>0</v>
      </c>
      <c r="R388" s="2" t="inlineStr"/>
    </row>
    <row r="389" ht="15" customHeight="1">
      <c r="A389" t="inlineStr">
        <is>
          <t>A 56872-2023</t>
        </is>
      </c>
      <c r="B389" s="1" t="n">
        <v>45244</v>
      </c>
      <c r="C389" s="1" t="n">
        <v>46196</v>
      </c>
      <c r="D389" t="inlineStr">
        <is>
          <t>UPPSALA LÄN</t>
        </is>
      </c>
      <c r="E389" t="inlineStr">
        <is>
          <t>UPPSALA</t>
        </is>
      </c>
      <c r="F389" t="inlineStr">
        <is>
          <t>Holmen skog AB</t>
        </is>
      </c>
      <c r="G389" t="n">
        <v>3.5</v>
      </c>
      <c r="H389" t="n">
        <v>0</v>
      </c>
      <c r="I389" t="n">
        <v>0</v>
      </c>
      <c r="J389" t="n">
        <v>0</v>
      </c>
      <c r="K389" t="n">
        <v>0</v>
      </c>
      <c r="L389" t="n">
        <v>0</v>
      </c>
      <c r="M389" t="n">
        <v>0</v>
      </c>
      <c r="N389" t="n">
        <v>0</v>
      </c>
      <c r="O389" t="n">
        <v>0</v>
      </c>
      <c r="P389" t="n">
        <v>0</v>
      </c>
      <c r="Q389" t="n">
        <v>0</v>
      </c>
      <c r="R389" s="2" t="inlineStr"/>
    </row>
    <row r="390" ht="15" customHeight="1">
      <c r="A390" t="inlineStr">
        <is>
          <t>A 45904-2025</t>
        </is>
      </c>
      <c r="B390" s="1" t="n">
        <v>45923</v>
      </c>
      <c r="C390" s="1" t="n">
        <v>46196</v>
      </c>
      <c r="D390" t="inlineStr">
        <is>
          <t>UPPSALA LÄN</t>
        </is>
      </c>
      <c r="E390" t="inlineStr">
        <is>
          <t>UPPSALA</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59779-2025</t>
        </is>
      </c>
      <c r="B391" s="1" t="n">
        <v>45992</v>
      </c>
      <c r="C391" s="1" t="n">
        <v>46196</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5678-2023</t>
        </is>
      </c>
      <c r="B392" s="1" t="n">
        <v>44960</v>
      </c>
      <c r="C392" s="1" t="n">
        <v>46196</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45405-2025</t>
        </is>
      </c>
      <c r="B393" s="1" t="n">
        <v>45922</v>
      </c>
      <c r="C393" s="1" t="n">
        <v>46196</v>
      </c>
      <c r="D393" t="inlineStr">
        <is>
          <t>UPPSALA LÄN</t>
        </is>
      </c>
      <c r="E393" t="inlineStr">
        <is>
          <t>UPPSALA</t>
        </is>
      </c>
      <c r="G393" t="n">
        <v>1.6</v>
      </c>
      <c r="H393" t="n">
        <v>0</v>
      </c>
      <c r="I393" t="n">
        <v>0</v>
      </c>
      <c r="J393" t="n">
        <v>0</v>
      </c>
      <c r="K393" t="n">
        <v>0</v>
      </c>
      <c r="L393" t="n">
        <v>0</v>
      </c>
      <c r="M393" t="n">
        <v>0</v>
      </c>
      <c r="N393" t="n">
        <v>0</v>
      </c>
      <c r="O393" t="n">
        <v>0</v>
      </c>
      <c r="P393" t="n">
        <v>0</v>
      </c>
      <c r="Q393" t="n">
        <v>0</v>
      </c>
      <c r="R393" s="2" t="inlineStr"/>
    </row>
    <row r="394" ht="15" customHeight="1">
      <c r="A394" t="inlineStr">
        <is>
          <t>A 45903-2025</t>
        </is>
      </c>
      <c r="B394" s="1" t="n">
        <v>45923</v>
      </c>
      <c r="C394" s="1" t="n">
        <v>46196</v>
      </c>
      <c r="D394" t="inlineStr">
        <is>
          <t>UPPSALA LÄN</t>
        </is>
      </c>
      <c r="E394" t="inlineStr">
        <is>
          <t>UPPSALA</t>
        </is>
      </c>
      <c r="F394" t="inlineStr">
        <is>
          <t>Kyrkan</t>
        </is>
      </c>
      <c r="G394" t="n">
        <v>1.4</v>
      </c>
      <c r="H394" t="n">
        <v>0</v>
      </c>
      <c r="I394" t="n">
        <v>0</v>
      </c>
      <c r="J394" t="n">
        <v>0</v>
      </c>
      <c r="K394" t="n">
        <v>0</v>
      </c>
      <c r="L394" t="n">
        <v>0</v>
      </c>
      <c r="M394" t="n">
        <v>0</v>
      </c>
      <c r="N394" t="n">
        <v>0</v>
      </c>
      <c r="O394" t="n">
        <v>0</v>
      </c>
      <c r="P394" t="n">
        <v>0</v>
      </c>
      <c r="Q394" t="n">
        <v>0</v>
      </c>
      <c r="R394" s="2" t="inlineStr"/>
    </row>
    <row r="395" ht="15" customHeight="1">
      <c r="A395" t="inlineStr">
        <is>
          <t>A 341-2024</t>
        </is>
      </c>
      <c r="B395" s="1" t="n">
        <v>45295</v>
      </c>
      <c r="C395" s="1" t="n">
        <v>46196</v>
      </c>
      <c r="D395" t="inlineStr">
        <is>
          <t>UPPSALA LÄN</t>
        </is>
      </c>
      <c r="E395" t="inlineStr">
        <is>
          <t>UPPSALA</t>
        </is>
      </c>
      <c r="F395" t="inlineStr">
        <is>
          <t>Allmännings- och besparingsskogar</t>
        </is>
      </c>
      <c r="G395" t="n">
        <v>1.8</v>
      </c>
      <c r="H395" t="n">
        <v>0</v>
      </c>
      <c r="I395" t="n">
        <v>0</v>
      </c>
      <c r="J395" t="n">
        <v>0</v>
      </c>
      <c r="K395" t="n">
        <v>0</v>
      </c>
      <c r="L395" t="n">
        <v>0</v>
      </c>
      <c r="M395" t="n">
        <v>0</v>
      </c>
      <c r="N395" t="n">
        <v>0</v>
      </c>
      <c r="O395" t="n">
        <v>0</v>
      </c>
      <c r="P395" t="n">
        <v>0</v>
      </c>
      <c r="Q395" t="n">
        <v>0</v>
      </c>
      <c r="R395" s="2" t="inlineStr"/>
    </row>
    <row r="396" ht="15" customHeight="1">
      <c r="A396" t="inlineStr">
        <is>
          <t>A 59688-2025</t>
        </is>
      </c>
      <c r="B396" s="1" t="n">
        <v>45992</v>
      </c>
      <c r="C396" s="1" t="n">
        <v>46196</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10827-2024</t>
        </is>
      </c>
      <c r="B397" s="1" t="n">
        <v>45369</v>
      </c>
      <c r="C397" s="1" t="n">
        <v>46196</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12830-2025</t>
        </is>
      </c>
      <c r="B398" s="1" t="n">
        <v>45733</v>
      </c>
      <c r="C398" s="1" t="n">
        <v>46196</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9914-2024</t>
        </is>
      </c>
      <c r="B399" s="1" t="n">
        <v>45363</v>
      </c>
      <c r="C399" s="1" t="n">
        <v>46196</v>
      </c>
      <c r="D399" t="inlineStr">
        <is>
          <t>UPPSALA LÄN</t>
        </is>
      </c>
      <c r="E399" t="inlineStr">
        <is>
          <t>UPPSALA</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27265-2025</t>
        </is>
      </c>
      <c r="B400" s="1" t="n">
        <v>45812</v>
      </c>
      <c r="C400" s="1" t="n">
        <v>46196</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60512-2025</t>
        </is>
      </c>
      <c r="B401" s="1" t="n">
        <v>45995</v>
      </c>
      <c r="C401" s="1" t="n">
        <v>46196</v>
      </c>
      <c r="D401" t="inlineStr">
        <is>
          <t>UPPSALA LÄN</t>
        </is>
      </c>
      <c r="E401" t="inlineStr">
        <is>
          <t>UPPSALA</t>
        </is>
      </c>
      <c r="G401" t="n">
        <v>2.6</v>
      </c>
      <c r="H401" t="n">
        <v>0</v>
      </c>
      <c r="I401" t="n">
        <v>0</v>
      </c>
      <c r="J401" t="n">
        <v>0</v>
      </c>
      <c r="K401" t="n">
        <v>0</v>
      </c>
      <c r="L401" t="n">
        <v>0</v>
      </c>
      <c r="M401" t="n">
        <v>0</v>
      </c>
      <c r="N401" t="n">
        <v>0</v>
      </c>
      <c r="O401" t="n">
        <v>0</v>
      </c>
      <c r="P401" t="n">
        <v>0</v>
      </c>
      <c r="Q401" t="n">
        <v>0</v>
      </c>
      <c r="R401" s="2" t="inlineStr"/>
    </row>
    <row r="402" ht="15" customHeight="1">
      <c r="A402" t="inlineStr">
        <is>
          <t>A 46772-2025</t>
        </is>
      </c>
      <c r="B402" s="1" t="n">
        <v>45926</v>
      </c>
      <c r="C402" s="1" t="n">
        <v>46196</v>
      </c>
      <c r="D402" t="inlineStr">
        <is>
          <t>UPPSALA LÄN</t>
        </is>
      </c>
      <c r="E402" t="inlineStr">
        <is>
          <t>UPPSALA</t>
        </is>
      </c>
      <c r="F402" t="inlineStr">
        <is>
          <t>Kyrkan</t>
        </is>
      </c>
      <c r="G402" t="n">
        <v>0.9</v>
      </c>
      <c r="H402" t="n">
        <v>0</v>
      </c>
      <c r="I402" t="n">
        <v>0</v>
      </c>
      <c r="J402" t="n">
        <v>0</v>
      </c>
      <c r="K402" t="n">
        <v>0</v>
      </c>
      <c r="L402" t="n">
        <v>0</v>
      </c>
      <c r="M402" t="n">
        <v>0</v>
      </c>
      <c r="N402" t="n">
        <v>0</v>
      </c>
      <c r="O402" t="n">
        <v>0</v>
      </c>
      <c r="P402" t="n">
        <v>0</v>
      </c>
      <c r="Q402" t="n">
        <v>0</v>
      </c>
      <c r="R402" s="2" t="inlineStr"/>
    </row>
    <row r="403" ht="15" customHeight="1">
      <c r="A403" t="inlineStr">
        <is>
          <t>A 60356-2025</t>
        </is>
      </c>
      <c r="B403" s="1" t="n">
        <v>45995</v>
      </c>
      <c r="C403" s="1" t="n">
        <v>46196</v>
      </c>
      <c r="D403" t="inlineStr">
        <is>
          <t>UPPSALA LÄN</t>
        </is>
      </c>
      <c r="E403" t="inlineStr">
        <is>
          <t>UPPSALA</t>
        </is>
      </c>
      <c r="G403" t="n">
        <v>1</v>
      </c>
      <c r="H403" t="n">
        <v>0</v>
      </c>
      <c r="I403" t="n">
        <v>0</v>
      </c>
      <c r="J403" t="n">
        <v>0</v>
      </c>
      <c r="K403" t="n">
        <v>0</v>
      </c>
      <c r="L403" t="n">
        <v>0</v>
      </c>
      <c r="M403" t="n">
        <v>0</v>
      </c>
      <c r="N403" t="n">
        <v>0</v>
      </c>
      <c r="O403" t="n">
        <v>0</v>
      </c>
      <c r="P403" t="n">
        <v>0</v>
      </c>
      <c r="Q403" t="n">
        <v>0</v>
      </c>
      <c r="R403" s="2" t="inlineStr"/>
    </row>
    <row r="404" ht="15" customHeight="1">
      <c r="A404" t="inlineStr">
        <is>
          <t>A 53384-2024</t>
        </is>
      </c>
      <c r="B404" s="1" t="n">
        <v>45614</v>
      </c>
      <c r="C404" s="1" t="n">
        <v>46196</v>
      </c>
      <c r="D404" t="inlineStr">
        <is>
          <t>UPPSALA LÄN</t>
        </is>
      </c>
      <c r="E404" t="inlineStr">
        <is>
          <t>UPPSALA</t>
        </is>
      </c>
      <c r="G404" t="n">
        <v>3.7</v>
      </c>
      <c r="H404" t="n">
        <v>0</v>
      </c>
      <c r="I404" t="n">
        <v>0</v>
      </c>
      <c r="J404" t="n">
        <v>0</v>
      </c>
      <c r="K404" t="n">
        <v>0</v>
      </c>
      <c r="L404" t="n">
        <v>0</v>
      </c>
      <c r="M404" t="n">
        <v>0</v>
      </c>
      <c r="N404" t="n">
        <v>0</v>
      </c>
      <c r="O404" t="n">
        <v>0</v>
      </c>
      <c r="P404" t="n">
        <v>0</v>
      </c>
      <c r="Q404" t="n">
        <v>0</v>
      </c>
      <c r="R404" s="2" t="inlineStr"/>
    </row>
    <row r="405" ht="15" customHeight="1">
      <c r="A405" t="inlineStr">
        <is>
          <t>A 46571-2025</t>
        </is>
      </c>
      <c r="B405" s="1" t="n">
        <v>45926</v>
      </c>
      <c r="C405" s="1" t="n">
        <v>46196</v>
      </c>
      <c r="D405" t="inlineStr">
        <is>
          <t>UPPSALA LÄN</t>
        </is>
      </c>
      <c r="E405" t="inlineStr">
        <is>
          <t>UPPSALA</t>
        </is>
      </c>
      <c r="F405" t="inlineStr">
        <is>
          <t>Bergvik skog öst AB</t>
        </is>
      </c>
      <c r="G405" t="n">
        <v>11.1</v>
      </c>
      <c r="H405" t="n">
        <v>0</v>
      </c>
      <c r="I405" t="n">
        <v>0</v>
      </c>
      <c r="J405" t="n">
        <v>0</v>
      </c>
      <c r="K405" t="n">
        <v>0</v>
      </c>
      <c r="L405" t="n">
        <v>0</v>
      </c>
      <c r="M405" t="n">
        <v>0</v>
      </c>
      <c r="N405" t="n">
        <v>0</v>
      </c>
      <c r="O405" t="n">
        <v>0</v>
      </c>
      <c r="P405" t="n">
        <v>0</v>
      </c>
      <c r="Q405" t="n">
        <v>0</v>
      </c>
      <c r="R405" s="2" t="inlineStr"/>
    </row>
    <row r="406" ht="15" customHeight="1">
      <c r="A406" t="inlineStr">
        <is>
          <t>A 46773-2025</t>
        </is>
      </c>
      <c r="B406" s="1" t="n">
        <v>45926</v>
      </c>
      <c r="C406" s="1" t="n">
        <v>46196</v>
      </c>
      <c r="D406" t="inlineStr">
        <is>
          <t>UPPSALA LÄN</t>
        </is>
      </c>
      <c r="E406" t="inlineStr">
        <is>
          <t>UPPSALA</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47131-2025</t>
        </is>
      </c>
      <c r="B407" s="1" t="n">
        <v>45929</v>
      </c>
      <c r="C407" s="1" t="n">
        <v>46196</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47132-2025</t>
        </is>
      </c>
      <c r="B408" s="1" t="n">
        <v>45929</v>
      </c>
      <c r="C408" s="1" t="n">
        <v>46196</v>
      </c>
      <c r="D408" t="inlineStr">
        <is>
          <t>UPPSALA LÄN</t>
        </is>
      </c>
      <c r="E408" t="inlineStr">
        <is>
          <t>UPPSALA</t>
        </is>
      </c>
      <c r="F408" t="inlineStr">
        <is>
          <t>Kyrkan</t>
        </is>
      </c>
      <c r="G408" t="n">
        <v>1.9</v>
      </c>
      <c r="H408" t="n">
        <v>0</v>
      </c>
      <c r="I408" t="n">
        <v>0</v>
      </c>
      <c r="J408" t="n">
        <v>0</v>
      </c>
      <c r="K408" t="n">
        <v>0</v>
      </c>
      <c r="L408" t="n">
        <v>0</v>
      </c>
      <c r="M408" t="n">
        <v>0</v>
      </c>
      <c r="N408" t="n">
        <v>0</v>
      </c>
      <c r="O408" t="n">
        <v>0</v>
      </c>
      <c r="P408" t="n">
        <v>0</v>
      </c>
      <c r="Q408" t="n">
        <v>0</v>
      </c>
      <c r="R408" s="2" t="inlineStr"/>
    </row>
    <row r="409" ht="15" customHeight="1">
      <c r="A409" t="inlineStr">
        <is>
          <t>A 46775-2025</t>
        </is>
      </c>
      <c r="B409" s="1" t="n">
        <v>45926</v>
      </c>
      <c r="C409" s="1" t="n">
        <v>46196</v>
      </c>
      <c r="D409" t="inlineStr">
        <is>
          <t>UPPSALA LÄN</t>
        </is>
      </c>
      <c r="E409" t="inlineStr">
        <is>
          <t>UPPSALA</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58965-2025</t>
        </is>
      </c>
      <c r="B410" s="1" t="n">
        <v>45987</v>
      </c>
      <c r="C410" s="1" t="n">
        <v>46196</v>
      </c>
      <c r="D410" t="inlineStr">
        <is>
          <t>UPPSALA LÄN</t>
        </is>
      </c>
      <c r="E410" t="inlineStr">
        <is>
          <t>UPPSALA</t>
        </is>
      </c>
      <c r="G410" t="n">
        <v>7.7</v>
      </c>
      <c r="H410" t="n">
        <v>0</v>
      </c>
      <c r="I410" t="n">
        <v>0</v>
      </c>
      <c r="J410" t="n">
        <v>0</v>
      </c>
      <c r="K410" t="n">
        <v>0</v>
      </c>
      <c r="L410" t="n">
        <v>0</v>
      </c>
      <c r="M410" t="n">
        <v>0</v>
      </c>
      <c r="N410" t="n">
        <v>0</v>
      </c>
      <c r="O410" t="n">
        <v>0</v>
      </c>
      <c r="P410" t="n">
        <v>0</v>
      </c>
      <c r="Q410" t="n">
        <v>0</v>
      </c>
      <c r="R410" s="2" t="inlineStr"/>
    </row>
    <row r="411" ht="15" customHeight="1">
      <c r="A411" t="inlineStr">
        <is>
          <t>A 46564-2025</t>
        </is>
      </c>
      <c r="B411" s="1" t="n">
        <v>45926</v>
      </c>
      <c r="C411" s="1" t="n">
        <v>46196</v>
      </c>
      <c r="D411" t="inlineStr">
        <is>
          <t>UPPSALA LÄN</t>
        </is>
      </c>
      <c r="E411" t="inlineStr">
        <is>
          <t>UPPSALA</t>
        </is>
      </c>
      <c r="F411" t="inlineStr">
        <is>
          <t>Bergvik skog öst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46565-2025</t>
        </is>
      </c>
      <c r="B412" s="1" t="n">
        <v>45926</v>
      </c>
      <c r="C412" s="1" t="n">
        <v>46196</v>
      </c>
      <c r="D412" t="inlineStr">
        <is>
          <t>UPPSALA LÄN</t>
        </is>
      </c>
      <c r="E412" t="inlineStr">
        <is>
          <t>UPPSALA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47558-2025</t>
        </is>
      </c>
      <c r="B413" s="1" t="n">
        <v>45931</v>
      </c>
      <c r="C413" s="1" t="n">
        <v>46196</v>
      </c>
      <c r="D413" t="inlineStr">
        <is>
          <t>UPPSALA LÄN</t>
        </is>
      </c>
      <c r="E413" t="inlineStr">
        <is>
          <t>UPPSALA</t>
        </is>
      </c>
      <c r="F413" t="inlineStr">
        <is>
          <t>Kyrkan</t>
        </is>
      </c>
      <c r="G413" t="n">
        <v>1.9</v>
      </c>
      <c r="H413" t="n">
        <v>0</v>
      </c>
      <c r="I413" t="n">
        <v>0</v>
      </c>
      <c r="J413" t="n">
        <v>0</v>
      </c>
      <c r="K413" t="n">
        <v>0</v>
      </c>
      <c r="L413" t="n">
        <v>0</v>
      </c>
      <c r="M413" t="n">
        <v>0</v>
      </c>
      <c r="N413" t="n">
        <v>0</v>
      </c>
      <c r="O413" t="n">
        <v>0</v>
      </c>
      <c r="P413" t="n">
        <v>0</v>
      </c>
      <c r="Q413" t="n">
        <v>0</v>
      </c>
      <c r="R413" s="2" t="inlineStr"/>
    </row>
    <row r="414" ht="15" customHeight="1">
      <c r="A414" t="inlineStr">
        <is>
          <t>A 47316-2025</t>
        </is>
      </c>
      <c r="B414" s="1" t="n">
        <v>45930</v>
      </c>
      <c r="C414" s="1" t="n">
        <v>46196</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10489-2025</t>
        </is>
      </c>
      <c r="B415" s="1" t="n">
        <v>45721</v>
      </c>
      <c r="C415" s="1" t="n">
        <v>46196</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47557-2025</t>
        </is>
      </c>
      <c r="B416" s="1" t="n">
        <v>45931</v>
      </c>
      <c r="C416" s="1" t="n">
        <v>46196</v>
      </c>
      <c r="D416" t="inlineStr">
        <is>
          <t>UPPSALA LÄN</t>
        </is>
      </c>
      <c r="E416" t="inlineStr">
        <is>
          <t>UPPSALA</t>
        </is>
      </c>
      <c r="F416" t="inlineStr">
        <is>
          <t>Kyrkan</t>
        </is>
      </c>
      <c r="G416" t="n">
        <v>1.9</v>
      </c>
      <c r="H416" t="n">
        <v>0</v>
      </c>
      <c r="I416" t="n">
        <v>0</v>
      </c>
      <c r="J416" t="n">
        <v>0</v>
      </c>
      <c r="K416" t="n">
        <v>0</v>
      </c>
      <c r="L416" t="n">
        <v>0</v>
      </c>
      <c r="M416" t="n">
        <v>0</v>
      </c>
      <c r="N416" t="n">
        <v>0</v>
      </c>
      <c r="O416" t="n">
        <v>0</v>
      </c>
      <c r="P416" t="n">
        <v>0</v>
      </c>
      <c r="Q416" t="n">
        <v>0</v>
      </c>
      <c r="R416" s="2" t="inlineStr"/>
    </row>
    <row r="417" ht="15" customHeight="1">
      <c r="A417" t="inlineStr">
        <is>
          <t>A 37588-2022</t>
        </is>
      </c>
      <c r="B417" s="1" t="n">
        <v>44809</v>
      </c>
      <c r="C417" s="1" t="n">
        <v>46196</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28121-2025</t>
        </is>
      </c>
      <c r="B418" s="1" t="n">
        <v>45817</v>
      </c>
      <c r="C418" s="1" t="n">
        <v>46196</v>
      </c>
      <c r="D418" t="inlineStr">
        <is>
          <t>UPPSALA LÄN</t>
        </is>
      </c>
      <c r="E418" t="inlineStr">
        <is>
          <t>UPPSALA</t>
        </is>
      </c>
      <c r="G418" t="n">
        <v>5.6</v>
      </c>
      <c r="H418" t="n">
        <v>0</v>
      </c>
      <c r="I418" t="n">
        <v>0</v>
      </c>
      <c r="J418" t="n">
        <v>0</v>
      </c>
      <c r="K418" t="n">
        <v>0</v>
      </c>
      <c r="L418" t="n">
        <v>0</v>
      </c>
      <c r="M418" t="n">
        <v>0</v>
      </c>
      <c r="N418" t="n">
        <v>0</v>
      </c>
      <c r="O418" t="n">
        <v>0</v>
      </c>
      <c r="P418" t="n">
        <v>0</v>
      </c>
      <c r="Q418" t="n">
        <v>0</v>
      </c>
      <c r="R418" s="2" t="inlineStr"/>
    </row>
    <row r="419" ht="15" customHeight="1">
      <c r="A419" t="inlineStr">
        <is>
          <t>A 43795-2023</t>
        </is>
      </c>
      <c r="B419" s="1" t="n">
        <v>45182</v>
      </c>
      <c r="C419" s="1" t="n">
        <v>46196</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47840-2025</t>
        </is>
      </c>
      <c r="B420" s="1" t="n">
        <v>45932</v>
      </c>
      <c r="C420" s="1" t="n">
        <v>46196</v>
      </c>
      <c r="D420" t="inlineStr">
        <is>
          <t>UPPSALA LÄN</t>
        </is>
      </c>
      <c r="E420" t="inlineStr">
        <is>
          <t>UPPSALA</t>
        </is>
      </c>
      <c r="G420" t="n">
        <v>1.8</v>
      </c>
      <c r="H420" t="n">
        <v>0</v>
      </c>
      <c r="I420" t="n">
        <v>0</v>
      </c>
      <c r="J420" t="n">
        <v>0</v>
      </c>
      <c r="K420" t="n">
        <v>0</v>
      </c>
      <c r="L420" t="n">
        <v>0</v>
      </c>
      <c r="M420" t="n">
        <v>0</v>
      </c>
      <c r="N420" t="n">
        <v>0</v>
      </c>
      <c r="O420" t="n">
        <v>0</v>
      </c>
      <c r="P420" t="n">
        <v>0</v>
      </c>
      <c r="Q420" t="n">
        <v>0</v>
      </c>
      <c r="R420" s="2" t="inlineStr"/>
    </row>
    <row r="421" ht="15" customHeight="1">
      <c r="A421" t="inlineStr">
        <is>
          <t>A 47999-2025</t>
        </is>
      </c>
      <c r="B421" s="1" t="n">
        <v>45932</v>
      </c>
      <c r="C421" s="1" t="n">
        <v>46196</v>
      </c>
      <c r="D421" t="inlineStr">
        <is>
          <t>UPPSALA LÄN</t>
        </is>
      </c>
      <c r="E421" t="inlineStr">
        <is>
          <t>UPPSALA</t>
        </is>
      </c>
      <c r="F421" t="inlineStr">
        <is>
          <t>Allmännings- och besparingsskogar</t>
        </is>
      </c>
      <c r="G421" t="n">
        <v>1</v>
      </c>
      <c r="H421" t="n">
        <v>0</v>
      </c>
      <c r="I421" t="n">
        <v>0</v>
      </c>
      <c r="J421" t="n">
        <v>0</v>
      </c>
      <c r="K421" t="n">
        <v>0</v>
      </c>
      <c r="L421" t="n">
        <v>0</v>
      </c>
      <c r="M421" t="n">
        <v>0</v>
      </c>
      <c r="N421" t="n">
        <v>0</v>
      </c>
      <c r="O421" t="n">
        <v>0</v>
      </c>
      <c r="P421" t="n">
        <v>0</v>
      </c>
      <c r="Q421" t="n">
        <v>0</v>
      </c>
      <c r="R421" s="2" t="inlineStr"/>
    </row>
    <row r="422" ht="15" customHeight="1">
      <c r="A422" t="inlineStr">
        <is>
          <t>A 47978-2025</t>
        </is>
      </c>
      <c r="B422" s="1" t="n">
        <v>45932</v>
      </c>
      <c r="C422" s="1" t="n">
        <v>46196</v>
      </c>
      <c r="D422" t="inlineStr">
        <is>
          <t>UPPSALA LÄN</t>
        </is>
      </c>
      <c r="E422" t="inlineStr">
        <is>
          <t>UPPSALA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781-2024</t>
        </is>
      </c>
      <c r="B423" s="1" t="n">
        <v>45300</v>
      </c>
      <c r="C423" s="1" t="n">
        <v>46196</v>
      </c>
      <c r="D423" t="inlineStr">
        <is>
          <t>UPPSALA LÄN</t>
        </is>
      </c>
      <c r="E423" t="inlineStr">
        <is>
          <t>UPPSALA</t>
        </is>
      </c>
      <c r="G423" t="n">
        <v>6.3</v>
      </c>
      <c r="H423" t="n">
        <v>0</v>
      </c>
      <c r="I423" t="n">
        <v>0</v>
      </c>
      <c r="J423" t="n">
        <v>0</v>
      </c>
      <c r="K423" t="n">
        <v>0</v>
      </c>
      <c r="L423" t="n">
        <v>0</v>
      </c>
      <c r="M423" t="n">
        <v>0</v>
      </c>
      <c r="N423" t="n">
        <v>0</v>
      </c>
      <c r="O423" t="n">
        <v>0</v>
      </c>
      <c r="P423" t="n">
        <v>0</v>
      </c>
      <c r="Q423" t="n">
        <v>0</v>
      </c>
      <c r="R423" s="2" t="inlineStr"/>
    </row>
    <row r="424" ht="15" customHeight="1">
      <c r="A424" t="inlineStr">
        <is>
          <t>A 27922-2025</t>
        </is>
      </c>
      <c r="B424" s="1" t="n">
        <v>45817</v>
      </c>
      <c r="C424" s="1" t="n">
        <v>46196</v>
      </c>
      <c r="D424" t="inlineStr">
        <is>
          <t>UPPSALA LÄN</t>
        </is>
      </c>
      <c r="E424" t="inlineStr">
        <is>
          <t>UPPSALA</t>
        </is>
      </c>
      <c r="F424" t="inlineStr">
        <is>
          <t>Övriga Aktiebolag</t>
        </is>
      </c>
      <c r="G424" t="n">
        <v>0.1</v>
      </c>
      <c r="H424" t="n">
        <v>0</v>
      </c>
      <c r="I424" t="n">
        <v>0</v>
      </c>
      <c r="J424" t="n">
        <v>0</v>
      </c>
      <c r="K424" t="n">
        <v>0</v>
      </c>
      <c r="L424" t="n">
        <v>0</v>
      </c>
      <c r="M424" t="n">
        <v>0</v>
      </c>
      <c r="N424" t="n">
        <v>0</v>
      </c>
      <c r="O424" t="n">
        <v>0</v>
      </c>
      <c r="P424" t="n">
        <v>0</v>
      </c>
      <c r="Q424" t="n">
        <v>0</v>
      </c>
      <c r="R424" s="2" t="inlineStr"/>
    </row>
    <row r="425" ht="15" customHeight="1">
      <c r="A425" t="inlineStr">
        <is>
          <t>A 49160-2025</t>
        </is>
      </c>
      <c r="B425" s="1" t="n">
        <v>45938</v>
      </c>
      <c r="C425" s="1" t="n">
        <v>46196</v>
      </c>
      <c r="D425" t="inlineStr">
        <is>
          <t>UPPSALA LÄN</t>
        </is>
      </c>
      <c r="E425" t="inlineStr">
        <is>
          <t>UPPSALA</t>
        </is>
      </c>
      <c r="F425" t="inlineStr">
        <is>
          <t>Kyrkan</t>
        </is>
      </c>
      <c r="G425" t="n">
        <v>1.4</v>
      </c>
      <c r="H425" t="n">
        <v>0</v>
      </c>
      <c r="I425" t="n">
        <v>0</v>
      </c>
      <c r="J425" t="n">
        <v>0</v>
      </c>
      <c r="K425" t="n">
        <v>0</v>
      </c>
      <c r="L425" t="n">
        <v>0</v>
      </c>
      <c r="M425" t="n">
        <v>0</v>
      </c>
      <c r="N425" t="n">
        <v>0</v>
      </c>
      <c r="O425" t="n">
        <v>0</v>
      </c>
      <c r="P425" t="n">
        <v>0</v>
      </c>
      <c r="Q425" t="n">
        <v>0</v>
      </c>
      <c r="R425" s="2" t="inlineStr"/>
    </row>
    <row r="426" ht="15" customHeight="1">
      <c r="A426" t="inlineStr">
        <is>
          <t>A 57770-2025</t>
        </is>
      </c>
      <c r="B426" s="1" t="n">
        <v>45981</v>
      </c>
      <c r="C426" s="1" t="n">
        <v>46196</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9592-2022</t>
        </is>
      </c>
      <c r="B427" s="1" t="n">
        <v>44617</v>
      </c>
      <c r="C427" s="1" t="n">
        <v>46196</v>
      </c>
      <c r="D427" t="inlineStr">
        <is>
          <t>UPPSALA LÄN</t>
        </is>
      </c>
      <c r="E427" t="inlineStr">
        <is>
          <t>UPPSALA</t>
        </is>
      </c>
      <c r="G427" t="n">
        <v>7.5</v>
      </c>
      <c r="H427" t="n">
        <v>0</v>
      </c>
      <c r="I427" t="n">
        <v>0</v>
      </c>
      <c r="J427" t="n">
        <v>0</v>
      </c>
      <c r="K427" t="n">
        <v>0</v>
      </c>
      <c r="L427" t="n">
        <v>0</v>
      </c>
      <c r="M427" t="n">
        <v>0</v>
      </c>
      <c r="N427" t="n">
        <v>0</v>
      </c>
      <c r="O427" t="n">
        <v>0</v>
      </c>
      <c r="P427" t="n">
        <v>0</v>
      </c>
      <c r="Q427" t="n">
        <v>0</v>
      </c>
      <c r="R427" s="2" t="inlineStr"/>
    </row>
    <row r="428" ht="15" customHeight="1">
      <c r="A428" t="inlineStr">
        <is>
          <t>A 28876-2025</t>
        </is>
      </c>
      <c r="B428" s="1" t="n">
        <v>45820</v>
      </c>
      <c r="C428" s="1" t="n">
        <v>46196</v>
      </c>
      <c r="D428" t="inlineStr">
        <is>
          <t>UPPSALA LÄN</t>
        </is>
      </c>
      <c r="E428" t="inlineStr">
        <is>
          <t>UPPSALA</t>
        </is>
      </c>
      <c r="G428" t="n">
        <v>4</v>
      </c>
      <c r="H428" t="n">
        <v>0</v>
      </c>
      <c r="I428" t="n">
        <v>0</v>
      </c>
      <c r="J428" t="n">
        <v>0</v>
      </c>
      <c r="K428" t="n">
        <v>0</v>
      </c>
      <c r="L428" t="n">
        <v>0</v>
      </c>
      <c r="M428" t="n">
        <v>0</v>
      </c>
      <c r="N428" t="n">
        <v>0</v>
      </c>
      <c r="O428" t="n">
        <v>0</v>
      </c>
      <c r="P428" t="n">
        <v>0</v>
      </c>
      <c r="Q428" t="n">
        <v>0</v>
      </c>
      <c r="R428" s="2" t="inlineStr"/>
    </row>
    <row r="429" ht="15" customHeight="1">
      <c r="A429" t="inlineStr">
        <is>
          <t>A 29030-2025</t>
        </is>
      </c>
      <c r="B429" s="1" t="n">
        <v>45821</v>
      </c>
      <c r="C429" s="1" t="n">
        <v>46196</v>
      </c>
      <c r="D429" t="inlineStr">
        <is>
          <t>UPPSALA LÄN</t>
        </is>
      </c>
      <c r="E429" t="inlineStr">
        <is>
          <t>UPPSALA</t>
        </is>
      </c>
      <c r="G429" t="n">
        <v>3.9</v>
      </c>
      <c r="H429" t="n">
        <v>0</v>
      </c>
      <c r="I429" t="n">
        <v>0</v>
      </c>
      <c r="J429" t="n">
        <v>0</v>
      </c>
      <c r="K429" t="n">
        <v>0</v>
      </c>
      <c r="L429" t="n">
        <v>0</v>
      </c>
      <c r="M429" t="n">
        <v>0</v>
      </c>
      <c r="N429" t="n">
        <v>0</v>
      </c>
      <c r="O429" t="n">
        <v>0</v>
      </c>
      <c r="P429" t="n">
        <v>0</v>
      </c>
      <c r="Q429" t="n">
        <v>0</v>
      </c>
      <c r="R429" s="2" t="inlineStr"/>
    </row>
    <row r="430" ht="15" customHeight="1">
      <c r="A430" t="inlineStr">
        <is>
          <t>A 63059-2025</t>
        </is>
      </c>
      <c r="B430" s="1" t="n">
        <v>46009</v>
      </c>
      <c r="C430" s="1" t="n">
        <v>46196</v>
      </c>
      <c r="D430" t="inlineStr">
        <is>
          <t>UPPSALA LÄN</t>
        </is>
      </c>
      <c r="E430" t="inlineStr">
        <is>
          <t>UPPSALA</t>
        </is>
      </c>
      <c r="G430" t="n">
        <v>15.4</v>
      </c>
      <c r="H430" t="n">
        <v>0</v>
      </c>
      <c r="I430" t="n">
        <v>0</v>
      </c>
      <c r="J430" t="n">
        <v>0</v>
      </c>
      <c r="K430" t="n">
        <v>0</v>
      </c>
      <c r="L430" t="n">
        <v>0</v>
      </c>
      <c r="M430" t="n">
        <v>0</v>
      </c>
      <c r="N430" t="n">
        <v>0</v>
      </c>
      <c r="O430" t="n">
        <v>0</v>
      </c>
      <c r="P430" t="n">
        <v>0</v>
      </c>
      <c r="Q430" t="n">
        <v>0</v>
      </c>
      <c r="R430" s="2" t="inlineStr"/>
    </row>
    <row r="431" ht="15" customHeight="1">
      <c r="A431" t="inlineStr">
        <is>
          <t>A 29901-2023</t>
        </is>
      </c>
      <c r="B431" s="1" t="n">
        <v>45107</v>
      </c>
      <c r="C431" s="1" t="n">
        <v>46196</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29926-2023</t>
        </is>
      </c>
      <c r="B432" s="1" t="n">
        <v>45107</v>
      </c>
      <c r="C432" s="1" t="n">
        <v>46196</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49098-2025</t>
        </is>
      </c>
      <c r="B433" s="1" t="n">
        <v>45937</v>
      </c>
      <c r="C433" s="1" t="n">
        <v>46196</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63527-2025</t>
        </is>
      </c>
      <c r="B434" s="1" t="n">
        <v>46013</v>
      </c>
      <c r="C434" s="1" t="n">
        <v>46196</v>
      </c>
      <c r="D434" t="inlineStr">
        <is>
          <t>UPPSALA LÄN</t>
        </is>
      </c>
      <c r="E434" t="inlineStr">
        <is>
          <t>UPPSALA</t>
        </is>
      </c>
      <c r="G434" t="n">
        <v>6.3</v>
      </c>
      <c r="H434" t="n">
        <v>0</v>
      </c>
      <c r="I434" t="n">
        <v>0</v>
      </c>
      <c r="J434" t="n">
        <v>0</v>
      </c>
      <c r="K434" t="n">
        <v>0</v>
      </c>
      <c r="L434" t="n">
        <v>0</v>
      </c>
      <c r="M434" t="n">
        <v>0</v>
      </c>
      <c r="N434" t="n">
        <v>0</v>
      </c>
      <c r="O434" t="n">
        <v>0</v>
      </c>
      <c r="P434" t="n">
        <v>0</v>
      </c>
      <c r="Q434" t="n">
        <v>0</v>
      </c>
      <c r="R434" s="2" t="inlineStr"/>
    </row>
    <row r="435" ht="15" customHeight="1">
      <c r="A435" t="inlineStr">
        <is>
          <t>A 63530-2025</t>
        </is>
      </c>
      <c r="B435" s="1" t="n">
        <v>46013</v>
      </c>
      <c r="C435" s="1" t="n">
        <v>46196</v>
      </c>
      <c r="D435" t="inlineStr">
        <is>
          <t>UPPSALA LÄN</t>
        </is>
      </c>
      <c r="E435" t="inlineStr">
        <is>
          <t>UPPSALA</t>
        </is>
      </c>
      <c r="G435" t="n">
        <v>1.9</v>
      </c>
      <c r="H435" t="n">
        <v>0</v>
      </c>
      <c r="I435" t="n">
        <v>0</v>
      </c>
      <c r="J435" t="n">
        <v>0</v>
      </c>
      <c r="K435" t="n">
        <v>0</v>
      </c>
      <c r="L435" t="n">
        <v>0</v>
      </c>
      <c r="M435" t="n">
        <v>0</v>
      </c>
      <c r="N435" t="n">
        <v>0</v>
      </c>
      <c r="O435" t="n">
        <v>0</v>
      </c>
      <c r="P435" t="n">
        <v>0</v>
      </c>
      <c r="Q435" t="n">
        <v>0</v>
      </c>
      <c r="R435" s="2" t="inlineStr"/>
    </row>
    <row r="436" ht="15" customHeight="1">
      <c r="A436" t="inlineStr">
        <is>
          <t>A 63389-2025</t>
        </is>
      </c>
      <c r="B436" s="1" t="n">
        <v>46011</v>
      </c>
      <c r="C436" s="1" t="n">
        <v>46196</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63532-2025</t>
        </is>
      </c>
      <c r="B437" s="1" t="n">
        <v>46013</v>
      </c>
      <c r="C437" s="1" t="n">
        <v>46196</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49940-2025</t>
        </is>
      </c>
      <c r="B438" s="1" t="n">
        <v>45940</v>
      </c>
      <c r="C438" s="1" t="n">
        <v>46196</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50232-2025</t>
        </is>
      </c>
      <c r="B439" s="1" t="n">
        <v>45943</v>
      </c>
      <c r="C439" s="1" t="n">
        <v>46196</v>
      </c>
      <c r="D439" t="inlineStr">
        <is>
          <t>UPPSALA LÄN</t>
        </is>
      </c>
      <c r="E439" t="inlineStr">
        <is>
          <t>UPPSALA</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63669-2025</t>
        </is>
      </c>
      <c r="B440" s="1" t="n">
        <v>46014</v>
      </c>
      <c r="C440" s="1" t="n">
        <v>46196</v>
      </c>
      <c r="D440" t="inlineStr">
        <is>
          <t>UPPSALA LÄN</t>
        </is>
      </c>
      <c r="E440" t="inlineStr">
        <is>
          <t>UPPSALA</t>
        </is>
      </c>
      <c r="G440" t="n">
        <v>5.4</v>
      </c>
      <c r="H440" t="n">
        <v>0</v>
      </c>
      <c r="I440" t="n">
        <v>0</v>
      </c>
      <c r="J440" t="n">
        <v>0</v>
      </c>
      <c r="K440" t="n">
        <v>0</v>
      </c>
      <c r="L440" t="n">
        <v>0</v>
      </c>
      <c r="M440" t="n">
        <v>0</v>
      </c>
      <c r="N440" t="n">
        <v>0</v>
      </c>
      <c r="O440" t="n">
        <v>0</v>
      </c>
      <c r="P440" t="n">
        <v>0</v>
      </c>
      <c r="Q440" t="n">
        <v>0</v>
      </c>
      <c r="R440" s="2" t="inlineStr"/>
    </row>
    <row r="441" ht="15" customHeight="1">
      <c r="A441" t="inlineStr">
        <is>
          <t>A 49990-2025</t>
        </is>
      </c>
      <c r="B441" s="1" t="n">
        <v>45942</v>
      </c>
      <c r="C441" s="1" t="n">
        <v>46196</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41112-2025</t>
        </is>
      </c>
      <c r="B442" s="1" t="n">
        <v>45898</v>
      </c>
      <c r="C442" s="1" t="n">
        <v>46196</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29047-2025</t>
        </is>
      </c>
      <c r="B443" s="1" t="n">
        <v>45821</v>
      </c>
      <c r="C443" s="1" t="n">
        <v>46196</v>
      </c>
      <c r="D443" t="inlineStr">
        <is>
          <t>UPPSALA LÄN</t>
        </is>
      </c>
      <c r="E443" t="inlineStr">
        <is>
          <t>UPPSALA</t>
        </is>
      </c>
      <c r="G443" t="n">
        <v>1.3</v>
      </c>
      <c r="H443" t="n">
        <v>0</v>
      </c>
      <c r="I443" t="n">
        <v>0</v>
      </c>
      <c r="J443" t="n">
        <v>0</v>
      </c>
      <c r="K443" t="n">
        <v>0</v>
      </c>
      <c r="L443" t="n">
        <v>0</v>
      </c>
      <c r="M443" t="n">
        <v>0</v>
      </c>
      <c r="N443" t="n">
        <v>0</v>
      </c>
      <c r="O443" t="n">
        <v>0</v>
      </c>
      <c r="P443" t="n">
        <v>0</v>
      </c>
      <c r="Q443" t="n">
        <v>0</v>
      </c>
      <c r="R443" s="2" t="inlineStr"/>
    </row>
    <row r="444" ht="15" customHeight="1">
      <c r="A444" t="inlineStr">
        <is>
          <t>A 55275-2025</t>
        </is>
      </c>
      <c r="B444" s="1" t="n">
        <v>45968</v>
      </c>
      <c r="C444" s="1" t="n">
        <v>46196</v>
      </c>
      <c r="D444" t="inlineStr">
        <is>
          <t>UPPSALA LÄN</t>
        </is>
      </c>
      <c r="E444" t="inlineStr">
        <is>
          <t>UPPSALA</t>
        </is>
      </c>
      <c r="F444" t="inlineStr">
        <is>
          <t>Allmännings- och besparingsskogar</t>
        </is>
      </c>
      <c r="G444" t="n">
        <v>13.2</v>
      </c>
      <c r="H444" t="n">
        <v>0</v>
      </c>
      <c r="I444" t="n">
        <v>0</v>
      </c>
      <c r="J444" t="n">
        <v>0</v>
      </c>
      <c r="K444" t="n">
        <v>0</v>
      </c>
      <c r="L444" t="n">
        <v>0</v>
      </c>
      <c r="M444" t="n">
        <v>0</v>
      </c>
      <c r="N444" t="n">
        <v>0</v>
      </c>
      <c r="O444" t="n">
        <v>0</v>
      </c>
      <c r="P444" t="n">
        <v>0</v>
      </c>
      <c r="Q444" t="n">
        <v>0</v>
      </c>
      <c r="R444" s="2" t="inlineStr"/>
    </row>
    <row r="445" ht="15" customHeight="1">
      <c r="A445" t="inlineStr">
        <is>
          <t>A 30429-2025</t>
        </is>
      </c>
      <c r="B445" s="1" t="n">
        <v>45827</v>
      </c>
      <c r="C445" s="1" t="n">
        <v>46196</v>
      </c>
      <c r="D445" t="inlineStr">
        <is>
          <t>UPPSALA LÄN</t>
        </is>
      </c>
      <c r="E445" t="inlineStr">
        <is>
          <t>UPPSALA</t>
        </is>
      </c>
      <c r="G445" t="n">
        <v>0.6</v>
      </c>
      <c r="H445" t="n">
        <v>0</v>
      </c>
      <c r="I445" t="n">
        <v>0</v>
      </c>
      <c r="J445" t="n">
        <v>0</v>
      </c>
      <c r="K445" t="n">
        <v>0</v>
      </c>
      <c r="L445" t="n">
        <v>0</v>
      </c>
      <c r="M445" t="n">
        <v>0</v>
      </c>
      <c r="N445" t="n">
        <v>0</v>
      </c>
      <c r="O445" t="n">
        <v>0</v>
      </c>
      <c r="P445" t="n">
        <v>0</v>
      </c>
      <c r="Q445" t="n">
        <v>0</v>
      </c>
      <c r="R445" s="2" t="inlineStr"/>
    </row>
    <row r="446" ht="15" customHeight="1">
      <c r="A446" t="inlineStr">
        <is>
          <t>A 30567-2025</t>
        </is>
      </c>
      <c r="B446" s="1" t="n">
        <v>45831</v>
      </c>
      <c r="C446" s="1" t="n">
        <v>46196</v>
      </c>
      <c r="D446" t="inlineStr">
        <is>
          <t>UPPSALA LÄN</t>
        </is>
      </c>
      <c r="E446" t="inlineStr">
        <is>
          <t>UPPSALA</t>
        </is>
      </c>
      <c r="G446" t="n">
        <v>1.1</v>
      </c>
      <c r="H446" t="n">
        <v>0</v>
      </c>
      <c r="I446" t="n">
        <v>0</v>
      </c>
      <c r="J446" t="n">
        <v>0</v>
      </c>
      <c r="K446" t="n">
        <v>0</v>
      </c>
      <c r="L446" t="n">
        <v>0</v>
      </c>
      <c r="M446" t="n">
        <v>0</v>
      </c>
      <c r="N446" t="n">
        <v>0</v>
      </c>
      <c r="O446" t="n">
        <v>0</v>
      </c>
      <c r="P446" t="n">
        <v>0</v>
      </c>
      <c r="Q446" t="n">
        <v>0</v>
      </c>
      <c r="R446" s="2" t="inlineStr"/>
    </row>
    <row r="447" ht="15" customHeight="1">
      <c r="A447" t="inlineStr">
        <is>
          <t>A 30838-2025</t>
        </is>
      </c>
      <c r="B447" s="1" t="n">
        <v>45831</v>
      </c>
      <c r="C447" s="1" t="n">
        <v>46196</v>
      </c>
      <c r="D447" t="inlineStr">
        <is>
          <t>UPPSALA LÄN</t>
        </is>
      </c>
      <c r="E447" t="inlineStr">
        <is>
          <t>UPPSALA</t>
        </is>
      </c>
      <c r="F447" t="inlineStr">
        <is>
          <t>Kyrkan</t>
        </is>
      </c>
      <c r="G447" t="n">
        <v>2.2</v>
      </c>
      <c r="H447" t="n">
        <v>0</v>
      </c>
      <c r="I447" t="n">
        <v>0</v>
      </c>
      <c r="J447" t="n">
        <v>0</v>
      </c>
      <c r="K447" t="n">
        <v>0</v>
      </c>
      <c r="L447" t="n">
        <v>0</v>
      </c>
      <c r="M447" t="n">
        <v>0</v>
      </c>
      <c r="N447" t="n">
        <v>0</v>
      </c>
      <c r="O447" t="n">
        <v>0</v>
      </c>
      <c r="P447" t="n">
        <v>0</v>
      </c>
      <c r="Q447" t="n">
        <v>0</v>
      </c>
      <c r="R447" s="2" t="inlineStr"/>
    </row>
    <row r="448" ht="15" customHeight="1">
      <c r="A448" t="inlineStr">
        <is>
          <t>A 30839-2025</t>
        </is>
      </c>
      <c r="B448" s="1" t="n">
        <v>45831</v>
      </c>
      <c r="C448" s="1" t="n">
        <v>46196</v>
      </c>
      <c r="D448" t="inlineStr">
        <is>
          <t>UPPSALA LÄN</t>
        </is>
      </c>
      <c r="E448" t="inlineStr">
        <is>
          <t>UPPSALA</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30585-2025</t>
        </is>
      </c>
      <c r="B449" s="1" t="n">
        <v>45831</v>
      </c>
      <c r="C449" s="1" t="n">
        <v>46196</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482-2026</t>
        </is>
      </c>
      <c r="B450" s="1" t="n">
        <v>46029</v>
      </c>
      <c r="C450" s="1" t="n">
        <v>46196</v>
      </c>
      <c r="D450" t="inlineStr">
        <is>
          <t>UPPSALA LÄN</t>
        </is>
      </c>
      <c r="E450" t="inlineStr">
        <is>
          <t>UPPSALA</t>
        </is>
      </c>
      <c r="G450" t="n">
        <v>3.4</v>
      </c>
      <c r="H450" t="n">
        <v>0</v>
      </c>
      <c r="I450" t="n">
        <v>0</v>
      </c>
      <c r="J450" t="n">
        <v>0</v>
      </c>
      <c r="K450" t="n">
        <v>0</v>
      </c>
      <c r="L450" t="n">
        <v>0</v>
      </c>
      <c r="M450" t="n">
        <v>0</v>
      </c>
      <c r="N450" t="n">
        <v>0</v>
      </c>
      <c r="O450" t="n">
        <v>0</v>
      </c>
      <c r="P450" t="n">
        <v>0</v>
      </c>
      <c r="Q450" t="n">
        <v>0</v>
      </c>
      <c r="R450" s="2" t="inlineStr"/>
    </row>
    <row r="451" ht="15" customHeight="1">
      <c r="A451" t="inlineStr">
        <is>
          <t>A 3353-2023</t>
        </is>
      </c>
      <c r="B451" s="1" t="n">
        <v>44949</v>
      </c>
      <c r="C451" s="1" t="n">
        <v>46196</v>
      </c>
      <c r="D451" t="inlineStr">
        <is>
          <t>UPPSALA LÄN</t>
        </is>
      </c>
      <c r="E451" t="inlineStr">
        <is>
          <t>UPPSALA</t>
        </is>
      </c>
      <c r="G451" t="n">
        <v>3</v>
      </c>
      <c r="H451" t="n">
        <v>0</v>
      </c>
      <c r="I451" t="n">
        <v>0</v>
      </c>
      <c r="J451" t="n">
        <v>0</v>
      </c>
      <c r="K451" t="n">
        <v>0</v>
      </c>
      <c r="L451" t="n">
        <v>0</v>
      </c>
      <c r="M451" t="n">
        <v>0</v>
      </c>
      <c r="N451" t="n">
        <v>0</v>
      </c>
      <c r="O451" t="n">
        <v>0</v>
      </c>
      <c r="P451" t="n">
        <v>0</v>
      </c>
      <c r="Q451" t="n">
        <v>0</v>
      </c>
      <c r="R451" s="2" t="inlineStr"/>
    </row>
    <row r="452" ht="15" customHeight="1">
      <c r="A452" t="inlineStr">
        <is>
          <t>A 30897-2025</t>
        </is>
      </c>
      <c r="B452" s="1" t="n">
        <v>45832</v>
      </c>
      <c r="C452" s="1" t="n">
        <v>46196</v>
      </c>
      <c r="D452" t="inlineStr">
        <is>
          <t>UPPSALA LÄN</t>
        </is>
      </c>
      <c r="E452" t="inlineStr">
        <is>
          <t>UPPSALA</t>
        </is>
      </c>
      <c r="F452" t="inlineStr">
        <is>
          <t>Kyrkan</t>
        </is>
      </c>
      <c r="G452" t="n">
        <v>2.8</v>
      </c>
      <c r="H452" t="n">
        <v>0</v>
      </c>
      <c r="I452" t="n">
        <v>0</v>
      </c>
      <c r="J452" t="n">
        <v>0</v>
      </c>
      <c r="K452" t="n">
        <v>0</v>
      </c>
      <c r="L452" t="n">
        <v>0</v>
      </c>
      <c r="M452" t="n">
        <v>0</v>
      </c>
      <c r="N452" t="n">
        <v>0</v>
      </c>
      <c r="O452" t="n">
        <v>0</v>
      </c>
      <c r="P452" t="n">
        <v>0</v>
      </c>
      <c r="Q452" t="n">
        <v>0</v>
      </c>
      <c r="R452" s="2" t="inlineStr"/>
    </row>
    <row r="453" ht="15" customHeight="1">
      <c r="A453" t="inlineStr">
        <is>
          <t>A 968-2026</t>
        </is>
      </c>
      <c r="B453" s="1" t="n">
        <v>46030</v>
      </c>
      <c r="C453" s="1" t="n">
        <v>46196</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30898-2025</t>
        </is>
      </c>
      <c r="B454" s="1" t="n">
        <v>45832</v>
      </c>
      <c r="C454" s="1" t="n">
        <v>46196</v>
      </c>
      <c r="D454" t="inlineStr">
        <is>
          <t>UPPSALA LÄN</t>
        </is>
      </c>
      <c r="E454" t="inlineStr">
        <is>
          <t>UPPSALA</t>
        </is>
      </c>
      <c r="F454" t="inlineStr">
        <is>
          <t>Kyrkan</t>
        </is>
      </c>
      <c r="G454" t="n">
        <v>2.8</v>
      </c>
      <c r="H454" t="n">
        <v>0</v>
      </c>
      <c r="I454" t="n">
        <v>0</v>
      </c>
      <c r="J454" t="n">
        <v>0</v>
      </c>
      <c r="K454" t="n">
        <v>0</v>
      </c>
      <c r="L454" t="n">
        <v>0</v>
      </c>
      <c r="M454" t="n">
        <v>0</v>
      </c>
      <c r="N454" t="n">
        <v>0</v>
      </c>
      <c r="O454" t="n">
        <v>0</v>
      </c>
      <c r="P454" t="n">
        <v>0</v>
      </c>
      <c r="Q454" t="n">
        <v>0</v>
      </c>
      <c r="R454" s="2" t="inlineStr"/>
    </row>
    <row r="455" ht="15" customHeight="1">
      <c r="A455" t="inlineStr">
        <is>
          <t>A 1390-2026</t>
        </is>
      </c>
      <c r="B455" s="1" t="n">
        <v>46031</v>
      </c>
      <c r="C455" s="1" t="n">
        <v>46196</v>
      </c>
      <c r="D455" t="inlineStr">
        <is>
          <t>UPPSALA LÄN</t>
        </is>
      </c>
      <c r="E455" t="inlineStr">
        <is>
          <t>UPPSALA</t>
        </is>
      </c>
      <c r="G455" t="n">
        <v>7.9</v>
      </c>
      <c r="H455" t="n">
        <v>0</v>
      </c>
      <c r="I455" t="n">
        <v>0</v>
      </c>
      <c r="J455" t="n">
        <v>0</v>
      </c>
      <c r="K455" t="n">
        <v>0</v>
      </c>
      <c r="L455" t="n">
        <v>0</v>
      </c>
      <c r="M455" t="n">
        <v>0</v>
      </c>
      <c r="N455" t="n">
        <v>0</v>
      </c>
      <c r="O455" t="n">
        <v>0</v>
      </c>
      <c r="P455" t="n">
        <v>0</v>
      </c>
      <c r="Q455" t="n">
        <v>0</v>
      </c>
      <c r="R455" s="2" t="inlineStr"/>
    </row>
    <row r="456" ht="15" customHeight="1">
      <c r="A456" t="inlineStr">
        <is>
          <t>A 918-2026</t>
        </is>
      </c>
      <c r="B456" s="1" t="n">
        <v>46030</v>
      </c>
      <c r="C456" s="1" t="n">
        <v>46196</v>
      </c>
      <c r="D456" t="inlineStr">
        <is>
          <t>UPPSALA LÄN</t>
        </is>
      </c>
      <c r="E456" t="inlineStr">
        <is>
          <t>UPPSALA</t>
        </is>
      </c>
      <c r="F456" t="inlineStr">
        <is>
          <t>Övriga statliga verk och myndigheter</t>
        </is>
      </c>
      <c r="G456" t="n">
        <v>15.1</v>
      </c>
      <c r="H456" t="n">
        <v>0</v>
      </c>
      <c r="I456" t="n">
        <v>0</v>
      </c>
      <c r="J456" t="n">
        <v>0</v>
      </c>
      <c r="K456" t="n">
        <v>0</v>
      </c>
      <c r="L456" t="n">
        <v>0</v>
      </c>
      <c r="M456" t="n">
        <v>0</v>
      </c>
      <c r="N456" t="n">
        <v>0</v>
      </c>
      <c r="O456" t="n">
        <v>0</v>
      </c>
      <c r="P456" t="n">
        <v>0</v>
      </c>
      <c r="Q456" t="n">
        <v>0</v>
      </c>
      <c r="R456" s="2" t="inlineStr"/>
    </row>
    <row r="457" ht="15" customHeight="1">
      <c r="A457" t="inlineStr">
        <is>
          <t>A 28958-2025</t>
        </is>
      </c>
      <c r="B457" s="1" t="n">
        <v>45821</v>
      </c>
      <c r="C457" s="1" t="n">
        <v>46196</v>
      </c>
      <c r="D457" t="inlineStr">
        <is>
          <t>UPPSALA LÄN</t>
        </is>
      </c>
      <c r="E457" t="inlineStr">
        <is>
          <t>UPPSALA</t>
        </is>
      </c>
      <c r="G457" t="n">
        <v>4.6</v>
      </c>
      <c r="H457" t="n">
        <v>0</v>
      </c>
      <c r="I457" t="n">
        <v>0</v>
      </c>
      <c r="J457" t="n">
        <v>0</v>
      </c>
      <c r="K457" t="n">
        <v>0</v>
      </c>
      <c r="L457" t="n">
        <v>0</v>
      </c>
      <c r="M457" t="n">
        <v>0</v>
      </c>
      <c r="N457" t="n">
        <v>0</v>
      </c>
      <c r="O457" t="n">
        <v>0</v>
      </c>
      <c r="P457" t="n">
        <v>0</v>
      </c>
      <c r="Q457" t="n">
        <v>0</v>
      </c>
      <c r="R457" s="2" t="inlineStr"/>
    </row>
    <row r="458" ht="15" customHeight="1">
      <c r="A458" t="inlineStr">
        <is>
          <t>A 36123-2023</t>
        </is>
      </c>
      <c r="B458" s="1" t="n">
        <v>45149</v>
      </c>
      <c r="C458" s="1" t="n">
        <v>46196</v>
      </c>
      <c r="D458" t="inlineStr">
        <is>
          <t>UPPSALA LÄN</t>
        </is>
      </c>
      <c r="E458" t="inlineStr">
        <is>
          <t>UPPSALA</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73326-2021</t>
        </is>
      </c>
      <c r="B459" s="1" t="n">
        <v>44548</v>
      </c>
      <c r="C459" s="1" t="n">
        <v>46196</v>
      </c>
      <c r="D459" t="inlineStr">
        <is>
          <t>UPPSALA LÄN</t>
        </is>
      </c>
      <c r="E459" t="inlineStr">
        <is>
          <t>UPPSALA</t>
        </is>
      </c>
      <c r="G459" t="n">
        <v>4</v>
      </c>
      <c r="H459" t="n">
        <v>0</v>
      </c>
      <c r="I459" t="n">
        <v>0</v>
      </c>
      <c r="J459" t="n">
        <v>0</v>
      </c>
      <c r="K459" t="n">
        <v>0</v>
      </c>
      <c r="L459" t="n">
        <v>0</v>
      </c>
      <c r="M459" t="n">
        <v>0</v>
      </c>
      <c r="N459" t="n">
        <v>0</v>
      </c>
      <c r="O459" t="n">
        <v>0</v>
      </c>
      <c r="P459" t="n">
        <v>0</v>
      </c>
      <c r="Q459" t="n">
        <v>0</v>
      </c>
      <c r="R459" s="2" t="inlineStr"/>
    </row>
    <row r="460" ht="15" customHeight="1">
      <c r="A460" t="inlineStr">
        <is>
          <t>A 33261-2025</t>
        </is>
      </c>
      <c r="B460" s="1" t="n">
        <v>45840</v>
      </c>
      <c r="C460" s="1" t="n">
        <v>46196</v>
      </c>
      <c r="D460" t="inlineStr">
        <is>
          <t>UPPSALA LÄN</t>
        </is>
      </c>
      <c r="E460" t="inlineStr">
        <is>
          <t>UPPSALA</t>
        </is>
      </c>
      <c r="G460" t="n">
        <v>3.4</v>
      </c>
      <c r="H460" t="n">
        <v>0</v>
      </c>
      <c r="I460" t="n">
        <v>0</v>
      </c>
      <c r="J460" t="n">
        <v>0</v>
      </c>
      <c r="K460" t="n">
        <v>0</v>
      </c>
      <c r="L460" t="n">
        <v>0</v>
      </c>
      <c r="M460" t="n">
        <v>0</v>
      </c>
      <c r="N460" t="n">
        <v>0</v>
      </c>
      <c r="O460" t="n">
        <v>0</v>
      </c>
      <c r="P460" t="n">
        <v>0</v>
      </c>
      <c r="Q460" t="n">
        <v>0</v>
      </c>
      <c r="R460" s="2" t="inlineStr"/>
    </row>
    <row r="461" ht="15" customHeight="1">
      <c r="A461" t="inlineStr">
        <is>
          <t>A 36478-2023</t>
        </is>
      </c>
      <c r="B461" s="1" t="n">
        <v>45152</v>
      </c>
      <c r="C461" s="1" t="n">
        <v>46196</v>
      </c>
      <c r="D461" t="inlineStr">
        <is>
          <t>UPPSALA LÄN</t>
        </is>
      </c>
      <c r="E461" t="inlineStr">
        <is>
          <t>UPPSALA</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3314-2025</t>
        </is>
      </c>
      <c r="B462" s="1" t="n">
        <v>45679</v>
      </c>
      <c r="C462" s="1" t="n">
        <v>46196</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18625-2025</t>
        </is>
      </c>
      <c r="B463" s="1" t="n">
        <v>45763</v>
      </c>
      <c r="C463" s="1" t="n">
        <v>46196</v>
      </c>
      <c r="D463" t="inlineStr">
        <is>
          <t>UPPSALA LÄN</t>
        </is>
      </c>
      <c r="E463" t="inlineStr">
        <is>
          <t>UPPSALA</t>
        </is>
      </c>
      <c r="G463" t="n">
        <v>1.8</v>
      </c>
      <c r="H463" t="n">
        <v>0</v>
      </c>
      <c r="I463" t="n">
        <v>0</v>
      </c>
      <c r="J463" t="n">
        <v>0</v>
      </c>
      <c r="K463" t="n">
        <v>0</v>
      </c>
      <c r="L463" t="n">
        <v>0</v>
      </c>
      <c r="M463" t="n">
        <v>0</v>
      </c>
      <c r="N463" t="n">
        <v>0</v>
      </c>
      <c r="O463" t="n">
        <v>0</v>
      </c>
      <c r="P463" t="n">
        <v>0</v>
      </c>
      <c r="Q463" t="n">
        <v>0</v>
      </c>
      <c r="R463" s="2" t="inlineStr"/>
    </row>
    <row r="464" ht="15" customHeight="1">
      <c r="A464" t="inlineStr">
        <is>
          <t>A 34893-2025</t>
        </is>
      </c>
      <c r="B464" s="1" t="n">
        <v>45849</v>
      </c>
      <c r="C464" s="1" t="n">
        <v>46196</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24012-2023</t>
        </is>
      </c>
      <c r="B465" s="1" t="n">
        <v>45078</v>
      </c>
      <c r="C465" s="1" t="n">
        <v>46196</v>
      </c>
      <c r="D465" t="inlineStr">
        <is>
          <t>UPPSALA LÄN</t>
        </is>
      </c>
      <c r="E465" t="inlineStr">
        <is>
          <t>UPPSALA</t>
        </is>
      </c>
      <c r="F465" t="inlineStr">
        <is>
          <t>Kyrkan</t>
        </is>
      </c>
      <c r="G465" t="n">
        <v>1.6</v>
      </c>
      <c r="H465" t="n">
        <v>0</v>
      </c>
      <c r="I465" t="n">
        <v>0</v>
      </c>
      <c r="J465" t="n">
        <v>0</v>
      </c>
      <c r="K465" t="n">
        <v>0</v>
      </c>
      <c r="L465" t="n">
        <v>0</v>
      </c>
      <c r="M465" t="n">
        <v>0</v>
      </c>
      <c r="N465" t="n">
        <v>0</v>
      </c>
      <c r="O465" t="n">
        <v>0</v>
      </c>
      <c r="P465" t="n">
        <v>0</v>
      </c>
      <c r="Q465" t="n">
        <v>0</v>
      </c>
      <c r="R465" s="2" t="inlineStr"/>
    </row>
    <row r="466" ht="15" customHeight="1">
      <c r="A466" t="inlineStr">
        <is>
          <t>A 60820-2024</t>
        </is>
      </c>
      <c r="B466" s="1" t="n">
        <v>45644</v>
      </c>
      <c r="C466" s="1" t="n">
        <v>46196</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35056-2025</t>
        </is>
      </c>
      <c r="B467" s="1" t="n">
        <v>45852</v>
      </c>
      <c r="C467" s="1" t="n">
        <v>46196</v>
      </c>
      <c r="D467" t="inlineStr">
        <is>
          <t>UPPSALA LÄN</t>
        </is>
      </c>
      <c r="E467" t="inlineStr">
        <is>
          <t>UPPSALA</t>
        </is>
      </c>
      <c r="G467" t="n">
        <v>2.6</v>
      </c>
      <c r="H467" t="n">
        <v>0</v>
      </c>
      <c r="I467" t="n">
        <v>0</v>
      </c>
      <c r="J467" t="n">
        <v>0</v>
      </c>
      <c r="K467" t="n">
        <v>0</v>
      </c>
      <c r="L467" t="n">
        <v>0</v>
      </c>
      <c r="M467" t="n">
        <v>0</v>
      </c>
      <c r="N467" t="n">
        <v>0</v>
      </c>
      <c r="O467" t="n">
        <v>0</v>
      </c>
      <c r="P467" t="n">
        <v>0</v>
      </c>
      <c r="Q467" t="n">
        <v>0</v>
      </c>
      <c r="R467" s="2" t="inlineStr"/>
    </row>
    <row r="468" ht="15" customHeight="1">
      <c r="A468" t="inlineStr">
        <is>
          <t>A 18675-2024</t>
        </is>
      </c>
      <c r="B468" s="1" t="n">
        <v>45426</v>
      </c>
      <c r="C468" s="1" t="n">
        <v>46196</v>
      </c>
      <c r="D468" t="inlineStr">
        <is>
          <t>UPPSALA LÄN</t>
        </is>
      </c>
      <c r="E468" t="inlineStr">
        <is>
          <t>UPPSALA</t>
        </is>
      </c>
      <c r="G468" t="n">
        <v>8.1</v>
      </c>
      <c r="H468" t="n">
        <v>0</v>
      </c>
      <c r="I468" t="n">
        <v>0</v>
      </c>
      <c r="J468" t="n">
        <v>0</v>
      </c>
      <c r="K468" t="n">
        <v>0</v>
      </c>
      <c r="L468" t="n">
        <v>0</v>
      </c>
      <c r="M468" t="n">
        <v>0</v>
      </c>
      <c r="N468" t="n">
        <v>0</v>
      </c>
      <c r="O468" t="n">
        <v>0</v>
      </c>
      <c r="P468" t="n">
        <v>0</v>
      </c>
      <c r="Q468" t="n">
        <v>0</v>
      </c>
      <c r="R468" s="2" t="inlineStr"/>
    </row>
    <row r="469" ht="15" customHeight="1">
      <c r="A469" t="inlineStr">
        <is>
          <t>A 35150-2025</t>
        </is>
      </c>
      <c r="B469" s="1" t="n">
        <v>45852</v>
      </c>
      <c r="C469" s="1" t="n">
        <v>46196</v>
      </c>
      <c r="D469" t="inlineStr">
        <is>
          <t>UPPSALA LÄN</t>
        </is>
      </c>
      <c r="E469" t="inlineStr">
        <is>
          <t>UPPSALA</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35148-2025</t>
        </is>
      </c>
      <c r="B470" s="1" t="n">
        <v>45852</v>
      </c>
      <c r="C470" s="1" t="n">
        <v>46196</v>
      </c>
      <c r="D470" t="inlineStr">
        <is>
          <t>UPPSALA LÄN</t>
        </is>
      </c>
      <c r="E470" t="inlineStr">
        <is>
          <t>UPPSALA</t>
        </is>
      </c>
      <c r="F470" t="inlineStr">
        <is>
          <t>Holmen skog AB</t>
        </is>
      </c>
      <c r="G470" t="n">
        <v>2.2</v>
      </c>
      <c r="H470" t="n">
        <v>0</v>
      </c>
      <c r="I470" t="n">
        <v>0</v>
      </c>
      <c r="J470" t="n">
        <v>0</v>
      </c>
      <c r="K470" t="n">
        <v>0</v>
      </c>
      <c r="L470" t="n">
        <v>0</v>
      </c>
      <c r="M470" t="n">
        <v>0</v>
      </c>
      <c r="N470" t="n">
        <v>0</v>
      </c>
      <c r="O470" t="n">
        <v>0</v>
      </c>
      <c r="P470" t="n">
        <v>0</v>
      </c>
      <c r="Q470" t="n">
        <v>0</v>
      </c>
      <c r="R470" s="2" t="inlineStr"/>
    </row>
    <row r="471" ht="15" customHeight="1">
      <c r="A471" t="inlineStr">
        <is>
          <t>A 5687-2026</t>
        </is>
      </c>
      <c r="B471" s="1" t="n">
        <v>46051</v>
      </c>
      <c r="C471" s="1" t="n">
        <v>46196</v>
      </c>
      <c r="D471" t="inlineStr">
        <is>
          <t>UPPSALA LÄN</t>
        </is>
      </c>
      <c r="E471" t="inlineStr">
        <is>
          <t>UPPSALA</t>
        </is>
      </c>
      <c r="G471" t="n">
        <v>1.2</v>
      </c>
      <c r="H471" t="n">
        <v>0</v>
      </c>
      <c r="I471" t="n">
        <v>0</v>
      </c>
      <c r="J471" t="n">
        <v>0</v>
      </c>
      <c r="K471" t="n">
        <v>0</v>
      </c>
      <c r="L471" t="n">
        <v>0</v>
      </c>
      <c r="M471" t="n">
        <v>0</v>
      </c>
      <c r="N471" t="n">
        <v>0</v>
      </c>
      <c r="O471" t="n">
        <v>0</v>
      </c>
      <c r="P471" t="n">
        <v>0</v>
      </c>
      <c r="Q471" t="n">
        <v>0</v>
      </c>
      <c r="R471" s="2" t="inlineStr"/>
    </row>
    <row r="472" ht="15" customHeight="1">
      <c r="A472" t="inlineStr">
        <is>
          <t>A 35053-2025</t>
        </is>
      </c>
      <c r="B472" s="1" t="n">
        <v>45852</v>
      </c>
      <c r="C472" s="1" t="n">
        <v>46196</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5629-2026</t>
        </is>
      </c>
      <c r="B473" s="1" t="n">
        <v>46051</v>
      </c>
      <c r="C473" s="1" t="n">
        <v>46196</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35014-2025</t>
        </is>
      </c>
      <c r="B474" s="1" t="n">
        <v>45851</v>
      </c>
      <c r="C474" s="1" t="n">
        <v>46196</v>
      </c>
      <c r="D474" t="inlineStr">
        <is>
          <t>UPPSALA LÄN</t>
        </is>
      </c>
      <c r="E474" t="inlineStr">
        <is>
          <t>UPPSALA</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6187-2026</t>
        </is>
      </c>
      <c r="B475" s="1" t="n">
        <v>46055</v>
      </c>
      <c r="C475" s="1" t="n">
        <v>46196</v>
      </c>
      <c r="D475" t="inlineStr">
        <is>
          <t>UPPSALA LÄN</t>
        </is>
      </c>
      <c r="E475" t="inlineStr">
        <is>
          <t>UPPSALA</t>
        </is>
      </c>
      <c r="F475" t="inlineStr">
        <is>
          <t>Allmännings- och besparingsskogar</t>
        </is>
      </c>
      <c r="G475" t="n">
        <v>10.6</v>
      </c>
      <c r="H475" t="n">
        <v>0</v>
      </c>
      <c r="I475" t="n">
        <v>0</v>
      </c>
      <c r="J475" t="n">
        <v>0</v>
      </c>
      <c r="K475" t="n">
        <v>0</v>
      </c>
      <c r="L475" t="n">
        <v>0</v>
      </c>
      <c r="M475" t="n">
        <v>0</v>
      </c>
      <c r="N475" t="n">
        <v>0</v>
      </c>
      <c r="O475" t="n">
        <v>0</v>
      </c>
      <c r="P475" t="n">
        <v>0</v>
      </c>
      <c r="Q475" t="n">
        <v>0</v>
      </c>
      <c r="R475" s="2" t="inlineStr"/>
    </row>
    <row r="476" ht="15" customHeight="1">
      <c r="A476" t="inlineStr">
        <is>
          <t>A 6360-2026</t>
        </is>
      </c>
      <c r="B476" s="1" t="n">
        <v>46055</v>
      </c>
      <c r="C476" s="1" t="n">
        <v>46196</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35510-2025</t>
        </is>
      </c>
      <c r="B477" s="1" t="n">
        <v>45856</v>
      </c>
      <c r="C477" s="1" t="n">
        <v>46196</v>
      </c>
      <c r="D477" t="inlineStr">
        <is>
          <t>UPPSALA LÄN</t>
        </is>
      </c>
      <c r="E477" t="inlineStr">
        <is>
          <t>UPPSALA</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7002-2026</t>
        </is>
      </c>
      <c r="B478" s="1" t="n">
        <v>46057</v>
      </c>
      <c r="C478" s="1" t="n">
        <v>46196</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43818-2023</t>
        </is>
      </c>
      <c r="B479" s="1" t="n">
        <v>45182</v>
      </c>
      <c r="C479" s="1" t="n">
        <v>46196</v>
      </c>
      <c r="D479" t="inlineStr">
        <is>
          <t>UPPSALA LÄN</t>
        </is>
      </c>
      <c r="E479" t="inlineStr">
        <is>
          <t>UPPSALA</t>
        </is>
      </c>
      <c r="G479" t="n">
        <v>10.8</v>
      </c>
      <c r="H479" t="n">
        <v>0</v>
      </c>
      <c r="I479" t="n">
        <v>0</v>
      </c>
      <c r="J479" t="n">
        <v>0</v>
      </c>
      <c r="K479" t="n">
        <v>0</v>
      </c>
      <c r="L479" t="n">
        <v>0</v>
      </c>
      <c r="M479" t="n">
        <v>0</v>
      </c>
      <c r="N479" t="n">
        <v>0</v>
      </c>
      <c r="O479" t="n">
        <v>0</v>
      </c>
      <c r="P479" t="n">
        <v>0</v>
      </c>
      <c r="Q479" t="n">
        <v>0</v>
      </c>
      <c r="R479" s="2" t="inlineStr"/>
    </row>
    <row r="480" ht="15" customHeight="1">
      <c r="A480" t="inlineStr">
        <is>
          <t>A 7727-2024</t>
        </is>
      </c>
      <c r="B480" s="1" t="n">
        <v>45349</v>
      </c>
      <c r="C480" s="1" t="n">
        <v>46196</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9206-2022</t>
        </is>
      </c>
      <c r="B481" s="1" t="n">
        <v>44616</v>
      </c>
      <c r="C481" s="1" t="n">
        <v>46196</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60698-2024</t>
        </is>
      </c>
      <c r="B482" s="1" t="n">
        <v>45644</v>
      </c>
      <c r="C482" s="1" t="n">
        <v>46196</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60735-2024</t>
        </is>
      </c>
      <c r="B483" s="1" t="n">
        <v>45644</v>
      </c>
      <c r="C483" s="1" t="n">
        <v>46196</v>
      </c>
      <c r="D483" t="inlineStr">
        <is>
          <t>UPPSALA LÄN</t>
        </is>
      </c>
      <c r="E483" t="inlineStr">
        <is>
          <t>UPPSALA</t>
        </is>
      </c>
      <c r="G483" t="n">
        <v>1.4</v>
      </c>
      <c r="H483" t="n">
        <v>0</v>
      </c>
      <c r="I483" t="n">
        <v>0</v>
      </c>
      <c r="J483" t="n">
        <v>0</v>
      </c>
      <c r="K483" t="n">
        <v>0</v>
      </c>
      <c r="L483" t="n">
        <v>0</v>
      </c>
      <c r="M483" t="n">
        <v>0</v>
      </c>
      <c r="N483" t="n">
        <v>0</v>
      </c>
      <c r="O483" t="n">
        <v>0</v>
      </c>
      <c r="P483" t="n">
        <v>0</v>
      </c>
      <c r="Q483" t="n">
        <v>0</v>
      </c>
      <c r="R483" s="2" t="inlineStr"/>
    </row>
    <row r="484" ht="15" customHeight="1">
      <c r="A484" t="inlineStr">
        <is>
          <t>A 61463-2024</t>
        </is>
      </c>
      <c r="B484" s="1" t="n">
        <v>45646</v>
      </c>
      <c r="C484" s="1" t="n">
        <v>46196</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20206-2023</t>
        </is>
      </c>
      <c r="B485" s="1" t="n">
        <v>45055</v>
      </c>
      <c r="C485" s="1" t="n">
        <v>46196</v>
      </c>
      <c r="D485" t="inlineStr">
        <is>
          <t>UPPSALA LÄN</t>
        </is>
      </c>
      <c r="E485" t="inlineStr">
        <is>
          <t>UPPSALA</t>
        </is>
      </c>
      <c r="G485" t="n">
        <v>5.7</v>
      </c>
      <c r="H485" t="n">
        <v>0</v>
      </c>
      <c r="I485" t="n">
        <v>0</v>
      </c>
      <c r="J485" t="n">
        <v>0</v>
      </c>
      <c r="K485" t="n">
        <v>0</v>
      </c>
      <c r="L485" t="n">
        <v>0</v>
      </c>
      <c r="M485" t="n">
        <v>0</v>
      </c>
      <c r="N485" t="n">
        <v>0</v>
      </c>
      <c r="O485" t="n">
        <v>0</v>
      </c>
      <c r="P485" t="n">
        <v>0</v>
      </c>
      <c r="Q485" t="n">
        <v>0</v>
      </c>
      <c r="R485" s="2" t="inlineStr"/>
    </row>
    <row r="486" ht="15" customHeight="1">
      <c r="A486" t="inlineStr">
        <is>
          <t>A 30616-2025</t>
        </is>
      </c>
      <c r="B486" s="1" t="n">
        <v>45831</v>
      </c>
      <c r="C486" s="1" t="n">
        <v>46196</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37010-2025</t>
        </is>
      </c>
      <c r="B487" s="1" t="n">
        <v>45874</v>
      </c>
      <c r="C487" s="1" t="n">
        <v>46196</v>
      </c>
      <c r="D487" t="inlineStr">
        <is>
          <t>UPPSALA LÄN</t>
        </is>
      </c>
      <c r="E487" t="inlineStr">
        <is>
          <t>UPPSALA</t>
        </is>
      </c>
      <c r="G487" t="n">
        <v>0.8</v>
      </c>
      <c r="H487" t="n">
        <v>0</v>
      </c>
      <c r="I487" t="n">
        <v>0</v>
      </c>
      <c r="J487" t="n">
        <v>0</v>
      </c>
      <c r="K487" t="n">
        <v>0</v>
      </c>
      <c r="L487" t="n">
        <v>0</v>
      </c>
      <c r="M487" t="n">
        <v>0</v>
      </c>
      <c r="N487" t="n">
        <v>0</v>
      </c>
      <c r="O487" t="n">
        <v>0</v>
      </c>
      <c r="P487" t="n">
        <v>0</v>
      </c>
      <c r="Q487" t="n">
        <v>0</v>
      </c>
      <c r="R487" s="2" t="inlineStr"/>
    </row>
    <row r="488" ht="15" customHeight="1">
      <c r="A488" t="inlineStr">
        <is>
          <t>A 60701-2022</t>
        </is>
      </c>
      <c r="B488" s="1" t="n">
        <v>44912</v>
      </c>
      <c r="C488" s="1" t="n">
        <v>46196</v>
      </c>
      <c r="D488" t="inlineStr">
        <is>
          <t>UPPSALA LÄN</t>
        </is>
      </c>
      <c r="E488" t="inlineStr">
        <is>
          <t>UPPSALA</t>
        </is>
      </c>
      <c r="G488" t="n">
        <v>1.4</v>
      </c>
      <c r="H488" t="n">
        <v>0</v>
      </c>
      <c r="I488" t="n">
        <v>0</v>
      </c>
      <c r="J488" t="n">
        <v>0</v>
      </c>
      <c r="K488" t="n">
        <v>0</v>
      </c>
      <c r="L488" t="n">
        <v>0</v>
      </c>
      <c r="M488" t="n">
        <v>0</v>
      </c>
      <c r="N488" t="n">
        <v>0</v>
      </c>
      <c r="O488" t="n">
        <v>0</v>
      </c>
      <c r="P488" t="n">
        <v>0</v>
      </c>
      <c r="Q488" t="n">
        <v>0</v>
      </c>
      <c r="R488" s="2" t="inlineStr"/>
    </row>
    <row r="489" ht="15" customHeight="1">
      <c r="A489" t="inlineStr">
        <is>
          <t>A 53614-2024</t>
        </is>
      </c>
      <c r="B489" s="1" t="n">
        <v>45611</v>
      </c>
      <c r="C489" s="1" t="n">
        <v>46196</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6991-2026</t>
        </is>
      </c>
      <c r="B490" s="1" t="n">
        <v>46057</v>
      </c>
      <c r="C490" s="1" t="n">
        <v>46196</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7429-2026</t>
        </is>
      </c>
      <c r="B491" s="1" t="n">
        <v>46059</v>
      </c>
      <c r="C491" s="1" t="n">
        <v>46196</v>
      </c>
      <c r="D491" t="inlineStr">
        <is>
          <t>UPPSALA LÄN</t>
        </is>
      </c>
      <c r="E491" t="inlineStr">
        <is>
          <t>UPPSALA</t>
        </is>
      </c>
      <c r="F491" t="inlineStr">
        <is>
          <t>Bergvik skog öst AB</t>
        </is>
      </c>
      <c r="G491" t="n">
        <v>2.4</v>
      </c>
      <c r="H491" t="n">
        <v>0</v>
      </c>
      <c r="I491" t="n">
        <v>0</v>
      </c>
      <c r="J491" t="n">
        <v>0</v>
      </c>
      <c r="K491" t="n">
        <v>0</v>
      </c>
      <c r="L491" t="n">
        <v>0</v>
      </c>
      <c r="M491" t="n">
        <v>0</v>
      </c>
      <c r="N491" t="n">
        <v>0</v>
      </c>
      <c r="O491" t="n">
        <v>0</v>
      </c>
      <c r="P491" t="n">
        <v>0</v>
      </c>
      <c r="Q491" t="n">
        <v>0</v>
      </c>
      <c r="R491" s="2" t="inlineStr"/>
    </row>
    <row r="492" ht="15" customHeight="1">
      <c r="A492" t="inlineStr">
        <is>
          <t>A 16434-2024</t>
        </is>
      </c>
      <c r="B492" s="1" t="n">
        <v>45407</v>
      </c>
      <c r="C492" s="1" t="n">
        <v>46196</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1825-2024</t>
        </is>
      </c>
      <c r="B493" s="1" t="n">
        <v>45307</v>
      </c>
      <c r="C493" s="1" t="n">
        <v>46196</v>
      </c>
      <c r="D493" t="inlineStr">
        <is>
          <t>UPPSALA LÄN</t>
        </is>
      </c>
      <c r="E493" t="inlineStr">
        <is>
          <t>UPPSALA</t>
        </is>
      </c>
      <c r="G493" t="n">
        <v>4.2</v>
      </c>
      <c r="H493" t="n">
        <v>0</v>
      </c>
      <c r="I493" t="n">
        <v>0</v>
      </c>
      <c r="J493" t="n">
        <v>0</v>
      </c>
      <c r="K493" t="n">
        <v>0</v>
      </c>
      <c r="L493" t="n">
        <v>0</v>
      </c>
      <c r="M493" t="n">
        <v>0</v>
      </c>
      <c r="N493" t="n">
        <v>0</v>
      </c>
      <c r="O493" t="n">
        <v>0</v>
      </c>
      <c r="P493" t="n">
        <v>0</v>
      </c>
      <c r="Q493" t="n">
        <v>0</v>
      </c>
      <c r="R493" s="2" t="inlineStr"/>
    </row>
    <row r="494" ht="15" customHeight="1">
      <c r="A494" t="inlineStr">
        <is>
          <t>A 7436-2026</t>
        </is>
      </c>
      <c r="B494" s="1" t="n">
        <v>46059</v>
      </c>
      <c r="C494" s="1" t="n">
        <v>46196</v>
      </c>
      <c r="D494" t="inlineStr">
        <is>
          <t>UPPSALA LÄN</t>
        </is>
      </c>
      <c r="E494" t="inlineStr">
        <is>
          <t>UPPSALA</t>
        </is>
      </c>
      <c r="F494" t="inlineStr">
        <is>
          <t>Bergvik skog öst AB</t>
        </is>
      </c>
      <c r="G494" t="n">
        <v>2.9</v>
      </c>
      <c r="H494" t="n">
        <v>0</v>
      </c>
      <c r="I494" t="n">
        <v>0</v>
      </c>
      <c r="J494" t="n">
        <v>0</v>
      </c>
      <c r="K494" t="n">
        <v>0</v>
      </c>
      <c r="L494" t="n">
        <v>0</v>
      </c>
      <c r="M494" t="n">
        <v>0</v>
      </c>
      <c r="N494" t="n">
        <v>0</v>
      </c>
      <c r="O494" t="n">
        <v>0</v>
      </c>
      <c r="P494" t="n">
        <v>0</v>
      </c>
      <c r="Q494" t="n">
        <v>0</v>
      </c>
      <c r="R494" s="2" t="inlineStr"/>
    </row>
    <row r="495" ht="15" customHeight="1">
      <c r="A495" t="inlineStr">
        <is>
          <t>A 64855-2021</t>
        </is>
      </c>
      <c r="B495" s="1" t="n">
        <v>44512</v>
      </c>
      <c r="C495" s="1" t="n">
        <v>46196</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37561-2025</t>
        </is>
      </c>
      <c r="B496" s="1" t="n">
        <v>45880</v>
      </c>
      <c r="C496" s="1" t="n">
        <v>46196</v>
      </c>
      <c r="D496" t="inlineStr">
        <is>
          <t>UPPSALA LÄN</t>
        </is>
      </c>
      <c r="E496" t="inlineStr">
        <is>
          <t>UPPSALA</t>
        </is>
      </c>
      <c r="G496" t="n">
        <v>1.4</v>
      </c>
      <c r="H496" t="n">
        <v>0</v>
      </c>
      <c r="I496" t="n">
        <v>0</v>
      </c>
      <c r="J496" t="n">
        <v>0</v>
      </c>
      <c r="K496" t="n">
        <v>0</v>
      </c>
      <c r="L496" t="n">
        <v>0</v>
      </c>
      <c r="M496" t="n">
        <v>0</v>
      </c>
      <c r="N496" t="n">
        <v>0</v>
      </c>
      <c r="O496" t="n">
        <v>0</v>
      </c>
      <c r="P496" t="n">
        <v>0</v>
      </c>
      <c r="Q496" t="n">
        <v>0</v>
      </c>
      <c r="R496" s="2" t="inlineStr"/>
    </row>
    <row r="497" ht="15" customHeight="1">
      <c r="A497" t="inlineStr">
        <is>
          <t>A 7867-2026</t>
        </is>
      </c>
      <c r="B497" s="1" t="n">
        <v>46062</v>
      </c>
      <c r="C497" s="1" t="n">
        <v>46196</v>
      </c>
      <c r="D497" t="inlineStr">
        <is>
          <t>UPPSALA LÄN</t>
        </is>
      </c>
      <c r="E497" t="inlineStr">
        <is>
          <t>UPPSALA</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27622-2023</t>
        </is>
      </c>
      <c r="B498" s="1" t="n">
        <v>45097</v>
      </c>
      <c r="C498" s="1" t="n">
        <v>46196</v>
      </c>
      <c r="D498" t="inlineStr">
        <is>
          <t>UPPSALA LÄN</t>
        </is>
      </c>
      <c r="E498" t="inlineStr">
        <is>
          <t>UPPSALA</t>
        </is>
      </c>
      <c r="G498" t="n">
        <v>3.2</v>
      </c>
      <c r="H498" t="n">
        <v>0</v>
      </c>
      <c r="I498" t="n">
        <v>0</v>
      </c>
      <c r="J498" t="n">
        <v>0</v>
      </c>
      <c r="K498" t="n">
        <v>0</v>
      </c>
      <c r="L498" t="n">
        <v>0</v>
      </c>
      <c r="M498" t="n">
        <v>0</v>
      </c>
      <c r="N498" t="n">
        <v>0</v>
      </c>
      <c r="O498" t="n">
        <v>0</v>
      </c>
      <c r="P498" t="n">
        <v>0</v>
      </c>
      <c r="Q498" t="n">
        <v>0</v>
      </c>
      <c r="R498" s="2" t="inlineStr"/>
    </row>
    <row r="499" ht="15" customHeight="1">
      <c r="A499" t="inlineStr">
        <is>
          <t>A 7865-2026</t>
        </is>
      </c>
      <c r="B499" s="1" t="n">
        <v>46062</v>
      </c>
      <c r="C499" s="1" t="n">
        <v>46196</v>
      </c>
      <c r="D499" t="inlineStr">
        <is>
          <t>UPPSALA LÄN</t>
        </is>
      </c>
      <c r="E499" t="inlineStr">
        <is>
          <t>UPPSALA</t>
        </is>
      </c>
      <c r="F499" t="inlineStr">
        <is>
          <t>Bergvik skog öst AB</t>
        </is>
      </c>
      <c r="G499" t="n">
        <v>4.4</v>
      </c>
      <c r="H499" t="n">
        <v>0</v>
      </c>
      <c r="I499" t="n">
        <v>0</v>
      </c>
      <c r="J499" t="n">
        <v>0</v>
      </c>
      <c r="K499" t="n">
        <v>0</v>
      </c>
      <c r="L499" t="n">
        <v>0</v>
      </c>
      <c r="M499" t="n">
        <v>0</v>
      </c>
      <c r="N499" t="n">
        <v>0</v>
      </c>
      <c r="O499" t="n">
        <v>0</v>
      </c>
      <c r="P499" t="n">
        <v>0</v>
      </c>
      <c r="Q499" t="n">
        <v>0</v>
      </c>
      <c r="R499" s="2" t="inlineStr"/>
    </row>
    <row r="500" ht="15" customHeight="1">
      <c r="A500" t="inlineStr">
        <is>
          <t>A 7866-2026</t>
        </is>
      </c>
      <c r="B500" s="1" t="n">
        <v>46062</v>
      </c>
      <c r="C500" s="1" t="n">
        <v>46196</v>
      </c>
      <c r="D500" t="inlineStr">
        <is>
          <t>UPPSALA LÄN</t>
        </is>
      </c>
      <c r="E500" t="inlineStr">
        <is>
          <t>UPPSALA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7739-2026</t>
        </is>
      </c>
      <c r="B501" s="1" t="n">
        <v>46062</v>
      </c>
      <c r="C501" s="1" t="n">
        <v>46196</v>
      </c>
      <c r="D501" t="inlineStr">
        <is>
          <t>UPPSALA LÄN</t>
        </is>
      </c>
      <c r="E501" t="inlineStr">
        <is>
          <t>UPPSALA</t>
        </is>
      </c>
      <c r="G501" t="n">
        <v>7.2</v>
      </c>
      <c r="H501" t="n">
        <v>0</v>
      </c>
      <c r="I501" t="n">
        <v>0</v>
      </c>
      <c r="J501" t="n">
        <v>0</v>
      </c>
      <c r="K501" t="n">
        <v>0</v>
      </c>
      <c r="L501" t="n">
        <v>0</v>
      </c>
      <c r="M501" t="n">
        <v>0</v>
      </c>
      <c r="N501" t="n">
        <v>0</v>
      </c>
      <c r="O501" t="n">
        <v>0</v>
      </c>
      <c r="P501" t="n">
        <v>0</v>
      </c>
      <c r="Q501" t="n">
        <v>0</v>
      </c>
      <c r="R501" s="2" t="inlineStr"/>
    </row>
    <row r="502" ht="15" customHeight="1">
      <c r="A502" t="inlineStr">
        <is>
          <t>A 37856-2025</t>
        </is>
      </c>
      <c r="B502" s="1" t="n">
        <v>45881</v>
      </c>
      <c r="C502" s="1" t="n">
        <v>46196</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7555-2026</t>
        </is>
      </c>
      <c r="B503" s="1" t="n">
        <v>46059</v>
      </c>
      <c r="C503" s="1" t="n">
        <v>46196</v>
      </c>
      <c r="D503" t="inlineStr">
        <is>
          <t>UPPSALA LÄN</t>
        </is>
      </c>
      <c r="E503" t="inlineStr">
        <is>
          <t>UPPSALA</t>
        </is>
      </c>
      <c r="F503" t="inlineStr">
        <is>
          <t>Bergvik skog öst AB</t>
        </is>
      </c>
      <c r="G503" t="n">
        <v>4.4</v>
      </c>
      <c r="H503" t="n">
        <v>0</v>
      </c>
      <c r="I503" t="n">
        <v>0</v>
      </c>
      <c r="J503" t="n">
        <v>0</v>
      </c>
      <c r="K503" t="n">
        <v>0</v>
      </c>
      <c r="L503" t="n">
        <v>0</v>
      </c>
      <c r="M503" t="n">
        <v>0</v>
      </c>
      <c r="N503" t="n">
        <v>0</v>
      </c>
      <c r="O503" t="n">
        <v>0</v>
      </c>
      <c r="P503" t="n">
        <v>0</v>
      </c>
      <c r="Q503" t="n">
        <v>0</v>
      </c>
      <c r="R503" s="2" t="inlineStr"/>
    </row>
    <row r="504" ht="15" customHeight="1">
      <c r="A504" t="inlineStr">
        <is>
          <t>A 8582-2026</t>
        </is>
      </c>
      <c r="B504" s="1" t="n">
        <v>46065</v>
      </c>
      <c r="C504" s="1" t="n">
        <v>46196</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8500-2026</t>
        </is>
      </c>
      <c r="B505" s="1" t="n">
        <v>46065</v>
      </c>
      <c r="C505" s="1" t="n">
        <v>46196</v>
      </c>
      <c r="D505" t="inlineStr">
        <is>
          <t>UPPSALA LÄN</t>
        </is>
      </c>
      <c r="E505" t="inlineStr">
        <is>
          <t>UPPSALA</t>
        </is>
      </c>
      <c r="G505" t="n">
        <v>2.5</v>
      </c>
      <c r="H505" t="n">
        <v>0</v>
      </c>
      <c r="I505" t="n">
        <v>0</v>
      </c>
      <c r="J505" t="n">
        <v>0</v>
      </c>
      <c r="K505" t="n">
        <v>0</v>
      </c>
      <c r="L505" t="n">
        <v>0</v>
      </c>
      <c r="M505" t="n">
        <v>0</v>
      </c>
      <c r="N505" t="n">
        <v>0</v>
      </c>
      <c r="O505" t="n">
        <v>0</v>
      </c>
      <c r="P505" t="n">
        <v>0</v>
      </c>
      <c r="Q505" t="n">
        <v>0</v>
      </c>
      <c r="R505" s="2" t="inlineStr"/>
    </row>
    <row r="506" ht="15" customHeight="1">
      <c r="A506" t="inlineStr">
        <is>
          <t>A 8364-2026</t>
        </is>
      </c>
      <c r="B506" s="1" t="n">
        <v>46064</v>
      </c>
      <c r="C506" s="1" t="n">
        <v>46196</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8377-2026</t>
        </is>
      </c>
      <c r="B507" s="1" t="n">
        <v>46064</v>
      </c>
      <c r="C507" s="1" t="n">
        <v>46196</v>
      </c>
      <c r="D507" t="inlineStr">
        <is>
          <t>UPPSALA LÄN</t>
        </is>
      </c>
      <c r="E507" t="inlineStr">
        <is>
          <t>UPPSALA</t>
        </is>
      </c>
      <c r="G507" t="n">
        <v>1.4</v>
      </c>
      <c r="H507" t="n">
        <v>0</v>
      </c>
      <c r="I507" t="n">
        <v>0</v>
      </c>
      <c r="J507" t="n">
        <v>0</v>
      </c>
      <c r="K507" t="n">
        <v>0</v>
      </c>
      <c r="L507" t="n">
        <v>0</v>
      </c>
      <c r="M507" t="n">
        <v>0</v>
      </c>
      <c r="N507" t="n">
        <v>0</v>
      </c>
      <c r="O507" t="n">
        <v>0</v>
      </c>
      <c r="P507" t="n">
        <v>0</v>
      </c>
      <c r="Q507" t="n">
        <v>0</v>
      </c>
      <c r="R507" s="2" t="inlineStr"/>
    </row>
    <row r="508" ht="15" customHeight="1">
      <c r="A508" t="inlineStr">
        <is>
          <t>A 38113-2025</t>
        </is>
      </c>
      <c r="B508" s="1" t="n">
        <v>45882</v>
      </c>
      <c r="C508" s="1" t="n">
        <v>46196</v>
      </c>
      <c r="D508" t="inlineStr">
        <is>
          <t>UPPSALA LÄN</t>
        </is>
      </c>
      <c r="E508" t="inlineStr">
        <is>
          <t>UPPSALA</t>
        </is>
      </c>
      <c r="G508" t="n">
        <v>5.8</v>
      </c>
      <c r="H508" t="n">
        <v>0</v>
      </c>
      <c r="I508" t="n">
        <v>0</v>
      </c>
      <c r="J508" t="n">
        <v>0</v>
      </c>
      <c r="K508" t="n">
        <v>0</v>
      </c>
      <c r="L508" t="n">
        <v>0</v>
      </c>
      <c r="M508" t="n">
        <v>0</v>
      </c>
      <c r="N508" t="n">
        <v>0</v>
      </c>
      <c r="O508" t="n">
        <v>0</v>
      </c>
      <c r="P508" t="n">
        <v>0</v>
      </c>
      <c r="Q508" t="n">
        <v>0</v>
      </c>
      <c r="R508" s="2" t="inlineStr"/>
    </row>
    <row r="509" ht="15" customHeight="1">
      <c r="A509" t="inlineStr">
        <is>
          <t>A 43031-2023</t>
        </is>
      </c>
      <c r="B509" s="1" t="n">
        <v>45182</v>
      </c>
      <c r="C509" s="1" t="n">
        <v>46196</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10223-2026</t>
        </is>
      </c>
      <c r="B510" s="1" t="n">
        <v>46076</v>
      </c>
      <c r="C510" s="1" t="n">
        <v>46196</v>
      </c>
      <c r="D510" t="inlineStr">
        <is>
          <t>UPPSALA LÄN</t>
        </is>
      </c>
      <c r="E510" t="inlineStr">
        <is>
          <t>UPPSALA</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59133-2022</t>
        </is>
      </c>
      <c r="B511" s="1" t="n">
        <v>44904</v>
      </c>
      <c r="C511" s="1" t="n">
        <v>46196</v>
      </c>
      <c r="D511" t="inlineStr">
        <is>
          <t>UPPSALA LÄN</t>
        </is>
      </c>
      <c r="E511" t="inlineStr">
        <is>
          <t>UPPSALA</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46196</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11276-2026</t>
        </is>
      </c>
      <c r="B513" s="1" t="n">
        <v>46080</v>
      </c>
      <c r="C513" s="1" t="n">
        <v>46196</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39795-2022</t>
        </is>
      </c>
      <c r="B514" s="1" t="n">
        <v>44819</v>
      </c>
      <c r="C514" s="1" t="n">
        <v>46196</v>
      </c>
      <c r="D514" t="inlineStr">
        <is>
          <t>UPPSALA LÄN</t>
        </is>
      </c>
      <c r="E514" t="inlineStr">
        <is>
          <t>UPPSALA</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8498-2026</t>
        </is>
      </c>
      <c r="B515" s="1" t="n">
        <v>46065</v>
      </c>
      <c r="C515" s="1" t="n">
        <v>46196</v>
      </c>
      <c r="D515" t="inlineStr">
        <is>
          <t>UPPSALA LÄN</t>
        </is>
      </c>
      <c r="E515" t="inlineStr">
        <is>
          <t>UPPSALA</t>
        </is>
      </c>
      <c r="G515" t="n">
        <v>1.9</v>
      </c>
      <c r="H515" t="n">
        <v>0</v>
      </c>
      <c r="I515" t="n">
        <v>0</v>
      </c>
      <c r="J515" t="n">
        <v>0</v>
      </c>
      <c r="K515" t="n">
        <v>0</v>
      </c>
      <c r="L515" t="n">
        <v>0</v>
      </c>
      <c r="M515" t="n">
        <v>0</v>
      </c>
      <c r="N515" t="n">
        <v>0</v>
      </c>
      <c r="O515" t="n">
        <v>0</v>
      </c>
      <c r="P515" t="n">
        <v>0</v>
      </c>
      <c r="Q515" t="n">
        <v>0</v>
      </c>
      <c r="R515" s="2" t="inlineStr"/>
    </row>
    <row r="516" ht="15" customHeight="1">
      <c r="A516" t="inlineStr">
        <is>
          <t>A 6408-2022</t>
        </is>
      </c>
      <c r="B516" s="1" t="n">
        <v>44600</v>
      </c>
      <c r="C516" s="1" t="n">
        <v>46196</v>
      </c>
      <c r="D516" t="inlineStr">
        <is>
          <t>UPPSALA LÄN</t>
        </is>
      </c>
      <c r="E516" t="inlineStr">
        <is>
          <t>UPPSALA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5722-2025</t>
        </is>
      </c>
      <c r="B517" s="1" t="n">
        <v>45694</v>
      </c>
      <c r="C517" s="1" t="n">
        <v>46196</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37316-2022</t>
        </is>
      </c>
      <c r="B518" s="1" t="n">
        <v>44806</v>
      </c>
      <c r="C518" s="1" t="n">
        <v>46196</v>
      </c>
      <c r="D518" t="inlineStr">
        <is>
          <t>UPPSALA LÄN</t>
        </is>
      </c>
      <c r="E518" t="inlineStr">
        <is>
          <t>UPPSALA</t>
        </is>
      </c>
      <c r="G518" t="n">
        <v>10.6</v>
      </c>
      <c r="H518" t="n">
        <v>0</v>
      </c>
      <c r="I518" t="n">
        <v>0</v>
      </c>
      <c r="J518" t="n">
        <v>0</v>
      </c>
      <c r="K518" t="n">
        <v>0</v>
      </c>
      <c r="L518" t="n">
        <v>0</v>
      </c>
      <c r="M518" t="n">
        <v>0</v>
      </c>
      <c r="N518" t="n">
        <v>0</v>
      </c>
      <c r="O518" t="n">
        <v>0</v>
      </c>
      <c r="P518" t="n">
        <v>0</v>
      </c>
      <c r="Q518" t="n">
        <v>0</v>
      </c>
      <c r="R518" s="2" t="inlineStr"/>
    </row>
    <row r="519" ht="15" customHeight="1">
      <c r="A519" t="inlineStr">
        <is>
          <t>A 6363-2024</t>
        </is>
      </c>
      <c r="B519" s="1" t="n">
        <v>45338</v>
      </c>
      <c r="C519" s="1" t="n">
        <v>46196</v>
      </c>
      <c r="D519" t="inlineStr">
        <is>
          <t>UPPSALA LÄN</t>
        </is>
      </c>
      <c r="E519" t="inlineStr">
        <is>
          <t>UPPSALA</t>
        </is>
      </c>
      <c r="G519" t="n">
        <v>1.3</v>
      </c>
      <c r="H519" t="n">
        <v>0</v>
      </c>
      <c r="I519" t="n">
        <v>0</v>
      </c>
      <c r="J519" t="n">
        <v>0</v>
      </c>
      <c r="K519" t="n">
        <v>0</v>
      </c>
      <c r="L519" t="n">
        <v>0</v>
      </c>
      <c r="M519" t="n">
        <v>0</v>
      </c>
      <c r="N519" t="n">
        <v>0</v>
      </c>
      <c r="O519" t="n">
        <v>0</v>
      </c>
      <c r="P519" t="n">
        <v>0</v>
      </c>
      <c r="Q519" t="n">
        <v>0</v>
      </c>
      <c r="R519" s="2" t="inlineStr"/>
    </row>
    <row r="520" ht="15" customHeight="1">
      <c r="A520" t="inlineStr">
        <is>
          <t>A 54808-2023</t>
        </is>
      </c>
      <c r="B520" s="1" t="n">
        <v>45236</v>
      </c>
      <c r="C520" s="1" t="n">
        <v>46196</v>
      </c>
      <c r="D520" t="inlineStr">
        <is>
          <t>UPPSALA LÄN</t>
        </is>
      </c>
      <c r="E520" t="inlineStr">
        <is>
          <t>UPPSALA</t>
        </is>
      </c>
      <c r="G520" t="n">
        <v>4.1</v>
      </c>
      <c r="H520" t="n">
        <v>0</v>
      </c>
      <c r="I520" t="n">
        <v>0</v>
      </c>
      <c r="J520" t="n">
        <v>0</v>
      </c>
      <c r="K520" t="n">
        <v>0</v>
      </c>
      <c r="L520" t="n">
        <v>0</v>
      </c>
      <c r="M520" t="n">
        <v>0</v>
      </c>
      <c r="N520" t="n">
        <v>0</v>
      </c>
      <c r="O520" t="n">
        <v>0</v>
      </c>
      <c r="P520" t="n">
        <v>0</v>
      </c>
      <c r="Q520" t="n">
        <v>0</v>
      </c>
      <c r="R520" s="2" t="inlineStr"/>
    </row>
    <row r="521" ht="15" customHeight="1">
      <c r="A521" t="inlineStr">
        <is>
          <t>A 11915-2026</t>
        </is>
      </c>
      <c r="B521" s="1" t="n">
        <v>46085</v>
      </c>
      <c r="C521" s="1" t="n">
        <v>46196</v>
      </c>
      <c r="D521" t="inlineStr">
        <is>
          <t>UPPSALA LÄN</t>
        </is>
      </c>
      <c r="E521" t="inlineStr">
        <is>
          <t>UPPSALA</t>
        </is>
      </c>
      <c r="G521" t="n">
        <v>7.3</v>
      </c>
      <c r="H521" t="n">
        <v>0</v>
      </c>
      <c r="I521" t="n">
        <v>0</v>
      </c>
      <c r="J521" t="n">
        <v>0</v>
      </c>
      <c r="K521" t="n">
        <v>0</v>
      </c>
      <c r="L521" t="n">
        <v>0</v>
      </c>
      <c r="M521" t="n">
        <v>0</v>
      </c>
      <c r="N521" t="n">
        <v>0</v>
      </c>
      <c r="O521" t="n">
        <v>0</v>
      </c>
      <c r="P521" t="n">
        <v>0</v>
      </c>
      <c r="Q521" t="n">
        <v>0</v>
      </c>
      <c r="R521" s="2" t="inlineStr"/>
    </row>
    <row r="522" ht="15" customHeight="1">
      <c r="A522" t="inlineStr">
        <is>
          <t>A 54813-2022</t>
        </is>
      </c>
      <c r="B522" s="1" t="n">
        <v>44883</v>
      </c>
      <c r="C522" s="1" t="n">
        <v>46196</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12409-2026</t>
        </is>
      </c>
      <c r="B523" s="1" t="n">
        <v>46090</v>
      </c>
      <c r="C523" s="1" t="n">
        <v>46196</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35542-2022</t>
        </is>
      </c>
      <c r="B524" s="1" t="n">
        <v>44799</v>
      </c>
      <c r="C524" s="1" t="n">
        <v>46196</v>
      </c>
      <c r="D524" t="inlineStr">
        <is>
          <t>UPPSALA LÄN</t>
        </is>
      </c>
      <c r="E524" t="inlineStr">
        <is>
          <t>UPPSALA</t>
        </is>
      </c>
      <c r="G524" t="n">
        <v>3.2</v>
      </c>
      <c r="H524" t="n">
        <v>0</v>
      </c>
      <c r="I524" t="n">
        <v>0</v>
      </c>
      <c r="J524" t="n">
        <v>0</v>
      </c>
      <c r="K524" t="n">
        <v>0</v>
      </c>
      <c r="L524" t="n">
        <v>0</v>
      </c>
      <c r="M524" t="n">
        <v>0</v>
      </c>
      <c r="N524" t="n">
        <v>0</v>
      </c>
      <c r="O524" t="n">
        <v>0</v>
      </c>
      <c r="P524" t="n">
        <v>0</v>
      </c>
      <c r="Q524" t="n">
        <v>0</v>
      </c>
      <c r="R524" s="2" t="inlineStr"/>
    </row>
    <row r="525" ht="15" customHeight="1">
      <c r="A525" t="inlineStr">
        <is>
          <t>A 12416-2026</t>
        </is>
      </c>
      <c r="B525" s="1" t="n">
        <v>46090</v>
      </c>
      <c r="C525" s="1" t="n">
        <v>46196</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7556-2026</t>
        </is>
      </c>
      <c r="B526" s="1" t="n">
        <v>46059</v>
      </c>
      <c r="C526" s="1" t="n">
        <v>46196</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12770-2026</t>
        </is>
      </c>
      <c r="B527" s="1" t="n">
        <v>46091</v>
      </c>
      <c r="C527" s="1" t="n">
        <v>46196</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12772-2026</t>
        </is>
      </c>
      <c r="B528" s="1" t="n">
        <v>46091</v>
      </c>
      <c r="C528" s="1" t="n">
        <v>46196</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47316-2023</t>
        </is>
      </c>
      <c r="B529" s="1" t="n">
        <v>45202</v>
      </c>
      <c r="C529" s="1" t="n">
        <v>46196</v>
      </c>
      <c r="D529" t="inlineStr">
        <is>
          <t>UPPSALA LÄN</t>
        </is>
      </c>
      <c r="E529" t="inlineStr">
        <is>
          <t>UPPSALA</t>
        </is>
      </c>
      <c r="F529" t="inlineStr">
        <is>
          <t>Bergvik skog öst AB</t>
        </is>
      </c>
      <c r="G529" t="n">
        <v>0.3</v>
      </c>
      <c r="H529" t="n">
        <v>0</v>
      </c>
      <c r="I529" t="n">
        <v>0</v>
      </c>
      <c r="J529" t="n">
        <v>0</v>
      </c>
      <c r="K529" t="n">
        <v>0</v>
      </c>
      <c r="L529" t="n">
        <v>0</v>
      </c>
      <c r="M529" t="n">
        <v>0</v>
      </c>
      <c r="N529" t="n">
        <v>0</v>
      </c>
      <c r="O529" t="n">
        <v>0</v>
      </c>
      <c r="P529" t="n">
        <v>0</v>
      </c>
      <c r="Q529" t="n">
        <v>0</v>
      </c>
      <c r="R529" s="2" t="inlineStr"/>
    </row>
    <row r="530" ht="15" customHeight="1">
      <c r="A530" t="inlineStr">
        <is>
          <t>A 6851-2022</t>
        </is>
      </c>
      <c r="B530" s="1" t="n">
        <v>44602</v>
      </c>
      <c r="C530" s="1" t="n">
        <v>46196</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39107-2023</t>
        </is>
      </c>
      <c r="B531" s="1" t="n">
        <v>45164</v>
      </c>
      <c r="C531" s="1" t="n">
        <v>46196</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12702-2026</t>
        </is>
      </c>
      <c r="B532" s="1" t="n">
        <v>46091</v>
      </c>
      <c r="C532" s="1" t="n">
        <v>46196</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12697-2026</t>
        </is>
      </c>
      <c r="B533" s="1" t="n">
        <v>46091</v>
      </c>
      <c r="C533" s="1" t="n">
        <v>46196</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12769-2026</t>
        </is>
      </c>
      <c r="B534" s="1" t="n">
        <v>46091</v>
      </c>
      <c r="C534" s="1" t="n">
        <v>46196</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12771-2026</t>
        </is>
      </c>
      <c r="B535" s="1" t="n">
        <v>46091</v>
      </c>
      <c r="C535" s="1" t="n">
        <v>46196</v>
      </c>
      <c r="D535" t="inlineStr">
        <is>
          <t>UPPSALA LÄN</t>
        </is>
      </c>
      <c r="E535" t="inlineStr">
        <is>
          <t>UPPSALA</t>
        </is>
      </c>
      <c r="G535" t="n">
        <v>2.3</v>
      </c>
      <c r="H535" t="n">
        <v>0</v>
      </c>
      <c r="I535" t="n">
        <v>0</v>
      </c>
      <c r="J535" t="n">
        <v>0</v>
      </c>
      <c r="K535" t="n">
        <v>0</v>
      </c>
      <c r="L535" t="n">
        <v>0</v>
      </c>
      <c r="M535" t="n">
        <v>0</v>
      </c>
      <c r="N535" t="n">
        <v>0</v>
      </c>
      <c r="O535" t="n">
        <v>0</v>
      </c>
      <c r="P535" t="n">
        <v>0</v>
      </c>
      <c r="Q535" t="n">
        <v>0</v>
      </c>
      <c r="R535" s="2" t="inlineStr"/>
    </row>
    <row r="536" ht="15" customHeight="1">
      <c r="A536" t="inlineStr">
        <is>
          <t>A 13433-2026</t>
        </is>
      </c>
      <c r="B536" s="1" t="n">
        <v>46094</v>
      </c>
      <c r="C536" s="1" t="n">
        <v>46196</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13404-2026</t>
        </is>
      </c>
      <c r="B537" s="1" t="n">
        <v>46094</v>
      </c>
      <c r="C537" s="1" t="n">
        <v>46196</v>
      </c>
      <c r="D537" t="inlineStr">
        <is>
          <t>UPPSALA LÄN</t>
        </is>
      </c>
      <c r="E537" t="inlineStr">
        <is>
          <t>UPPSALA</t>
        </is>
      </c>
      <c r="G537" t="n">
        <v>5.3</v>
      </c>
      <c r="H537" t="n">
        <v>0</v>
      </c>
      <c r="I537" t="n">
        <v>0</v>
      </c>
      <c r="J537" t="n">
        <v>0</v>
      </c>
      <c r="K537" t="n">
        <v>0</v>
      </c>
      <c r="L537" t="n">
        <v>0</v>
      </c>
      <c r="M537" t="n">
        <v>0</v>
      </c>
      <c r="N537" t="n">
        <v>0</v>
      </c>
      <c r="O537" t="n">
        <v>0</v>
      </c>
      <c r="P537" t="n">
        <v>0</v>
      </c>
      <c r="Q537" t="n">
        <v>0</v>
      </c>
      <c r="R537" s="2" t="inlineStr"/>
    </row>
    <row r="538" ht="15" customHeight="1">
      <c r="A538" t="inlineStr">
        <is>
          <t>A 13536-2026</t>
        </is>
      </c>
      <c r="B538" s="1" t="n">
        <v>46094</v>
      </c>
      <c r="C538" s="1" t="n">
        <v>46196</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48564-2023</t>
        </is>
      </c>
      <c r="B539" s="1" t="n">
        <v>45208</v>
      </c>
      <c r="C539" s="1" t="n">
        <v>46196</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13434-2026</t>
        </is>
      </c>
      <c r="B540" s="1" t="n">
        <v>46094</v>
      </c>
      <c r="C540" s="1" t="n">
        <v>46196</v>
      </c>
      <c r="D540" t="inlineStr">
        <is>
          <t>UPPSALA LÄN</t>
        </is>
      </c>
      <c r="E540" t="inlineStr">
        <is>
          <t>UPPSALA</t>
        </is>
      </c>
      <c r="G540" t="n">
        <v>0.3</v>
      </c>
      <c r="H540" t="n">
        <v>0</v>
      </c>
      <c r="I540" t="n">
        <v>0</v>
      </c>
      <c r="J540" t="n">
        <v>0</v>
      </c>
      <c r="K540" t="n">
        <v>0</v>
      </c>
      <c r="L540" t="n">
        <v>0</v>
      </c>
      <c r="M540" t="n">
        <v>0</v>
      </c>
      <c r="N540" t="n">
        <v>0</v>
      </c>
      <c r="O540" t="n">
        <v>0</v>
      </c>
      <c r="P540" t="n">
        <v>0</v>
      </c>
      <c r="Q540" t="n">
        <v>0</v>
      </c>
      <c r="R540" s="2" t="inlineStr"/>
    </row>
    <row r="541" ht="15" customHeight="1">
      <c r="A541" t="inlineStr">
        <is>
          <t>A 13075-2026</t>
        </is>
      </c>
      <c r="B541" s="1" t="n">
        <v>46093</v>
      </c>
      <c r="C541" s="1" t="n">
        <v>46196</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13485-2026</t>
        </is>
      </c>
      <c r="B542" s="1" t="n">
        <v>46094</v>
      </c>
      <c r="C542" s="1" t="n">
        <v>46196</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21727-2023</t>
        </is>
      </c>
      <c r="B543" s="1" t="n">
        <v>45065</v>
      </c>
      <c r="C543" s="1" t="n">
        <v>46196</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13337-2026</t>
        </is>
      </c>
      <c r="B544" s="1" t="n">
        <v>46094</v>
      </c>
      <c r="C544" s="1" t="n">
        <v>46196</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32276-2021</t>
        </is>
      </c>
      <c r="B545" s="1" t="n">
        <v>44371</v>
      </c>
      <c r="C545" s="1" t="n">
        <v>46196</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6549-2025</t>
        </is>
      </c>
      <c r="B546" s="1" t="n">
        <v>45699</v>
      </c>
      <c r="C546" s="1" t="n">
        <v>46196</v>
      </c>
      <c r="D546" t="inlineStr">
        <is>
          <t>UPPSALA LÄN</t>
        </is>
      </c>
      <c r="E546" t="inlineStr">
        <is>
          <t>UPPSALA</t>
        </is>
      </c>
      <c r="G546" t="n">
        <v>2.4</v>
      </c>
      <c r="H546" t="n">
        <v>0</v>
      </c>
      <c r="I546" t="n">
        <v>0</v>
      </c>
      <c r="J546" t="n">
        <v>0</v>
      </c>
      <c r="K546" t="n">
        <v>0</v>
      </c>
      <c r="L546" t="n">
        <v>0</v>
      </c>
      <c r="M546" t="n">
        <v>0</v>
      </c>
      <c r="N546" t="n">
        <v>0</v>
      </c>
      <c r="O546" t="n">
        <v>0</v>
      </c>
      <c r="P546" t="n">
        <v>0</v>
      </c>
      <c r="Q546" t="n">
        <v>0</v>
      </c>
      <c r="R546" s="2" t="inlineStr"/>
    </row>
    <row r="547" ht="15" customHeight="1">
      <c r="A547" t="inlineStr">
        <is>
          <t>A 7002-2023</t>
        </is>
      </c>
      <c r="B547" s="1" t="n">
        <v>44967</v>
      </c>
      <c r="C547" s="1" t="n">
        <v>46196</v>
      </c>
      <c r="D547" t="inlineStr">
        <is>
          <t>UPPSALA LÄN</t>
        </is>
      </c>
      <c r="E547" t="inlineStr">
        <is>
          <t>UPPSALA</t>
        </is>
      </c>
      <c r="G547" t="n">
        <v>5</v>
      </c>
      <c r="H547" t="n">
        <v>0</v>
      </c>
      <c r="I547" t="n">
        <v>0</v>
      </c>
      <c r="J547" t="n">
        <v>0</v>
      </c>
      <c r="K547" t="n">
        <v>0</v>
      </c>
      <c r="L547" t="n">
        <v>0</v>
      </c>
      <c r="M547" t="n">
        <v>0</v>
      </c>
      <c r="N547" t="n">
        <v>0</v>
      </c>
      <c r="O547" t="n">
        <v>0</v>
      </c>
      <c r="P547" t="n">
        <v>0</v>
      </c>
      <c r="Q547" t="n">
        <v>0</v>
      </c>
      <c r="R547" s="2" t="inlineStr"/>
    </row>
    <row r="548" ht="15" customHeight="1">
      <c r="A548" t="inlineStr">
        <is>
          <t>A 13607-2026</t>
        </is>
      </c>
      <c r="B548" s="1" t="n">
        <v>46097</v>
      </c>
      <c r="C548" s="1" t="n">
        <v>46196</v>
      </c>
      <c r="D548" t="inlineStr">
        <is>
          <t>UPPSALA LÄN</t>
        </is>
      </c>
      <c r="E548" t="inlineStr">
        <is>
          <t>UPPSALA</t>
        </is>
      </c>
      <c r="G548" t="n">
        <v>3.3</v>
      </c>
      <c r="H548" t="n">
        <v>0</v>
      </c>
      <c r="I548" t="n">
        <v>0</v>
      </c>
      <c r="J548" t="n">
        <v>0</v>
      </c>
      <c r="K548" t="n">
        <v>0</v>
      </c>
      <c r="L548" t="n">
        <v>0</v>
      </c>
      <c r="M548" t="n">
        <v>0</v>
      </c>
      <c r="N548" t="n">
        <v>0</v>
      </c>
      <c r="O548" t="n">
        <v>0</v>
      </c>
      <c r="P548" t="n">
        <v>0</v>
      </c>
      <c r="Q548" t="n">
        <v>0</v>
      </c>
      <c r="R548" s="2" t="inlineStr"/>
    </row>
    <row r="549" ht="15" customHeight="1">
      <c r="A549" t="inlineStr">
        <is>
          <t>A 13934-2026</t>
        </is>
      </c>
      <c r="B549" s="1" t="n">
        <v>46098</v>
      </c>
      <c r="C549" s="1" t="n">
        <v>46196</v>
      </c>
      <c r="D549" t="inlineStr">
        <is>
          <t>UPPSALA LÄN</t>
        </is>
      </c>
      <c r="E549" t="inlineStr">
        <is>
          <t>UPPSALA</t>
        </is>
      </c>
      <c r="G549" t="n">
        <v>1</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46196</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15753-2026</t>
        </is>
      </c>
      <c r="B551" s="1" t="n">
        <v>46107</v>
      </c>
      <c r="C551" s="1" t="n">
        <v>46196</v>
      </c>
      <c r="D551" t="inlineStr">
        <is>
          <t>UPPSALA LÄN</t>
        </is>
      </c>
      <c r="E551" t="inlineStr">
        <is>
          <t>UPPSALA</t>
        </is>
      </c>
      <c r="F551" t="inlineStr">
        <is>
          <t>Allmännings- och besparingsskogar</t>
        </is>
      </c>
      <c r="G551" t="n">
        <v>2.7</v>
      </c>
      <c r="H551" t="n">
        <v>0</v>
      </c>
      <c r="I551" t="n">
        <v>0</v>
      </c>
      <c r="J551" t="n">
        <v>0</v>
      </c>
      <c r="K551" t="n">
        <v>0</v>
      </c>
      <c r="L551" t="n">
        <v>0</v>
      </c>
      <c r="M551" t="n">
        <v>0</v>
      </c>
      <c r="N551" t="n">
        <v>0</v>
      </c>
      <c r="O551" t="n">
        <v>0</v>
      </c>
      <c r="P551" t="n">
        <v>0</v>
      </c>
      <c r="Q551" t="n">
        <v>0</v>
      </c>
      <c r="R551" s="2" t="inlineStr"/>
      <c r="U551">
        <f>HYPERLINK("https://klasma.github.io/Logging_0380/knärot/A 15753-2026 karta knärot.png", "A 15753-2026")</f>
        <v/>
      </c>
      <c r="V551">
        <f>HYPERLINK("https://klasma.github.io/Logging_0380/klagomål/A 15753-2026 FSC-klagomål.docx", "A 15753-2026")</f>
        <v/>
      </c>
      <c r="W551">
        <f>HYPERLINK("https://klasma.github.io/Logging_0380/klagomålsmail/A 15753-2026 FSC-klagomål mail.docx", "A 15753-2026")</f>
        <v/>
      </c>
      <c r="X551">
        <f>HYPERLINK("https://klasma.github.io/Logging_0380/tillsyn/A 15753-2026 tillsynsbegäran.docx", "A 15753-2026")</f>
        <v/>
      </c>
      <c r="Y551">
        <f>HYPERLINK("https://klasma.github.io/Logging_0380/tillsynsmail/A 15753-2026 tillsynsbegäran mail.docx", "A 15753-2026")</f>
        <v/>
      </c>
    </row>
    <row r="552" ht="15" customHeight="1">
      <c r="A552" t="inlineStr">
        <is>
          <t>A 15935-2026</t>
        </is>
      </c>
      <c r="B552" s="1" t="n">
        <v>46107</v>
      </c>
      <c r="C552" s="1" t="n">
        <v>46196</v>
      </c>
      <c r="D552" t="inlineStr">
        <is>
          <t>UPPSALA LÄN</t>
        </is>
      </c>
      <c r="E552" t="inlineStr">
        <is>
          <t>UPPSALA</t>
        </is>
      </c>
      <c r="G552" t="n">
        <v>1.7</v>
      </c>
      <c r="H552" t="n">
        <v>0</v>
      </c>
      <c r="I552" t="n">
        <v>0</v>
      </c>
      <c r="J552" t="n">
        <v>0</v>
      </c>
      <c r="K552" t="n">
        <v>0</v>
      </c>
      <c r="L552" t="n">
        <v>0</v>
      </c>
      <c r="M552" t="n">
        <v>0</v>
      </c>
      <c r="N552" t="n">
        <v>0</v>
      </c>
      <c r="O552" t="n">
        <v>0</v>
      </c>
      <c r="P552" t="n">
        <v>0</v>
      </c>
      <c r="Q552" t="n">
        <v>0</v>
      </c>
      <c r="R552" s="2" t="inlineStr"/>
    </row>
    <row r="553" ht="15" customHeight="1">
      <c r="A553" t="inlineStr">
        <is>
          <t>A 15940-2026</t>
        </is>
      </c>
      <c r="B553" s="1" t="n">
        <v>46107</v>
      </c>
      <c r="C553" s="1" t="n">
        <v>46196</v>
      </c>
      <c r="D553" t="inlineStr">
        <is>
          <t>UPPSALA LÄN</t>
        </is>
      </c>
      <c r="E553" t="inlineStr">
        <is>
          <t>UPPSALA</t>
        </is>
      </c>
      <c r="G553" t="n">
        <v>19.9</v>
      </c>
      <c r="H553" t="n">
        <v>0</v>
      </c>
      <c r="I553" t="n">
        <v>0</v>
      </c>
      <c r="J553" t="n">
        <v>0</v>
      </c>
      <c r="K553" t="n">
        <v>0</v>
      </c>
      <c r="L553" t="n">
        <v>0</v>
      </c>
      <c r="M553" t="n">
        <v>0</v>
      </c>
      <c r="N553" t="n">
        <v>0</v>
      </c>
      <c r="O553" t="n">
        <v>0</v>
      </c>
      <c r="P553" t="n">
        <v>0</v>
      </c>
      <c r="Q553" t="n">
        <v>0</v>
      </c>
      <c r="R553" s="2" t="inlineStr"/>
    </row>
    <row r="554" ht="15" customHeight="1">
      <c r="A554" t="inlineStr">
        <is>
          <t>A 16139-2026</t>
        </is>
      </c>
      <c r="B554" s="1" t="n">
        <v>46108</v>
      </c>
      <c r="C554" s="1" t="n">
        <v>46196</v>
      </c>
      <c r="D554" t="inlineStr">
        <is>
          <t>UPPSALA LÄN</t>
        </is>
      </c>
      <c r="E554" t="inlineStr">
        <is>
          <t>UPPSALA</t>
        </is>
      </c>
      <c r="G554" t="n">
        <v>3.3</v>
      </c>
      <c r="H554" t="n">
        <v>0</v>
      </c>
      <c r="I554" t="n">
        <v>0</v>
      </c>
      <c r="J554" t="n">
        <v>0</v>
      </c>
      <c r="K554" t="n">
        <v>0</v>
      </c>
      <c r="L554" t="n">
        <v>0</v>
      </c>
      <c r="M554" t="n">
        <v>0</v>
      </c>
      <c r="N554" t="n">
        <v>0</v>
      </c>
      <c r="O554" t="n">
        <v>0</v>
      </c>
      <c r="P554" t="n">
        <v>0</v>
      </c>
      <c r="Q554" t="n">
        <v>0</v>
      </c>
      <c r="R554" s="2" t="inlineStr"/>
    </row>
    <row r="555" ht="15" customHeight="1">
      <c r="A555" t="inlineStr">
        <is>
          <t>A 16673-2026</t>
        </is>
      </c>
      <c r="B555" s="1" t="n">
        <v>46112</v>
      </c>
      <c r="C555" s="1" t="n">
        <v>46196</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16396-2026</t>
        </is>
      </c>
      <c r="B556" s="1" t="n">
        <v>46111</v>
      </c>
      <c r="C556" s="1" t="n">
        <v>46196</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16403-2026</t>
        </is>
      </c>
      <c r="B557" s="1" t="n">
        <v>46111</v>
      </c>
      <c r="C557" s="1" t="n">
        <v>46196</v>
      </c>
      <c r="D557" t="inlineStr">
        <is>
          <t>UPPSALA LÄN</t>
        </is>
      </c>
      <c r="E557" t="inlineStr">
        <is>
          <t>UPPSALA</t>
        </is>
      </c>
      <c r="G557" t="n">
        <v>4.5</v>
      </c>
      <c r="H557" t="n">
        <v>0</v>
      </c>
      <c r="I557" t="n">
        <v>0</v>
      </c>
      <c r="J557" t="n">
        <v>0</v>
      </c>
      <c r="K557" t="n">
        <v>0</v>
      </c>
      <c r="L557" t="n">
        <v>0</v>
      </c>
      <c r="M557" t="n">
        <v>0</v>
      </c>
      <c r="N557" t="n">
        <v>0</v>
      </c>
      <c r="O557" t="n">
        <v>0</v>
      </c>
      <c r="P557" t="n">
        <v>0</v>
      </c>
      <c r="Q557" t="n">
        <v>0</v>
      </c>
      <c r="R557" s="2" t="inlineStr"/>
    </row>
    <row r="558" ht="15" customHeight="1">
      <c r="A558" t="inlineStr">
        <is>
          <t>A 16390-2026</t>
        </is>
      </c>
      <c r="B558" s="1" t="n">
        <v>46111</v>
      </c>
      <c r="C558" s="1" t="n">
        <v>46196</v>
      </c>
      <c r="D558" t="inlineStr">
        <is>
          <t>UPPSALA LÄN</t>
        </is>
      </c>
      <c r="E558" t="inlineStr">
        <is>
          <t>UPPSALA</t>
        </is>
      </c>
      <c r="G558" t="n">
        <v>4.5</v>
      </c>
      <c r="H558" t="n">
        <v>0</v>
      </c>
      <c r="I558" t="n">
        <v>0</v>
      </c>
      <c r="J558" t="n">
        <v>0</v>
      </c>
      <c r="K558" t="n">
        <v>0</v>
      </c>
      <c r="L558" t="n">
        <v>0</v>
      </c>
      <c r="M558" t="n">
        <v>0</v>
      </c>
      <c r="N558" t="n">
        <v>0</v>
      </c>
      <c r="O558" t="n">
        <v>0</v>
      </c>
      <c r="P558" t="n">
        <v>0</v>
      </c>
      <c r="Q558" t="n">
        <v>0</v>
      </c>
      <c r="R558" s="2" t="inlineStr"/>
    </row>
    <row r="559" ht="15" customHeight="1">
      <c r="A559" t="inlineStr">
        <is>
          <t>A 16676-2026</t>
        </is>
      </c>
      <c r="B559" s="1" t="n">
        <v>46112</v>
      </c>
      <c r="C559" s="1" t="n">
        <v>46196</v>
      </c>
      <c r="D559" t="inlineStr">
        <is>
          <t>UPPSALA LÄN</t>
        </is>
      </c>
      <c r="E559" t="inlineStr">
        <is>
          <t>UPPSALA</t>
        </is>
      </c>
      <c r="G559" t="n">
        <v>0.5</v>
      </c>
      <c r="H559" t="n">
        <v>0</v>
      </c>
      <c r="I559" t="n">
        <v>0</v>
      </c>
      <c r="J559" t="n">
        <v>0</v>
      </c>
      <c r="K559" t="n">
        <v>0</v>
      </c>
      <c r="L559" t="n">
        <v>0</v>
      </c>
      <c r="M559" t="n">
        <v>0</v>
      </c>
      <c r="N559" t="n">
        <v>0</v>
      </c>
      <c r="O559" t="n">
        <v>0</v>
      </c>
      <c r="P559" t="n">
        <v>0</v>
      </c>
      <c r="Q559" t="n">
        <v>0</v>
      </c>
      <c r="R559" s="2" t="inlineStr"/>
    </row>
    <row r="560" ht="15" customHeight="1">
      <c r="A560" t="inlineStr">
        <is>
          <t>A 12606-2023</t>
        </is>
      </c>
      <c r="B560" s="1" t="n">
        <v>45000</v>
      </c>
      <c r="C560" s="1" t="n">
        <v>46196</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44115-2023</t>
        </is>
      </c>
      <c r="B561" s="1" t="n">
        <v>45188</v>
      </c>
      <c r="C561" s="1" t="n">
        <v>46196</v>
      </c>
      <c r="D561" t="inlineStr">
        <is>
          <t>UPPSALA LÄN</t>
        </is>
      </c>
      <c r="E561" t="inlineStr">
        <is>
          <t>UPPSALA</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42063-2023</t>
        </is>
      </c>
      <c r="B562" s="1" t="n">
        <v>45177</v>
      </c>
      <c r="C562" s="1" t="n">
        <v>46196</v>
      </c>
      <c r="D562" t="inlineStr">
        <is>
          <t>UPPSALA LÄN</t>
        </is>
      </c>
      <c r="E562" t="inlineStr">
        <is>
          <t>UPPSALA</t>
        </is>
      </c>
      <c r="G562" t="n">
        <v>5.6</v>
      </c>
      <c r="H562" t="n">
        <v>0</v>
      </c>
      <c r="I562" t="n">
        <v>0</v>
      </c>
      <c r="J562" t="n">
        <v>0</v>
      </c>
      <c r="K562" t="n">
        <v>0</v>
      </c>
      <c r="L562" t="n">
        <v>0</v>
      </c>
      <c r="M562" t="n">
        <v>0</v>
      </c>
      <c r="N562" t="n">
        <v>0</v>
      </c>
      <c r="O562" t="n">
        <v>0</v>
      </c>
      <c r="P562" t="n">
        <v>0</v>
      </c>
      <c r="Q562" t="n">
        <v>0</v>
      </c>
      <c r="R562" s="2" t="inlineStr"/>
    </row>
    <row r="563" ht="15" customHeight="1">
      <c r="A563" t="inlineStr">
        <is>
          <t>A 22523-2026</t>
        </is>
      </c>
      <c r="B563" s="1" t="n">
        <v>46155</v>
      </c>
      <c r="C563" s="1" t="n">
        <v>46196</v>
      </c>
      <c r="D563" t="inlineStr">
        <is>
          <t>UPPSALA LÄN</t>
        </is>
      </c>
      <c r="E563" t="inlineStr">
        <is>
          <t>UPPSALA</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22531-2026</t>
        </is>
      </c>
      <c r="B564" s="1" t="n">
        <v>46155</v>
      </c>
      <c r="C564" s="1" t="n">
        <v>46196</v>
      </c>
      <c r="D564" t="inlineStr">
        <is>
          <t>UPPSALA LÄN</t>
        </is>
      </c>
      <c r="E564" t="inlineStr">
        <is>
          <t>UPPSALA</t>
        </is>
      </c>
      <c r="F564" t="inlineStr">
        <is>
          <t>Allmännings- och besparingsskogar</t>
        </is>
      </c>
      <c r="G564" t="n">
        <v>3</v>
      </c>
      <c r="H564" t="n">
        <v>0</v>
      </c>
      <c r="I564" t="n">
        <v>0</v>
      </c>
      <c r="J564" t="n">
        <v>0</v>
      </c>
      <c r="K564" t="n">
        <v>0</v>
      </c>
      <c r="L564" t="n">
        <v>0</v>
      </c>
      <c r="M564" t="n">
        <v>0</v>
      </c>
      <c r="N564" t="n">
        <v>0</v>
      </c>
      <c r="O564" t="n">
        <v>0</v>
      </c>
      <c r="P564" t="n">
        <v>0</v>
      </c>
      <c r="Q564" t="n">
        <v>0</v>
      </c>
      <c r="R564" s="2" t="inlineStr"/>
    </row>
    <row r="565" ht="15" customHeight="1">
      <c r="A565" t="inlineStr">
        <is>
          <t>A 17127-2026</t>
        </is>
      </c>
      <c r="B565" s="1" t="n">
        <v>46114</v>
      </c>
      <c r="C565" s="1" t="n">
        <v>46196</v>
      </c>
      <c r="D565" t="inlineStr">
        <is>
          <t>UPPSALA LÄN</t>
        </is>
      </c>
      <c r="E565" t="inlineStr">
        <is>
          <t>UPPSALA</t>
        </is>
      </c>
      <c r="F565" t="inlineStr">
        <is>
          <t>Bergvik skog öst AB</t>
        </is>
      </c>
      <c r="G565" t="n">
        <v>2.6</v>
      </c>
      <c r="H565" t="n">
        <v>0</v>
      </c>
      <c r="I565" t="n">
        <v>0</v>
      </c>
      <c r="J565" t="n">
        <v>0</v>
      </c>
      <c r="K565" t="n">
        <v>0</v>
      </c>
      <c r="L565" t="n">
        <v>0</v>
      </c>
      <c r="M565" t="n">
        <v>0</v>
      </c>
      <c r="N565" t="n">
        <v>0</v>
      </c>
      <c r="O565" t="n">
        <v>0</v>
      </c>
      <c r="P565" t="n">
        <v>0</v>
      </c>
      <c r="Q565" t="n">
        <v>0</v>
      </c>
      <c r="R565" s="2" t="inlineStr"/>
    </row>
    <row r="566" ht="15" customHeight="1">
      <c r="A566" t="inlineStr">
        <is>
          <t>A 17133-2026</t>
        </is>
      </c>
      <c r="B566" s="1" t="n">
        <v>46114</v>
      </c>
      <c r="C566" s="1" t="n">
        <v>46196</v>
      </c>
      <c r="D566" t="inlineStr">
        <is>
          <t>UPPSALA LÄN</t>
        </is>
      </c>
      <c r="E566" t="inlineStr">
        <is>
          <t>UPPSALA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17125-2026</t>
        </is>
      </c>
      <c r="B567" s="1" t="n">
        <v>46114</v>
      </c>
      <c r="C567" s="1" t="n">
        <v>46196</v>
      </c>
      <c r="D567" t="inlineStr">
        <is>
          <t>UPPSALA LÄN</t>
        </is>
      </c>
      <c r="E567" t="inlineStr">
        <is>
          <t>UPPSALA</t>
        </is>
      </c>
      <c r="F567" t="inlineStr">
        <is>
          <t>Bergvik skog öst AB</t>
        </is>
      </c>
      <c r="G567" t="n">
        <v>1.5</v>
      </c>
      <c r="H567" t="n">
        <v>0</v>
      </c>
      <c r="I567" t="n">
        <v>0</v>
      </c>
      <c r="J567" t="n">
        <v>0</v>
      </c>
      <c r="K567" t="n">
        <v>0</v>
      </c>
      <c r="L567" t="n">
        <v>0</v>
      </c>
      <c r="M567" t="n">
        <v>0</v>
      </c>
      <c r="N567" t="n">
        <v>0</v>
      </c>
      <c r="O567" t="n">
        <v>0</v>
      </c>
      <c r="P567" t="n">
        <v>0</v>
      </c>
      <c r="Q567" t="n">
        <v>0</v>
      </c>
      <c r="R567" s="2" t="inlineStr"/>
    </row>
    <row r="568" ht="15" customHeight="1">
      <c r="A568" t="inlineStr">
        <is>
          <t>A 17131-2026</t>
        </is>
      </c>
      <c r="B568" s="1" t="n">
        <v>46114</v>
      </c>
      <c r="C568" s="1" t="n">
        <v>46196</v>
      </c>
      <c r="D568" t="inlineStr">
        <is>
          <t>UPPSALA LÄN</t>
        </is>
      </c>
      <c r="E568" t="inlineStr">
        <is>
          <t>UPPSALA</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22557-2026</t>
        </is>
      </c>
      <c r="B569" s="1" t="n">
        <v>46155</v>
      </c>
      <c r="C569" s="1" t="n">
        <v>46196</v>
      </c>
      <c r="D569" t="inlineStr">
        <is>
          <t>UPPSALA LÄN</t>
        </is>
      </c>
      <c r="E569" t="inlineStr">
        <is>
          <t>UPPSALA</t>
        </is>
      </c>
      <c r="F569" t="inlineStr">
        <is>
          <t>Övriga Aktiebolag</t>
        </is>
      </c>
      <c r="G569" t="n">
        <v>7.7</v>
      </c>
      <c r="H569" t="n">
        <v>0</v>
      </c>
      <c r="I569" t="n">
        <v>0</v>
      </c>
      <c r="J569" t="n">
        <v>0</v>
      </c>
      <c r="K569" t="n">
        <v>0</v>
      </c>
      <c r="L569" t="n">
        <v>0</v>
      </c>
      <c r="M569" t="n">
        <v>0</v>
      </c>
      <c r="N569" t="n">
        <v>0</v>
      </c>
      <c r="O569" t="n">
        <v>0</v>
      </c>
      <c r="P569" t="n">
        <v>0</v>
      </c>
      <c r="Q569" t="n">
        <v>0</v>
      </c>
      <c r="R569" s="2" t="inlineStr"/>
    </row>
    <row r="570" ht="15" customHeight="1">
      <c r="A570" t="inlineStr">
        <is>
          <t>A 22900-2026</t>
        </is>
      </c>
      <c r="B570" s="1" t="n">
        <v>46160</v>
      </c>
      <c r="C570" s="1" t="n">
        <v>46196</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22807-2026</t>
        </is>
      </c>
      <c r="B571" s="1" t="n">
        <v>46160</v>
      </c>
      <c r="C571" s="1" t="n">
        <v>46196</v>
      </c>
      <c r="D571" t="inlineStr">
        <is>
          <t>UPPSALA LÄN</t>
        </is>
      </c>
      <c r="E571" t="inlineStr">
        <is>
          <t>UPPSALA</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23124-2026</t>
        </is>
      </c>
      <c r="B572" s="1" t="n">
        <v>46161</v>
      </c>
      <c r="C572" s="1" t="n">
        <v>46196</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17217-2026</t>
        </is>
      </c>
      <c r="B573" s="1" t="n">
        <v>46119</v>
      </c>
      <c r="C573" s="1" t="n">
        <v>46196</v>
      </c>
      <c r="D573" t="inlineStr">
        <is>
          <t>UPPSALA LÄN</t>
        </is>
      </c>
      <c r="E573" t="inlineStr">
        <is>
          <t>UPPSALA</t>
        </is>
      </c>
      <c r="G573" t="n">
        <v>2.5</v>
      </c>
      <c r="H573" t="n">
        <v>0</v>
      </c>
      <c r="I573" t="n">
        <v>0</v>
      </c>
      <c r="J573" t="n">
        <v>0</v>
      </c>
      <c r="K573" t="n">
        <v>0</v>
      </c>
      <c r="L573" t="n">
        <v>0</v>
      </c>
      <c r="M573" t="n">
        <v>0</v>
      </c>
      <c r="N573" t="n">
        <v>0</v>
      </c>
      <c r="O573" t="n">
        <v>0</v>
      </c>
      <c r="P573" t="n">
        <v>0</v>
      </c>
      <c r="Q573" t="n">
        <v>0</v>
      </c>
      <c r="R573" s="2" t="inlineStr"/>
    </row>
    <row r="574" ht="15" customHeight="1">
      <c r="A574" t="inlineStr">
        <is>
          <t>A 17073-2026</t>
        </is>
      </c>
      <c r="B574" s="1" t="n">
        <v>46114</v>
      </c>
      <c r="C574" s="1" t="n">
        <v>46196</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17218-2026</t>
        </is>
      </c>
      <c r="B575" s="1" t="n">
        <v>46119</v>
      </c>
      <c r="C575" s="1" t="n">
        <v>46196</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20497-2022</t>
        </is>
      </c>
      <c r="B576" s="1" t="n">
        <v>44699</v>
      </c>
      <c r="C576" s="1" t="n">
        <v>46196</v>
      </c>
      <c r="D576" t="inlineStr">
        <is>
          <t>UPPSALA LÄN</t>
        </is>
      </c>
      <c r="E576" t="inlineStr">
        <is>
          <t>UPPSALA</t>
        </is>
      </c>
      <c r="F576" t="inlineStr">
        <is>
          <t>Övriga statliga verk och myndigheter</t>
        </is>
      </c>
      <c r="G576" t="n">
        <v>1</v>
      </c>
      <c r="H576" t="n">
        <v>0</v>
      </c>
      <c r="I576" t="n">
        <v>0</v>
      </c>
      <c r="J576" t="n">
        <v>0</v>
      </c>
      <c r="K576" t="n">
        <v>0</v>
      </c>
      <c r="L576" t="n">
        <v>0</v>
      </c>
      <c r="M576" t="n">
        <v>0</v>
      </c>
      <c r="N576" t="n">
        <v>0</v>
      </c>
      <c r="O576" t="n">
        <v>0</v>
      </c>
      <c r="P576" t="n">
        <v>0</v>
      </c>
      <c r="Q576" t="n">
        <v>0</v>
      </c>
      <c r="R576" s="2" t="inlineStr"/>
    </row>
    <row r="577" ht="15" customHeight="1">
      <c r="A577" t="inlineStr">
        <is>
          <t>A 17899-2026</t>
        </is>
      </c>
      <c r="B577" s="1" t="n">
        <v>46122</v>
      </c>
      <c r="C577" s="1" t="n">
        <v>46196</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23584-2026</t>
        </is>
      </c>
      <c r="B578" s="1" t="n">
        <v>46163</v>
      </c>
      <c r="C578" s="1" t="n">
        <v>46196</v>
      </c>
      <c r="D578" t="inlineStr">
        <is>
          <t>UPPSALA LÄN</t>
        </is>
      </c>
      <c r="E578" t="inlineStr">
        <is>
          <t>UPPSALA</t>
        </is>
      </c>
      <c r="G578" t="n">
        <v>12.7</v>
      </c>
      <c r="H578" t="n">
        <v>0</v>
      </c>
      <c r="I578" t="n">
        <v>0</v>
      </c>
      <c r="J578" t="n">
        <v>0</v>
      </c>
      <c r="K578" t="n">
        <v>0</v>
      </c>
      <c r="L578" t="n">
        <v>0</v>
      </c>
      <c r="M578" t="n">
        <v>0</v>
      </c>
      <c r="N578" t="n">
        <v>0</v>
      </c>
      <c r="O578" t="n">
        <v>0</v>
      </c>
      <c r="P578" t="n">
        <v>0</v>
      </c>
      <c r="Q578" t="n">
        <v>0</v>
      </c>
      <c r="R578" s="2" t="inlineStr"/>
    </row>
    <row r="579" ht="15" customHeight="1">
      <c r="A579" t="inlineStr">
        <is>
          <t>A 23413-2026</t>
        </is>
      </c>
      <c r="B579" s="1" t="n">
        <v>46162</v>
      </c>
      <c r="C579" s="1" t="n">
        <v>46196</v>
      </c>
      <c r="D579" t="inlineStr">
        <is>
          <t>UPPSALA LÄN</t>
        </is>
      </c>
      <c r="E579" t="inlineStr">
        <is>
          <t>UPPSALA</t>
        </is>
      </c>
      <c r="F579" t="inlineStr">
        <is>
          <t>Bergvik skog öst AB</t>
        </is>
      </c>
      <c r="G579" t="n">
        <v>9.6</v>
      </c>
      <c r="H579" t="n">
        <v>0</v>
      </c>
      <c r="I579" t="n">
        <v>0</v>
      </c>
      <c r="J579" t="n">
        <v>0</v>
      </c>
      <c r="K579" t="n">
        <v>0</v>
      </c>
      <c r="L579" t="n">
        <v>0</v>
      </c>
      <c r="M579" t="n">
        <v>0</v>
      </c>
      <c r="N579" t="n">
        <v>0</v>
      </c>
      <c r="O579" t="n">
        <v>0</v>
      </c>
      <c r="P579" t="n">
        <v>0</v>
      </c>
      <c r="Q579" t="n">
        <v>0</v>
      </c>
      <c r="R579" s="2" t="inlineStr"/>
    </row>
    <row r="580" ht="15" customHeight="1">
      <c r="A580" t="inlineStr">
        <is>
          <t>A 23614-2026</t>
        </is>
      </c>
      <c r="B580" s="1" t="n">
        <v>46163</v>
      </c>
      <c r="C580" s="1" t="n">
        <v>46196</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17898-2026</t>
        </is>
      </c>
      <c r="B581" s="1" t="n">
        <v>46122</v>
      </c>
      <c r="C581" s="1" t="n">
        <v>46196</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17786-2026</t>
        </is>
      </c>
      <c r="B582" s="1" t="n">
        <v>46122</v>
      </c>
      <c r="C582" s="1" t="n">
        <v>46196</v>
      </c>
      <c r="D582" t="inlineStr">
        <is>
          <t>UPPSALA LÄN</t>
        </is>
      </c>
      <c r="E582" t="inlineStr">
        <is>
          <t>UPPSALA</t>
        </is>
      </c>
      <c r="F582" t="inlineStr">
        <is>
          <t>Bergvik skog öst AB</t>
        </is>
      </c>
      <c r="G582" t="n">
        <v>4.3</v>
      </c>
      <c r="H582" t="n">
        <v>0</v>
      </c>
      <c r="I582" t="n">
        <v>0</v>
      </c>
      <c r="J582" t="n">
        <v>0</v>
      </c>
      <c r="K582" t="n">
        <v>0</v>
      </c>
      <c r="L582" t="n">
        <v>0</v>
      </c>
      <c r="M582" t="n">
        <v>0</v>
      </c>
      <c r="N582" t="n">
        <v>0</v>
      </c>
      <c r="O582" t="n">
        <v>0</v>
      </c>
      <c r="P582" t="n">
        <v>0</v>
      </c>
      <c r="Q582" t="n">
        <v>0</v>
      </c>
      <c r="R582" s="2" t="inlineStr"/>
    </row>
    <row r="583" ht="15" customHeight="1">
      <c r="A583" t="inlineStr">
        <is>
          <t>A 23412-2026</t>
        </is>
      </c>
      <c r="B583" s="1" t="n">
        <v>46162</v>
      </c>
      <c r="C583" s="1" t="n">
        <v>46196</v>
      </c>
      <c r="D583" t="inlineStr">
        <is>
          <t>UPPSALA LÄN</t>
        </is>
      </c>
      <c r="E583" t="inlineStr">
        <is>
          <t>UPPSALA</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23978-2026</t>
        </is>
      </c>
      <c r="B584" s="1" t="n">
        <v>46167</v>
      </c>
      <c r="C584" s="1" t="n">
        <v>46196</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23971-2026</t>
        </is>
      </c>
      <c r="B585" s="1" t="n">
        <v>46167</v>
      </c>
      <c r="C585" s="1" t="n">
        <v>46196</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23976-2026</t>
        </is>
      </c>
      <c r="B586" s="1" t="n">
        <v>46167</v>
      </c>
      <c r="C586" s="1" t="n">
        <v>46196</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23893-2026</t>
        </is>
      </c>
      <c r="B587" s="1" t="n">
        <v>46167</v>
      </c>
      <c r="C587" s="1" t="n">
        <v>46196</v>
      </c>
      <c r="D587" t="inlineStr">
        <is>
          <t>UPPSALA LÄN</t>
        </is>
      </c>
      <c r="E587" t="inlineStr">
        <is>
          <t>UPPSALA</t>
        </is>
      </c>
      <c r="F587" t="inlineStr">
        <is>
          <t>Holmen skog AB</t>
        </is>
      </c>
      <c r="G587" t="n">
        <v>4.7</v>
      </c>
      <c r="H587" t="n">
        <v>0</v>
      </c>
      <c r="I587" t="n">
        <v>0</v>
      </c>
      <c r="J587" t="n">
        <v>0</v>
      </c>
      <c r="K587" t="n">
        <v>0</v>
      </c>
      <c r="L587" t="n">
        <v>0</v>
      </c>
      <c r="M587" t="n">
        <v>0</v>
      </c>
      <c r="N587" t="n">
        <v>0</v>
      </c>
      <c r="O587" t="n">
        <v>0</v>
      </c>
      <c r="P587" t="n">
        <v>0</v>
      </c>
      <c r="Q587" t="n">
        <v>0</v>
      </c>
      <c r="R587" s="2" t="inlineStr"/>
    </row>
    <row r="588" ht="15" customHeight="1">
      <c r="A588" t="inlineStr">
        <is>
          <t>A 22838-2026</t>
        </is>
      </c>
      <c r="B588" s="1" t="n">
        <v>46160</v>
      </c>
      <c r="C588" s="1" t="n">
        <v>46196</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24734-2026</t>
        </is>
      </c>
      <c r="B589" s="1" t="n">
        <v>46171</v>
      </c>
      <c r="C589" s="1" t="n">
        <v>46196</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17080-2026</t>
        </is>
      </c>
      <c r="B590" s="1" t="n">
        <v>46114</v>
      </c>
      <c r="C590" s="1" t="n">
        <v>46196</v>
      </c>
      <c r="D590" t="inlineStr">
        <is>
          <t>UPPSALA LÄN</t>
        </is>
      </c>
      <c r="E590" t="inlineStr">
        <is>
          <t>UPPSALA</t>
        </is>
      </c>
      <c r="G590" t="n">
        <v>1.4</v>
      </c>
      <c r="H590" t="n">
        <v>0</v>
      </c>
      <c r="I590" t="n">
        <v>0</v>
      </c>
      <c r="J590" t="n">
        <v>0</v>
      </c>
      <c r="K590" t="n">
        <v>0</v>
      </c>
      <c r="L590" t="n">
        <v>0</v>
      </c>
      <c r="M590" t="n">
        <v>0</v>
      </c>
      <c r="N590" t="n">
        <v>0</v>
      </c>
      <c r="O590" t="n">
        <v>0</v>
      </c>
      <c r="P590" t="n">
        <v>0</v>
      </c>
      <c r="Q590" t="n">
        <v>0</v>
      </c>
      <c r="R590" s="2" t="inlineStr"/>
    </row>
    <row r="591" ht="15" customHeight="1">
      <c r="A591" t="inlineStr">
        <is>
          <t>A 24737-2026</t>
        </is>
      </c>
      <c r="B591" s="1" t="n">
        <v>46171</v>
      </c>
      <c r="C591" s="1" t="n">
        <v>46196</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24685-2026</t>
        </is>
      </c>
      <c r="B592" s="1" t="n">
        <v>46171</v>
      </c>
      <c r="C592" s="1" t="n">
        <v>46196</v>
      </c>
      <c r="D592" t="inlineStr">
        <is>
          <t>UPPSALA LÄN</t>
        </is>
      </c>
      <c r="E592" t="inlineStr">
        <is>
          <t>UPPSALA</t>
        </is>
      </c>
      <c r="F592" t="inlineStr">
        <is>
          <t>Allmännings- och besparingsskogar</t>
        </is>
      </c>
      <c r="G592" t="n">
        <v>8.5</v>
      </c>
      <c r="H592" t="n">
        <v>0</v>
      </c>
      <c r="I592" t="n">
        <v>0</v>
      </c>
      <c r="J592" t="n">
        <v>0</v>
      </c>
      <c r="K592" t="n">
        <v>0</v>
      </c>
      <c r="L592" t="n">
        <v>0</v>
      </c>
      <c r="M592" t="n">
        <v>0</v>
      </c>
      <c r="N592" t="n">
        <v>0</v>
      </c>
      <c r="O592" t="n">
        <v>0</v>
      </c>
      <c r="P592" t="n">
        <v>0</v>
      </c>
      <c r="Q592" t="n">
        <v>0</v>
      </c>
      <c r="R592" s="2" t="inlineStr"/>
    </row>
    <row r="593" ht="15" customHeight="1">
      <c r="A593" t="inlineStr">
        <is>
          <t>A 24807-2026</t>
        </is>
      </c>
      <c r="B593" s="1" t="n">
        <v>46172</v>
      </c>
      <c r="C593" s="1" t="n">
        <v>46196</v>
      </c>
      <c r="D593" t="inlineStr">
        <is>
          <t>UPPSALA LÄN</t>
        </is>
      </c>
      <c r="E593" t="inlineStr">
        <is>
          <t>UPPSALA</t>
        </is>
      </c>
      <c r="F593" t="inlineStr">
        <is>
          <t>Bergvik skog öst AB</t>
        </is>
      </c>
      <c r="G593" t="n">
        <v>2.6</v>
      </c>
      <c r="H593" t="n">
        <v>0</v>
      </c>
      <c r="I593" t="n">
        <v>0</v>
      </c>
      <c r="J593" t="n">
        <v>0</v>
      </c>
      <c r="K593" t="n">
        <v>0</v>
      </c>
      <c r="L593" t="n">
        <v>0</v>
      </c>
      <c r="M593" t="n">
        <v>0</v>
      </c>
      <c r="N593" t="n">
        <v>0</v>
      </c>
      <c r="O593" t="n">
        <v>0</v>
      </c>
      <c r="P593" t="n">
        <v>0</v>
      </c>
      <c r="Q593" t="n">
        <v>0</v>
      </c>
      <c r="R593" s="2" t="inlineStr"/>
    </row>
    <row r="594" ht="15" customHeight="1">
      <c r="A594" t="inlineStr">
        <is>
          <t>A 24808-2026</t>
        </is>
      </c>
      <c r="B594" s="1" t="n">
        <v>46172</v>
      </c>
      <c r="C594" s="1" t="n">
        <v>46196</v>
      </c>
      <c r="D594" t="inlineStr">
        <is>
          <t>UPPSALA LÄN</t>
        </is>
      </c>
      <c r="E594" t="inlineStr">
        <is>
          <t>UPPSALA</t>
        </is>
      </c>
      <c r="F594" t="inlineStr">
        <is>
          <t>Bergvik skog öst AB</t>
        </is>
      </c>
      <c r="G594" t="n">
        <v>3.6</v>
      </c>
      <c r="H594" t="n">
        <v>0</v>
      </c>
      <c r="I594" t="n">
        <v>0</v>
      </c>
      <c r="J594" t="n">
        <v>0</v>
      </c>
      <c r="K594" t="n">
        <v>0</v>
      </c>
      <c r="L594" t="n">
        <v>0</v>
      </c>
      <c r="M594" t="n">
        <v>0</v>
      </c>
      <c r="N594" t="n">
        <v>0</v>
      </c>
      <c r="O594" t="n">
        <v>0</v>
      </c>
      <c r="P594" t="n">
        <v>0</v>
      </c>
      <c r="Q594" t="n">
        <v>0</v>
      </c>
      <c r="R594" s="2" t="inlineStr"/>
    </row>
    <row r="595" ht="15" customHeight="1">
      <c r="A595" t="inlineStr">
        <is>
          <t>A 19342-2026</t>
        </is>
      </c>
      <c r="B595" s="1" t="n">
        <v>46133</v>
      </c>
      <c r="C595" s="1" t="n">
        <v>46196</v>
      </c>
      <c r="D595" t="inlineStr">
        <is>
          <t>UPPSALA LÄN</t>
        </is>
      </c>
      <c r="E595" t="inlineStr">
        <is>
          <t>UPPSALA</t>
        </is>
      </c>
      <c r="G595" t="n">
        <v>6</v>
      </c>
      <c r="H595" t="n">
        <v>0</v>
      </c>
      <c r="I595" t="n">
        <v>0</v>
      </c>
      <c r="J595" t="n">
        <v>0</v>
      </c>
      <c r="K595" t="n">
        <v>0</v>
      </c>
      <c r="L595" t="n">
        <v>0</v>
      </c>
      <c r="M595" t="n">
        <v>0</v>
      </c>
      <c r="N595" t="n">
        <v>0</v>
      </c>
      <c r="O595" t="n">
        <v>0</v>
      </c>
      <c r="P595" t="n">
        <v>0</v>
      </c>
      <c r="Q595" t="n">
        <v>0</v>
      </c>
      <c r="R595" s="2" t="inlineStr"/>
    </row>
    <row r="596" ht="15" customHeight="1">
      <c r="A596" t="inlineStr">
        <is>
          <t>A 19265-2026</t>
        </is>
      </c>
      <c r="B596" s="1" t="n">
        <v>46132</v>
      </c>
      <c r="C596" s="1" t="n">
        <v>46196</v>
      </c>
      <c r="D596" t="inlineStr">
        <is>
          <t>UPPSALA LÄN</t>
        </is>
      </c>
      <c r="E596" t="inlineStr">
        <is>
          <t>UPPSALA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19264-2026</t>
        </is>
      </c>
      <c r="B597" s="1" t="n">
        <v>46132</v>
      </c>
      <c r="C597" s="1" t="n">
        <v>46196</v>
      </c>
      <c r="D597" t="inlineStr">
        <is>
          <t>UPPSALA LÄN</t>
        </is>
      </c>
      <c r="E597" t="inlineStr">
        <is>
          <t>UPPSALA</t>
        </is>
      </c>
      <c r="F597" t="inlineStr">
        <is>
          <t>Bergvik skog öst AB</t>
        </is>
      </c>
      <c r="G597" t="n">
        <v>0.3</v>
      </c>
      <c r="H597" t="n">
        <v>0</v>
      </c>
      <c r="I597" t="n">
        <v>0</v>
      </c>
      <c r="J597" t="n">
        <v>0</v>
      </c>
      <c r="K597" t="n">
        <v>0</v>
      </c>
      <c r="L597" t="n">
        <v>0</v>
      </c>
      <c r="M597" t="n">
        <v>0</v>
      </c>
      <c r="N597" t="n">
        <v>0</v>
      </c>
      <c r="O597" t="n">
        <v>0</v>
      </c>
      <c r="P597" t="n">
        <v>0</v>
      </c>
      <c r="Q597" t="n">
        <v>0</v>
      </c>
      <c r="R597" s="2" t="inlineStr"/>
    </row>
    <row r="598" ht="15" customHeight="1">
      <c r="A598" t="inlineStr">
        <is>
          <t>A 19229-2026</t>
        </is>
      </c>
      <c r="B598" s="1" t="n">
        <v>46132</v>
      </c>
      <c r="C598" s="1" t="n">
        <v>46196</v>
      </c>
      <c r="D598" t="inlineStr">
        <is>
          <t>UPPSALA LÄN</t>
        </is>
      </c>
      <c r="E598" t="inlineStr">
        <is>
          <t>UPPSALA</t>
        </is>
      </c>
      <c r="G598" t="n">
        <v>2.4</v>
      </c>
      <c r="H598" t="n">
        <v>0</v>
      </c>
      <c r="I598" t="n">
        <v>0</v>
      </c>
      <c r="J598" t="n">
        <v>0</v>
      </c>
      <c r="K598" t="n">
        <v>0</v>
      </c>
      <c r="L598" t="n">
        <v>0</v>
      </c>
      <c r="M598" t="n">
        <v>0</v>
      </c>
      <c r="N598" t="n">
        <v>0</v>
      </c>
      <c r="O598" t="n">
        <v>0</v>
      </c>
      <c r="P598" t="n">
        <v>0</v>
      </c>
      <c r="Q598" t="n">
        <v>0</v>
      </c>
      <c r="R598" s="2" t="inlineStr"/>
    </row>
    <row r="599" ht="15" customHeight="1">
      <c r="A599" t="inlineStr">
        <is>
          <t>A 44080-2023</t>
        </is>
      </c>
      <c r="B599" s="1" t="n">
        <v>45188</v>
      </c>
      <c r="C599" s="1" t="n">
        <v>46196</v>
      </c>
      <c r="D599" t="inlineStr">
        <is>
          <t>UPPSALA LÄN</t>
        </is>
      </c>
      <c r="E599" t="inlineStr">
        <is>
          <t>UPPSALA</t>
        </is>
      </c>
      <c r="G599" t="n">
        <v>13.3</v>
      </c>
      <c r="H599" t="n">
        <v>0</v>
      </c>
      <c r="I599" t="n">
        <v>0</v>
      </c>
      <c r="J599" t="n">
        <v>0</v>
      </c>
      <c r="K599" t="n">
        <v>0</v>
      </c>
      <c r="L599" t="n">
        <v>0</v>
      </c>
      <c r="M599" t="n">
        <v>0</v>
      </c>
      <c r="N599" t="n">
        <v>0</v>
      </c>
      <c r="O599" t="n">
        <v>0</v>
      </c>
      <c r="P599" t="n">
        <v>0</v>
      </c>
      <c r="Q599" t="n">
        <v>0</v>
      </c>
      <c r="R599" s="2" t="inlineStr"/>
    </row>
    <row r="600" ht="15" customHeight="1">
      <c r="A600" t="inlineStr">
        <is>
          <t>A 10490-2025</t>
        </is>
      </c>
      <c r="B600" s="1" t="n">
        <v>45721</v>
      </c>
      <c r="C600" s="1" t="n">
        <v>46196</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19257-2026</t>
        </is>
      </c>
      <c r="B601" s="1" t="n">
        <v>46132</v>
      </c>
      <c r="C601" s="1" t="n">
        <v>46196</v>
      </c>
      <c r="D601" t="inlineStr">
        <is>
          <t>UPPSALA LÄN</t>
        </is>
      </c>
      <c r="E601" t="inlineStr">
        <is>
          <t>UPPSALA</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19263-2026</t>
        </is>
      </c>
      <c r="B602" s="1" t="n">
        <v>46132</v>
      </c>
      <c r="C602" s="1" t="n">
        <v>46196</v>
      </c>
      <c r="D602" t="inlineStr">
        <is>
          <t>UPPSALA LÄN</t>
        </is>
      </c>
      <c r="E602" t="inlineStr">
        <is>
          <t>UPPSALA</t>
        </is>
      </c>
      <c r="F602" t="inlineStr">
        <is>
          <t>Bergvik skog öst AB</t>
        </is>
      </c>
      <c r="G602" t="n">
        <v>2.4</v>
      </c>
      <c r="H602" t="n">
        <v>0</v>
      </c>
      <c r="I602" t="n">
        <v>0</v>
      </c>
      <c r="J602" t="n">
        <v>0</v>
      </c>
      <c r="K602" t="n">
        <v>0</v>
      </c>
      <c r="L602" t="n">
        <v>0</v>
      </c>
      <c r="M602" t="n">
        <v>0</v>
      </c>
      <c r="N602" t="n">
        <v>0</v>
      </c>
      <c r="O602" t="n">
        <v>0</v>
      </c>
      <c r="P602" t="n">
        <v>0</v>
      </c>
      <c r="Q602" t="n">
        <v>0</v>
      </c>
      <c r="R602" s="2" t="inlineStr"/>
    </row>
    <row r="603" ht="15" customHeight="1">
      <c r="A603" t="inlineStr">
        <is>
          <t>A 19329-2026</t>
        </is>
      </c>
      <c r="B603" s="1" t="n">
        <v>46133</v>
      </c>
      <c r="C603" s="1" t="n">
        <v>46196</v>
      </c>
      <c r="D603" t="inlineStr">
        <is>
          <t>UPPSALA LÄN</t>
        </is>
      </c>
      <c r="E603" t="inlineStr">
        <is>
          <t>UPPSALA</t>
        </is>
      </c>
      <c r="F603" t="inlineStr">
        <is>
          <t>Bergvik skog öst AB</t>
        </is>
      </c>
      <c r="G603" t="n">
        <v>7.8</v>
      </c>
      <c r="H603" t="n">
        <v>0</v>
      </c>
      <c r="I603" t="n">
        <v>0</v>
      </c>
      <c r="J603" t="n">
        <v>0</v>
      </c>
      <c r="K603" t="n">
        <v>0</v>
      </c>
      <c r="L603" t="n">
        <v>0</v>
      </c>
      <c r="M603" t="n">
        <v>0</v>
      </c>
      <c r="N603" t="n">
        <v>0</v>
      </c>
      <c r="O603" t="n">
        <v>0</v>
      </c>
      <c r="P603" t="n">
        <v>0</v>
      </c>
      <c r="Q603" t="n">
        <v>0</v>
      </c>
      <c r="R603" s="2" t="inlineStr"/>
    </row>
    <row r="604" ht="15" customHeight="1">
      <c r="A604" t="inlineStr">
        <is>
          <t>A 19885-2026</t>
        </is>
      </c>
      <c r="B604" s="1" t="n">
        <v>46135</v>
      </c>
      <c r="C604" s="1" t="n">
        <v>46196</v>
      </c>
      <c r="D604" t="inlineStr">
        <is>
          <t>UPPSALA LÄN</t>
        </is>
      </c>
      <c r="E604" t="inlineStr">
        <is>
          <t>UPPSALA</t>
        </is>
      </c>
      <c r="G604" t="n">
        <v>1.4</v>
      </c>
      <c r="H604" t="n">
        <v>0</v>
      </c>
      <c r="I604" t="n">
        <v>0</v>
      </c>
      <c r="J604" t="n">
        <v>0</v>
      </c>
      <c r="K604" t="n">
        <v>0</v>
      </c>
      <c r="L604" t="n">
        <v>0</v>
      </c>
      <c r="M604" t="n">
        <v>0</v>
      </c>
      <c r="N604" t="n">
        <v>0</v>
      </c>
      <c r="O604" t="n">
        <v>0</v>
      </c>
      <c r="P604" t="n">
        <v>0</v>
      </c>
      <c r="Q604" t="n">
        <v>0</v>
      </c>
      <c r="R604" s="2" t="inlineStr"/>
    </row>
    <row r="605" ht="15" customHeight="1">
      <c r="A605" t="inlineStr">
        <is>
          <t>A 25376-2026</t>
        </is>
      </c>
      <c r="B605" s="1" t="n">
        <v>46176</v>
      </c>
      <c r="C605" s="1" t="n">
        <v>46196</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20147-2026</t>
        </is>
      </c>
      <c r="B606" s="1" t="n">
        <v>46137</v>
      </c>
      <c r="C606" s="1" t="n">
        <v>46196</v>
      </c>
      <c r="D606" t="inlineStr">
        <is>
          <t>UPPSALA LÄN</t>
        </is>
      </c>
      <c r="E606" t="inlineStr">
        <is>
          <t>UPPSALA</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784-2024</t>
        </is>
      </c>
      <c r="B607" s="1" t="n">
        <v>45300</v>
      </c>
      <c r="C607" s="1" t="n">
        <v>46196</v>
      </c>
      <c r="D607" t="inlineStr">
        <is>
          <t>UPPSALA LÄN</t>
        </is>
      </c>
      <c r="E607" t="inlineStr">
        <is>
          <t>UPPSALA</t>
        </is>
      </c>
      <c r="G607" t="n">
        <v>6.6</v>
      </c>
      <c r="H607" t="n">
        <v>0</v>
      </c>
      <c r="I607" t="n">
        <v>0</v>
      </c>
      <c r="J607" t="n">
        <v>0</v>
      </c>
      <c r="K607" t="n">
        <v>0</v>
      </c>
      <c r="L607" t="n">
        <v>0</v>
      </c>
      <c r="M607" t="n">
        <v>0</v>
      </c>
      <c r="N607" t="n">
        <v>0</v>
      </c>
      <c r="O607" t="n">
        <v>0</v>
      </c>
      <c r="P607" t="n">
        <v>0</v>
      </c>
      <c r="Q607" t="n">
        <v>0</v>
      </c>
      <c r="R607" s="2" t="inlineStr"/>
    </row>
    <row r="608" ht="15" customHeight="1">
      <c r="A608" t="inlineStr">
        <is>
          <t>A 41444-2025</t>
        </is>
      </c>
      <c r="B608" s="1" t="n">
        <v>45901</v>
      </c>
      <c r="C608" s="1" t="n">
        <v>46196</v>
      </c>
      <c r="D608" t="inlineStr">
        <is>
          <t>UPPSALA LÄN</t>
        </is>
      </c>
      <c r="E608" t="inlineStr">
        <is>
          <t>UPPSALA</t>
        </is>
      </c>
      <c r="F608" t="inlineStr">
        <is>
          <t>Kyrkan</t>
        </is>
      </c>
      <c r="G608" t="n">
        <v>4.5</v>
      </c>
      <c r="H608" t="n">
        <v>0</v>
      </c>
      <c r="I608" t="n">
        <v>0</v>
      </c>
      <c r="J608" t="n">
        <v>0</v>
      </c>
      <c r="K608" t="n">
        <v>0</v>
      </c>
      <c r="L608" t="n">
        <v>0</v>
      </c>
      <c r="M608" t="n">
        <v>0</v>
      </c>
      <c r="N608" t="n">
        <v>0</v>
      </c>
      <c r="O608" t="n">
        <v>0</v>
      </c>
      <c r="P608" t="n">
        <v>0</v>
      </c>
      <c r="Q608" t="n">
        <v>0</v>
      </c>
      <c r="R608" s="2" t="inlineStr"/>
    </row>
    <row r="609" ht="15" customHeight="1">
      <c r="A609" t="inlineStr">
        <is>
          <t>A 24098-2024</t>
        </is>
      </c>
      <c r="B609" s="1" t="n">
        <v>45456</v>
      </c>
      <c r="C609" s="1" t="n">
        <v>46196</v>
      </c>
      <c r="D609" t="inlineStr">
        <is>
          <t>UPPSALA LÄN</t>
        </is>
      </c>
      <c r="E609" t="inlineStr">
        <is>
          <t>UPPSALA</t>
        </is>
      </c>
      <c r="G609" t="n">
        <v>2.2</v>
      </c>
      <c r="H609" t="n">
        <v>0</v>
      </c>
      <c r="I609" t="n">
        <v>0</v>
      </c>
      <c r="J609" t="n">
        <v>0</v>
      </c>
      <c r="K609" t="n">
        <v>0</v>
      </c>
      <c r="L609" t="n">
        <v>0</v>
      </c>
      <c r="M609" t="n">
        <v>0</v>
      </c>
      <c r="N609" t="n">
        <v>0</v>
      </c>
      <c r="O609" t="n">
        <v>0</v>
      </c>
      <c r="P609" t="n">
        <v>0</v>
      </c>
      <c r="Q609" t="n">
        <v>0</v>
      </c>
      <c r="R609" s="2" t="inlineStr"/>
    </row>
    <row r="610" ht="15" customHeight="1">
      <c r="A610" t="inlineStr">
        <is>
          <t>A 49989-2025</t>
        </is>
      </c>
      <c r="B610" s="1" t="n">
        <v>45942</v>
      </c>
      <c r="C610" s="1" t="n">
        <v>46196</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37352-2025</t>
        </is>
      </c>
      <c r="B611" s="1" t="n">
        <v>45876</v>
      </c>
      <c r="C611" s="1" t="n">
        <v>46196</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37759-2025</t>
        </is>
      </c>
      <c r="B612" s="1" t="n">
        <v>45880</v>
      </c>
      <c r="C612" s="1" t="n">
        <v>46196</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46202-2024</t>
        </is>
      </c>
      <c r="B613" s="1" t="n">
        <v>45581</v>
      </c>
      <c r="C613" s="1" t="n">
        <v>46196</v>
      </c>
      <c r="D613" t="inlineStr">
        <is>
          <t>UPPSALA LÄN</t>
        </is>
      </c>
      <c r="E613" t="inlineStr">
        <is>
          <t>UPPSALA</t>
        </is>
      </c>
      <c r="G613" t="n">
        <v>3.2</v>
      </c>
      <c r="H613" t="n">
        <v>0</v>
      </c>
      <c r="I613" t="n">
        <v>0</v>
      </c>
      <c r="J613" t="n">
        <v>0</v>
      </c>
      <c r="K613" t="n">
        <v>0</v>
      </c>
      <c r="L613" t="n">
        <v>0</v>
      </c>
      <c r="M613" t="n">
        <v>0</v>
      </c>
      <c r="N613" t="n">
        <v>0</v>
      </c>
      <c r="O613" t="n">
        <v>0</v>
      </c>
      <c r="P613" t="n">
        <v>0</v>
      </c>
      <c r="Q613" t="n">
        <v>0</v>
      </c>
      <c r="R613" s="2" t="inlineStr"/>
    </row>
    <row r="614" ht="15" customHeight="1">
      <c r="A614" t="inlineStr">
        <is>
          <t>A 17596-2025</t>
        </is>
      </c>
      <c r="B614" s="1" t="n">
        <v>45757</v>
      </c>
      <c r="C614" s="1" t="n">
        <v>46196</v>
      </c>
      <c r="D614" t="inlineStr">
        <is>
          <t>UPPSALA LÄN</t>
        </is>
      </c>
      <c r="E614" t="inlineStr">
        <is>
          <t>UPPSALA</t>
        </is>
      </c>
      <c r="G614" t="n">
        <v>4.8</v>
      </c>
      <c r="H614" t="n">
        <v>0</v>
      </c>
      <c r="I614" t="n">
        <v>0</v>
      </c>
      <c r="J614" t="n">
        <v>0</v>
      </c>
      <c r="K614" t="n">
        <v>0</v>
      </c>
      <c r="L614" t="n">
        <v>0</v>
      </c>
      <c r="M614" t="n">
        <v>0</v>
      </c>
      <c r="N614" t="n">
        <v>0</v>
      </c>
      <c r="O614" t="n">
        <v>0</v>
      </c>
      <c r="P614" t="n">
        <v>0</v>
      </c>
      <c r="Q614" t="n">
        <v>0</v>
      </c>
      <c r="R614" s="2" t="inlineStr"/>
    </row>
    <row r="615" ht="15" customHeight="1">
      <c r="A615" t="inlineStr">
        <is>
          <t>A 26000-2026</t>
        </is>
      </c>
      <c r="B615" s="1" t="n">
        <v>46181</v>
      </c>
      <c r="C615" s="1" t="n">
        <v>46196</v>
      </c>
      <c r="D615" t="inlineStr">
        <is>
          <t>UPPSALA LÄN</t>
        </is>
      </c>
      <c r="E615" t="inlineStr">
        <is>
          <t>UPPSALA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20146-2026</t>
        </is>
      </c>
      <c r="B616" s="1" t="n">
        <v>46137</v>
      </c>
      <c r="C616" s="1" t="n">
        <v>46196</v>
      </c>
      <c r="D616" t="inlineStr">
        <is>
          <t>UPPSALA LÄN</t>
        </is>
      </c>
      <c r="E616" t="inlineStr">
        <is>
          <t>UPPSALA</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49463-2025</t>
        </is>
      </c>
      <c r="B617" s="1" t="n">
        <v>45939</v>
      </c>
      <c r="C617" s="1" t="n">
        <v>46196</v>
      </c>
      <c r="D617" t="inlineStr">
        <is>
          <t>UPPSALA LÄN</t>
        </is>
      </c>
      <c r="E617" t="inlineStr">
        <is>
          <t>UPPSALA</t>
        </is>
      </c>
      <c r="G617" t="n">
        <v>3.4</v>
      </c>
      <c r="H617" t="n">
        <v>0</v>
      </c>
      <c r="I617" t="n">
        <v>0</v>
      </c>
      <c r="J617" t="n">
        <v>0</v>
      </c>
      <c r="K617" t="n">
        <v>0</v>
      </c>
      <c r="L617" t="n">
        <v>0</v>
      </c>
      <c r="M617" t="n">
        <v>0</v>
      </c>
      <c r="N617" t="n">
        <v>0</v>
      </c>
      <c r="O617" t="n">
        <v>0</v>
      </c>
      <c r="P617" t="n">
        <v>0</v>
      </c>
      <c r="Q617" t="n">
        <v>0</v>
      </c>
      <c r="R617" s="2" t="inlineStr"/>
    </row>
    <row r="618" ht="15" customHeight="1">
      <c r="A618" t="inlineStr">
        <is>
          <t>A 54724-2025</t>
        </is>
      </c>
      <c r="B618" s="1" t="n">
        <v>45966</v>
      </c>
      <c r="C618" s="1" t="n">
        <v>46196</v>
      </c>
      <c r="D618" t="inlineStr">
        <is>
          <t>UPPSALA LÄN</t>
        </is>
      </c>
      <c r="E618" t="inlineStr">
        <is>
          <t>UPPSALA</t>
        </is>
      </c>
      <c r="F618" t="inlineStr">
        <is>
          <t>Bergvik skog öst AB</t>
        </is>
      </c>
      <c r="G618" t="n">
        <v>3.9</v>
      </c>
      <c r="H618" t="n">
        <v>0</v>
      </c>
      <c r="I618" t="n">
        <v>0</v>
      </c>
      <c r="J618" t="n">
        <v>0</v>
      </c>
      <c r="K618" t="n">
        <v>0</v>
      </c>
      <c r="L618" t="n">
        <v>0</v>
      </c>
      <c r="M618" t="n">
        <v>0</v>
      </c>
      <c r="N618" t="n">
        <v>0</v>
      </c>
      <c r="O618" t="n">
        <v>0</v>
      </c>
      <c r="P618" t="n">
        <v>0</v>
      </c>
      <c r="Q618" t="n">
        <v>0</v>
      </c>
      <c r="R618" s="2" t="inlineStr"/>
    </row>
    <row r="619" ht="15" customHeight="1">
      <c r="A619" t="inlineStr">
        <is>
          <t>A 6541-2025</t>
        </is>
      </c>
      <c r="B619" s="1" t="n">
        <v>45699</v>
      </c>
      <c r="C619" s="1" t="n">
        <v>46196</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49937-2025</t>
        </is>
      </c>
      <c r="B620" s="1" t="n">
        <v>45940</v>
      </c>
      <c r="C620" s="1" t="n">
        <v>46196</v>
      </c>
      <c r="D620" t="inlineStr">
        <is>
          <t>UPPSALA LÄN</t>
        </is>
      </c>
      <c r="E620" t="inlineStr">
        <is>
          <t>UPPSALA</t>
        </is>
      </c>
      <c r="G620" t="n">
        <v>2</v>
      </c>
      <c r="H620" t="n">
        <v>0</v>
      </c>
      <c r="I620" t="n">
        <v>0</v>
      </c>
      <c r="J620" t="n">
        <v>0</v>
      </c>
      <c r="K620" t="n">
        <v>0</v>
      </c>
      <c r="L620" t="n">
        <v>0</v>
      </c>
      <c r="M620" t="n">
        <v>0</v>
      </c>
      <c r="N620" t="n">
        <v>0</v>
      </c>
      <c r="O620" t="n">
        <v>0</v>
      </c>
      <c r="P620" t="n">
        <v>0</v>
      </c>
      <c r="Q620" t="n">
        <v>0</v>
      </c>
      <c r="R620" s="2" t="inlineStr"/>
    </row>
    <row r="621" ht="15" customHeight="1">
      <c r="A621" t="inlineStr">
        <is>
          <t>A 48571-2023</t>
        </is>
      </c>
      <c r="B621" s="1" t="n">
        <v>45208</v>
      </c>
      <c r="C621" s="1" t="n">
        <v>46196</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6012-2025</t>
        </is>
      </c>
      <c r="B622" s="1" t="n">
        <v>45695</v>
      </c>
      <c r="C622" s="1" t="n">
        <v>46196</v>
      </c>
      <c r="D622" t="inlineStr">
        <is>
          <t>UPPSALA LÄN</t>
        </is>
      </c>
      <c r="E622" t="inlineStr">
        <is>
          <t>UPPSALA</t>
        </is>
      </c>
      <c r="F622" t="inlineStr">
        <is>
          <t>Övriga Aktiebolag</t>
        </is>
      </c>
      <c r="G622" t="n">
        <v>14.3</v>
      </c>
      <c r="H622" t="n">
        <v>0</v>
      </c>
      <c r="I622" t="n">
        <v>0</v>
      </c>
      <c r="J622" t="n">
        <v>0</v>
      </c>
      <c r="K622" t="n">
        <v>0</v>
      </c>
      <c r="L622" t="n">
        <v>0</v>
      </c>
      <c r="M622" t="n">
        <v>0</v>
      </c>
      <c r="N622" t="n">
        <v>0</v>
      </c>
      <c r="O622" t="n">
        <v>0</v>
      </c>
      <c r="P622" t="n">
        <v>0</v>
      </c>
      <c r="Q622" t="n">
        <v>0</v>
      </c>
      <c r="R622" s="2" t="inlineStr"/>
    </row>
    <row r="623" ht="15" customHeight="1">
      <c r="A623" t="inlineStr">
        <is>
          <t>A 5814-2026</t>
        </is>
      </c>
      <c r="B623" s="1" t="n">
        <v>46051</v>
      </c>
      <c r="C623" s="1" t="n">
        <v>46196</v>
      </c>
      <c r="D623" t="inlineStr">
        <is>
          <t>UPPSALA LÄN</t>
        </is>
      </c>
      <c r="E623" t="inlineStr">
        <is>
          <t>UPPSALA</t>
        </is>
      </c>
      <c r="F623" t="inlineStr">
        <is>
          <t>Kommuner</t>
        </is>
      </c>
      <c r="G623" t="n">
        <v>3.4</v>
      </c>
      <c r="H623" t="n">
        <v>0</v>
      </c>
      <c r="I623" t="n">
        <v>0</v>
      </c>
      <c r="J623" t="n">
        <v>0</v>
      </c>
      <c r="K623" t="n">
        <v>0</v>
      </c>
      <c r="L623" t="n">
        <v>0</v>
      </c>
      <c r="M623" t="n">
        <v>0</v>
      </c>
      <c r="N623" t="n">
        <v>0</v>
      </c>
      <c r="O623" t="n">
        <v>0</v>
      </c>
      <c r="P623" t="n">
        <v>0</v>
      </c>
      <c r="Q623" t="n">
        <v>0</v>
      </c>
      <c r="R623" s="2" t="inlineStr"/>
    </row>
    <row r="624" ht="15" customHeight="1">
      <c r="A624" t="inlineStr">
        <is>
          <t>A 20137-2026</t>
        </is>
      </c>
      <c r="B624" s="1" t="n">
        <v>46136</v>
      </c>
      <c r="C624" s="1" t="n">
        <v>46196</v>
      </c>
      <c r="D624" t="inlineStr">
        <is>
          <t>UPPSALA LÄN</t>
        </is>
      </c>
      <c r="E624" t="inlineStr">
        <is>
          <t>UPPSALA</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19345-2025</t>
        </is>
      </c>
      <c r="B625" s="1" t="n">
        <v>45769</v>
      </c>
      <c r="C625" s="1" t="n">
        <v>46196</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25756-2026</t>
        </is>
      </c>
      <c r="B626" s="1" t="n">
        <v>46178</v>
      </c>
      <c r="C626" s="1" t="n">
        <v>46196</v>
      </c>
      <c r="D626" t="inlineStr">
        <is>
          <t>UPPSALA LÄN</t>
        </is>
      </c>
      <c r="E626" t="inlineStr">
        <is>
          <t>UPPSALA</t>
        </is>
      </c>
      <c r="G626" t="n">
        <v>4.1</v>
      </c>
      <c r="H626" t="n">
        <v>0</v>
      </c>
      <c r="I626" t="n">
        <v>0</v>
      </c>
      <c r="J626" t="n">
        <v>0</v>
      </c>
      <c r="K626" t="n">
        <v>0</v>
      </c>
      <c r="L626" t="n">
        <v>0</v>
      </c>
      <c r="M626" t="n">
        <v>0</v>
      </c>
      <c r="N626" t="n">
        <v>0</v>
      </c>
      <c r="O626" t="n">
        <v>0</v>
      </c>
      <c r="P626" t="n">
        <v>0</v>
      </c>
      <c r="Q626" t="n">
        <v>0</v>
      </c>
      <c r="R626" s="2" t="inlineStr"/>
    </row>
    <row r="627" ht="15" customHeight="1">
      <c r="A627" t="inlineStr">
        <is>
          <t>A 39529-2025</t>
        </is>
      </c>
      <c r="B627" s="1" t="n">
        <v>45890</v>
      </c>
      <c r="C627" s="1" t="n">
        <v>46196</v>
      </c>
      <c r="D627" t="inlineStr">
        <is>
          <t>UPPSALA LÄN</t>
        </is>
      </c>
      <c r="E627" t="inlineStr">
        <is>
          <t>UPPSALA</t>
        </is>
      </c>
      <c r="F627" t="inlineStr">
        <is>
          <t>Allmännings- och besparingsskogar</t>
        </is>
      </c>
      <c r="G627" t="n">
        <v>3.9</v>
      </c>
      <c r="H627" t="n">
        <v>0</v>
      </c>
      <c r="I627" t="n">
        <v>0</v>
      </c>
      <c r="J627" t="n">
        <v>0</v>
      </c>
      <c r="K627" t="n">
        <v>0</v>
      </c>
      <c r="L627" t="n">
        <v>0</v>
      </c>
      <c r="M627" t="n">
        <v>0</v>
      </c>
      <c r="N627" t="n">
        <v>0</v>
      </c>
      <c r="O627" t="n">
        <v>0</v>
      </c>
      <c r="P627" t="n">
        <v>0</v>
      </c>
      <c r="Q627" t="n">
        <v>0</v>
      </c>
      <c r="R627" s="2" t="inlineStr"/>
    </row>
    <row r="628" ht="15" customHeight="1">
      <c r="A628" t="inlineStr">
        <is>
          <t>A 38034-2025</t>
        </is>
      </c>
      <c r="B628" s="1" t="n">
        <v>45882</v>
      </c>
      <c r="C628" s="1" t="n">
        <v>46196</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35155-2025</t>
        </is>
      </c>
      <c r="B629" s="1" t="n">
        <v>45852</v>
      </c>
      <c r="C629" s="1" t="n">
        <v>46196</v>
      </c>
      <c r="D629" t="inlineStr">
        <is>
          <t>UPPSALA LÄN</t>
        </is>
      </c>
      <c r="E629" t="inlineStr">
        <is>
          <t>UPPSALA</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35978-2025</t>
        </is>
      </c>
      <c r="B630" s="1" t="n">
        <v>45863</v>
      </c>
      <c r="C630" s="1" t="n">
        <v>46196</v>
      </c>
      <c r="D630" t="inlineStr">
        <is>
          <t>UPPSALA LÄN</t>
        </is>
      </c>
      <c r="E630" t="inlineStr">
        <is>
          <t>UPPSALA</t>
        </is>
      </c>
      <c r="G630" t="n">
        <v>1.6</v>
      </c>
      <c r="H630" t="n">
        <v>0</v>
      </c>
      <c r="I630" t="n">
        <v>0</v>
      </c>
      <c r="J630" t="n">
        <v>0</v>
      </c>
      <c r="K630" t="n">
        <v>0</v>
      </c>
      <c r="L630" t="n">
        <v>0</v>
      </c>
      <c r="M630" t="n">
        <v>0</v>
      </c>
      <c r="N630" t="n">
        <v>0</v>
      </c>
      <c r="O630" t="n">
        <v>0</v>
      </c>
      <c r="P630" t="n">
        <v>0</v>
      </c>
      <c r="Q630" t="n">
        <v>0</v>
      </c>
      <c r="R630" s="2" t="inlineStr"/>
    </row>
    <row r="631" ht="15" customHeight="1">
      <c r="A631" t="inlineStr">
        <is>
          <t>A 37851-2025</t>
        </is>
      </c>
      <c r="B631" s="1" t="n">
        <v>45881</v>
      </c>
      <c r="C631" s="1" t="n">
        <v>46196</v>
      </c>
      <c r="D631" t="inlineStr">
        <is>
          <t>UPPSALA LÄN</t>
        </is>
      </c>
      <c r="E631" t="inlineStr">
        <is>
          <t>UPPSALA</t>
        </is>
      </c>
      <c r="G631" t="n">
        <v>2.3</v>
      </c>
      <c r="H631" t="n">
        <v>0</v>
      </c>
      <c r="I631" t="n">
        <v>0</v>
      </c>
      <c r="J631" t="n">
        <v>0</v>
      </c>
      <c r="K631" t="n">
        <v>0</v>
      </c>
      <c r="L631" t="n">
        <v>0</v>
      </c>
      <c r="M631" t="n">
        <v>0</v>
      </c>
      <c r="N631" t="n">
        <v>0</v>
      </c>
      <c r="O631" t="n">
        <v>0</v>
      </c>
      <c r="P631" t="n">
        <v>0</v>
      </c>
      <c r="Q631" t="n">
        <v>0</v>
      </c>
      <c r="R631" s="2" t="inlineStr"/>
    </row>
    <row r="632" ht="15" customHeight="1">
      <c r="A632" t="inlineStr">
        <is>
          <t>A 45489-2023</t>
        </is>
      </c>
      <c r="B632" s="1" t="n">
        <v>45194</v>
      </c>
      <c r="C632" s="1" t="n">
        <v>46196</v>
      </c>
      <c r="D632" t="inlineStr">
        <is>
          <t>UPPSALA LÄN</t>
        </is>
      </c>
      <c r="E632" t="inlineStr">
        <is>
          <t>UPPSALA</t>
        </is>
      </c>
      <c r="F632" t="inlineStr">
        <is>
          <t>Allmännings- och besparingsskogar</t>
        </is>
      </c>
      <c r="G632" t="n">
        <v>15.8</v>
      </c>
      <c r="H632" t="n">
        <v>0</v>
      </c>
      <c r="I632" t="n">
        <v>0</v>
      </c>
      <c r="J632" t="n">
        <v>0</v>
      </c>
      <c r="K632" t="n">
        <v>0</v>
      </c>
      <c r="L632" t="n">
        <v>0</v>
      </c>
      <c r="M632" t="n">
        <v>0</v>
      </c>
      <c r="N632" t="n">
        <v>0</v>
      </c>
      <c r="O632" t="n">
        <v>0</v>
      </c>
      <c r="P632" t="n">
        <v>0</v>
      </c>
      <c r="Q632" t="n">
        <v>0</v>
      </c>
      <c r="R632" s="2" t="inlineStr"/>
    </row>
    <row r="633" ht="15" customHeight="1">
      <c r="A633" t="inlineStr">
        <is>
          <t>A 53906-2023</t>
        </is>
      </c>
      <c r="B633" s="1" t="n">
        <v>45231</v>
      </c>
      <c r="C633" s="1" t="n">
        <v>46196</v>
      </c>
      <c r="D633" t="inlineStr">
        <is>
          <t>UPPSALA LÄN</t>
        </is>
      </c>
      <c r="E633" t="inlineStr">
        <is>
          <t>UPPSALA</t>
        </is>
      </c>
      <c r="G633" t="n">
        <v>13.2</v>
      </c>
      <c r="H633" t="n">
        <v>0</v>
      </c>
      <c r="I633" t="n">
        <v>0</v>
      </c>
      <c r="J633" t="n">
        <v>0</v>
      </c>
      <c r="K633" t="n">
        <v>0</v>
      </c>
      <c r="L633" t="n">
        <v>0</v>
      </c>
      <c r="M633" t="n">
        <v>0</v>
      </c>
      <c r="N633" t="n">
        <v>0</v>
      </c>
      <c r="O633" t="n">
        <v>0</v>
      </c>
      <c r="P633" t="n">
        <v>0</v>
      </c>
      <c r="Q633" t="n">
        <v>0</v>
      </c>
      <c r="R633" s="2" t="inlineStr"/>
    </row>
    <row r="634" ht="15" customHeight="1">
      <c r="A634" t="inlineStr">
        <is>
          <t>A 62054-2024</t>
        </is>
      </c>
      <c r="B634" s="1" t="n">
        <v>45656</v>
      </c>
      <c r="C634" s="1" t="n">
        <v>46196</v>
      </c>
      <c r="D634" t="inlineStr">
        <is>
          <t>UPPSALA LÄN</t>
        </is>
      </c>
      <c r="E634" t="inlineStr">
        <is>
          <t>UPPSALA</t>
        </is>
      </c>
      <c r="F634" t="inlineStr">
        <is>
          <t>Övriga statliga verk och myndigheter</t>
        </is>
      </c>
      <c r="G634" t="n">
        <v>29.3</v>
      </c>
      <c r="H634" t="n">
        <v>0</v>
      </c>
      <c r="I634" t="n">
        <v>0</v>
      </c>
      <c r="J634" t="n">
        <v>0</v>
      </c>
      <c r="K634" t="n">
        <v>0</v>
      </c>
      <c r="L634" t="n">
        <v>0</v>
      </c>
      <c r="M634" t="n">
        <v>0</v>
      </c>
      <c r="N634" t="n">
        <v>0</v>
      </c>
      <c r="O634" t="n">
        <v>0</v>
      </c>
      <c r="P634" t="n">
        <v>0</v>
      </c>
      <c r="Q634" t="n">
        <v>0</v>
      </c>
      <c r="R634" s="2" t="inlineStr"/>
    </row>
    <row r="635" ht="15" customHeight="1">
      <c r="A635" t="inlineStr">
        <is>
          <t>A 55073-2022</t>
        </is>
      </c>
      <c r="B635" s="1" t="n">
        <v>44886</v>
      </c>
      <c r="C635" s="1" t="n">
        <v>46196</v>
      </c>
      <c r="D635" t="inlineStr">
        <is>
          <t>UPPSALA LÄN</t>
        </is>
      </c>
      <c r="E635" t="inlineStr">
        <is>
          <t>UPPSALA</t>
        </is>
      </c>
      <c r="G635" t="n">
        <v>1</v>
      </c>
      <c r="H635" t="n">
        <v>0</v>
      </c>
      <c r="I635" t="n">
        <v>0</v>
      </c>
      <c r="J635" t="n">
        <v>0</v>
      </c>
      <c r="K635" t="n">
        <v>0</v>
      </c>
      <c r="L635" t="n">
        <v>0</v>
      </c>
      <c r="M635" t="n">
        <v>0</v>
      </c>
      <c r="N635" t="n">
        <v>0</v>
      </c>
      <c r="O635" t="n">
        <v>0</v>
      </c>
      <c r="P635" t="n">
        <v>0</v>
      </c>
      <c r="Q635" t="n">
        <v>0</v>
      </c>
      <c r="R635" s="2" t="inlineStr"/>
    </row>
    <row r="636" ht="15" customHeight="1">
      <c r="A636" t="inlineStr">
        <is>
          <t>A 33816-2024</t>
        </is>
      </c>
      <c r="B636" s="1" t="n">
        <v>45520</v>
      </c>
      <c r="C636" s="1" t="n">
        <v>46196</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20499-2026</t>
        </is>
      </c>
      <c r="B637" s="1" t="n">
        <v>46140</v>
      </c>
      <c r="C637" s="1" t="n">
        <v>46196</v>
      </c>
      <c r="D637" t="inlineStr">
        <is>
          <t>UPPSALA LÄN</t>
        </is>
      </c>
      <c r="E637" t="inlineStr">
        <is>
          <t>UPPSALA</t>
        </is>
      </c>
      <c r="F637" t="inlineStr">
        <is>
          <t>Allmännings- och besparingsskogar</t>
        </is>
      </c>
      <c r="G637" t="n">
        <v>13.5</v>
      </c>
      <c r="H637" t="n">
        <v>0</v>
      </c>
      <c r="I637" t="n">
        <v>0</v>
      </c>
      <c r="J637" t="n">
        <v>0</v>
      </c>
      <c r="K637" t="n">
        <v>0</v>
      </c>
      <c r="L637" t="n">
        <v>0</v>
      </c>
      <c r="M637" t="n">
        <v>0</v>
      </c>
      <c r="N637" t="n">
        <v>0</v>
      </c>
      <c r="O637" t="n">
        <v>0</v>
      </c>
      <c r="P637" t="n">
        <v>0</v>
      </c>
      <c r="Q637" t="n">
        <v>0</v>
      </c>
      <c r="R637" s="2" t="inlineStr"/>
    </row>
    <row r="638" ht="15" customHeight="1">
      <c r="A638" t="inlineStr">
        <is>
          <t>A 5204-2025</t>
        </is>
      </c>
      <c r="B638" s="1" t="n">
        <v>45691</v>
      </c>
      <c r="C638" s="1" t="n">
        <v>46196</v>
      </c>
      <c r="D638" t="inlineStr">
        <is>
          <t>UPPSALA LÄN</t>
        </is>
      </c>
      <c r="E638" t="inlineStr">
        <is>
          <t>UPPSALA</t>
        </is>
      </c>
      <c r="G638" t="n">
        <v>3.7</v>
      </c>
      <c r="H638" t="n">
        <v>0</v>
      </c>
      <c r="I638" t="n">
        <v>0</v>
      </c>
      <c r="J638" t="n">
        <v>0</v>
      </c>
      <c r="K638" t="n">
        <v>0</v>
      </c>
      <c r="L638" t="n">
        <v>0</v>
      </c>
      <c r="M638" t="n">
        <v>0</v>
      </c>
      <c r="N638" t="n">
        <v>0</v>
      </c>
      <c r="O638" t="n">
        <v>0</v>
      </c>
      <c r="P638" t="n">
        <v>0</v>
      </c>
      <c r="Q638" t="n">
        <v>0</v>
      </c>
      <c r="R638" s="2" t="inlineStr"/>
    </row>
    <row r="639" ht="15" customHeight="1">
      <c r="A639" t="inlineStr">
        <is>
          <t>A 43-2024</t>
        </is>
      </c>
      <c r="B639" s="1" t="n">
        <v>45293</v>
      </c>
      <c r="C639" s="1" t="n">
        <v>46196</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32479-2025</t>
        </is>
      </c>
      <c r="B640" s="1" t="n">
        <v>45838</v>
      </c>
      <c r="C640" s="1" t="n">
        <v>46196</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20777-2026</t>
        </is>
      </c>
      <c r="B641" s="1" t="n">
        <v>46141</v>
      </c>
      <c r="C641" s="1" t="n">
        <v>46196</v>
      </c>
      <c r="D641" t="inlineStr">
        <is>
          <t>UPPSALA LÄN</t>
        </is>
      </c>
      <c r="E641" t="inlineStr">
        <is>
          <t>UPPSALA</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36253-2025</t>
        </is>
      </c>
      <c r="B642" s="1" t="n">
        <v>45867</v>
      </c>
      <c r="C642" s="1" t="n">
        <v>46196</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47083-2023</t>
        </is>
      </c>
      <c r="B643" s="1" t="n">
        <v>45201</v>
      </c>
      <c r="C643" s="1" t="n">
        <v>46196</v>
      </c>
      <c r="D643" t="inlineStr">
        <is>
          <t>UPPSALA LÄN</t>
        </is>
      </c>
      <c r="E643" t="inlineStr">
        <is>
          <t>UPPSALA</t>
        </is>
      </c>
      <c r="G643" t="n">
        <v>0.7</v>
      </c>
      <c r="H643" t="n">
        <v>0</v>
      </c>
      <c r="I643" t="n">
        <v>0</v>
      </c>
      <c r="J643" t="n">
        <v>0</v>
      </c>
      <c r="K643" t="n">
        <v>0</v>
      </c>
      <c r="L643" t="n">
        <v>0</v>
      </c>
      <c r="M643" t="n">
        <v>0</v>
      </c>
      <c r="N643" t="n">
        <v>0</v>
      </c>
      <c r="O643" t="n">
        <v>0</v>
      </c>
      <c r="P643" t="n">
        <v>0</v>
      </c>
      <c r="Q643" t="n">
        <v>0</v>
      </c>
      <c r="R643" s="2" t="inlineStr"/>
    </row>
    <row r="644" ht="15" customHeight="1">
      <c r="A644" t="inlineStr">
        <is>
          <t>A 26742-2026</t>
        </is>
      </c>
      <c r="B644" s="1" t="n">
        <v>46184</v>
      </c>
      <c r="C644" s="1" t="n">
        <v>46196</v>
      </c>
      <c r="D644" t="inlineStr">
        <is>
          <t>UPPSALA LÄN</t>
        </is>
      </c>
      <c r="E644" t="inlineStr">
        <is>
          <t>UPPSALA</t>
        </is>
      </c>
      <c r="F644" t="inlineStr">
        <is>
          <t>Kyrkan</t>
        </is>
      </c>
      <c r="G644" t="n">
        <v>8.1</v>
      </c>
      <c r="H644" t="n">
        <v>0</v>
      </c>
      <c r="I644" t="n">
        <v>0</v>
      </c>
      <c r="J644" t="n">
        <v>0</v>
      </c>
      <c r="K644" t="n">
        <v>0</v>
      </c>
      <c r="L644" t="n">
        <v>0</v>
      </c>
      <c r="M644" t="n">
        <v>0</v>
      </c>
      <c r="N644" t="n">
        <v>0</v>
      </c>
      <c r="O644" t="n">
        <v>0</v>
      </c>
      <c r="P644" t="n">
        <v>0</v>
      </c>
      <c r="Q644" t="n">
        <v>0</v>
      </c>
      <c r="R644" s="2" t="inlineStr"/>
    </row>
    <row r="645" ht="15" customHeight="1">
      <c r="A645" t="inlineStr">
        <is>
          <t>A 26844-2026</t>
        </is>
      </c>
      <c r="B645" s="1" t="n">
        <v>46185</v>
      </c>
      <c r="C645" s="1" t="n">
        <v>46196</v>
      </c>
      <c r="D645" t="inlineStr">
        <is>
          <t>UPPSALA LÄN</t>
        </is>
      </c>
      <c r="E645" t="inlineStr">
        <is>
          <t>UPPSALA</t>
        </is>
      </c>
      <c r="G645" t="n">
        <v>5.1</v>
      </c>
      <c r="H645" t="n">
        <v>0</v>
      </c>
      <c r="I645" t="n">
        <v>0</v>
      </c>
      <c r="J645" t="n">
        <v>0</v>
      </c>
      <c r="K645" t="n">
        <v>0</v>
      </c>
      <c r="L645" t="n">
        <v>0</v>
      </c>
      <c r="M645" t="n">
        <v>0</v>
      </c>
      <c r="N645" t="n">
        <v>0</v>
      </c>
      <c r="O645" t="n">
        <v>0</v>
      </c>
      <c r="P645" t="n">
        <v>0</v>
      </c>
      <c r="Q645" t="n">
        <v>0</v>
      </c>
      <c r="R645" s="2" t="inlineStr"/>
    </row>
    <row r="646" ht="15" customHeight="1">
      <c r="A646" t="inlineStr">
        <is>
          <t>A 27107-2026</t>
        </is>
      </c>
      <c r="B646" s="1" t="n">
        <v>46188</v>
      </c>
      <c r="C646" s="1" t="n">
        <v>46196</v>
      </c>
      <c r="D646" t="inlineStr">
        <is>
          <t>UPPSALA LÄN</t>
        </is>
      </c>
      <c r="E646" t="inlineStr">
        <is>
          <t>UPPSALA</t>
        </is>
      </c>
      <c r="G646" t="n">
        <v>1.7</v>
      </c>
      <c r="H646" t="n">
        <v>0</v>
      </c>
      <c r="I646" t="n">
        <v>0</v>
      </c>
      <c r="J646" t="n">
        <v>0</v>
      </c>
      <c r="K646" t="n">
        <v>0</v>
      </c>
      <c r="L646" t="n">
        <v>0</v>
      </c>
      <c r="M646" t="n">
        <v>0</v>
      </c>
      <c r="N646" t="n">
        <v>0</v>
      </c>
      <c r="O646" t="n">
        <v>0</v>
      </c>
      <c r="P646" t="n">
        <v>0</v>
      </c>
      <c r="Q646" t="n">
        <v>0</v>
      </c>
      <c r="R646" s="2" t="inlineStr"/>
    </row>
    <row r="647" ht="15" customHeight="1">
      <c r="A647" t="inlineStr">
        <is>
          <t>A 27118-2026</t>
        </is>
      </c>
      <c r="B647" s="1" t="n">
        <v>46188</v>
      </c>
      <c r="C647" s="1" t="n">
        <v>46196</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21194-2026</t>
        </is>
      </c>
      <c r="B648" s="1" t="n">
        <v>46146</v>
      </c>
      <c r="C648" s="1" t="n">
        <v>46196</v>
      </c>
      <c r="D648" t="inlineStr">
        <is>
          <t>UPPSALA LÄN</t>
        </is>
      </c>
      <c r="E648" t="inlineStr">
        <is>
          <t>UPPSALA</t>
        </is>
      </c>
      <c r="G648" t="n">
        <v>2.5</v>
      </c>
      <c r="H648" t="n">
        <v>0</v>
      </c>
      <c r="I648" t="n">
        <v>0</v>
      </c>
      <c r="J648" t="n">
        <v>0</v>
      </c>
      <c r="K648" t="n">
        <v>0</v>
      </c>
      <c r="L648" t="n">
        <v>0</v>
      </c>
      <c r="M648" t="n">
        <v>0</v>
      </c>
      <c r="N648" t="n">
        <v>0</v>
      </c>
      <c r="O648" t="n">
        <v>0</v>
      </c>
      <c r="P648" t="n">
        <v>0</v>
      </c>
      <c r="Q648" t="n">
        <v>0</v>
      </c>
      <c r="R648" s="2" t="inlineStr"/>
    </row>
    <row r="649" ht="15" customHeight="1">
      <c r="A649" t="inlineStr">
        <is>
          <t>A 27362-2026</t>
        </is>
      </c>
      <c r="B649" s="1" t="n">
        <v>46188</v>
      </c>
      <c r="C649" s="1" t="n">
        <v>46196</v>
      </c>
      <c r="D649" t="inlineStr">
        <is>
          <t>UPPSALA LÄN</t>
        </is>
      </c>
      <c r="E649" t="inlineStr">
        <is>
          <t>UPPSALA</t>
        </is>
      </c>
      <c r="G649" t="n">
        <v>1.7</v>
      </c>
      <c r="H649" t="n">
        <v>0</v>
      </c>
      <c r="I649" t="n">
        <v>0</v>
      </c>
      <c r="J649" t="n">
        <v>0</v>
      </c>
      <c r="K649" t="n">
        <v>0</v>
      </c>
      <c r="L649" t="n">
        <v>0</v>
      </c>
      <c r="M649" t="n">
        <v>0</v>
      </c>
      <c r="N649" t="n">
        <v>0</v>
      </c>
      <c r="O649" t="n">
        <v>0</v>
      </c>
      <c r="P649" t="n">
        <v>0</v>
      </c>
      <c r="Q649" t="n">
        <v>0</v>
      </c>
      <c r="R649" s="2" t="inlineStr"/>
    </row>
    <row r="650" ht="15" customHeight="1">
      <c r="A650" t="inlineStr">
        <is>
          <t>A 27113-2026</t>
        </is>
      </c>
      <c r="B650" s="1" t="n">
        <v>46188</v>
      </c>
      <c r="C650" s="1" t="n">
        <v>46196</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27320-2026</t>
        </is>
      </c>
      <c r="B651" s="1" t="n">
        <v>46188</v>
      </c>
      <c r="C651" s="1" t="n">
        <v>46196</v>
      </c>
      <c r="D651" t="inlineStr">
        <is>
          <t>UPPSALA LÄN</t>
        </is>
      </c>
      <c r="E651" t="inlineStr">
        <is>
          <t>UPPSALA</t>
        </is>
      </c>
      <c r="G651" t="n">
        <v>0.3</v>
      </c>
      <c r="H651" t="n">
        <v>0</v>
      </c>
      <c r="I651" t="n">
        <v>0</v>
      </c>
      <c r="J651" t="n">
        <v>0</v>
      </c>
      <c r="K651" t="n">
        <v>0</v>
      </c>
      <c r="L651" t="n">
        <v>0</v>
      </c>
      <c r="M651" t="n">
        <v>0</v>
      </c>
      <c r="N651" t="n">
        <v>0</v>
      </c>
      <c r="O651" t="n">
        <v>0</v>
      </c>
      <c r="P651" t="n">
        <v>0</v>
      </c>
      <c r="Q651" t="n">
        <v>0</v>
      </c>
      <c r="R651" s="2" t="inlineStr"/>
    </row>
    <row r="652" ht="15" customHeight="1">
      <c r="A652" t="inlineStr">
        <is>
          <t>A 21453-2026</t>
        </is>
      </c>
      <c r="B652" s="1" t="n">
        <v>46146</v>
      </c>
      <c r="C652" s="1" t="n">
        <v>46196</v>
      </c>
      <c r="D652" t="inlineStr">
        <is>
          <t>UPPSALA LÄN</t>
        </is>
      </c>
      <c r="E652" t="inlineStr">
        <is>
          <t>UPPSALA</t>
        </is>
      </c>
      <c r="G652" t="n">
        <v>1</v>
      </c>
      <c r="H652" t="n">
        <v>0</v>
      </c>
      <c r="I652" t="n">
        <v>0</v>
      </c>
      <c r="J652" t="n">
        <v>0</v>
      </c>
      <c r="K652" t="n">
        <v>0</v>
      </c>
      <c r="L652" t="n">
        <v>0</v>
      </c>
      <c r="M652" t="n">
        <v>0</v>
      </c>
      <c r="N652" t="n">
        <v>0</v>
      </c>
      <c r="O652" t="n">
        <v>0</v>
      </c>
      <c r="P652" t="n">
        <v>0</v>
      </c>
      <c r="Q652" t="n">
        <v>0</v>
      </c>
      <c r="R652" s="2" t="inlineStr"/>
    </row>
    <row r="653" ht="15" customHeight="1">
      <c r="A653" t="inlineStr">
        <is>
          <t>A 27817-2026</t>
        </is>
      </c>
      <c r="B653" s="1" t="n">
        <v>46191</v>
      </c>
      <c r="C653" s="1" t="n">
        <v>46196</v>
      </c>
      <c r="D653" t="inlineStr">
        <is>
          <t>UPPSALA LÄN</t>
        </is>
      </c>
      <c r="E653" t="inlineStr">
        <is>
          <t>UPPSALA</t>
        </is>
      </c>
      <c r="G653" t="n">
        <v>2.4</v>
      </c>
      <c r="H653" t="n">
        <v>0</v>
      </c>
      <c r="I653" t="n">
        <v>0</v>
      </c>
      <c r="J653" t="n">
        <v>0</v>
      </c>
      <c r="K653" t="n">
        <v>0</v>
      </c>
      <c r="L653" t="n">
        <v>0</v>
      </c>
      <c r="M653" t="n">
        <v>0</v>
      </c>
      <c r="N653" t="n">
        <v>0</v>
      </c>
      <c r="O653" t="n">
        <v>0</v>
      </c>
      <c r="P653" t="n">
        <v>0</v>
      </c>
      <c r="Q653" t="n">
        <v>0</v>
      </c>
      <c r="R653" s="2" t="inlineStr"/>
    </row>
    <row r="654" ht="15" customHeight="1">
      <c r="A654" t="inlineStr">
        <is>
          <t>A 27900-2026</t>
        </is>
      </c>
      <c r="B654" s="1" t="n">
        <v>46191</v>
      </c>
      <c r="C654" s="1" t="n">
        <v>46196</v>
      </c>
      <c r="D654" t="inlineStr">
        <is>
          <t>UPPSALA LÄN</t>
        </is>
      </c>
      <c r="E654" t="inlineStr">
        <is>
          <t>UPPSALA</t>
        </is>
      </c>
      <c r="F654" t="inlineStr">
        <is>
          <t>Bergvik skog öst AB</t>
        </is>
      </c>
      <c r="G654" t="n">
        <v>1.7</v>
      </c>
      <c r="H654" t="n">
        <v>0</v>
      </c>
      <c r="I654" t="n">
        <v>0</v>
      </c>
      <c r="J654" t="n">
        <v>0</v>
      </c>
      <c r="K654" t="n">
        <v>0</v>
      </c>
      <c r="L654" t="n">
        <v>0</v>
      </c>
      <c r="M654" t="n">
        <v>0</v>
      </c>
      <c r="N654" t="n">
        <v>0</v>
      </c>
      <c r="O654" t="n">
        <v>0</v>
      </c>
      <c r="P654" t="n">
        <v>0</v>
      </c>
      <c r="Q654" t="n">
        <v>0</v>
      </c>
      <c r="R654" s="2" t="inlineStr"/>
    </row>
    <row r="655" ht="15" customHeight="1">
      <c r="A655" t="inlineStr">
        <is>
          <t>A 27893-2026</t>
        </is>
      </c>
      <c r="B655" s="1" t="n">
        <v>46191</v>
      </c>
      <c r="C655" s="1" t="n">
        <v>46196</v>
      </c>
      <c r="D655" t="inlineStr">
        <is>
          <t>UPPSALA LÄN</t>
        </is>
      </c>
      <c r="E655" t="inlineStr">
        <is>
          <t>UPPSALA</t>
        </is>
      </c>
      <c r="F655" t="inlineStr">
        <is>
          <t>Allmännings- och besparingsskogar</t>
        </is>
      </c>
      <c r="G655" t="n">
        <v>3.9</v>
      </c>
      <c r="H655" t="n">
        <v>0</v>
      </c>
      <c r="I655" t="n">
        <v>0</v>
      </c>
      <c r="J655" t="n">
        <v>0</v>
      </c>
      <c r="K655" t="n">
        <v>0</v>
      </c>
      <c r="L655" t="n">
        <v>0</v>
      </c>
      <c r="M655" t="n">
        <v>0</v>
      </c>
      <c r="N655" t="n">
        <v>0</v>
      </c>
      <c r="O655" t="n">
        <v>0</v>
      </c>
      <c r="P655" t="n">
        <v>0</v>
      </c>
      <c r="Q655" t="n">
        <v>0</v>
      </c>
      <c r="R655" s="2" t="inlineStr"/>
    </row>
    <row r="656" ht="15" customHeight="1">
      <c r="A656" t="inlineStr">
        <is>
          <t>A 27903-2026</t>
        </is>
      </c>
      <c r="B656" s="1" t="n">
        <v>46191</v>
      </c>
      <c r="C656" s="1" t="n">
        <v>46196</v>
      </c>
      <c r="D656" t="inlineStr">
        <is>
          <t>UPPSALA LÄN</t>
        </is>
      </c>
      <c r="E656" t="inlineStr">
        <is>
          <t>UPPSALA</t>
        </is>
      </c>
      <c r="F656" t="inlineStr">
        <is>
          <t>Bergvik skog öst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27904-2026</t>
        </is>
      </c>
      <c r="B657" s="1" t="n">
        <v>46191</v>
      </c>
      <c r="C657" s="1" t="n">
        <v>46196</v>
      </c>
      <c r="D657" t="inlineStr">
        <is>
          <t>UPPSALA LÄN</t>
        </is>
      </c>
      <c r="E657" t="inlineStr">
        <is>
          <t>UPPSALA</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37670-2022</t>
        </is>
      </c>
      <c r="B658" s="1" t="n">
        <v>44810</v>
      </c>
      <c r="C658" s="1" t="n">
        <v>46196</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28165-2026</t>
        </is>
      </c>
      <c r="B659" s="1" t="n">
        <v>46195</v>
      </c>
      <c r="C659" s="1" t="n">
        <v>46196</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21864-2026</t>
        </is>
      </c>
      <c r="B660" s="1" t="n">
        <v>46150</v>
      </c>
      <c r="C660" s="1" t="n">
        <v>46196</v>
      </c>
      <c r="D660" t="inlineStr">
        <is>
          <t>UPPSALA LÄN</t>
        </is>
      </c>
      <c r="E660" t="inlineStr">
        <is>
          <t>UPPSALA</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12282-2025</t>
        </is>
      </c>
      <c r="B661" s="1" t="n">
        <v>45729</v>
      </c>
      <c r="C661" s="1" t="n">
        <v>46196</v>
      </c>
      <c r="D661" t="inlineStr">
        <is>
          <t>UPPSALA LÄN</t>
        </is>
      </c>
      <c r="E661" t="inlineStr">
        <is>
          <t>UPPSALA</t>
        </is>
      </c>
      <c r="G661" t="n">
        <v>3.3</v>
      </c>
      <c r="H661" t="n">
        <v>0</v>
      </c>
      <c r="I661" t="n">
        <v>0</v>
      </c>
      <c r="J661" t="n">
        <v>0</v>
      </c>
      <c r="K661" t="n">
        <v>0</v>
      </c>
      <c r="L661" t="n">
        <v>0</v>
      </c>
      <c r="M661" t="n">
        <v>0</v>
      </c>
      <c r="N661" t="n">
        <v>0</v>
      </c>
      <c r="O661" t="n">
        <v>0</v>
      </c>
      <c r="P661" t="n">
        <v>0</v>
      </c>
      <c r="Q661" t="n">
        <v>0</v>
      </c>
      <c r="R661" s="2" t="inlineStr"/>
    </row>
    <row r="662" ht="15" customHeight="1">
      <c r="A662" t="inlineStr">
        <is>
          <t>A 59116-2024</t>
        </is>
      </c>
      <c r="B662" s="1" t="n">
        <v>45637</v>
      </c>
      <c r="C662" s="1" t="n">
        <v>46196</v>
      </c>
      <c r="D662" t="inlineStr">
        <is>
          <t>UPPSALA LÄN</t>
        </is>
      </c>
      <c r="E662" t="inlineStr">
        <is>
          <t>UPPSALA</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13799-2024</t>
        </is>
      </c>
      <c r="B663" s="1" t="n">
        <v>45391</v>
      </c>
      <c r="C663" s="1" t="n">
        <v>46196</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42772-2022</t>
        </is>
      </c>
      <c r="B664" s="1" t="n">
        <v>44832</v>
      </c>
      <c r="C664" s="1" t="n">
        <v>46196</v>
      </c>
      <c r="D664" t="inlineStr">
        <is>
          <t>UPPSALA LÄN</t>
        </is>
      </c>
      <c r="E664" t="inlineStr">
        <is>
          <t>UPPSALA</t>
        </is>
      </c>
      <c r="G664" t="n">
        <v>17.7</v>
      </c>
      <c r="H664" t="n">
        <v>0</v>
      </c>
      <c r="I664" t="n">
        <v>0</v>
      </c>
      <c r="J664" t="n">
        <v>0</v>
      </c>
      <c r="K664" t="n">
        <v>0</v>
      </c>
      <c r="L664" t="n">
        <v>0</v>
      </c>
      <c r="M664" t="n">
        <v>0</v>
      </c>
      <c r="N664" t="n">
        <v>0</v>
      </c>
      <c r="O664" t="n">
        <v>0</v>
      </c>
      <c r="P664" t="n">
        <v>0</v>
      </c>
      <c r="Q664" t="n">
        <v>0</v>
      </c>
      <c r="R664" s="2" t="inlineStr"/>
    </row>
    <row r="665" ht="15" customHeight="1">
      <c r="A665" t="inlineStr">
        <is>
          <t>A 3261-2024</t>
        </is>
      </c>
      <c r="B665" s="1" t="n">
        <v>45317</v>
      </c>
      <c r="C665" s="1" t="n">
        <v>46196</v>
      </c>
      <c r="D665" t="inlineStr">
        <is>
          <t>UPPSALA LÄN</t>
        </is>
      </c>
      <c r="E665" t="inlineStr">
        <is>
          <t>UPPSALA</t>
        </is>
      </c>
      <c r="G665" t="n">
        <v>2.8</v>
      </c>
      <c r="H665" t="n">
        <v>0</v>
      </c>
      <c r="I665" t="n">
        <v>0</v>
      </c>
      <c r="J665" t="n">
        <v>0</v>
      </c>
      <c r="K665" t="n">
        <v>0</v>
      </c>
      <c r="L665" t="n">
        <v>0</v>
      </c>
      <c r="M665" t="n">
        <v>0</v>
      </c>
      <c r="N665" t="n">
        <v>0</v>
      </c>
      <c r="O665" t="n">
        <v>0</v>
      </c>
      <c r="P665" t="n">
        <v>0</v>
      </c>
      <c r="Q665" t="n">
        <v>0</v>
      </c>
      <c r="R665" s="2" t="inlineStr"/>
    </row>
    <row r="666" ht="15" customHeight="1">
      <c r="A666" t="inlineStr">
        <is>
          <t>A 59489-2023</t>
        </is>
      </c>
      <c r="B666" s="1" t="n">
        <v>45254</v>
      </c>
      <c r="C666" s="1" t="n">
        <v>46196</v>
      </c>
      <c r="D666" t="inlineStr">
        <is>
          <t>UPPSALA LÄN</t>
        </is>
      </c>
      <c r="E666" t="inlineStr">
        <is>
          <t>UPPSALA</t>
        </is>
      </c>
      <c r="G666" t="n">
        <v>6.5</v>
      </c>
      <c r="H666" t="n">
        <v>0</v>
      </c>
      <c r="I666" t="n">
        <v>0</v>
      </c>
      <c r="J666" t="n">
        <v>0</v>
      </c>
      <c r="K666" t="n">
        <v>0</v>
      </c>
      <c r="L666" t="n">
        <v>0</v>
      </c>
      <c r="M666" t="n">
        <v>0</v>
      </c>
      <c r="N666" t="n">
        <v>0</v>
      </c>
      <c r="O666" t="n">
        <v>0</v>
      </c>
      <c r="P666" t="n">
        <v>0</v>
      </c>
      <c r="Q666" t="n">
        <v>0</v>
      </c>
      <c r="R666" s="2" t="inlineStr"/>
    </row>
    <row r="667" ht="15" customHeight="1">
      <c r="A667" t="inlineStr">
        <is>
          <t>A 18805-2025</t>
        </is>
      </c>
      <c r="B667" s="1" t="n">
        <v>45763</v>
      </c>
      <c r="C667" s="1" t="n">
        <v>46196</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1032-2023</t>
        </is>
      </c>
      <c r="B668" s="1" t="n">
        <v>44935</v>
      </c>
      <c r="C668" s="1" t="n">
        <v>46196</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50267-2023</t>
        </is>
      </c>
      <c r="B669" s="1" t="n">
        <v>45216</v>
      </c>
      <c r="C669" s="1" t="n">
        <v>46196</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17232-2022</t>
        </is>
      </c>
      <c r="B670" s="1" t="n">
        <v>44678</v>
      </c>
      <c r="C670" s="1" t="n">
        <v>46196</v>
      </c>
      <c r="D670" t="inlineStr">
        <is>
          <t>UPPSALA LÄN</t>
        </is>
      </c>
      <c r="E670" t="inlineStr">
        <is>
          <t>UPPSALA</t>
        </is>
      </c>
      <c r="F670" t="inlineStr">
        <is>
          <t>Övriga Aktiebolag</t>
        </is>
      </c>
      <c r="G670" t="n">
        <v>7.4</v>
      </c>
      <c r="H670" t="n">
        <v>0</v>
      </c>
      <c r="I670" t="n">
        <v>0</v>
      </c>
      <c r="J670" t="n">
        <v>0</v>
      </c>
      <c r="K670" t="n">
        <v>0</v>
      </c>
      <c r="L670" t="n">
        <v>0</v>
      </c>
      <c r="M670" t="n">
        <v>0</v>
      </c>
      <c r="N670" t="n">
        <v>0</v>
      </c>
      <c r="O670" t="n">
        <v>0</v>
      </c>
      <c r="P670" t="n">
        <v>0</v>
      </c>
      <c r="Q670" t="n">
        <v>0</v>
      </c>
      <c r="R670" s="2" t="inlineStr"/>
    </row>
    <row r="671" ht="15" customHeight="1">
      <c r="A671" t="inlineStr">
        <is>
          <t>A 61805-2021</t>
        </is>
      </c>
      <c r="B671" s="1" t="n">
        <v>44501</v>
      </c>
      <c r="C671" s="1" t="n">
        <v>46196</v>
      </c>
      <c r="D671" t="inlineStr">
        <is>
          <t>UPPSALA LÄN</t>
        </is>
      </c>
      <c r="E671" t="inlineStr">
        <is>
          <t>UPPSALA</t>
        </is>
      </c>
      <c r="F671" t="inlineStr">
        <is>
          <t>Bergvik skog öst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4312-2022</t>
        </is>
      </c>
      <c r="B672" s="1" t="n">
        <v>44588</v>
      </c>
      <c r="C672" s="1" t="n">
        <v>46196</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60814-2023</t>
        </is>
      </c>
      <c r="B673" s="1" t="n">
        <v>45259</v>
      </c>
      <c r="C673" s="1" t="n">
        <v>46196</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53963-2023</t>
        </is>
      </c>
      <c r="B674" s="1" t="n">
        <v>45231</v>
      </c>
      <c r="C674" s="1" t="n">
        <v>46196</v>
      </c>
      <c r="D674" t="inlineStr">
        <is>
          <t>UPPSALA LÄN</t>
        </is>
      </c>
      <c r="E674" t="inlineStr">
        <is>
          <t>UPPSALA</t>
        </is>
      </c>
      <c r="G674" t="n">
        <v>1.9</v>
      </c>
      <c r="H674" t="n">
        <v>0</v>
      </c>
      <c r="I674" t="n">
        <v>0</v>
      </c>
      <c r="J674" t="n">
        <v>0</v>
      </c>
      <c r="K674" t="n">
        <v>0</v>
      </c>
      <c r="L674" t="n">
        <v>0</v>
      </c>
      <c r="M674" t="n">
        <v>0</v>
      </c>
      <c r="N674" t="n">
        <v>0</v>
      </c>
      <c r="O674" t="n">
        <v>0</v>
      </c>
      <c r="P674" t="n">
        <v>0</v>
      </c>
      <c r="Q674" t="n">
        <v>0</v>
      </c>
      <c r="R674" s="2" t="inlineStr"/>
    </row>
    <row r="675" ht="15" customHeight="1">
      <c r="A675" t="inlineStr">
        <is>
          <t>A 7501-2025</t>
        </is>
      </c>
      <c r="B675" s="1" t="n">
        <v>45705</v>
      </c>
      <c r="C675" s="1" t="n">
        <v>46196</v>
      </c>
      <c r="D675" t="inlineStr">
        <is>
          <t>UPPSALA LÄN</t>
        </is>
      </c>
      <c r="E675" t="inlineStr">
        <is>
          <t>UPPSALA</t>
        </is>
      </c>
      <c r="G675" t="n">
        <v>4.2</v>
      </c>
      <c r="H675" t="n">
        <v>0</v>
      </c>
      <c r="I675" t="n">
        <v>0</v>
      </c>
      <c r="J675" t="n">
        <v>0</v>
      </c>
      <c r="K675" t="n">
        <v>0</v>
      </c>
      <c r="L675" t="n">
        <v>0</v>
      </c>
      <c r="M675" t="n">
        <v>0</v>
      </c>
      <c r="N675" t="n">
        <v>0</v>
      </c>
      <c r="O675" t="n">
        <v>0</v>
      </c>
      <c r="P675" t="n">
        <v>0</v>
      </c>
      <c r="Q675" t="n">
        <v>0</v>
      </c>
      <c r="R675" s="2" t="inlineStr"/>
    </row>
    <row r="676" ht="15" customHeight="1">
      <c r="A676" t="inlineStr">
        <is>
          <t>A 60444-2023</t>
        </is>
      </c>
      <c r="B676" s="1" t="n">
        <v>45259</v>
      </c>
      <c r="C676" s="1" t="n">
        <v>46196</v>
      </c>
      <c r="D676" t="inlineStr">
        <is>
          <t>UPPSALA LÄN</t>
        </is>
      </c>
      <c r="E676" t="inlineStr">
        <is>
          <t>UPPSALA</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13644-2024</t>
        </is>
      </c>
      <c r="B677" s="1" t="n">
        <v>45390</v>
      </c>
      <c r="C677" s="1" t="n">
        <v>46196</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20102-2023</t>
        </is>
      </c>
      <c r="B678" s="1" t="n">
        <v>45054</v>
      </c>
      <c r="C678" s="1" t="n">
        <v>46196</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1975-2022</t>
        </is>
      </c>
      <c r="B679" s="1" t="n">
        <v>44575</v>
      </c>
      <c r="C679" s="1" t="n">
        <v>46196</v>
      </c>
      <c r="D679" t="inlineStr">
        <is>
          <t>UPPSALA LÄN</t>
        </is>
      </c>
      <c r="E679" t="inlineStr">
        <is>
          <t>UPPSALA</t>
        </is>
      </c>
      <c r="G679" t="n">
        <v>3.9</v>
      </c>
      <c r="H679" t="n">
        <v>0</v>
      </c>
      <c r="I679" t="n">
        <v>0</v>
      </c>
      <c r="J679" t="n">
        <v>0</v>
      </c>
      <c r="K679" t="n">
        <v>0</v>
      </c>
      <c r="L679" t="n">
        <v>0</v>
      </c>
      <c r="M679" t="n">
        <v>0</v>
      </c>
      <c r="N679" t="n">
        <v>0</v>
      </c>
      <c r="O679" t="n">
        <v>0</v>
      </c>
      <c r="P679" t="n">
        <v>0</v>
      </c>
      <c r="Q679" t="n">
        <v>0</v>
      </c>
      <c r="R679" s="2" t="inlineStr"/>
    </row>
    <row r="680" ht="15" customHeight="1">
      <c r="A680" t="inlineStr">
        <is>
          <t>A 11568-2023</t>
        </is>
      </c>
      <c r="B680" s="1" t="n">
        <v>44994</v>
      </c>
      <c r="C680" s="1" t="n">
        <v>46196</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17562-2022</t>
        </is>
      </c>
      <c r="B681" s="1" t="n">
        <v>44679</v>
      </c>
      <c r="C681" s="1" t="n">
        <v>46196</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60445-2024</t>
        </is>
      </c>
      <c r="B682" s="1" t="n">
        <v>45643</v>
      </c>
      <c r="C682" s="1" t="n">
        <v>46196</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25776-2022</t>
        </is>
      </c>
      <c r="B683" s="1" t="n">
        <v>44733</v>
      </c>
      <c r="C683" s="1" t="n">
        <v>46196</v>
      </c>
      <c r="D683" t="inlineStr">
        <is>
          <t>UPPSALA LÄN</t>
        </is>
      </c>
      <c r="E683" t="inlineStr">
        <is>
          <t>UPPSALA</t>
        </is>
      </c>
      <c r="G683" t="n">
        <v>0.7</v>
      </c>
      <c r="H683" t="n">
        <v>0</v>
      </c>
      <c r="I683" t="n">
        <v>0</v>
      </c>
      <c r="J683" t="n">
        <v>0</v>
      </c>
      <c r="K683" t="n">
        <v>0</v>
      </c>
      <c r="L683" t="n">
        <v>0</v>
      </c>
      <c r="M683" t="n">
        <v>0</v>
      </c>
      <c r="N683" t="n">
        <v>0</v>
      </c>
      <c r="O683" t="n">
        <v>0</v>
      </c>
      <c r="P683" t="n">
        <v>0</v>
      </c>
      <c r="Q683" t="n">
        <v>0</v>
      </c>
      <c r="R683" s="2" t="inlineStr"/>
    </row>
    <row r="684" ht="15" customHeight="1">
      <c r="A684" t="inlineStr">
        <is>
          <t>A 19276-2023</t>
        </is>
      </c>
      <c r="B684" s="1" t="n">
        <v>45049</v>
      </c>
      <c r="C684" s="1" t="n">
        <v>46196</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47287-2023</t>
        </is>
      </c>
      <c r="B685" s="1" t="n">
        <v>45202</v>
      </c>
      <c r="C685" s="1" t="n">
        <v>46196</v>
      </c>
      <c r="D685" t="inlineStr">
        <is>
          <t>UPPSALA LÄN</t>
        </is>
      </c>
      <c r="E685" t="inlineStr">
        <is>
          <t>UPPSALA</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60447-2023</t>
        </is>
      </c>
      <c r="B686" s="1" t="n">
        <v>45259</v>
      </c>
      <c r="C686" s="1" t="n">
        <v>46196</v>
      </c>
      <c r="D686" t="inlineStr">
        <is>
          <t>UPPSALA LÄN</t>
        </is>
      </c>
      <c r="E686" t="inlineStr">
        <is>
          <t>UPPSALA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62287-2023</t>
        </is>
      </c>
      <c r="B687" s="1" t="n">
        <v>45267</v>
      </c>
      <c r="C687" s="1" t="n">
        <v>46196</v>
      </c>
      <c r="D687" t="inlineStr">
        <is>
          <t>UPPSALA LÄN</t>
        </is>
      </c>
      <c r="E687" t="inlineStr">
        <is>
          <t>UPPSALA</t>
        </is>
      </c>
      <c r="F687" t="inlineStr">
        <is>
          <t>Allmännings- och besparingsskogar</t>
        </is>
      </c>
      <c r="G687" t="n">
        <v>2.8</v>
      </c>
      <c r="H687" t="n">
        <v>0</v>
      </c>
      <c r="I687" t="n">
        <v>0</v>
      </c>
      <c r="J687" t="n">
        <v>0</v>
      </c>
      <c r="K687" t="n">
        <v>0</v>
      </c>
      <c r="L687" t="n">
        <v>0</v>
      </c>
      <c r="M687" t="n">
        <v>0</v>
      </c>
      <c r="N687" t="n">
        <v>0</v>
      </c>
      <c r="O687" t="n">
        <v>0</v>
      </c>
      <c r="P687" t="n">
        <v>0</v>
      </c>
      <c r="Q687" t="n">
        <v>0</v>
      </c>
      <c r="R687" s="2" t="inlineStr"/>
    </row>
    <row r="688" ht="15" customHeight="1">
      <c r="A688" t="inlineStr">
        <is>
          <t>A 17658-2025</t>
        </is>
      </c>
      <c r="B688" s="1" t="n">
        <v>45758</v>
      </c>
      <c r="C688" s="1" t="n">
        <v>46196</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18781-2025</t>
        </is>
      </c>
      <c r="B689" s="1" t="n">
        <v>45763</v>
      </c>
      <c r="C689" s="1" t="n">
        <v>46196</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31161-2023</t>
        </is>
      </c>
      <c r="B690" s="1" t="n">
        <v>45113</v>
      </c>
      <c r="C690" s="1" t="n">
        <v>46196</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6155-2023</t>
        </is>
      </c>
      <c r="B691" s="1" t="n">
        <v>44964</v>
      </c>
      <c r="C691" s="1" t="n">
        <v>46196</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31157-2023</t>
        </is>
      </c>
      <c r="B692" s="1" t="n">
        <v>45113</v>
      </c>
      <c r="C692" s="1" t="n">
        <v>46196</v>
      </c>
      <c r="D692" t="inlineStr">
        <is>
          <t>UPPSALA LÄN</t>
        </is>
      </c>
      <c r="E692" t="inlineStr">
        <is>
          <t>UPPSALA</t>
        </is>
      </c>
      <c r="G692" t="n">
        <v>1.6</v>
      </c>
      <c r="H692" t="n">
        <v>0</v>
      </c>
      <c r="I692" t="n">
        <v>0</v>
      </c>
      <c r="J692" t="n">
        <v>0</v>
      </c>
      <c r="K692" t="n">
        <v>0</v>
      </c>
      <c r="L692" t="n">
        <v>0</v>
      </c>
      <c r="M692" t="n">
        <v>0</v>
      </c>
      <c r="N692" t="n">
        <v>0</v>
      </c>
      <c r="O692" t="n">
        <v>0</v>
      </c>
      <c r="P692" t="n">
        <v>0</v>
      </c>
      <c r="Q692" t="n">
        <v>0</v>
      </c>
      <c r="R692" s="2" t="inlineStr"/>
    </row>
    <row r="693" ht="15" customHeight="1">
      <c r="A693" t="inlineStr">
        <is>
          <t>A 33332-2022</t>
        </is>
      </c>
      <c r="B693" s="1" t="n">
        <v>44788</v>
      </c>
      <c r="C693" s="1" t="n">
        <v>46196</v>
      </c>
      <c r="D693" t="inlineStr">
        <is>
          <t>UPPSALA LÄN</t>
        </is>
      </c>
      <c r="E693" t="inlineStr">
        <is>
          <t>UPPSALA</t>
        </is>
      </c>
      <c r="G693" t="n">
        <v>1</v>
      </c>
      <c r="H693" t="n">
        <v>0</v>
      </c>
      <c r="I693" t="n">
        <v>0</v>
      </c>
      <c r="J693" t="n">
        <v>0</v>
      </c>
      <c r="K693" t="n">
        <v>0</v>
      </c>
      <c r="L693" t="n">
        <v>0</v>
      </c>
      <c r="M693" t="n">
        <v>0</v>
      </c>
      <c r="N693" t="n">
        <v>0</v>
      </c>
      <c r="O693" t="n">
        <v>0</v>
      </c>
      <c r="P693" t="n">
        <v>0</v>
      </c>
      <c r="Q693" t="n">
        <v>0</v>
      </c>
      <c r="R693" s="2" t="inlineStr"/>
    </row>
    <row r="694" ht="15" customHeight="1">
      <c r="A694" t="inlineStr">
        <is>
          <t>A 27912-2023</t>
        </is>
      </c>
      <c r="B694" s="1" t="n">
        <v>45098</v>
      </c>
      <c r="C694" s="1" t="n">
        <v>46196</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9611-2024</t>
        </is>
      </c>
      <c r="B695" s="1" t="n">
        <v>45361</v>
      </c>
      <c r="C695" s="1" t="n">
        <v>46196</v>
      </c>
      <c r="D695" t="inlineStr">
        <is>
          <t>UPPSALA LÄN</t>
        </is>
      </c>
      <c r="E695" t="inlineStr">
        <is>
          <t>UPPSALA</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60781-2023</t>
        </is>
      </c>
      <c r="B696" s="1" t="n">
        <v>45259</v>
      </c>
      <c r="C696" s="1" t="n">
        <v>46196</v>
      </c>
      <c r="D696" t="inlineStr">
        <is>
          <t>UPPSALA LÄN</t>
        </is>
      </c>
      <c r="E696" t="inlineStr">
        <is>
          <t>UPPSALA</t>
        </is>
      </c>
      <c r="G696" t="n">
        <v>4.1</v>
      </c>
      <c r="H696" t="n">
        <v>0</v>
      </c>
      <c r="I696" t="n">
        <v>0</v>
      </c>
      <c r="J696" t="n">
        <v>0</v>
      </c>
      <c r="K696" t="n">
        <v>0</v>
      </c>
      <c r="L696" t="n">
        <v>0</v>
      </c>
      <c r="M696" t="n">
        <v>0</v>
      </c>
      <c r="N696" t="n">
        <v>0</v>
      </c>
      <c r="O696" t="n">
        <v>0</v>
      </c>
      <c r="P696" t="n">
        <v>0</v>
      </c>
      <c r="Q696" t="n">
        <v>0</v>
      </c>
      <c r="R696" s="2" t="inlineStr"/>
    </row>
    <row r="697" ht="15" customHeight="1">
      <c r="A697" t="inlineStr">
        <is>
          <t>A 24787-2024</t>
        </is>
      </c>
      <c r="B697" s="1" t="n">
        <v>45460</v>
      </c>
      <c r="C697" s="1" t="n">
        <v>46196</v>
      </c>
      <c r="D697" t="inlineStr">
        <is>
          <t>UPPSALA LÄN</t>
        </is>
      </c>
      <c r="E697" t="inlineStr">
        <is>
          <t>UPPSALA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18717-2025</t>
        </is>
      </c>
      <c r="B698" s="1" t="n">
        <v>45763</v>
      </c>
      <c r="C698" s="1" t="n">
        <v>46196</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38865-2022</t>
        </is>
      </c>
      <c r="B699" s="1" t="n">
        <v>44816</v>
      </c>
      <c r="C699" s="1" t="n">
        <v>46196</v>
      </c>
      <c r="D699" t="inlineStr">
        <is>
          <t>UPPSALA LÄN</t>
        </is>
      </c>
      <c r="E699" t="inlineStr">
        <is>
          <t>UPPSALA</t>
        </is>
      </c>
      <c r="G699" t="n">
        <v>14.6</v>
      </c>
      <c r="H699" t="n">
        <v>0</v>
      </c>
      <c r="I699" t="n">
        <v>0</v>
      </c>
      <c r="J699" t="n">
        <v>0</v>
      </c>
      <c r="K699" t="n">
        <v>0</v>
      </c>
      <c r="L699" t="n">
        <v>0</v>
      </c>
      <c r="M699" t="n">
        <v>0</v>
      </c>
      <c r="N699" t="n">
        <v>0</v>
      </c>
      <c r="O699" t="n">
        <v>0</v>
      </c>
      <c r="P699" t="n">
        <v>0</v>
      </c>
      <c r="Q699" t="n">
        <v>0</v>
      </c>
      <c r="R699" s="2" t="inlineStr"/>
    </row>
    <row r="700" ht="15" customHeight="1">
      <c r="A700" t="inlineStr">
        <is>
          <t>A 1994-2024</t>
        </is>
      </c>
      <c r="B700" s="1" t="n">
        <v>45308</v>
      </c>
      <c r="C700" s="1" t="n">
        <v>46196</v>
      </c>
      <c r="D700" t="inlineStr">
        <is>
          <t>UPPSALA LÄN</t>
        </is>
      </c>
      <c r="E700" t="inlineStr">
        <is>
          <t>UPPSALA</t>
        </is>
      </c>
      <c r="G700" t="n">
        <v>1.6</v>
      </c>
      <c r="H700" t="n">
        <v>0</v>
      </c>
      <c r="I700" t="n">
        <v>0</v>
      </c>
      <c r="J700" t="n">
        <v>0</v>
      </c>
      <c r="K700" t="n">
        <v>0</v>
      </c>
      <c r="L700" t="n">
        <v>0</v>
      </c>
      <c r="M700" t="n">
        <v>0</v>
      </c>
      <c r="N700" t="n">
        <v>0</v>
      </c>
      <c r="O700" t="n">
        <v>0</v>
      </c>
      <c r="P700" t="n">
        <v>0</v>
      </c>
      <c r="Q700" t="n">
        <v>0</v>
      </c>
      <c r="R700" s="2" t="inlineStr"/>
    </row>
    <row r="701" ht="15" customHeight="1">
      <c r="A701" t="inlineStr">
        <is>
          <t>A 29927-2023</t>
        </is>
      </c>
      <c r="B701" s="1" t="n">
        <v>45107</v>
      </c>
      <c r="C701" s="1" t="n">
        <v>46196</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70228-2021</t>
        </is>
      </c>
      <c r="B702" s="1" t="n">
        <v>44535</v>
      </c>
      <c r="C702" s="1" t="n">
        <v>46196</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11224-2022</t>
        </is>
      </c>
      <c r="B703" s="1" t="n">
        <v>44629</v>
      </c>
      <c r="C703" s="1" t="n">
        <v>46196</v>
      </c>
      <c r="D703" t="inlineStr">
        <is>
          <t>UPPSALA LÄN</t>
        </is>
      </c>
      <c r="E703" t="inlineStr">
        <is>
          <t>UPPSALA</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7899-2022</t>
        </is>
      </c>
      <c r="B704" s="1" t="n">
        <v>44608</v>
      </c>
      <c r="C704" s="1" t="n">
        <v>46196</v>
      </c>
      <c r="D704" t="inlineStr">
        <is>
          <t>UPPSALA LÄN</t>
        </is>
      </c>
      <c r="E704" t="inlineStr">
        <is>
          <t>UPPSALA</t>
        </is>
      </c>
      <c r="F704" t="inlineStr">
        <is>
          <t>Övriga Aktiebolag</t>
        </is>
      </c>
      <c r="G704" t="n">
        <v>7.1</v>
      </c>
      <c r="H704" t="n">
        <v>0</v>
      </c>
      <c r="I704" t="n">
        <v>0</v>
      </c>
      <c r="J704" t="n">
        <v>0</v>
      </c>
      <c r="K704" t="n">
        <v>0</v>
      </c>
      <c r="L704" t="n">
        <v>0</v>
      </c>
      <c r="M704" t="n">
        <v>0</v>
      </c>
      <c r="N704" t="n">
        <v>0</v>
      </c>
      <c r="O704" t="n">
        <v>0</v>
      </c>
      <c r="P704" t="n">
        <v>0</v>
      </c>
      <c r="Q704" t="n">
        <v>0</v>
      </c>
      <c r="R704" s="2" t="inlineStr"/>
    </row>
    <row r="705" ht="15" customHeight="1">
      <c r="A705" t="inlineStr">
        <is>
          <t>A 60925-2021</t>
        </is>
      </c>
      <c r="B705" s="1" t="n">
        <v>44497</v>
      </c>
      <c r="C705" s="1" t="n">
        <v>46196</v>
      </c>
      <c r="D705" t="inlineStr">
        <is>
          <t>UPPSALA LÄN</t>
        </is>
      </c>
      <c r="E705" t="inlineStr">
        <is>
          <t>UPPSALA</t>
        </is>
      </c>
      <c r="G705" t="n">
        <v>3.7</v>
      </c>
      <c r="H705" t="n">
        <v>0</v>
      </c>
      <c r="I705" t="n">
        <v>0</v>
      </c>
      <c r="J705" t="n">
        <v>0</v>
      </c>
      <c r="K705" t="n">
        <v>0</v>
      </c>
      <c r="L705" t="n">
        <v>0</v>
      </c>
      <c r="M705" t="n">
        <v>0</v>
      </c>
      <c r="N705" t="n">
        <v>0</v>
      </c>
      <c r="O705" t="n">
        <v>0</v>
      </c>
      <c r="P705" t="n">
        <v>0</v>
      </c>
      <c r="Q705" t="n">
        <v>0</v>
      </c>
      <c r="R705" s="2" t="inlineStr"/>
    </row>
    <row r="706" ht="15" customHeight="1">
      <c r="A706" t="inlineStr">
        <is>
          <t>A 3086-2023</t>
        </is>
      </c>
      <c r="B706" s="1" t="n">
        <v>44946</v>
      </c>
      <c r="C706" s="1" t="n">
        <v>46196</v>
      </c>
      <c r="D706" t="inlineStr">
        <is>
          <t>UPPSALA LÄN</t>
        </is>
      </c>
      <c r="E706" t="inlineStr">
        <is>
          <t>UPPSALA</t>
        </is>
      </c>
      <c r="G706" t="n">
        <v>2</v>
      </c>
      <c r="H706" t="n">
        <v>0</v>
      </c>
      <c r="I706" t="n">
        <v>0</v>
      </c>
      <c r="J706" t="n">
        <v>0</v>
      </c>
      <c r="K706" t="n">
        <v>0</v>
      </c>
      <c r="L706" t="n">
        <v>0</v>
      </c>
      <c r="M706" t="n">
        <v>0</v>
      </c>
      <c r="N706" t="n">
        <v>0</v>
      </c>
      <c r="O706" t="n">
        <v>0</v>
      </c>
      <c r="P706" t="n">
        <v>0</v>
      </c>
      <c r="Q706" t="n">
        <v>0</v>
      </c>
      <c r="R706" s="2" t="inlineStr"/>
    </row>
    <row r="707" ht="15" customHeight="1">
      <c r="A707" t="inlineStr">
        <is>
          <t>A 6422-2023</t>
        </is>
      </c>
      <c r="B707" s="1" t="n">
        <v>44965</v>
      </c>
      <c r="C707" s="1" t="n">
        <v>46196</v>
      </c>
      <c r="D707" t="inlineStr">
        <is>
          <t>UPPSALA LÄN</t>
        </is>
      </c>
      <c r="E707" t="inlineStr">
        <is>
          <t>UPPSALA</t>
        </is>
      </c>
      <c r="G707" t="n">
        <v>3.1</v>
      </c>
      <c r="H707" t="n">
        <v>0</v>
      </c>
      <c r="I707" t="n">
        <v>0</v>
      </c>
      <c r="J707" t="n">
        <v>0</v>
      </c>
      <c r="K707" t="n">
        <v>0</v>
      </c>
      <c r="L707" t="n">
        <v>0</v>
      </c>
      <c r="M707" t="n">
        <v>0</v>
      </c>
      <c r="N707" t="n">
        <v>0</v>
      </c>
      <c r="O707" t="n">
        <v>0</v>
      </c>
      <c r="P707" t="n">
        <v>0</v>
      </c>
      <c r="Q707" t="n">
        <v>0</v>
      </c>
      <c r="R707" s="2" t="inlineStr"/>
    </row>
    <row r="708" ht="15" customHeight="1">
      <c r="A708" t="inlineStr">
        <is>
          <t>A 6423-2023</t>
        </is>
      </c>
      <c r="B708" s="1" t="n">
        <v>44965</v>
      </c>
      <c r="C708" s="1" t="n">
        <v>46196</v>
      </c>
      <c r="D708" t="inlineStr">
        <is>
          <t>UPPSALA LÄN</t>
        </is>
      </c>
      <c r="E708" t="inlineStr">
        <is>
          <t>UPPSALA</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17448-2022</t>
        </is>
      </c>
      <c r="B709" s="1" t="n">
        <v>44679</v>
      </c>
      <c r="C709" s="1" t="n">
        <v>46196</v>
      </c>
      <c r="D709" t="inlineStr">
        <is>
          <t>UPPSALA LÄN</t>
        </is>
      </c>
      <c r="E709" t="inlineStr">
        <is>
          <t>UPPSALA</t>
        </is>
      </c>
      <c r="G709" t="n">
        <v>2.7</v>
      </c>
      <c r="H709" t="n">
        <v>0</v>
      </c>
      <c r="I709" t="n">
        <v>0</v>
      </c>
      <c r="J709" t="n">
        <v>0</v>
      </c>
      <c r="K709" t="n">
        <v>0</v>
      </c>
      <c r="L709" t="n">
        <v>0</v>
      </c>
      <c r="M709" t="n">
        <v>0</v>
      </c>
      <c r="N709" t="n">
        <v>0</v>
      </c>
      <c r="O709" t="n">
        <v>0</v>
      </c>
      <c r="P709" t="n">
        <v>0</v>
      </c>
      <c r="Q709" t="n">
        <v>0</v>
      </c>
      <c r="R709" s="2" t="inlineStr"/>
    </row>
    <row r="710" ht="15" customHeight="1">
      <c r="A710" t="inlineStr">
        <is>
          <t>A 5974-2024</t>
        </is>
      </c>
      <c r="B710" s="1" t="n">
        <v>45336</v>
      </c>
      <c r="C710" s="1" t="n">
        <v>46196</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5975-2024</t>
        </is>
      </c>
      <c r="B711" s="1" t="n">
        <v>45336</v>
      </c>
      <c r="C711" s="1" t="n">
        <v>46196</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8933-2022</t>
        </is>
      </c>
      <c r="B712" s="1" t="n">
        <v>44614</v>
      </c>
      <c r="C712" s="1" t="n">
        <v>46196</v>
      </c>
      <c r="D712" t="inlineStr">
        <is>
          <t>UPPSALA LÄN</t>
        </is>
      </c>
      <c r="E712" t="inlineStr">
        <is>
          <t>UPPSALA</t>
        </is>
      </c>
      <c r="F712" t="inlineStr">
        <is>
          <t>Holmen skog AB</t>
        </is>
      </c>
      <c r="G712" t="n">
        <v>3.6</v>
      </c>
      <c r="H712" t="n">
        <v>0</v>
      </c>
      <c r="I712" t="n">
        <v>0</v>
      </c>
      <c r="J712" t="n">
        <v>0</v>
      </c>
      <c r="K712" t="n">
        <v>0</v>
      </c>
      <c r="L712" t="n">
        <v>0</v>
      </c>
      <c r="M712" t="n">
        <v>0</v>
      </c>
      <c r="N712" t="n">
        <v>0</v>
      </c>
      <c r="O712" t="n">
        <v>0</v>
      </c>
      <c r="P712" t="n">
        <v>0</v>
      </c>
      <c r="Q712" t="n">
        <v>0</v>
      </c>
      <c r="R712" s="2" t="inlineStr"/>
    </row>
    <row r="713" ht="15" customHeight="1">
      <c r="A713" t="inlineStr">
        <is>
          <t>A 60714-2023</t>
        </is>
      </c>
      <c r="B713" s="1" t="n">
        <v>45259</v>
      </c>
      <c r="C713" s="1" t="n">
        <v>46196</v>
      </c>
      <c r="D713" t="inlineStr">
        <is>
          <t>UPPSALA LÄN</t>
        </is>
      </c>
      <c r="E713" t="inlineStr">
        <is>
          <t>UPPSALA</t>
        </is>
      </c>
      <c r="G713" t="n">
        <v>3.3</v>
      </c>
      <c r="H713" t="n">
        <v>0</v>
      </c>
      <c r="I713" t="n">
        <v>0</v>
      </c>
      <c r="J713" t="n">
        <v>0</v>
      </c>
      <c r="K713" t="n">
        <v>0</v>
      </c>
      <c r="L713" t="n">
        <v>0</v>
      </c>
      <c r="M713" t="n">
        <v>0</v>
      </c>
      <c r="N713" t="n">
        <v>0</v>
      </c>
      <c r="O713" t="n">
        <v>0</v>
      </c>
      <c r="P713" t="n">
        <v>0</v>
      </c>
      <c r="Q713" t="n">
        <v>0</v>
      </c>
      <c r="R713" s="2" t="inlineStr"/>
    </row>
    <row r="714" ht="15" customHeight="1">
      <c r="A714" t="inlineStr">
        <is>
          <t>A 48153-2024</t>
        </is>
      </c>
      <c r="B714" s="1" t="n">
        <v>45589</v>
      </c>
      <c r="C714" s="1" t="n">
        <v>46196</v>
      </c>
      <c r="D714" t="inlineStr">
        <is>
          <t>UPPSALA LÄN</t>
        </is>
      </c>
      <c r="E714" t="inlineStr">
        <is>
          <t>UPPSALA</t>
        </is>
      </c>
      <c r="G714" t="n">
        <v>3.4</v>
      </c>
      <c r="H714" t="n">
        <v>0</v>
      </c>
      <c r="I714" t="n">
        <v>0</v>
      </c>
      <c r="J714" t="n">
        <v>0</v>
      </c>
      <c r="K714" t="n">
        <v>0</v>
      </c>
      <c r="L714" t="n">
        <v>0</v>
      </c>
      <c r="M714" t="n">
        <v>0</v>
      </c>
      <c r="N714" t="n">
        <v>0</v>
      </c>
      <c r="O714" t="n">
        <v>0</v>
      </c>
      <c r="P714" t="n">
        <v>0</v>
      </c>
      <c r="Q714" t="n">
        <v>0</v>
      </c>
      <c r="R714" s="2" t="inlineStr"/>
    </row>
    <row r="715" ht="15" customHeight="1">
      <c r="A715" t="inlineStr">
        <is>
          <t>A 45592-2023</t>
        </is>
      </c>
      <c r="B715" s="1" t="n">
        <v>45194</v>
      </c>
      <c r="C715" s="1" t="n">
        <v>46196</v>
      </c>
      <c r="D715" t="inlineStr">
        <is>
          <t>UPPSALA LÄN</t>
        </is>
      </c>
      <c r="E715" t="inlineStr">
        <is>
          <t>UPPSALA</t>
        </is>
      </c>
      <c r="G715" t="n">
        <v>1.7</v>
      </c>
      <c r="H715" t="n">
        <v>0</v>
      </c>
      <c r="I715" t="n">
        <v>0</v>
      </c>
      <c r="J715" t="n">
        <v>0</v>
      </c>
      <c r="K715" t="n">
        <v>0</v>
      </c>
      <c r="L715" t="n">
        <v>0</v>
      </c>
      <c r="M715" t="n">
        <v>0</v>
      </c>
      <c r="N715" t="n">
        <v>0</v>
      </c>
      <c r="O715" t="n">
        <v>0</v>
      </c>
      <c r="P715" t="n">
        <v>0</v>
      </c>
      <c r="Q715" t="n">
        <v>0</v>
      </c>
      <c r="R715" s="2" t="inlineStr"/>
    </row>
    <row r="716" ht="15" customHeight="1">
      <c r="A716" t="inlineStr">
        <is>
          <t>A 45575-2023</t>
        </is>
      </c>
      <c r="B716" s="1" t="n">
        <v>45194</v>
      </c>
      <c r="C716" s="1" t="n">
        <v>46196</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50037-2024</t>
        </is>
      </c>
      <c r="B717" s="1" t="n">
        <v>45599</v>
      </c>
      <c r="C717" s="1" t="n">
        <v>46196</v>
      </c>
      <c r="D717" t="inlineStr">
        <is>
          <t>UPPSALA LÄN</t>
        </is>
      </c>
      <c r="E717" t="inlineStr">
        <is>
          <t>UPPSALA</t>
        </is>
      </c>
      <c r="G717" t="n">
        <v>13.7</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46196</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7388-2024</t>
        </is>
      </c>
      <c r="B719" s="1" t="n">
        <v>45345</v>
      </c>
      <c r="C719" s="1" t="n">
        <v>46196</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36781-2023</t>
        </is>
      </c>
      <c r="B720" s="1" t="n">
        <v>45154</v>
      </c>
      <c r="C720" s="1" t="n">
        <v>46196</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21859-2024</t>
        </is>
      </c>
      <c r="B721" s="1" t="n">
        <v>45443</v>
      </c>
      <c r="C721" s="1" t="n">
        <v>46196</v>
      </c>
      <c r="D721" t="inlineStr">
        <is>
          <t>UPPSALA LÄN</t>
        </is>
      </c>
      <c r="E721" t="inlineStr">
        <is>
          <t>UPPSALA</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6009-2022</t>
        </is>
      </c>
      <c r="B722" s="1" t="n">
        <v>44599</v>
      </c>
      <c r="C722" s="1" t="n">
        <v>46196</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2357-2024</t>
        </is>
      </c>
      <c r="B723" s="1" t="n">
        <v>45310</v>
      </c>
      <c r="C723" s="1" t="n">
        <v>46196</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4503-2024</t>
        </is>
      </c>
      <c r="B724" s="1" t="n">
        <v>45327</v>
      </c>
      <c r="C724" s="1" t="n">
        <v>46196</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44315-2021</t>
        </is>
      </c>
      <c r="B725" s="1" t="n">
        <v>44435</v>
      </c>
      <c r="C725" s="1" t="n">
        <v>46196</v>
      </c>
      <c r="D725" t="inlineStr">
        <is>
          <t>UPPSALA LÄN</t>
        </is>
      </c>
      <c r="E725" t="inlineStr">
        <is>
          <t>UPPSALA</t>
        </is>
      </c>
      <c r="G725" t="n">
        <v>5.2</v>
      </c>
      <c r="H725" t="n">
        <v>0</v>
      </c>
      <c r="I725" t="n">
        <v>0</v>
      </c>
      <c r="J725" t="n">
        <v>0</v>
      </c>
      <c r="K725" t="n">
        <v>0</v>
      </c>
      <c r="L725" t="n">
        <v>0</v>
      </c>
      <c r="M725" t="n">
        <v>0</v>
      </c>
      <c r="N725" t="n">
        <v>0</v>
      </c>
      <c r="O725" t="n">
        <v>0</v>
      </c>
      <c r="P725" t="n">
        <v>0</v>
      </c>
      <c r="Q725" t="n">
        <v>0</v>
      </c>
      <c r="R725" s="2" t="inlineStr"/>
    </row>
    <row r="726" ht="15" customHeight="1">
      <c r="A726" t="inlineStr">
        <is>
          <t>A 4461-2024</t>
        </is>
      </c>
      <c r="B726" s="1" t="n">
        <v>45327</v>
      </c>
      <c r="C726" s="1" t="n">
        <v>46196</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3813-2024</t>
        </is>
      </c>
      <c r="B727" s="1" t="n">
        <v>45321</v>
      </c>
      <c r="C727" s="1" t="n">
        <v>46196</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37820-2021</t>
        </is>
      </c>
      <c r="B728" s="1" t="n">
        <v>44403</v>
      </c>
      <c r="C728" s="1" t="n">
        <v>46196</v>
      </c>
      <c r="D728" t="inlineStr">
        <is>
          <t>UPPSALA LÄN</t>
        </is>
      </c>
      <c r="E728" t="inlineStr">
        <is>
          <t>UPPSALA</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40507-2021</t>
        </is>
      </c>
      <c r="B729" s="1" t="n">
        <v>44420</v>
      </c>
      <c r="C729" s="1" t="n">
        <v>46196</v>
      </c>
      <c r="D729" t="inlineStr">
        <is>
          <t>UPPSALA LÄN</t>
        </is>
      </c>
      <c r="E729" t="inlineStr">
        <is>
          <t>UPPSALA</t>
        </is>
      </c>
      <c r="G729" t="n">
        <v>1.1</v>
      </c>
      <c r="H729" t="n">
        <v>0</v>
      </c>
      <c r="I729" t="n">
        <v>0</v>
      </c>
      <c r="J729" t="n">
        <v>0</v>
      </c>
      <c r="K729" t="n">
        <v>0</v>
      </c>
      <c r="L729" t="n">
        <v>0</v>
      </c>
      <c r="M729" t="n">
        <v>0</v>
      </c>
      <c r="N729" t="n">
        <v>0</v>
      </c>
      <c r="O729" t="n">
        <v>0</v>
      </c>
      <c r="P729" t="n">
        <v>0</v>
      </c>
      <c r="Q729" t="n">
        <v>0</v>
      </c>
      <c r="R729" s="2" t="inlineStr"/>
    </row>
    <row r="730" ht="15" customHeight="1">
      <c r="A730" t="inlineStr">
        <is>
          <t>A 40111-2024</t>
        </is>
      </c>
      <c r="B730" s="1" t="n">
        <v>45554</v>
      </c>
      <c r="C730" s="1" t="n">
        <v>46196</v>
      </c>
      <c r="D730" t="inlineStr">
        <is>
          <t>UPPSALA LÄN</t>
        </is>
      </c>
      <c r="E730" t="inlineStr">
        <is>
          <t>UPPSALA</t>
        </is>
      </c>
      <c r="G730" t="n">
        <v>3.7</v>
      </c>
      <c r="H730" t="n">
        <v>0</v>
      </c>
      <c r="I730" t="n">
        <v>0</v>
      </c>
      <c r="J730" t="n">
        <v>0</v>
      </c>
      <c r="K730" t="n">
        <v>0</v>
      </c>
      <c r="L730" t="n">
        <v>0</v>
      </c>
      <c r="M730" t="n">
        <v>0</v>
      </c>
      <c r="N730" t="n">
        <v>0</v>
      </c>
      <c r="O730" t="n">
        <v>0</v>
      </c>
      <c r="P730" t="n">
        <v>0</v>
      </c>
      <c r="Q730" t="n">
        <v>0</v>
      </c>
      <c r="R730" s="2" t="inlineStr"/>
    </row>
    <row r="731" ht="15" customHeight="1">
      <c r="A731" t="inlineStr">
        <is>
          <t>A 2790-2025</t>
        </is>
      </c>
      <c r="B731" s="1" t="n">
        <v>45677</v>
      </c>
      <c r="C731" s="1" t="n">
        <v>46196</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12414-2025</t>
        </is>
      </c>
      <c r="B732" s="1" t="n">
        <v>45730</v>
      </c>
      <c r="C732" s="1" t="n">
        <v>46196</v>
      </c>
      <c r="D732" t="inlineStr">
        <is>
          <t>UPPSALA LÄN</t>
        </is>
      </c>
      <c r="E732" t="inlineStr">
        <is>
          <t>UPPSALA</t>
        </is>
      </c>
      <c r="F732" t="inlineStr">
        <is>
          <t>Övriga statliga verk och myndigheter</t>
        </is>
      </c>
      <c r="G732" t="n">
        <v>6.8</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46196</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33622-2024</t>
        </is>
      </c>
      <c r="B734" s="1" t="n">
        <v>45520</v>
      </c>
      <c r="C734" s="1" t="n">
        <v>46196</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41545-2023</t>
        </is>
      </c>
      <c r="B735" s="1" t="n">
        <v>45175</v>
      </c>
      <c r="C735" s="1" t="n">
        <v>46196</v>
      </c>
      <c r="D735" t="inlineStr">
        <is>
          <t>UPPSALA LÄN</t>
        </is>
      </c>
      <c r="E735" t="inlineStr">
        <is>
          <t>UPPSALA</t>
        </is>
      </c>
      <c r="G735" t="n">
        <v>6.6</v>
      </c>
      <c r="H735" t="n">
        <v>0</v>
      </c>
      <c r="I735" t="n">
        <v>0</v>
      </c>
      <c r="J735" t="n">
        <v>0</v>
      </c>
      <c r="K735" t="n">
        <v>0</v>
      </c>
      <c r="L735" t="n">
        <v>0</v>
      </c>
      <c r="M735" t="n">
        <v>0</v>
      </c>
      <c r="N735" t="n">
        <v>0</v>
      </c>
      <c r="O735" t="n">
        <v>0</v>
      </c>
      <c r="P735" t="n">
        <v>0</v>
      </c>
      <c r="Q735" t="n">
        <v>0</v>
      </c>
      <c r="R735" s="2" t="inlineStr"/>
    </row>
    <row r="736" ht="15" customHeight="1">
      <c r="A736" t="inlineStr">
        <is>
          <t>A 60047-2022</t>
        </is>
      </c>
      <c r="B736" s="1" t="n">
        <v>44909</v>
      </c>
      <c r="C736" s="1" t="n">
        <v>46196</v>
      </c>
      <c r="D736" t="inlineStr">
        <is>
          <t>UPPSALA LÄN</t>
        </is>
      </c>
      <c r="E736" t="inlineStr">
        <is>
          <t>UPPSALA</t>
        </is>
      </c>
      <c r="F736" t="inlineStr">
        <is>
          <t>Kyrkan</t>
        </is>
      </c>
      <c r="G736" t="n">
        <v>0.7</v>
      </c>
      <c r="H736" t="n">
        <v>0</v>
      </c>
      <c r="I736" t="n">
        <v>0</v>
      </c>
      <c r="J736" t="n">
        <v>0</v>
      </c>
      <c r="K736" t="n">
        <v>0</v>
      </c>
      <c r="L736" t="n">
        <v>0</v>
      </c>
      <c r="M736" t="n">
        <v>0</v>
      </c>
      <c r="N736" t="n">
        <v>0</v>
      </c>
      <c r="O736" t="n">
        <v>0</v>
      </c>
      <c r="P736" t="n">
        <v>0</v>
      </c>
      <c r="Q736" t="n">
        <v>0</v>
      </c>
      <c r="R736" s="2" t="inlineStr"/>
    </row>
    <row r="737" ht="15" customHeight="1">
      <c r="A737" t="inlineStr">
        <is>
          <t>A 12284-2025</t>
        </is>
      </c>
      <c r="B737" s="1" t="n">
        <v>45729</v>
      </c>
      <c r="C737" s="1" t="n">
        <v>46196</v>
      </c>
      <c r="D737" t="inlineStr">
        <is>
          <t>UPPSALA LÄN</t>
        </is>
      </c>
      <c r="E737" t="inlineStr">
        <is>
          <t>UPPSALA</t>
        </is>
      </c>
      <c r="G737" t="n">
        <v>6.7</v>
      </c>
      <c r="H737" t="n">
        <v>0</v>
      </c>
      <c r="I737" t="n">
        <v>0</v>
      </c>
      <c r="J737" t="n">
        <v>0</v>
      </c>
      <c r="K737" t="n">
        <v>0</v>
      </c>
      <c r="L737" t="n">
        <v>0</v>
      </c>
      <c r="M737" t="n">
        <v>0</v>
      </c>
      <c r="N737" t="n">
        <v>0</v>
      </c>
      <c r="O737" t="n">
        <v>0</v>
      </c>
      <c r="P737" t="n">
        <v>0</v>
      </c>
      <c r="Q737" t="n">
        <v>0</v>
      </c>
      <c r="R737" s="2" t="inlineStr"/>
    </row>
    <row r="738" ht="15" customHeight="1">
      <c r="A738" t="inlineStr">
        <is>
          <t>A 12287-2025</t>
        </is>
      </c>
      <c r="B738" s="1" t="n">
        <v>45729</v>
      </c>
      <c r="C738" s="1" t="n">
        <v>46196</v>
      </c>
      <c r="D738" t="inlineStr">
        <is>
          <t>UPPSALA LÄN</t>
        </is>
      </c>
      <c r="E738" t="inlineStr">
        <is>
          <t>UPPSALA</t>
        </is>
      </c>
      <c r="G738" t="n">
        <v>4.6</v>
      </c>
      <c r="H738" t="n">
        <v>0</v>
      </c>
      <c r="I738" t="n">
        <v>0</v>
      </c>
      <c r="J738" t="n">
        <v>0</v>
      </c>
      <c r="K738" t="n">
        <v>0</v>
      </c>
      <c r="L738" t="n">
        <v>0</v>
      </c>
      <c r="M738" t="n">
        <v>0</v>
      </c>
      <c r="N738" t="n">
        <v>0</v>
      </c>
      <c r="O738" t="n">
        <v>0</v>
      </c>
      <c r="P738" t="n">
        <v>0</v>
      </c>
      <c r="Q738" t="n">
        <v>0</v>
      </c>
      <c r="R738" s="2" t="inlineStr"/>
    </row>
    <row r="739" ht="15" customHeight="1">
      <c r="A739" t="inlineStr">
        <is>
          <t>A 42543-2023</t>
        </is>
      </c>
      <c r="B739" s="1" t="n">
        <v>45181</v>
      </c>
      <c r="C739" s="1" t="n">
        <v>46196</v>
      </c>
      <c r="D739" t="inlineStr">
        <is>
          <t>UPPSALA LÄN</t>
        </is>
      </c>
      <c r="E739" t="inlineStr">
        <is>
          <t>UPPSALA</t>
        </is>
      </c>
      <c r="G739" t="n">
        <v>1.4</v>
      </c>
      <c r="H739" t="n">
        <v>0</v>
      </c>
      <c r="I739" t="n">
        <v>0</v>
      </c>
      <c r="J739" t="n">
        <v>0</v>
      </c>
      <c r="K739" t="n">
        <v>0</v>
      </c>
      <c r="L739" t="n">
        <v>0</v>
      </c>
      <c r="M739" t="n">
        <v>0</v>
      </c>
      <c r="N739" t="n">
        <v>0</v>
      </c>
      <c r="O739" t="n">
        <v>0</v>
      </c>
      <c r="P739" t="n">
        <v>0</v>
      </c>
      <c r="Q739" t="n">
        <v>0</v>
      </c>
      <c r="R739" s="2" t="inlineStr"/>
    </row>
    <row r="740" ht="15" customHeight="1">
      <c r="A740" t="inlineStr">
        <is>
          <t>A 44830-2023</t>
        </is>
      </c>
      <c r="B740" s="1" t="n">
        <v>45190</v>
      </c>
      <c r="C740" s="1" t="n">
        <v>46196</v>
      </c>
      <c r="D740" t="inlineStr">
        <is>
          <t>UPPSALA LÄN</t>
        </is>
      </c>
      <c r="E740" t="inlineStr">
        <is>
          <t>UPPSALA</t>
        </is>
      </c>
      <c r="G740" t="n">
        <v>1.9</v>
      </c>
      <c r="H740" t="n">
        <v>0</v>
      </c>
      <c r="I740" t="n">
        <v>0</v>
      </c>
      <c r="J740" t="n">
        <v>0</v>
      </c>
      <c r="K740" t="n">
        <v>0</v>
      </c>
      <c r="L740" t="n">
        <v>0</v>
      </c>
      <c r="M740" t="n">
        <v>0</v>
      </c>
      <c r="N740" t="n">
        <v>0</v>
      </c>
      <c r="O740" t="n">
        <v>0</v>
      </c>
      <c r="P740" t="n">
        <v>0</v>
      </c>
      <c r="Q740" t="n">
        <v>0</v>
      </c>
      <c r="R740" s="2" t="inlineStr"/>
    </row>
    <row r="741" ht="15" customHeight="1">
      <c r="A741" t="inlineStr">
        <is>
          <t>A 73044-2021</t>
        </is>
      </c>
      <c r="B741" s="1" t="n">
        <v>44550</v>
      </c>
      <c r="C741" s="1" t="n">
        <v>46196</v>
      </c>
      <c r="D741" t="inlineStr">
        <is>
          <t>UPPSALA LÄN</t>
        </is>
      </c>
      <c r="E741" t="inlineStr">
        <is>
          <t>UPPSALA</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19139-2023</t>
        </is>
      </c>
      <c r="B742" s="1" t="n">
        <v>45048</v>
      </c>
      <c r="C742" s="1" t="n">
        <v>46196</v>
      </c>
      <c r="D742" t="inlineStr">
        <is>
          <t>UPPSALA LÄN</t>
        </is>
      </c>
      <c r="E742" t="inlineStr">
        <is>
          <t>UPPSALA</t>
        </is>
      </c>
      <c r="G742" t="n">
        <v>3</v>
      </c>
      <c r="H742" t="n">
        <v>0</v>
      </c>
      <c r="I742" t="n">
        <v>0</v>
      </c>
      <c r="J742" t="n">
        <v>0</v>
      </c>
      <c r="K742" t="n">
        <v>0</v>
      </c>
      <c r="L742" t="n">
        <v>0</v>
      </c>
      <c r="M742" t="n">
        <v>0</v>
      </c>
      <c r="N742" t="n">
        <v>0</v>
      </c>
      <c r="O742" t="n">
        <v>0</v>
      </c>
      <c r="P742" t="n">
        <v>0</v>
      </c>
      <c r="Q742" t="n">
        <v>0</v>
      </c>
      <c r="R742" s="2" t="inlineStr"/>
    </row>
    <row r="743" ht="15" customHeight="1">
      <c r="A743" t="inlineStr">
        <is>
          <t>A 29799-2023</t>
        </is>
      </c>
      <c r="B743" s="1" t="n">
        <v>45107</v>
      </c>
      <c r="C743" s="1" t="n">
        <v>46196</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179-2023</t>
        </is>
      </c>
      <c r="B744" s="1" t="n">
        <v>44928</v>
      </c>
      <c r="C744" s="1" t="n">
        <v>46196</v>
      </c>
      <c r="D744" t="inlineStr">
        <is>
          <t>UPPSALA LÄN</t>
        </is>
      </c>
      <c r="E744" t="inlineStr">
        <is>
          <t>UPPSALA</t>
        </is>
      </c>
      <c r="F744" t="inlineStr">
        <is>
          <t>Kommuner</t>
        </is>
      </c>
      <c r="G744" t="n">
        <v>1.4</v>
      </c>
      <c r="H744" t="n">
        <v>0</v>
      </c>
      <c r="I744" t="n">
        <v>0</v>
      </c>
      <c r="J744" t="n">
        <v>0</v>
      </c>
      <c r="K744" t="n">
        <v>0</v>
      </c>
      <c r="L744" t="n">
        <v>0</v>
      </c>
      <c r="M744" t="n">
        <v>0</v>
      </c>
      <c r="N744" t="n">
        <v>0</v>
      </c>
      <c r="O744" t="n">
        <v>0</v>
      </c>
      <c r="P744" t="n">
        <v>0</v>
      </c>
      <c r="Q744" t="n">
        <v>0</v>
      </c>
      <c r="R744" s="2" t="inlineStr"/>
    </row>
    <row r="745" ht="15" customHeight="1">
      <c r="A745" t="inlineStr">
        <is>
          <t>A 21052-2023</t>
        </is>
      </c>
      <c r="B745" s="1" t="n">
        <v>45061</v>
      </c>
      <c r="C745" s="1" t="n">
        <v>46196</v>
      </c>
      <c r="D745" t="inlineStr">
        <is>
          <t>UPPSALA LÄN</t>
        </is>
      </c>
      <c r="E745" t="inlineStr">
        <is>
          <t>UPPSALA</t>
        </is>
      </c>
      <c r="G745" t="n">
        <v>0.6</v>
      </c>
      <c r="H745" t="n">
        <v>0</v>
      </c>
      <c r="I745" t="n">
        <v>0</v>
      </c>
      <c r="J745" t="n">
        <v>0</v>
      </c>
      <c r="K745" t="n">
        <v>0</v>
      </c>
      <c r="L745" t="n">
        <v>0</v>
      </c>
      <c r="M745" t="n">
        <v>0</v>
      </c>
      <c r="N745" t="n">
        <v>0</v>
      </c>
      <c r="O745" t="n">
        <v>0</v>
      </c>
      <c r="P745" t="n">
        <v>0</v>
      </c>
      <c r="Q745" t="n">
        <v>0</v>
      </c>
      <c r="R745" s="2" t="inlineStr"/>
    </row>
    <row r="746" ht="15" customHeight="1">
      <c r="A746" t="inlineStr">
        <is>
          <t>A 9398-2023</t>
        </is>
      </c>
      <c r="B746" s="1" t="n">
        <v>44977</v>
      </c>
      <c r="C746" s="1" t="n">
        <v>46196</v>
      </c>
      <c r="D746" t="inlineStr">
        <is>
          <t>UPPSALA LÄN</t>
        </is>
      </c>
      <c r="E746" t="inlineStr">
        <is>
          <t>UPPSALA</t>
        </is>
      </c>
      <c r="G746" t="n">
        <v>5.1</v>
      </c>
      <c r="H746" t="n">
        <v>0</v>
      </c>
      <c r="I746" t="n">
        <v>0</v>
      </c>
      <c r="J746" t="n">
        <v>0</v>
      </c>
      <c r="K746" t="n">
        <v>0</v>
      </c>
      <c r="L746" t="n">
        <v>0</v>
      </c>
      <c r="M746" t="n">
        <v>0</v>
      </c>
      <c r="N746" t="n">
        <v>0</v>
      </c>
      <c r="O746" t="n">
        <v>0</v>
      </c>
      <c r="P746" t="n">
        <v>0</v>
      </c>
      <c r="Q746" t="n">
        <v>0</v>
      </c>
      <c r="R746" s="2" t="inlineStr"/>
    </row>
    <row r="747" ht="15" customHeight="1">
      <c r="A747" t="inlineStr">
        <is>
          <t>A 39548-2023</t>
        </is>
      </c>
      <c r="B747" s="1" t="n">
        <v>45167</v>
      </c>
      <c r="C747" s="1" t="n">
        <v>46196</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26099-2024</t>
        </is>
      </c>
      <c r="B748" s="1" t="n">
        <v>45468</v>
      </c>
      <c r="C748" s="1" t="n">
        <v>46196</v>
      </c>
      <c r="D748" t="inlineStr">
        <is>
          <t>UPPSALA LÄN</t>
        </is>
      </c>
      <c r="E748" t="inlineStr">
        <is>
          <t>UPPSALA</t>
        </is>
      </c>
      <c r="G748" t="n">
        <v>0.3</v>
      </c>
      <c r="H748" t="n">
        <v>0</v>
      </c>
      <c r="I748" t="n">
        <v>0</v>
      </c>
      <c r="J748" t="n">
        <v>0</v>
      </c>
      <c r="K748" t="n">
        <v>0</v>
      </c>
      <c r="L748" t="n">
        <v>0</v>
      </c>
      <c r="M748" t="n">
        <v>0</v>
      </c>
      <c r="N748" t="n">
        <v>0</v>
      </c>
      <c r="O748" t="n">
        <v>0</v>
      </c>
      <c r="P748" t="n">
        <v>0</v>
      </c>
      <c r="Q748" t="n">
        <v>0</v>
      </c>
      <c r="R748" s="2" t="inlineStr"/>
    </row>
    <row r="749" ht="15" customHeight="1">
      <c r="A749" t="inlineStr">
        <is>
          <t>A 17558-2022</t>
        </is>
      </c>
      <c r="B749" s="1" t="n">
        <v>44679</v>
      </c>
      <c r="C749" s="1" t="n">
        <v>46196</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33689-2023</t>
        </is>
      </c>
      <c r="B750" s="1" t="n">
        <v>45119</v>
      </c>
      <c r="C750" s="1" t="n">
        <v>46196</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69436-2021</t>
        </is>
      </c>
      <c r="B751" s="1" t="n">
        <v>44531</v>
      </c>
      <c r="C751" s="1" t="n">
        <v>46196</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7253-2024</t>
        </is>
      </c>
      <c r="B752" s="1" t="n">
        <v>45344</v>
      </c>
      <c r="C752" s="1" t="n">
        <v>46196</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5764-2025</t>
        </is>
      </c>
      <c r="B753" s="1" t="n">
        <v>45694</v>
      </c>
      <c r="C753" s="1" t="n">
        <v>46196</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63307-2021</t>
        </is>
      </c>
      <c r="B754" s="1" t="n">
        <v>44508</v>
      </c>
      <c r="C754" s="1" t="n">
        <v>46196</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13128-2022</t>
        </is>
      </c>
      <c r="B755" s="1" t="n">
        <v>44644</v>
      </c>
      <c r="C755" s="1" t="n">
        <v>46196</v>
      </c>
      <c r="D755" t="inlineStr">
        <is>
          <t>UPPSALA LÄN</t>
        </is>
      </c>
      <c r="E755" t="inlineStr">
        <is>
          <t>UPPSALA</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18808-2024</t>
        </is>
      </c>
      <c r="B756" s="1" t="n">
        <v>45426</v>
      </c>
      <c r="C756" s="1" t="n">
        <v>46196</v>
      </c>
      <c r="D756" t="inlineStr">
        <is>
          <t>UPPSALA LÄN</t>
        </is>
      </c>
      <c r="E756" t="inlineStr">
        <is>
          <t>UPPSALA</t>
        </is>
      </c>
      <c r="G756" t="n">
        <v>11.5</v>
      </c>
      <c r="H756" t="n">
        <v>0</v>
      </c>
      <c r="I756" t="n">
        <v>0</v>
      </c>
      <c r="J756" t="n">
        <v>0</v>
      </c>
      <c r="K756" t="n">
        <v>0</v>
      </c>
      <c r="L756" t="n">
        <v>0</v>
      </c>
      <c r="M756" t="n">
        <v>0</v>
      </c>
      <c r="N756" t="n">
        <v>0</v>
      </c>
      <c r="O756" t="n">
        <v>0</v>
      </c>
      <c r="P756" t="n">
        <v>0</v>
      </c>
      <c r="Q756" t="n">
        <v>0</v>
      </c>
      <c r="R756" s="2" t="inlineStr"/>
    </row>
    <row r="757" ht="15" customHeight="1">
      <c r="A757" t="inlineStr">
        <is>
          <t>A 43855-2023</t>
        </is>
      </c>
      <c r="B757" s="1" t="n">
        <v>45187</v>
      </c>
      <c r="C757" s="1" t="n">
        <v>46196</v>
      </c>
      <c r="D757" t="inlineStr">
        <is>
          <t>UPPSALA LÄN</t>
        </is>
      </c>
      <c r="E757" t="inlineStr">
        <is>
          <t>UPPSALA</t>
        </is>
      </c>
      <c r="F757" t="inlineStr">
        <is>
          <t>Bergvik skog öst AB</t>
        </is>
      </c>
      <c r="G757" t="n">
        <v>2</v>
      </c>
      <c r="H757" t="n">
        <v>0</v>
      </c>
      <c r="I757" t="n">
        <v>0</v>
      </c>
      <c r="J757" t="n">
        <v>0</v>
      </c>
      <c r="K757" t="n">
        <v>0</v>
      </c>
      <c r="L757" t="n">
        <v>0</v>
      </c>
      <c r="M757" t="n">
        <v>0</v>
      </c>
      <c r="N757" t="n">
        <v>0</v>
      </c>
      <c r="O757" t="n">
        <v>0</v>
      </c>
      <c r="P757" t="n">
        <v>0</v>
      </c>
      <c r="Q757" t="n">
        <v>0</v>
      </c>
      <c r="R757" s="2" t="inlineStr"/>
    </row>
    <row r="758" ht="15" customHeight="1">
      <c r="A758" t="inlineStr">
        <is>
          <t>A 51749-2023</t>
        </is>
      </c>
      <c r="B758" s="1" t="n">
        <v>45222</v>
      </c>
      <c r="C758" s="1" t="n">
        <v>46196</v>
      </c>
      <c r="D758" t="inlineStr">
        <is>
          <t>UPPSALA LÄN</t>
        </is>
      </c>
      <c r="E758" t="inlineStr">
        <is>
          <t>UPPSALA</t>
        </is>
      </c>
      <c r="G758" t="n">
        <v>3.6</v>
      </c>
      <c r="H758" t="n">
        <v>0</v>
      </c>
      <c r="I758" t="n">
        <v>0</v>
      </c>
      <c r="J758" t="n">
        <v>0</v>
      </c>
      <c r="K758" t="n">
        <v>0</v>
      </c>
      <c r="L758" t="n">
        <v>0</v>
      </c>
      <c r="M758" t="n">
        <v>0</v>
      </c>
      <c r="N758" t="n">
        <v>0</v>
      </c>
      <c r="O758" t="n">
        <v>0</v>
      </c>
      <c r="P758" t="n">
        <v>0</v>
      </c>
      <c r="Q758" t="n">
        <v>0</v>
      </c>
      <c r="R758" s="2" t="inlineStr"/>
    </row>
    <row r="759" ht="15" customHeight="1">
      <c r="A759" t="inlineStr">
        <is>
          <t>A 69432-2021</t>
        </is>
      </c>
      <c r="B759" s="1" t="n">
        <v>44531</v>
      </c>
      <c r="C759" s="1" t="n">
        <v>46196</v>
      </c>
      <c r="D759" t="inlineStr">
        <is>
          <t>UPPSALA LÄN</t>
        </is>
      </c>
      <c r="E759" t="inlineStr">
        <is>
          <t>UPPSALA</t>
        </is>
      </c>
      <c r="G759" t="n">
        <v>1.7</v>
      </c>
      <c r="H759" t="n">
        <v>0</v>
      </c>
      <c r="I759" t="n">
        <v>0</v>
      </c>
      <c r="J759" t="n">
        <v>0</v>
      </c>
      <c r="K759" t="n">
        <v>0</v>
      </c>
      <c r="L759" t="n">
        <v>0</v>
      </c>
      <c r="M759" t="n">
        <v>0</v>
      </c>
      <c r="N759" t="n">
        <v>0</v>
      </c>
      <c r="O759" t="n">
        <v>0</v>
      </c>
      <c r="P759" t="n">
        <v>0</v>
      </c>
      <c r="Q759" t="n">
        <v>0</v>
      </c>
      <c r="R759" s="2" t="inlineStr"/>
    </row>
    <row r="760" ht="15" customHeight="1">
      <c r="A760" t="inlineStr">
        <is>
          <t>A 37763-2021</t>
        </is>
      </c>
      <c r="B760" s="1" t="n">
        <v>44400</v>
      </c>
      <c r="C760" s="1" t="n">
        <v>46196</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69595-2021</t>
        </is>
      </c>
      <c r="B761" s="1" t="n">
        <v>44532</v>
      </c>
      <c r="C761" s="1" t="n">
        <v>46196</v>
      </c>
      <c r="D761" t="inlineStr">
        <is>
          <t>UPPSALA LÄN</t>
        </is>
      </c>
      <c r="E761" t="inlineStr">
        <is>
          <t>UPPSALA</t>
        </is>
      </c>
      <c r="G761" t="n">
        <v>3.9</v>
      </c>
      <c r="H761" t="n">
        <v>0</v>
      </c>
      <c r="I761" t="n">
        <v>0</v>
      </c>
      <c r="J761" t="n">
        <v>0</v>
      </c>
      <c r="K761" t="n">
        <v>0</v>
      </c>
      <c r="L761" t="n">
        <v>0</v>
      </c>
      <c r="M761" t="n">
        <v>0</v>
      </c>
      <c r="N761" t="n">
        <v>0</v>
      </c>
      <c r="O761" t="n">
        <v>0</v>
      </c>
      <c r="P761" t="n">
        <v>0</v>
      </c>
      <c r="Q761" t="n">
        <v>0</v>
      </c>
      <c r="R761" s="2" t="inlineStr"/>
    </row>
    <row r="762" ht="15" customHeight="1">
      <c r="A762" t="inlineStr">
        <is>
          <t>A 3214-2023</t>
        </is>
      </c>
      <c r="B762" s="1" t="n">
        <v>44944</v>
      </c>
      <c r="C762" s="1" t="n">
        <v>46196</v>
      </c>
      <c r="D762" t="inlineStr">
        <is>
          <t>UPPSALA LÄN</t>
        </is>
      </c>
      <c r="E762" t="inlineStr">
        <is>
          <t>UPPSALA</t>
        </is>
      </c>
      <c r="G762" t="n">
        <v>4.1</v>
      </c>
      <c r="H762" t="n">
        <v>0</v>
      </c>
      <c r="I762" t="n">
        <v>0</v>
      </c>
      <c r="J762" t="n">
        <v>0</v>
      </c>
      <c r="K762" t="n">
        <v>0</v>
      </c>
      <c r="L762" t="n">
        <v>0</v>
      </c>
      <c r="M762" t="n">
        <v>0</v>
      </c>
      <c r="N762" t="n">
        <v>0</v>
      </c>
      <c r="O762" t="n">
        <v>0</v>
      </c>
      <c r="P762" t="n">
        <v>0</v>
      </c>
      <c r="Q762" t="n">
        <v>0</v>
      </c>
      <c r="R762" s="2" t="inlineStr"/>
    </row>
    <row r="763" ht="15" customHeight="1">
      <c r="A763" t="inlineStr">
        <is>
          <t>A 38190-2023</t>
        </is>
      </c>
      <c r="B763" s="1" t="n">
        <v>45161</v>
      </c>
      <c r="C763" s="1" t="n">
        <v>46196</v>
      </c>
      <c r="D763" t="inlineStr">
        <is>
          <t>UPPSALA LÄN</t>
        </is>
      </c>
      <c r="E763" t="inlineStr">
        <is>
          <t>UPPSALA</t>
        </is>
      </c>
      <c r="G763" t="n">
        <v>0.4</v>
      </c>
      <c r="H763" t="n">
        <v>0</v>
      </c>
      <c r="I763" t="n">
        <v>0</v>
      </c>
      <c r="J763" t="n">
        <v>0</v>
      </c>
      <c r="K763" t="n">
        <v>0</v>
      </c>
      <c r="L763" t="n">
        <v>0</v>
      </c>
      <c r="M763" t="n">
        <v>0</v>
      </c>
      <c r="N763" t="n">
        <v>0</v>
      </c>
      <c r="O763" t="n">
        <v>0</v>
      </c>
      <c r="P763" t="n">
        <v>0</v>
      </c>
      <c r="Q763" t="n">
        <v>0</v>
      </c>
      <c r="R763" s="2" t="inlineStr"/>
    </row>
    <row r="764" ht="15" customHeight="1">
      <c r="A764" t="inlineStr">
        <is>
          <t>A 54924-2024</t>
        </is>
      </c>
      <c r="B764" s="1" t="n">
        <v>45618</v>
      </c>
      <c r="C764" s="1" t="n">
        <v>46196</v>
      </c>
      <c r="D764" t="inlineStr">
        <is>
          <t>UPPSALA LÄN</t>
        </is>
      </c>
      <c r="E764" t="inlineStr">
        <is>
          <t>UPPSALA</t>
        </is>
      </c>
      <c r="G764" t="n">
        <v>2.4</v>
      </c>
      <c r="H764" t="n">
        <v>0</v>
      </c>
      <c r="I764" t="n">
        <v>0</v>
      </c>
      <c r="J764" t="n">
        <v>0</v>
      </c>
      <c r="K764" t="n">
        <v>0</v>
      </c>
      <c r="L764" t="n">
        <v>0</v>
      </c>
      <c r="M764" t="n">
        <v>0</v>
      </c>
      <c r="N764" t="n">
        <v>0</v>
      </c>
      <c r="O764" t="n">
        <v>0</v>
      </c>
      <c r="P764" t="n">
        <v>0</v>
      </c>
      <c r="Q764" t="n">
        <v>0</v>
      </c>
      <c r="R764" s="2" t="inlineStr"/>
    </row>
    <row r="765" ht="15" customHeight="1">
      <c r="A765" t="inlineStr">
        <is>
          <t>A 39007-2024</t>
        </is>
      </c>
      <c r="B765" s="1" t="n">
        <v>45548</v>
      </c>
      <c r="C765" s="1" t="n">
        <v>46196</v>
      </c>
      <c r="D765" t="inlineStr">
        <is>
          <t>UPPSALA LÄN</t>
        </is>
      </c>
      <c r="E765" t="inlineStr">
        <is>
          <t>UPPSALA</t>
        </is>
      </c>
      <c r="G765" t="n">
        <v>3.1</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46196</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66690-2021</t>
        </is>
      </c>
      <c r="B767" s="1" t="n">
        <v>44519</v>
      </c>
      <c r="C767" s="1" t="n">
        <v>46196</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7611-2023</t>
        </is>
      </c>
      <c r="B768" s="1" t="n">
        <v>44967</v>
      </c>
      <c r="C768" s="1" t="n">
        <v>46196</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733-2022</t>
        </is>
      </c>
      <c r="B769" s="1" t="n">
        <v>44568</v>
      </c>
      <c r="C769" s="1" t="n">
        <v>46196</v>
      </c>
      <c r="D769" t="inlineStr">
        <is>
          <t>UPPSALA LÄN</t>
        </is>
      </c>
      <c r="E769" t="inlineStr">
        <is>
          <t>UPPSALA</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20087-2023</t>
        </is>
      </c>
      <c r="B770" s="1" t="n">
        <v>45054</v>
      </c>
      <c r="C770" s="1" t="n">
        <v>46196</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48588-2022</t>
        </is>
      </c>
      <c r="B771" s="1" t="n">
        <v>44859</v>
      </c>
      <c r="C771" s="1" t="n">
        <v>46196</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43032-2022</t>
        </is>
      </c>
      <c r="B772" s="1" t="n">
        <v>44832</v>
      </c>
      <c r="C772" s="1" t="n">
        <v>46196</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50669-2024</t>
        </is>
      </c>
      <c r="B773" s="1" t="n">
        <v>45601</v>
      </c>
      <c r="C773" s="1" t="n">
        <v>46196</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34509-2023</t>
        </is>
      </c>
      <c r="B774" s="1" t="n">
        <v>45133</v>
      </c>
      <c r="C774" s="1" t="n">
        <v>46196</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13343-2022</t>
        </is>
      </c>
      <c r="B775" s="1" t="n">
        <v>44645</v>
      </c>
      <c r="C775" s="1" t="n">
        <v>46196</v>
      </c>
      <c r="D775" t="inlineStr">
        <is>
          <t>UPPSALA LÄN</t>
        </is>
      </c>
      <c r="E775" t="inlineStr">
        <is>
          <t>UPPSALA</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11173-2024</t>
        </is>
      </c>
      <c r="B776" s="1" t="n">
        <v>45371</v>
      </c>
      <c r="C776" s="1" t="n">
        <v>46196</v>
      </c>
      <c r="D776" t="inlineStr">
        <is>
          <t>UPPSALA LÄN</t>
        </is>
      </c>
      <c r="E776" t="inlineStr">
        <is>
          <t>UPPSALA</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9242-2022</t>
        </is>
      </c>
      <c r="B777" s="1" t="n">
        <v>44616</v>
      </c>
      <c r="C777" s="1" t="n">
        <v>46196</v>
      </c>
      <c r="D777" t="inlineStr">
        <is>
          <t>UPPSALA LÄN</t>
        </is>
      </c>
      <c r="E777" t="inlineStr">
        <is>
          <t>UPPSALA</t>
        </is>
      </c>
      <c r="F777" t="inlineStr">
        <is>
          <t>Övriga Aktiebolag</t>
        </is>
      </c>
      <c r="G777" t="n">
        <v>5.9</v>
      </c>
      <c r="H777" t="n">
        <v>0</v>
      </c>
      <c r="I777" t="n">
        <v>0</v>
      </c>
      <c r="J777" t="n">
        <v>0</v>
      </c>
      <c r="K777" t="n">
        <v>0</v>
      </c>
      <c r="L777" t="n">
        <v>0</v>
      </c>
      <c r="M777" t="n">
        <v>0</v>
      </c>
      <c r="N777" t="n">
        <v>0</v>
      </c>
      <c r="O777" t="n">
        <v>0</v>
      </c>
      <c r="P777" t="n">
        <v>0</v>
      </c>
      <c r="Q777" t="n">
        <v>0</v>
      </c>
      <c r="R777" s="2" t="inlineStr"/>
    </row>
    <row r="778" ht="15" customHeight="1">
      <c r="A778" t="inlineStr">
        <is>
          <t>A 14907-2025</t>
        </is>
      </c>
      <c r="B778" s="1" t="n">
        <v>45743</v>
      </c>
      <c r="C778" s="1" t="n">
        <v>46196</v>
      </c>
      <c r="D778" t="inlineStr">
        <is>
          <t>UPPSALA LÄN</t>
        </is>
      </c>
      <c r="E778" t="inlineStr">
        <is>
          <t>UPPSALA</t>
        </is>
      </c>
      <c r="G778" t="n">
        <v>7</v>
      </c>
      <c r="H778" t="n">
        <v>0</v>
      </c>
      <c r="I778" t="n">
        <v>0</v>
      </c>
      <c r="J778" t="n">
        <v>0</v>
      </c>
      <c r="K778" t="n">
        <v>0</v>
      </c>
      <c r="L778" t="n">
        <v>0</v>
      </c>
      <c r="M778" t="n">
        <v>0</v>
      </c>
      <c r="N778" t="n">
        <v>0</v>
      </c>
      <c r="O778" t="n">
        <v>0</v>
      </c>
      <c r="P778" t="n">
        <v>0</v>
      </c>
      <c r="Q778" t="n">
        <v>0</v>
      </c>
      <c r="R778" s="2" t="inlineStr"/>
    </row>
    <row r="779" ht="15" customHeight="1">
      <c r="A779" t="inlineStr">
        <is>
          <t>A 18443-2023</t>
        </is>
      </c>
      <c r="B779" s="1" t="n">
        <v>45042</v>
      </c>
      <c r="C779" s="1" t="n">
        <v>46196</v>
      </c>
      <c r="D779" t="inlineStr">
        <is>
          <t>UPPSALA LÄN</t>
        </is>
      </c>
      <c r="E779" t="inlineStr">
        <is>
          <t>UPPSALA</t>
        </is>
      </c>
      <c r="G779" t="n">
        <v>0.4</v>
      </c>
      <c r="H779" t="n">
        <v>0</v>
      </c>
      <c r="I779" t="n">
        <v>0</v>
      </c>
      <c r="J779" t="n">
        <v>0</v>
      </c>
      <c r="K779" t="n">
        <v>0</v>
      </c>
      <c r="L779" t="n">
        <v>0</v>
      </c>
      <c r="M779" t="n">
        <v>0</v>
      </c>
      <c r="N779" t="n">
        <v>0</v>
      </c>
      <c r="O779" t="n">
        <v>0</v>
      </c>
      <c r="P779" t="n">
        <v>0</v>
      </c>
      <c r="Q779" t="n">
        <v>0</v>
      </c>
      <c r="R779" s="2" t="inlineStr"/>
    </row>
    <row r="780" ht="15" customHeight="1">
      <c r="A780" t="inlineStr">
        <is>
          <t>A 19017-2023</t>
        </is>
      </c>
      <c r="B780" s="1" t="n">
        <v>45047</v>
      </c>
      <c r="C780" s="1" t="n">
        <v>46196</v>
      </c>
      <c r="D780" t="inlineStr">
        <is>
          <t>UPPSALA LÄN</t>
        </is>
      </c>
      <c r="E780" t="inlineStr">
        <is>
          <t>UPPSALA</t>
        </is>
      </c>
      <c r="G780" t="n">
        <v>0.6</v>
      </c>
      <c r="H780" t="n">
        <v>0</v>
      </c>
      <c r="I780" t="n">
        <v>0</v>
      </c>
      <c r="J780" t="n">
        <v>0</v>
      </c>
      <c r="K780" t="n">
        <v>0</v>
      </c>
      <c r="L780" t="n">
        <v>0</v>
      </c>
      <c r="M780" t="n">
        <v>0</v>
      </c>
      <c r="N780" t="n">
        <v>0</v>
      </c>
      <c r="O780" t="n">
        <v>0</v>
      </c>
      <c r="P780" t="n">
        <v>0</v>
      </c>
      <c r="Q780" t="n">
        <v>0</v>
      </c>
      <c r="R780" s="2" t="inlineStr"/>
    </row>
    <row r="781" ht="15" customHeight="1">
      <c r="A781" t="inlineStr">
        <is>
          <t>A 10674-2022</t>
        </is>
      </c>
      <c r="B781" s="1" t="n">
        <v>44624</v>
      </c>
      <c r="C781" s="1" t="n">
        <v>46196</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4509-2024</t>
        </is>
      </c>
      <c r="B782" s="1" t="n">
        <v>45327</v>
      </c>
      <c r="C782" s="1" t="n">
        <v>46196</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19513-2023</t>
        </is>
      </c>
      <c r="B783" s="1" t="n">
        <v>45050</v>
      </c>
      <c r="C783" s="1" t="n">
        <v>46196</v>
      </c>
      <c r="D783" t="inlineStr">
        <is>
          <t>UPPSALA LÄN</t>
        </is>
      </c>
      <c r="E783" t="inlineStr">
        <is>
          <t>UPPSALA</t>
        </is>
      </c>
      <c r="G783" t="n">
        <v>6.6</v>
      </c>
      <c r="H783" t="n">
        <v>0</v>
      </c>
      <c r="I783" t="n">
        <v>0</v>
      </c>
      <c r="J783" t="n">
        <v>0</v>
      </c>
      <c r="K783" t="n">
        <v>0</v>
      </c>
      <c r="L783" t="n">
        <v>0</v>
      </c>
      <c r="M783" t="n">
        <v>0</v>
      </c>
      <c r="N783" t="n">
        <v>0</v>
      </c>
      <c r="O783" t="n">
        <v>0</v>
      </c>
      <c r="P783" t="n">
        <v>0</v>
      </c>
      <c r="Q783" t="n">
        <v>0</v>
      </c>
      <c r="R783" s="2" t="inlineStr"/>
    </row>
    <row r="784" ht="15" customHeight="1">
      <c r="A784" t="inlineStr">
        <is>
          <t>A 17788-2023</t>
        </is>
      </c>
      <c r="B784" s="1" t="n">
        <v>45037</v>
      </c>
      <c r="C784" s="1" t="n">
        <v>46196</v>
      </c>
      <c r="D784" t="inlineStr">
        <is>
          <t>UPPSALA LÄN</t>
        </is>
      </c>
      <c r="E784" t="inlineStr">
        <is>
          <t>UPPSALA</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787-2024</t>
        </is>
      </c>
      <c r="B785" s="1" t="n">
        <v>45300</v>
      </c>
      <c r="C785" s="1" t="n">
        <v>46196</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70031-2021</t>
        </is>
      </c>
      <c r="B786" s="1" t="n">
        <v>44533</v>
      </c>
      <c r="C786" s="1" t="n">
        <v>46196</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38493-2023</t>
        </is>
      </c>
      <c r="B787" s="1" t="n">
        <v>45162</v>
      </c>
      <c r="C787" s="1" t="n">
        <v>46196</v>
      </c>
      <c r="D787" t="inlineStr">
        <is>
          <t>UPPSALA LÄN</t>
        </is>
      </c>
      <c r="E787" t="inlineStr">
        <is>
          <t>UPPSALA</t>
        </is>
      </c>
      <c r="F787" t="inlineStr">
        <is>
          <t>Allmännings- och besparingsskogar</t>
        </is>
      </c>
      <c r="G787" t="n">
        <v>3.5</v>
      </c>
      <c r="H787" t="n">
        <v>0</v>
      </c>
      <c r="I787" t="n">
        <v>0</v>
      </c>
      <c r="J787" t="n">
        <v>0</v>
      </c>
      <c r="K787" t="n">
        <v>0</v>
      </c>
      <c r="L787" t="n">
        <v>0</v>
      </c>
      <c r="M787" t="n">
        <v>0</v>
      </c>
      <c r="N787" t="n">
        <v>0</v>
      </c>
      <c r="O787" t="n">
        <v>0</v>
      </c>
      <c r="P787" t="n">
        <v>0</v>
      </c>
      <c r="Q787" t="n">
        <v>0</v>
      </c>
      <c r="R787" s="2" t="inlineStr"/>
    </row>
    <row r="788" ht="15" customHeight="1">
      <c r="A788" t="inlineStr">
        <is>
          <t>A 36782-2023</t>
        </is>
      </c>
      <c r="B788" s="1" t="n">
        <v>45154</v>
      </c>
      <c r="C788" s="1" t="n">
        <v>46196</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46635-2022</t>
        </is>
      </c>
      <c r="B789" s="1" t="n">
        <v>44849</v>
      </c>
      <c r="C789" s="1" t="n">
        <v>46196</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2897-2025</t>
        </is>
      </c>
      <c r="B790" s="1" t="n">
        <v>45677</v>
      </c>
      <c r="C790" s="1" t="n">
        <v>46196</v>
      </c>
      <c r="D790" t="inlineStr">
        <is>
          <t>UPPSALA LÄN</t>
        </is>
      </c>
      <c r="E790" t="inlineStr">
        <is>
          <t>UPPSALA</t>
        </is>
      </c>
      <c r="G790" t="n">
        <v>2.7</v>
      </c>
      <c r="H790" t="n">
        <v>0</v>
      </c>
      <c r="I790" t="n">
        <v>0</v>
      </c>
      <c r="J790" t="n">
        <v>0</v>
      </c>
      <c r="K790" t="n">
        <v>0</v>
      </c>
      <c r="L790" t="n">
        <v>0</v>
      </c>
      <c r="M790" t="n">
        <v>0</v>
      </c>
      <c r="N790" t="n">
        <v>0</v>
      </c>
      <c r="O790" t="n">
        <v>0</v>
      </c>
      <c r="P790" t="n">
        <v>0</v>
      </c>
      <c r="Q790" t="n">
        <v>0</v>
      </c>
      <c r="R790" s="2" t="inlineStr"/>
    </row>
    <row r="791" ht="15" customHeight="1">
      <c r="A791" t="inlineStr">
        <is>
          <t>A 17593-2025</t>
        </is>
      </c>
      <c r="B791" s="1" t="n">
        <v>45757</v>
      </c>
      <c r="C791" s="1" t="n">
        <v>46196</v>
      </c>
      <c r="D791" t="inlineStr">
        <is>
          <t>UPPSALA LÄN</t>
        </is>
      </c>
      <c r="E791" t="inlineStr">
        <is>
          <t>UPPSALA</t>
        </is>
      </c>
      <c r="G791" t="n">
        <v>3.6</v>
      </c>
      <c r="H791" t="n">
        <v>0</v>
      </c>
      <c r="I791" t="n">
        <v>0</v>
      </c>
      <c r="J791" t="n">
        <v>0</v>
      </c>
      <c r="K791" t="n">
        <v>0</v>
      </c>
      <c r="L791" t="n">
        <v>0</v>
      </c>
      <c r="M791" t="n">
        <v>0</v>
      </c>
      <c r="N791" t="n">
        <v>0</v>
      </c>
      <c r="O791" t="n">
        <v>0</v>
      </c>
      <c r="P791" t="n">
        <v>0</v>
      </c>
      <c r="Q791" t="n">
        <v>0</v>
      </c>
      <c r="R791" s="2" t="inlineStr"/>
    </row>
    <row r="792" ht="15" customHeight="1">
      <c r="A792" t="inlineStr">
        <is>
          <t>A 8473-2023</t>
        </is>
      </c>
      <c r="B792" s="1" t="n">
        <v>44977</v>
      </c>
      <c r="C792" s="1" t="n">
        <v>46196</v>
      </c>
      <c r="D792" t="inlineStr">
        <is>
          <t>UPPSALA LÄN</t>
        </is>
      </c>
      <c r="E792" t="inlineStr">
        <is>
          <t>UPPSALA</t>
        </is>
      </c>
      <c r="F792" t="inlineStr">
        <is>
          <t>Holmen skog AB</t>
        </is>
      </c>
      <c r="G792" t="n">
        <v>3.6</v>
      </c>
      <c r="H792" t="n">
        <v>0</v>
      </c>
      <c r="I792" t="n">
        <v>0</v>
      </c>
      <c r="J792" t="n">
        <v>0</v>
      </c>
      <c r="K792" t="n">
        <v>0</v>
      </c>
      <c r="L792" t="n">
        <v>0</v>
      </c>
      <c r="M792" t="n">
        <v>0</v>
      </c>
      <c r="N792" t="n">
        <v>0</v>
      </c>
      <c r="O792" t="n">
        <v>0</v>
      </c>
      <c r="P792" t="n">
        <v>0</v>
      </c>
      <c r="Q792" t="n">
        <v>0</v>
      </c>
      <c r="R792" s="2" t="inlineStr"/>
    </row>
    <row r="793" ht="15" customHeight="1">
      <c r="A793" t="inlineStr">
        <is>
          <t>A 11739-2023</t>
        </is>
      </c>
      <c r="B793" s="1" t="n">
        <v>44993</v>
      </c>
      <c r="C793" s="1" t="n">
        <v>46196</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21935-2023</t>
        </is>
      </c>
      <c r="B794" s="1" t="n">
        <v>45068</v>
      </c>
      <c r="C794" s="1" t="n">
        <v>46196</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367-2023</t>
        </is>
      </c>
      <c r="B795" s="1" t="n">
        <v>44929</v>
      </c>
      <c r="C795" s="1" t="n">
        <v>46196</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50463-2024</t>
        </is>
      </c>
      <c r="B796" s="1" t="n">
        <v>45601</v>
      </c>
      <c r="C796" s="1" t="n">
        <v>46196</v>
      </c>
      <c r="D796" t="inlineStr">
        <is>
          <t>UPPSALA LÄN</t>
        </is>
      </c>
      <c r="E796" t="inlineStr">
        <is>
          <t>UPPSALA</t>
        </is>
      </c>
      <c r="F796" t="inlineStr">
        <is>
          <t>Allmännings- och besparingsskogar</t>
        </is>
      </c>
      <c r="G796" t="n">
        <v>12.6</v>
      </c>
      <c r="H796" t="n">
        <v>0</v>
      </c>
      <c r="I796" t="n">
        <v>0</v>
      </c>
      <c r="J796" t="n">
        <v>0</v>
      </c>
      <c r="K796" t="n">
        <v>0</v>
      </c>
      <c r="L796" t="n">
        <v>0</v>
      </c>
      <c r="M796" t="n">
        <v>0</v>
      </c>
      <c r="N796" t="n">
        <v>0</v>
      </c>
      <c r="O796" t="n">
        <v>0</v>
      </c>
      <c r="P796" t="n">
        <v>0</v>
      </c>
      <c r="Q796" t="n">
        <v>0</v>
      </c>
      <c r="R796" s="2" t="inlineStr"/>
    </row>
    <row r="797" ht="15" customHeight="1">
      <c r="A797" t="inlineStr">
        <is>
          <t>A 72224-2021</t>
        </is>
      </c>
      <c r="B797" s="1" t="n">
        <v>44544</v>
      </c>
      <c r="C797" s="1" t="n">
        <v>46196</v>
      </c>
      <c r="D797" t="inlineStr">
        <is>
          <t>UPPSALA LÄN</t>
        </is>
      </c>
      <c r="E797" t="inlineStr">
        <is>
          <t>UPPSALA</t>
        </is>
      </c>
      <c r="G797" t="n">
        <v>2.5</v>
      </c>
      <c r="H797" t="n">
        <v>0</v>
      </c>
      <c r="I797" t="n">
        <v>0</v>
      </c>
      <c r="J797" t="n">
        <v>0</v>
      </c>
      <c r="K797" t="n">
        <v>0</v>
      </c>
      <c r="L797" t="n">
        <v>0</v>
      </c>
      <c r="M797" t="n">
        <v>0</v>
      </c>
      <c r="N797" t="n">
        <v>0</v>
      </c>
      <c r="O797" t="n">
        <v>0</v>
      </c>
      <c r="P797" t="n">
        <v>0</v>
      </c>
      <c r="Q797" t="n">
        <v>0</v>
      </c>
      <c r="R797" s="2" t="inlineStr"/>
    </row>
    <row r="798" ht="15" customHeight="1">
      <c r="A798" t="inlineStr">
        <is>
          <t>A 37626-2023</t>
        </is>
      </c>
      <c r="B798" s="1" t="n">
        <v>45159</v>
      </c>
      <c r="C798" s="1" t="n">
        <v>46196</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33191-2023</t>
        </is>
      </c>
      <c r="B799" s="1" t="n">
        <v>45127</v>
      </c>
      <c r="C799" s="1" t="n">
        <v>46196</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50473-2023</t>
        </is>
      </c>
      <c r="B800" s="1" t="n">
        <v>45216</v>
      </c>
      <c r="C800" s="1" t="n">
        <v>46196</v>
      </c>
      <c r="D800" t="inlineStr">
        <is>
          <t>UPPSALA LÄN</t>
        </is>
      </c>
      <c r="E800" t="inlineStr">
        <is>
          <t>UPPSALA</t>
        </is>
      </c>
      <c r="F800" t="inlineStr">
        <is>
          <t>Allmännings- och besparingsskogar</t>
        </is>
      </c>
      <c r="G800" t="n">
        <v>7.6</v>
      </c>
      <c r="H800" t="n">
        <v>0</v>
      </c>
      <c r="I800" t="n">
        <v>0</v>
      </c>
      <c r="J800" t="n">
        <v>0</v>
      </c>
      <c r="K800" t="n">
        <v>0</v>
      </c>
      <c r="L800" t="n">
        <v>0</v>
      </c>
      <c r="M800" t="n">
        <v>0</v>
      </c>
      <c r="N800" t="n">
        <v>0</v>
      </c>
      <c r="O800" t="n">
        <v>0</v>
      </c>
      <c r="P800" t="n">
        <v>0</v>
      </c>
      <c r="Q800" t="n">
        <v>0</v>
      </c>
      <c r="R800" s="2" t="inlineStr"/>
    </row>
    <row r="801" ht="15" customHeight="1">
      <c r="A801" t="inlineStr">
        <is>
          <t>A 53365-2024</t>
        </is>
      </c>
      <c r="B801" s="1" t="n">
        <v>45614</v>
      </c>
      <c r="C801" s="1" t="n">
        <v>46196</v>
      </c>
      <c r="D801" t="inlineStr">
        <is>
          <t>UPPSALA LÄN</t>
        </is>
      </c>
      <c r="E801" t="inlineStr">
        <is>
          <t>UPPSALA</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35142-2023</t>
        </is>
      </c>
      <c r="B802" s="1" t="n">
        <v>45145</v>
      </c>
      <c r="C802" s="1" t="n">
        <v>46196</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73531-2021</t>
        </is>
      </c>
      <c r="B803" s="1" t="n">
        <v>44551</v>
      </c>
      <c r="C803" s="1" t="n">
        <v>46196</v>
      </c>
      <c r="D803" t="inlineStr">
        <is>
          <t>UPPSALA LÄN</t>
        </is>
      </c>
      <c r="E803" t="inlineStr">
        <is>
          <t>UPPSALA</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54783-2023</t>
        </is>
      </c>
      <c r="B804" s="1" t="n">
        <v>45236</v>
      </c>
      <c r="C804" s="1" t="n">
        <v>46196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6677-2024</t>
        </is>
      </c>
      <c r="B805" s="1" t="n">
        <v>45341</v>
      </c>
      <c r="C805" s="1" t="n">
        <v>46196</v>
      </c>
      <c r="D805" t="inlineStr">
        <is>
          <t>UPPSALA LÄN</t>
        </is>
      </c>
      <c r="E805" t="inlineStr">
        <is>
          <t>UPPSALA</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13526-2023</t>
        </is>
      </c>
      <c r="B806" s="1" t="n">
        <v>45006</v>
      </c>
      <c r="C806" s="1" t="n">
        <v>46196</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47221-2023</t>
        </is>
      </c>
      <c r="B807" s="1" t="n">
        <v>45202</v>
      </c>
      <c r="C807" s="1" t="n">
        <v>46196</v>
      </c>
      <c r="D807" t="inlineStr">
        <is>
          <t>UPPSALA LÄN</t>
        </is>
      </c>
      <c r="E807" t="inlineStr">
        <is>
          <t>UPPSALA</t>
        </is>
      </c>
      <c r="G807" t="n">
        <v>8.6</v>
      </c>
      <c r="H807" t="n">
        <v>0</v>
      </c>
      <c r="I807" t="n">
        <v>0</v>
      </c>
      <c r="J807" t="n">
        <v>0</v>
      </c>
      <c r="K807" t="n">
        <v>0</v>
      </c>
      <c r="L807" t="n">
        <v>0</v>
      </c>
      <c r="M807" t="n">
        <v>0</v>
      </c>
      <c r="N807" t="n">
        <v>0</v>
      </c>
      <c r="O807" t="n">
        <v>0</v>
      </c>
      <c r="P807" t="n">
        <v>0</v>
      </c>
      <c r="Q807" t="n">
        <v>0</v>
      </c>
      <c r="R807" s="2" t="inlineStr"/>
    </row>
    <row r="808" ht="15" customHeight="1">
      <c r="A808" t="inlineStr">
        <is>
          <t>A 27442-2024</t>
        </is>
      </c>
      <c r="B808" s="1" t="n">
        <v>45474</v>
      </c>
      <c r="C808" s="1" t="n">
        <v>46196</v>
      </c>
      <c r="D808" t="inlineStr">
        <is>
          <t>UPPSALA LÄN</t>
        </is>
      </c>
      <c r="E808" t="inlineStr">
        <is>
          <t>UPPSALA</t>
        </is>
      </c>
      <c r="F808" t="inlineStr">
        <is>
          <t>Holmen skog AB</t>
        </is>
      </c>
      <c r="G808" t="n">
        <v>2.6</v>
      </c>
      <c r="H808" t="n">
        <v>0</v>
      </c>
      <c r="I808" t="n">
        <v>0</v>
      </c>
      <c r="J808" t="n">
        <v>0</v>
      </c>
      <c r="K808" t="n">
        <v>0</v>
      </c>
      <c r="L808" t="n">
        <v>0</v>
      </c>
      <c r="M808" t="n">
        <v>0</v>
      </c>
      <c r="N808" t="n">
        <v>0</v>
      </c>
      <c r="O808" t="n">
        <v>0</v>
      </c>
      <c r="P808" t="n">
        <v>0</v>
      </c>
      <c r="Q808" t="n">
        <v>0</v>
      </c>
      <c r="R808" s="2" t="inlineStr"/>
    </row>
    <row r="809" ht="15" customHeight="1">
      <c r="A809" t="inlineStr">
        <is>
          <t>A 3040-2023</t>
        </is>
      </c>
      <c r="B809" s="1" t="n">
        <v>44946</v>
      </c>
      <c r="C809" s="1" t="n">
        <v>46196</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66983-2021</t>
        </is>
      </c>
      <c r="B810" s="1" t="n">
        <v>44522</v>
      </c>
      <c r="C810" s="1" t="n">
        <v>46196</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5028-2022</t>
        </is>
      </c>
      <c r="B811" s="1" t="n">
        <v>44593</v>
      </c>
      <c r="C811" s="1" t="n">
        <v>46196</v>
      </c>
      <c r="D811" t="inlineStr">
        <is>
          <t>UPPSALA LÄN</t>
        </is>
      </c>
      <c r="E811" t="inlineStr">
        <is>
          <t>UPPSALA</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600-2024</t>
        </is>
      </c>
      <c r="B812" s="1" t="n">
        <v>45299</v>
      </c>
      <c r="C812" s="1" t="n">
        <v>46196</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37819-2021</t>
        </is>
      </c>
      <c r="B813" s="1" t="n">
        <v>44403</v>
      </c>
      <c r="C813" s="1" t="n">
        <v>46196</v>
      </c>
      <c r="D813" t="inlineStr">
        <is>
          <t>UPPSALA LÄN</t>
        </is>
      </c>
      <c r="E813" t="inlineStr">
        <is>
          <t>UPPSALA</t>
        </is>
      </c>
      <c r="F813" t="inlineStr">
        <is>
          <t>Bergvik skog öst AB</t>
        </is>
      </c>
      <c r="G813" t="n">
        <v>1.1</v>
      </c>
      <c r="H813" t="n">
        <v>0</v>
      </c>
      <c r="I813" t="n">
        <v>0</v>
      </c>
      <c r="J813" t="n">
        <v>0</v>
      </c>
      <c r="K813" t="n">
        <v>0</v>
      </c>
      <c r="L813" t="n">
        <v>0</v>
      </c>
      <c r="M813" t="n">
        <v>0</v>
      </c>
      <c r="N813" t="n">
        <v>0</v>
      </c>
      <c r="O813" t="n">
        <v>0</v>
      </c>
      <c r="P813" t="n">
        <v>0</v>
      </c>
      <c r="Q813" t="n">
        <v>0</v>
      </c>
      <c r="R813" s="2" t="inlineStr"/>
    </row>
    <row r="814" ht="15" customHeight="1">
      <c r="A814" t="inlineStr">
        <is>
          <t>A 1838-2024</t>
        </is>
      </c>
      <c r="B814" s="1" t="n">
        <v>45307</v>
      </c>
      <c r="C814" s="1" t="n">
        <v>46196</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8109-2024</t>
        </is>
      </c>
      <c r="B815" s="1" t="n">
        <v>45351</v>
      </c>
      <c r="C815" s="1" t="n">
        <v>46196</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11201-2024</t>
        </is>
      </c>
      <c r="B816" s="1" t="n">
        <v>45371</v>
      </c>
      <c r="C816" s="1" t="n">
        <v>46196</v>
      </c>
      <c r="D816" t="inlineStr">
        <is>
          <t>UPPSALA LÄN</t>
        </is>
      </c>
      <c r="E816" t="inlineStr">
        <is>
          <t>UPPSALA</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59719-2022</t>
        </is>
      </c>
      <c r="B817" s="1" t="n">
        <v>44908</v>
      </c>
      <c r="C817" s="1" t="n">
        <v>46196</v>
      </c>
      <c r="D817" t="inlineStr">
        <is>
          <t>UPPSALA LÄN</t>
        </is>
      </c>
      <c r="E817" t="inlineStr">
        <is>
          <t>UPPSALA</t>
        </is>
      </c>
      <c r="G817" t="n">
        <v>3.6</v>
      </c>
      <c r="H817" t="n">
        <v>0</v>
      </c>
      <c r="I817" t="n">
        <v>0</v>
      </c>
      <c r="J817" t="n">
        <v>0</v>
      </c>
      <c r="K817" t="n">
        <v>0</v>
      </c>
      <c r="L817" t="n">
        <v>0</v>
      </c>
      <c r="M817" t="n">
        <v>0</v>
      </c>
      <c r="N817" t="n">
        <v>0</v>
      </c>
      <c r="O817" t="n">
        <v>0</v>
      </c>
      <c r="P817" t="n">
        <v>0</v>
      </c>
      <c r="Q817" t="n">
        <v>0</v>
      </c>
      <c r="R817" s="2" t="inlineStr"/>
    </row>
    <row r="818" ht="15" customHeight="1">
      <c r="A818" t="inlineStr">
        <is>
          <t>A 38934-2023</t>
        </is>
      </c>
      <c r="B818" s="1" t="n">
        <v>45163</v>
      </c>
      <c r="C818" s="1" t="n">
        <v>46196</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42681-2023</t>
        </is>
      </c>
      <c r="B819" s="1" t="n">
        <v>45181</v>
      </c>
      <c r="C819" s="1" t="n">
        <v>46196</v>
      </c>
      <c r="D819" t="inlineStr">
        <is>
          <t>UPPSALA LÄN</t>
        </is>
      </c>
      <c r="E819" t="inlineStr">
        <is>
          <t>UPPSALA</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33941-2023</t>
        </is>
      </c>
      <c r="B820" s="1" t="n">
        <v>45134</v>
      </c>
      <c r="C820" s="1" t="n">
        <v>46196</v>
      </c>
      <c r="D820" t="inlineStr">
        <is>
          <t>UPPSALA LÄN</t>
        </is>
      </c>
      <c r="E820" t="inlineStr">
        <is>
          <t>UPPSALA</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46196</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36392-2023</t>
        </is>
      </c>
      <c r="B822" s="1" t="n">
        <v>45152</v>
      </c>
      <c r="C822" s="1" t="n">
        <v>46196</v>
      </c>
      <c r="D822" t="inlineStr">
        <is>
          <t>UPPSALA LÄN</t>
        </is>
      </c>
      <c r="E822" t="inlineStr">
        <is>
          <t>UPPSALA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6630-2024</t>
        </is>
      </c>
      <c r="B823" s="1" t="n">
        <v>45341</v>
      </c>
      <c r="C823" s="1" t="n">
        <v>46196</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22431-2024</t>
        </is>
      </c>
      <c r="B824" s="1" t="n">
        <v>45446</v>
      </c>
      <c r="C824" s="1" t="n">
        <v>46196</v>
      </c>
      <c r="D824" t="inlineStr">
        <is>
          <t>UPPSALA LÄN</t>
        </is>
      </c>
      <c r="E824" t="inlineStr">
        <is>
          <t>UPPSALA</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34114-2024</t>
        </is>
      </c>
      <c r="B825" s="1" t="n">
        <v>45524</v>
      </c>
      <c r="C825" s="1" t="n">
        <v>46196</v>
      </c>
      <c r="D825" t="inlineStr">
        <is>
          <t>UPPSALA LÄN</t>
        </is>
      </c>
      <c r="E825" t="inlineStr">
        <is>
          <t>UPPSALA</t>
        </is>
      </c>
      <c r="F825" t="inlineStr">
        <is>
          <t>Allmännings- och besparingsskogar</t>
        </is>
      </c>
      <c r="G825" t="n">
        <v>1.3</v>
      </c>
      <c r="H825" t="n">
        <v>0</v>
      </c>
      <c r="I825" t="n">
        <v>0</v>
      </c>
      <c r="J825" t="n">
        <v>0</v>
      </c>
      <c r="K825" t="n">
        <v>0</v>
      </c>
      <c r="L825" t="n">
        <v>0</v>
      </c>
      <c r="M825" t="n">
        <v>0</v>
      </c>
      <c r="N825" t="n">
        <v>0</v>
      </c>
      <c r="O825" t="n">
        <v>0</v>
      </c>
      <c r="P825" t="n">
        <v>0</v>
      </c>
      <c r="Q825" t="n">
        <v>0</v>
      </c>
      <c r="R825" s="2" t="inlineStr"/>
    </row>
    <row r="826" ht="15" customHeight="1">
      <c r="A826" t="inlineStr">
        <is>
          <t>A 7276-2024</t>
        </is>
      </c>
      <c r="B826" s="1" t="n">
        <v>45344</v>
      </c>
      <c r="C826" s="1" t="n">
        <v>46196</v>
      </c>
      <c r="D826" t="inlineStr">
        <is>
          <t>UPPSALA LÄN</t>
        </is>
      </c>
      <c r="E826" t="inlineStr">
        <is>
          <t>UPPSALA</t>
        </is>
      </c>
      <c r="F826" t="inlineStr">
        <is>
          <t>Bergvik skog öst AB</t>
        </is>
      </c>
      <c r="G826" t="n">
        <v>0.2</v>
      </c>
      <c r="H826" t="n">
        <v>0</v>
      </c>
      <c r="I826" t="n">
        <v>0</v>
      </c>
      <c r="J826" t="n">
        <v>0</v>
      </c>
      <c r="K826" t="n">
        <v>0</v>
      </c>
      <c r="L826" t="n">
        <v>0</v>
      </c>
      <c r="M826" t="n">
        <v>0</v>
      </c>
      <c r="N826" t="n">
        <v>0</v>
      </c>
      <c r="O826" t="n">
        <v>0</v>
      </c>
      <c r="P826" t="n">
        <v>0</v>
      </c>
      <c r="Q826" t="n">
        <v>0</v>
      </c>
      <c r="R826" s="2" t="inlineStr"/>
    </row>
    <row r="827" ht="15" customHeight="1">
      <c r="A827" t="inlineStr">
        <is>
          <t>A 39608-2022</t>
        </is>
      </c>
      <c r="B827" s="1" t="n">
        <v>44817</v>
      </c>
      <c r="C827" s="1" t="n">
        <v>46196</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11162-2022</t>
        </is>
      </c>
      <c r="B828" s="1" t="n">
        <v>44629</v>
      </c>
      <c r="C828" s="1" t="n">
        <v>46196</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27068-2023</t>
        </is>
      </c>
      <c r="B829" s="1" t="n">
        <v>45096</v>
      </c>
      <c r="C829" s="1" t="n">
        <v>46196</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45878-2024</t>
        </is>
      </c>
      <c r="B830" s="1" t="n">
        <v>45580</v>
      </c>
      <c r="C830" s="1" t="n">
        <v>46196</v>
      </c>
      <c r="D830" t="inlineStr">
        <is>
          <t>UPPSALA LÄN</t>
        </is>
      </c>
      <c r="E830" t="inlineStr">
        <is>
          <t>UPPSALA</t>
        </is>
      </c>
      <c r="G830" t="n">
        <v>2.8</v>
      </c>
      <c r="H830" t="n">
        <v>0</v>
      </c>
      <c r="I830" t="n">
        <v>0</v>
      </c>
      <c r="J830" t="n">
        <v>0</v>
      </c>
      <c r="K830" t="n">
        <v>0</v>
      </c>
      <c r="L830" t="n">
        <v>0</v>
      </c>
      <c r="M830" t="n">
        <v>0</v>
      </c>
      <c r="N830" t="n">
        <v>0</v>
      </c>
      <c r="O830" t="n">
        <v>0</v>
      </c>
      <c r="P830" t="n">
        <v>0</v>
      </c>
      <c r="Q830" t="n">
        <v>0</v>
      </c>
      <c r="R830" s="2" t="inlineStr"/>
    </row>
    <row r="831" ht="15" customHeight="1">
      <c r="A831" t="inlineStr">
        <is>
          <t>A 17587-2025</t>
        </is>
      </c>
      <c r="B831" s="1" t="n">
        <v>45757</v>
      </c>
      <c r="C831" s="1" t="n">
        <v>46196</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74495-2021</t>
        </is>
      </c>
      <c r="B832" s="1" t="n">
        <v>44560</v>
      </c>
      <c r="C832" s="1" t="n">
        <v>46196</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46920-2021</t>
        </is>
      </c>
      <c r="B833" s="1" t="n">
        <v>44446</v>
      </c>
      <c r="C833" s="1" t="n">
        <v>46196</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5189-2022</t>
        </is>
      </c>
      <c r="B834" s="1" t="n">
        <v>44594</v>
      </c>
      <c r="C834" s="1" t="n">
        <v>46196</v>
      </c>
      <c r="D834" t="inlineStr">
        <is>
          <t>UPPSALA LÄN</t>
        </is>
      </c>
      <c r="E834" t="inlineStr">
        <is>
          <t>UPPSALA</t>
        </is>
      </c>
      <c r="G834" t="n">
        <v>5.9</v>
      </c>
      <c r="H834" t="n">
        <v>0</v>
      </c>
      <c r="I834" t="n">
        <v>0</v>
      </c>
      <c r="J834" t="n">
        <v>0</v>
      </c>
      <c r="K834" t="n">
        <v>0</v>
      </c>
      <c r="L834" t="n">
        <v>0</v>
      </c>
      <c r="M834" t="n">
        <v>0</v>
      </c>
      <c r="N834" t="n">
        <v>0</v>
      </c>
      <c r="O834" t="n">
        <v>0</v>
      </c>
      <c r="P834" t="n">
        <v>0</v>
      </c>
      <c r="Q834" t="n">
        <v>0</v>
      </c>
      <c r="R834" s="2" t="inlineStr"/>
    </row>
    <row r="835" ht="15" customHeight="1">
      <c r="A835" t="inlineStr">
        <is>
          <t>A 18677-2024</t>
        </is>
      </c>
      <c r="B835" s="1" t="n">
        <v>45426</v>
      </c>
      <c r="C835" s="1" t="n">
        <v>46196</v>
      </c>
      <c r="D835" t="inlineStr">
        <is>
          <t>UPPSALA LÄN</t>
        </is>
      </c>
      <c r="E835" t="inlineStr">
        <is>
          <t>UPPSALA</t>
        </is>
      </c>
      <c r="G835" t="n">
        <v>2.8</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46196</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6930-2023</t>
        </is>
      </c>
      <c r="B837" s="1" t="n">
        <v>44967</v>
      </c>
      <c r="C837" s="1" t="n">
        <v>46196</v>
      </c>
      <c r="D837" t="inlineStr">
        <is>
          <t>UPPSALA LÄN</t>
        </is>
      </c>
      <c r="E837" t="inlineStr">
        <is>
          <t>UPPSALA</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8877-2022</t>
        </is>
      </c>
      <c r="B838" s="1" t="n">
        <v>44614</v>
      </c>
      <c r="C838" s="1" t="n">
        <v>46196</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554-2023</t>
        </is>
      </c>
      <c r="B839" s="1" t="n">
        <v>44930</v>
      </c>
      <c r="C839" s="1" t="n">
        <v>46196</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27903-2023</t>
        </is>
      </c>
      <c r="B840" s="1" t="n">
        <v>45098</v>
      </c>
      <c r="C840" s="1" t="n">
        <v>46196</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14784-2023</t>
        </is>
      </c>
      <c r="B841" s="1" t="n">
        <v>45014</v>
      </c>
      <c r="C841" s="1" t="n">
        <v>46196</v>
      </c>
      <c r="D841" t="inlineStr">
        <is>
          <t>UPPSALA LÄN</t>
        </is>
      </c>
      <c r="E841" t="inlineStr">
        <is>
          <t>UPPSALA</t>
        </is>
      </c>
      <c r="G841" t="n">
        <v>4.7</v>
      </c>
      <c r="H841" t="n">
        <v>0</v>
      </c>
      <c r="I841" t="n">
        <v>0</v>
      </c>
      <c r="J841" t="n">
        <v>0</v>
      </c>
      <c r="K841" t="n">
        <v>0</v>
      </c>
      <c r="L841" t="n">
        <v>0</v>
      </c>
      <c r="M841" t="n">
        <v>0</v>
      </c>
      <c r="N841" t="n">
        <v>0</v>
      </c>
      <c r="O841" t="n">
        <v>0</v>
      </c>
      <c r="P841" t="n">
        <v>0</v>
      </c>
      <c r="Q841" t="n">
        <v>0</v>
      </c>
      <c r="R841" s="2" t="inlineStr"/>
    </row>
    <row r="842" ht="15" customHeight="1">
      <c r="A842" t="inlineStr">
        <is>
          <t>A 27473-2024</t>
        </is>
      </c>
      <c r="B842" s="1" t="n">
        <v>45474</v>
      </c>
      <c r="C842" s="1" t="n">
        <v>46196</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45662-2023</t>
        </is>
      </c>
      <c r="B843" s="1" t="n">
        <v>45194</v>
      </c>
      <c r="C843" s="1" t="n">
        <v>46196</v>
      </c>
      <c r="D843" t="inlineStr">
        <is>
          <t>UPPSALA LÄN</t>
        </is>
      </c>
      <c r="E843" t="inlineStr">
        <is>
          <t>UPPSALA</t>
        </is>
      </c>
      <c r="F843" t="inlineStr">
        <is>
          <t>Bergvik skog öst AB</t>
        </is>
      </c>
      <c r="G843" t="n">
        <v>2.8</v>
      </c>
      <c r="H843" t="n">
        <v>0</v>
      </c>
      <c r="I843" t="n">
        <v>0</v>
      </c>
      <c r="J843" t="n">
        <v>0</v>
      </c>
      <c r="K843" t="n">
        <v>0</v>
      </c>
      <c r="L843" t="n">
        <v>0</v>
      </c>
      <c r="M843" t="n">
        <v>0</v>
      </c>
      <c r="N843" t="n">
        <v>0</v>
      </c>
      <c r="O843" t="n">
        <v>0</v>
      </c>
      <c r="P843" t="n">
        <v>0</v>
      </c>
      <c r="Q843" t="n">
        <v>0</v>
      </c>
      <c r="R843" s="2" t="inlineStr"/>
    </row>
    <row r="844" ht="15" customHeight="1">
      <c r="A844" t="inlineStr">
        <is>
          <t>A 39865-2022</t>
        </is>
      </c>
      <c r="B844" s="1" t="n">
        <v>44819</v>
      </c>
      <c r="C844" s="1" t="n">
        <v>46196</v>
      </c>
      <c r="D844" t="inlineStr">
        <is>
          <t>UPPSALA LÄN</t>
        </is>
      </c>
      <c r="E844" t="inlineStr">
        <is>
          <t>UPPSALA</t>
        </is>
      </c>
      <c r="G844" t="n">
        <v>2.5</v>
      </c>
      <c r="H844" t="n">
        <v>0</v>
      </c>
      <c r="I844" t="n">
        <v>0</v>
      </c>
      <c r="J844" t="n">
        <v>0</v>
      </c>
      <c r="K844" t="n">
        <v>0</v>
      </c>
      <c r="L844" t="n">
        <v>0</v>
      </c>
      <c r="M844" t="n">
        <v>0</v>
      </c>
      <c r="N844" t="n">
        <v>0</v>
      </c>
      <c r="O844" t="n">
        <v>0</v>
      </c>
      <c r="P844" t="n">
        <v>0</v>
      </c>
      <c r="Q844" t="n">
        <v>0</v>
      </c>
      <c r="R844" s="2" t="inlineStr"/>
    </row>
    <row r="845" ht="15" customHeight="1">
      <c r="A845" t="inlineStr">
        <is>
          <t>A 6679-2024</t>
        </is>
      </c>
      <c r="B845" s="1" t="n">
        <v>45341</v>
      </c>
      <c r="C845" s="1" t="n">
        <v>46196</v>
      </c>
      <c r="D845" t="inlineStr">
        <is>
          <t>UPPSALA LÄN</t>
        </is>
      </c>
      <c r="E845" t="inlineStr">
        <is>
          <t>UPPSALA</t>
        </is>
      </c>
      <c r="F845" t="inlineStr">
        <is>
          <t>Bergvik skog öst AB</t>
        </is>
      </c>
      <c r="G845" t="n">
        <v>0.4</v>
      </c>
      <c r="H845" t="n">
        <v>0</v>
      </c>
      <c r="I845" t="n">
        <v>0</v>
      </c>
      <c r="J845" t="n">
        <v>0</v>
      </c>
      <c r="K845" t="n">
        <v>0</v>
      </c>
      <c r="L845" t="n">
        <v>0</v>
      </c>
      <c r="M845" t="n">
        <v>0</v>
      </c>
      <c r="N845" t="n">
        <v>0</v>
      </c>
      <c r="O845" t="n">
        <v>0</v>
      </c>
      <c r="P845" t="n">
        <v>0</v>
      </c>
      <c r="Q845" t="n">
        <v>0</v>
      </c>
      <c r="R845" s="2" t="inlineStr"/>
    </row>
    <row r="846" ht="15" customHeight="1">
      <c r="A846" t="inlineStr">
        <is>
          <t>A 60984-2022</t>
        </is>
      </c>
      <c r="B846" s="1" t="n">
        <v>44914</v>
      </c>
      <c r="C846" s="1" t="n">
        <v>46196</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9820-2023</t>
        </is>
      </c>
      <c r="B847" s="1" t="n">
        <v>44984</v>
      </c>
      <c r="C847" s="1" t="n">
        <v>46196</v>
      </c>
      <c r="D847" t="inlineStr">
        <is>
          <t>UPPSALA LÄN</t>
        </is>
      </c>
      <c r="E847" t="inlineStr">
        <is>
          <t>UPPSALA</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34265-2021</t>
        </is>
      </c>
      <c r="B848" s="1" t="n">
        <v>44379</v>
      </c>
      <c r="C848" s="1" t="n">
        <v>46196</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34147-2024</t>
        </is>
      </c>
      <c r="B849" s="1" t="n">
        <v>45524</v>
      </c>
      <c r="C849" s="1" t="n">
        <v>46196</v>
      </c>
      <c r="D849" t="inlineStr">
        <is>
          <t>UPPSALA LÄN</t>
        </is>
      </c>
      <c r="E849" t="inlineStr">
        <is>
          <t>UPPSALA</t>
        </is>
      </c>
      <c r="F849" t="inlineStr">
        <is>
          <t>Allmännings- och besparingsskogar</t>
        </is>
      </c>
      <c r="G849" t="n">
        <v>0.2</v>
      </c>
      <c r="H849" t="n">
        <v>0</v>
      </c>
      <c r="I849" t="n">
        <v>0</v>
      </c>
      <c r="J849" t="n">
        <v>0</v>
      </c>
      <c r="K849" t="n">
        <v>0</v>
      </c>
      <c r="L849" t="n">
        <v>0</v>
      </c>
      <c r="M849" t="n">
        <v>0</v>
      </c>
      <c r="N849" t="n">
        <v>0</v>
      </c>
      <c r="O849" t="n">
        <v>0</v>
      </c>
      <c r="P849" t="n">
        <v>0</v>
      </c>
      <c r="Q849" t="n">
        <v>0</v>
      </c>
      <c r="R849" s="2" t="inlineStr"/>
    </row>
    <row r="850" ht="15" customHeight="1">
      <c r="A850" t="inlineStr">
        <is>
          <t>A 10456-2022</t>
        </is>
      </c>
      <c r="B850" s="1" t="n">
        <v>44623</v>
      </c>
      <c r="C850" s="1" t="n">
        <v>46196</v>
      </c>
      <c r="D850" t="inlineStr">
        <is>
          <t>UPPSALA LÄN</t>
        </is>
      </c>
      <c r="E850" t="inlineStr">
        <is>
          <t>UPPSALA</t>
        </is>
      </c>
      <c r="F850" t="inlineStr">
        <is>
          <t>Övriga Aktiebolag</t>
        </is>
      </c>
      <c r="G850" t="n">
        <v>12.6</v>
      </c>
      <c r="H850" t="n">
        <v>0</v>
      </c>
      <c r="I850" t="n">
        <v>0</v>
      </c>
      <c r="J850" t="n">
        <v>0</v>
      </c>
      <c r="K850" t="n">
        <v>0</v>
      </c>
      <c r="L850" t="n">
        <v>0</v>
      </c>
      <c r="M850" t="n">
        <v>0</v>
      </c>
      <c r="N850" t="n">
        <v>0</v>
      </c>
      <c r="O850" t="n">
        <v>0</v>
      </c>
      <c r="P850" t="n">
        <v>0</v>
      </c>
      <c r="Q850" t="n">
        <v>0</v>
      </c>
      <c r="R850" s="2" t="inlineStr"/>
    </row>
    <row r="851" ht="15" customHeight="1">
      <c r="A851" t="inlineStr">
        <is>
          <t>A 5663-2023</t>
        </is>
      </c>
      <c r="B851" s="1" t="n">
        <v>44960</v>
      </c>
      <c r="C851" s="1" t="n">
        <v>46196</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5675-2023</t>
        </is>
      </c>
      <c r="B852" s="1" t="n">
        <v>44960</v>
      </c>
      <c r="C852" s="1" t="n">
        <v>46196</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69698-2021</t>
        </is>
      </c>
      <c r="B853" s="1" t="n">
        <v>44532</v>
      </c>
      <c r="C853" s="1" t="n">
        <v>46196</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40100-2022</t>
        </is>
      </c>
      <c r="B854" s="1" t="n">
        <v>44820</v>
      </c>
      <c r="C854" s="1" t="n">
        <v>46196</v>
      </c>
      <c r="D854" t="inlineStr">
        <is>
          <t>UPPSALA LÄN</t>
        </is>
      </c>
      <c r="E854" t="inlineStr">
        <is>
          <t>UPPSALA</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8672-2024</t>
        </is>
      </c>
      <c r="B855" s="1" t="n">
        <v>45352</v>
      </c>
      <c r="C855" s="1" t="n">
        <v>46196</v>
      </c>
      <c r="D855" t="inlineStr">
        <is>
          <t>UPPSALA LÄN</t>
        </is>
      </c>
      <c r="E855" t="inlineStr">
        <is>
          <t>UPPSALA</t>
        </is>
      </c>
      <c r="G855" t="n">
        <v>2.3</v>
      </c>
      <c r="H855" t="n">
        <v>0</v>
      </c>
      <c r="I855" t="n">
        <v>0</v>
      </c>
      <c r="J855" t="n">
        <v>0</v>
      </c>
      <c r="K855" t="n">
        <v>0</v>
      </c>
      <c r="L855" t="n">
        <v>0</v>
      </c>
      <c r="M855" t="n">
        <v>0</v>
      </c>
      <c r="N855" t="n">
        <v>0</v>
      </c>
      <c r="O855" t="n">
        <v>0</v>
      </c>
      <c r="P855" t="n">
        <v>0</v>
      </c>
      <c r="Q855" t="n">
        <v>0</v>
      </c>
      <c r="R855" s="2" t="inlineStr"/>
    </row>
    <row r="856" ht="15" customHeight="1">
      <c r="A856" t="inlineStr">
        <is>
          <t>A 9255-2024</t>
        </is>
      </c>
      <c r="B856" s="1" t="n">
        <v>45358</v>
      </c>
      <c r="C856" s="1" t="n">
        <v>46196</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56889-2022</t>
        </is>
      </c>
      <c r="B857" s="1" t="n">
        <v>44894</v>
      </c>
      <c r="C857" s="1" t="n">
        <v>46196</v>
      </c>
      <c r="D857" t="inlineStr">
        <is>
          <t>UPPSALA LÄN</t>
        </is>
      </c>
      <c r="E857" t="inlineStr">
        <is>
          <t>UPPSALA</t>
        </is>
      </c>
      <c r="F857" t="inlineStr">
        <is>
          <t>Övriga Aktiebolag</t>
        </is>
      </c>
      <c r="G857" t="n">
        <v>21.6</v>
      </c>
      <c r="H857" t="n">
        <v>0</v>
      </c>
      <c r="I857" t="n">
        <v>0</v>
      </c>
      <c r="J857" t="n">
        <v>0</v>
      </c>
      <c r="K857" t="n">
        <v>0</v>
      </c>
      <c r="L857" t="n">
        <v>0</v>
      </c>
      <c r="M857" t="n">
        <v>0</v>
      </c>
      <c r="N857" t="n">
        <v>0</v>
      </c>
      <c r="O857" t="n">
        <v>0</v>
      </c>
      <c r="P857" t="n">
        <v>0</v>
      </c>
      <c r="Q857" t="n">
        <v>0</v>
      </c>
      <c r="R857" s="2" t="inlineStr"/>
    </row>
    <row r="858" ht="15" customHeight="1">
      <c r="A858" t="inlineStr">
        <is>
          <t>A 33797-2021</t>
        </is>
      </c>
      <c r="B858" s="1" t="n">
        <v>44378</v>
      </c>
      <c r="C858" s="1" t="n">
        <v>46196</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5374-2023</t>
        </is>
      </c>
      <c r="B859" s="1" t="n">
        <v>44944</v>
      </c>
      <c r="C859" s="1" t="n">
        <v>46196</v>
      </c>
      <c r="D859" t="inlineStr">
        <is>
          <t>UPPSALA LÄN</t>
        </is>
      </c>
      <c r="E859" t="inlineStr">
        <is>
          <t>UPPSALA</t>
        </is>
      </c>
      <c r="G859" t="n">
        <v>3.5</v>
      </c>
      <c r="H859" t="n">
        <v>0</v>
      </c>
      <c r="I859" t="n">
        <v>0</v>
      </c>
      <c r="J859" t="n">
        <v>0</v>
      </c>
      <c r="K859" t="n">
        <v>0</v>
      </c>
      <c r="L859" t="n">
        <v>0</v>
      </c>
      <c r="M859" t="n">
        <v>0</v>
      </c>
      <c r="N859" t="n">
        <v>0</v>
      </c>
      <c r="O859" t="n">
        <v>0</v>
      </c>
      <c r="P859" t="n">
        <v>0</v>
      </c>
      <c r="Q859" t="n">
        <v>0</v>
      </c>
      <c r="R859" s="2" t="inlineStr"/>
    </row>
    <row r="860" ht="15" customHeight="1">
      <c r="A860" t="inlineStr">
        <is>
          <t>A 63011-2021</t>
        </is>
      </c>
      <c r="B860" s="1" t="n">
        <v>44504</v>
      </c>
      <c r="C860" s="1" t="n">
        <v>46196</v>
      </c>
      <c r="D860" t="inlineStr">
        <is>
          <t>UPPSALA LÄN</t>
        </is>
      </c>
      <c r="E860" t="inlineStr">
        <is>
          <t>UPPSALA</t>
        </is>
      </c>
      <c r="G860" t="n">
        <v>11.2</v>
      </c>
      <c r="H860" t="n">
        <v>0</v>
      </c>
      <c r="I860" t="n">
        <v>0</v>
      </c>
      <c r="J860" t="n">
        <v>0</v>
      </c>
      <c r="K860" t="n">
        <v>0</v>
      </c>
      <c r="L860" t="n">
        <v>0</v>
      </c>
      <c r="M860" t="n">
        <v>0</v>
      </c>
      <c r="N860" t="n">
        <v>0</v>
      </c>
      <c r="O860" t="n">
        <v>0</v>
      </c>
      <c r="P860" t="n">
        <v>0</v>
      </c>
      <c r="Q860" t="n">
        <v>0</v>
      </c>
      <c r="R860" s="2" t="inlineStr"/>
    </row>
    <row r="861" ht="15" customHeight="1">
      <c r="A861" t="inlineStr">
        <is>
          <t>A 52503-2023</t>
        </is>
      </c>
      <c r="B861" s="1" t="n">
        <v>45225</v>
      </c>
      <c r="C861" s="1" t="n">
        <v>46196</v>
      </c>
      <c r="D861" t="inlineStr">
        <is>
          <t>UPPSALA LÄN</t>
        </is>
      </c>
      <c r="E861" t="inlineStr">
        <is>
          <t>UPPSALA</t>
        </is>
      </c>
      <c r="G861" t="n">
        <v>1.7</v>
      </c>
      <c r="H861" t="n">
        <v>0</v>
      </c>
      <c r="I861" t="n">
        <v>0</v>
      </c>
      <c r="J861" t="n">
        <v>0</v>
      </c>
      <c r="K861" t="n">
        <v>0</v>
      </c>
      <c r="L861" t="n">
        <v>0</v>
      </c>
      <c r="M861" t="n">
        <v>0</v>
      </c>
      <c r="N861" t="n">
        <v>0</v>
      </c>
      <c r="O861" t="n">
        <v>0</v>
      </c>
      <c r="P861" t="n">
        <v>0</v>
      </c>
      <c r="Q861" t="n">
        <v>0</v>
      </c>
      <c r="R861" s="2" t="inlineStr"/>
    </row>
    <row r="862" ht="15" customHeight="1">
      <c r="A862" t="inlineStr">
        <is>
          <t>A 59585-2023</t>
        </is>
      </c>
      <c r="B862" s="1" t="n">
        <v>45254</v>
      </c>
      <c r="C862" s="1" t="n">
        <v>46196</v>
      </c>
      <c r="D862" t="inlineStr">
        <is>
          <t>UPPSALA LÄN</t>
        </is>
      </c>
      <c r="E862" t="inlineStr">
        <is>
          <t>UPPSALA</t>
        </is>
      </c>
      <c r="G862" t="n">
        <v>4.4</v>
      </c>
      <c r="H862" t="n">
        <v>0</v>
      </c>
      <c r="I862" t="n">
        <v>0</v>
      </c>
      <c r="J862" t="n">
        <v>0</v>
      </c>
      <c r="K862" t="n">
        <v>0</v>
      </c>
      <c r="L862" t="n">
        <v>0</v>
      </c>
      <c r="M862" t="n">
        <v>0</v>
      </c>
      <c r="N862" t="n">
        <v>0</v>
      </c>
      <c r="O862" t="n">
        <v>0</v>
      </c>
      <c r="P862" t="n">
        <v>0</v>
      </c>
      <c r="Q862" t="n">
        <v>0</v>
      </c>
      <c r="R862" s="2" t="inlineStr"/>
    </row>
    <row r="863" ht="15" customHeight="1">
      <c r="A863" t="inlineStr">
        <is>
          <t>A 6989-2022</t>
        </is>
      </c>
      <c r="B863" s="1" t="n">
        <v>44603</v>
      </c>
      <c r="C863" s="1" t="n">
        <v>46196</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32553-2024</t>
        </is>
      </c>
      <c r="B864" s="1" t="n">
        <v>45513</v>
      </c>
      <c r="C864" s="1" t="n">
        <v>46196</v>
      </c>
      <c r="D864" t="inlineStr">
        <is>
          <t>UPPSALA LÄN</t>
        </is>
      </c>
      <c r="E864" t="inlineStr">
        <is>
          <t>UPPSALA</t>
        </is>
      </c>
      <c r="F864" t="inlineStr">
        <is>
          <t>Bergvik skog öst AB</t>
        </is>
      </c>
      <c r="G864" t="n">
        <v>4.1</v>
      </c>
      <c r="H864" t="n">
        <v>0</v>
      </c>
      <c r="I864" t="n">
        <v>0</v>
      </c>
      <c r="J864" t="n">
        <v>0</v>
      </c>
      <c r="K864" t="n">
        <v>0</v>
      </c>
      <c r="L864" t="n">
        <v>0</v>
      </c>
      <c r="M864" t="n">
        <v>0</v>
      </c>
      <c r="N864" t="n">
        <v>0</v>
      </c>
      <c r="O864" t="n">
        <v>0</v>
      </c>
      <c r="P864" t="n">
        <v>0</v>
      </c>
      <c r="Q864" t="n">
        <v>0</v>
      </c>
      <c r="R864" s="2" t="inlineStr"/>
    </row>
    <row r="865" ht="15" customHeight="1">
      <c r="A865" t="inlineStr">
        <is>
          <t>A 46807-2022</t>
        </is>
      </c>
      <c r="B865" s="1" t="n">
        <v>44848</v>
      </c>
      <c r="C865" s="1" t="n">
        <v>46196</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44781-2021</t>
        </is>
      </c>
      <c r="B866" s="1" t="n">
        <v>44438</v>
      </c>
      <c r="C866" s="1" t="n">
        <v>46196</v>
      </c>
      <c r="D866" t="inlineStr">
        <is>
          <t>UPPSALA LÄN</t>
        </is>
      </c>
      <c r="E866" t="inlineStr">
        <is>
          <t>UPPSALA</t>
        </is>
      </c>
      <c r="F866" t="inlineStr">
        <is>
          <t>Sveaskog</t>
        </is>
      </c>
      <c r="G866" t="n">
        <v>0.1</v>
      </c>
      <c r="H866" t="n">
        <v>0</v>
      </c>
      <c r="I866" t="n">
        <v>0</v>
      </c>
      <c r="J866" t="n">
        <v>0</v>
      </c>
      <c r="K866" t="n">
        <v>0</v>
      </c>
      <c r="L866" t="n">
        <v>0</v>
      </c>
      <c r="M866" t="n">
        <v>0</v>
      </c>
      <c r="N866" t="n">
        <v>0</v>
      </c>
      <c r="O866" t="n">
        <v>0</v>
      </c>
      <c r="P866" t="n">
        <v>0</v>
      </c>
      <c r="Q866" t="n">
        <v>0</v>
      </c>
      <c r="R866" s="2" t="inlineStr"/>
    </row>
    <row r="867" ht="15" customHeight="1">
      <c r="A867" t="inlineStr">
        <is>
          <t>A 12507-2024</t>
        </is>
      </c>
      <c r="B867" s="1" t="n">
        <v>45379</v>
      </c>
      <c r="C867" s="1" t="n">
        <v>46196</v>
      </c>
      <c r="D867" t="inlineStr">
        <is>
          <t>UPPSALA LÄN</t>
        </is>
      </c>
      <c r="E867" t="inlineStr">
        <is>
          <t>UPPSALA</t>
        </is>
      </c>
      <c r="G867" t="n">
        <v>4.6</v>
      </c>
      <c r="H867" t="n">
        <v>0</v>
      </c>
      <c r="I867" t="n">
        <v>0</v>
      </c>
      <c r="J867" t="n">
        <v>0</v>
      </c>
      <c r="K867" t="n">
        <v>0</v>
      </c>
      <c r="L867" t="n">
        <v>0</v>
      </c>
      <c r="M867" t="n">
        <v>0</v>
      </c>
      <c r="N867" t="n">
        <v>0</v>
      </c>
      <c r="O867" t="n">
        <v>0</v>
      </c>
      <c r="P867" t="n">
        <v>0</v>
      </c>
      <c r="Q867" t="n">
        <v>0</v>
      </c>
      <c r="R867" s="2" t="inlineStr"/>
    </row>
    <row r="868" ht="15" customHeight="1">
      <c r="A868" t="inlineStr">
        <is>
          <t>A 4065-2024</t>
        </is>
      </c>
      <c r="B868" s="1" t="n">
        <v>45323</v>
      </c>
      <c r="C868" s="1" t="n">
        <v>46196</v>
      </c>
      <c r="D868" t="inlineStr">
        <is>
          <t>UPPSALA LÄN</t>
        </is>
      </c>
      <c r="E868" t="inlineStr">
        <is>
          <t>UPPSALA</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4059-2022</t>
        </is>
      </c>
      <c r="B869" s="1" t="n">
        <v>44588</v>
      </c>
      <c r="C869" s="1" t="n">
        <v>46196</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46196</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74019-2021</t>
        </is>
      </c>
      <c r="B871" s="1" t="n">
        <v>44553</v>
      </c>
      <c r="C871" s="1" t="n">
        <v>46196</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27119-2023</t>
        </is>
      </c>
      <c r="B872" s="1" t="n">
        <v>45096</v>
      </c>
      <c r="C872" s="1" t="n">
        <v>46196</v>
      </c>
      <c r="D872" t="inlineStr">
        <is>
          <t>UPPSALA LÄN</t>
        </is>
      </c>
      <c r="E872" t="inlineStr">
        <is>
          <t>UPPSALA</t>
        </is>
      </c>
      <c r="G872" t="n">
        <v>3.1</v>
      </c>
      <c r="H872" t="n">
        <v>0</v>
      </c>
      <c r="I872" t="n">
        <v>0</v>
      </c>
      <c r="J872" t="n">
        <v>0</v>
      </c>
      <c r="K872" t="n">
        <v>0</v>
      </c>
      <c r="L872" t="n">
        <v>0</v>
      </c>
      <c r="M872" t="n">
        <v>0</v>
      </c>
      <c r="N872" t="n">
        <v>0</v>
      </c>
      <c r="O872" t="n">
        <v>0</v>
      </c>
      <c r="P872" t="n">
        <v>0</v>
      </c>
      <c r="Q872" t="n">
        <v>0</v>
      </c>
      <c r="R872" s="2" t="inlineStr"/>
    </row>
    <row r="873" ht="15" customHeight="1">
      <c r="A873" t="inlineStr">
        <is>
          <t>A 35906-2023</t>
        </is>
      </c>
      <c r="B873" s="1" t="n">
        <v>45148</v>
      </c>
      <c r="C873" s="1" t="n">
        <v>46196</v>
      </c>
      <c r="D873" t="inlineStr">
        <is>
          <t>UPPSALA LÄN</t>
        </is>
      </c>
      <c r="E873" t="inlineStr">
        <is>
          <t>UPPSALA</t>
        </is>
      </c>
      <c r="G873" t="n">
        <v>1.7</v>
      </c>
      <c r="H873" t="n">
        <v>0</v>
      </c>
      <c r="I873" t="n">
        <v>0</v>
      </c>
      <c r="J873" t="n">
        <v>0</v>
      </c>
      <c r="K873" t="n">
        <v>0</v>
      </c>
      <c r="L873" t="n">
        <v>0</v>
      </c>
      <c r="M873" t="n">
        <v>0</v>
      </c>
      <c r="N873" t="n">
        <v>0</v>
      </c>
      <c r="O873" t="n">
        <v>0</v>
      </c>
      <c r="P873" t="n">
        <v>0</v>
      </c>
      <c r="Q873" t="n">
        <v>0</v>
      </c>
      <c r="R873" s="2" t="inlineStr"/>
    </row>
    <row r="874" ht="15" customHeight="1">
      <c r="A874" t="inlineStr">
        <is>
          <t>A 29019-2023</t>
        </is>
      </c>
      <c r="B874" s="1" t="n">
        <v>45104</v>
      </c>
      <c r="C874" s="1" t="n">
        <v>46196</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28782-2024</t>
        </is>
      </c>
      <c r="B875" s="1" t="n">
        <v>45478</v>
      </c>
      <c r="C875" s="1" t="n">
        <v>46196</v>
      </c>
      <c r="D875" t="inlineStr">
        <is>
          <t>UPPSALA LÄN</t>
        </is>
      </c>
      <c r="E875" t="inlineStr">
        <is>
          <t>UPPSALA</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27125-2023</t>
        </is>
      </c>
      <c r="B876" s="1" t="n">
        <v>45096</v>
      </c>
      <c r="C876" s="1" t="n">
        <v>46196</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9426-2023</t>
        </is>
      </c>
      <c r="B877" s="1" t="n">
        <v>44977</v>
      </c>
      <c r="C877" s="1" t="n">
        <v>46196</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53900-2023</t>
        </is>
      </c>
      <c r="B878" s="1" t="n">
        <v>45231</v>
      </c>
      <c r="C878" s="1" t="n">
        <v>46196</v>
      </c>
      <c r="D878" t="inlineStr">
        <is>
          <t>UPPSALA LÄN</t>
        </is>
      </c>
      <c r="E878" t="inlineStr">
        <is>
          <t>UPPSALA</t>
        </is>
      </c>
      <c r="G878" t="n">
        <v>2.1</v>
      </c>
      <c r="H878" t="n">
        <v>0</v>
      </c>
      <c r="I878" t="n">
        <v>0</v>
      </c>
      <c r="J878" t="n">
        <v>0</v>
      </c>
      <c r="K878" t="n">
        <v>0</v>
      </c>
      <c r="L878" t="n">
        <v>0</v>
      </c>
      <c r="M878" t="n">
        <v>0</v>
      </c>
      <c r="N878" t="n">
        <v>0</v>
      </c>
      <c r="O878" t="n">
        <v>0</v>
      </c>
      <c r="P878" t="n">
        <v>0</v>
      </c>
      <c r="Q878" t="n">
        <v>0</v>
      </c>
      <c r="R878" s="2" t="inlineStr"/>
    </row>
    <row r="879" ht="15" customHeight="1">
      <c r="A879" t="inlineStr">
        <is>
          <t>A 8132-2022</t>
        </is>
      </c>
      <c r="B879" s="1" t="n">
        <v>44609</v>
      </c>
      <c r="C879" s="1" t="n">
        <v>46196</v>
      </c>
      <c r="D879" t="inlineStr">
        <is>
          <t>UPPSALA LÄN</t>
        </is>
      </c>
      <c r="E879" t="inlineStr">
        <is>
          <t>UPPSALA</t>
        </is>
      </c>
      <c r="F879" t="inlineStr">
        <is>
          <t>Kommuner</t>
        </is>
      </c>
      <c r="G879" t="n">
        <v>1.2</v>
      </c>
      <c r="H879" t="n">
        <v>0</v>
      </c>
      <c r="I879" t="n">
        <v>0</v>
      </c>
      <c r="J879" t="n">
        <v>0</v>
      </c>
      <c r="K879" t="n">
        <v>0</v>
      </c>
      <c r="L879" t="n">
        <v>0</v>
      </c>
      <c r="M879" t="n">
        <v>0</v>
      </c>
      <c r="N879" t="n">
        <v>0</v>
      </c>
      <c r="O879" t="n">
        <v>0</v>
      </c>
      <c r="P879" t="n">
        <v>0</v>
      </c>
      <c r="Q879" t="n">
        <v>0</v>
      </c>
      <c r="R879" s="2" t="inlineStr"/>
    </row>
    <row r="880" ht="15" customHeight="1">
      <c r="A880" t="inlineStr">
        <is>
          <t>A 18054-2025</t>
        </is>
      </c>
      <c r="B880" s="1" t="n">
        <v>45761</v>
      </c>
      <c r="C880" s="1" t="n">
        <v>46196</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18058-2025</t>
        </is>
      </c>
      <c r="B881" s="1" t="n">
        <v>45761</v>
      </c>
      <c r="C881" s="1" t="n">
        <v>46196</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6550-2025</t>
        </is>
      </c>
      <c r="B882" s="1" t="n">
        <v>45699</v>
      </c>
      <c r="C882" s="1" t="n">
        <v>46196</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55862-2022</t>
        </is>
      </c>
      <c r="B883" s="1" t="n">
        <v>44888</v>
      </c>
      <c r="C883" s="1" t="n">
        <v>46196</v>
      </c>
      <c r="D883" t="inlineStr">
        <is>
          <t>UPPSALA LÄN</t>
        </is>
      </c>
      <c r="E883" t="inlineStr">
        <is>
          <t>UPPSALA</t>
        </is>
      </c>
      <c r="F883" t="inlineStr">
        <is>
          <t>Bergvik skog öst AB</t>
        </is>
      </c>
      <c r="G883" t="n">
        <v>1.6</v>
      </c>
      <c r="H883" t="n">
        <v>0</v>
      </c>
      <c r="I883" t="n">
        <v>0</v>
      </c>
      <c r="J883" t="n">
        <v>0</v>
      </c>
      <c r="K883" t="n">
        <v>0</v>
      </c>
      <c r="L883" t="n">
        <v>0</v>
      </c>
      <c r="M883" t="n">
        <v>0</v>
      </c>
      <c r="N883" t="n">
        <v>0</v>
      </c>
      <c r="O883" t="n">
        <v>0</v>
      </c>
      <c r="P883" t="n">
        <v>0</v>
      </c>
      <c r="Q883" t="n">
        <v>0</v>
      </c>
      <c r="R883" s="2" t="inlineStr"/>
    </row>
    <row r="884" ht="15" customHeight="1">
      <c r="A884" t="inlineStr">
        <is>
          <t>A 32428-2023</t>
        </is>
      </c>
      <c r="B884" s="1" t="n">
        <v>45110</v>
      </c>
      <c r="C884" s="1" t="n">
        <v>46196</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10383-2022</t>
        </is>
      </c>
      <c r="B885" s="1" t="n">
        <v>44623</v>
      </c>
      <c r="C885" s="1" t="n">
        <v>46196</v>
      </c>
      <c r="D885" t="inlineStr">
        <is>
          <t>UPPSALA LÄN</t>
        </is>
      </c>
      <c r="E885" t="inlineStr">
        <is>
          <t>UPPSALA</t>
        </is>
      </c>
      <c r="F885" t="inlineStr">
        <is>
          <t>Övriga Aktiebolag</t>
        </is>
      </c>
      <c r="G885" t="n">
        <v>2.8</v>
      </c>
      <c r="H885" t="n">
        <v>0</v>
      </c>
      <c r="I885" t="n">
        <v>0</v>
      </c>
      <c r="J885" t="n">
        <v>0</v>
      </c>
      <c r="K885" t="n">
        <v>0</v>
      </c>
      <c r="L885" t="n">
        <v>0</v>
      </c>
      <c r="M885" t="n">
        <v>0</v>
      </c>
      <c r="N885" t="n">
        <v>0</v>
      </c>
      <c r="O885" t="n">
        <v>0</v>
      </c>
      <c r="P885" t="n">
        <v>0</v>
      </c>
      <c r="Q885" t="n">
        <v>0</v>
      </c>
      <c r="R885" s="2" t="inlineStr"/>
    </row>
    <row r="886" ht="15" customHeight="1">
      <c r="A886" t="inlineStr">
        <is>
          <t>A 60691-2024</t>
        </is>
      </c>
      <c r="B886" s="1" t="n">
        <v>45644</v>
      </c>
      <c r="C886" s="1" t="n">
        <v>46196</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23157-2023</t>
        </is>
      </c>
      <c r="B887" s="1" t="n">
        <v>45075</v>
      </c>
      <c r="C887" s="1" t="n">
        <v>46196</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35914-2023</t>
        </is>
      </c>
      <c r="B888" s="1" t="n">
        <v>45148</v>
      </c>
      <c r="C888" s="1" t="n">
        <v>46196</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35916-2023</t>
        </is>
      </c>
      <c r="B889" s="1" t="n">
        <v>45148</v>
      </c>
      <c r="C889" s="1" t="n">
        <v>46196</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43029-2023</t>
        </is>
      </c>
      <c r="B890" s="1" t="n">
        <v>45182</v>
      </c>
      <c r="C890" s="1" t="n">
        <v>46196</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61947-2023</t>
        </is>
      </c>
      <c r="B891" s="1" t="n">
        <v>45266</v>
      </c>
      <c r="C891" s="1" t="n">
        <v>46196</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25462-2023</t>
        </is>
      </c>
      <c r="B892" s="1" t="n">
        <v>45089</v>
      </c>
      <c r="C892" s="1" t="n">
        <v>46196</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14337-2022</t>
        </is>
      </c>
      <c r="B893" s="1" t="n">
        <v>44652</v>
      </c>
      <c r="C893" s="1" t="n">
        <v>46196</v>
      </c>
      <c r="D893" t="inlineStr">
        <is>
          <t>UPPSALA LÄN</t>
        </is>
      </c>
      <c r="E893" t="inlineStr">
        <is>
          <t>UPPSALA</t>
        </is>
      </c>
      <c r="G893" t="n">
        <v>1.5</v>
      </c>
      <c r="H893" t="n">
        <v>0</v>
      </c>
      <c r="I893" t="n">
        <v>0</v>
      </c>
      <c r="J893" t="n">
        <v>0</v>
      </c>
      <c r="K893" t="n">
        <v>0</v>
      </c>
      <c r="L893" t="n">
        <v>0</v>
      </c>
      <c r="M893" t="n">
        <v>0</v>
      </c>
      <c r="N893" t="n">
        <v>0</v>
      </c>
      <c r="O893" t="n">
        <v>0</v>
      </c>
      <c r="P893" t="n">
        <v>0</v>
      </c>
      <c r="Q893" t="n">
        <v>0</v>
      </c>
      <c r="R893" s="2" t="inlineStr"/>
    </row>
    <row r="894" ht="15" customHeight="1">
      <c r="A894" t="inlineStr">
        <is>
          <t>A 33562-2023</t>
        </is>
      </c>
      <c r="B894" s="1" t="n">
        <v>45131</v>
      </c>
      <c r="C894" s="1" t="n">
        <v>46196</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5725-2025</t>
        </is>
      </c>
      <c r="B895" s="1" t="n">
        <v>45694</v>
      </c>
      <c r="C895" s="1" t="n">
        <v>46196</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10565-2022</t>
        </is>
      </c>
      <c r="B896" s="1" t="n">
        <v>44624</v>
      </c>
      <c r="C896" s="1" t="n">
        <v>46196</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4240-2025</t>
        </is>
      </c>
      <c r="B897" s="1" t="n">
        <v>45685</v>
      </c>
      <c r="C897" s="1" t="n">
        <v>46196</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46196</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20301-2024</t>
        </is>
      </c>
      <c r="B899" s="1" t="n">
        <v>45435</v>
      </c>
      <c r="C899" s="1" t="n">
        <v>46196</v>
      </c>
      <c r="D899" t="inlineStr">
        <is>
          <t>UPPSALA LÄN</t>
        </is>
      </c>
      <c r="E899" t="inlineStr">
        <is>
          <t>UPPSALA</t>
        </is>
      </c>
      <c r="F899" t="inlineStr">
        <is>
          <t>Kyrkan</t>
        </is>
      </c>
      <c r="G899" t="n">
        <v>2.8</v>
      </c>
      <c r="H899" t="n">
        <v>0</v>
      </c>
      <c r="I899" t="n">
        <v>0</v>
      </c>
      <c r="J899" t="n">
        <v>0</v>
      </c>
      <c r="K899" t="n">
        <v>0</v>
      </c>
      <c r="L899" t="n">
        <v>0</v>
      </c>
      <c r="M899" t="n">
        <v>0</v>
      </c>
      <c r="N899" t="n">
        <v>0</v>
      </c>
      <c r="O899" t="n">
        <v>0</v>
      </c>
      <c r="P899" t="n">
        <v>0</v>
      </c>
      <c r="Q899" t="n">
        <v>0</v>
      </c>
      <c r="R899" s="2" t="inlineStr"/>
    </row>
    <row r="900" ht="15" customHeight="1">
      <c r="A900" t="inlineStr">
        <is>
          <t>A 3260-2024</t>
        </is>
      </c>
      <c r="B900" s="1" t="n">
        <v>45317</v>
      </c>
      <c r="C900" s="1" t="n">
        <v>46196</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42273-2023</t>
        </is>
      </c>
      <c r="B901" s="1" t="n">
        <v>45180</v>
      </c>
      <c r="C901" s="1" t="n">
        <v>46196</v>
      </c>
      <c r="D901" t="inlineStr">
        <is>
          <t>UPPSALA LÄN</t>
        </is>
      </c>
      <c r="E901" t="inlineStr">
        <is>
          <t>UPPSALA</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53615-2024</t>
        </is>
      </c>
      <c r="B902" s="1" t="n">
        <v>45611</v>
      </c>
      <c r="C902" s="1" t="n">
        <v>46196</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19380-2023</t>
        </is>
      </c>
      <c r="B903" s="1" t="n">
        <v>45049</v>
      </c>
      <c r="C903" s="1" t="n">
        <v>46196</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59521-2023</t>
        </is>
      </c>
      <c r="B904" s="1" t="n">
        <v>45254</v>
      </c>
      <c r="C904" s="1" t="n">
        <v>46196</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7226-2024</t>
        </is>
      </c>
      <c r="B905" s="1" t="n">
        <v>45344</v>
      </c>
      <c r="C905" s="1" t="n">
        <v>46196</v>
      </c>
      <c r="D905" t="inlineStr">
        <is>
          <t>UPPSALA LÄN</t>
        </is>
      </c>
      <c r="E905" t="inlineStr">
        <is>
          <t>UPPSALA</t>
        </is>
      </c>
      <c r="F905" t="inlineStr">
        <is>
          <t>Kyrkan</t>
        </is>
      </c>
      <c r="G905" t="n">
        <v>1.2</v>
      </c>
      <c r="H905" t="n">
        <v>0</v>
      </c>
      <c r="I905" t="n">
        <v>0</v>
      </c>
      <c r="J905" t="n">
        <v>0</v>
      </c>
      <c r="K905" t="n">
        <v>0</v>
      </c>
      <c r="L905" t="n">
        <v>0</v>
      </c>
      <c r="M905" t="n">
        <v>0</v>
      </c>
      <c r="N905" t="n">
        <v>0</v>
      </c>
      <c r="O905" t="n">
        <v>0</v>
      </c>
      <c r="P905" t="n">
        <v>0</v>
      </c>
      <c r="Q905" t="n">
        <v>0</v>
      </c>
      <c r="R905" s="2" t="inlineStr"/>
    </row>
    <row r="906" ht="15" customHeight="1">
      <c r="A906" t="inlineStr">
        <is>
          <t>A 18410-2025</t>
        </is>
      </c>
      <c r="B906" s="1" t="n">
        <v>45762</v>
      </c>
      <c r="C906" s="1" t="n">
        <v>46196</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8404-2022</t>
        </is>
      </c>
      <c r="B907" s="1" t="n">
        <v>44610</v>
      </c>
      <c r="C907" s="1" t="n">
        <v>46196</v>
      </c>
      <c r="D907" t="inlineStr">
        <is>
          <t>UPPSALA LÄN</t>
        </is>
      </c>
      <c r="E907" t="inlineStr">
        <is>
          <t>UPPSALA</t>
        </is>
      </c>
      <c r="F907" t="inlineStr">
        <is>
          <t>Allmännings- och besparingsskogar</t>
        </is>
      </c>
      <c r="G907" t="n">
        <v>5.4</v>
      </c>
      <c r="H907" t="n">
        <v>0</v>
      </c>
      <c r="I907" t="n">
        <v>0</v>
      </c>
      <c r="J907" t="n">
        <v>0</v>
      </c>
      <c r="K907" t="n">
        <v>0</v>
      </c>
      <c r="L907" t="n">
        <v>0</v>
      </c>
      <c r="M907" t="n">
        <v>0</v>
      </c>
      <c r="N907" t="n">
        <v>0</v>
      </c>
      <c r="O907" t="n">
        <v>0</v>
      </c>
      <c r="P907" t="n">
        <v>0</v>
      </c>
      <c r="Q907" t="n">
        <v>0</v>
      </c>
      <c r="R907" s="2" t="inlineStr"/>
    </row>
    <row r="908" ht="15" customHeight="1">
      <c r="A908" t="inlineStr">
        <is>
          <t>A 23291-2024</t>
        </is>
      </c>
      <c r="B908" s="1" t="n">
        <v>45453</v>
      </c>
      <c r="C908" s="1" t="n">
        <v>46196</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59562-2024</t>
        </is>
      </c>
      <c r="B909" s="1" t="n">
        <v>45638</v>
      </c>
      <c r="C909" s="1" t="n">
        <v>46196</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33667-2024</t>
        </is>
      </c>
      <c r="B910" s="1" t="n">
        <v>45520</v>
      </c>
      <c r="C910" s="1" t="n">
        <v>46196</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29815-2023</t>
        </is>
      </c>
      <c r="B911" s="1" t="n">
        <v>45107</v>
      </c>
      <c r="C911" s="1" t="n">
        <v>46196</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21033-2025</t>
        </is>
      </c>
      <c r="B912" s="1" t="n">
        <v>45777</v>
      </c>
      <c r="C912" s="1" t="n">
        <v>46196</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44847-2024</t>
        </is>
      </c>
      <c r="B913" s="1" t="n">
        <v>45574</v>
      </c>
      <c r="C913" s="1" t="n">
        <v>46196</v>
      </c>
      <c r="D913" t="inlineStr">
        <is>
          <t>UPPSALA LÄN</t>
        </is>
      </c>
      <c r="E913" t="inlineStr">
        <is>
          <t>UPPSALA</t>
        </is>
      </c>
      <c r="G913" t="n">
        <v>6.3</v>
      </c>
      <c r="H913" t="n">
        <v>0</v>
      </c>
      <c r="I913" t="n">
        <v>0</v>
      </c>
      <c r="J913" t="n">
        <v>0</v>
      </c>
      <c r="K913" t="n">
        <v>0</v>
      </c>
      <c r="L913" t="n">
        <v>0</v>
      </c>
      <c r="M913" t="n">
        <v>0</v>
      </c>
      <c r="N913" t="n">
        <v>0</v>
      </c>
      <c r="O913" t="n">
        <v>0</v>
      </c>
      <c r="P913" t="n">
        <v>0</v>
      </c>
      <c r="Q913" t="n">
        <v>0</v>
      </c>
      <c r="R913" s="2" t="inlineStr"/>
    </row>
    <row r="914">
      <c r="A914" t="inlineStr">
        <is>
          <t>A 21279-2025</t>
        </is>
      </c>
      <c r="B914" s="1" t="n">
        <v>45779</v>
      </c>
      <c r="C914" s="1" t="n">
        <v>46196</v>
      </c>
      <c r="D914" t="inlineStr">
        <is>
          <t>UPPSALA LÄN</t>
        </is>
      </c>
      <c r="E914" t="inlineStr">
        <is>
          <t>UPPSALA</t>
        </is>
      </c>
      <c r="F914" t="inlineStr">
        <is>
          <t>Övriga Aktiebolag</t>
        </is>
      </c>
      <c r="G914" t="n">
        <v>0.8</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2026-06-23T04:31:04Z</dcterms:created>
  <dcterms:modified xmlns:dcterms="http://purl.org/dc/terms/" xmlns:xsi="http://www.w3.org/2001/XMLSchema-instance" xsi:type="dcterms:W3CDTF">2026-06-23T04:31:04Z</dcterms:modified>
</cp:coreProperties>
</file>