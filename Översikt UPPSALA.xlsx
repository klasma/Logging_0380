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45970</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45970</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45970</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45970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45970</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45970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45970</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45970</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45970</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45970</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45970</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45970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45970</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45970</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45970</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25143-2023</t>
        </is>
      </c>
      <c r="B21" s="1" t="n">
        <v>45086</v>
      </c>
      <c r="C21" s="1" t="n">
        <v>45970</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45970</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45936.71939814815</v>
      </c>
      <c r="C23" s="1" t="n">
        <v>45970</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45970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45970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28450-2021</t>
        </is>
      </c>
      <c r="B26" s="1" t="n">
        <v>44356</v>
      </c>
      <c r="C26" s="1" t="n">
        <v>45970</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45970</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45970</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45970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45970</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45970</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45970</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45970</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45970</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27389-2021</t>
        </is>
      </c>
      <c r="B35" s="1" t="n">
        <v>44351</v>
      </c>
      <c r="C35" s="1" t="n">
        <v>45970</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45970</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45970</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45970</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45970</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45970</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3100-2024</t>
        </is>
      </c>
      <c r="B41" s="1" t="n">
        <v>45316</v>
      </c>
      <c r="C41" s="1" t="n">
        <v>45970</v>
      </c>
      <c r="D41" t="inlineStr">
        <is>
          <t>UPPSALA LÄN</t>
        </is>
      </c>
      <c r="E41" t="inlineStr">
        <is>
          <t>UPPSALA</t>
        </is>
      </c>
      <c r="F41" t="inlineStr">
        <is>
          <t>Holmen skog AB</t>
        </is>
      </c>
      <c r="G41" t="n">
        <v>3.5</v>
      </c>
      <c r="H41" t="n">
        <v>5</v>
      </c>
      <c r="I41" t="n">
        <v>1</v>
      </c>
      <c r="J41" t="n">
        <v>0</v>
      </c>
      <c r="K41" t="n">
        <v>0</v>
      </c>
      <c r="L41" t="n">
        <v>0</v>
      </c>
      <c r="M41" t="n">
        <v>0</v>
      </c>
      <c r="N41" t="n">
        <v>0</v>
      </c>
      <c r="O41" t="n">
        <v>0</v>
      </c>
      <c r="P41" t="n">
        <v>0</v>
      </c>
      <c r="Q41" t="n">
        <v>5</v>
      </c>
      <c r="R41" s="2" t="inlineStr">
        <is>
          <t>Nästrot
Grönsiska
Järnsparv
Kungsfågel
Blåsippa</t>
        </is>
      </c>
      <c r="S41">
        <f>HYPERLINK("https://klasma.github.io/Logging_0380/artfynd/A 3100-2024 artfynd.xlsx", "A 3100-2024")</f>
        <v/>
      </c>
      <c r="T41">
        <f>HYPERLINK("https://klasma.github.io/Logging_0380/kartor/A 3100-2024 karta.png", "A 3100-2024")</f>
        <v/>
      </c>
      <c r="V41">
        <f>HYPERLINK("https://klasma.github.io/Logging_0380/klagomål/A 3100-2024 FSC-klagomål.docx", "A 3100-2024")</f>
        <v/>
      </c>
      <c r="W41">
        <f>HYPERLINK("https://klasma.github.io/Logging_0380/klagomålsmail/A 3100-2024 FSC-klagomål mail.docx", "A 3100-2024")</f>
        <v/>
      </c>
      <c r="X41">
        <f>HYPERLINK("https://klasma.github.io/Logging_0380/tillsyn/A 3100-2024 tillsynsbegäran.docx", "A 3100-2024")</f>
        <v/>
      </c>
      <c r="Y41">
        <f>HYPERLINK("https://klasma.github.io/Logging_0380/tillsynsmail/A 3100-2024 tillsynsbegäran mail.docx", "A 3100-2024")</f>
        <v/>
      </c>
      <c r="Z41">
        <f>HYPERLINK("https://klasma.github.io/Logging_0380/fåglar/A 3100-2024 prioriterade fågelarter.docx", "A 3100-2024")</f>
        <v/>
      </c>
    </row>
    <row r="42" ht="15" customHeight="1">
      <c r="A42" t="inlineStr">
        <is>
          <t>A 21809-2024</t>
        </is>
      </c>
      <c r="B42" s="1" t="n">
        <v>45442</v>
      </c>
      <c r="C42" s="1" t="n">
        <v>45970</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44601-2025</t>
        </is>
      </c>
      <c r="B43" s="1" t="n">
        <v>45917.43857638889</v>
      </c>
      <c r="C43" s="1" t="n">
        <v>45970</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23153-2022</t>
        </is>
      </c>
      <c r="B44" s="1" t="n">
        <v>44719</v>
      </c>
      <c r="C44" s="1" t="n">
        <v>45970</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45970</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26758-2022</t>
        </is>
      </c>
      <c r="B46" s="1" t="n">
        <v>44740</v>
      </c>
      <c r="C46" s="1" t="n">
        <v>45970</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45970</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45970</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45970</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45970</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45970</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15297-2022</t>
        </is>
      </c>
      <c r="B52" s="1" t="n">
        <v>44659</v>
      </c>
      <c r="C52" s="1" t="n">
        <v>45970</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34147-2022</t>
        </is>
      </c>
      <c r="B53" s="1" t="n">
        <v>44791</v>
      </c>
      <c r="C53" s="1" t="n">
        <v>45970</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36471-2022</t>
        </is>
      </c>
      <c r="B54" s="1" t="n">
        <v>44804</v>
      </c>
      <c r="C54" s="1" t="n">
        <v>45970</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17277-2023</t>
        </is>
      </c>
      <c r="B55" s="1" t="n">
        <v>45035.44672453704</v>
      </c>
      <c r="C55" s="1" t="n">
        <v>45970</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25943-2023</t>
        </is>
      </c>
      <c r="B56" s="1" t="n">
        <v>45090</v>
      </c>
      <c r="C56" s="1" t="n">
        <v>45970</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25608-2025</t>
        </is>
      </c>
      <c r="B57" s="1" t="n">
        <v>45803.55535879629</v>
      </c>
      <c r="C57" s="1" t="n">
        <v>45970</v>
      </c>
      <c r="D57" t="inlineStr">
        <is>
          <t>UPPSALA LÄN</t>
        </is>
      </c>
      <c r="E57" t="inlineStr">
        <is>
          <t>UPPSALA</t>
        </is>
      </c>
      <c r="F57" t="inlineStr">
        <is>
          <t>Holmen skog AB</t>
        </is>
      </c>
      <c r="G57" t="n">
        <v>3</v>
      </c>
      <c r="H57" t="n">
        <v>2</v>
      </c>
      <c r="I57" t="n">
        <v>1</v>
      </c>
      <c r="J57" t="n">
        <v>1</v>
      </c>
      <c r="K57" t="n">
        <v>1</v>
      </c>
      <c r="L57" t="n">
        <v>0</v>
      </c>
      <c r="M57" t="n">
        <v>0</v>
      </c>
      <c r="N57" t="n">
        <v>0</v>
      </c>
      <c r="O57" t="n">
        <v>2</v>
      </c>
      <c r="P57" t="n">
        <v>1</v>
      </c>
      <c r="Q57" t="n">
        <v>3</v>
      </c>
      <c r="R57" s="2" t="inlineStr">
        <is>
          <t>Knärot
Spillkråka
Stuplav</t>
        </is>
      </c>
      <c r="S57">
        <f>HYPERLINK("https://klasma.github.io/Logging_0380/artfynd/A 25608-2025 artfynd.xlsx", "A 25608-2025")</f>
        <v/>
      </c>
      <c r="T57">
        <f>HYPERLINK("https://klasma.github.io/Logging_0380/kartor/A 25608-2025 karta.png", "A 25608-2025")</f>
        <v/>
      </c>
      <c r="U57">
        <f>HYPERLINK("https://klasma.github.io/Logging_0380/knärot/A 25608-2025 karta knärot.png", "A 25608-2025")</f>
        <v/>
      </c>
      <c r="V57">
        <f>HYPERLINK("https://klasma.github.io/Logging_0380/klagomål/A 25608-2025 FSC-klagomål.docx", "A 25608-2025")</f>
        <v/>
      </c>
      <c r="W57">
        <f>HYPERLINK("https://klasma.github.io/Logging_0380/klagomålsmail/A 25608-2025 FSC-klagomål mail.docx", "A 25608-2025")</f>
        <v/>
      </c>
      <c r="X57">
        <f>HYPERLINK("https://klasma.github.io/Logging_0380/tillsyn/A 25608-2025 tillsynsbegäran.docx", "A 25608-2025")</f>
        <v/>
      </c>
      <c r="Y57">
        <f>HYPERLINK("https://klasma.github.io/Logging_0380/tillsynsmail/A 25608-2025 tillsynsbegäran mail.docx", "A 25608-2025")</f>
        <v/>
      </c>
      <c r="Z57">
        <f>HYPERLINK("https://klasma.github.io/Logging_0380/fåglar/A 25608-2025 prioriterade fågelarter.docx", "A 25608-2025")</f>
        <v/>
      </c>
    </row>
    <row r="58" ht="15" customHeight="1">
      <c r="A58" t="inlineStr">
        <is>
          <t>A 43280-2025</t>
        </is>
      </c>
      <c r="B58" s="1" t="n">
        <v>45910.59475694445</v>
      </c>
      <c r="C58" s="1" t="n">
        <v>45970</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45970</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18079-2022</t>
        </is>
      </c>
      <c r="B60" s="1" t="n">
        <v>44684</v>
      </c>
      <c r="C60" s="1" t="n">
        <v>45970</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30716-2025</t>
        </is>
      </c>
      <c r="B61" s="1" t="n">
        <v>45831.55982638889</v>
      </c>
      <c r="C61" s="1" t="n">
        <v>45970</v>
      </c>
      <c r="D61" t="inlineStr">
        <is>
          <t>UPPSALA LÄN</t>
        </is>
      </c>
      <c r="E61" t="inlineStr">
        <is>
          <t>UPPSALA</t>
        </is>
      </c>
      <c r="G61" t="n">
        <v>2.3</v>
      </c>
      <c r="H61" t="n">
        <v>2</v>
      </c>
      <c r="I61" t="n">
        <v>1</v>
      </c>
      <c r="J61" t="n">
        <v>1</v>
      </c>
      <c r="K61" t="n">
        <v>1</v>
      </c>
      <c r="L61" t="n">
        <v>0</v>
      </c>
      <c r="M61" t="n">
        <v>0</v>
      </c>
      <c r="N61" t="n">
        <v>0</v>
      </c>
      <c r="O61" t="n">
        <v>2</v>
      </c>
      <c r="P61" t="n">
        <v>1</v>
      </c>
      <c r="Q61" t="n">
        <v>3</v>
      </c>
      <c r="R61" s="2" t="inlineStr">
        <is>
          <t>Knärot
Talltita
Skinnlav</t>
        </is>
      </c>
      <c r="S61">
        <f>HYPERLINK("https://klasma.github.io/Logging_0380/artfynd/A 30716-2025 artfynd.xlsx", "A 30716-2025")</f>
        <v/>
      </c>
      <c r="T61">
        <f>HYPERLINK("https://klasma.github.io/Logging_0380/kartor/A 30716-2025 karta.png", "A 30716-2025")</f>
        <v/>
      </c>
      <c r="U61">
        <f>HYPERLINK("https://klasma.github.io/Logging_0380/knärot/A 30716-2025 karta knärot.png", "A 30716-2025")</f>
        <v/>
      </c>
      <c r="V61">
        <f>HYPERLINK("https://klasma.github.io/Logging_0380/klagomål/A 30716-2025 FSC-klagomål.docx", "A 30716-2025")</f>
        <v/>
      </c>
      <c r="W61">
        <f>HYPERLINK("https://klasma.github.io/Logging_0380/klagomålsmail/A 30716-2025 FSC-klagomål mail.docx", "A 30716-2025")</f>
        <v/>
      </c>
      <c r="X61">
        <f>HYPERLINK("https://klasma.github.io/Logging_0380/tillsyn/A 30716-2025 tillsynsbegäran.docx", "A 30716-2025")</f>
        <v/>
      </c>
      <c r="Y61">
        <f>HYPERLINK("https://klasma.github.io/Logging_0380/tillsynsmail/A 30716-2025 tillsynsbegäran mail.docx", "A 30716-2025")</f>
        <v/>
      </c>
      <c r="Z61">
        <f>HYPERLINK("https://klasma.github.io/Logging_0380/fåglar/A 30716-2025 prioriterade fågelarter.docx", "A 30716-2025")</f>
        <v/>
      </c>
    </row>
    <row r="62" ht="15" customHeight="1">
      <c r="A62" t="inlineStr">
        <is>
          <t>A 45627-2025</t>
        </is>
      </c>
      <c r="B62" s="1" t="n">
        <v>45922.80255787037</v>
      </c>
      <c r="C62" s="1" t="n">
        <v>45970</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60038-2021</t>
        </is>
      </c>
      <c r="B63" s="1" t="n">
        <v>44495</v>
      </c>
      <c r="C63" s="1" t="n">
        <v>45970</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51749-2023</t>
        </is>
      </c>
      <c r="B64" s="1" t="n">
        <v>45222</v>
      </c>
      <c r="C64" s="1" t="n">
        <v>45970</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39933-2023</t>
        </is>
      </c>
      <c r="B65" s="1" t="n">
        <v>45168.50667824074</v>
      </c>
      <c r="C65" s="1" t="n">
        <v>45970</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6998-2023</t>
        </is>
      </c>
      <c r="B66" s="1" t="n">
        <v>44967</v>
      </c>
      <c r="C66" s="1" t="n">
        <v>45970</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5755-2025</t>
        </is>
      </c>
      <c r="B67" s="1" t="n">
        <v>45694.55559027778</v>
      </c>
      <c r="C67" s="1" t="n">
        <v>45970</v>
      </c>
      <c r="D67" t="inlineStr">
        <is>
          <t>UPPSALA LÄN</t>
        </is>
      </c>
      <c r="E67" t="inlineStr">
        <is>
          <t>UPPSALA</t>
        </is>
      </c>
      <c r="G67" t="n">
        <v>1.3</v>
      </c>
      <c r="H67" t="n">
        <v>0</v>
      </c>
      <c r="I67" t="n">
        <v>2</v>
      </c>
      <c r="J67" t="n">
        <v>0</v>
      </c>
      <c r="K67" t="n">
        <v>0</v>
      </c>
      <c r="L67" t="n">
        <v>0</v>
      </c>
      <c r="M67" t="n">
        <v>0</v>
      </c>
      <c r="N67" t="n">
        <v>0</v>
      </c>
      <c r="O67" t="n">
        <v>0</v>
      </c>
      <c r="P67" t="n">
        <v>0</v>
      </c>
      <c r="Q67" t="n">
        <v>2</v>
      </c>
      <c r="R67" s="2" t="inlineStr">
        <is>
          <t>Fällmossa
Hasselticka</t>
        </is>
      </c>
      <c r="S67">
        <f>HYPERLINK("https://klasma.github.io/Logging_0380/artfynd/A 5755-2025 artfynd.xlsx", "A 5755-2025")</f>
        <v/>
      </c>
      <c r="T67">
        <f>HYPERLINK("https://klasma.github.io/Logging_0380/kartor/A 5755-2025 karta.png", "A 5755-2025")</f>
        <v/>
      </c>
      <c r="V67">
        <f>HYPERLINK("https://klasma.github.io/Logging_0380/klagomål/A 5755-2025 FSC-klagomål.docx", "A 5755-2025")</f>
        <v/>
      </c>
      <c r="W67">
        <f>HYPERLINK("https://klasma.github.io/Logging_0380/klagomålsmail/A 5755-2025 FSC-klagomål mail.docx", "A 5755-2025")</f>
        <v/>
      </c>
      <c r="X67">
        <f>HYPERLINK("https://klasma.github.io/Logging_0380/tillsyn/A 5755-2025 tillsynsbegäran.docx", "A 5755-2025")</f>
        <v/>
      </c>
      <c r="Y67">
        <f>HYPERLINK("https://klasma.github.io/Logging_0380/tillsynsmail/A 5755-2025 tillsynsbegäran mail.docx", "A 5755-2025")</f>
        <v/>
      </c>
    </row>
    <row r="68" ht="15" customHeight="1">
      <c r="A68" t="inlineStr">
        <is>
          <t>A 18425-2025</t>
        </is>
      </c>
      <c r="B68" s="1" t="n">
        <v>45762.62260416667</v>
      </c>
      <c r="C68" s="1" t="n">
        <v>45970</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41921-2025</t>
        </is>
      </c>
      <c r="B69" s="1" t="n">
        <v>45903</v>
      </c>
      <c r="C69" s="1" t="n">
        <v>45970</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25660-2025</t>
        </is>
      </c>
      <c r="B70" s="1" t="n">
        <v>45803.61554398148</v>
      </c>
      <c r="C70" s="1" t="n">
        <v>45970</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9401-2025</t>
        </is>
      </c>
      <c r="B71" s="1" t="n">
        <v>45715.38105324074</v>
      </c>
      <c r="C71" s="1" t="n">
        <v>45970</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52503-2025</t>
        </is>
      </c>
      <c r="B72" s="1" t="n">
        <v>45954.49768518518</v>
      </c>
      <c r="C72" s="1" t="n">
        <v>45970</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58906-2021</t>
        </is>
      </c>
      <c r="B73" s="1" t="n">
        <v>44489</v>
      </c>
      <c r="C73" s="1" t="n">
        <v>45970</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45970</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45970</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88-2024</t>
        </is>
      </c>
      <c r="B76" s="1" t="n">
        <v>45293</v>
      </c>
      <c r="C76" s="1" t="n">
        <v>45970</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8865-2022</t>
        </is>
      </c>
      <c r="B77" s="1" t="n">
        <v>44614</v>
      </c>
      <c r="C77" s="1" t="n">
        <v>45970</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45970</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45970</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5009-2023</t>
        </is>
      </c>
      <c r="B80" s="1" t="n">
        <v>44958</v>
      </c>
      <c r="C80" s="1" t="n">
        <v>45970</v>
      </c>
      <c r="D80" t="inlineStr">
        <is>
          <t>UPPSALA LÄN</t>
        </is>
      </c>
      <c r="E80" t="inlineStr">
        <is>
          <t>UPPSALA</t>
        </is>
      </c>
      <c r="G80" t="n">
        <v>4.7</v>
      </c>
      <c r="H80" t="n">
        <v>1</v>
      </c>
      <c r="I80" t="n">
        <v>0</v>
      </c>
      <c r="J80" t="n">
        <v>0</v>
      </c>
      <c r="K80" t="n">
        <v>0</v>
      </c>
      <c r="L80" t="n">
        <v>0</v>
      </c>
      <c r="M80" t="n">
        <v>0</v>
      </c>
      <c r="N80" t="n">
        <v>0</v>
      </c>
      <c r="O80" t="n">
        <v>0</v>
      </c>
      <c r="P80" t="n">
        <v>0</v>
      </c>
      <c r="Q80" t="n">
        <v>1</v>
      </c>
      <c r="R80" s="2" t="inlineStr">
        <is>
          <t>Blåsippa</t>
        </is>
      </c>
      <c r="S80">
        <f>HYPERLINK("https://klasma.github.io/Logging_0380/artfynd/A 5009-2023 artfynd.xlsx", "A 5009-2023")</f>
        <v/>
      </c>
      <c r="T80">
        <f>HYPERLINK("https://klasma.github.io/Logging_0380/kartor/A 5009-2023 karta.png", "A 5009-2023")</f>
        <v/>
      </c>
      <c r="V80">
        <f>HYPERLINK("https://klasma.github.io/Logging_0380/klagomål/A 5009-2023 FSC-klagomål.docx", "A 5009-2023")</f>
        <v/>
      </c>
      <c r="W80">
        <f>HYPERLINK("https://klasma.github.io/Logging_0380/klagomålsmail/A 5009-2023 FSC-klagomål mail.docx", "A 5009-2023")</f>
        <v/>
      </c>
      <c r="X80">
        <f>HYPERLINK("https://klasma.github.io/Logging_0380/tillsyn/A 5009-2023 tillsynsbegäran.docx", "A 5009-2023")</f>
        <v/>
      </c>
      <c r="Y80">
        <f>HYPERLINK("https://klasma.github.io/Logging_0380/tillsynsmail/A 5009-2023 tillsynsbegäran mail.docx", "A 5009-2023")</f>
        <v/>
      </c>
    </row>
    <row r="81" ht="15" customHeight="1">
      <c r="A81" t="inlineStr">
        <is>
          <t>A 5750-2023</t>
        </is>
      </c>
      <c r="B81" s="1" t="n">
        <v>44963</v>
      </c>
      <c r="C81" s="1" t="n">
        <v>45970</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21657-2024</t>
        </is>
      </c>
      <c r="B82" s="1" t="n">
        <v>45442</v>
      </c>
      <c r="C82" s="1" t="n">
        <v>45970</v>
      </c>
      <c r="D82" t="inlineStr">
        <is>
          <t>UPPSALA LÄN</t>
        </is>
      </c>
      <c r="E82" t="inlineStr">
        <is>
          <t>UPPSALA</t>
        </is>
      </c>
      <c r="G82" t="n">
        <v>5.7</v>
      </c>
      <c r="H82" t="n">
        <v>1</v>
      </c>
      <c r="I82" t="n">
        <v>0</v>
      </c>
      <c r="J82" t="n">
        <v>0</v>
      </c>
      <c r="K82" t="n">
        <v>0</v>
      </c>
      <c r="L82" t="n">
        <v>0</v>
      </c>
      <c r="M82" t="n">
        <v>0</v>
      </c>
      <c r="N82" t="n">
        <v>0</v>
      </c>
      <c r="O82" t="n">
        <v>0</v>
      </c>
      <c r="P82" t="n">
        <v>0</v>
      </c>
      <c r="Q82" t="n">
        <v>1</v>
      </c>
      <c r="R82" s="2" t="inlineStr">
        <is>
          <t>Kungsfågel</t>
        </is>
      </c>
      <c r="S82">
        <f>HYPERLINK("https://klasma.github.io/Logging_0380/artfynd/A 21657-2024 artfynd.xlsx", "A 21657-2024")</f>
        <v/>
      </c>
      <c r="T82">
        <f>HYPERLINK("https://klasma.github.io/Logging_0380/kartor/A 21657-2024 karta.png", "A 21657-2024")</f>
        <v/>
      </c>
      <c r="V82">
        <f>HYPERLINK("https://klasma.github.io/Logging_0380/klagomål/A 21657-2024 FSC-klagomål.docx", "A 21657-2024")</f>
        <v/>
      </c>
      <c r="W82">
        <f>HYPERLINK("https://klasma.github.io/Logging_0380/klagomålsmail/A 21657-2024 FSC-klagomål mail.docx", "A 21657-2024")</f>
        <v/>
      </c>
      <c r="X82">
        <f>HYPERLINK("https://klasma.github.io/Logging_0380/tillsyn/A 21657-2024 tillsynsbegäran.docx", "A 21657-2024")</f>
        <v/>
      </c>
      <c r="Y82">
        <f>HYPERLINK("https://klasma.github.io/Logging_0380/tillsynsmail/A 21657-2024 tillsynsbegäran mail.docx", "A 21657-2024")</f>
        <v/>
      </c>
      <c r="Z82">
        <f>HYPERLINK("https://klasma.github.io/Logging_0380/fåglar/A 21657-2024 prioriterade fågelarter.docx", "A 21657-2024")</f>
        <v/>
      </c>
    </row>
    <row r="83" ht="15" customHeight="1">
      <c r="A83" t="inlineStr">
        <is>
          <t>A 25729-2024</t>
        </is>
      </c>
      <c r="B83" s="1" t="n">
        <v>45464</v>
      </c>
      <c r="C83" s="1" t="n">
        <v>45970</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45970</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45970</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45970</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52849-2021</t>
        </is>
      </c>
      <c r="B87" s="1" t="n">
        <v>44467</v>
      </c>
      <c r="C87" s="1" t="n">
        <v>45970</v>
      </c>
      <c r="D87" t="inlineStr">
        <is>
          <t>UPPSALA LÄN</t>
        </is>
      </c>
      <c r="E87" t="inlineStr">
        <is>
          <t>UPPSALA</t>
        </is>
      </c>
      <c r="F87" t="inlineStr">
        <is>
          <t>Övriga Aktiebolag</t>
        </is>
      </c>
      <c r="G87" t="n">
        <v>3.3</v>
      </c>
      <c r="H87" t="n">
        <v>0</v>
      </c>
      <c r="I87" t="n">
        <v>0</v>
      </c>
      <c r="J87" t="n">
        <v>1</v>
      </c>
      <c r="K87" t="n">
        <v>0</v>
      </c>
      <c r="L87" t="n">
        <v>0</v>
      </c>
      <c r="M87" t="n">
        <v>0</v>
      </c>
      <c r="N87" t="n">
        <v>0</v>
      </c>
      <c r="O87" t="n">
        <v>1</v>
      </c>
      <c r="P87" t="n">
        <v>0</v>
      </c>
      <c r="Q87" t="n">
        <v>1</v>
      </c>
      <c r="R87" s="2" t="inlineStr">
        <is>
          <t>Skogshare</t>
        </is>
      </c>
      <c r="S87">
        <f>HYPERLINK("https://klasma.github.io/Logging_0380/artfynd/A 52849-2021 artfynd.xlsx", "A 52849-2021")</f>
        <v/>
      </c>
      <c r="T87">
        <f>HYPERLINK("https://klasma.github.io/Logging_0380/kartor/A 52849-2021 karta.png", "A 52849-2021")</f>
        <v/>
      </c>
      <c r="V87">
        <f>HYPERLINK("https://klasma.github.io/Logging_0380/klagomål/A 52849-2021 FSC-klagomål.docx", "A 52849-2021")</f>
        <v/>
      </c>
      <c r="W87">
        <f>HYPERLINK("https://klasma.github.io/Logging_0380/klagomålsmail/A 52849-2021 FSC-klagomål mail.docx", "A 52849-2021")</f>
        <v/>
      </c>
      <c r="X87">
        <f>HYPERLINK("https://klasma.github.io/Logging_0380/tillsyn/A 52849-2021 tillsynsbegäran.docx", "A 52849-2021")</f>
        <v/>
      </c>
      <c r="Y87">
        <f>HYPERLINK("https://klasma.github.io/Logging_0380/tillsynsmail/A 52849-2021 tillsynsbegäran mail.docx", "A 52849-2021")</f>
        <v/>
      </c>
    </row>
    <row r="88" ht="15" customHeight="1">
      <c r="A88" t="inlineStr">
        <is>
          <t>A 17484-2025</t>
        </is>
      </c>
      <c r="B88" s="1" t="n">
        <v>45757.49934027778</v>
      </c>
      <c r="C88" s="1" t="n">
        <v>45970</v>
      </c>
      <c r="D88" t="inlineStr">
        <is>
          <t>UPPSALA LÄN</t>
        </is>
      </c>
      <c r="E88" t="inlineStr">
        <is>
          <t>UPPSALA</t>
        </is>
      </c>
      <c r="G88" t="n">
        <v>13.1</v>
      </c>
      <c r="H88" t="n">
        <v>1</v>
      </c>
      <c r="I88" t="n">
        <v>0</v>
      </c>
      <c r="J88" t="n">
        <v>0</v>
      </c>
      <c r="K88" t="n">
        <v>0</v>
      </c>
      <c r="L88" t="n">
        <v>0</v>
      </c>
      <c r="M88" t="n">
        <v>0</v>
      </c>
      <c r="N88" t="n">
        <v>0</v>
      </c>
      <c r="O88" t="n">
        <v>0</v>
      </c>
      <c r="P88" t="n">
        <v>0</v>
      </c>
      <c r="Q88" t="n">
        <v>1</v>
      </c>
      <c r="R88" s="2" t="inlineStr">
        <is>
          <t>Fläcknycklar</t>
        </is>
      </c>
      <c r="S88">
        <f>HYPERLINK("https://klasma.github.io/Logging_0380/artfynd/A 17484-2025 artfynd.xlsx", "A 17484-2025")</f>
        <v/>
      </c>
      <c r="T88">
        <f>HYPERLINK("https://klasma.github.io/Logging_0380/kartor/A 17484-2025 karta.png", "A 17484-2025")</f>
        <v/>
      </c>
      <c r="V88">
        <f>HYPERLINK("https://klasma.github.io/Logging_0380/klagomål/A 17484-2025 FSC-klagomål.docx", "A 17484-2025")</f>
        <v/>
      </c>
      <c r="W88">
        <f>HYPERLINK("https://klasma.github.io/Logging_0380/klagomålsmail/A 17484-2025 FSC-klagomål mail.docx", "A 17484-2025")</f>
        <v/>
      </c>
      <c r="X88">
        <f>HYPERLINK("https://klasma.github.io/Logging_0380/tillsyn/A 17484-2025 tillsynsbegäran.docx", "A 17484-2025")</f>
        <v/>
      </c>
      <c r="Y88">
        <f>HYPERLINK("https://klasma.github.io/Logging_0380/tillsynsmail/A 17484-2025 tillsynsbegäran mail.docx", "A 17484-2025")</f>
        <v/>
      </c>
    </row>
    <row r="89" ht="15" customHeight="1">
      <c r="A89" t="inlineStr">
        <is>
          <t>A 16761-2022</t>
        </is>
      </c>
      <c r="B89" s="1" t="n">
        <v>44673.47858796296</v>
      </c>
      <c r="C89" s="1" t="n">
        <v>45970</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61818-2022</t>
        </is>
      </c>
      <c r="B90" s="1" t="n">
        <v>44917</v>
      </c>
      <c r="C90" s="1" t="n">
        <v>45970</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49015-2022</t>
        </is>
      </c>
      <c r="B91" s="1" t="n">
        <v>44855</v>
      </c>
      <c r="C91" s="1" t="n">
        <v>45970</v>
      </c>
      <c r="D91" t="inlineStr">
        <is>
          <t>UPPSALA LÄN</t>
        </is>
      </c>
      <c r="E91" t="inlineStr">
        <is>
          <t>UPPSALA</t>
        </is>
      </c>
      <c r="F91" t="inlineStr">
        <is>
          <t>Kommuner</t>
        </is>
      </c>
      <c r="G91" t="n">
        <v>4.5</v>
      </c>
      <c r="H91" t="n">
        <v>0</v>
      </c>
      <c r="I91" t="n">
        <v>0</v>
      </c>
      <c r="J91" t="n">
        <v>1</v>
      </c>
      <c r="K91" t="n">
        <v>0</v>
      </c>
      <c r="L91" t="n">
        <v>0</v>
      </c>
      <c r="M91" t="n">
        <v>0</v>
      </c>
      <c r="N91" t="n">
        <v>0</v>
      </c>
      <c r="O91" t="n">
        <v>1</v>
      </c>
      <c r="P91" t="n">
        <v>0</v>
      </c>
      <c r="Q91" t="n">
        <v>1</v>
      </c>
      <c r="R91" s="2" t="inlineStr">
        <is>
          <t>Harticka</t>
        </is>
      </c>
      <c r="S91">
        <f>HYPERLINK("https://klasma.github.io/Logging_0380/artfynd/A 49015-2022 artfynd.xlsx", "A 49015-2022")</f>
        <v/>
      </c>
      <c r="T91">
        <f>HYPERLINK("https://klasma.github.io/Logging_0380/kartor/A 49015-2022 karta.png", "A 49015-2022")</f>
        <v/>
      </c>
      <c r="V91">
        <f>HYPERLINK("https://klasma.github.io/Logging_0380/klagomål/A 49015-2022 FSC-klagomål.docx", "A 49015-2022")</f>
        <v/>
      </c>
      <c r="W91">
        <f>HYPERLINK("https://klasma.github.io/Logging_0380/klagomålsmail/A 49015-2022 FSC-klagomål mail.docx", "A 49015-2022")</f>
        <v/>
      </c>
      <c r="X91">
        <f>HYPERLINK("https://klasma.github.io/Logging_0380/tillsyn/A 49015-2022 tillsynsbegäran.docx", "A 49015-2022")</f>
        <v/>
      </c>
      <c r="Y91">
        <f>HYPERLINK("https://klasma.github.io/Logging_0380/tillsynsmail/A 49015-2022 tillsynsbegäran mail.docx", "A 49015-2022")</f>
        <v/>
      </c>
    </row>
    <row r="92" ht="15" customHeight="1">
      <c r="A92" t="inlineStr">
        <is>
          <t>A 29902-2023</t>
        </is>
      </c>
      <c r="B92" s="1" t="n">
        <v>45107</v>
      </c>
      <c r="C92" s="1" t="n">
        <v>45970</v>
      </c>
      <c r="D92" t="inlineStr">
        <is>
          <t>UPPSALA LÄN</t>
        </is>
      </c>
      <c r="E92" t="inlineStr">
        <is>
          <t>UPPSALA</t>
        </is>
      </c>
      <c r="F92" t="inlineStr">
        <is>
          <t>Kyrkan</t>
        </is>
      </c>
      <c r="G92" t="n">
        <v>10.6</v>
      </c>
      <c r="H92" t="n">
        <v>1</v>
      </c>
      <c r="I92" t="n">
        <v>0</v>
      </c>
      <c r="J92" t="n">
        <v>1</v>
      </c>
      <c r="K92" t="n">
        <v>0</v>
      </c>
      <c r="L92" t="n">
        <v>0</v>
      </c>
      <c r="M92" t="n">
        <v>0</v>
      </c>
      <c r="N92" t="n">
        <v>0</v>
      </c>
      <c r="O92" t="n">
        <v>1</v>
      </c>
      <c r="P92" t="n">
        <v>0</v>
      </c>
      <c r="Q92" t="n">
        <v>1</v>
      </c>
      <c r="R92" s="2" t="inlineStr">
        <is>
          <t>Järpe</t>
        </is>
      </c>
      <c r="S92">
        <f>HYPERLINK("https://klasma.github.io/Logging_0380/artfynd/A 29902-2023 artfynd.xlsx", "A 29902-2023")</f>
        <v/>
      </c>
      <c r="T92">
        <f>HYPERLINK("https://klasma.github.io/Logging_0380/kartor/A 29902-2023 karta.png", "A 29902-2023")</f>
        <v/>
      </c>
      <c r="V92">
        <f>HYPERLINK("https://klasma.github.io/Logging_0380/klagomål/A 29902-2023 FSC-klagomål.docx", "A 29902-2023")</f>
        <v/>
      </c>
      <c r="W92">
        <f>HYPERLINK("https://klasma.github.io/Logging_0380/klagomålsmail/A 29902-2023 FSC-klagomål mail.docx", "A 29902-2023")</f>
        <v/>
      </c>
      <c r="X92">
        <f>HYPERLINK("https://klasma.github.io/Logging_0380/tillsyn/A 29902-2023 tillsynsbegäran.docx", "A 29902-2023")</f>
        <v/>
      </c>
      <c r="Y92">
        <f>HYPERLINK("https://klasma.github.io/Logging_0380/tillsynsmail/A 29902-2023 tillsynsbegäran mail.docx", "A 29902-2023")</f>
        <v/>
      </c>
      <c r="Z92">
        <f>HYPERLINK("https://klasma.github.io/Logging_0380/fåglar/A 29902-2023 prioriterade fågelarter.docx", "A 29902-2023")</f>
        <v/>
      </c>
    </row>
    <row r="93" ht="15" customHeight="1">
      <c r="A93" t="inlineStr">
        <is>
          <t>A 18373-2025</t>
        </is>
      </c>
      <c r="B93" s="1" t="n">
        <v>45762.57244212963</v>
      </c>
      <c r="C93" s="1" t="n">
        <v>45970</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13093-2024</t>
        </is>
      </c>
      <c r="B94" s="1" t="n">
        <v>45385</v>
      </c>
      <c r="C94" s="1" t="n">
        <v>45970</v>
      </c>
      <c r="D94" t="inlineStr">
        <is>
          <t>UPPSALA LÄN</t>
        </is>
      </c>
      <c r="E94" t="inlineStr">
        <is>
          <t>UPPSALA</t>
        </is>
      </c>
      <c r="G94" t="n">
        <v>1.1</v>
      </c>
      <c r="H94" t="n">
        <v>1</v>
      </c>
      <c r="I94" t="n">
        <v>1</v>
      </c>
      <c r="J94" t="n">
        <v>0</v>
      </c>
      <c r="K94" t="n">
        <v>0</v>
      </c>
      <c r="L94" t="n">
        <v>0</v>
      </c>
      <c r="M94" t="n">
        <v>0</v>
      </c>
      <c r="N94" t="n">
        <v>0</v>
      </c>
      <c r="O94" t="n">
        <v>0</v>
      </c>
      <c r="P94" t="n">
        <v>0</v>
      </c>
      <c r="Q94" t="n">
        <v>1</v>
      </c>
      <c r="R94" s="2" t="inlineStr">
        <is>
          <t>Skogsknipprot</t>
        </is>
      </c>
      <c r="S94">
        <f>HYPERLINK("https://klasma.github.io/Logging_0380/artfynd/A 13093-2024 artfynd.xlsx", "A 13093-2024")</f>
        <v/>
      </c>
      <c r="T94">
        <f>HYPERLINK("https://klasma.github.io/Logging_0380/kartor/A 13093-2024 karta.png", "A 13093-2024")</f>
        <v/>
      </c>
      <c r="V94">
        <f>HYPERLINK("https://klasma.github.io/Logging_0380/klagomål/A 13093-2024 FSC-klagomål.docx", "A 13093-2024")</f>
        <v/>
      </c>
      <c r="W94">
        <f>HYPERLINK("https://klasma.github.io/Logging_0380/klagomålsmail/A 13093-2024 FSC-klagomål mail.docx", "A 13093-2024")</f>
        <v/>
      </c>
      <c r="X94">
        <f>HYPERLINK("https://klasma.github.io/Logging_0380/tillsyn/A 13093-2024 tillsynsbegäran.docx", "A 13093-2024")</f>
        <v/>
      </c>
      <c r="Y94">
        <f>HYPERLINK("https://klasma.github.io/Logging_0380/tillsynsmail/A 13093-2024 tillsynsbegäran mail.docx", "A 13093-2024")</f>
        <v/>
      </c>
    </row>
    <row r="95" ht="15" customHeight="1">
      <c r="A95" t="inlineStr">
        <is>
          <t>A 57793-2022</t>
        </is>
      </c>
      <c r="B95" s="1" t="n">
        <v>44897</v>
      </c>
      <c r="C95" s="1" t="n">
        <v>45970</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13363-2022</t>
        </is>
      </c>
      <c r="B96" s="1" t="n">
        <v>44645</v>
      </c>
      <c r="C96" s="1" t="n">
        <v>45970</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5732-2025</t>
        </is>
      </c>
      <c r="B97" s="1" t="n">
        <v>45694.49650462963</v>
      </c>
      <c r="C97" s="1" t="n">
        <v>45970</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40568-2025</t>
        </is>
      </c>
      <c r="B98" s="1" t="n">
        <v>45896.47487268518</v>
      </c>
      <c r="C98" s="1" t="n">
        <v>45970</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21801-2025</t>
        </is>
      </c>
      <c r="B99" s="1" t="n">
        <v>45783</v>
      </c>
      <c r="C99" s="1" t="n">
        <v>45970</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4657-2025</t>
        </is>
      </c>
      <c r="B100" s="1" t="n">
        <v>45687</v>
      </c>
      <c r="C100" s="1" t="n">
        <v>45970</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29906-2023</t>
        </is>
      </c>
      <c r="B101" s="1" t="n">
        <v>45107</v>
      </c>
      <c r="C101" s="1" t="n">
        <v>45970</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41606-2025</t>
        </is>
      </c>
      <c r="B102" s="1" t="n">
        <v>45901.66702546296</v>
      </c>
      <c r="C102" s="1" t="n">
        <v>45970</v>
      </c>
      <c r="D102" t="inlineStr">
        <is>
          <t>UPPSALA LÄN</t>
        </is>
      </c>
      <c r="E102" t="inlineStr">
        <is>
          <t>UPPSALA</t>
        </is>
      </c>
      <c r="G102" t="n">
        <v>5.1</v>
      </c>
      <c r="H102" t="n">
        <v>0</v>
      </c>
      <c r="I102" t="n">
        <v>1</v>
      </c>
      <c r="J102" t="n">
        <v>0</v>
      </c>
      <c r="K102" t="n">
        <v>0</v>
      </c>
      <c r="L102" t="n">
        <v>0</v>
      </c>
      <c r="M102" t="n">
        <v>0</v>
      </c>
      <c r="N102" t="n">
        <v>0</v>
      </c>
      <c r="O102" t="n">
        <v>0</v>
      </c>
      <c r="P102" t="n">
        <v>0</v>
      </c>
      <c r="Q102" t="n">
        <v>1</v>
      </c>
      <c r="R102" s="2" t="inlineStr">
        <is>
          <t>Granbräken</t>
        </is>
      </c>
      <c r="S102">
        <f>HYPERLINK("https://klasma.github.io/Logging_0380/artfynd/A 41606-2025 artfynd.xlsx", "A 41606-2025")</f>
        <v/>
      </c>
      <c r="T102">
        <f>HYPERLINK("https://klasma.github.io/Logging_0380/kartor/A 41606-2025 karta.png", "A 41606-2025")</f>
        <v/>
      </c>
      <c r="V102">
        <f>HYPERLINK("https://klasma.github.io/Logging_0380/klagomål/A 41606-2025 FSC-klagomål.docx", "A 41606-2025")</f>
        <v/>
      </c>
      <c r="W102">
        <f>HYPERLINK("https://klasma.github.io/Logging_0380/klagomålsmail/A 41606-2025 FSC-klagomål mail.docx", "A 41606-2025")</f>
        <v/>
      </c>
      <c r="X102">
        <f>HYPERLINK("https://klasma.github.io/Logging_0380/tillsyn/A 41606-2025 tillsynsbegäran.docx", "A 41606-2025")</f>
        <v/>
      </c>
      <c r="Y102">
        <f>HYPERLINK("https://klasma.github.io/Logging_0380/tillsynsmail/A 41606-2025 tillsynsbegäran mail.docx", "A 41606-2025")</f>
        <v/>
      </c>
    </row>
    <row r="103" ht="15" customHeight="1">
      <c r="A103" t="inlineStr">
        <is>
          <t>A 39741-2023</t>
        </is>
      </c>
      <c r="B103" s="1" t="n">
        <v>45167</v>
      </c>
      <c r="C103" s="1" t="n">
        <v>45970</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27848-2023</t>
        </is>
      </c>
      <c r="B104" s="1" t="n">
        <v>45098</v>
      </c>
      <c r="C104" s="1" t="n">
        <v>45970</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26923-2025</t>
        </is>
      </c>
      <c r="B105" s="1" t="n">
        <v>45811.38710648148</v>
      </c>
      <c r="C105" s="1" t="n">
        <v>45970</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45970</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28299-2025</t>
        </is>
      </c>
      <c r="B107" s="1" t="n">
        <v>45818.60254629629</v>
      </c>
      <c r="C107" s="1" t="n">
        <v>45970</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27824-2025</t>
        </is>
      </c>
      <c r="B108" s="1" t="n">
        <v>45817.34614583333</v>
      </c>
      <c r="C108" s="1" t="n">
        <v>45970</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51475-2025</t>
        </is>
      </c>
      <c r="B109" s="1" t="n">
        <v>45950</v>
      </c>
      <c r="C109" s="1" t="n">
        <v>45970</v>
      </c>
      <c r="D109" t="inlineStr">
        <is>
          <t>UPPSALA LÄN</t>
        </is>
      </c>
      <c r="E109" t="inlineStr">
        <is>
          <t>UPPSALA</t>
        </is>
      </c>
      <c r="G109" t="n">
        <v>3.3</v>
      </c>
      <c r="H109" t="n">
        <v>0</v>
      </c>
      <c r="I109" t="n">
        <v>1</v>
      </c>
      <c r="J109" t="n">
        <v>0</v>
      </c>
      <c r="K109" t="n">
        <v>0</v>
      </c>
      <c r="L109" t="n">
        <v>0</v>
      </c>
      <c r="M109" t="n">
        <v>0</v>
      </c>
      <c r="N109" t="n">
        <v>0</v>
      </c>
      <c r="O109" t="n">
        <v>0</v>
      </c>
      <c r="P109" t="n">
        <v>0</v>
      </c>
      <c r="Q109" t="n">
        <v>1</v>
      </c>
      <c r="R109" s="2" t="inlineStr">
        <is>
          <t>Bronshjon</t>
        </is>
      </c>
      <c r="S109">
        <f>HYPERLINK("https://klasma.github.io/Logging_0380/artfynd/A 51475-2025 artfynd.xlsx", "A 51475-2025")</f>
        <v/>
      </c>
      <c r="T109">
        <f>HYPERLINK("https://klasma.github.io/Logging_0380/kartor/A 51475-2025 karta.png", "A 51475-2025")</f>
        <v/>
      </c>
      <c r="V109">
        <f>HYPERLINK("https://klasma.github.io/Logging_0380/klagomål/A 51475-2025 FSC-klagomål.docx", "A 51475-2025")</f>
        <v/>
      </c>
      <c r="W109">
        <f>HYPERLINK("https://klasma.github.io/Logging_0380/klagomålsmail/A 51475-2025 FSC-klagomål mail.docx", "A 51475-2025")</f>
        <v/>
      </c>
      <c r="X109">
        <f>HYPERLINK("https://klasma.github.io/Logging_0380/tillsyn/A 51475-2025 tillsynsbegäran.docx", "A 51475-2025")</f>
        <v/>
      </c>
      <c r="Y109">
        <f>HYPERLINK("https://klasma.github.io/Logging_0380/tillsynsmail/A 51475-2025 tillsynsbegäran mail.docx", "A 51475-2025")</f>
        <v/>
      </c>
    </row>
    <row r="110" ht="15" customHeight="1">
      <c r="A110" t="inlineStr">
        <is>
          <t>A 28056-2025</t>
        </is>
      </c>
      <c r="B110" s="1" t="n">
        <v>45817</v>
      </c>
      <c r="C110" s="1" t="n">
        <v>45970</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13526-2025</t>
        </is>
      </c>
      <c r="B111" s="1" t="n">
        <v>45736.49902777778</v>
      </c>
      <c r="C111" s="1" t="n">
        <v>45970</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9206-2024</t>
        </is>
      </c>
      <c r="B112" s="1" t="n">
        <v>45358</v>
      </c>
      <c r="C112" s="1" t="n">
        <v>45970</v>
      </c>
      <c r="D112" t="inlineStr">
        <is>
          <t>UPPSALA LÄN</t>
        </is>
      </c>
      <c r="E112" t="inlineStr">
        <is>
          <t>UPPSALA</t>
        </is>
      </c>
      <c r="F112" t="inlineStr">
        <is>
          <t>Allmännings- och besparingsskogar</t>
        </is>
      </c>
      <c r="G112" t="n">
        <v>22.2</v>
      </c>
      <c r="H112" t="n">
        <v>1</v>
      </c>
      <c r="I112" t="n">
        <v>0</v>
      </c>
      <c r="J112" t="n">
        <v>0</v>
      </c>
      <c r="K112" t="n">
        <v>1</v>
      </c>
      <c r="L112" t="n">
        <v>0</v>
      </c>
      <c r="M112" t="n">
        <v>0</v>
      </c>
      <c r="N112" t="n">
        <v>0</v>
      </c>
      <c r="O112" t="n">
        <v>1</v>
      </c>
      <c r="P112" t="n">
        <v>1</v>
      </c>
      <c r="Q112" t="n">
        <v>1</v>
      </c>
      <c r="R112" s="2" t="inlineStr">
        <is>
          <t>Knärot</t>
        </is>
      </c>
      <c r="S112">
        <f>HYPERLINK("https://klasma.github.io/Logging_0380/artfynd/A 9206-2024 artfynd.xlsx", "A 9206-2024")</f>
        <v/>
      </c>
      <c r="T112">
        <f>HYPERLINK("https://klasma.github.io/Logging_0380/kartor/A 9206-2024 karta.png", "A 9206-2024")</f>
        <v/>
      </c>
      <c r="U112">
        <f>HYPERLINK("https://klasma.github.io/Logging_0380/knärot/A 9206-2024 karta knärot.png", "A 9206-2024")</f>
        <v/>
      </c>
      <c r="V112">
        <f>HYPERLINK("https://klasma.github.io/Logging_0380/klagomål/A 9206-2024 FSC-klagomål.docx", "A 9206-2024")</f>
        <v/>
      </c>
      <c r="W112">
        <f>HYPERLINK("https://klasma.github.io/Logging_0380/klagomålsmail/A 9206-2024 FSC-klagomål mail.docx", "A 9206-2024")</f>
        <v/>
      </c>
      <c r="X112">
        <f>HYPERLINK("https://klasma.github.io/Logging_0380/tillsyn/A 9206-2024 tillsynsbegäran.docx", "A 9206-2024")</f>
        <v/>
      </c>
      <c r="Y112">
        <f>HYPERLINK("https://klasma.github.io/Logging_0380/tillsynsmail/A 9206-2024 tillsynsbegäran mail.docx", "A 9206-2024")</f>
        <v/>
      </c>
    </row>
    <row r="113" ht="15" customHeight="1">
      <c r="A113" t="inlineStr">
        <is>
          <t>A 29664-2025</t>
        </is>
      </c>
      <c r="B113" s="1" t="n">
        <v>45825.49060185185</v>
      </c>
      <c r="C113" s="1" t="n">
        <v>45970</v>
      </c>
      <c r="D113" t="inlineStr">
        <is>
          <t>UPPSALA LÄN</t>
        </is>
      </c>
      <c r="E113" t="inlineStr">
        <is>
          <t>UPPSALA</t>
        </is>
      </c>
      <c r="F113" t="inlineStr">
        <is>
          <t>Holmen skog AB</t>
        </is>
      </c>
      <c r="G113" t="n">
        <v>16.8</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29664-2025 artfynd.xlsx", "A 29664-2025")</f>
        <v/>
      </c>
      <c r="T113">
        <f>HYPERLINK("https://klasma.github.io/Logging_0380/kartor/A 29664-2025 karta.png", "A 29664-2025")</f>
        <v/>
      </c>
      <c r="V113">
        <f>HYPERLINK("https://klasma.github.io/Logging_0380/klagomål/A 29664-2025 FSC-klagomål.docx", "A 29664-2025")</f>
        <v/>
      </c>
      <c r="W113">
        <f>HYPERLINK("https://klasma.github.io/Logging_0380/klagomålsmail/A 29664-2025 FSC-klagomål mail.docx", "A 29664-2025")</f>
        <v/>
      </c>
      <c r="X113">
        <f>HYPERLINK("https://klasma.github.io/Logging_0380/tillsyn/A 29664-2025 tillsynsbegäran.docx", "A 29664-2025")</f>
        <v/>
      </c>
      <c r="Y113">
        <f>HYPERLINK("https://klasma.github.io/Logging_0380/tillsynsmail/A 29664-2025 tillsynsbegäran mail.docx", "A 29664-2025")</f>
        <v/>
      </c>
    </row>
    <row r="114" ht="15" customHeight="1">
      <c r="A114" t="inlineStr">
        <is>
          <t>A 6044-2024</t>
        </is>
      </c>
      <c r="B114" s="1" t="n">
        <v>45336</v>
      </c>
      <c r="C114" s="1" t="n">
        <v>45970</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35260-2025</t>
        </is>
      </c>
      <c r="B115" s="1" t="n">
        <v>45853.76976851852</v>
      </c>
      <c r="C115" s="1" t="n">
        <v>45970</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844-2025</t>
        </is>
      </c>
      <c r="B116" s="1" t="n">
        <v>45665</v>
      </c>
      <c r="C116" s="1" t="n">
        <v>45970</v>
      </c>
      <c r="D116" t="inlineStr">
        <is>
          <t>UPPSALA LÄN</t>
        </is>
      </c>
      <c r="E116" t="inlineStr">
        <is>
          <t>UPPSALA</t>
        </is>
      </c>
      <c r="G116" t="n">
        <v>2.6</v>
      </c>
      <c r="H116" t="n">
        <v>1</v>
      </c>
      <c r="I116" t="n">
        <v>0</v>
      </c>
      <c r="J116" t="n">
        <v>0</v>
      </c>
      <c r="K116" t="n">
        <v>0</v>
      </c>
      <c r="L116" t="n">
        <v>0</v>
      </c>
      <c r="M116" t="n">
        <v>0</v>
      </c>
      <c r="N116" t="n">
        <v>0</v>
      </c>
      <c r="O116" t="n">
        <v>0</v>
      </c>
      <c r="P116" t="n">
        <v>0</v>
      </c>
      <c r="Q116" t="n">
        <v>1</v>
      </c>
      <c r="R116" s="2" t="inlineStr">
        <is>
          <t>Tjäder</t>
        </is>
      </c>
      <c r="S116">
        <f>HYPERLINK("https://klasma.github.io/Logging_0380/artfynd/A 844-2025 artfynd.xlsx", "A 844-2025")</f>
        <v/>
      </c>
      <c r="T116">
        <f>HYPERLINK("https://klasma.github.io/Logging_0380/kartor/A 844-2025 karta.png", "A 844-2025")</f>
        <v/>
      </c>
      <c r="V116">
        <f>HYPERLINK("https://klasma.github.io/Logging_0380/klagomål/A 844-2025 FSC-klagomål.docx", "A 844-2025")</f>
        <v/>
      </c>
      <c r="W116">
        <f>HYPERLINK("https://klasma.github.io/Logging_0380/klagomålsmail/A 844-2025 FSC-klagomål mail.docx", "A 844-2025")</f>
        <v/>
      </c>
      <c r="X116">
        <f>HYPERLINK("https://klasma.github.io/Logging_0380/tillsyn/A 844-2025 tillsynsbegäran.docx", "A 844-2025")</f>
        <v/>
      </c>
      <c r="Y116">
        <f>HYPERLINK("https://klasma.github.io/Logging_0380/tillsynsmail/A 844-2025 tillsynsbegäran mail.docx", "A 844-2025")</f>
        <v/>
      </c>
      <c r="Z116">
        <f>HYPERLINK("https://klasma.github.io/Logging_0380/fåglar/A 844-2025 prioriterade fågelarter.docx", "A 844-2025")</f>
        <v/>
      </c>
    </row>
    <row r="117" ht="15" customHeight="1">
      <c r="A117" t="inlineStr">
        <is>
          <t>A 61830-2022</t>
        </is>
      </c>
      <c r="B117" s="1" t="n">
        <v>44917.59298611111</v>
      </c>
      <c r="C117" s="1" t="n">
        <v>45970</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2729-2024</t>
        </is>
      </c>
      <c r="B118" s="1" t="n">
        <v>45314.55579861111</v>
      </c>
      <c r="C118" s="1" t="n">
        <v>45970</v>
      </c>
      <c r="D118" t="inlineStr">
        <is>
          <t>UPPSALA LÄN</t>
        </is>
      </c>
      <c r="E118" t="inlineStr">
        <is>
          <t>UPPSALA</t>
        </is>
      </c>
      <c r="G118" t="n">
        <v>3.3</v>
      </c>
      <c r="H118" t="n">
        <v>1</v>
      </c>
      <c r="I118" t="n">
        <v>0</v>
      </c>
      <c r="J118" t="n">
        <v>0</v>
      </c>
      <c r="K118" t="n">
        <v>0</v>
      </c>
      <c r="L118" t="n">
        <v>0</v>
      </c>
      <c r="M118" t="n">
        <v>0</v>
      </c>
      <c r="N118" t="n">
        <v>0</v>
      </c>
      <c r="O118" t="n">
        <v>0</v>
      </c>
      <c r="P118" t="n">
        <v>0</v>
      </c>
      <c r="Q118" t="n">
        <v>1</v>
      </c>
      <c r="R118" s="2" t="inlineStr">
        <is>
          <t>Revlummer</t>
        </is>
      </c>
      <c r="S118">
        <f>HYPERLINK("https://klasma.github.io/Logging_0380/artfynd/A 2729-2024 artfynd.xlsx", "A 2729-2024")</f>
        <v/>
      </c>
      <c r="T118">
        <f>HYPERLINK("https://klasma.github.io/Logging_0380/kartor/A 2729-2024 karta.png", "A 2729-2024")</f>
        <v/>
      </c>
      <c r="V118">
        <f>HYPERLINK("https://klasma.github.io/Logging_0380/klagomål/A 2729-2024 FSC-klagomål.docx", "A 2729-2024")</f>
        <v/>
      </c>
      <c r="W118">
        <f>HYPERLINK("https://klasma.github.io/Logging_0380/klagomålsmail/A 2729-2024 FSC-klagomål mail.docx", "A 2729-2024")</f>
        <v/>
      </c>
      <c r="X118">
        <f>HYPERLINK("https://klasma.github.io/Logging_0380/tillsyn/A 2729-2024 tillsynsbegäran.docx", "A 2729-2024")</f>
        <v/>
      </c>
      <c r="Y118">
        <f>HYPERLINK("https://klasma.github.io/Logging_0380/tillsynsmail/A 2729-2024 tillsynsbegäran mail.docx", "A 2729-2024")</f>
        <v/>
      </c>
    </row>
    <row r="119" ht="15" customHeight="1">
      <c r="A119" t="inlineStr">
        <is>
          <t>A 36842-2025</t>
        </is>
      </c>
      <c r="B119" s="1" t="n">
        <v>45874</v>
      </c>
      <c r="C119" s="1" t="n">
        <v>45970</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26135-2025</t>
        </is>
      </c>
      <c r="B120" s="1" t="n">
        <v>45805.41232638889</v>
      </c>
      <c r="C120" s="1" t="n">
        <v>45970</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37004-2025</t>
        </is>
      </c>
      <c r="B121" s="1" t="n">
        <v>45874.69282407407</v>
      </c>
      <c r="C121" s="1" t="n">
        <v>45970</v>
      </c>
      <c r="D121" t="inlineStr">
        <is>
          <t>UPPSALA LÄN</t>
        </is>
      </c>
      <c r="E121" t="inlineStr">
        <is>
          <t>UPPSALA</t>
        </is>
      </c>
      <c r="G121" t="n">
        <v>15.8</v>
      </c>
      <c r="H121" t="n">
        <v>1</v>
      </c>
      <c r="I121" t="n">
        <v>0</v>
      </c>
      <c r="J121" t="n">
        <v>0</v>
      </c>
      <c r="K121" t="n">
        <v>0</v>
      </c>
      <c r="L121" t="n">
        <v>0</v>
      </c>
      <c r="M121" t="n">
        <v>0</v>
      </c>
      <c r="N121" t="n">
        <v>0</v>
      </c>
      <c r="O121" t="n">
        <v>0</v>
      </c>
      <c r="P121" t="n">
        <v>0</v>
      </c>
      <c r="Q121" t="n">
        <v>1</v>
      </c>
      <c r="R121" s="2" t="inlineStr">
        <is>
          <t>Vanlig padda</t>
        </is>
      </c>
      <c r="S121">
        <f>HYPERLINK("https://klasma.github.io/Logging_0380/artfynd/A 37004-2025 artfynd.xlsx", "A 37004-2025")</f>
        <v/>
      </c>
      <c r="T121">
        <f>HYPERLINK("https://klasma.github.io/Logging_0380/kartor/A 37004-2025 karta.png", "A 37004-2025")</f>
        <v/>
      </c>
      <c r="V121">
        <f>HYPERLINK("https://klasma.github.io/Logging_0380/klagomål/A 37004-2025 FSC-klagomål.docx", "A 37004-2025")</f>
        <v/>
      </c>
      <c r="W121">
        <f>HYPERLINK("https://klasma.github.io/Logging_0380/klagomålsmail/A 37004-2025 FSC-klagomål mail.docx", "A 37004-2025")</f>
        <v/>
      </c>
      <c r="X121">
        <f>HYPERLINK("https://klasma.github.io/Logging_0380/tillsyn/A 37004-2025 tillsynsbegäran.docx", "A 37004-2025")</f>
        <v/>
      </c>
      <c r="Y121">
        <f>HYPERLINK("https://klasma.github.io/Logging_0380/tillsynsmail/A 37004-2025 tillsynsbegäran mail.docx", "A 37004-2025")</f>
        <v/>
      </c>
    </row>
    <row r="122" ht="15" customHeight="1">
      <c r="A122" t="inlineStr">
        <is>
          <t>A 46634-2022</t>
        </is>
      </c>
      <c r="B122" s="1" t="n">
        <v>44849</v>
      </c>
      <c r="C122" s="1" t="n">
        <v>45970</v>
      </c>
      <c r="D122" t="inlineStr">
        <is>
          <t>UPPSALA LÄN</t>
        </is>
      </c>
      <c r="E122" t="inlineStr">
        <is>
          <t>UPPSALA</t>
        </is>
      </c>
      <c r="G122" t="n">
        <v>2.9</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58288-2020</t>
        </is>
      </c>
      <c r="B123" s="1" t="n">
        <v>44144</v>
      </c>
      <c r="C123" s="1" t="n">
        <v>45970</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45970</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45970</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45970</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45970</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45970</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45970</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45970</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45970</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45970</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45970</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45970</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45970</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45970</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45970</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45970</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45970</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45970</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45970</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45970</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45970</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45970</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45970</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45970</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45970</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45970</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45970</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45970</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45970</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45970</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45970</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45970</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45970</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45970</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45970</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45970</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45970</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45970</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45970</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45970</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45970</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45970</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45970</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45970</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45970</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45970</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45970</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45970</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45970</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45970</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45970</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45970</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45970</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45970</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45970</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45970</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45970</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45970</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45970</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45970</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45970</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45970</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45970</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45970</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45970</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45970</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45970</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45970</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45970</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45970</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45970</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43850-2022</t>
        </is>
      </c>
      <c r="B194" s="1" t="n">
        <v>44838.40635416667</v>
      </c>
      <c r="C194" s="1" t="n">
        <v>45970</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51050-2021</t>
        </is>
      </c>
      <c r="B195" s="1" t="n">
        <v>44459</v>
      </c>
      <c r="C195" s="1" t="n">
        <v>45970</v>
      </c>
      <c r="D195" t="inlineStr">
        <is>
          <t>UPPSALA LÄN</t>
        </is>
      </c>
      <c r="E195" t="inlineStr">
        <is>
          <t>UPPSALA</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25120-2022</t>
        </is>
      </c>
      <c r="B196" s="1" t="n">
        <v>44729</v>
      </c>
      <c r="C196" s="1" t="n">
        <v>45970</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59500-2021</t>
        </is>
      </c>
      <c r="B197" s="1" t="n">
        <v>44491.54116898148</v>
      </c>
      <c r="C197" s="1" t="n">
        <v>45970</v>
      </c>
      <c r="D197" t="inlineStr">
        <is>
          <t>UPPSALA LÄN</t>
        </is>
      </c>
      <c r="E197" t="inlineStr">
        <is>
          <t>UPPSALA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16978-2022</t>
        </is>
      </c>
      <c r="B198" s="1" t="n">
        <v>44676</v>
      </c>
      <c r="C198" s="1" t="n">
        <v>45970</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58056-2020</t>
        </is>
      </c>
      <c r="B199" s="1" t="n">
        <v>44144</v>
      </c>
      <c r="C199" s="1" t="n">
        <v>45970</v>
      </c>
      <c r="D199" t="inlineStr">
        <is>
          <t>UPPSALA LÄN</t>
        </is>
      </c>
      <c r="E199" t="inlineStr">
        <is>
          <t>UPPSALA</t>
        </is>
      </c>
      <c r="G199" t="n">
        <v>5.5</v>
      </c>
      <c r="H199" t="n">
        <v>0</v>
      </c>
      <c r="I199" t="n">
        <v>0</v>
      </c>
      <c r="J199" t="n">
        <v>0</v>
      </c>
      <c r="K199" t="n">
        <v>0</v>
      </c>
      <c r="L199" t="n">
        <v>0</v>
      </c>
      <c r="M199" t="n">
        <v>0</v>
      </c>
      <c r="N199" t="n">
        <v>0</v>
      </c>
      <c r="O199" t="n">
        <v>0</v>
      </c>
      <c r="P199" t="n">
        <v>0</v>
      </c>
      <c r="Q199" t="n">
        <v>0</v>
      </c>
      <c r="R199" s="2" t="inlineStr"/>
    </row>
    <row r="200" ht="15" customHeight="1">
      <c r="A200" t="inlineStr">
        <is>
          <t>A 12152-2021</t>
        </is>
      </c>
      <c r="B200" s="1" t="n">
        <v>44266.57917824074</v>
      </c>
      <c r="C200" s="1" t="n">
        <v>45970</v>
      </c>
      <c r="D200" t="inlineStr">
        <is>
          <t>UPPSALA LÄN</t>
        </is>
      </c>
      <c r="E200" t="inlineStr">
        <is>
          <t>UPPSALA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45970</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16615-2021</t>
        </is>
      </c>
      <c r="B202" s="1" t="n">
        <v>44294.37555555555</v>
      </c>
      <c r="C202" s="1" t="n">
        <v>45970</v>
      </c>
      <c r="D202" t="inlineStr">
        <is>
          <t>UPPSALA LÄN</t>
        </is>
      </c>
      <c r="E202" t="inlineStr">
        <is>
          <t>UPPSALA</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65964-2021</t>
        </is>
      </c>
      <c r="B203" s="1" t="n">
        <v>44517</v>
      </c>
      <c r="C203" s="1" t="n">
        <v>45970</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55823-2021</t>
        </is>
      </c>
      <c r="B204" s="1" t="n">
        <v>44476.61263888889</v>
      </c>
      <c r="C204" s="1" t="n">
        <v>45970</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45970</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46079-2022</t>
        </is>
      </c>
      <c r="B206" s="1" t="n">
        <v>44847.35622685185</v>
      </c>
      <c r="C206" s="1" t="n">
        <v>45970</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21394-2022</t>
        </is>
      </c>
      <c r="B207" s="1" t="n">
        <v>44705.84535879629</v>
      </c>
      <c r="C207" s="1" t="n">
        <v>45970</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15377-2022</t>
        </is>
      </c>
      <c r="B208" s="1" t="n">
        <v>44659.57912037037</v>
      </c>
      <c r="C208" s="1" t="n">
        <v>45970</v>
      </c>
      <c r="D208" t="inlineStr">
        <is>
          <t>UPPSALA LÄN</t>
        </is>
      </c>
      <c r="E208" t="inlineStr">
        <is>
          <t>UPPSALA</t>
        </is>
      </c>
      <c r="F208" t="inlineStr">
        <is>
          <t>Bergvik skog öst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34061-2022</t>
        </is>
      </c>
      <c r="B209" s="1" t="n">
        <v>44791.38336805555</v>
      </c>
      <c r="C209" s="1" t="n">
        <v>45970</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55066-2022</t>
        </is>
      </c>
      <c r="B210" s="1" t="n">
        <v>44886.58890046296</v>
      </c>
      <c r="C210" s="1" t="n">
        <v>45970</v>
      </c>
      <c r="D210" t="inlineStr">
        <is>
          <t>UPPSALA LÄN</t>
        </is>
      </c>
      <c r="E210" t="inlineStr">
        <is>
          <t>UPPSALA</t>
        </is>
      </c>
      <c r="G210" t="n">
        <v>0.4</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45970</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45970</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10464-2022</t>
        </is>
      </c>
      <c r="B213" s="1" t="n">
        <v>44623</v>
      </c>
      <c r="C213" s="1" t="n">
        <v>45970</v>
      </c>
      <c r="D213" t="inlineStr">
        <is>
          <t>UPPSALA LÄN</t>
        </is>
      </c>
      <c r="E213" t="inlineStr">
        <is>
          <t>UPPSALA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30580-2022</t>
        </is>
      </c>
      <c r="B214" s="1" t="n">
        <v>44762</v>
      </c>
      <c r="C214" s="1" t="n">
        <v>45970</v>
      </c>
      <c r="D214" t="inlineStr">
        <is>
          <t>UPPSALA LÄN</t>
        </is>
      </c>
      <c r="E214" t="inlineStr">
        <is>
          <t>UPPSALA</t>
        </is>
      </c>
      <c r="F214" t="inlineStr">
        <is>
          <t>Bergvik skog öst AB</t>
        </is>
      </c>
      <c r="G214" t="n">
        <v>3.6</v>
      </c>
      <c r="H214" t="n">
        <v>0</v>
      </c>
      <c r="I214" t="n">
        <v>0</v>
      </c>
      <c r="J214" t="n">
        <v>0</v>
      </c>
      <c r="K214" t="n">
        <v>0</v>
      </c>
      <c r="L214" t="n">
        <v>0</v>
      </c>
      <c r="M214" t="n">
        <v>0</v>
      </c>
      <c r="N214" t="n">
        <v>0</v>
      </c>
      <c r="O214" t="n">
        <v>0</v>
      </c>
      <c r="P214" t="n">
        <v>0</v>
      </c>
      <c r="Q214" t="n">
        <v>0</v>
      </c>
      <c r="R214" s="2" t="inlineStr"/>
    </row>
    <row r="215" ht="15" customHeight="1">
      <c r="A215" t="inlineStr">
        <is>
          <t>A 35411-2022</t>
        </is>
      </c>
      <c r="B215" s="1" t="n">
        <v>44798</v>
      </c>
      <c r="C215" s="1" t="n">
        <v>45970</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58058-2020</t>
        </is>
      </c>
      <c r="B216" s="1" t="n">
        <v>44144</v>
      </c>
      <c r="C216" s="1" t="n">
        <v>45970</v>
      </c>
      <c r="D216" t="inlineStr">
        <is>
          <t>UPPSALA LÄN</t>
        </is>
      </c>
      <c r="E216" t="inlineStr">
        <is>
          <t>UPPSALA</t>
        </is>
      </c>
      <c r="G216" t="n">
        <v>4.4</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45970</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45970</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60032-2021</t>
        </is>
      </c>
      <c r="B219" s="1" t="n">
        <v>44495</v>
      </c>
      <c r="C219" s="1" t="n">
        <v>45970</v>
      </c>
      <c r="D219" t="inlineStr">
        <is>
          <t>UPPSALA LÄN</t>
        </is>
      </c>
      <c r="E219" t="inlineStr">
        <is>
          <t>UPPSALA</t>
        </is>
      </c>
      <c r="G219" t="n">
        <v>1.8</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45970</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50092-2022</t>
        </is>
      </c>
      <c r="B221" s="1" t="n">
        <v>44865</v>
      </c>
      <c r="C221" s="1" t="n">
        <v>45970</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51396-2021</t>
        </is>
      </c>
      <c r="B222" s="1" t="n">
        <v>44461.73350694445</v>
      </c>
      <c r="C222" s="1" t="n">
        <v>45970</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19513-2023</t>
        </is>
      </c>
      <c r="B223" s="1" t="n">
        <v>45050.49392361111</v>
      </c>
      <c r="C223" s="1" t="n">
        <v>45970</v>
      </c>
      <c r="D223" t="inlineStr">
        <is>
          <t>UPPSALA LÄN</t>
        </is>
      </c>
      <c r="E223" t="inlineStr">
        <is>
          <t>UPPSALA</t>
        </is>
      </c>
      <c r="G223" t="n">
        <v>6.6</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45970</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2017-2022</t>
        </is>
      </c>
      <c r="B225" s="1" t="n">
        <v>44575</v>
      </c>
      <c r="C225" s="1" t="n">
        <v>45970</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45970</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1936-2022</t>
        </is>
      </c>
      <c r="B227" s="1" t="n">
        <v>44575.4366087963</v>
      </c>
      <c r="C227" s="1" t="n">
        <v>45970</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22946-2021</t>
        </is>
      </c>
      <c r="B228" s="1" t="n">
        <v>44328.57100694445</v>
      </c>
      <c r="C228" s="1" t="n">
        <v>45970</v>
      </c>
      <c r="D228" t="inlineStr">
        <is>
          <t>UPPSALA LÄN</t>
        </is>
      </c>
      <c r="E228" t="inlineStr">
        <is>
          <t>UPPSALA</t>
        </is>
      </c>
      <c r="G228" t="n">
        <v>2.3</v>
      </c>
      <c r="H228" t="n">
        <v>0</v>
      </c>
      <c r="I228" t="n">
        <v>0</v>
      </c>
      <c r="J228" t="n">
        <v>0</v>
      </c>
      <c r="K228" t="n">
        <v>0</v>
      </c>
      <c r="L228" t="n">
        <v>0</v>
      </c>
      <c r="M228" t="n">
        <v>0</v>
      </c>
      <c r="N228" t="n">
        <v>0</v>
      </c>
      <c r="O228" t="n">
        <v>0</v>
      </c>
      <c r="P228" t="n">
        <v>0</v>
      </c>
      <c r="Q228" t="n">
        <v>0</v>
      </c>
      <c r="R228" s="2" t="inlineStr"/>
    </row>
    <row r="229" ht="15" customHeight="1">
      <c r="A229" t="inlineStr">
        <is>
          <t>A 66927-2021</t>
        </is>
      </c>
      <c r="B229" s="1" t="n">
        <v>44522.55518518519</v>
      </c>
      <c r="C229" s="1" t="n">
        <v>45970</v>
      </c>
      <c r="D229" t="inlineStr">
        <is>
          <t>UPPSALA LÄN</t>
        </is>
      </c>
      <c r="E229" t="inlineStr">
        <is>
          <t>UPPSALA</t>
        </is>
      </c>
      <c r="G229" t="n">
        <v>2.9</v>
      </c>
      <c r="H229" t="n">
        <v>0</v>
      </c>
      <c r="I229" t="n">
        <v>0</v>
      </c>
      <c r="J229" t="n">
        <v>0</v>
      </c>
      <c r="K229" t="n">
        <v>0</v>
      </c>
      <c r="L229" t="n">
        <v>0</v>
      </c>
      <c r="M229" t="n">
        <v>0</v>
      </c>
      <c r="N229" t="n">
        <v>0</v>
      </c>
      <c r="O229" t="n">
        <v>0</v>
      </c>
      <c r="P229" t="n">
        <v>0</v>
      </c>
      <c r="Q229" t="n">
        <v>0</v>
      </c>
      <c r="R229" s="2" t="inlineStr"/>
    </row>
    <row r="230" ht="15" customHeight="1">
      <c r="A230" t="inlineStr">
        <is>
          <t>A 31646-2021</t>
        </is>
      </c>
      <c r="B230" s="1" t="n">
        <v>44369</v>
      </c>
      <c r="C230" s="1" t="n">
        <v>45970</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43855-2023</t>
        </is>
      </c>
      <c r="B231" s="1" t="n">
        <v>45187.61136574074</v>
      </c>
      <c r="C231" s="1" t="n">
        <v>45970</v>
      </c>
      <c r="D231" t="inlineStr">
        <is>
          <t>UPPSALA LÄN</t>
        </is>
      </c>
      <c r="E231" t="inlineStr">
        <is>
          <t>UPPSALA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45970</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11173-2024</t>
        </is>
      </c>
      <c r="B233" s="1" t="n">
        <v>45371.50738425926</v>
      </c>
      <c r="C233" s="1" t="n">
        <v>45970</v>
      </c>
      <c r="D233" t="inlineStr">
        <is>
          <t>UPPSALA LÄN</t>
        </is>
      </c>
      <c r="E233" t="inlineStr">
        <is>
          <t>UPPSALA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20980-2022</t>
        </is>
      </c>
      <c r="B234" s="1" t="n">
        <v>44702.70721064815</v>
      </c>
      <c r="C234" s="1" t="n">
        <v>45970</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46097-2021</t>
        </is>
      </c>
      <c r="B235" s="1" t="n">
        <v>44442.35195601852</v>
      </c>
      <c r="C235" s="1" t="n">
        <v>45970</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46099-2021</t>
        </is>
      </c>
      <c r="B236" s="1" t="n">
        <v>44442</v>
      </c>
      <c r="C236" s="1" t="n">
        <v>45970</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25462-2023</t>
        </is>
      </c>
      <c r="B237" s="1" t="n">
        <v>45089</v>
      </c>
      <c r="C237" s="1" t="n">
        <v>45970</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13892-2022</t>
        </is>
      </c>
      <c r="B238" s="1" t="n">
        <v>44649</v>
      </c>
      <c r="C238" s="1" t="n">
        <v>45970</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46293-2022</t>
        </is>
      </c>
      <c r="B239" s="1" t="n">
        <v>44847</v>
      </c>
      <c r="C239" s="1" t="n">
        <v>45970</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33622-2024</t>
        </is>
      </c>
      <c r="B240" s="1" t="n">
        <v>45520</v>
      </c>
      <c r="C240" s="1" t="n">
        <v>45970</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11103-2025</t>
        </is>
      </c>
      <c r="B241" s="1" t="n">
        <v>45723</v>
      </c>
      <c r="C241" s="1" t="n">
        <v>45970</v>
      </c>
      <c r="D241" t="inlineStr">
        <is>
          <t>UPPSALA LÄN</t>
        </is>
      </c>
      <c r="E241" t="inlineStr">
        <is>
          <t>UPPSALA</t>
        </is>
      </c>
      <c r="G241" t="n">
        <v>7.9</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45970</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73468-2021</t>
        </is>
      </c>
      <c r="B243" s="1" t="n">
        <v>44551.59704861111</v>
      </c>
      <c r="C243" s="1" t="n">
        <v>45970</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45970</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45970</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45970</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45970</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5028-2022</t>
        </is>
      </c>
      <c r="B248" s="1" t="n">
        <v>44593.64863425926</v>
      </c>
      <c r="C248" s="1" t="n">
        <v>45970</v>
      </c>
      <c r="D248" t="inlineStr">
        <is>
          <t>UPPSALA LÄN</t>
        </is>
      </c>
      <c r="E248" t="inlineStr">
        <is>
          <t>UPPSALA</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179-2023</t>
        </is>
      </c>
      <c r="B249" s="1" t="n">
        <v>44928</v>
      </c>
      <c r="C249" s="1" t="n">
        <v>45970</v>
      </c>
      <c r="D249" t="inlineStr">
        <is>
          <t>UPPSALA LÄN</t>
        </is>
      </c>
      <c r="E249" t="inlineStr">
        <is>
          <t>UPPSALA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18330-2022</t>
        </is>
      </c>
      <c r="B250" s="1" t="n">
        <v>44685.6212037037</v>
      </c>
      <c r="C250" s="1" t="n">
        <v>45970</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39812-2024</t>
        </is>
      </c>
      <c r="B251" s="1" t="n">
        <v>45552</v>
      </c>
      <c r="C251" s="1" t="n">
        <v>45970</v>
      </c>
      <c r="D251" t="inlineStr">
        <is>
          <t>UPPSALA LÄN</t>
        </is>
      </c>
      <c r="E251" t="inlineStr">
        <is>
          <t>UPPSALA</t>
        </is>
      </c>
      <c r="G251" t="n">
        <v>7.9</v>
      </c>
      <c r="H251" t="n">
        <v>0</v>
      </c>
      <c r="I251" t="n">
        <v>0</v>
      </c>
      <c r="J251" t="n">
        <v>0</v>
      </c>
      <c r="K251" t="n">
        <v>0</v>
      </c>
      <c r="L251" t="n">
        <v>0</v>
      </c>
      <c r="M251" t="n">
        <v>0</v>
      </c>
      <c r="N251" t="n">
        <v>0</v>
      </c>
      <c r="O251" t="n">
        <v>0</v>
      </c>
      <c r="P251" t="n">
        <v>0</v>
      </c>
      <c r="Q251" t="n">
        <v>0</v>
      </c>
      <c r="R251" s="2" t="inlineStr"/>
    </row>
    <row r="252" ht="15" customHeight="1">
      <c r="A252" t="inlineStr">
        <is>
          <t>A 54715-2022</t>
        </is>
      </c>
      <c r="B252" s="1" t="n">
        <v>44883</v>
      </c>
      <c r="C252" s="1" t="n">
        <v>45970</v>
      </c>
      <c r="D252" t="inlineStr">
        <is>
          <t>UPPSALA LÄN</t>
        </is>
      </c>
      <c r="E252" t="inlineStr">
        <is>
          <t>UPPSALA</t>
        </is>
      </c>
      <c r="F252" t="inlineStr">
        <is>
          <t>Övriga Aktiebolag</t>
        </is>
      </c>
      <c r="G252" t="n">
        <v>9.5</v>
      </c>
      <c r="H252" t="n">
        <v>0</v>
      </c>
      <c r="I252" t="n">
        <v>0</v>
      </c>
      <c r="J252" t="n">
        <v>0</v>
      </c>
      <c r="K252" t="n">
        <v>0</v>
      </c>
      <c r="L252" t="n">
        <v>0</v>
      </c>
      <c r="M252" t="n">
        <v>0</v>
      </c>
      <c r="N252" t="n">
        <v>0</v>
      </c>
      <c r="O252" t="n">
        <v>0</v>
      </c>
      <c r="P252" t="n">
        <v>0</v>
      </c>
      <c r="Q252" t="n">
        <v>0</v>
      </c>
      <c r="R252" s="2" t="inlineStr"/>
    </row>
    <row r="253" ht="15" customHeight="1">
      <c r="A253" t="inlineStr">
        <is>
          <t>A 50954-2022</t>
        </is>
      </c>
      <c r="B253" s="1" t="n">
        <v>44866</v>
      </c>
      <c r="C253" s="1" t="n">
        <v>45970</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25745-2022</t>
        </is>
      </c>
      <c r="B254" s="1" t="n">
        <v>44733.43420138889</v>
      </c>
      <c r="C254" s="1" t="n">
        <v>45970</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22021-2022</t>
        </is>
      </c>
      <c r="B255" s="1" t="n">
        <v>44711</v>
      </c>
      <c r="C255" s="1" t="n">
        <v>45970</v>
      </c>
      <c r="D255" t="inlineStr">
        <is>
          <t>UPPSALA LÄN</t>
        </is>
      </c>
      <c r="E255" t="inlineStr">
        <is>
          <t>UPPSALA</t>
        </is>
      </c>
      <c r="F255" t="inlineStr">
        <is>
          <t>Allmännings- och besparingsskogar</t>
        </is>
      </c>
      <c r="G255" t="n">
        <v>2.1</v>
      </c>
      <c r="H255" t="n">
        <v>0</v>
      </c>
      <c r="I255" t="n">
        <v>0</v>
      </c>
      <c r="J255" t="n">
        <v>0</v>
      </c>
      <c r="K255" t="n">
        <v>0</v>
      </c>
      <c r="L255" t="n">
        <v>0</v>
      </c>
      <c r="M255" t="n">
        <v>0</v>
      </c>
      <c r="N255" t="n">
        <v>0</v>
      </c>
      <c r="O255" t="n">
        <v>0</v>
      </c>
      <c r="P255" t="n">
        <v>0</v>
      </c>
      <c r="Q255" t="n">
        <v>0</v>
      </c>
      <c r="R255" s="2" t="inlineStr"/>
    </row>
    <row r="256" ht="15" customHeight="1">
      <c r="A256" t="inlineStr">
        <is>
          <t>A 27763-2022</t>
        </is>
      </c>
      <c r="B256" s="1" t="n">
        <v>44743</v>
      </c>
      <c r="C256" s="1" t="n">
        <v>45970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32688-2023</t>
        </is>
      </c>
      <c r="B257" s="1" t="n">
        <v>45121</v>
      </c>
      <c r="C257" s="1" t="n">
        <v>45970</v>
      </c>
      <c r="D257" t="inlineStr">
        <is>
          <t>UPPSALA LÄN</t>
        </is>
      </c>
      <c r="E257" t="inlineStr">
        <is>
          <t>UPPSALA</t>
        </is>
      </c>
      <c r="F257" t="inlineStr">
        <is>
          <t>Holmen skog AB</t>
        </is>
      </c>
      <c r="G257" t="n">
        <v>4.3</v>
      </c>
      <c r="H257" t="n">
        <v>0</v>
      </c>
      <c r="I257" t="n">
        <v>0</v>
      </c>
      <c r="J257" t="n">
        <v>0</v>
      </c>
      <c r="K257" t="n">
        <v>0</v>
      </c>
      <c r="L257" t="n">
        <v>0</v>
      </c>
      <c r="M257" t="n">
        <v>0</v>
      </c>
      <c r="N257" t="n">
        <v>0</v>
      </c>
      <c r="O257" t="n">
        <v>0</v>
      </c>
      <c r="P257" t="n">
        <v>0</v>
      </c>
      <c r="Q257" t="n">
        <v>0</v>
      </c>
      <c r="R257" s="2" t="inlineStr"/>
    </row>
    <row r="258" ht="15" customHeight="1">
      <c r="A258" t="inlineStr">
        <is>
          <t>A 10411-2022</t>
        </is>
      </c>
      <c r="B258" s="1" t="n">
        <v>44623.4572337963</v>
      </c>
      <c r="C258" s="1" t="n">
        <v>45970</v>
      </c>
      <c r="D258" t="inlineStr">
        <is>
          <t>UPPSALA LÄN</t>
        </is>
      </c>
      <c r="E258" t="inlineStr">
        <is>
          <t>UPPSALA</t>
        </is>
      </c>
      <c r="F258" t="inlineStr">
        <is>
          <t>Övriga Aktiebolag</t>
        </is>
      </c>
      <c r="G258" t="n">
        <v>4.2</v>
      </c>
      <c r="H258" t="n">
        <v>0</v>
      </c>
      <c r="I258" t="n">
        <v>0</v>
      </c>
      <c r="J258" t="n">
        <v>0</v>
      </c>
      <c r="K258" t="n">
        <v>0</v>
      </c>
      <c r="L258" t="n">
        <v>0</v>
      </c>
      <c r="M258" t="n">
        <v>0</v>
      </c>
      <c r="N258" t="n">
        <v>0</v>
      </c>
      <c r="O258" t="n">
        <v>0</v>
      </c>
      <c r="P258" t="n">
        <v>0</v>
      </c>
      <c r="Q258" t="n">
        <v>0</v>
      </c>
      <c r="R258" s="2" t="inlineStr"/>
    </row>
    <row r="259" ht="15" customHeight="1">
      <c r="A259" t="inlineStr">
        <is>
          <t>A 27442-2024</t>
        </is>
      </c>
      <c r="B259" s="1" t="n">
        <v>45474.41729166666</v>
      </c>
      <c r="C259" s="1" t="n">
        <v>45970</v>
      </c>
      <c r="D259" t="inlineStr">
        <is>
          <t>UPPSALA LÄN</t>
        </is>
      </c>
      <c r="E259" t="inlineStr">
        <is>
          <t>UPPSALA</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39795-2022</t>
        </is>
      </c>
      <c r="B260" s="1" t="n">
        <v>44819.50233796296</v>
      </c>
      <c r="C260" s="1" t="n">
        <v>45970</v>
      </c>
      <c r="D260" t="inlineStr">
        <is>
          <t>UPPSALA LÄN</t>
        </is>
      </c>
      <c r="E260" t="inlineStr">
        <is>
          <t>UPPSALA</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9206-2022</t>
        </is>
      </c>
      <c r="B261" s="1" t="n">
        <v>44616</v>
      </c>
      <c r="C261" s="1" t="n">
        <v>45970</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55021-2022</t>
        </is>
      </c>
      <c r="B262" s="1" t="n">
        <v>44886</v>
      </c>
      <c r="C262" s="1" t="n">
        <v>45970</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45970</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74495-2021</t>
        </is>
      </c>
      <c r="B264" s="1" t="n">
        <v>44560</v>
      </c>
      <c r="C264" s="1" t="n">
        <v>45970</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6408-2022</t>
        </is>
      </c>
      <c r="B265" s="1" t="n">
        <v>44600</v>
      </c>
      <c r="C265" s="1" t="n">
        <v>45970</v>
      </c>
      <c r="D265" t="inlineStr">
        <is>
          <t>UPPSALA LÄN</t>
        </is>
      </c>
      <c r="E265" t="inlineStr">
        <is>
          <t>UPPSALA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10383-2022</t>
        </is>
      </c>
      <c r="B266" s="1" t="n">
        <v>44623.41775462963</v>
      </c>
      <c r="C266" s="1" t="n">
        <v>45970</v>
      </c>
      <c r="D266" t="inlineStr">
        <is>
          <t>UPPSALA LÄN</t>
        </is>
      </c>
      <c r="E266" t="inlineStr">
        <is>
          <t>UPPSALA</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10456-2022</t>
        </is>
      </c>
      <c r="B267" s="1" t="n">
        <v>44623.5571875</v>
      </c>
      <c r="C267" s="1" t="n">
        <v>45970</v>
      </c>
      <c r="D267" t="inlineStr">
        <is>
          <t>UPPSALA LÄN</t>
        </is>
      </c>
      <c r="E267" t="inlineStr">
        <is>
          <t>UPPSALA</t>
        </is>
      </c>
      <c r="F267" t="inlineStr">
        <is>
          <t>Övriga Aktiebolag</t>
        </is>
      </c>
      <c r="G267" t="n">
        <v>12.6</v>
      </c>
      <c r="H267" t="n">
        <v>0</v>
      </c>
      <c r="I267" t="n">
        <v>0</v>
      </c>
      <c r="J267" t="n">
        <v>0</v>
      </c>
      <c r="K267" t="n">
        <v>0</v>
      </c>
      <c r="L267" t="n">
        <v>0</v>
      </c>
      <c r="M267" t="n">
        <v>0</v>
      </c>
      <c r="N267" t="n">
        <v>0</v>
      </c>
      <c r="O267" t="n">
        <v>0</v>
      </c>
      <c r="P267" t="n">
        <v>0</v>
      </c>
      <c r="Q267" t="n">
        <v>0</v>
      </c>
      <c r="R267" s="2" t="inlineStr"/>
    </row>
    <row r="268" ht="15" customHeight="1">
      <c r="A268" t="inlineStr">
        <is>
          <t>A 39548-2023</t>
        </is>
      </c>
      <c r="B268" s="1" t="n">
        <v>45167.3721412037</v>
      </c>
      <c r="C268" s="1" t="n">
        <v>45970</v>
      </c>
      <c r="D268" t="inlineStr">
        <is>
          <t>UPPSALA LÄN</t>
        </is>
      </c>
      <c r="E268" t="inlineStr">
        <is>
          <t>UPPSALA</t>
        </is>
      </c>
      <c r="G268" t="n">
        <v>3.4</v>
      </c>
      <c r="H268" t="n">
        <v>0</v>
      </c>
      <c r="I268" t="n">
        <v>0</v>
      </c>
      <c r="J268" t="n">
        <v>0</v>
      </c>
      <c r="K268" t="n">
        <v>0</v>
      </c>
      <c r="L268" t="n">
        <v>0</v>
      </c>
      <c r="M268" t="n">
        <v>0</v>
      </c>
      <c r="N268" t="n">
        <v>0</v>
      </c>
      <c r="O268" t="n">
        <v>0</v>
      </c>
      <c r="P268" t="n">
        <v>0</v>
      </c>
      <c r="Q268" t="n">
        <v>0</v>
      </c>
      <c r="R268" s="2" t="inlineStr"/>
    </row>
    <row r="269" ht="15" customHeight="1">
      <c r="A269" t="inlineStr">
        <is>
          <t>A 6422-2023</t>
        </is>
      </c>
      <c r="B269" s="1" t="n">
        <v>44965</v>
      </c>
      <c r="C269" s="1" t="n">
        <v>45970</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6423-2023</t>
        </is>
      </c>
      <c r="B270" s="1" t="n">
        <v>44965</v>
      </c>
      <c r="C270" s="1" t="n">
        <v>45970</v>
      </c>
      <c r="D270" t="inlineStr">
        <is>
          <t>UPPSALA LÄN</t>
        </is>
      </c>
      <c r="E270" t="inlineStr">
        <is>
          <t>UPPSALA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1994-2024</t>
        </is>
      </c>
      <c r="B271" s="1" t="n">
        <v>45308.63298611111</v>
      </c>
      <c r="C271" s="1" t="n">
        <v>45970</v>
      </c>
      <c r="D271" t="inlineStr">
        <is>
          <t>UPPSALA LÄN</t>
        </is>
      </c>
      <c r="E271" t="inlineStr">
        <is>
          <t>UPPSALA</t>
        </is>
      </c>
      <c r="G271" t="n">
        <v>1.6</v>
      </c>
      <c r="H271" t="n">
        <v>0</v>
      </c>
      <c r="I271" t="n">
        <v>0</v>
      </c>
      <c r="J271" t="n">
        <v>0</v>
      </c>
      <c r="K271" t="n">
        <v>0</v>
      </c>
      <c r="L271" t="n">
        <v>0</v>
      </c>
      <c r="M271" t="n">
        <v>0</v>
      </c>
      <c r="N271" t="n">
        <v>0</v>
      </c>
      <c r="O271" t="n">
        <v>0</v>
      </c>
      <c r="P271" t="n">
        <v>0</v>
      </c>
      <c r="Q271" t="n">
        <v>0</v>
      </c>
      <c r="R271" s="2" t="inlineStr"/>
    </row>
    <row r="272" ht="15" customHeight="1">
      <c r="A272" t="inlineStr">
        <is>
          <t>A 60003-2024</t>
        </is>
      </c>
      <c r="B272" s="1" t="n">
        <v>45642</v>
      </c>
      <c r="C272" s="1" t="n">
        <v>45970</v>
      </c>
      <c r="D272" t="inlineStr">
        <is>
          <t>UPPSALA LÄN</t>
        </is>
      </c>
      <c r="E272" t="inlineStr">
        <is>
          <t>UPPSALA</t>
        </is>
      </c>
      <c r="F272" t="inlineStr">
        <is>
          <t>Bergvik skog väst AB</t>
        </is>
      </c>
      <c r="G272" t="n">
        <v>14.5</v>
      </c>
      <c r="H272" t="n">
        <v>0</v>
      </c>
      <c r="I272" t="n">
        <v>0</v>
      </c>
      <c r="J272" t="n">
        <v>0</v>
      </c>
      <c r="K272" t="n">
        <v>0</v>
      </c>
      <c r="L272" t="n">
        <v>0</v>
      </c>
      <c r="M272" t="n">
        <v>0</v>
      </c>
      <c r="N272" t="n">
        <v>0</v>
      </c>
      <c r="O272" t="n">
        <v>0</v>
      </c>
      <c r="P272" t="n">
        <v>0</v>
      </c>
      <c r="Q272" t="n">
        <v>0</v>
      </c>
      <c r="R272" s="2" t="inlineStr"/>
    </row>
    <row r="273" ht="15" customHeight="1">
      <c r="A273" t="inlineStr">
        <is>
          <t>A 46069-2022</t>
        </is>
      </c>
      <c r="B273" s="1" t="n">
        <v>44847</v>
      </c>
      <c r="C273" s="1" t="n">
        <v>45970</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45970</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6058-2025</t>
        </is>
      </c>
      <c r="B275" s="1" t="n">
        <v>45695.83655092592</v>
      </c>
      <c r="C275" s="1" t="n">
        <v>45970</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55073-2022</t>
        </is>
      </c>
      <c r="B276" s="1" t="n">
        <v>44886.5928125</v>
      </c>
      <c r="C276" s="1" t="n">
        <v>45970</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43-2024</t>
        </is>
      </c>
      <c r="B277" s="1" t="n">
        <v>45293</v>
      </c>
      <c r="C277" s="1" t="n">
        <v>45970</v>
      </c>
      <c r="D277" t="inlineStr">
        <is>
          <t>UPPSALA LÄN</t>
        </is>
      </c>
      <c r="E277" t="inlineStr">
        <is>
          <t>UPPSALA</t>
        </is>
      </c>
      <c r="G277" t="n">
        <v>2.8</v>
      </c>
      <c r="H277" t="n">
        <v>0</v>
      </c>
      <c r="I277" t="n">
        <v>0</v>
      </c>
      <c r="J277" t="n">
        <v>0</v>
      </c>
      <c r="K277" t="n">
        <v>0</v>
      </c>
      <c r="L277" t="n">
        <v>0</v>
      </c>
      <c r="M277" t="n">
        <v>0</v>
      </c>
      <c r="N277" t="n">
        <v>0</v>
      </c>
      <c r="O277" t="n">
        <v>0</v>
      </c>
      <c r="P277" t="n">
        <v>0</v>
      </c>
      <c r="Q277" t="n">
        <v>0</v>
      </c>
      <c r="R277" s="2" t="inlineStr"/>
    </row>
    <row r="278" ht="15" customHeight="1">
      <c r="A278" t="inlineStr">
        <is>
          <t>A 8164-2025</t>
        </is>
      </c>
      <c r="B278" s="1" t="n">
        <v>45707</v>
      </c>
      <c r="C278" s="1" t="n">
        <v>45970</v>
      </c>
      <c r="D278" t="inlineStr">
        <is>
          <t>UPPSALA LÄN</t>
        </is>
      </c>
      <c r="E278" t="inlineStr">
        <is>
          <t>UPPSALA</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42681-2023</t>
        </is>
      </c>
      <c r="B279" s="1" t="n">
        <v>45181.58055555556</v>
      </c>
      <c r="C279" s="1" t="n">
        <v>45970</v>
      </c>
      <c r="D279" t="inlineStr">
        <is>
          <t>UPPSALA LÄN</t>
        </is>
      </c>
      <c r="E279" t="inlineStr">
        <is>
          <t>UPPSALA</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1592-2025</t>
        </is>
      </c>
      <c r="B280" s="1" t="n">
        <v>45670</v>
      </c>
      <c r="C280" s="1" t="n">
        <v>45970</v>
      </c>
      <c r="D280" t="inlineStr">
        <is>
          <t>UPPSALA LÄN</t>
        </is>
      </c>
      <c r="E280" t="inlineStr">
        <is>
          <t>UPPSALA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60444-2023</t>
        </is>
      </c>
      <c r="B281" s="1" t="n">
        <v>45259.52809027778</v>
      </c>
      <c r="C281" s="1" t="n">
        <v>45970</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60954-2024</t>
        </is>
      </c>
      <c r="B282" s="1" t="n">
        <v>45645</v>
      </c>
      <c r="C282" s="1" t="n">
        <v>45970</v>
      </c>
      <c r="D282" t="inlineStr">
        <is>
          <t>UPPSALA LÄN</t>
        </is>
      </c>
      <c r="E282" t="inlineStr">
        <is>
          <t>UPPSALA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46920-2021</t>
        </is>
      </c>
      <c r="B283" s="1" t="n">
        <v>44446</v>
      </c>
      <c r="C283" s="1" t="n">
        <v>45970</v>
      </c>
      <c r="D283" t="inlineStr">
        <is>
          <t>UPPSALA LÄN</t>
        </is>
      </c>
      <c r="E283" t="inlineStr">
        <is>
          <t>UPPSALA</t>
        </is>
      </c>
      <c r="G283" t="n">
        <v>1.6</v>
      </c>
      <c r="H283" t="n">
        <v>0</v>
      </c>
      <c r="I283" t="n">
        <v>0</v>
      </c>
      <c r="J283" t="n">
        <v>0</v>
      </c>
      <c r="K283" t="n">
        <v>0</v>
      </c>
      <c r="L283" t="n">
        <v>0</v>
      </c>
      <c r="M283" t="n">
        <v>0</v>
      </c>
      <c r="N283" t="n">
        <v>0</v>
      </c>
      <c r="O283" t="n">
        <v>0</v>
      </c>
      <c r="P283" t="n">
        <v>0</v>
      </c>
      <c r="Q283" t="n">
        <v>0</v>
      </c>
      <c r="R283" s="2" t="inlineStr"/>
    </row>
    <row r="284" ht="15" customHeight="1">
      <c r="A284" t="inlineStr">
        <is>
          <t>A 31157-2023</t>
        </is>
      </c>
      <c r="B284" s="1" t="n">
        <v>45113</v>
      </c>
      <c r="C284" s="1" t="n">
        <v>45970</v>
      </c>
      <c r="D284" t="inlineStr">
        <is>
          <t>UPPSALA LÄN</t>
        </is>
      </c>
      <c r="E284" t="inlineStr">
        <is>
          <t>UPPSALA</t>
        </is>
      </c>
      <c r="G284" t="n">
        <v>1.6</v>
      </c>
      <c r="H284" t="n">
        <v>0</v>
      </c>
      <c r="I284" t="n">
        <v>0</v>
      </c>
      <c r="J284" t="n">
        <v>0</v>
      </c>
      <c r="K284" t="n">
        <v>0</v>
      </c>
      <c r="L284" t="n">
        <v>0</v>
      </c>
      <c r="M284" t="n">
        <v>0</v>
      </c>
      <c r="N284" t="n">
        <v>0</v>
      </c>
      <c r="O284" t="n">
        <v>0</v>
      </c>
      <c r="P284" t="n">
        <v>0</v>
      </c>
      <c r="Q284" t="n">
        <v>0</v>
      </c>
      <c r="R284" s="2" t="inlineStr"/>
    </row>
    <row r="285" ht="15" customHeight="1">
      <c r="A285" t="inlineStr">
        <is>
          <t>A 31161-2023</t>
        </is>
      </c>
      <c r="B285" s="1" t="n">
        <v>45113.80170138889</v>
      </c>
      <c r="C285" s="1" t="n">
        <v>45970</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27068-2023</t>
        </is>
      </c>
      <c r="B286" s="1" t="n">
        <v>45096</v>
      </c>
      <c r="C286" s="1" t="n">
        <v>45970</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17593-2025</t>
        </is>
      </c>
      <c r="B287" s="1" t="n">
        <v>45757.6997337963</v>
      </c>
      <c r="C287" s="1" t="n">
        <v>45970</v>
      </c>
      <c r="D287" t="inlineStr">
        <is>
          <t>UPPSALA LÄN</t>
        </is>
      </c>
      <c r="E287" t="inlineStr">
        <is>
          <t>UPPSALA</t>
        </is>
      </c>
      <c r="G287" t="n">
        <v>3.6</v>
      </c>
      <c r="H287" t="n">
        <v>0</v>
      </c>
      <c r="I287" t="n">
        <v>0</v>
      </c>
      <c r="J287" t="n">
        <v>0</v>
      </c>
      <c r="K287" t="n">
        <v>0</v>
      </c>
      <c r="L287" t="n">
        <v>0</v>
      </c>
      <c r="M287" t="n">
        <v>0</v>
      </c>
      <c r="N287" t="n">
        <v>0</v>
      </c>
      <c r="O287" t="n">
        <v>0</v>
      </c>
      <c r="P287" t="n">
        <v>0</v>
      </c>
      <c r="Q287" t="n">
        <v>0</v>
      </c>
      <c r="R287" s="2" t="inlineStr"/>
    </row>
    <row r="288" ht="15" customHeight="1">
      <c r="A288" t="inlineStr">
        <is>
          <t>A 17596-2025</t>
        </is>
      </c>
      <c r="B288" s="1" t="n">
        <v>45757</v>
      </c>
      <c r="C288" s="1" t="n">
        <v>45970</v>
      </c>
      <c r="D288" t="inlineStr">
        <is>
          <t>UPPSALA LÄN</t>
        </is>
      </c>
      <c r="E288" t="inlineStr">
        <is>
          <t>UPPSALA</t>
        </is>
      </c>
      <c r="G288" t="n">
        <v>4.8</v>
      </c>
      <c r="H288" t="n">
        <v>0</v>
      </c>
      <c r="I288" t="n">
        <v>0</v>
      </c>
      <c r="J288" t="n">
        <v>0</v>
      </c>
      <c r="K288" t="n">
        <v>0</v>
      </c>
      <c r="L288" t="n">
        <v>0</v>
      </c>
      <c r="M288" t="n">
        <v>0</v>
      </c>
      <c r="N288" t="n">
        <v>0</v>
      </c>
      <c r="O288" t="n">
        <v>0</v>
      </c>
      <c r="P288" t="n">
        <v>0</v>
      </c>
      <c r="Q288" t="n">
        <v>0</v>
      </c>
      <c r="R288" s="2" t="inlineStr"/>
    </row>
    <row r="289" ht="15" customHeight="1">
      <c r="A289" t="inlineStr">
        <is>
          <t>A 57871-2024</t>
        </is>
      </c>
      <c r="B289" s="1" t="n">
        <v>45631.44464120371</v>
      </c>
      <c r="C289" s="1" t="n">
        <v>45970</v>
      </c>
      <c r="D289" t="inlineStr">
        <is>
          <t>UPPSALA LÄN</t>
        </is>
      </c>
      <c r="E289" t="inlineStr">
        <is>
          <t>UPPSALA</t>
        </is>
      </c>
      <c r="G289" t="n">
        <v>2.9</v>
      </c>
      <c r="H289" t="n">
        <v>0</v>
      </c>
      <c r="I289" t="n">
        <v>0</v>
      </c>
      <c r="J289" t="n">
        <v>0</v>
      </c>
      <c r="K289" t="n">
        <v>0</v>
      </c>
      <c r="L289" t="n">
        <v>0</v>
      </c>
      <c r="M289" t="n">
        <v>0</v>
      </c>
      <c r="N289" t="n">
        <v>0</v>
      </c>
      <c r="O289" t="n">
        <v>0</v>
      </c>
      <c r="P289" t="n">
        <v>0</v>
      </c>
      <c r="Q289" t="n">
        <v>0</v>
      </c>
      <c r="R289" s="2" t="inlineStr"/>
    </row>
    <row r="290" ht="15" customHeight="1">
      <c r="A290" t="inlineStr">
        <is>
          <t>A 27543-2022</t>
        </is>
      </c>
      <c r="B290" s="1" t="n">
        <v>44742</v>
      </c>
      <c r="C290" s="1" t="n">
        <v>45970</v>
      </c>
      <c r="D290" t="inlineStr">
        <is>
          <t>UPPSALA LÄN</t>
        </is>
      </c>
      <c r="E290" t="inlineStr">
        <is>
          <t>UPPSALA</t>
        </is>
      </c>
      <c r="F290" t="inlineStr">
        <is>
          <t>Kyrkan</t>
        </is>
      </c>
      <c r="G290" t="n">
        <v>2.6</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45970</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17658-2025</t>
        </is>
      </c>
      <c r="B292" s="1" t="n">
        <v>45758</v>
      </c>
      <c r="C292" s="1" t="n">
        <v>45970</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45970</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45970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53893-2023</t>
        </is>
      </c>
      <c r="B295" s="1" t="n">
        <v>45231</v>
      </c>
      <c r="C295" s="1" t="n">
        <v>45970</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6971-2025</t>
        </is>
      </c>
      <c r="B296" s="1" t="n">
        <v>45693</v>
      </c>
      <c r="C296" s="1" t="n">
        <v>45970</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32276-2021</t>
        </is>
      </c>
      <c r="B297" s="1" t="n">
        <v>44371.49178240741</v>
      </c>
      <c r="C297" s="1" t="n">
        <v>45970</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6679-2024</t>
        </is>
      </c>
      <c r="B298" s="1" t="n">
        <v>45341</v>
      </c>
      <c r="C298" s="1" t="n">
        <v>45970</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9982-2025</t>
        </is>
      </c>
      <c r="B299" s="1" t="n">
        <v>45719.4094212963</v>
      </c>
      <c r="C299" s="1" t="n">
        <v>45970</v>
      </c>
      <c r="D299" t="inlineStr">
        <is>
          <t>UPPSALA LÄN</t>
        </is>
      </c>
      <c r="E299" t="inlineStr">
        <is>
          <t>UPPSALA</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49050-2024</t>
        </is>
      </c>
      <c r="B300" s="1" t="n">
        <v>45594</v>
      </c>
      <c r="C300" s="1" t="n">
        <v>45970</v>
      </c>
      <c r="D300" t="inlineStr">
        <is>
          <t>UPPSALA LÄN</t>
        </is>
      </c>
      <c r="E300" t="inlineStr">
        <is>
          <t>UPPSALA</t>
        </is>
      </c>
      <c r="F300" t="inlineStr">
        <is>
          <t>Övriga statliga verk och myndigheter</t>
        </is>
      </c>
      <c r="G300" t="n">
        <v>3.9</v>
      </c>
      <c r="H300" t="n">
        <v>0</v>
      </c>
      <c r="I300" t="n">
        <v>0</v>
      </c>
      <c r="J300" t="n">
        <v>0</v>
      </c>
      <c r="K300" t="n">
        <v>0</v>
      </c>
      <c r="L300" t="n">
        <v>0</v>
      </c>
      <c r="M300" t="n">
        <v>0</v>
      </c>
      <c r="N300" t="n">
        <v>0</v>
      </c>
      <c r="O300" t="n">
        <v>0</v>
      </c>
      <c r="P300" t="n">
        <v>0</v>
      </c>
      <c r="Q300" t="n">
        <v>0</v>
      </c>
      <c r="R300" s="2" t="inlineStr"/>
    </row>
    <row r="301" ht="15" customHeight="1">
      <c r="A301" t="inlineStr">
        <is>
          <t>A 9995-2025</t>
        </is>
      </c>
      <c r="B301" s="1" t="n">
        <v>45719.43872685185</v>
      </c>
      <c r="C301" s="1" t="n">
        <v>45970</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13128-2022</t>
        </is>
      </c>
      <c r="B302" s="1" t="n">
        <v>44644.37548611111</v>
      </c>
      <c r="C302" s="1" t="n">
        <v>45970</v>
      </c>
      <c r="D302" t="inlineStr">
        <is>
          <t>UPPSALA LÄN</t>
        </is>
      </c>
      <c r="E302" t="inlineStr">
        <is>
          <t>UPPSALA</t>
        </is>
      </c>
      <c r="F302" t="inlineStr">
        <is>
          <t>Övriga Aktiebolag</t>
        </is>
      </c>
      <c r="G302" t="n">
        <v>3.7</v>
      </c>
      <c r="H302" t="n">
        <v>0</v>
      </c>
      <c r="I302" t="n">
        <v>0</v>
      </c>
      <c r="J302" t="n">
        <v>0</v>
      </c>
      <c r="K302" t="n">
        <v>0</v>
      </c>
      <c r="L302" t="n">
        <v>0</v>
      </c>
      <c r="M302" t="n">
        <v>0</v>
      </c>
      <c r="N302" t="n">
        <v>0</v>
      </c>
      <c r="O302" t="n">
        <v>0</v>
      </c>
      <c r="P302" t="n">
        <v>0</v>
      </c>
      <c r="Q302" t="n">
        <v>0</v>
      </c>
      <c r="R302" s="2" t="inlineStr"/>
    </row>
    <row r="303" ht="15" customHeight="1">
      <c r="A303" t="inlineStr">
        <is>
          <t>A 781-2024</t>
        </is>
      </c>
      <c r="B303" s="1" t="n">
        <v>45300.55028935185</v>
      </c>
      <c r="C303" s="1" t="n">
        <v>45970</v>
      </c>
      <c r="D303" t="inlineStr">
        <is>
          <t>UPPSALA LÄN</t>
        </is>
      </c>
      <c r="E303" t="inlineStr">
        <is>
          <t>UPPSALA</t>
        </is>
      </c>
      <c r="G303" t="n">
        <v>6.3</v>
      </c>
      <c r="H303" t="n">
        <v>0</v>
      </c>
      <c r="I303" t="n">
        <v>0</v>
      </c>
      <c r="J303" t="n">
        <v>0</v>
      </c>
      <c r="K303" t="n">
        <v>0</v>
      </c>
      <c r="L303" t="n">
        <v>0</v>
      </c>
      <c r="M303" t="n">
        <v>0</v>
      </c>
      <c r="N303" t="n">
        <v>0</v>
      </c>
      <c r="O303" t="n">
        <v>0</v>
      </c>
      <c r="P303" t="n">
        <v>0</v>
      </c>
      <c r="Q303" t="n">
        <v>0</v>
      </c>
      <c r="R303" s="2" t="inlineStr"/>
    </row>
    <row r="304" ht="15" customHeight="1">
      <c r="A304" t="inlineStr">
        <is>
          <t>A 37763-2021</t>
        </is>
      </c>
      <c r="B304" s="1" t="n">
        <v>44400.6750925926</v>
      </c>
      <c r="C304" s="1" t="n">
        <v>45970</v>
      </c>
      <c r="D304" t="inlineStr">
        <is>
          <t>UPPSALA LÄN</t>
        </is>
      </c>
      <c r="E304" t="inlineStr">
        <is>
          <t>UPPSALA</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37820-2021</t>
        </is>
      </c>
      <c r="B305" s="1" t="n">
        <v>44403.3119212963</v>
      </c>
      <c r="C305" s="1" t="n">
        <v>45970</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38469-2025</t>
        </is>
      </c>
      <c r="B306" s="1" t="n">
        <v>45884</v>
      </c>
      <c r="C306" s="1" t="n">
        <v>45970</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45970</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1573-2021</t>
        </is>
      </c>
      <c r="B308" s="1" t="n">
        <v>44209</v>
      </c>
      <c r="C308" s="1" t="n">
        <v>45970</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37162-2021</t>
        </is>
      </c>
      <c r="B309" s="1" t="n">
        <v>44395</v>
      </c>
      <c r="C309" s="1" t="n">
        <v>45970</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7058-2023</t>
        </is>
      </c>
      <c r="B310" s="1" t="n">
        <v>44969</v>
      </c>
      <c r="C310" s="1" t="n">
        <v>45970</v>
      </c>
      <c r="D310" t="inlineStr">
        <is>
          <t>UPPSALA LÄN</t>
        </is>
      </c>
      <c r="E310" t="inlineStr">
        <is>
          <t>UPPSALA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3214-2023</t>
        </is>
      </c>
      <c r="B311" s="1" t="n">
        <v>44944</v>
      </c>
      <c r="C311" s="1" t="n">
        <v>45970</v>
      </c>
      <c r="D311" t="inlineStr">
        <is>
          <t>UPPSALA LÄN</t>
        </is>
      </c>
      <c r="E311" t="inlineStr">
        <is>
          <t>UPPSALA</t>
        </is>
      </c>
      <c r="G311" t="n">
        <v>4.1</v>
      </c>
      <c r="H311" t="n">
        <v>0</v>
      </c>
      <c r="I311" t="n">
        <v>0</v>
      </c>
      <c r="J311" t="n">
        <v>0</v>
      </c>
      <c r="K311" t="n">
        <v>0</v>
      </c>
      <c r="L311" t="n">
        <v>0</v>
      </c>
      <c r="M311" t="n">
        <v>0</v>
      </c>
      <c r="N311" t="n">
        <v>0</v>
      </c>
      <c r="O311" t="n">
        <v>0</v>
      </c>
      <c r="P311" t="n">
        <v>0</v>
      </c>
      <c r="Q311" t="n">
        <v>0</v>
      </c>
      <c r="R311" s="2" t="inlineStr"/>
    </row>
    <row r="312" ht="15" customHeight="1">
      <c r="A312" t="inlineStr">
        <is>
          <t>A 9295-2023</t>
        </is>
      </c>
      <c r="B312" s="1" t="n">
        <v>44980</v>
      </c>
      <c r="C312" s="1" t="n">
        <v>45970</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50669-2024</t>
        </is>
      </c>
      <c r="B313" s="1" t="n">
        <v>45601</v>
      </c>
      <c r="C313" s="1" t="n">
        <v>45970</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45970</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45970</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45970</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36782-2023</t>
        </is>
      </c>
      <c r="B317" s="1" t="n">
        <v>45154.35092592592</v>
      </c>
      <c r="C317" s="1" t="n">
        <v>45970</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14337-2022</t>
        </is>
      </c>
      <c r="B318" s="1" t="n">
        <v>44652</v>
      </c>
      <c r="C318" s="1" t="n">
        <v>45970</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2980-2025</t>
        </is>
      </c>
      <c r="B319" s="1" t="n">
        <v>45678</v>
      </c>
      <c r="C319" s="1" t="n">
        <v>45970</v>
      </c>
      <c r="D319" t="inlineStr">
        <is>
          <t>UPPSALA LÄN</t>
        </is>
      </c>
      <c r="E319" t="inlineStr">
        <is>
          <t>UPPSALA</t>
        </is>
      </c>
      <c r="G319" t="n">
        <v>5</v>
      </c>
      <c r="H319" t="n">
        <v>0</v>
      </c>
      <c r="I319" t="n">
        <v>0</v>
      </c>
      <c r="J319" t="n">
        <v>0</v>
      </c>
      <c r="K319" t="n">
        <v>0</v>
      </c>
      <c r="L319" t="n">
        <v>0</v>
      </c>
      <c r="M319" t="n">
        <v>0</v>
      </c>
      <c r="N319" t="n">
        <v>0</v>
      </c>
      <c r="O319" t="n">
        <v>0</v>
      </c>
      <c r="P319" t="n">
        <v>0</v>
      </c>
      <c r="Q319" t="n">
        <v>0</v>
      </c>
      <c r="R319" s="2" t="inlineStr"/>
    </row>
    <row r="320" ht="15" customHeight="1">
      <c r="A320" t="inlineStr">
        <is>
          <t>A 63307-2021</t>
        </is>
      </c>
      <c r="B320" s="1" t="n">
        <v>44508.44033564815</v>
      </c>
      <c r="C320" s="1" t="n">
        <v>45970</v>
      </c>
      <c r="D320" t="inlineStr">
        <is>
          <t>UPPSALA LÄN</t>
        </is>
      </c>
      <c r="E320" t="inlineStr">
        <is>
          <t>UPPSALA</t>
        </is>
      </c>
      <c r="F320" t="inlineStr">
        <is>
          <t>Bergvik skog öst AB</t>
        </is>
      </c>
      <c r="G320" t="n">
        <v>2.8</v>
      </c>
      <c r="H320" t="n">
        <v>0</v>
      </c>
      <c r="I320" t="n">
        <v>0</v>
      </c>
      <c r="J320" t="n">
        <v>0</v>
      </c>
      <c r="K320" t="n">
        <v>0</v>
      </c>
      <c r="L320" t="n">
        <v>0</v>
      </c>
      <c r="M320" t="n">
        <v>0</v>
      </c>
      <c r="N320" t="n">
        <v>0</v>
      </c>
      <c r="O320" t="n">
        <v>0</v>
      </c>
      <c r="P320" t="n">
        <v>0</v>
      </c>
      <c r="Q320" t="n">
        <v>0</v>
      </c>
      <c r="R320" s="2" t="inlineStr"/>
    </row>
    <row r="321" ht="15" customHeight="1">
      <c r="A321" t="inlineStr">
        <is>
          <t>A 17448-2022</t>
        </is>
      </c>
      <c r="B321" s="1" t="n">
        <v>44679</v>
      </c>
      <c r="C321" s="1" t="n">
        <v>45970</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53900-2023</t>
        </is>
      </c>
      <c r="B322" s="1" t="n">
        <v>45231.54601851852</v>
      </c>
      <c r="C322" s="1" t="n">
        <v>45970</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66690-2021</t>
        </is>
      </c>
      <c r="B323" s="1" t="n">
        <v>44519.64902777778</v>
      </c>
      <c r="C323" s="1" t="n">
        <v>45970</v>
      </c>
      <c r="D323" t="inlineStr">
        <is>
          <t>UPPSALA LÄN</t>
        </is>
      </c>
      <c r="E323" t="inlineStr">
        <is>
          <t>UPPSALA</t>
        </is>
      </c>
      <c r="G323" t="n">
        <v>2.2</v>
      </c>
      <c r="H323" t="n">
        <v>0</v>
      </c>
      <c r="I323" t="n">
        <v>0</v>
      </c>
      <c r="J323" t="n">
        <v>0</v>
      </c>
      <c r="K323" t="n">
        <v>0</v>
      </c>
      <c r="L323" t="n">
        <v>0</v>
      </c>
      <c r="M323" t="n">
        <v>0</v>
      </c>
      <c r="N323" t="n">
        <v>0</v>
      </c>
      <c r="O323" t="n">
        <v>0</v>
      </c>
      <c r="P323" t="n">
        <v>0</v>
      </c>
      <c r="Q323" t="n">
        <v>0</v>
      </c>
      <c r="R323" s="2" t="inlineStr"/>
    </row>
    <row r="324" ht="15" customHeight="1">
      <c r="A324" t="inlineStr">
        <is>
          <t>A 17595-2025</t>
        </is>
      </c>
      <c r="B324" s="1" t="n">
        <v>45757</v>
      </c>
      <c r="C324" s="1" t="n">
        <v>45970</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46983-2025</t>
        </is>
      </c>
      <c r="B325" s="1" t="n">
        <v>45929.53203703704</v>
      </c>
      <c r="C325" s="1" t="n">
        <v>45970</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32928-2025</t>
        </is>
      </c>
      <c r="B326" s="1" t="n">
        <v>45839</v>
      </c>
      <c r="C326" s="1" t="n">
        <v>45970</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62054-2024</t>
        </is>
      </c>
      <c r="B327" s="1" t="n">
        <v>45656</v>
      </c>
      <c r="C327" s="1" t="n">
        <v>45970</v>
      </c>
      <c r="D327" t="inlineStr">
        <is>
          <t>UPPSALA LÄN</t>
        </is>
      </c>
      <c r="E327" t="inlineStr">
        <is>
          <t>UPPSALA</t>
        </is>
      </c>
      <c r="F327" t="inlineStr">
        <is>
          <t>Övriga statliga verk och myndigheter</t>
        </is>
      </c>
      <c r="G327" t="n">
        <v>29.3</v>
      </c>
      <c r="H327" t="n">
        <v>0</v>
      </c>
      <c r="I327" t="n">
        <v>0</v>
      </c>
      <c r="J327" t="n">
        <v>0</v>
      </c>
      <c r="K327" t="n">
        <v>0</v>
      </c>
      <c r="L327" t="n">
        <v>0</v>
      </c>
      <c r="M327" t="n">
        <v>0</v>
      </c>
      <c r="N327" t="n">
        <v>0</v>
      </c>
      <c r="O327" t="n">
        <v>0</v>
      </c>
      <c r="P327" t="n">
        <v>0</v>
      </c>
      <c r="Q327" t="n">
        <v>0</v>
      </c>
      <c r="R327" s="2" t="inlineStr"/>
    </row>
    <row r="328" ht="15" customHeight="1">
      <c r="A328" t="inlineStr">
        <is>
          <t>A 62044-2024</t>
        </is>
      </c>
      <c r="B328" s="1" t="n">
        <v>45656</v>
      </c>
      <c r="C328" s="1" t="n">
        <v>45970</v>
      </c>
      <c r="D328" t="inlineStr">
        <is>
          <t>UPPSALA LÄN</t>
        </is>
      </c>
      <c r="E328" t="inlineStr">
        <is>
          <t>UPPSALA</t>
        </is>
      </c>
      <c r="F328" t="inlineStr">
        <is>
          <t>Övriga statliga verk och myndigheter</t>
        </is>
      </c>
      <c r="G328" t="n">
        <v>11.6</v>
      </c>
      <c r="H328" t="n">
        <v>0</v>
      </c>
      <c r="I328" t="n">
        <v>0</v>
      </c>
      <c r="J328" t="n">
        <v>0</v>
      </c>
      <c r="K328" t="n">
        <v>0</v>
      </c>
      <c r="L328" t="n">
        <v>0</v>
      </c>
      <c r="M328" t="n">
        <v>0</v>
      </c>
      <c r="N328" t="n">
        <v>0</v>
      </c>
      <c r="O328" t="n">
        <v>0</v>
      </c>
      <c r="P328" t="n">
        <v>0</v>
      </c>
      <c r="Q328" t="n">
        <v>0</v>
      </c>
      <c r="R328" s="2" t="inlineStr"/>
    </row>
    <row r="329" ht="15" customHeight="1">
      <c r="A329" t="inlineStr">
        <is>
          <t>A 60781-2023</t>
        </is>
      </c>
      <c r="B329" s="1" t="n">
        <v>45259</v>
      </c>
      <c r="C329" s="1" t="n">
        <v>45970</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60714-2023</t>
        </is>
      </c>
      <c r="B330" s="1" t="n">
        <v>45259</v>
      </c>
      <c r="C330" s="1" t="n">
        <v>45970</v>
      </c>
      <c r="D330" t="inlineStr">
        <is>
          <t>UPPSALA LÄN</t>
        </is>
      </c>
      <c r="E330" t="inlineStr">
        <is>
          <t>UPPSALA</t>
        </is>
      </c>
      <c r="G330" t="n">
        <v>3.3</v>
      </c>
      <c r="H330" t="n">
        <v>0</v>
      </c>
      <c r="I330" t="n">
        <v>0</v>
      </c>
      <c r="J330" t="n">
        <v>0</v>
      </c>
      <c r="K330" t="n">
        <v>0</v>
      </c>
      <c r="L330" t="n">
        <v>0</v>
      </c>
      <c r="M330" t="n">
        <v>0</v>
      </c>
      <c r="N330" t="n">
        <v>0</v>
      </c>
      <c r="O330" t="n">
        <v>0</v>
      </c>
      <c r="P330" t="n">
        <v>0</v>
      </c>
      <c r="Q330" t="n">
        <v>0</v>
      </c>
      <c r="R330" s="2" t="inlineStr"/>
    </row>
    <row r="331" ht="15" customHeight="1">
      <c r="A331" t="inlineStr">
        <is>
          <t>A 5722-2025</t>
        </is>
      </c>
      <c r="B331" s="1" t="n">
        <v>45694</v>
      </c>
      <c r="C331" s="1" t="n">
        <v>45970</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37316-2022</t>
        </is>
      </c>
      <c r="B332" s="1" t="n">
        <v>44806</v>
      </c>
      <c r="C332" s="1" t="n">
        <v>45970</v>
      </c>
      <c r="D332" t="inlineStr">
        <is>
          <t>UPPSALA LÄN</t>
        </is>
      </c>
      <c r="E332" t="inlineStr">
        <is>
          <t>UPPSALA</t>
        </is>
      </c>
      <c r="G332" t="n">
        <v>10.6</v>
      </c>
      <c r="H332" t="n">
        <v>0</v>
      </c>
      <c r="I332" t="n">
        <v>0</v>
      </c>
      <c r="J332" t="n">
        <v>0</v>
      </c>
      <c r="K332" t="n">
        <v>0</v>
      </c>
      <c r="L332" t="n">
        <v>0</v>
      </c>
      <c r="M332" t="n">
        <v>0</v>
      </c>
      <c r="N332" t="n">
        <v>0</v>
      </c>
      <c r="O332" t="n">
        <v>0</v>
      </c>
      <c r="P332" t="n">
        <v>0</v>
      </c>
      <c r="Q332" t="n">
        <v>0</v>
      </c>
      <c r="R332" s="2" t="inlineStr"/>
    </row>
    <row r="333" ht="15" customHeight="1">
      <c r="A333" t="inlineStr">
        <is>
          <t>A 27912-2023</t>
        </is>
      </c>
      <c r="B333" s="1" t="n">
        <v>45098.63572916666</v>
      </c>
      <c r="C333" s="1" t="n">
        <v>45970</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47131-2025</t>
        </is>
      </c>
      <c r="B334" s="1" t="n">
        <v>45929.69553240741</v>
      </c>
      <c r="C334" s="1" t="n">
        <v>45970</v>
      </c>
      <c r="D334" t="inlineStr">
        <is>
          <t>UPPSALA LÄN</t>
        </is>
      </c>
      <c r="E334" t="inlineStr">
        <is>
          <t>UPPSALA</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47132-2025</t>
        </is>
      </c>
      <c r="B335" s="1" t="n">
        <v>45929.6965162037</v>
      </c>
      <c r="C335" s="1" t="n">
        <v>45970</v>
      </c>
      <c r="D335" t="inlineStr">
        <is>
          <t>UPPSALA LÄN</t>
        </is>
      </c>
      <c r="E335" t="inlineStr">
        <is>
          <t>UPPSALA</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19380-2023</t>
        </is>
      </c>
      <c r="B336" s="1" t="n">
        <v>45049.66025462963</v>
      </c>
      <c r="C336" s="1" t="n">
        <v>45970</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5764-2025</t>
        </is>
      </c>
      <c r="B337" s="1" t="n">
        <v>45694</v>
      </c>
      <c r="C337" s="1" t="n">
        <v>45970</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1731-2022</t>
        </is>
      </c>
      <c r="B338" s="1" t="n">
        <v>44574</v>
      </c>
      <c r="C338" s="1" t="n">
        <v>45970</v>
      </c>
      <c r="D338" t="inlineStr">
        <is>
          <t>UPPSALA LÄN</t>
        </is>
      </c>
      <c r="E338" t="inlineStr">
        <is>
          <t>UPPSALA</t>
        </is>
      </c>
      <c r="G338" t="n">
        <v>10.1</v>
      </c>
      <c r="H338" t="n">
        <v>0</v>
      </c>
      <c r="I338" t="n">
        <v>0</v>
      </c>
      <c r="J338" t="n">
        <v>0</v>
      </c>
      <c r="K338" t="n">
        <v>0</v>
      </c>
      <c r="L338" t="n">
        <v>0</v>
      </c>
      <c r="M338" t="n">
        <v>0</v>
      </c>
      <c r="N338" t="n">
        <v>0</v>
      </c>
      <c r="O338" t="n">
        <v>0</v>
      </c>
      <c r="P338" t="n">
        <v>0</v>
      </c>
      <c r="Q338" t="n">
        <v>0</v>
      </c>
      <c r="R338" s="2" t="inlineStr"/>
    </row>
    <row r="339" ht="15" customHeight="1">
      <c r="A339" t="inlineStr">
        <is>
          <t>A 40100-2022</t>
        </is>
      </c>
      <c r="B339" s="1" t="n">
        <v>44820.47935185185</v>
      </c>
      <c r="C339" s="1" t="n">
        <v>45970</v>
      </c>
      <c r="D339" t="inlineStr">
        <is>
          <t>UPPSALA LÄN</t>
        </is>
      </c>
      <c r="E339" t="inlineStr">
        <is>
          <t>UPPSALA</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13343-2022</t>
        </is>
      </c>
      <c r="B340" s="1" t="n">
        <v>44645.39157407408</v>
      </c>
      <c r="C340" s="1" t="n">
        <v>45970</v>
      </c>
      <c r="D340" t="inlineStr">
        <is>
          <t>UPPSALA LÄN</t>
        </is>
      </c>
      <c r="E340" t="inlineStr">
        <is>
          <t>UPPSALA</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60925-2021</t>
        </is>
      </c>
      <c r="B341" s="1" t="n">
        <v>44497.4666087963</v>
      </c>
      <c r="C341" s="1" t="n">
        <v>45970</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36392-2023</t>
        </is>
      </c>
      <c r="B342" s="1" t="n">
        <v>45152</v>
      </c>
      <c r="C342" s="1" t="n">
        <v>45970</v>
      </c>
      <c r="D342" t="inlineStr">
        <is>
          <t>UPPSALA LÄN</t>
        </is>
      </c>
      <c r="E342" t="inlineStr">
        <is>
          <t>UPPSALA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54813-2022</t>
        </is>
      </c>
      <c r="B343" s="1" t="n">
        <v>44883</v>
      </c>
      <c r="C343" s="1" t="n">
        <v>45970</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21727-2023</t>
        </is>
      </c>
      <c r="B344" s="1" t="n">
        <v>45065.43013888889</v>
      </c>
      <c r="C344" s="1" t="n">
        <v>45970</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45970</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59116-2024</t>
        </is>
      </c>
      <c r="B346" s="1" t="n">
        <v>45637</v>
      </c>
      <c r="C346" s="1" t="n">
        <v>45970</v>
      </c>
      <c r="D346" t="inlineStr">
        <is>
          <t>UPPSALA LÄN</t>
        </is>
      </c>
      <c r="E346" t="inlineStr">
        <is>
          <t>UPPSALA</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6155-2023</t>
        </is>
      </c>
      <c r="B347" s="1" t="n">
        <v>44964.65261574074</v>
      </c>
      <c r="C347" s="1" t="n">
        <v>45970</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69698-2021</t>
        </is>
      </c>
      <c r="B348" s="1" t="n">
        <v>44532</v>
      </c>
      <c r="C348" s="1" t="n">
        <v>45970</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5068-2025</t>
        </is>
      </c>
      <c r="B349" s="1" t="n">
        <v>45691</v>
      </c>
      <c r="C349" s="1" t="n">
        <v>45970</v>
      </c>
      <c r="D349" t="inlineStr">
        <is>
          <t>UPPSALA LÄN</t>
        </is>
      </c>
      <c r="E349" t="inlineStr">
        <is>
          <t>UPPSALA</t>
        </is>
      </c>
      <c r="G349" t="n">
        <v>5.9</v>
      </c>
      <c r="H349" t="n">
        <v>0</v>
      </c>
      <c r="I349" t="n">
        <v>0</v>
      </c>
      <c r="J349" t="n">
        <v>0</v>
      </c>
      <c r="K349" t="n">
        <v>0</v>
      </c>
      <c r="L349" t="n">
        <v>0</v>
      </c>
      <c r="M349" t="n">
        <v>0</v>
      </c>
      <c r="N349" t="n">
        <v>0</v>
      </c>
      <c r="O349" t="n">
        <v>0</v>
      </c>
      <c r="P349" t="n">
        <v>0</v>
      </c>
      <c r="Q349" t="n">
        <v>0</v>
      </c>
      <c r="R349" s="2" t="inlineStr"/>
    </row>
    <row r="350" ht="15" customHeight="1">
      <c r="A350" t="inlineStr">
        <is>
          <t>A 6009-2022</t>
        </is>
      </c>
      <c r="B350" s="1" t="n">
        <v>44599.44832175926</v>
      </c>
      <c r="C350" s="1" t="n">
        <v>45970</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56889-2022</t>
        </is>
      </c>
      <c r="B351" s="1" t="n">
        <v>44894.57065972222</v>
      </c>
      <c r="C351" s="1" t="n">
        <v>45970</v>
      </c>
      <c r="D351" t="inlineStr">
        <is>
          <t>UPPSALA LÄN</t>
        </is>
      </c>
      <c r="E351" t="inlineStr">
        <is>
          <t>UPPSALA</t>
        </is>
      </c>
      <c r="F351" t="inlineStr">
        <is>
          <t>Övriga Aktiebolag</t>
        </is>
      </c>
      <c r="G351" t="n">
        <v>21.6</v>
      </c>
      <c r="H351" t="n">
        <v>0</v>
      </c>
      <c r="I351" t="n">
        <v>0</v>
      </c>
      <c r="J351" t="n">
        <v>0</v>
      </c>
      <c r="K351" t="n">
        <v>0</v>
      </c>
      <c r="L351" t="n">
        <v>0</v>
      </c>
      <c r="M351" t="n">
        <v>0</v>
      </c>
      <c r="N351" t="n">
        <v>0</v>
      </c>
      <c r="O351" t="n">
        <v>0</v>
      </c>
      <c r="P351" t="n">
        <v>0</v>
      </c>
      <c r="Q351" t="n">
        <v>0</v>
      </c>
      <c r="R351" s="2" t="inlineStr"/>
    </row>
    <row r="352" ht="15" customHeight="1">
      <c r="A352" t="inlineStr">
        <is>
          <t>A 59549-2024</t>
        </is>
      </c>
      <c r="B352" s="1" t="n">
        <v>45638</v>
      </c>
      <c r="C352" s="1" t="n">
        <v>45970</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12606-2023</t>
        </is>
      </c>
      <c r="B353" s="1" t="n">
        <v>45000.44666666666</v>
      </c>
      <c r="C353" s="1" t="n">
        <v>45970</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5204-2025</t>
        </is>
      </c>
      <c r="B354" s="1" t="n">
        <v>45691</v>
      </c>
      <c r="C354" s="1" t="n">
        <v>45970</v>
      </c>
      <c r="D354" t="inlineStr">
        <is>
          <t>UPPSALA LÄN</t>
        </is>
      </c>
      <c r="E354" t="inlineStr">
        <is>
          <t>UPPSALA</t>
        </is>
      </c>
      <c r="G354" t="n">
        <v>3.7</v>
      </c>
      <c r="H354" t="n">
        <v>0</v>
      </c>
      <c r="I354" t="n">
        <v>0</v>
      </c>
      <c r="J354" t="n">
        <v>0</v>
      </c>
      <c r="K354" t="n">
        <v>0</v>
      </c>
      <c r="L354" t="n">
        <v>0</v>
      </c>
      <c r="M354" t="n">
        <v>0</v>
      </c>
      <c r="N354" t="n">
        <v>0</v>
      </c>
      <c r="O354" t="n">
        <v>0</v>
      </c>
      <c r="P354" t="n">
        <v>0</v>
      </c>
      <c r="Q354" t="n">
        <v>0</v>
      </c>
      <c r="R354" s="2" t="inlineStr"/>
    </row>
    <row r="355" ht="15" customHeight="1">
      <c r="A355" t="inlineStr">
        <is>
          <t>A 9993-2025</t>
        </is>
      </c>
      <c r="B355" s="1" t="n">
        <v>45719.43755787037</v>
      </c>
      <c r="C355" s="1" t="n">
        <v>45970</v>
      </c>
      <c r="D355" t="inlineStr">
        <is>
          <t>UPPSALA LÄN</t>
        </is>
      </c>
      <c r="E355" t="inlineStr">
        <is>
          <t>UPPSALA</t>
        </is>
      </c>
      <c r="F355" t="inlineStr">
        <is>
          <t>Kyrkan</t>
        </is>
      </c>
      <c r="G355" t="n">
        <v>6.1</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45970</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18410-2025</t>
        </is>
      </c>
      <c r="B357" s="1" t="n">
        <v>45762.61341435185</v>
      </c>
      <c r="C357" s="1" t="n">
        <v>45970</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20102-2023</t>
        </is>
      </c>
      <c r="B358" s="1" t="n">
        <v>45054.95675925926</v>
      </c>
      <c r="C358" s="1" t="n">
        <v>45970</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8931-2025</t>
        </is>
      </c>
      <c r="B359" s="1" t="n">
        <v>45713.44519675926</v>
      </c>
      <c r="C359" s="1" t="n">
        <v>45970</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4503-2024</t>
        </is>
      </c>
      <c r="B360" s="1" t="n">
        <v>45327.61831018519</v>
      </c>
      <c r="C360" s="1" t="n">
        <v>45970</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6630-2024</t>
        </is>
      </c>
      <c r="B361" s="1" t="n">
        <v>45341.63811342593</v>
      </c>
      <c r="C361" s="1" t="n">
        <v>45970</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19017-2023</t>
        </is>
      </c>
      <c r="B362" s="1" t="n">
        <v>45047.31793981481</v>
      </c>
      <c r="C362" s="1" t="n">
        <v>45970</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55862-2022</t>
        </is>
      </c>
      <c r="B363" s="1" t="n">
        <v>44888</v>
      </c>
      <c r="C363" s="1" t="n">
        <v>45970</v>
      </c>
      <c r="D363" t="inlineStr">
        <is>
          <t>UPPSALA LÄN</t>
        </is>
      </c>
      <c r="E363" t="inlineStr">
        <is>
          <t>UPPSALA</t>
        </is>
      </c>
      <c r="F363" t="inlineStr">
        <is>
          <t>Bergvik skog öst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1032-2023</t>
        </is>
      </c>
      <c r="B364" s="1" t="n">
        <v>44935</v>
      </c>
      <c r="C364" s="1" t="n">
        <v>45970</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8672-2024</t>
        </is>
      </c>
      <c r="B365" s="1" t="n">
        <v>45352</v>
      </c>
      <c r="C365" s="1" t="n">
        <v>45970</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53569-2024</t>
        </is>
      </c>
      <c r="B366" s="1" t="n">
        <v>45614.65928240741</v>
      </c>
      <c r="C366" s="1" t="n">
        <v>45970</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1020-2021</t>
        </is>
      </c>
      <c r="B367" s="1" t="n">
        <v>44207</v>
      </c>
      <c r="C367" s="1" t="n">
        <v>45970</v>
      </c>
      <c r="D367" t="inlineStr">
        <is>
          <t>UPPSALA LÄN</t>
        </is>
      </c>
      <c r="E367" t="inlineStr">
        <is>
          <t>UPPSALA</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33191-2023</t>
        </is>
      </c>
      <c r="B368" s="1" t="n">
        <v>45127</v>
      </c>
      <c r="C368" s="1" t="n">
        <v>45970</v>
      </c>
      <c r="D368" t="inlineStr">
        <is>
          <t>UPPSALA LÄN</t>
        </is>
      </c>
      <c r="E368" t="inlineStr">
        <is>
          <t>UPPSALA</t>
        </is>
      </c>
      <c r="G368" t="n">
        <v>1.3</v>
      </c>
      <c r="H368" t="n">
        <v>0</v>
      </c>
      <c r="I368" t="n">
        <v>0</v>
      </c>
      <c r="J368" t="n">
        <v>0</v>
      </c>
      <c r="K368" t="n">
        <v>0</v>
      </c>
      <c r="L368" t="n">
        <v>0</v>
      </c>
      <c r="M368" t="n">
        <v>0</v>
      </c>
      <c r="N368" t="n">
        <v>0</v>
      </c>
      <c r="O368" t="n">
        <v>0</v>
      </c>
      <c r="P368" t="n">
        <v>0</v>
      </c>
      <c r="Q368" t="n">
        <v>0</v>
      </c>
      <c r="R368" s="2" t="inlineStr"/>
    </row>
    <row r="369" ht="15" customHeight="1">
      <c r="A369" t="inlineStr">
        <is>
          <t>A 34265-2021</t>
        </is>
      </c>
      <c r="B369" s="1" t="n">
        <v>44379.5745949074</v>
      </c>
      <c r="C369" s="1" t="n">
        <v>45970</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5362-2023</t>
        </is>
      </c>
      <c r="B370" s="1" t="n">
        <v>44944</v>
      </c>
      <c r="C370" s="1" t="n">
        <v>45970</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63011-2021</t>
        </is>
      </c>
      <c r="B371" s="1" t="n">
        <v>44504</v>
      </c>
      <c r="C371" s="1" t="n">
        <v>45970</v>
      </c>
      <c r="D371" t="inlineStr">
        <is>
          <t>UPPSALA LÄN</t>
        </is>
      </c>
      <c r="E371" t="inlineStr">
        <is>
          <t>UPPSALA</t>
        </is>
      </c>
      <c r="G371" t="n">
        <v>11.2</v>
      </c>
      <c r="H371" t="n">
        <v>0</v>
      </c>
      <c r="I371" t="n">
        <v>0</v>
      </c>
      <c r="J371" t="n">
        <v>0</v>
      </c>
      <c r="K371" t="n">
        <v>0</v>
      </c>
      <c r="L371" t="n">
        <v>0</v>
      </c>
      <c r="M371" t="n">
        <v>0</v>
      </c>
      <c r="N371" t="n">
        <v>0</v>
      </c>
      <c r="O371" t="n">
        <v>0</v>
      </c>
      <c r="P371" t="n">
        <v>0</v>
      </c>
      <c r="Q371" t="n">
        <v>0</v>
      </c>
      <c r="R371" s="2" t="inlineStr"/>
    </row>
    <row r="372" ht="15" customHeight="1">
      <c r="A372" t="inlineStr">
        <is>
          <t>A 44315-2021</t>
        </is>
      </c>
      <c r="B372" s="1" t="n">
        <v>44435.38657407407</v>
      </c>
      <c r="C372" s="1" t="n">
        <v>45970</v>
      </c>
      <c r="D372" t="inlineStr">
        <is>
          <t>UPPSALA LÄN</t>
        </is>
      </c>
      <c r="E372" t="inlineStr">
        <is>
          <t>UPPSALA</t>
        </is>
      </c>
      <c r="G372" t="n">
        <v>5.2</v>
      </c>
      <c r="H372" t="n">
        <v>0</v>
      </c>
      <c r="I372" t="n">
        <v>0</v>
      </c>
      <c r="J372" t="n">
        <v>0</v>
      </c>
      <c r="K372" t="n">
        <v>0</v>
      </c>
      <c r="L372" t="n">
        <v>0</v>
      </c>
      <c r="M372" t="n">
        <v>0</v>
      </c>
      <c r="N372" t="n">
        <v>0</v>
      </c>
      <c r="O372" t="n">
        <v>0</v>
      </c>
      <c r="P372" t="n">
        <v>0</v>
      </c>
      <c r="Q372" t="n">
        <v>0</v>
      </c>
      <c r="R372" s="2" t="inlineStr"/>
    </row>
    <row r="373" ht="15" customHeight="1">
      <c r="A373" t="inlineStr">
        <is>
          <t>A 6851-2022</t>
        </is>
      </c>
      <c r="B373" s="1" t="n">
        <v>44602</v>
      </c>
      <c r="C373" s="1" t="n">
        <v>45970</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19139-2023</t>
        </is>
      </c>
      <c r="B374" s="1" t="n">
        <v>45048.55349537037</v>
      </c>
      <c r="C374" s="1" t="n">
        <v>45970</v>
      </c>
      <c r="D374" t="inlineStr">
        <is>
          <t>UPPSALA LÄN</t>
        </is>
      </c>
      <c r="E374" t="inlineStr">
        <is>
          <t>UPPSALA</t>
        </is>
      </c>
      <c r="G374" t="n">
        <v>3</v>
      </c>
      <c r="H374" t="n">
        <v>0</v>
      </c>
      <c r="I374" t="n">
        <v>0</v>
      </c>
      <c r="J374" t="n">
        <v>0</v>
      </c>
      <c r="K374" t="n">
        <v>0</v>
      </c>
      <c r="L374" t="n">
        <v>0</v>
      </c>
      <c r="M374" t="n">
        <v>0</v>
      </c>
      <c r="N374" t="n">
        <v>0</v>
      </c>
      <c r="O374" t="n">
        <v>0</v>
      </c>
      <c r="P374" t="n">
        <v>0</v>
      </c>
      <c r="Q374" t="n">
        <v>0</v>
      </c>
      <c r="R374" s="2" t="inlineStr"/>
    </row>
    <row r="375" ht="15" customHeight="1">
      <c r="A375" t="inlineStr">
        <is>
          <t>A 61947-2023</t>
        </is>
      </c>
      <c r="B375" s="1" t="n">
        <v>45266</v>
      </c>
      <c r="C375" s="1" t="n">
        <v>45970</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51661-2022</t>
        </is>
      </c>
      <c r="B376" s="1" t="n">
        <v>44872</v>
      </c>
      <c r="C376" s="1" t="n">
        <v>45970</v>
      </c>
      <c r="D376" t="inlineStr">
        <is>
          <t>UPPSALA LÄN</t>
        </is>
      </c>
      <c r="E376" t="inlineStr">
        <is>
          <t>UPPSALA</t>
        </is>
      </c>
      <c r="G376" t="n">
        <v>8.9</v>
      </c>
      <c r="H376" t="n">
        <v>0</v>
      </c>
      <c r="I376" t="n">
        <v>0</v>
      </c>
      <c r="J376" t="n">
        <v>0</v>
      </c>
      <c r="K376" t="n">
        <v>0</v>
      </c>
      <c r="L376" t="n">
        <v>0</v>
      </c>
      <c r="M376" t="n">
        <v>0</v>
      </c>
      <c r="N376" t="n">
        <v>0</v>
      </c>
      <c r="O376" t="n">
        <v>0</v>
      </c>
      <c r="P376" t="n">
        <v>0</v>
      </c>
      <c r="Q376" t="n">
        <v>0</v>
      </c>
      <c r="R376" s="2" t="inlineStr"/>
    </row>
    <row r="377" ht="15" customHeight="1">
      <c r="A377" t="inlineStr">
        <is>
          <t>A 46807-2022</t>
        </is>
      </c>
      <c r="B377" s="1" t="n">
        <v>44848</v>
      </c>
      <c r="C377" s="1" t="n">
        <v>45970</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60814-2023</t>
        </is>
      </c>
      <c r="B378" s="1" t="n">
        <v>45259</v>
      </c>
      <c r="C378" s="1" t="n">
        <v>45970</v>
      </c>
      <c r="D378" t="inlineStr">
        <is>
          <t>UPPSALA LÄN</t>
        </is>
      </c>
      <c r="E378" t="inlineStr">
        <is>
          <t>UPPSALA</t>
        </is>
      </c>
      <c r="G378" t="n">
        <v>5.9</v>
      </c>
      <c r="H378" t="n">
        <v>0</v>
      </c>
      <c r="I378" t="n">
        <v>0</v>
      </c>
      <c r="J378" t="n">
        <v>0</v>
      </c>
      <c r="K378" t="n">
        <v>0</v>
      </c>
      <c r="L378" t="n">
        <v>0</v>
      </c>
      <c r="M378" t="n">
        <v>0</v>
      </c>
      <c r="N378" t="n">
        <v>0</v>
      </c>
      <c r="O378" t="n">
        <v>0</v>
      </c>
      <c r="P378" t="n">
        <v>0</v>
      </c>
      <c r="Q378" t="n">
        <v>0</v>
      </c>
      <c r="R378" s="2" t="inlineStr"/>
    </row>
    <row r="379" ht="15" customHeight="1">
      <c r="A379" t="inlineStr">
        <is>
          <t>A 9398-2023</t>
        </is>
      </c>
      <c r="B379" s="1" t="n">
        <v>44977</v>
      </c>
      <c r="C379" s="1" t="n">
        <v>45970</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51935-2023</t>
        </is>
      </c>
      <c r="B380" s="1" t="n">
        <v>45223</v>
      </c>
      <c r="C380" s="1" t="n">
        <v>45970</v>
      </c>
      <c r="D380" t="inlineStr">
        <is>
          <t>UPPSALA LÄN</t>
        </is>
      </c>
      <c r="E380" t="inlineStr">
        <is>
          <t>UPPSALA</t>
        </is>
      </c>
      <c r="G380" t="n">
        <v>4.8</v>
      </c>
      <c r="H380" t="n">
        <v>0</v>
      </c>
      <c r="I380" t="n">
        <v>0</v>
      </c>
      <c r="J380" t="n">
        <v>0</v>
      </c>
      <c r="K380" t="n">
        <v>0</v>
      </c>
      <c r="L380" t="n">
        <v>0</v>
      </c>
      <c r="M380" t="n">
        <v>0</v>
      </c>
      <c r="N380" t="n">
        <v>0</v>
      </c>
      <c r="O380" t="n">
        <v>0</v>
      </c>
      <c r="P380" t="n">
        <v>0</v>
      </c>
      <c r="Q380" t="n">
        <v>0</v>
      </c>
      <c r="R380" s="2" t="inlineStr"/>
    </row>
    <row r="381" ht="15" customHeight="1">
      <c r="A381" t="inlineStr">
        <is>
          <t>A 32553-2024</t>
        </is>
      </c>
      <c r="B381" s="1" t="n">
        <v>45513.51815972223</v>
      </c>
      <c r="C381" s="1" t="n">
        <v>45970</v>
      </c>
      <c r="D381" t="inlineStr">
        <is>
          <t>UPPSALA LÄN</t>
        </is>
      </c>
      <c r="E381" t="inlineStr">
        <is>
          <t>UPPSALA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45970</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10674-2022</t>
        </is>
      </c>
      <c r="B383" s="1" t="n">
        <v>44624.64538194444</v>
      </c>
      <c r="C383" s="1" t="n">
        <v>45970</v>
      </c>
      <c r="D383" t="inlineStr">
        <is>
          <t>UPPSALA LÄN</t>
        </is>
      </c>
      <c r="E383" t="inlineStr">
        <is>
          <t>UPPSALA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54512-2024</t>
        </is>
      </c>
      <c r="B384" s="1" t="n">
        <v>45617.59006944444</v>
      </c>
      <c r="C384" s="1" t="n">
        <v>45970</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19276-2023</t>
        </is>
      </c>
      <c r="B385" s="1" t="n">
        <v>45049</v>
      </c>
      <c r="C385" s="1" t="n">
        <v>45970</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54924-2024</t>
        </is>
      </c>
      <c r="B386" s="1" t="n">
        <v>45618.71140046296</v>
      </c>
      <c r="C386" s="1" t="n">
        <v>45970</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74493-2021</t>
        </is>
      </c>
      <c r="B387" s="1" t="n">
        <v>44560</v>
      </c>
      <c r="C387" s="1" t="n">
        <v>45970</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45970</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12293-2022</t>
        </is>
      </c>
      <c r="B389" s="1" t="n">
        <v>44637.56178240741</v>
      </c>
      <c r="C389" s="1" t="n">
        <v>45970</v>
      </c>
      <c r="D389" t="inlineStr">
        <is>
          <t>UPPSALA LÄN</t>
        </is>
      </c>
      <c r="E389" t="inlineStr">
        <is>
          <t>UPPSALA</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53589-2024</t>
        </is>
      </c>
      <c r="B390" s="1" t="n">
        <v>45614.67020833334</v>
      </c>
      <c r="C390" s="1" t="n">
        <v>45970</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11744-2023</t>
        </is>
      </c>
      <c r="B391" s="1" t="n">
        <v>44993</v>
      </c>
      <c r="C391" s="1" t="n">
        <v>45970</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9235-2025</t>
        </is>
      </c>
      <c r="B392" s="1" t="n">
        <v>45714.55368055555</v>
      </c>
      <c r="C392" s="1" t="n">
        <v>45970</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23291-2024</t>
        </is>
      </c>
      <c r="B393" s="1" t="n">
        <v>45453</v>
      </c>
      <c r="C393" s="1" t="n">
        <v>45970</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18626-2025</t>
        </is>
      </c>
      <c r="B394" s="1" t="n">
        <v>45763.52995370371</v>
      </c>
      <c r="C394" s="1" t="n">
        <v>45970</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34114-2024</t>
        </is>
      </c>
      <c r="B395" s="1" t="n">
        <v>45524</v>
      </c>
      <c r="C395" s="1" t="n">
        <v>45970</v>
      </c>
      <c r="D395" t="inlineStr">
        <is>
          <t>UPPSALA LÄN</t>
        </is>
      </c>
      <c r="E395" t="inlineStr">
        <is>
          <t>UPPSALA</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7611-2023</t>
        </is>
      </c>
      <c r="B396" s="1" t="n">
        <v>44967</v>
      </c>
      <c r="C396" s="1" t="n">
        <v>45970</v>
      </c>
      <c r="D396" t="inlineStr">
        <is>
          <t>UPPSALA LÄN</t>
        </is>
      </c>
      <c r="E396" t="inlineStr">
        <is>
          <t>UPPSALA</t>
        </is>
      </c>
      <c r="G396" t="n">
        <v>3.5</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45970</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60056-2022</t>
        </is>
      </c>
      <c r="B398" s="1" t="n">
        <v>44909</v>
      </c>
      <c r="C398" s="1" t="n">
        <v>45970</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47316-2025</t>
        </is>
      </c>
      <c r="B399" s="1" t="n">
        <v>45930.55024305556</v>
      </c>
      <c r="C399" s="1" t="n">
        <v>45970</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19613-2025</t>
        </is>
      </c>
      <c r="B400" s="1" t="n">
        <v>45770.61341435185</v>
      </c>
      <c r="C400" s="1" t="n">
        <v>45970</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5989-2022</t>
        </is>
      </c>
      <c r="B401" s="1" t="n">
        <v>44599.42277777778</v>
      </c>
      <c r="C401" s="1" t="n">
        <v>45970</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39529-2025</t>
        </is>
      </c>
      <c r="B402" s="1" t="n">
        <v>45890</v>
      </c>
      <c r="C402" s="1" t="n">
        <v>45970</v>
      </c>
      <c r="D402" t="inlineStr">
        <is>
          <t>UPPSALA LÄN</t>
        </is>
      </c>
      <c r="E402" t="inlineStr">
        <is>
          <t>UPPSALA</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5006-2022</t>
        </is>
      </c>
      <c r="B403" s="1" t="n">
        <v>44593</v>
      </c>
      <c r="C403" s="1" t="n">
        <v>45970</v>
      </c>
      <c r="D403" t="inlineStr">
        <is>
          <t>UPPSALA LÄN</t>
        </is>
      </c>
      <c r="E403" t="inlineStr">
        <is>
          <t>UPPSALA</t>
        </is>
      </c>
      <c r="F403" t="inlineStr">
        <is>
          <t>BillerudKorsnäs AB</t>
        </is>
      </c>
      <c r="G403" t="n">
        <v>1.4</v>
      </c>
      <c r="H403" t="n">
        <v>0</v>
      </c>
      <c r="I403" t="n">
        <v>0</v>
      </c>
      <c r="J403" t="n">
        <v>0</v>
      </c>
      <c r="K403" t="n">
        <v>0</v>
      </c>
      <c r="L403" t="n">
        <v>0</v>
      </c>
      <c r="M403" t="n">
        <v>0</v>
      </c>
      <c r="N403" t="n">
        <v>0</v>
      </c>
      <c r="O403" t="n">
        <v>0</v>
      </c>
      <c r="P403" t="n">
        <v>0</v>
      </c>
      <c r="Q403" t="n">
        <v>0</v>
      </c>
      <c r="R403" s="2" t="inlineStr"/>
    </row>
    <row r="404" ht="15" customHeight="1">
      <c r="A404" t="inlineStr">
        <is>
          <t>A 5007-2022</t>
        </is>
      </c>
      <c r="B404" s="1" t="n">
        <v>44593.61355324074</v>
      </c>
      <c r="C404" s="1" t="n">
        <v>45970</v>
      </c>
      <c r="D404" t="inlineStr">
        <is>
          <t>UPPSALA LÄN</t>
        </is>
      </c>
      <c r="E404" t="inlineStr">
        <is>
          <t>UPPSALA</t>
        </is>
      </c>
      <c r="F404" t="inlineStr">
        <is>
          <t>BillerudKorsnäs AB</t>
        </is>
      </c>
      <c r="G404" t="n">
        <v>3.6</v>
      </c>
      <c r="H404" t="n">
        <v>0</v>
      </c>
      <c r="I404" t="n">
        <v>0</v>
      </c>
      <c r="J404" t="n">
        <v>0</v>
      </c>
      <c r="K404" t="n">
        <v>0</v>
      </c>
      <c r="L404" t="n">
        <v>0</v>
      </c>
      <c r="M404" t="n">
        <v>0</v>
      </c>
      <c r="N404" t="n">
        <v>0</v>
      </c>
      <c r="O404" t="n">
        <v>0</v>
      </c>
      <c r="P404" t="n">
        <v>0</v>
      </c>
      <c r="Q404" t="n">
        <v>0</v>
      </c>
      <c r="R404" s="2" t="inlineStr"/>
    </row>
    <row r="405" ht="15" customHeight="1">
      <c r="A405" t="inlineStr">
        <is>
          <t>A 2695-2025</t>
        </is>
      </c>
      <c r="B405" s="1" t="n">
        <v>45677.39440972222</v>
      </c>
      <c r="C405" s="1" t="n">
        <v>45970</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45970</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47557-2025</t>
        </is>
      </c>
      <c r="B407" s="1" t="n">
        <v>45931.37734953704</v>
      </c>
      <c r="C407" s="1" t="n">
        <v>45970</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47961-2025</t>
        </is>
      </c>
      <c r="B408" s="1" t="n">
        <v>45932.59373842592</v>
      </c>
      <c r="C408" s="1" t="n">
        <v>45970</v>
      </c>
      <c r="D408" t="inlineStr">
        <is>
          <t>UPPSALA LÄN</t>
        </is>
      </c>
      <c r="E408" t="inlineStr">
        <is>
          <t>UPPSALA</t>
        </is>
      </c>
      <c r="F408" t="inlineStr">
        <is>
          <t>Allmännings- och besparingsskogar</t>
        </is>
      </c>
      <c r="G408" t="n">
        <v>1.5</v>
      </c>
      <c r="H408" t="n">
        <v>0</v>
      </c>
      <c r="I408" t="n">
        <v>0</v>
      </c>
      <c r="J408" t="n">
        <v>0</v>
      </c>
      <c r="K408" t="n">
        <v>0</v>
      </c>
      <c r="L408" t="n">
        <v>0</v>
      </c>
      <c r="M408" t="n">
        <v>0</v>
      </c>
      <c r="N408" t="n">
        <v>0</v>
      </c>
      <c r="O408" t="n">
        <v>0</v>
      </c>
      <c r="P408" t="n">
        <v>0</v>
      </c>
      <c r="Q408" t="n">
        <v>0</v>
      </c>
      <c r="R408" s="2" t="inlineStr"/>
    </row>
    <row r="409" ht="15" customHeight="1">
      <c r="A409" t="inlineStr">
        <is>
          <t>A 47999-2025</t>
        </is>
      </c>
      <c r="B409" s="1" t="n">
        <v>45932.62907407407</v>
      </c>
      <c r="C409" s="1" t="n">
        <v>45970</v>
      </c>
      <c r="D409" t="inlineStr">
        <is>
          <t>UPPSALA LÄN</t>
        </is>
      </c>
      <c r="E409" t="inlineStr">
        <is>
          <t>UPPSALA</t>
        </is>
      </c>
      <c r="F409" t="inlineStr">
        <is>
          <t>Allmännings- och besparingsskogar</t>
        </is>
      </c>
      <c r="G409" t="n">
        <v>1</v>
      </c>
      <c r="H409" t="n">
        <v>0</v>
      </c>
      <c r="I409" t="n">
        <v>0</v>
      </c>
      <c r="J409" t="n">
        <v>0</v>
      </c>
      <c r="K409" t="n">
        <v>0</v>
      </c>
      <c r="L409" t="n">
        <v>0</v>
      </c>
      <c r="M409" t="n">
        <v>0</v>
      </c>
      <c r="N409" t="n">
        <v>0</v>
      </c>
      <c r="O409" t="n">
        <v>0</v>
      </c>
      <c r="P409" t="n">
        <v>0</v>
      </c>
      <c r="Q409" t="n">
        <v>0</v>
      </c>
      <c r="R409" s="2" t="inlineStr"/>
    </row>
    <row r="410" ht="15" customHeight="1">
      <c r="A410" t="inlineStr">
        <is>
          <t>A 3040-2023</t>
        </is>
      </c>
      <c r="B410" s="1" t="n">
        <v>44946</v>
      </c>
      <c r="C410" s="1" t="n">
        <v>45970</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18607-2024</t>
        </is>
      </c>
      <c r="B411" s="1" t="n">
        <v>45425.94947916667</v>
      </c>
      <c r="C411" s="1" t="n">
        <v>45970</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69691-2021</t>
        </is>
      </c>
      <c r="B412" s="1" t="n">
        <v>44532</v>
      </c>
      <c r="C412" s="1" t="n">
        <v>45970</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47978-2025</t>
        </is>
      </c>
      <c r="B413" s="1" t="n">
        <v>45932.61177083333</v>
      </c>
      <c r="C413" s="1" t="n">
        <v>45970</v>
      </c>
      <c r="D413" t="inlineStr">
        <is>
          <t>UPPSALA LÄN</t>
        </is>
      </c>
      <c r="E413" t="inlineStr">
        <is>
          <t>UPPSALA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40325-2023</t>
        </is>
      </c>
      <c r="B414" s="1" t="n">
        <v>45169</v>
      </c>
      <c r="C414" s="1" t="n">
        <v>45970</v>
      </c>
      <c r="D414" t="inlineStr">
        <is>
          <t>UPPSALA LÄN</t>
        </is>
      </c>
      <c r="E414" t="inlineStr">
        <is>
          <t>UPPSALA</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45970</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45970</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56872-2023</t>
        </is>
      </c>
      <c r="B417" s="1" t="n">
        <v>45244.52202546296</v>
      </c>
      <c r="C417" s="1" t="n">
        <v>45970</v>
      </c>
      <c r="D417" t="inlineStr">
        <is>
          <t>UPPSALA LÄN</t>
        </is>
      </c>
      <c r="E417" t="inlineStr">
        <is>
          <t>UPPSALA</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20301-2024</t>
        </is>
      </c>
      <c r="B418" s="1" t="n">
        <v>45435.34778935185</v>
      </c>
      <c r="C418" s="1" t="n">
        <v>45970</v>
      </c>
      <c r="D418" t="inlineStr">
        <is>
          <t>UPPSALA LÄN</t>
        </is>
      </c>
      <c r="E418" t="inlineStr">
        <is>
          <t>UPPSALA</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45970</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18805-2025</t>
        </is>
      </c>
      <c r="B420" s="1" t="n">
        <v>45763</v>
      </c>
      <c r="C420" s="1" t="n">
        <v>45970</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7899-2022</t>
        </is>
      </c>
      <c r="B421" s="1" t="n">
        <v>44608</v>
      </c>
      <c r="C421" s="1" t="n">
        <v>45970</v>
      </c>
      <c r="D421" t="inlineStr">
        <is>
          <t>UPPSALA LÄN</t>
        </is>
      </c>
      <c r="E421" t="inlineStr">
        <is>
          <t>UPPSALA</t>
        </is>
      </c>
      <c r="F421" t="inlineStr">
        <is>
          <t>Övriga Aktiebolag</t>
        </is>
      </c>
      <c r="G421" t="n">
        <v>7.1</v>
      </c>
      <c r="H421" t="n">
        <v>0</v>
      </c>
      <c r="I421" t="n">
        <v>0</v>
      </c>
      <c r="J421" t="n">
        <v>0</v>
      </c>
      <c r="K421" t="n">
        <v>0</v>
      </c>
      <c r="L421" t="n">
        <v>0</v>
      </c>
      <c r="M421" t="n">
        <v>0</v>
      </c>
      <c r="N421" t="n">
        <v>0</v>
      </c>
      <c r="O421" t="n">
        <v>0</v>
      </c>
      <c r="P421" t="n">
        <v>0</v>
      </c>
      <c r="Q421" t="n">
        <v>0</v>
      </c>
      <c r="R421" s="2" t="inlineStr"/>
    </row>
    <row r="422" ht="15" customHeight="1">
      <c r="A422" t="inlineStr">
        <is>
          <t>A 39007-2024</t>
        </is>
      </c>
      <c r="B422" s="1" t="n">
        <v>45548.42854166667</v>
      </c>
      <c r="C422" s="1" t="n">
        <v>45970</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47316-2023</t>
        </is>
      </c>
      <c r="B423" s="1" t="n">
        <v>45202.4997337963</v>
      </c>
      <c r="C423" s="1" t="n">
        <v>45970</v>
      </c>
      <c r="D423" t="inlineStr">
        <is>
          <t>UPPSALA LÄN</t>
        </is>
      </c>
      <c r="E423" t="inlineStr">
        <is>
          <t>UPPSALA</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17587-2025</t>
        </is>
      </c>
      <c r="B424" s="1" t="n">
        <v>45757.67611111111</v>
      </c>
      <c r="C424" s="1" t="n">
        <v>45970</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24012-2023</t>
        </is>
      </c>
      <c r="B425" s="1" t="n">
        <v>45078</v>
      </c>
      <c r="C425" s="1" t="n">
        <v>45970</v>
      </c>
      <c r="D425" t="inlineStr">
        <is>
          <t>UPPSALA LÄN</t>
        </is>
      </c>
      <c r="E425" t="inlineStr">
        <is>
          <t>UPPSALA</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33797-2021</t>
        </is>
      </c>
      <c r="B426" s="1" t="n">
        <v>44378.56137731481</v>
      </c>
      <c r="C426" s="1" t="n">
        <v>45970</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39818-2024</t>
        </is>
      </c>
      <c r="B427" s="1" t="n">
        <v>45552</v>
      </c>
      <c r="C427" s="1" t="n">
        <v>45970</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69595-2021</t>
        </is>
      </c>
      <c r="B428" s="1" t="n">
        <v>44532</v>
      </c>
      <c r="C428" s="1" t="n">
        <v>45970</v>
      </c>
      <c r="D428" t="inlineStr">
        <is>
          <t>UPPSALA LÄN</t>
        </is>
      </c>
      <c r="E428" t="inlineStr">
        <is>
          <t>UPPSALA</t>
        </is>
      </c>
      <c r="G428" t="n">
        <v>3.9</v>
      </c>
      <c r="H428" t="n">
        <v>0</v>
      </c>
      <c r="I428" t="n">
        <v>0</v>
      </c>
      <c r="J428" t="n">
        <v>0</v>
      </c>
      <c r="K428" t="n">
        <v>0</v>
      </c>
      <c r="L428" t="n">
        <v>0</v>
      </c>
      <c r="M428" t="n">
        <v>0</v>
      </c>
      <c r="N428" t="n">
        <v>0</v>
      </c>
      <c r="O428" t="n">
        <v>0</v>
      </c>
      <c r="P428" t="n">
        <v>0</v>
      </c>
      <c r="Q428" t="n">
        <v>0</v>
      </c>
      <c r="R428" s="2" t="inlineStr"/>
    </row>
    <row r="429" ht="15" customHeight="1">
      <c r="A429" t="inlineStr">
        <is>
          <t>A 47690-2025</t>
        </is>
      </c>
      <c r="B429" s="1" t="n">
        <v>45931.59373842592</v>
      </c>
      <c r="C429" s="1" t="n">
        <v>45970</v>
      </c>
      <c r="D429" t="inlineStr">
        <is>
          <t>UPPSALA LÄN</t>
        </is>
      </c>
      <c r="E429" t="inlineStr">
        <is>
          <t>UPPSALA</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44830-2023</t>
        </is>
      </c>
      <c r="B430" s="1" t="n">
        <v>45190</v>
      </c>
      <c r="C430" s="1" t="n">
        <v>45970</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5663-2023</t>
        </is>
      </c>
      <c r="B431" s="1" t="n">
        <v>44960</v>
      </c>
      <c r="C431" s="1" t="n">
        <v>45970</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5675-2023</t>
        </is>
      </c>
      <c r="B432" s="1" t="n">
        <v>44960.66233796296</v>
      </c>
      <c r="C432" s="1" t="n">
        <v>45970</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9426-2023</t>
        </is>
      </c>
      <c r="B433" s="1" t="n">
        <v>44977</v>
      </c>
      <c r="C433" s="1" t="n">
        <v>45970</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11409-2025</t>
        </is>
      </c>
      <c r="B434" s="1" t="n">
        <v>45726</v>
      </c>
      <c r="C434" s="1" t="n">
        <v>45970</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47221-2023</t>
        </is>
      </c>
      <c r="B435" s="1" t="n">
        <v>45202</v>
      </c>
      <c r="C435" s="1" t="n">
        <v>45970</v>
      </c>
      <c r="D435" t="inlineStr">
        <is>
          <t>UPPSALA LÄN</t>
        </is>
      </c>
      <c r="E435" t="inlineStr">
        <is>
          <t>UPPSALA</t>
        </is>
      </c>
      <c r="G435" t="n">
        <v>8.6</v>
      </c>
      <c r="H435" t="n">
        <v>0</v>
      </c>
      <c r="I435" t="n">
        <v>0</v>
      </c>
      <c r="J435" t="n">
        <v>0</v>
      </c>
      <c r="K435" t="n">
        <v>0</v>
      </c>
      <c r="L435" t="n">
        <v>0</v>
      </c>
      <c r="M435" t="n">
        <v>0</v>
      </c>
      <c r="N435" t="n">
        <v>0</v>
      </c>
      <c r="O435" t="n">
        <v>0</v>
      </c>
      <c r="P435" t="n">
        <v>0</v>
      </c>
      <c r="Q435" t="n">
        <v>0</v>
      </c>
      <c r="R435" s="2" t="inlineStr"/>
    </row>
    <row r="436" ht="15" customHeight="1">
      <c r="A436" t="inlineStr">
        <is>
          <t>A 5975-2024</t>
        </is>
      </c>
      <c r="B436" s="1" t="n">
        <v>45336.54270833333</v>
      </c>
      <c r="C436" s="1" t="n">
        <v>45970</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59358-2024</t>
        </is>
      </c>
      <c r="B437" s="1" t="n">
        <v>45638</v>
      </c>
      <c r="C437" s="1" t="n">
        <v>45970</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47840-2025</t>
        </is>
      </c>
      <c r="B438" s="1" t="n">
        <v>45932.37375</v>
      </c>
      <c r="C438" s="1" t="n">
        <v>45970</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58023-2022</t>
        </is>
      </c>
      <c r="B439" s="1" t="n">
        <v>44900.54711805555</v>
      </c>
      <c r="C439" s="1" t="n">
        <v>45970</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45878-2024</t>
        </is>
      </c>
      <c r="B440" s="1" t="n">
        <v>45580</v>
      </c>
      <c r="C440" s="1" t="n">
        <v>45970</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74019-2021</t>
        </is>
      </c>
      <c r="B441" s="1" t="n">
        <v>44553</v>
      </c>
      <c r="C441" s="1" t="n">
        <v>45970</v>
      </c>
      <c r="D441" t="inlineStr">
        <is>
          <t>UPPSALA LÄN</t>
        </is>
      </c>
      <c r="E441" t="inlineStr">
        <is>
          <t>UPPSALA</t>
        </is>
      </c>
      <c r="G441" t="n">
        <v>3</v>
      </c>
      <c r="H441" t="n">
        <v>0</v>
      </c>
      <c r="I441" t="n">
        <v>0</v>
      </c>
      <c r="J441" t="n">
        <v>0</v>
      </c>
      <c r="K441" t="n">
        <v>0</v>
      </c>
      <c r="L441" t="n">
        <v>0</v>
      </c>
      <c r="M441" t="n">
        <v>0</v>
      </c>
      <c r="N441" t="n">
        <v>0</v>
      </c>
      <c r="O441" t="n">
        <v>0</v>
      </c>
      <c r="P441" t="n">
        <v>0</v>
      </c>
      <c r="Q441" t="n">
        <v>0</v>
      </c>
      <c r="R441" s="2" t="inlineStr"/>
    </row>
    <row r="442" ht="15" customHeight="1">
      <c r="A442" t="inlineStr">
        <is>
          <t>A 32428-2023</t>
        </is>
      </c>
      <c r="B442" s="1" t="n">
        <v>45110</v>
      </c>
      <c r="C442" s="1" t="n">
        <v>45970</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5374-2023</t>
        </is>
      </c>
      <c r="B443" s="1" t="n">
        <v>44944</v>
      </c>
      <c r="C443" s="1" t="n">
        <v>45970</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45970</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53906-2023</t>
        </is>
      </c>
      <c r="B445" s="1" t="n">
        <v>45231</v>
      </c>
      <c r="C445" s="1" t="n">
        <v>45970</v>
      </c>
      <c r="D445" t="inlineStr">
        <is>
          <t>UPPSALA LÄN</t>
        </is>
      </c>
      <c r="E445" t="inlineStr">
        <is>
          <t>UPPSALA</t>
        </is>
      </c>
      <c r="G445" t="n">
        <v>13.2</v>
      </c>
      <c r="H445" t="n">
        <v>0</v>
      </c>
      <c r="I445" t="n">
        <v>0</v>
      </c>
      <c r="J445" t="n">
        <v>0</v>
      </c>
      <c r="K445" t="n">
        <v>0</v>
      </c>
      <c r="L445" t="n">
        <v>0</v>
      </c>
      <c r="M445" t="n">
        <v>0</v>
      </c>
      <c r="N445" t="n">
        <v>0</v>
      </c>
      <c r="O445" t="n">
        <v>0</v>
      </c>
      <c r="P445" t="n">
        <v>0</v>
      </c>
      <c r="Q445" t="n">
        <v>0</v>
      </c>
      <c r="R445" s="2" t="inlineStr"/>
    </row>
    <row r="446" ht="15" customHeight="1">
      <c r="A446" t="inlineStr">
        <is>
          <t>A 1975-2022</t>
        </is>
      </c>
      <c r="B446" s="1" t="n">
        <v>44575</v>
      </c>
      <c r="C446" s="1" t="n">
        <v>45970</v>
      </c>
      <c r="D446" t="inlineStr">
        <is>
          <t>UPPSALA LÄN</t>
        </is>
      </c>
      <c r="E446" t="inlineStr">
        <is>
          <t>UPPSALA</t>
        </is>
      </c>
      <c r="G446" t="n">
        <v>3.9</v>
      </c>
      <c r="H446" t="n">
        <v>0</v>
      </c>
      <c r="I446" t="n">
        <v>0</v>
      </c>
      <c r="J446" t="n">
        <v>0</v>
      </c>
      <c r="K446" t="n">
        <v>0</v>
      </c>
      <c r="L446" t="n">
        <v>0</v>
      </c>
      <c r="M446" t="n">
        <v>0</v>
      </c>
      <c r="N446" t="n">
        <v>0</v>
      </c>
      <c r="O446" t="n">
        <v>0</v>
      </c>
      <c r="P446" t="n">
        <v>0</v>
      </c>
      <c r="Q446" t="n">
        <v>0</v>
      </c>
      <c r="R446" s="2" t="inlineStr"/>
    </row>
    <row r="447" ht="15" customHeight="1">
      <c r="A447" t="inlineStr">
        <is>
          <t>A 45489-2023</t>
        </is>
      </c>
      <c r="B447" s="1" t="n">
        <v>45194</v>
      </c>
      <c r="C447" s="1" t="n">
        <v>45970</v>
      </c>
      <c r="D447" t="inlineStr">
        <is>
          <t>UPPSALA LÄN</t>
        </is>
      </c>
      <c r="E447" t="inlineStr">
        <is>
          <t>UPPSALA</t>
        </is>
      </c>
      <c r="F447" t="inlineStr">
        <is>
          <t>Allmännings- och besparingsskogar</t>
        </is>
      </c>
      <c r="G447" t="n">
        <v>15.8</v>
      </c>
      <c r="H447" t="n">
        <v>0</v>
      </c>
      <c r="I447" t="n">
        <v>0</v>
      </c>
      <c r="J447" t="n">
        <v>0</v>
      </c>
      <c r="K447" t="n">
        <v>0</v>
      </c>
      <c r="L447" t="n">
        <v>0</v>
      </c>
      <c r="M447" t="n">
        <v>0</v>
      </c>
      <c r="N447" t="n">
        <v>0</v>
      </c>
      <c r="O447" t="n">
        <v>0</v>
      </c>
      <c r="P447" t="n">
        <v>0</v>
      </c>
      <c r="Q447" t="n">
        <v>0</v>
      </c>
      <c r="R447" s="2" t="inlineStr"/>
    </row>
    <row r="448" ht="15" customHeight="1">
      <c r="A448" t="inlineStr">
        <is>
          <t>A 27622-2023</t>
        </is>
      </c>
      <c r="B448" s="1" t="n">
        <v>45097</v>
      </c>
      <c r="C448" s="1" t="n">
        <v>45970</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341-2024</t>
        </is>
      </c>
      <c r="B449" s="1" t="n">
        <v>45295</v>
      </c>
      <c r="C449" s="1" t="n">
        <v>45970</v>
      </c>
      <c r="D449" t="inlineStr">
        <is>
          <t>UPPSALA LÄN</t>
        </is>
      </c>
      <c r="E449" t="inlineStr">
        <is>
          <t>UPPSALA</t>
        </is>
      </c>
      <c r="F449" t="inlineStr">
        <is>
          <t>Allmännings- och besparingsskogar</t>
        </is>
      </c>
      <c r="G449" t="n">
        <v>1.8</v>
      </c>
      <c r="H449" t="n">
        <v>0</v>
      </c>
      <c r="I449" t="n">
        <v>0</v>
      </c>
      <c r="J449" t="n">
        <v>0</v>
      </c>
      <c r="K449" t="n">
        <v>0</v>
      </c>
      <c r="L449" t="n">
        <v>0</v>
      </c>
      <c r="M449" t="n">
        <v>0</v>
      </c>
      <c r="N449" t="n">
        <v>0</v>
      </c>
      <c r="O449" t="n">
        <v>0</v>
      </c>
      <c r="P449" t="n">
        <v>0</v>
      </c>
      <c r="Q449" t="n">
        <v>0</v>
      </c>
      <c r="R449" s="2" t="inlineStr"/>
    </row>
    <row r="450" ht="15" customHeight="1">
      <c r="A450" t="inlineStr">
        <is>
          <t>A 64353-2020</t>
        </is>
      </c>
      <c r="B450" s="1" t="n">
        <v>44168.55746527778</v>
      </c>
      <c r="C450" s="1" t="n">
        <v>45970</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47649-2025</t>
        </is>
      </c>
      <c r="B451" s="1" t="n">
        <v>45931.52792824074</v>
      </c>
      <c r="C451" s="1" t="n">
        <v>45970</v>
      </c>
      <c r="D451" t="inlineStr">
        <is>
          <t>UPPSALA LÄN</t>
        </is>
      </c>
      <c r="E451" t="inlineStr">
        <is>
          <t>UPPSALA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45970</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27473-2024</t>
        </is>
      </c>
      <c r="B453" s="1" t="n">
        <v>45474</v>
      </c>
      <c r="C453" s="1" t="n">
        <v>45970</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56679-2022</t>
        </is>
      </c>
      <c r="B454" s="1" t="n">
        <v>44893</v>
      </c>
      <c r="C454" s="1" t="n">
        <v>45970</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47688-2025</t>
        </is>
      </c>
      <c r="B455" s="1" t="n">
        <v>45931.59091435185</v>
      </c>
      <c r="C455" s="1" t="n">
        <v>45970</v>
      </c>
      <c r="D455" t="inlineStr">
        <is>
          <t>UPPSALA LÄN</t>
        </is>
      </c>
      <c r="E455" t="inlineStr">
        <is>
          <t>UPPSALA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47558-2025</t>
        </is>
      </c>
      <c r="B456" s="1" t="n">
        <v>45931.37796296296</v>
      </c>
      <c r="C456" s="1" t="n">
        <v>45970</v>
      </c>
      <c r="D456" t="inlineStr">
        <is>
          <t>UPPSALA LÄN</t>
        </is>
      </c>
      <c r="E456" t="inlineStr">
        <is>
          <t>UPPSALA</t>
        </is>
      </c>
      <c r="F456" t="inlineStr">
        <is>
          <t>Kyrkan</t>
        </is>
      </c>
      <c r="G456" t="n">
        <v>1.9</v>
      </c>
      <c r="H456" t="n">
        <v>0</v>
      </c>
      <c r="I456" t="n">
        <v>0</v>
      </c>
      <c r="J456" t="n">
        <v>0</v>
      </c>
      <c r="K456" t="n">
        <v>0</v>
      </c>
      <c r="L456" t="n">
        <v>0</v>
      </c>
      <c r="M456" t="n">
        <v>0</v>
      </c>
      <c r="N456" t="n">
        <v>0</v>
      </c>
      <c r="O456" t="n">
        <v>0</v>
      </c>
      <c r="P456" t="n">
        <v>0</v>
      </c>
      <c r="Q456" t="n">
        <v>0</v>
      </c>
      <c r="R456" s="2" t="inlineStr"/>
    </row>
    <row r="457" ht="15" customHeight="1">
      <c r="A457" t="inlineStr">
        <is>
          <t>A 10827-2024</t>
        </is>
      </c>
      <c r="B457" s="1" t="n">
        <v>45369</v>
      </c>
      <c r="C457" s="1" t="n">
        <v>45970</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45970</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59133-2022</t>
        </is>
      </c>
      <c r="B459" s="1" t="n">
        <v>44904</v>
      </c>
      <c r="C459" s="1" t="n">
        <v>45970</v>
      </c>
      <c r="D459" t="inlineStr">
        <is>
          <t>UPPSALA LÄN</t>
        </is>
      </c>
      <c r="E459" t="inlineStr">
        <is>
          <t>UPPSALA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15310-2022</t>
        </is>
      </c>
      <c r="B460" s="1" t="n">
        <v>44659</v>
      </c>
      <c r="C460" s="1" t="n">
        <v>45970</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53614-2024</t>
        </is>
      </c>
      <c r="B461" s="1" t="n">
        <v>45611</v>
      </c>
      <c r="C461" s="1" t="n">
        <v>45970</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39792-2025</t>
        </is>
      </c>
      <c r="B462" s="1" t="n">
        <v>45891.4865625</v>
      </c>
      <c r="C462" s="1" t="n">
        <v>45970</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40111-2024</t>
        </is>
      </c>
      <c r="B463" s="1" t="n">
        <v>45554</v>
      </c>
      <c r="C463" s="1" t="n">
        <v>45970</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38865-2022</t>
        </is>
      </c>
      <c r="B464" s="1" t="n">
        <v>44816</v>
      </c>
      <c r="C464" s="1" t="n">
        <v>45970</v>
      </c>
      <c r="D464" t="inlineStr">
        <is>
          <t>UPPSALA LÄN</t>
        </is>
      </c>
      <c r="E464" t="inlineStr">
        <is>
          <t>UPPSALA</t>
        </is>
      </c>
      <c r="G464" t="n">
        <v>14.6</v>
      </c>
      <c r="H464" t="n">
        <v>0</v>
      </c>
      <c r="I464" t="n">
        <v>0</v>
      </c>
      <c r="J464" t="n">
        <v>0</v>
      </c>
      <c r="K464" t="n">
        <v>0</v>
      </c>
      <c r="L464" t="n">
        <v>0</v>
      </c>
      <c r="M464" t="n">
        <v>0</v>
      </c>
      <c r="N464" t="n">
        <v>0</v>
      </c>
      <c r="O464" t="n">
        <v>0</v>
      </c>
      <c r="P464" t="n">
        <v>0</v>
      </c>
      <c r="Q464" t="n">
        <v>0</v>
      </c>
      <c r="R464" s="2" t="inlineStr"/>
    </row>
    <row r="465" ht="15" customHeight="1">
      <c r="A465" t="inlineStr">
        <is>
          <t>A 9201-2024</t>
        </is>
      </c>
      <c r="B465" s="1" t="n">
        <v>45358</v>
      </c>
      <c r="C465" s="1" t="n">
        <v>45970</v>
      </c>
      <c r="D465" t="inlineStr">
        <is>
          <t>UPPSALA LÄN</t>
        </is>
      </c>
      <c r="E465" t="inlineStr">
        <is>
          <t>UPPSALA</t>
        </is>
      </c>
      <c r="F465" t="inlineStr">
        <is>
          <t>Allmännings- och besparingsskogar</t>
        </is>
      </c>
      <c r="G465" t="n">
        <v>6.5</v>
      </c>
      <c r="H465" t="n">
        <v>0</v>
      </c>
      <c r="I465" t="n">
        <v>0</v>
      </c>
      <c r="J465" t="n">
        <v>0</v>
      </c>
      <c r="K465" t="n">
        <v>0</v>
      </c>
      <c r="L465" t="n">
        <v>0</v>
      </c>
      <c r="M465" t="n">
        <v>0</v>
      </c>
      <c r="N465" t="n">
        <v>0</v>
      </c>
      <c r="O465" t="n">
        <v>0</v>
      </c>
      <c r="P465" t="n">
        <v>0</v>
      </c>
      <c r="Q465" t="n">
        <v>0</v>
      </c>
      <c r="R465" s="2" t="inlineStr"/>
    </row>
    <row r="466" ht="15" customHeight="1">
      <c r="A466" t="inlineStr">
        <is>
          <t>A 784-2024</t>
        </is>
      </c>
      <c r="B466" s="1" t="n">
        <v>45300.55680555556</v>
      </c>
      <c r="C466" s="1" t="n">
        <v>45970</v>
      </c>
      <c r="D466" t="inlineStr">
        <is>
          <t>UPPSALA LÄN</t>
        </is>
      </c>
      <c r="E466" t="inlineStr">
        <is>
          <t>UPPSALA</t>
        </is>
      </c>
      <c r="G466" t="n">
        <v>6.6</v>
      </c>
      <c r="H466" t="n">
        <v>0</v>
      </c>
      <c r="I466" t="n">
        <v>0</v>
      </c>
      <c r="J466" t="n">
        <v>0</v>
      </c>
      <c r="K466" t="n">
        <v>0</v>
      </c>
      <c r="L466" t="n">
        <v>0</v>
      </c>
      <c r="M466" t="n">
        <v>0</v>
      </c>
      <c r="N466" t="n">
        <v>0</v>
      </c>
      <c r="O466" t="n">
        <v>0</v>
      </c>
      <c r="P466" t="n">
        <v>0</v>
      </c>
      <c r="Q466" t="n">
        <v>0</v>
      </c>
      <c r="R466" s="2" t="inlineStr"/>
    </row>
    <row r="467" ht="15" customHeight="1">
      <c r="A467" t="inlineStr">
        <is>
          <t>A 48153-2024</t>
        </is>
      </c>
      <c r="B467" s="1" t="n">
        <v>45589</v>
      </c>
      <c r="C467" s="1" t="n">
        <v>45970</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48154-2024</t>
        </is>
      </c>
      <c r="B468" s="1" t="n">
        <v>45589</v>
      </c>
      <c r="C468" s="1" t="n">
        <v>45970</v>
      </c>
      <c r="D468" t="inlineStr">
        <is>
          <t>UPPSALA LÄN</t>
        </is>
      </c>
      <c r="E468" t="inlineStr">
        <is>
          <t>UPPSALA</t>
        </is>
      </c>
      <c r="G468" t="n">
        <v>5.1</v>
      </c>
      <c r="H468" t="n">
        <v>0</v>
      </c>
      <c r="I468" t="n">
        <v>0</v>
      </c>
      <c r="J468" t="n">
        <v>0</v>
      </c>
      <c r="K468" t="n">
        <v>0</v>
      </c>
      <c r="L468" t="n">
        <v>0</v>
      </c>
      <c r="M468" t="n">
        <v>0</v>
      </c>
      <c r="N468" t="n">
        <v>0</v>
      </c>
      <c r="O468" t="n">
        <v>0</v>
      </c>
      <c r="P468" t="n">
        <v>0</v>
      </c>
      <c r="Q468" t="n">
        <v>0</v>
      </c>
      <c r="R468" s="2" t="inlineStr"/>
    </row>
    <row r="469" ht="15" customHeight="1">
      <c r="A469" t="inlineStr">
        <is>
          <t>A 18717-2025</t>
        </is>
      </c>
      <c r="B469" s="1" t="n">
        <v>45763.6503125</v>
      </c>
      <c r="C469" s="1" t="n">
        <v>45970</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3183-2024</t>
        </is>
      </c>
      <c r="B470" s="1" t="n">
        <v>45316</v>
      </c>
      <c r="C470" s="1" t="n">
        <v>45970</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12507-2024</t>
        </is>
      </c>
      <c r="B471" s="1" t="n">
        <v>45379</v>
      </c>
      <c r="C471" s="1" t="n">
        <v>45970</v>
      </c>
      <c r="D471" t="inlineStr">
        <is>
          <t>UPPSALA LÄN</t>
        </is>
      </c>
      <c r="E471" t="inlineStr">
        <is>
          <t>UPPSALA</t>
        </is>
      </c>
      <c r="G471" t="n">
        <v>4.6</v>
      </c>
      <c r="H471" t="n">
        <v>0</v>
      </c>
      <c r="I471" t="n">
        <v>0</v>
      </c>
      <c r="J471" t="n">
        <v>0</v>
      </c>
      <c r="K471" t="n">
        <v>0</v>
      </c>
      <c r="L471" t="n">
        <v>0</v>
      </c>
      <c r="M471" t="n">
        <v>0</v>
      </c>
      <c r="N471" t="n">
        <v>0</v>
      </c>
      <c r="O471" t="n">
        <v>0</v>
      </c>
      <c r="P471" t="n">
        <v>0</v>
      </c>
      <c r="Q471" t="n">
        <v>0</v>
      </c>
      <c r="R471" s="2" t="inlineStr"/>
    </row>
    <row r="472" ht="15" customHeight="1">
      <c r="A472" t="inlineStr">
        <is>
          <t>A 3261-2024</t>
        </is>
      </c>
      <c r="B472" s="1" t="n">
        <v>45317</v>
      </c>
      <c r="C472" s="1" t="n">
        <v>45970</v>
      </c>
      <c r="D472" t="inlineStr">
        <is>
          <t>UPPSALA LÄN</t>
        </is>
      </c>
      <c r="E472" t="inlineStr">
        <is>
          <t>UPPSALA</t>
        </is>
      </c>
      <c r="G472" t="n">
        <v>2.8</v>
      </c>
      <c r="H472" t="n">
        <v>0</v>
      </c>
      <c r="I472" t="n">
        <v>0</v>
      </c>
      <c r="J472" t="n">
        <v>0</v>
      </c>
      <c r="K472" t="n">
        <v>0</v>
      </c>
      <c r="L472" t="n">
        <v>0</v>
      </c>
      <c r="M472" t="n">
        <v>0</v>
      </c>
      <c r="N472" t="n">
        <v>0</v>
      </c>
      <c r="O472" t="n">
        <v>0</v>
      </c>
      <c r="P472" t="n">
        <v>0</v>
      </c>
      <c r="Q472" t="n">
        <v>0</v>
      </c>
      <c r="R472" s="2" t="inlineStr"/>
    </row>
    <row r="473" ht="15" customHeight="1">
      <c r="A473" t="inlineStr">
        <is>
          <t>A 60702-2022</t>
        </is>
      </c>
      <c r="B473" s="1" t="n">
        <v>44912.29869212963</v>
      </c>
      <c r="C473" s="1" t="n">
        <v>45970</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8132-2022</t>
        </is>
      </c>
      <c r="B474" s="1" t="n">
        <v>44609.60171296296</v>
      </c>
      <c r="C474" s="1" t="n">
        <v>45970</v>
      </c>
      <c r="D474" t="inlineStr">
        <is>
          <t>UPPSALA LÄN</t>
        </is>
      </c>
      <c r="E474" t="inlineStr">
        <is>
          <t>UPPSALA</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8933-2022</t>
        </is>
      </c>
      <c r="B475" s="1" t="n">
        <v>44614.69730324074</v>
      </c>
      <c r="C475" s="1" t="n">
        <v>45970</v>
      </c>
      <c r="D475" t="inlineStr">
        <is>
          <t>UPPSALA LÄN</t>
        </is>
      </c>
      <c r="E475" t="inlineStr">
        <is>
          <t>UPPSALA</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21859-2024</t>
        </is>
      </c>
      <c r="B476" s="1" t="n">
        <v>45443</v>
      </c>
      <c r="C476" s="1" t="n">
        <v>45970</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6930-2023</t>
        </is>
      </c>
      <c r="B477" s="1" t="n">
        <v>44967.55960648148</v>
      </c>
      <c r="C477" s="1" t="n">
        <v>45970</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62471-2021</t>
        </is>
      </c>
      <c r="B478" s="1" t="n">
        <v>44503</v>
      </c>
      <c r="C478" s="1" t="n">
        <v>45970</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1838-2024</t>
        </is>
      </c>
      <c r="B479" s="1" t="n">
        <v>45307</v>
      </c>
      <c r="C479" s="1" t="n">
        <v>45970</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33939-2024</t>
        </is>
      </c>
      <c r="B480" s="1" t="n">
        <v>45523</v>
      </c>
      <c r="C480" s="1" t="n">
        <v>45970</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10565-2022</t>
        </is>
      </c>
      <c r="B481" s="1" t="n">
        <v>44624.35083333333</v>
      </c>
      <c r="C481" s="1" t="n">
        <v>45970</v>
      </c>
      <c r="D481" t="inlineStr">
        <is>
          <t>UPPSALA LÄN</t>
        </is>
      </c>
      <c r="E481" t="inlineStr">
        <is>
          <t>UPPSALA</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29019-2023</t>
        </is>
      </c>
      <c r="B482" s="1" t="n">
        <v>45104.6828125</v>
      </c>
      <c r="C482" s="1" t="n">
        <v>45970</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24091-2024</t>
        </is>
      </c>
      <c r="B483" s="1" t="n">
        <v>45456.58491898148</v>
      </c>
      <c r="C483" s="1" t="n">
        <v>45970</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57714-2022</t>
        </is>
      </c>
      <c r="B484" s="1" t="n">
        <v>44897</v>
      </c>
      <c r="C484" s="1" t="n">
        <v>45970</v>
      </c>
      <c r="D484" t="inlineStr">
        <is>
          <t>UPPSALA LÄN</t>
        </is>
      </c>
      <c r="E484" t="inlineStr">
        <is>
          <t>UPPSALA</t>
        </is>
      </c>
      <c r="G484" t="n">
        <v>8.9</v>
      </c>
      <c r="H484" t="n">
        <v>0</v>
      </c>
      <c r="I484" t="n">
        <v>0</v>
      </c>
      <c r="J484" t="n">
        <v>0</v>
      </c>
      <c r="K484" t="n">
        <v>0</v>
      </c>
      <c r="L484" t="n">
        <v>0</v>
      </c>
      <c r="M484" t="n">
        <v>0</v>
      </c>
      <c r="N484" t="n">
        <v>0</v>
      </c>
      <c r="O484" t="n">
        <v>0</v>
      </c>
      <c r="P484" t="n">
        <v>0</v>
      </c>
      <c r="Q484" t="n">
        <v>0</v>
      </c>
      <c r="R484" s="2" t="inlineStr"/>
    </row>
    <row r="485" ht="15" customHeight="1">
      <c r="A485" t="inlineStr">
        <is>
          <t>A 59996-2024</t>
        </is>
      </c>
      <c r="B485" s="1" t="n">
        <v>45642</v>
      </c>
      <c r="C485" s="1" t="n">
        <v>45970</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10612-2025</t>
        </is>
      </c>
      <c r="B486" s="1" t="n">
        <v>45721.60894675926</v>
      </c>
      <c r="C486" s="1" t="n">
        <v>45970</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59489-2023</t>
        </is>
      </c>
      <c r="B487" s="1" t="n">
        <v>45254</v>
      </c>
      <c r="C487" s="1" t="n">
        <v>45970</v>
      </c>
      <c r="D487" t="inlineStr">
        <is>
          <t>UPPSALA LÄN</t>
        </is>
      </c>
      <c r="E487" t="inlineStr">
        <is>
          <t>UPPSALA</t>
        </is>
      </c>
      <c r="G487" t="n">
        <v>6.5</v>
      </c>
      <c r="H487" t="n">
        <v>0</v>
      </c>
      <c r="I487" t="n">
        <v>0</v>
      </c>
      <c r="J487" t="n">
        <v>0</v>
      </c>
      <c r="K487" t="n">
        <v>0</v>
      </c>
      <c r="L487" t="n">
        <v>0</v>
      </c>
      <c r="M487" t="n">
        <v>0</v>
      </c>
      <c r="N487" t="n">
        <v>0</v>
      </c>
      <c r="O487" t="n">
        <v>0</v>
      </c>
      <c r="P487" t="n">
        <v>0</v>
      </c>
      <c r="Q487" t="n">
        <v>0</v>
      </c>
      <c r="R487" s="2" t="inlineStr"/>
    </row>
    <row r="488" ht="15" customHeight="1">
      <c r="A488" t="inlineStr">
        <is>
          <t>A 33689-2023</t>
        </is>
      </c>
      <c r="B488" s="1" t="n">
        <v>45119</v>
      </c>
      <c r="C488" s="1" t="n">
        <v>45970</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12284-2025</t>
        </is>
      </c>
      <c r="B489" s="1" t="n">
        <v>45729</v>
      </c>
      <c r="C489" s="1" t="n">
        <v>45970</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12287-2025</t>
        </is>
      </c>
      <c r="B490" s="1" t="n">
        <v>45729</v>
      </c>
      <c r="C490" s="1" t="n">
        <v>45970</v>
      </c>
      <c r="D490" t="inlineStr">
        <is>
          <t>UPPSALA LÄN</t>
        </is>
      </c>
      <c r="E490" t="inlineStr">
        <is>
          <t>UPPSALA</t>
        </is>
      </c>
      <c r="G490" t="n">
        <v>4.6</v>
      </c>
      <c r="H490" t="n">
        <v>0</v>
      </c>
      <c r="I490" t="n">
        <v>0</v>
      </c>
      <c r="J490" t="n">
        <v>0</v>
      </c>
      <c r="K490" t="n">
        <v>0</v>
      </c>
      <c r="L490" t="n">
        <v>0</v>
      </c>
      <c r="M490" t="n">
        <v>0</v>
      </c>
      <c r="N490" t="n">
        <v>0</v>
      </c>
      <c r="O490" t="n">
        <v>0</v>
      </c>
      <c r="P490" t="n">
        <v>0</v>
      </c>
      <c r="Q490" t="n">
        <v>0</v>
      </c>
      <c r="R490" s="2" t="inlineStr"/>
    </row>
    <row r="491" ht="15" customHeight="1">
      <c r="A491" t="inlineStr">
        <is>
          <t>A 6602-2023</t>
        </is>
      </c>
      <c r="B491" s="1" t="n">
        <v>44966</v>
      </c>
      <c r="C491" s="1" t="n">
        <v>45970</v>
      </c>
      <c r="D491" t="inlineStr">
        <is>
          <t>UPPSALA LÄN</t>
        </is>
      </c>
      <c r="E491" t="inlineStr">
        <is>
          <t>UPPSALA</t>
        </is>
      </c>
      <c r="F491" t="inlineStr">
        <is>
          <t>Allmännings- och besparingsskogar</t>
        </is>
      </c>
      <c r="G491" t="n">
        <v>20.2</v>
      </c>
      <c r="H491" t="n">
        <v>0</v>
      </c>
      <c r="I491" t="n">
        <v>0</v>
      </c>
      <c r="J491" t="n">
        <v>0</v>
      </c>
      <c r="K491" t="n">
        <v>0</v>
      </c>
      <c r="L491" t="n">
        <v>0</v>
      </c>
      <c r="M491" t="n">
        <v>0</v>
      </c>
      <c r="N491" t="n">
        <v>0</v>
      </c>
      <c r="O491" t="n">
        <v>0</v>
      </c>
      <c r="P491" t="n">
        <v>0</v>
      </c>
      <c r="Q491" t="n">
        <v>0</v>
      </c>
      <c r="R491" s="2" t="inlineStr"/>
    </row>
    <row r="492" ht="15" customHeight="1">
      <c r="A492" t="inlineStr">
        <is>
          <t>A 47287-2023</t>
        </is>
      </c>
      <c r="B492" s="1" t="n">
        <v>45202</v>
      </c>
      <c r="C492" s="1" t="n">
        <v>45970</v>
      </c>
      <c r="D492" t="inlineStr">
        <is>
          <t>UPPSALA LÄN</t>
        </is>
      </c>
      <c r="E492" t="inlineStr">
        <is>
          <t>UPPSALA</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48418-2025</t>
        </is>
      </c>
      <c r="B493" s="1" t="n">
        <v>45934.55967592593</v>
      </c>
      <c r="C493" s="1" t="n">
        <v>45970</v>
      </c>
      <c r="D493" t="inlineStr">
        <is>
          <t>UPPSALA LÄN</t>
        </is>
      </c>
      <c r="E493" t="inlineStr">
        <is>
          <t>UPPSALA</t>
        </is>
      </c>
      <c r="F493" t="inlineStr">
        <is>
          <t>Bergvik skog öst AB</t>
        </is>
      </c>
      <c r="G493" t="n">
        <v>5.2</v>
      </c>
      <c r="H493" t="n">
        <v>0</v>
      </c>
      <c r="I493" t="n">
        <v>0</v>
      </c>
      <c r="J493" t="n">
        <v>0</v>
      </c>
      <c r="K493" t="n">
        <v>0</v>
      </c>
      <c r="L493" t="n">
        <v>0</v>
      </c>
      <c r="M493" t="n">
        <v>0</v>
      </c>
      <c r="N493" t="n">
        <v>0</v>
      </c>
      <c r="O493" t="n">
        <v>0</v>
      </c>
      <c r="P493" t="n">
        <v>0</v>
      </c>
      <c r="Q493" t="n">
        <v>0</v>
      </c>
      <c r="R493" s="2" t="inlineStr"/>
    </row>
    <row r="494" ht="15" customHeight="1">
      <c r="A494" t="inlineStr">
        <is>
          <t>A 4461-2024</t>
        </is>
      </c>
      <c r="B494" s="1" t="n">
        <v>45327</v>
      </c>
      <c r="C494" s="1" t="n">
        <v>45970</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14784-2023</t>
        </is>
      </c>
      <c r="B495" s="1" t="n">
        <v>45014</v>
      </c>
      <c r="C495" s="1" t="n">
        <v>45970</v>
      </c>
      <c r="D495" t="inlineStr">
        <is>
          <t>UPPSALA LÄN</t>
        </is>
      </c>
      <c r="E495" t="inlineStr">
        <is>
          <t>UPPSALA</t>
        </is>
      </c>
      <c r="G495" t="n">
        <v>4.7</v>
      </c>
      <c r="H495" t="n">
        <v>0</v>
      </c>
      <c r="I495" t="n">
        <v>0</v>
      </c>
      <c r="J495" t="n">
        <v>0</v>
      </c>
      <c r="K495" t="n">
        <v>0</v>
      </c>
      <c r="L495" t="n">
        <v>0</v>
      </c>
      <c r="M495" t="n">
        <v>0</v>
      </c>
      <c r="N495" t="n">
        <v>0</v>
      </c>
      <c r="O495" t="n">
        <v>0</v>
      </c>
      <c r="P495" t="n">
        <v>0</v>
      </c>
      <c r="Q495" t="n">
        <v>0</v>
      </c>
      <c r="R495" s="2" t="inlineStr"/>
    </row>
    <row r="496" ht="15" customHeight="1">
      <c r="A496" t="inlineStr">
        <is>
          <t>A 51576-2023</t>
        </is>
      </c>
      <c r="B496" s="1" t="n">
        <v>45222</v>
      </c>
      <c r="C496" s="1" t="n">
        <v>45970</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61805-2021</t>
        </is>
      </c>
      <c r="B497" s="1" t="n">
        <v>44501.71344907407</v>
      </c>
      <c r="C497" s="1" t="n">
        <v>45970</v>
      </c>
      <c r="D497" t="inlineStr">
        <is>
          <t>UPPSALA LÄN</t>
        </is>
      </c>
      <c r="E497" t="inlineStr">
        <is>
          <t>UPPSALA</t>
        </is>
      </c>
      <c r="F497" t="inlineStr">
        <is>
          <t>Bergvik skog öst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4929-2022</t>
        </is>
      </c>
      <c r="B498" s="1" t="n">
        <v>44593</v>
      </c>
      <c r="C498" s="1" t="n">
        <v>45970</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17211-2025</t>
        </is>
      </c>
      <c r="B499" s="1" t="n">
        <v>45756.44024305556</v>
      </c>
      <c r="C499" s="1" t="n">
        <v>45970</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17250-2025</t>
        </is>
      </c>
      <c r="B500" s="1" t="n">
        <v>45756.50738425926</v>
      </c>
      <c r="C500" s="1" t="n">
        <v>45970</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39721-2025</t>
        </is>
      </c>
      <c r="B501" s="1" t="n">
        <v>45891.33204861111</v>
      </c>
      <c r="C501" s="1" t="n">
        <v>45970</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4240-2025</t>
        </is>
      </c>
      <c r="B502" s="1" t="n">
        <v>45685.5778125</v>
      </c>
      <c r="C502" s="1" t="n">
        <v>45970</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6012-2025</t>
        </is>
      </c>
      <c r="B503" s="1" t="n">
        <v>45695.59805555556</v>
      </c>
      <c r="C503" s="1" t="n">
        <v>45970</v>
      </c>
      <c r="D503" t="inlineStr">
        <is>
          <t>UPPSALA LÄN</t>
        </is>
      </c>
      <c r="E503" t="inlineStr">
        <is>
          <t>UPPSALA</t>
        </is>
      </c>
      <c r="F503" t="inlineStr">
        <is>
          <t>Övriga Aktiebolag</t>
        </is>
      </c>
      <c r="G503" t="n">
        <v>14.3</v>
      </c>
      <c r="H503" t="n">
        <v>0</v>
      </c>
      <c r="I503" t="n">
        <v>0</v>
      </c>
      <c r="J503" t="n">
        <v>0</v>
      </c>
      <c r="K503" t="n">
        <v>0</v>
      </c>
      <c r="L503" t="n">
        <v>0</v>
      </c>
      <c r="M503" t="n">
        <v>0</v>
      </c>
      <c r="N503" t="n">
        <v>0</v>
      </c>
      <c r="O503" t="n">
        <v>0</v>
      </c>
      <c r="P503" t="n">
        <v>0</v>
      </c>
      <c r="Q503" t="n">
        <v>0</v>
      </c>
      <c r="R503" s="2" t="inlineStr"/>
    </row>
    <row r="504" ht="15" customHeight="1">
      <c r="A504" t="inlineStr">
        <is>
          <t>A 24787-2024</t>
        </is>
      </c>
      <c r="B504" s="1" t="n">
        <v>45460</v>
      </c>
      <c r="C504" s="1" t="n">
        <v>45970</v>
      </c>
      <c r="D504" t="inlineStr">
        <is>
          <t>UPPSALA LÄN</t>
        </is>
      </c>
      <c r="E504" t="inlineStr">
        <is>
          <t>UPPSALA</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7388-2024</t>
        </is>
      </c>
      <c r="B505" s="1" t="n">
        <v>45345.56</v>
      </c>
      <c r="C505" s="1" t="n">
        <v>45970</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60729-2024</t>
        </is>
      </c>
      <c r="B506" s="1" t="n">
        <v>45644</v>
      </c>
      <c r="C506" s="1" t="n">
        <v>45970</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73326-2021</t>
        </is>
      </c>
      <c r="B507" s="1" t="n">
        <v>44548</v>
      </c>
      <c r="C507" s="1" t="n">
        <v>45970</v>
      </c>
      <c r="D507" t="inlineStr">
        <is>
          <t>UPPSALA LÄN</t>
        </is>
      </c>
      <c r="E507" t="inlineStr">
        <is>
          <t>UPPSALA</t>
        </is>
      </c>
      <c r="G507" t="n">
        <v>4</v>
      </c>
      <c r="H507" t="n">
        <v>0</v>
      </c>
      <c r="I507" t="n">
        <v>0</v>
      </c>
      <c r="J507" t="n">
        <v>0</v>
      </c>
      <c r="K507" t="n">
        <v>0</v>
      </c>
      <c r="L507" t="n">
        <v>0</v>
      </c>
      <c r="M507" t="n">
        <v>0</v>
      </c>
      <c r="N507" t="n">
        <v>0</v>
      </c>
      <c r="O507" t="n">
        <v>0</v>
      </c>
      <c r="P507" t="n">
        <v>0</v>
      </c>
      <c r="Q507" t="n">
        <v>0</v>
      </c>
      <c r="R507" s="2" t="inlineStr"/>
    </row>
    <row r="508" ht="15" customHeight="1">
      <c r="A508" t="inlineStr">
        <is>
          <t>A 60984-2022</t>
        </is>
      </c>
      <c r="B508" s="1" t="n">
        <v>44914.67600694444</v>
      </c>
      <c r="C508" s="1" t="n">
        <v>45970</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73044-2021</t>
        </is>
      </c>
      <c r="B509" s="1" t="n">
        <v>44550.37994212963</v>
      </c>
      <c r="C509" s="1" t="n">
        <v>45970</v>
      </c>
      <c r="D509" t="inlineStr">
        <is>
          <t>UPPSALA LÄN</t>
        </is>
      </c>
      <c r="E509" t="inlineStr">
        <is>
          <t>UPPSALA</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21052-2023</t>
        </is>
      </c>
      <c r="B510" s="1" t="n">
        <v>45061</v>
      </c>
      <c r="C510" s="1" t="n">
        <v>45970</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1855-2021</t>
        </is>
      </c>
      <c r="B511" s="1" t="n">
        <v>44210</v>
      </c>
      <c r="C511" s="1" t="n">
        <v>45970</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64855-2021</t>
        </is>
      </c>
      <c r="B512" s="1" t="n">
        <v>44512</v>
      </c>
      <c r="C512" s="1" t="n">
        <v>45970</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62352-2020</t>
        </is>
      </c>
      <c r="B513" s="1" t="n">
        <v>44159</v>
      </c>
      <c r="C513" s="1" t="n">
        <v>45970</v>
      </c>
      <c r="D513" t="inlineStr">
        <is>
          <t>UPPSALA LÄN</t>
        </is>
      </c>
      <c r="E513" t="inlineStr">
        <is>
          <t>UPPSALA</t>
        </is>
      </c>
      <c r="F513" t="inlineStr">
        <is>
          <t>Allmännings- och besparingsskogar</t>
        </is>
      </c>
      <c r="G513" t="n">
        <v>12.9</v>
      </c>
      <c r="H513" t="n">
        <v>0</v>
      </c>
      <c r="I513" t="n">
        <v>0</v>
      </c>
      <c r="J513" t="n">
        <v>0</v>
      </c>
      <c r="K513" t="n">
        <v>0</v>
      </c>
      <c r="L513" t="n">
        <v>0</v>
      </c>
      <c r="M513" t="n">
        <v>0</v>
      </c>
      <c r="N513" t="n">
        <v>0</v>
      </c>
      <c r="O513" t="n">
        <v>0</v>
      </c>
      <c r="P513" t="n">
        <v>0</v>
      </c>
      <c r="Q513" t="n">
        <v>0</v>
      </c>
      <c r="R513" s="2" t="inlineStr"/>
    </row>
    <row r="514" ht="15" customHeight="1">
      <c r="A514" t="inlineStr">
        <is>
          <t>A 46743-2024</t>
        </is>
      </c>
      <c r="B514" s="1" t="n">
        <v>45583.47836805556</v>
      </c>
      <c r="C514" s="1" t="n">
        <v>45970</v>
      </c>
      <c r="D514" t="inlineStr">
        <is>
          <t>UPPSALA LÄN</t>
        </is>
      </c>
      <c r="E514" t="inlineStr">
        <is>
          <t>UPPSALA</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9313-2023</t>
        </is>
      </c>
      <c r="B515" s="1" t="n">
        <v>44980</v>
      </c>
      <c r="C515" s="1" t="n">
        <v>45970</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60701-2022</t>
        </is>
      </c>
      <c r="B516" s="1" t="n">
        <v>44912</v>
      </c>
      <c r="C516" s="1" t="n">
        <v>45970</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13644-2024</t>
        </is>
      </c>
      <c r="B517" s="1" t="n">
        <v>45390</v>
      </c>
      <c r="C517" s="1" t="n">
        <v>45970</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9592-2022</t>
        </is>
      </c>
      <c r="B518" s="1" t="n">
        <v>44617.48311342593</v>
      </c>
      <c r="C518" s="1" t="n">
        <v>45970</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6997-2023</t>
        </is>
      </c>
      <c r="B519" s="1" t="n">
        <v>44967.78984953704</v>
      </c>
      <c r="C519" s="1" t="n">
        <v>45970</v>
      </c>
      <c r="D519" t="inlineStr">
        <is>
          <t>UPPSALA LÄN</t>
        </is>
      </c>
      <c r="E519" t="inlineStr">
        <is>
          <t>UPPSALA</t>
        </is>
      </c>
      <c r="G519" t="n">
        <v>3.9</v>
      </c>
      <c r="H519" t="n">
        <v>0</v>
      </c>
      <c r="I519" t="n">
        <v>0</v>
      </c>
      <c r="J519" t="n">
        <v>0</v>
      </c>
      <c r="K519" t="n">
        <v>0</v>
      </c>
      <c r="L519" t="n">
        <v>0</v>
      </c>
      <c r="M519" t="n">
        <v>0</v>
      </c>
      <c r="N519" t="n">
        <v>0</v>
      </c>
      <c r="O519" t="n">
        <v>0</v>
      </c>
      <c r="P519" t="n">
        <v>0</v>
      </c>
      <c r="Q519" t="n">
        <v>0</v>
      </c>
      <c r="R519" s="2" t="inlineStr"/>
    </row>
    <row r="520" ht="15" customHeight="1">
      <c r="A520" t="inlineStr">
        <is>
          <t>A 8494-2021</t>
        </is>
      </c>
      <c r="B520" s="1" t="n">
        <v>44245</v>
      </c>
      <c r="C520" s="1" t="n">
        <v>45970</v>
      </c>
      <c r="D520" t="inlineStr">
        <is>
          <t>UPPSALA LÄN</t>
        </is>
      </c>
      <c r="E520" t="inlineStr">
        <is>
          <t>UPPSALA</t>
        </is>
      </c>
      <c r="G520" t="n">
        <v>1.3</v>
      </c>
      <c r="H520" t="n">
        <v>0</v>
      </c>
      <c r="I520" t="n">
        <v>0</v>
      </c>
      <c r="J520" t="n">
        <v>0</v>
      </c>
      <c r="K520" t="n">
        <v>0</v>
      </c>
      <c r="L520" t="n">
        <v>0</v>
      </c>
      <c r="M520" t="n">
        <v>0</v>
      </c>
      <c r="N520" t="n">
        <v>0</v>
      </c>
      <c r="O520" t="n">
        <v>0</v>
      </c>
      <c r="P520" t="n">
        <v>0</v>
      </c>
      <c r="Q520" t="n">
        <v>0</v>
      </c>
      <c r="R520" s="2" t="inlineStr"/>
    </row>
    <row r="521" ht="15" customHeight="1">
      <c r="A521" t="inlineStr">
        <is>
          <t>A 59521-2023</t>
        </is>
      </c>
      <c r="B521" s="1" t="n">
        <v>45254.49552083333</v>
      </c>
      <c r="C521" s="1" t="n">
        <v>45970</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8473-2023</t>
        </is>
      </c>
      <c r="B522" s="1" t="n">
        <v>44977</v>
      </c>
      <c r="C522" s="1" t="n">
        <v>45970</v>
      </c>
      <c r="D522" t="inlineStr">
        <is>
          <t>UPPSALA LÄN</t>
        </is>
      </c>
      <c r="E522" t="inlineStr">
        <is>
          <t>UPPSALA</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53615-2024</t>
        </is>
      </c>
      <c r="B523" s="1" t="n">
        <v>45611</v>
      </c>
      <c r="C523" s="1" t="n">
        <v>45970</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23157-2023</t>
        </is>
      </c>
      <c r="B524" s="1" t="n">
        <v>45075.51982638889</v>
      </c>
      <c r="C524" s="1" t="n">
        <v>45970</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22431-2024</t>
        </is>
      </c>
      <c r="B525" s="1" t="n">
        <v>45446.78256944445</v>
      </c>
      <c r="C525" s="1" t="n">
        <v>45970</v>
      </c>
      <c r="D525" t="inlineStr">
        <is>
          <t>UPPSALA LÄN</t>
        </is>
      </c>
      <c r="E525" t="inlineStr">
        <is>
          <t>UPPSALA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7226-2024</t>
        </is>
      </c>
      <c r="B526" s="1" t="n">
        <v>45344.64759259259</v>
      </c>
      <c r="C526" s="1" t="n">
        <v>45970</v>
      </c>
      <c r="D526" t="inlineStr">
        <is>
          <t>UPPSALA LÄN</t>
        </is>
      </c>
      <c r="E526" t="inlineStr">
        <is>
          <t>UPPSALA</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29901-2023</t>
        </is>
      </c>
      <c r="B527" s="1" t="n">
        <v>45107</v>
      </c>
      <c r="C527" s="1" t="n">
        <v>45970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29926-2023</t>
        </is>
      </c>
      <c r="B528" s="1" t="n">
        <v>45107</v>
      </c>
      <c r="C528" s="1" t="n">
        <v>45970</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29927-2023</t>
        </is>
      </c>
      <c r="B529" s="1" t="n">
        <v>45107</v>
      </c>
      <c r="C529" s="1" t="n">
        <v>45970</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7253-2024</t>
        </is>
      </c>
      <c r="B530" s="1" t="n">
        <v>45344.69567129629</v>
      </c>
      <c r="C530" s="1" t="n">
        <v>45970</v>
      </c>
      <c r="D530" t="inlineStr">
        <is>
          <t>UPPSALA LÄN</t>
        </is>
      </c>
      <c r="E530" t="inlineStr">
        <is>
          <t>UPPSALA</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39148-2022</t>
        </is>
      </c>
      <c r="B531" s="1" t="n">
        <v>44816</v>
      </c>
      <c r="C531" s="1" t="n">
        <v>45970</v>
      </c>
      <c r="D531" t="inlineStr">
        <is>
          <t>UPPSALA LÄN</t>
        </is>
      </c>
      <c r="E531" t="inlineStr">
        <is>
          <t>UPPSALA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45970</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45970</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34509-2023</t>
        </is>
      </c>
      <c r="B534" s="1" t="n">
        <v>45133</v>
      </c>
      <c r="C534" s="1" t="n">
        <v>45970</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6549-2025</t>
        </is>
      </c>
      <c r="B535" s="1" t="n">
        <v>45699</v>
      </c>
      <c r="C535" s="1" t="n">
        <v>45970</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27119-2023</t>
        </is>
      </c>
      <c r="B536" s="1" t="n">
        <v>45096</v>
      </c>
      <c r="C536" s="1" t="n">
        <v>45970</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12830-2025</t>
        </is>
      </c>
      <c r="B537" s="1" t="n">
        <v>45733.63099537037</v>
      </c>
      <c r="C537" s="1" t="n">
        <v>45970</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18808-2024</t>
        </is>
      </c>
      <c r="B538" s="1" t="n">
        <v>45426.61569444444</v>
      </c>
      <c r="C538" s="1" t="n">
        <v>45970</v>
      </c>
      <c r="D538" t="inlineStr">
        <is>
          <t>UPPSALA LÄN</t>
        </is>
      </c>
      <c r="E538" t="inlineStr">
        <is>
          <t>UPPSALA</t>
        </is>
      </c>
      <c r="G538" t="n">
        <v>11.5</v>
      </c>
      <c r="H538" t="n">
        <v>0</v>
      </c>
      <c r="I538" t="n">
        <v>0</v>
      </c>
      <c r="J538" t="n">
        <v>0</v>
      </c>
      <c r="K538" t="n">
        <v>0</v>
      </c>
      <c r="L538" t="n">
        <v>0</v>
      </c>
      <c r="M538" t="n">
        <v>0</v>
      </c>
      <c r="N538" t="n">
        <v>0</v>
      </c>
      <c r="O538" t="n">
        <v>0</v>
      </c>
      <c r="P538" t="n">
        <v>0</v>
      </c>
      <c r="Q538" t="n">
        <v>0</v>
      </c>
      <c r="R538" s="2" t="inlineStr"/>
    </row>
    <row r="539" ht="15" customHeight="1">
      <c r="A539" t="inlineStr">
        <is>
          <t>A 27903-2023</t>
        </is>
      </c>
      <c r="B539" s="1" t="n">
        <v>45098.62966435185</v>
      </c>
      <c r="C539" s="1" t="n">
        <v>45970</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28782-2024</t>
        </is>
      </c>
      <c r="B540" s="1" t="n">
        <v>45478.60802083334</v>
      </c>
      <c r="C540" s="1" t="n">
        <v>45970</v>
      </c>
      <c r="D540" t="inlineStr">
        <is>
          <t>UPPSALA LÄN</t>
        </is>
      </c>
      <c r="E540" t="inlineStr">
        <is>
          <t>UPPSALA</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9981-2025</t>
        </is>
      </c>
      <c r="B541" s="1" t="n">
        <v>45719.40723379629</v>
      </c>
      <c r="C541" s="1" t="n">
        <v>45970</v>
      </c>
      <c r="D541" t="inlineStr">
        <is>
          <t>UPPSALA LÄN</t>
        </is>
      </c>
      <c r="E541" t="inlineStr">
        <is>
          <t>UPPSALA</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18677-2024</t>
        </is>
      </c>
      <c r="B542" s="1" t="n">
        <v>45426</v>
      </c>
      <c r="C542" s="1" t="n">
        <v>45970</v>
      </c>
      <c r="D542" t="inlineStr">
        <is>
          <t>UPPSALA LÄN</t>
        </is>
      </c>
      <c r="E542" t="inlineStr">
        <is>
          <t>UPPSALA</t>
        </is>
      </c>
      <c r="G542" t="n">
        <v>2.8</v>
      </c>
      <c r="H542" t="n">
        <v>0</v>
      </c>
      <c r="I542" t="n">
        <v>0</v>
      </c>
      <c r="J542" t="n">
        <v>0</v>
      </c>
      <c r="K542" t="n">
        <v>0</v>
      </c>
      <c r="L542" t="n">
        <v>0</v>
      </c>
      <c r="M542" t="n">
        <v>0</v>
      </c>
      <c r="N542" t="n">
        <v>0</v>
      </c>
      <c r="O542" t="n">
        <v>0</v>
      </c>
      <c r="P542" t="n">
        <v>0</v>
      </c>
      <c r="Q542" t="n">
        <v>0</v>
      </c>
      <c r="R542" s="2" t="inlineStr"/>
    </row>
    <row r="543" ht="15" customHeight="1">
      <c r="A543" t="inlineStr">
        <is>
          <t>A 11739-2023</t>
        </is>
      </c>
      <c r="B543" s="1" t="n">
        <v>44993</v>
      </c>
      <c r="C543" s="1" t="n">
        <v>45970</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72224-2021</t>
        </is>
      </c>
      <c r="B544" s="1" t="n">
        <v>44544</v>
      </c>
      <c r="C544" s="1" t="n">
        <v>45970</v>
      </c>
      <c r="D544" t="inlineStr">
        <is>
          <t>UPPSALA LÄN</t>
        </is>
      </c>
      <c r="E544" t="inlineStr">
        <is>
          <t>UPPSALA</t>
        </is>
      </c>
      <c r="G544" t="n">
        <v>2.5</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45970</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36781-2023</t>
        </is>
      </c>
      <c r="B546" s="1" t="n">
        <v>45154.34931712963</v>
      </c>
      <c r="C546" s="1" t="n">
        <v>45970</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5899-2024</t>
        </is>
      </c>
      <c r="B547" s="1" t="n">
        <v>45335</v>
      </c>
      <c r="C547" s="1" t="n">
        <v>45970</v>
      </c>
      <c r="D547" t="inlineStr">
        <is>
          <t>UPPSALA LÄN</t>
        </is>
      </c>
      <c r="E547" t="inlineStr">
        <is>
          <t>UPPSALA</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45-2024</t>
        </is>
      </c>
      <c r="B548" s="1" t="n">
        <v>45293</v>
      </c>
      <c r="C548" s="1" t="n">
        <v>45970</v>
      </c>
      <c r="D548" t="inlineStr">
        <is>
          <t>UPPSALA LÄN</t>
        </is>
      </c>
      <c r="E548" t="inlineStr">
        <is>
          <t>UPPSALA</t>
        </is>
      </c>
      <c r="G548" t="n">
        <v>12.5</v>
      </c>
      <c r="H548" t="n">
        <v>0</v>
      </c>
      <c r="I548" t="n">
        <v>0</v>
      </c>
      <c r="J548" t="n">
        <v>0</v>
      </c>
      <c r="K548" t="n">
        <v>0</v>
      </c>
      <c r="L548" t="n">
        <v>0</v>
      </c>
      <c r="M548" t="n">
        <v>0</v>
      </c>
      <c r="N548" t="n">
        <v>0</v>
      </c>
      <c r="O548" t="n">
        <v>0</v>
      </c>
      <c r="P548" t="n">
        <v>0</v>
      </c>
      <c r="Q548" t="n">
        <v>0</v>
      </c>
      <c r="R548" s="2" t="inlineStr"/>
    </row>
    <row r="549" ht="15" customHeight="1">
      <c r="A549" t="inlineStr">
        <is>
          <t>A 38934-2023</t>
        </is>
      </c>
      <c r="B549" s="1" t="n">
        <v>45163.59913194444</v>
      </c>
      <c r="C549" s="1" t="n">
        <v>45970</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6550-2025</t>
        </is>
      </c>
      <c r="B550" s="1" t="n">
        <v>45699.71063657408</v>
      </c>
      <c r="C550" s="1" t="n">
        <v>45970</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12282-2025</t>
        </is>
      </c>
      <c r="B551" s="1" t="n">
        <v>45729</v>
      </c>
      <c r="C551" s="1" t="n">
        <v>45970</v>
      </c>
      <c r="D551" t="inlineStr">
        <is>
          <t>UPPSALA LÄN</t>
        </is>
      </c>
      <c r="E551" t="inlineStr">
        <is>
          <t>UPPSALA</t>
        </is>
      </c>
      <c r="G551" t="n">
        <v>3.3</v>
      </c>
      <c r="H551" t="n">
        <v>0</v>
      </c>
      <c r="I551" t="n">
        <v>0</v>
      </c>
      <c r="J551" t="n">
        <v>0</v>
      </c>
      <c r="K551" t="n">
        <v>0</v>
      </c>
      <c r="L551" t="n">
        <v>0</v>
      </c>
      <c r="M551" t="n">
        <v>0</v>
      </c>
      <c r="N551" t="n">
        <v>0</v>
      </c>
      <c r="O551" t="n">
        <v>0</v>
      </c>
      <c r="P551" t="n">
        <v>0</v>
      </c>
      <c r="Q551" t="n">
        <v>0</v>
      </c>
      <c r="R551" s="2" t="inlineStr"/>
    </row>
    <row r="552" ht="15" customHeight="1">
      <c r="A552" t="inlineStr">
        <is>
          <t>A 27125-2023</t>
        </is>
      </c>
      <c r="B552" s="1" t="n">
        <v>45096</v>
      </c>
      <c r="C552" s="1" t="n">
        <v>45970</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25776-2022</t>
        </is>
      </c>
      <c r="B553" s="1" t="n">
        <v>44733</v>
      </c>
      <c r="C553" s="1" t="n">
        <v>45970</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14907-2025</t>
        </is>
      </c>
      <c r="B554" s="1" t="n">
        <v>45743.50744212963</v>
      </c>
      <c r="C554" s="1" t="n">
        <v>45970</v>
      </c>
      <c r="D554" t="inlineStr">
        <is>
          <t>UPPSALA LÄN</t>
        </is>
      </c>
      <c r="E554" t="inlineStr">
        <is>
          <t>UPPSALA</t>
        </is>
      </c>
      <c r="G554" t="n">
        <v>7</v>
      </c>
      <c r="H554" t="n">
        <v>0</v>
      </c>
      <c r="I554" t="n">
        <v>0</v>
      </c>
      <c r="J554" t="n">
        <v>0</v>
      </c>
      <c r="K554" t="n">
        <v>0</v>
      </c>
      <c r="L554" t="n">
        <v>0</v>
      </c>
      <c r="M554" t="n">
        <v>0</v>
      </c>
      <c r="N554" t="n">
        <v>0</v>
      </c>
      <c r="O554" t="n">
        <v>0</v>
      </c>
      <c r="P554" t="n">
        <v>0</v>
      </c>
      <c r="Q554" t="n">
        <v>0</v>
      </c>
      <c r="R554" s="2" t="inlineStr"/>
    </row>
    <row r="555" ht="15" customHeight="1">
      <c r="A555" t="inlineStr">
        <is>
          <t>A 179-2024</t>
        </is>
      </c>
      <c r="B555" s="1" t="n">
        <v>45294.5666550926</v>
      </c>
      <c r="C555" s="1" t="n">
        <v>45970</v>
      </c>
      <c r="D555" t="inlineStr">
        <is>
          <t>UPPSALA LÄN</t>
        </is>
      </c>
      <c r="E555" t="inlineStr">
        <is>
          <t>UPPSALA</t>
        </is>
      </c>
      <c r="F555" t="inlineStr">
        <is>
          <t>Bergvik skog öst AB</t>
        </is>
      </c>
      <c r="G555" t="n">
        <v>12.7</v>
      </c>
      <c r="H555" t="n">
        <v>0</v>
      </c>
      <c r="I555" t="n">
        <v>0</v>
      </c>
      <c r="J555" t="n">
        <v>0</v>
      </c>
      <c r="K555" t="n">
        <v>0</v>
      </c>
      <c r="L555" t="n">
        <v>0</v>
      </c>
      <c r="M555" t="n">
        <v>0</v>
      </c>
      <c r="N555" t="n">
        <v>0</v>
      </c>
      <c r="O555" t="n">
        <v>0</v>
      </c>
      <c r="P555" t="n">
        <v>0</v>
      </c>
      <c r="Q555" t="n">
        <v>0</v>
      </c>
      <c r="R555" s="2" t="inlineStr"/>
    </row>
    <row r="556" ht="15" customHeight="1">
      <c r="A556" t="inlineStr">
        <is>
          <t>A 41545-2023</t>
        </is>
      </c>
      <c r="B556" s="1" t="n">
        <v>45175.57060185185</v>
      </c>
      <c r="C556" s="1" t="n">
        <v>45970</v>
      </c>
      <c r="D556" t="inlineStr">
        <is>
          <t>UPPSALA LÄN</t>
        </is>
      </c>
      <c r="E556" t="inlineStr">
        <is>
          <t>UPPSALA</t>
        </is>
      </c>
      <c r="G556" t="n">
        <v>6.6</v>
      </c>
      <c r="H556" t="n">
        <v>0</v>
      </c>
      <c r="I556" t="n">
        <v>0</v>
      </c>
      <c r="J556" t="n">
        <v>0</v>
      </c>
      <c r="K556" t="n">
        <v>0</v>
      </c>
      <c r="L556" t="n">
        <v>0</v>
      </c>
      <c r="M556" t="n">
        <v>0</v>
      </c>
      <c r="N556" t="n">
        <v>0</v>
      </c>
      <c r="O556" t="n">
        <v>0</v>
      </c>
      <c r="P556" t="n">
        <v>0</v>
      </c>
      <c r="Q556" t="n">
        <v>0</v>
      </c>
      <c r="R556" s="2" t="inlineStr"/>
    </row>
    <row r="557" ht="15" customHeight="1">
      <c r="A557" t="inlineStr">
        <is>
          <t>A 6006-2025</t>
        </is>
      </c>
      <c r="B557" s="1" t="n">
        <v>45695.59197916667</v>
      </c>
      <c r="C557" s="1" t="n">
        <v>45970</v>
      </c>
      <c r="D557" t="inlineStr">
        <is>
          <t>UPPSALA LÄN</t>
        </is>
      </c>
      <c r="E557" t="inlineStr">
        <is>
          <t>UPPSALA</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60691-2024</t>
        </is>
      </c>
      <c r="B558" s="1" t="n">
        <v>45644.47723379629</v>
      </c>
      <c r="C558" s="1" t="n">
        <v>45970</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11568-2023</t>
        </is>
      </c>
      <c r="B559" s="1" t="n">
        <v>44994</v>
      </c>
      <c r="C559" s="1" t="n">
        <v>45970</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13526-2023</t>
        </is>
      </c>
      <c r="B560" s="1" t="n">
        <v>45006</v>
      </c>
      <c r="C560" s="1" t="n">
        <v>45970</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39777-2025</t>
        </is>
      </c>
      <c r="B561" s="1" t="n">
        <v>45891.46827546296</v>
      </c>
      <c r="C561" s="1" t="n">
        <v>45970</v>
      </c>
      <c r="D561" t="inlineStr">
        <is>
          <t>UPPSALA LÄN</t>
        </is>
      </c>
      <c r="E561" t="inlineStr">
        <is>
          <t>UPPSALA</t>
        </is>
      </c>
      <c r="G561" t="n">
        <v>6.5</v>
      </c>
      <c r="H561" t="n">
        <v>0</v>
      </c>
      <c r="I561" t="n">
        <v>0</v>
      </c>
      <c r="J561" t="n">
        <v>0</v>
      </c>
      <c r="K561" t="n">
        <v>0</v>
      </c>
      <c r="L561" t="n">
        <v>0</v>
      </c>
      <c r="M561" t="n">
        <v>0</v>
      </c>
      <c r="N561" t="n">
        <v>0</v>
      </c>
      <c r="O561" t="n">
        <v>0</v>
      </c>
      <c r="P561" t="n">
        <v>0</v>
      </c>
      <c r="Q561" t="n">
        <v>0</v>
      </c>
      <c r="R561" s="2" t="inlineStr"/>
    </row>
    <row r="562" ht="15" customHeight="1">
      <c r="A562" t="inlineStr">
        <is>
          <t>A 74023-2021</t>
        </is>
      </c>
      <c r="B562" s="1" t="n">
        <v>44553</v>
      </c>
      <c r="C562" s="1" t="n">
        <v>45970</v>
      </c>
      <c r="D562" t="inlineStr">
        <is>
          <t>UPPSALA LÄN</t>
        </is>
      </c>
      <c r="E562" t="inlineStr">
        <is>
          <t>UPPSALA</t>
        </is>
      </c>
      <c r="G562" t="n">
        <v>5.4</v>
      </c>
      <c r="H562" t="n">
        <v>0</v>
      </c>
      <c r="I562" t="n">
        <v>0</v>
      </c>
      <c r="J562" t="n">
        <v>0</v>
      </c>
      <c r="K562" t="n">
        <v>0</v>
      </c>
      <c r="L562" t="n">
        <v>0</v>
      </c>
      <c r="M562" t="n">
        <v>0</v>
      </c>
      <c r="N562" t="n">
        <v>0</v>
      </c>
      <c r="O562" t="n">
        <v>0</v>
      </c>
      <c r="P562" t="n">
        <v>0</v>
      </c>
      <c r="Q562" t="n">
        <v>0</v>
      </c>
      <c r="R562" s="2" t="inlineStr"/>
    </row>
    <row r="563" ht="15" customHeight="1">
      <c r="A563" t="inlineStr">
        <is>
          <t>A 1825-2024</t>
        </is>
      </c>
      <c r="B563" s="1" t="n">
        <v>45307</v>
      </c>
      <c r="C563" s="1" t="n">
        <v>45970</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48757-2025</t>
        </is>
      </c>
      <c r="B564" s="1" t="n">
        <v>45936.73660879629</v>
      </c>
      <c r="C564" s="1" t="n">
        <v>45970</v>
      </c>
      <c r="D564" t="inlineStr">
        <is>
          <t>UPPSALA LÄN</t>
        </is>
      </c>
      <c r="E564" t="inlineStr">
        <is>
          <t>UPPSALA</t>
        </is>
      </c>
      <c r="G564" t="n">
        <v>4.2</v>
      </c>
      <c r="H564" t="n">
        <v>0</v>
      </c>
      <c r="I564" t="n">
        <v>0</v>
      </c>
      <c r="J564" t="n">
        <v>0</v>
      </c>
      <c r="K564" t="n">
        <v>0</v>
      </c>
      <c r="L564" t="n">
        <v>0</v>
      </c>
      <c r="M564" t="n">
        <v>0</v>
      </c>
      <c r="N564" t="n">
        <v>0</v>
      </c>
      <c r="O564" t="n">
        <v>0</v>
      </c>
      <c r="P564" t="n">
        <v>0</v>
      </c>
      <c r="Q564" t="n">
        <v>0</v>
      </c>
      <c r="R564" s="2" t="inlineStr"/>
    </row>
    <row r="565" ht="15" customHeight="1">
      <c r="A565" t="inlineStr">
        <is>
          <t>A 16126-2022</t>
        </is>
      </c>
      <c r="B565" s="1" t="n">
        <v>44665</v>
      </c>
      <c r="C565" s="1" t="n">
        <v>45970</v>
      </c>
      <c r="D565" t="inlineStr">
        <is>
          <t>UPPSALA LÄN</t>
        </is>
      </c>
      <c r="E565" t="inlineStr">
        <is>
          <t>UPPSALA</t>
        </is>
      </c>
      <c r="F565" t="inlineStr">
        <is>
          <t>Bergvik skog öst AB</t>
        </is>
      </c>
      <c r="G565" t="n">
        <v>4.4</v>
      </c>
      <c r="H565" t="n">
        <v>0</v>
      </c>
      <c r="I565" t="n">
        <v>0</v>
      </c>
      <c r="J565" t="n">
        <v>0</v>
      </c>
      <c r="K565" t="n">
        <v>0</v>
      </c>
      <c r="L565" t="n">
        <v>0</v>
      </c>
      <c r="M565" t="n">
        <v>0</v>
      </c>
      <c r="N565" t="n">
        <v>0</v>
      </c>
      <c r="O565" t="n">
        <v>0</v>
      </c>
      <c r="P565" t="n">
        <v>0</v>
      </c>
      <c r="Q565" t="n">
        <v>0</v>
      </c>
      <c r="R565" s="2" t="inlineStr"/>
    </row>
    <row r="566" ht="15" customHeight="1">
      <c r="A566" t="inlineStr">
        <is>
          <t>A 21935-2023</t>
        </is>
      </c>
      <c r="B566" s="1" t="n">
        <v>45068.58563657408</v>
      </c>
      <c r="C566" s="1" t="n">
        <v>45970</v>
      </c>
      <c r="D566" t="inlineStr">
        <is>
          <t>UPPSALA LÄN</t>
        </is>
      </c>
      <c r="E566" t="inlineStr">
        <is>
          <t>UPPSALA</t>
        </is>
      </c>
      <c r="G566" t="n">
        <v>2.6</v>
      </c>
      <c r="H566" t="n">
        <v>0</v>
      </c>
      <c r="I566" t="n">
        <v>0</v>
      </c>
      <c r="J566" t="n">
        <v>0</v>
      </c>
      <c r="K566" t="n">
        <v>0</v>
      </c>
      <c r="L566" t="n">
        <v>0</v>
      </c>
      <c r="M566" t="n">
        <v>0</v>
      </c>
      <c r="N566" t="n">
        <v>0</v>
      </c>
      <c r="O566" t="n">
        <v>0</v>
      </c>
      <c r="P566" t="n">
        <v>0</v>
      </c>
      <c r="Q566" t="n">
        <v>0</v>
      </c>
      <c r="R566" s="2" t="inlineStr"/>
    </row>
    <row r="567" ht="15" customHeight="1">
      <c r="A567" t="inlineStr">
        <is>
          <t>A 18668-2024</t>
        </is>
      </c>
      <c r="B567" s="1" t="n">
        <v>45426.34148148148</v>
      </c>
      <c r="C567" s="1" t="n">
        <v>45970</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53266-2024</t>
        </is>
      </c>
      <c r="B568" s="1" t="n">
        <v>45614</v>
      </c>
      <c r="C568" s="1" t="n">
        <v>45970</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4412-2024</t>
        </is>
      </c>
      <c r="B569" s="1" t="n">
        <v>45327</v>
      </c>
      <c r="C569" s="1" t="n">
        <v>45970</v>
      </c>
      <c r="D569" t="inlineStr">
        <is>
          <t>UPPSALA LÄN</t>
        </is>
      </c>
      <c r="E569" t="inlineStr">
        <is>
          <t>UPPSALA</t>
        </is>
      </c>
      <c r="G569" t="n">
        <v>5.4</v>
      </c>
      <c r="H569" t="n">
        <v>0</v>
      </c>
      <c r="I569" t="n">
        <v>0</v>
      </c>
      <c r="J569" t="n">
        <v>0</v>
      </c>
      <c r="K569" t="n">
        <v>0</v>
      </c>
      <c r="L569" t="n">
        <v>0</v>
      </c>
      <c r="M569" t="n">
        <v>0</v>
      </c>
      <c r="N569" t="n">
        <v>0</v>
      </c>
      <c r="O569" t="n">
        <v>0</v>
      </c>
      <c r="P569" t="n">
        <v>0</v>
      </c>
      <c r="Q569" t="n">
        <v>0</v>
      </c>
      <c r="R569" s="2" t="inlineStr"/>
    </row>
    <row r="570" ht="15" customHeight="1">
      <c r="A570" t="inlineStr">
        <is>
          <t>A 49160-2025</t>
        </is>
      </c>
      <c r="B570" s="1" t="n">
        <v>45938.35063657408</v>
      </c>
      <c r="C570" s="1" t="n">
        <v>45970</v>
      </c>
      <c r="D570" t="inlineStr">
        <is>
          <t>UPPSALA LÄN</t>
        </is>
      </c>
      <c r="E570" t="inlineStr">
        <is>
          <t>UPPSALA</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40639-2025</t>
        </is>
      </c>
      <c r="B571" s="1" t="n">
        <v>45896.61050925926</v>
      </c>
      <c r="C571" s="1" t="n">
        <v>45970</v>
      </c>
      <c r="D571" t="inlineStr">
        <is>
          <t>UPPSALA LÄN</t>
        </is>
      </c>
      <c r="E571" t="inlineStr">
        <is>
          <t>UPPSALA</t>
        </is>
      </c>
      <c r="G571" t="n">
        <v>6.9</v>
      </c>
      <c r="H571" t="n">
        <v>0</v>
      </c>
      <c r="I571" t="n">
        <v>0</v>
      </c>
      <c r="J571" t="n">
        <v>0</v>
      </c>
      <c r="K571" t="n">
        <v>0</v>
      </c>
      <c r="L571" t="n">
        <v>0</v>
      </c>
      <c r="M571" t="n">
        <v>0</v>
      </c>
      <c r="N571" t="n">
        <v>0</v>
      </c>
      <c r="O571" t="n">
        <v>0</v>
      </c>
      <c r="P571" t="n">
        <v>0</v>
      </c>
      <c r="Q571" t="n">
        <v>0</v>
      </c>
      <c r="R571" s="2" t="inlineStr"/>
    </row>
    <row r="572" ht="15" customHeight="1">
      <c r="A572" t="inlineStr">
        <is>
          <t>A 40501-2025</t>
        </is>
      </c>
      <c r="B572" s="1" t="n">
        <v>45896</v>
      </c>
      <c r="C572" s="1" t="n">
        <v>45970</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9914-2024</t>
        </is>
      </c>
      <c r="B573" s="1" t="n">
        <v>45363.54878472222</v>
      </c>
      <c r="C573" s="1" t="n">
        <v>45970</v>
      </c>
      <c r="D573" t="inlineStr">
        <is>
          <t>UPPSALA LÄN</t>
        </is>
      </c>
      <c r="E573" t="inlineStr">
        <is>
          <t>UPPSALA</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787-2024</t>
        </is>
      </c>
      <c r="B574" s="1" t="n">
        <v>45300</v>
      </c>
      <c r="C574" s="1" t="n">
        <v>45970</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6999-2023</t>
        </is>
      </c>
      <c r="B575" s="1" t="n">
        <v>44967.80034722222</v>
      </c>
      <c r="C575" s="1" t="n">
        <v>45970</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7002-2023</t>
        </is>
      </c>
      <c r="B576" s="1" t="n">
        <v>44967</v>
      </c>
      <c r="C576" s="1" t="n">
        <v>45970</v>
      </c>
      <c r="D576" t="inlineStr">
        <is>
          <t>UPPSALA LÄN</t>
        </is>
      </c>
      <c r="E576" t="inlineStr">
        <is>
          <t>UPPSALA</t>
        </is>
      </c>
      <c r="G576" t="n">
        <v>5</v>
      </c>
      <c r="H576" t="n">
        <v>0</v>
      </c>
      <c r="I576" t="n">
        <v>0</v>
      </c>
      <c r="J576" t="n">
        <v>0</v>
      </c>
      <c r="K576" t="n">
        <v>0</v>
      </c>
      <c r="L576" t="n">
        <v>0</v>
      </c>
      <c r="M576" t="n">
        <v>0</v>
      </c>
      <c r="N576" t="n">
        <v>0</v>
      </c>
      <c r="O576" t="n">
        <v>0</v>
      </c>
      <c r="P576" t="n">
        <v>0</v>
      </c>
      <c r="Q576" t="n">
        <v>0</v>
      </c>
      <c r="R576" s="2" t="inlineStr"/>
    </row>
    <row r="577" ht="15" customHeight="1">
      <c r="A577" t="inlineStr">
        <is>
          <t>A 40504-2025</t>
        </is>
      </c>
      <c r="B577" s="1" t="n">
        <v>45896</v>
      </c>
      <c r="C577" s="1" t="n">
        <v>45970</v>
      </c>
      <c r="D577" t="inlineStr">
        <is>
          <t>UPPSALA LÄN</t>
        </is>
      </c>
      <c r="E577" t="inlineStr">
        <is>
          <t>UPPSALA</t>
        </is>
      </c>
      <c r="G577" t="n">
        <v>4.4</v>
      </c>
      <c r="H577" t="n">
        <v>0</v>
      </c>
      <c r="I577" t="n">
        <v>0</v>
      </c>
      <c r="J577" t="n">
        <v>0</v>
      </c>
      <c r="K577" t="n">
        <v>0</v>
      </c>
      <c r="L577" t="n">
        <v>0</v>
      </c>
      <c r="M577" t="n">
        <v>0</v>
      </c>
      <c r="N577" t="n">
        <v>0</v>
      </c>
      <c r="O577" t="n">
        <v>0</v>
      </c>
      <c r="P577" t="n">
        <v>0</v>
      </c>
      <c r="Q577" t="n">
        <v>0</v>
      </c>
      <c r="R577" s="2" t="inlineStr"/>
    </row>
    <row r="578" ht="15" customHeight="1">
      <c r="A578" t="inlineStr">
        <is>
          <t>A 1588-2025</t>
        </is>
      </c>
      <c r="B578" s="1" t="n">
        <v>45670</v>
      </c>
      <c r="C578" s="1" t="n">
        <v>45970</v>
      </c>
      <c r="D578" t="inlineStr">
        <is>
          <t>UPPSALA LÄN</t>
        </is>
      </c>
      <c r="E578" t="inlineStr">
        <is>
          <t>UPPSALA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367-2023</t>
        </is>
      </c>
      <c r="B579" s="1" t="n">
        <v>44929</v>
      </c>
      <c r="C579" s="1" t="n">
        <v>45970</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40606-2025</t>
        </is>
      </c>
      <c r="B580" s="1" t="n">
        <v>45896.57171296296</v>
      </c>
      <c r="C580" s="1" t="n">
        <v>45970</v>
      </c>
      <c r="D580" t="inlineStr">
        <is>
          <t>UPPSALA LÄN</t>
        </is>
      </c>
      <c r="E580" t="inlineStr">
        <is>
          <t>UPPSALA</t>
        </is>
      </c>
      <c r="G580" t="n">
        <v>3.2</v>
      </c>
      <c r="H580" t="n">
        <v>0</v>
      </c>
      <c r="I580" t="n">
        <v>0</v>
      </c>
      <c r="J580" t="n">
        <v>0</v>
      </c>
      <c r="K580" t="n">
        <v>0</v>
      </c>
      <c r="L580" t="n">
        <v>0</v>
      </c>
      <c r="M580" t="n">
        <v>0</v>
      </c>
      <c r="N580" t="n">
        <v>0</v>
      </c>
      <c r="O580" t="n">
        <v>0</v>
      </c>
      <c r="P580" t="n">
        <v>0</v>
      </c>
      <c r="Q580" t="n">
        <v>0</v>
      </c>
      <c r="R580" s="2" t="inlineStr"/>
    </row>
    <row r="581" ht="15" customHeight="1">
      <c r="A581" t="inlineStr">
        <is>
          <t>A 20703-2025</t>
        </is>
      </c>
      <c r="B581" s="1" t="n">
        <v>45776.48275462963</v>
      </c>
      <c r="C581" s="1" t="n">
        <v>45970</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20712-2025</t>
        </is>
      </c>
      <c r="B582" s="1" t="n">
        <v>45776</v>
      </c>
      <c r="C582" s="1" t="n">
        <v>45970</v>
      </c>
      <c r="D582" t="inlineStr">
        <is>
          <t>UPPSALA LÄN</t>
        </is>
      </c>
      <c r="E582" t="inlineStr">
        <is>
          <t>UPPSALA</t>
        </is>
      </c>
      <c r="G582" t="n">
        <v>1.5</v>
      </c>
      <c r="H582" t="n">
        <v>0</v>
      </c>
      <c r="I582" t="n">
        <v>0</v>
      </c>
      <c r="J582" t="n">
        <v>0</v>
      </c>
      <c r="K582" t="n">
        <v>0</v>
      </c>
      <c r="L582" t="n">
        <v>0</v>
      </c>
      <c r="M582" t="n">
        <v>0</v>
      </c>
      <c r="N582" t="n">
        <v>0</v>
      </c>
      <c r="O582" t="n">
        <v>0</v>
      </c>
      <c r="P582" t="n">
        <v>0</v>
      </c>
      <c r="Q582" t="n">
        <v>0</v>
      </c>
      <c r="R582" s="2" t="inlineStr"/>
    </row>
    <row r="583" ht="15" customHeight="1">
      <c r="A583" t="inlineStr">
        <is>
          <t>A 49164-2025</t>
        </is>
      </c>
      <c r="B583" s="1" t="n">
        <v>45938.3615625</v>
      </c>
      <c r="C583" s="1" t="n">
        <v>45970</v>
      </c>
      <c r="D583" t="inlineStr">
        <is>
          <t>UPPSALA LÄN</t>
        </is>
      </c>
      <c r="E583" t="inlineStr">
        <is>
          <t>UPPSALA</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20686-2025</t>
        </is>
      </c>
      <c r="B584" s="1" t="n">
        <v>45776.45263888889</v>
      </c>
      <c r="C584" s="1" t="n">
        <v>45970</v>
      </c>
      <c r="D584" t="inlineStr">
        <is>
          <t>UPPSALA LÄN</t>
        </is>
      </c>
      <c r="E584" t="inlineStr">
        <is>
          <t>UPPSALA</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6989-2022</t>
        </is>
      </c>
      <c r="B585" s="1" t="n">
        <v>44603</v>
      </c>
      <c r="C585" s="1" t="n">
        <v>45970</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29815-2023</t>
        </is>
      </c>
      <c r="B586" s="1" t="n">
        <v>45107.55574074074</v>
      </c>
      <c r="C586" s="1" t="n">
        <v>45970</v>
      </c>
      <c r="D586" t="inlineStr">
        <is>
          <t>UPPSALA LÄN</t>
        </is>
      </c>
      <c r="E586" t="inlineStr">
        <is>
          <t>UPPSALA</t>
        </is>
      </c>
      <c r="G586" t="n">
        <v>2.4</v>
      </c>
      <c r="H586" t="n">
        <v>0</v>
      </c>
      <c r="I586" t="n">
        <v>0</v>
      </c>
      <c r="J586" t="n">
        <v>0</v>
      </c>
      <c r="K586" t="n">
        <v>0</v>
      </c>
      <c r="L586" t="n">
        <v>0</v>
      </c>
      <c r="M586" t="n">
        <v>0</v>
      </c>
      <c r="N586" t="n">
        <v>0</v>
      </c>
      <c r="O586" t="n">
        <v>0</v>
      </c>
      <c r="P586" t="n">
        <v>0</v>
      </c>
      <c r="Q586" t="n">
        <v>0</v>
      </c>
      <c r="R586" s="2" t="inlineStr"/>
    </row>
    <row r="587" ht="15" customHeight="1">
      <c r="A587" t="inlineStr">
        <is>
          <t>A 12414-2025</t>
        </is>
      </c>
      <c r="B587" s="1" t="n">
        <v>45730.43966435185</v>
      </c>
      <c r="C587" s="1" t="n">
        <v>45970</v>
      </c>
      <c r="D587" t="inlineStr">
        <is>
          <t>UPPSALA LÄN</t>
        </is>
      </c>
      <c r="E587" t="inlineStr">
        <is>
          <t>UPPSALA</t>
        </is>
      </c>
      <c r="F587" t="inlineStr">
        <is>
          <t>Övriga statliga verk och myndigheter</t>
        </is>
      </c>
      <c r="G587" t="n">
        <v>6.8</v>
      </c>
      <c r="H587" t="n">
        <v>0</v>
      </c>
      <c r="I587" t="n">
        <v>0</v>
      </c>
      <c r="J587" t="n">
        <v>0</v>
      </c>
      <c r="K587" t="n">
        <v>0</v>
      </c>
      <c r="L587" t="n">
        <v>0</v>
      </c>
      <c r="M587" t="n">
        <v>0</v>
      </c>
      <c r="N587" t="n">
        <v>0</v>
      </c>
      <c r="O587" t="n">
        <v>0</v>
      </c>
      <c r="P587" t="n">
        <v>0</v>
      </c>
      <c r="Q587" t="n">
        <v>0</v>
      </c>
      <c r="R587" s="2" t="inlineStr"/>
    </row>
    <row r="588" ht="15" customHeight="1">
      <c r="A588" t="inlineStr">
        <is>
          <t>A 20797-2025</t>
        </is>
      </c>
      <c r="B588" s="1" t="n">
        <v>45776.6415162037</v>
      </c>
      <c r="C588" s="1" t="n">
        <v>45970</v>
      </c>
      <c r="D588" t="inlineStr">
        <is>
          <t>UPPSALA LÄN</t>
        </is>
      </c>
      <c r="E588" t="inlineStr">
        <is>
          <t>UPPSALA</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38190-2023</t>
        </is>
      </c>
      <c r="B589" s="1" t="n">
        <v>45161</v>
      </c>
      <c r="C589" s="1" t="n">
        <v>45970</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53365-2024</t>
        </is>
      </c>
      <c r="B590" s="1" t="n">
        <v>45614</v>
      </c>
      <c r="C590" s="1" t="n">
        <v>45970</v>
      </c>
      <c r="D590" t="inlineStr">
        <is>
          <t>UPPSALA LÄN</t>
        </is>
      </c>
      <c r="E590" t="inlineStr">
        <is>
          <t>UPPSALA</t>
        </is>
      </c>
      <c r="F590" t="inlineStr">
        <is>
          <t>Allmännings- och besparingsskogar</t>
        </is>
      </c>
      <c r="G590" t="n">
        <v>6.6</v>
      </c>
      <c r="H590" t="n">
        <v>0</v>
      </c>
      <c r="I590" t="n">
        <v>0</v>
      </c>
      <c r="J590" t="n">
        <v>0</v>
      </c>
      <c r="K590" t="n">
        <v>0</v>
      </c>
      <c r="L590" t="n">
        <v>0</v>
      </c>
      <c r="M590" t="n">
        <v>0</v>
      </c>
      <c r="N590" t="n">
        <v>0</v>
      </c>
      <c r="O590" t="n">
        <v>0</v>
      </c>
      <c r="P590" t="n">
        <v>0</v>
      </c>
      <c r="Q590" t="n">
        <v>0</v>
      </c>
      <c r="R590" s="2" t="inlineStr"/>
    </row>
    <row r="591" ht="15" customHeight="1">
      <c r="A591" t="inlineStr">
        <is>
          <t>A 20888-2025</t>
        </is>
      </c>
      <c r="B591" s="1" t="n">
        <v>45777.37119212963</v>
      </c>
      <c r="C591" s="1" t="n">
        <v>45970</v>
      </c>
      <c r="D591" t="inlineStr">
        <is>
          <t>UPPSALA LÄN</t>
        </is>
      </c>
      <c r="E591" t="inlineStr">
        <is>
          <t>UPPSALA</t>
        </is>
      </c>
      <c r="F591" t="inlineStr">
        <is>
          <t>Övriga statliga verk och myndigheter</t>
        </is>
      </c>
      <c r="G591" t="n">
        <v>5.1</v>
      </c>
      <c r="H591" t="n">
        <v>0</v>
      </c>
      <c r="I591" t="n">
        <v>0</v>
      </c>
      <c r="J591" t="n">
        <v>0</v>
      </c>
      <c r="K591" t="n">
        <v>0</v>
      </c>
      <c r="L591" t="n">
        <v>0</v>
      </c>
      <c r="M591" t="n">
        <v>0</v>
      </c>
      <c r="N591" t="n">
        <v>0</v>
      </c>
      <c r="O591" t="n">
        <v>0</v>
      </c>
      <c r="P591" t="n">
        <v>0</v>
      </c>
      <c r="Q591" t="n">
        <v>0</v>
      </c>
      <c r="R591" s="2" t="inlineStr"/>
    </row>
    <row r="592" ht="15" customHeight="1">
      <c r="A592" t="inlineStr">
        <is>
          <t>A 20874-2025</t>
        </is>
      </c>
      <c r="B592" s="1" t="n">
        <v>45777.34894675926</v>
      </c>
      <c r="C592" s="1" t="n">
        <v>45970</v>
      </c>
      <c r="D592" t="inlineStr">
        <is>
          <t>UPPSALA LÄN</t>
        </is>
      </c>
      <c r="E592" t="inlineStr">
        <is>
          <t>UPPSALA</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20858-2025</t>
        </is>
      </c>
      <c r="B593" s="1" t="n">
        <v>45777.32731481481</v>
      </c>
      <c r="C593" s="1" t="n">
        <v>45970</v>
      </c>
      <c r="D593" t="inlineStr">
        <is>
          <t>UPPSALA LÄN</t>
        </is>
      </c>
      <c r="E593" t="inlineStr">
        <is>
          <t>UPPSALA</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34147-2024</t>
        </is>
      </c>
      <c r="B594" s="1" t="n">
        <v>45524</v>
      </c>
      <c r="C594" s="1" t="n">
        <v>45970</v>
      </c>
      <c r="D594" t="inlineStr">
        <is>
          <t>UPPSALA LÄN</t>
        </is>
      </c>
      <c r="E594" t="inlineStr">
        <is>
          <t>UPPSALA</t>
        </is>
      </c>
      <c r="F594" t="inlineStr">
        <is>
          <t>Allmännings- och besparingsskogar</t>
        </is>
      </c>
      <c r="G594" t="n">
        <v>0.2</v>
      </c>
      <c r="H594" t="n">
        <v>0</v>
      </c>
      <c r="I594" t="n">
        <v>0</v>
      </c>
      <c r="J594" t="n">
        <v>0</v>
      </c>
      <c r="K594" t="n">
        <v>0</v>
      </c>
      <c r="L594" t="n">
        <v>0</v>
      </c>
      <c r="M594" t="n">
        <v>0</v>
      </c>
      <c r="N594" t="n">
        <v>0</v>
      </c>
      <c r="O594" t="n">
        <v>0</v>
      </c>
      <c r="P594" t="n">
        <v>0</v>
      </c>
      <c r="Q594" t="n">
        <v>0</v>
      </c>
      <c r="R594" s="2" t="inlineStr"/>
    </row>
    <row r="595" ht="15" customHeight="1">
      <c r="A595" t="inlineStr">
        <is>
          <t>A 21033-2025</t>
        </is>
      </c>
      <c r="B595" s="1" t="n">
        <v>45777.52655092593</v>
      </c>
      <c r="C595" s="1" t="n">
        <v>45970</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20928-2025</t>
        </is>
      </c>
      <c r="B596" s="1" t="n">
        <v>45777</v>
      </c>
      <c r="C596" s="1" t="n">
        <v>45970</v>
      </c>
      <c r="D596" t="inlineStr">
        <is>
          <t>UPPSALA LÄN</t>
        </is>
      </c>
      <c r="E596" t="inlineStr">
        <is>
          <t>UPPSALA</t>
        </is>
      </c>
      <c r="G596" t="n">
        <v>11.9</v>
      </c>
      <c r="H596" t="n">
        <v>0</v>
      </c>
      <c r="I596" t="n">
        <v>0</v>
      </c>
      <c r="J596" t="n">
        <v>0</v>
      </c>
      <c r="K596" t="n">
        <v>0</v>
      </c>
      <c r="L596" t="n">
        <v>0</v>
      </c>
      <c r="M596" t="n">
        <v>0</v>
      </c>
      <c r="N596" t="n">
        <v>0</v>
      </c>
      <c r="O596" t="n">
        <v>0</v>
      </c>
      <c r="P596" t="n">
        <v>0</v>
      </c>
      <c r="Q596" t="n">
        <v>0</v>
      </c>
      <c r="R596" s="2" t="inlineStr"/>
    </row>
    <row r="597" ht="15" customHeight="1">
      <c r="A597" t="inlineStr">
        <is>
          <t>A 11224-2022</t>
        </is>
      </c>
      <c r="B597" s="1" t="n">
        <v>44629.57741898148</v>
      </c>
      <c r="C597" s="1" t="n">
        <v>45970</v>
      </c>
      <c r="D597" t="inlineStr">
        <is>
          <t>UPPSALA LÄN</t>
        </is>
      </c>
      <c r="E597" t="inlineStr">
        <is>
          <t>UPPSALA</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26099-2024</t>
        </is>
      </c>
      <c r="B598" s="1" t="n">
        <v>45468</v>
      </c>
      <c r="C598" s="1" t="n">
        <v>45970</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33667-2024</t>
        </is>
      </c>
      <c r="B599" s="1" t="n">
        <v>45520</v>
      </c>
      <c r="C599" s="1" t="n">
        <v>45970</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40610-2025</t>
        </is>
      </c>
      <c r="B600" s="1" t="n">
        <v>45896.57368055556</v>
      </c>
      <c r="C600" s="1" t="n">
        <v>45970</v>
      </c>
      <c r="D600" t="inlineStr">
        <is>
          <t>UPPSALA LÄN</t>
        </is>
      </c>
      <c r="E600" t="inlineStr">
        <is>
          <t>UPPSALA</t>
        </is>
      </c>
      <c r="G600" t="n">
        <v>2.3</v>
      </c>
      <c r="H600" t="n">
        <v>0</v>
      </c>
      <c r="I600" t="n">
        <v>0</v>
      </c>
      <c r="J600" t="n">
        <v>0</v>
      </c>
      <c r="K600" t="n">
        <v>0</v>
      </c>
      <c r="L600" t="n">
        <v>0</v>
      </c>
      <c r="M600" t="n">
        <v>0</v>
      </c>
      <c r="N600" t="n">
        <v>0</v>
      </c>
      <c r="O600" t="n">
        <v>0</v>
      </c>
      <c r="P600" t="n">
        <v>0</v>
      </c>
      <c r="Q600" t="n">
        <v>0</v>
      </c>
      <c r="R600" s="2" t="inlineStr"/>
    </row>
    <row r="601" ht="15" customHeight="1">
      <c r="A601" t="inlineStr">
        <is>
          <t>A 44847-2024</t>
        </is>
      </c>
      <c r="B601" s="1" t="n">
        <v>45574</v>
      </c>
      <c r="C601" s="1" t="n">
        <v>45970</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17788-2023</t>
        </is>
      </c>
      <c r="B602" s="1" t="n">
        <v>45037</v>
      </c>
      <c r="C602" s="1" t="n">
        <v>45970</v>
      </c>
      <c r="D602" t="inlineStr">
        <is>
          <t>UPPSALA LÄN</t>
        </is>
      </c>
      <c r="E602" t="inlineStr">
        <is>
          <t>UPPSALA</t>
        </is>
      </c>
      <c r="F602" t="inlineStr">
        <is>
          <t>Övriga Aktiebolag</t>
        </is>
      </c>
      <c r="G602" t="n">
        <v>3.7</v>
      </c>
      <c r="H602" t="n">
        <v>0</v>
      </c>
      <c r="I602" t="n">
        <v>0</v>
      </c>
      <c r="J602" t="n">
        <v>0</v>
      </c>
      <c r="K602" t="n">
        <v>0</v>
      </c>
      <c r="L602" t="n">
        <v>0</v>
      </c>
      <c r="M602" t="n">
        <v>0</v>
      </c>
      <c r="N602" t="n">
        <v>0</v>
      </c>
      <c r="O602" t="n">
        <v>0</v>
      </c>
      <c r="P602" t="n">
        <v>0</v>
      </c>
      <c r="Q602" t="n">
        <v>0</v>
      </c>
      <c r="R602" s="2" t="inlineStr"/>
    </row>
    <row r="603" ht="15" customHeight="1">
      <c r="A603" t="inlineStr">
        <is>
          <t>A 21281-2025</t>
        </is>
      </c>
      <c r="B603" s="1" t="n">
        <v>45779.6665162037</v>
      </c>
      <c r="C603" s="1" t="n">
        <v>45970</v>
      </c>
      <c r="D603" t="inlineStr">
        <is>
          <t>UPPSALA LÄN</t>
        </is>
      </c>
      <c r="E603" t="inlineStr">
        <is>
          <t>UPPSALA</t>
        </is>
      </c>
      <c r="F603" t="inlineStr">
        <is>
          <t>Övriga Aktiebolag</t>
        </is>
      </c>
      <c r="G603" t="n">
        <v>5.9</v>
      </c>
      <c r="H603" t="n">
        <v>0</v>
      </c>
      <c r="I603" t="n">
        <v>0</v>
      </c>
      <c r="J603" t="n">
        <v>0</v>
      </c>
      <c r="K603" t="n">
        <v>0</v>
      </c>
      <c r="L603" t="n">
        <v>0</v>
      </c>
      <c r="M603" t="n">
        <v>0</v>
      </c>
      <c r="N603" t="n">
        <v>0</v>
      </c>
      <c r="O603" t="n">
        <v>0</v>
      </c>
      <c r="P603" t="n">
        <v>0</v>
      </c>
      <c r="Q603" t="n">
        <v>0</v>
      </c>
      <c r="R603" s="2" t="inlineStr"/>
    </row>
    <row r="604" ht="15" customHeight="1">
      <c r="A604" t="inlineStr">
        <is>
          <t>A 46796-2024</t>
        </is>
      </c>
      <c r="B604" s="1" t="n">
        <v>45583</v>
      </c>
      <c r="C604" s="1" t="n">
        <v>45970</v>
      </c>
      <c r="D604" t="inlineStr">
        <is>
          <t>UPPSALA LÄN</t>
        </is>
      </c>
      <c r="E604" t="inlineStr">
        <is>
          <t>UPPSALA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21279-2025</t>
        </is>
      </c>
      <c r="B605" s="1" t="n">
        <v>45779.65787037037</v>
      </c>
      <c r="C605" s="1" t="n">
        <v>45970</v>
      </c>
      <c r="D605" t="inlineStr">
        <is>
          <t>UPPSALA LÄN</t>
        </is>
      </c>
      <c r="E605" t="inlineStr">
        <is>
          <t>UPPSALA</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33941-2023</t>
        </is>
      </c>
      <c r="B606" s="1" t="n">
        <v>45134.57021990741</v>
      </c>
      <c r="C606" s="1" t="n">
        <v>45970</v>
      </c>
      <c r="D606" t="inlineStr">
        <is>
          <t>UPPSALA LÄN</t>
        </is>
      </c>
      <c r="E606" t="inlineStr">
        <is>
          <t>UPPSALA</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21217-2025</t>
        </is>
      </c>
      <c r="B607" s="1" t="n">
        <v>45779.49085648148</v>
      </c>
      <c r="C607" s="1" t="n">
        <v>45970</v>
      </c>
      <c r="D607" t="inlineStr">
        <is>
          <t>UPPSALA LÄN</t>
        </is>
      </c>
      <c r="E607" t="inlineStr">
        <is>
          <t>UPPSALA</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18443-2023</t>
        </is>
      </c>
      <c r="B608" s="1" t="n">
        <v>45042</v>
      </c>
      <c r="C608" s="1" t="n">
        <v>45970</v>
      </c>
      <c r="D608" t="inlineStr">
        <is>
          <t>UPPSALA LÄN</t>
        </is>
      </c>
      <c r="E608" t="inlineStr">
        <is>
          <t>UPPSALA</t>
        </is>
      </c>
      <c r="G608" t="n">
        <v>0.4</v>
      </c>
      <c r="H608" t="n">
        <v>0</v>
      </c>
      <c r="I608" t="n">
        <v>0</v>
      </c>
      <c r="J608" t="n">
        <v>0</v>
      </c>
      <c r="K608" t="n">
        <v>0</v>
      </c>
      <c r="L608" t="n">
        <v>0</v>
      </c>
      <c r="M608" t="n">
        <v>0</v>
      </c>
      <c r="N608" t="n">
        <v>0</v>
      </c>
      <c r="O608" t="n">
        <v>0</v>
      </c>
      <c r="P608" t="n">
        <v>0</v>
      </c>
      <c r="Q608" t="n">
        <v>0</v>
      </c>
      <c r="R608" s="2" t="inlineStr"/>
    </row>
    <row r="609" ht="15" customHeight="1">
      <c r="A609" t="inlineStr">
        <is>
          <t>A 8090-2022</t>
        </is>
      </c>
      <c r="B609" s="1" t="n">
        <v>44608</v>
      </c>
      <c r="C609" s="1" t="n">
        <v>45970</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60047-2022</t>
        </is>
      </c>
      <c r="B610" s="1" t="n">
        <v>44909.51885416666</v>
      </c>
      <c r="C610" s="1" t="n">
        <v>45970</v>
      </c>
      <c r="D610" t="inlineStr">
        <is>
          <t>UPPSALA LÄN</t>
        </is>
      </c>
      <c r="E610" t="inlineStr">
        <is>
          <t>UPPSALA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44533.46665509259</v>
      </c>
      <c r="C611" s="1" t="n">
        <v>45970</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50535-2024</t>
        </is>
      </c>
      <c r="B612" s="1" t="n">
        <v>45600</v>
      </c>
      <c r="C612" s="1" t="n">
        <v>45970</v>
      </c>
      <c r="D612" t="inlineStr">
        <is>
          <t>UPPSALA LÄN</t>
        </is>
      </c>
      <c r="E612" t="inlineStr">
        <is>
          <t>UPPSALA</t>
        </is>
      </c>
      <c r="F612" t="inlineStr">
        <is>
          <t>Övriga statliga verk och myndigheter</t>
        </is>
      </c>
      <c r="G612" t="n">
        <v>3.2</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45970</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45970</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21748-2025</t>
        </is>
      </c>
      <c r="B615" s="1" t="n">
        <v>45783.61053240741</v>
      </c>
      <c r="C615" s="1" t="n">
        <v>45970</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15629-2023</t>
        </is>
      </c>
      <c r="B616" s="1" t="n">
        <v>45021.29524305555</v>
      </c>
      <c r="C616" s="1" t="n">
        <v>45970</v>
      </c>
      <c r="D616" t="inlineStr">
        <is>
          <t>UPPSALA LÄN</t>
        </is>
      </c>
      <c r="E616" t="inlineStr">
        <is>
          <t>UPPSALA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46745-2024</t>
        </is>
      </c>
      <c r="B617" s="1" t="n">
        <v>45583</v>
      </c>
      <c r="C617" s="1" t="n">
        <v>45970</v>
      </c>
      <c r="D617" t="inlineStr">
        <is>
          <t>UPPSALA LÄN</t>
        </is>
      </c>
      <c r="E617" t="inlineStr">
        <is>
          <t>UPPSALA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46748-2024</t>
        </is>
      </c>
      <c r="B618" s="1" t="n">
        <v>45583</v>
      </c>
      <c r="C618" s="1" t="n">
        <v>45970</v>
      </c>
      <c r="D618" t="inlineStr">
        <is>
          <t>UPPSALA LÄN</t>
        </is>
      </c>
      <c r="E618" t="inlineStr">
        <is>
          <t>UPPSALA</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45970</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12221-2022</t>
        </is>
      </c>
      <c r="B620" s="1" t="n">
        <v>44637.35744212963</v>
      </c>
      <c r="C620" s="1" t="n">
        <v>45970</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17481-2023</t>
        </is>
      </c>
      <c r="B621" s="1" t="n">
        <v>45036</v>
      </c>
      <c r="C621" s="1" t="n">
        <v>45970</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56067-2024</t>
        </is>
      </c>
      <c r="B622" s="1" t="n">
        <v>45624</v>
      </c>
      <c r="C622" s="1" t="n">
        <v>45970</v>
      </c>
      <c r="D622" t="inlineStr">
        <is>
          <t>UPPSALA LÄN</t>
        </is>
      </c>
      <c r="E622" t="inlineStr">
        <is>
          <t>UPPSALA</t>
        </is>
      </c>
      <c r="G622" t="n">
        <v>2.4</v>
      </c>
      <c r="H622" t="n">
        <v>0</v>
      </c>
      <c r="I622" t="n">
        <v>0</v>
      </c>
      <c r="J622" t="n">
        <v>0</v>
      </c>
      <c r="K622" t="n">
        <v>0</v>
      </c>
      <c r="L622" t="n">
        <v>0</v>
      </c>
      <c r="M622" t="n">
        <v>0</v>
      </c>
      <c r="N622" t="n">
        <v>0</v>
      </c>
      <c r="O622" t="n">
        <v>0</v>
      </c>
      <c r="P622" t="n">
        <v>0</v>
      </c>
      <c r="Q622" t="n">
        <v>0</v>
      </c>
      <c r="R622" s="2" t="inlineStr"/>
    </row>
    <row r="623" ht="15" customHeight="1">
      <c r="A623" t="inlineStr">
        <is>
          <t>A 49463-2025</t>
        </is>
      </c>
      <c r="B623" s="1" t="n">
        <v>45939.32621527778</v>
      </c>
      <c r="C623" s="1" t="n">
        <v>45970</v>
      </c>
      <c r="D623" t="inlineStr">
        <is>
          <t>UPPSALA LÄN</t>
        </is>
      </c>
      <c r="E623" t="inlineStr">
        <is>
          <t>UPPSALA</t>
        </is>
      </c>
      <c r="G623" t="n">
        <v>3.4</v>
      </c>
      <c r="H623" t="n">
        <v>0</v>
      </c>
      <c r="I623" t="n">
        <v>0</v>
      </c>
      <c r="J623" t="n">
        <v>0</v>
      </c>
      <c r="K623" t="n">
        <v>0</v>
      </c>
      <c r="L623" t="n">
        <v>0</v>
      </c>
      <c r="M623" t="n">
        <v>0</v>
      </c>
      <c r="N623" t="n">
        <v>0</v>
      </c>
      <c r="O623" t="n">
        <v>0</v>
      </c>
      <c r="P623" t="n">
        <v>0</v>
      </c>
      <c r="Q623" t="n">
        <v>0</v>
      </c>
      <c r="R623" s="2" t="inlineStr"/>
    </row>
    <row r="624" ht="15" customHeight="1">
      <c r="A624" t="inlineStr">
        <is>
          <t>A 49940-2025</t>
        </is>
      </c>
      <c r="B624" s="1" t="n">
        <v>45940.67305555556</v>
      </c>
      <c r="C624" s="1" t="n">
        <v>45970</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21936-2025</t>
        </is>
      </c>
      <c r="B625" s="1" t="n">
        <v>45784.57266203704</v>
      </c>
      <c r="C625" s="1" t="n">
        <v>45970</v>
      </c>
      <c r="D625" t="inlineStr">
        <is>
          <t>UPPSALA LÄN</t>
        </is>
      </c>
      <c r="E625" t="inlineStr">
        <is>
          <t>UPPSALA</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750-2022</t>
        </is>
      </c>
      <c r="B626" s="1" t="n">
        <v>44569.49344907407</v>
      </c>
      <c r="C626" s="1" t="n">
        <v>45970</v>
      </c>
      <c r="D626" t="inlineStr">
        <is>
          <t>UPPSALA LÄN</t>
        </is>
      </c>
      <c r="E626" t="inlineStr">
        <is>
          <t>UPPSALA</t>
        </is>
      </c>
      <c r="F626" t="inlineStr">
        <is>
          <t>Holmen skog AB</t>
        </is>
      </c>
      <c r="G626" t="n">
        <v>6</v>
      </c>
      <c r="H626" t="n">
        <v>0</v>
      </c>
      <c r="I626" t="n">
        <v>0</v>
      </c>
      <c r="J626" t="n">
        <v>0</v>
      </c>
      <c r="K626" t="n">
        <v>0</v>
      </c>
      <c r="L626" t="n">
        <v>0</v>
      </c>
      <c r="M626" t="n">
        <v>0</v>
      </c>
      <c r="N626" t="n">
        <v>0</v>
      </c>
      <c r="O626" t="n">
        <v>0</v>
      </c>
      <c r="P626" t="n">
        <v>0</v>
      </c>
      <c r="Q626" t="n">
        <v>0</v>
      </c>
      <c r="R626" s="2" t="inlineStr"/>
    </row>
    <row r="627" ht="15" customHeight="1">
      <c r="A627" t="inlineStr">
        <is>
          <t>A 16324-2024</t>
        </is>
      </c>
      <c r="B627" s="1" t="n">
        <v>45407.49721064815</v>
      </c>
      <c r="C627" s="1" t="n">
        <v>45970</v>
      </c>
      <c r="D627" t="inlineStr">
        <is>
          <t>UPPSALA LÄN</t>
        </is>
      </c>
      <c r="E627" t="inlineStr">
        <is>
          <t>UPPSALA</t>
        </is>
      </c>
      <c r="G627" t="n">
        <v>2.3</v>
      </c>
      <c r="H627" t="n">
        <v>0</v>
      </c>
      <c r="I627" t="n">
        <v>0</v>
      </c>
      <c r="J627" t="n">
        <v>0</v>
      </c>
      <c r="K627" t="n">
        <v>0</v>
      </c>
      <c r="L627" t="n">
        <v>0</v>
      </c>
      <c r="M627" t="n">
        <v>0</v>
      </c>
      <c r="N627" t="n">
        <v>0</v>
      </c>
      <c r="O627" t="n">
        <v>0</v>
      </c>
      <c r="P627" t="n">
        <v>0</v>
      </c>
      <c r="Q627" t="n">
        <v>0</v>
      </c>
      <c r="R627" s="2" t="inlineStr"/>
    </row>
    <row r="628" ht="15" customHeight="1">
      <c r="A628" t="inlineStr">
        <is>
          <t>A 38493-2023</t>
        </is>
      </c>
      <c r="B628" s="1" t="n">
        <v>45162</v>
      </c>
      <c r="C628" s="1" t="n">
        <v>45970</v>
      </c>
      <c r="D628" t="inlineStr">
        <is>
          <t>UPPSALA LÄN</t>
        </is>
      </c>
      <c r="E628" t="inlineStr">
        <is>
          <t>UPPSALA</t>
        </is>
      </c>
      <c r="F628" t="inlineStr">
        <is>
          <t>Allmännings- och besparingsskogar</t>
        </is>
      </c>
      <c r="G628" t="n">
        <v>3.5</v>
      </c>
      <c r="H628" t="n">
        <v>0</v>
      </c>
      <c r="I628" t="n">
        <v>0</v>
      </c>
      <c r="J628" t="n">
        <v>0</v>
      </c>
      <c r="K628" t="n">
        <v>0</v>
      </c>
      <c r="L628" t="n">
        <v>0</v>
      </c>
      <c r="M628" t="n">
        <v>0</v>
      </c>
      <c r="N628" t="n">
        <v>0</v>
      </c>
      <c r="O628" t="n">
        <v>0</v>
      </c>
      <c r="P628" t="n">
        <v>0</v>
      </c>
      <c r="Q628" t="n">
        <v>0</v>
      </c>
      <c r="R628" s="2" t="inlineStr"/>
    </row>
    <row r="629" ht="15" customHeight="1">
      <c r="A629" t="inlineStr">
        <is>
          <t>A 22018-2025</t>
        </is>
      </c>
      <c r="B629" s="1" t="n">
        <v>45784.80497685185</v>
      </c>
      <c r="C629" s="1" t="n">
        <v>45970</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37618-2023</t>
        </is>
      </c>
      <c r="B630" s="1" t="n">
        <v>45159.44694444445</v>
      </c>
      <c r="C630" s="1" t="n">
        <v>45970</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4980-2024</t>
        </is>
      </c>
      <c r="B631" s="1" t="n">
        <v>45329</v>
      </c>
      <c r="C631" s="1" t="n">
        <v>45970</v>
      </c>
      <c r="D631" t="inlineStr">
        <is>
          <t>UPPSALA LÄN</t>
        </is>
      </c>
      <c r="E631" t="inlineStr">
        <is>
          <t>UPPSALA</t>
        </is>
      </c>
      <c r="G631" t="n">
        <v>10.8</v>
      </c>
      <c r="H631" t="n">
        <v>0</v>
      </c>
      <c r="I631" t="n">
        <v>0</v>
      </c>
      <c r="J631" t="n">
        <v>0</v>
      </c>
      <c r="K631" t="n">
        <v>0</v>
      </c>
      <c r="L631" t="n">
        <v>0</v>
      </c>
      <c r="M631" t="n">
        <v>0</v>
      </c>
      <c r="N631" t="n">
        <v>0</v>
      </c>
      <c r="O631" t="n">
        <v>0</v>
      </c>
      <c r="P631" t="n">
        <v>0</v>
      </c>
      <c r="Q631" t="n">
        <v>0</v>
      </c>
      <c r="R631" s="2" t="inlineStr"/>
    </row>
    <row r="632" ht="15" customHeight="1">
      <c r="A632" t="inlineStr">
        <is>
          <t>A 41112-2025</t>
        </is>
      </c>
      <c r="B632" s="1" t="n">
        <v>45898.46040509259</v>
      </c>
      <c r="C632" s="1" t="n">
        <v>45970</v>
      </c>
      <c r="D632" t="inlineStr">
        <is>
          <t>UPPSALA LÄN</t>
        </is>
      </c>
      <c r="E632" t="inlineStr">
        <is>
          <t>UPPSALA</t>
        </is>
      </c>
      <c r="G632" t="n">
        <v>3.1</v>
      </c>
      <c r="H632" t="n">
        <v>0</v>
      </c>
      <c r="I632" t="n">
        <v>0</v>
      </c>
      <c r="J632" t="n">
        <v>0</v>
      </c>
      <c r="K632" t="n">
        <v>0</v>
      </c>
      <c r="L632" t="n">
        <v>0</v>
      </c>
      <c r="M632" t="n">
        <v>0</v>
      </c>
      <c r="N632" t="n">
        <v>0</v>
      </c>
      <c r="O632" t="n">
        <v>0</v>
      </c>
      <c r="P632" t="n">
        <v>0</v>
      </c>
      <c r="Q632" t="n">
        <v>0</v>
      </c>
      <c r="R632" s="2" t="inlineStr"/>
    </row>
    <row r="633" ht="15" customHeight="1">
      <c r="A633" t="inlineStr">
        <is>
          <t>A 42131-2023</t>
        </is>
      </c>
      <c r="B633" s="1" t="n">
        <v>45177.79766203704</v>
      </c>
      <c r="C633" s="1" t="n">
        <v>45970</v>
      </c>
      <c r="D633" t="inlineStr">
        <is>
          <t>UPPSALA LÄN</t>
        </is>
      </c>
      <c r="E633" t="inlineStr">
        <is>
          <t>UPPSALA</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35142-2023</t>
        </is>
      </c>
      <c r="B634" s="1" t="n">
        <v>45145</v>
      </c>
      <c r="C634" s="1" t="n">
        <v>45970</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45558.42498842593</v>
      </c>
      <c r="C635" s="1" t="n">
        <v>45970</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42276-2024</t>
        </is>
      </c>
      <c r="B636" s="1" t="n">
        <v>45562</v>
      </c>
      <c r="C636" s="1" t="n">
        <v>45970</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10650-2024</t>
        </is>
      </c>
      <c r="B637" s="1" t="n">
        <v>45368.64787037037</v>
      </c>
      <c r="C637" s="1" t="n">
        <v>45970</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45201.62318287037</v>
      </c>
      <c r="C638" s="1" t="n">
        <v>45970</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758-2022</t>
        </is>
      </c>
      <c r="B639" s="1" t="n">
        <v>44569.69358796296</v>
      </c>
      <c r="C639" s="1" t="n">
        <v>45970</v>
      </c>
      <c r="D639" t="inlineStr">
        <is>
          <t>UPPSALA LÄN</t>
        </is>
      </c>
      <c r="E639" t="inlineStr">
        <is>
          <t>UPPSALA</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9255-2024</t>
        </is>
      </c>
      <c r="B640" s="1" t="n">
        <v>45358</v>
      </c>
      <c r="C640" s="1" t="n">
        <v>45970</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3973-2025</t>
        </is>
      </c>
      <c r="B641" s="1" t="n">
        <v>45684</v>
      </c>
      <c r="C641" s="1" t="n">
        <v>45970</v>
      </c>
      <c r="D641" t="inlineStr">
        <is>
          <t>UPPSALA LÄN</t>
        </is>
      </c>
      <c r="E641" t="inlineStr">
        <is>
          <t>UPPSALA</t>
        </is>
      </c>
      <c r="G641" t="n">
        <v>8</v>
      </c>
      <c r="H641" t="n">
        <v>0</v>
      </c>
      <c r="I641" t="n">
        <v>0</v>
      </c>
      <c r="J641" t="n">
        <v>0</v>
      </c>
      <c r="K641" t="n">
        <v>0</v>
      </c>
      <c r="L641" t="n">
        <v>0</v>
      </c>
      <c r="M641" t="n">
        <v>0</v>
      </c>
      <c r="N641" t="n">
        <v>0</v>
      </c>
      <c r="O641" t="n">
        <v>0</v>
      </c>
      <c r="P641" t="n">
        <v>0</v>
      </c>
      <c r="Q641" t="n">
        <v>0</v>
      </c>
      <c r="R641" s="2" t="inlineStr"/>
    </row>
    <row r="642" ht="15" customHeight="1">
      <c r="A642" t="inlineStr">
        <is>
          <t>A 66983-2021</t>
        </is>
      </c>
      <c r="B642" s="1" t="n">
        <v>44522</v>
      </c>
      <c r="C642" s="1" t="n">
        <v>45970</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9242-2022</t>
        </is>
      </c>
      <c r="B643" s="1" t="n">
        <v>44616</v>
      </c>
      <c r="C643" s="1" t="n">
        <v>45970</v>
      </c>
      <c r="D643" t="inlineStr">
        <is>
          <t>UPPSALA LÄN</t>
        </is>
      </c>
      <c r="E643" t="inlineStr">
        <is>
          <t>UPPSALA</t>
        </is>
      </c>
      <c r="F643" t="inlineStr">
        <is>
          <t>Övriga Aktiebolag</t>
        </is>
      </c>
      <c r="G643" t="n">
        <v>5.9</v>
      </c>
      <c r="H643" t="n">
        <v>0</v>
      </c>
      <c r="I643" t="n">
        <v>0</v>
      </c>
      <c r="J643" t="n">
        <v>0</v>
      </c>
      <c r="K643" t="n">
        <v>0</v>
      </c>
      <c r="L643" t="n">
        <v>0</v>
      </c>
      <c r="M643" t="n">
        <v>0</v>
      </c>
      <c r="N643" t="n">
        <v>0</v>
      </c>
      <c r="O643" t="n">
        <v>0</v>
      </c>
      <c r="P643" t="n">
        <v>0</v>
      </c>
      <c r="Q643" t="n">
        <v>0</v>
      </c>
      <c r="R643" s="2" t="inlineStr"/>
    </row>
    <row r="644" ht="15" customHeight="1">
      <c r="A644" t="inlineStr">
        <is>
          <t>A 42528-2023</t>
        </is>
      </c>
      <c r="B644" s="1" t="n">
        <v>45181.33571759259</v>
      </c>
      <c r="C644" s="1" t="n">
        <v>45970</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49937-2025</t>
        </is>
      </c>
      <c r="B645" s="1" t="n">
        <v>45940.67084490741</v>
      </c>
      <c r="C645" s="1" t="n">
        <v>45970</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40855-2025</t>
        </is>
      </c>
      <c r="B646" s="1" t="n">
        <v>45897</v>
      </c>
      <c r="C646" s="1" t="n">
        <v>45970</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59570-2023</t>
        </is>
      </c>
      <c r="B647" s="1" t="n">
        <v>45254</v>
      </c>
      <c r="C647" s="1" t="n">
        <v>45970</v>
      </c>
      <c r="D647" t="inlineStr">
        <is>
          <t>UPPSALA LÄN</t>
        </is>
      </c>
      <c r="E647" t="inlineStr">
        <is>
          <t>UPPSALA</t>
        </is>
      </c>
      <c r="G647" t="n">
        <v>6.7</v>
      </c>
      <c r="H647" t="n">
        <v>0</v>
      </c>
      <c r="I647" t="n">
        <v>0</v>
      </c>
      <c r="J647" t="n">
        <v>0</v>
      </c>
      <c r="K647" t="n">
        <v>0</v>
      </c>
      <c r="L647" t="n">
        <v>0</v>
      </c>
      <c r="M647" t="n">
        <v>0</v>
      </c>
      <c r="N647" t="n">
        <v>0</v>
      </c>
      <c r="O647" t="n">
        <v>0</v>
      </c>
      <c r="P647" t="n">
        <v>0</v>
      </c>
      <c r="Q647" t="n">
        <v>0</v>
      </c>
      <c r="R647" s="2" t="inlineStr"/>
    </row>
    <row r="648" ht="15" customHeight="1">
      <c r="A648" t="inlineStr">
        <is>
          <t>A 65659-2021</t>
        </is>
      </c>
      <c r="B648" s="1" t="n">
        <v>44516</v>
      </c>
      <c r="C648" s="1" t="n">
        <v>45970</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11339-2025</t>
        </is>
      </c>
      <c r="B649" s="1" t="n">
        <v>45726</v>
      </c>
      <c r="C649" s="1" t="n">
        <v>45970</v>
      </c>
      <c r="D649" t="inlineStr">
        <is>
          <t>UPPSALA LÄN</t>
        </is>
      </c>
      <c r="E649" t="inlineStr">
        <is>
          <t>UPPSALA</t>
        </is>
      </c>
      <c r="G649" t="n">
        <v>13.4</v>
      </c>
      <c r="H649" t="n">
        <v>0</v>
      </c>
      <c r="I649" t="n">
        <v>0</v>
      </c>
      <c r="J649" t="n">
        <v>0</v>
      </c>
      <c r="K649" t="n">
        <v>0</v>
      </c>
      <c r="L649" t="n">
        <v>0</v>
      </c>
      <c r="M649" t="n">
        <v>0</v>
      </c>
      <c r="N649" t="n">
        <v>0</v>
      </c>
      <c r="O649" t="n">
        <v>0</v>
      </c>
      <c r="P649" t="n">
        <v>0</v>
      </c>
      <c r="Q649" t="n">
        <v>0</v>
      </c>
      <c r="R649" s="2" t="inlineStr"/>
    </row>
    <row r="650" ht="15" customHeight="1">
      <c r="A650" t="inlineStr">
        <is>
          <t>A 11260-2024</t>
        </is>
      </c>
      <c r="B650" s="1" t="n">
        <v>45371.67368055556</v>
      </c>
      <c r="C650" s="1" t="n">
        <v>45970</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45970</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45970</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45970</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45970</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46925-2024</t>
        </is>
      </c>
      <c r="B655" s="1" t="n">
        <v>45584.60038194444</v>
      </c>
      <c r="C655" s="1" t="n">
        <v>45970</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56564-2024</t>
        </is>
      </c>
      <c r="B656" s="1" t="n">
        <v>45625.58501157408</v>
      </c>
      <c r="C656" s="1" t="n">
        <v>45970</v>
      </c>
      <c r="D656" t="inlineStr">
        <is>
          <t>UPPSALA LÄN</t>
        </is>
      </c>
      <c r="E656" t="inlineStr">
        <is>
          <t>UPPSALA</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42063-2023</t>
        </is>
      </c>
      <c r="B657" s="1" t="n">
        <v>45177.56940972222</v>
      </c>
      <c r="C657" s="1" t="n">
        <v>45970</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13602-2025</t>
        </is>
      </c>
      <c r="B658" s="1" t="n">
        <v>45736.60863425926</v>
      </c>
      <c r="C658" s="1" t="n">
        <v>45970</v>
      </c>
      <c r="D658" t="inlineStr">
        <is>
          <t>UPPSALA LÄN</t>
        </is>
      </c>
      <c r="E658" t="inlineStr">
        <is>
          <t>UPPSALA</t>
        </is>
      </c>
      <c r="F658" t="inlineStr">
        <is>
          <t>Allmännings- och besparingsskogar</t>
        </is>
      </c>
      <c r="G658" t="n">
        <v>9.5</v>
      </c>
      <c r="H658" t="n">
        <v>0</v>
      </c>
      <c r="I658" t="n">
        <v>0</v>
      </c>
      <c r="J658" t="n">
        <v>0</v>
      </c>
      <c r="K658" t="n">
        <v>0</v>
      </c>
      <c r="L658" t="n">
        <v>0</v>
      </c>
      <c r="M658" t="n">
        <v>0</v>
      </c>
      <c r="N658" t="n">
        <v>0</v>
      </c>
      <c r="O658" t="n">
        <v>0</v>
      </c>
      <c r="P658" t="n">
        <v>0</v>
      </c>
      <c r="Q658" t="n">
        <v>0</v>
      </c>
      <c r="R658" s="2" t="inlineStr"/>
    </row>
    <row r="659" ht="15" customHeight="1">
      <c r="A659" t="inlineStr">
        <is>
          <t>A 49094-2025</t>
        </is>
      </c>
      <c r="B659" s="1" t="n">
        <v>45937.68865740741</v>
      </c>
      <c r="C659" s="1" t="n">
        <v>45970</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49829-2025</t>
        </is>
      </c>
      <c r="B660" s="1" t="n">
        <v>45940.45038194444</v>
      </c>
      <c r="C660" s="1" t="n">
        <v>45970</v>
      </c>
      <c r="D660" t="inlineStr">
        <is>
          <t>UPPSALA LÄN</t>
        </is>
      </c>
      <c r="E660" t="inlineStr">
        <is>
          <t>UPPSALA</t>
        </is>
      </c>
      <c r="F660" t="inlineStr">
        <is>
          <t>Bergvik skog öst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18781-2025</t>
        </is>
      </c>
      <c r="B661" s="1" t="n">
        <v>45763</v>
      </c>
      <c r="C661" s="1" t="n">
        <v>45970</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60735-2024</t>
        </is>
      </c>
      <c r="B662" s="1" t="n">
        <v>45644</v>
      </c>
      <c r="C662" s="1" t="n">
        <v>45970</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37626-2023</t>
        </is>
      </c>
      <c r="B663" s="1" t="n">
        <v>45159.45748842593</v>
      </c>
      <c r="C663" s="1" t="n">
        <v>45970</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49988-2025</t>
        </is>
      </c>
      <c r="B664" s="1" t="n">
        <v>45942.80318287037</v>
      </c>
      <c r="C664" s="1" t="n">
        <v>45970</v>
      </c>
      <c r="D664" t="inlineStr">
        <is>
          <t>UPPSALA LÄN</t>
        </is>
      </c>
      <c r="E664" t="inlineStr">
        <is>
          <t>UPPSALA</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49990-2025</t>
        </is>
      </c>
      <c r="B665" s="1" t="n">
        <v>45942.84414351852</v>
      </c>
      <c r="C665" s="1" t="n">
        <v>45970</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34520-2024</t>
        </is>
      </c>
      <c r="B666" s="1" t="n">
        <v>45525</v>
      </c>
      <c r="C666" s="1" t="n">
        <v>45970</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45970</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45970</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50232-2025</t>
        </is>
      </c>
      <c r="B669" s="1" t="n">
        <v>45943.70756944444</v>
      </c>
      <c r="C669" s="1" t="n">
        <v>45970</v>
      </c>
      <c r="D669" t="inlineStr">
        <is>
          <t>UPPSALA LÄN</t>
        </is>
      </c>
      <c r="E669" t="inlineStr">
        <is>
          <t>UPPSALA</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5876-2024</t>
        </is>
      </c>
      <c r="B670" s="1" t="n">
        <v>45335.66331018518</v>
      </c>
      <c r="C670" s="1" t="n">
        <v>45970</v>
      </c>
      <c r="D670" t="inlineStr">
        <is>
          <t>UPPSALA LÄN</t>
        </is>
      </c>
      <c r="E670" t="inlineStr">
        <is>
          <t>UPPSALA</t>
        </is>
      </c>
      <c r="F670" t="inlineStr">
        <is>
          <t>Kyrkan</t>
        </is>
      </c>
      <c r="G670" t="n">
        <v>1.7</v>
      </c>
      <c r="H670" t="n">
        <v>0</v>
      </c>
      <c r="I670" t="n">
        <v>0</v>
      </c>
      <c r="J670" t="n">
        <v>0</v>
      </c>
      <c r="K670" t="n">
        <v>0</v>
      </c>
      <c r="L670" t="n">
        <v>0</v>
      </c>
      <c r="M670" t="n">
        <v>0</v>
      </c>
      <c r="N670" t="n">
        <v>0</v>
      </c>
      <c r="O670" t="n">
        <v>0</v>
      </c>
      <c r="P670" t="n">
        <v>0</v>
      </c>
      <c r="Q670" t="n">
        <v>0</v>
      </c>
      <c r="R670" s="2" t="inlineStr"/>
    </row>
    <row r="671" ht="15" customHeight="1">
      <c r="A671" t="inlineStr">
        <is>
          <t>A 60445-2024</t>
        </is>
      </c>
      <c r="B671" s="1" t="n">
        <v>45643</v>
      </c>
      <c r="C671" s="1" t="n">
        <v>45970</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41444-2025</t>
        </is>
      </c>
      <c r="B672" s="1" t="n">
        <v>45901.41756944444</v>
      </c>
      <c r="C672" s="1" t="n">
        <v>45970</v>
      </c>
      <c r="D672" t="inlineStr">
        <is>
          <t>UPPSALA LÄN</t>
        </is>
      </c>
      <c r="E672" t="inlineStr">
        <is>
          <t>UPPSALA</t>
        </is>
      </c>
      <c r="F672" t="inlineStr">
        <is>
          <t>Kyrkan</t>
        </is>
      </c>
      <c r="G672" t="n">
        <v>4.5</v>
      </c>
      <c r="H672" t="n">
        <v>0</v>
      </c>
      <c r="I672" t="n">
        <v>0</v>
      </c>
      <c r="J672" t="n">
        <v>0</v>
      </c>
      <c r="K672" t="n">
        <v>0</v>
      </c>
      <c r="L672" t="n">
        <v>0</v>
      </c>
      <c r="M672" t="n">
        <v>0</v>
      </c>
      <c r="N672" t="n">
        <v>0</v>
      </c>
      <c r="O672" t="n">
        <v>0</v>
      </c>
      <c r="P672" t="n">
        <v>0</v>
      </c>
      <c r="Q672" t="n">
        <v>0</v>
      </c>
      <c r="R672" s="2" t="inlineStr"/>
    </row>
    <row r="673" ht="15" customHeight="1">
      <c r="A673" t="inlineStr">
        <is>
          <t>A 41707-2025</t>
        </is>
      </c>
      <c r="B673" s="1" t="n">
        <v>45902.42243055555</v>
      </c>
      <c r="C673" s="1" t="n">
        <v>45970</v>
      </c>
      <c r="D673" t="inlineStr">
        <is>
          <t>UPPSALA LÄN</t>
        </is>
      </c>
      <c r="E673" t="inlineStr">
        <is>
          <t>UPPSALA</t>
        </is>
      </c>
      <c r="F673" t="inlineStr">
        <is>
          <t>Allmännings- och besparingsskogar</t>
        </is>
      </c>
      <c r="G673" t="n">
        <v>3.3</v>
      </c>
      <c r="H673" t="n">
        <v>0</v>
      </c>
      <c r="I673" t="n">
        <v>0</v>
      </c>
      <c r="J673" t="n">
        <v>0</v>
      </c>
      <c r="K673" t="n">
        <v>0</v>
      </c>
      <c r="L673" t="n">
        <v>0</v>
      </c>
      <c r="M673" t="n">
        <v>0</v>
      </c>
      <c r="N673" t="n">
        <v>0</v>
      </c>
      <c r="O673" t="n">
        <v>0</v>
      </c>
      <c r="P673" t="n">
        <v>0</v>
      </c>
      <c r="Q673" t="n">
        <v>0</v>
      </c>
      <c r="R673" s="2" t="inlineStr"/>
    </row>
    <row r="674" ht="15" customHeight="1">
      <c r="A674" t="inlineStr">
        <is>
          <t>A 17232-2022</t>
        </is>
      </c>
      <c r="B674" s="1" t="n">
        <v>44678.3315625</v>
      </c>
      <c r="C674" s="1" t="n">
        <v>45970</v>
      </c>
      <c r="D674" t="inlineStr">
        <is>
          <t>UPPSALA LÄN</t>
        </is>
      </c>
      <c r="E674" t="inlineStr">
        <is>
          <t>UPPSALA</t>
        </is>
      </c>
      <c r="F674" t="inlineStr">
        <is>
          <t>Övriga Aktiebolag</t>
        </is>
      </c>
      <c r="G674" t="n">
        <v>7.4</v>
      </c>
      <c r="H674" t="n">
        <v>0</v>
      </c>
      <c r="I674" t="n">
        <v>0</v>
      </c>
      <c r="J674" t="n">
        <v>0</v>
      </c>
      <c r="K674" t="n">
        <v>0</v>
      </c>
      <c r="L674" t="n">
        <v>0</v>
      </c>
      <c r="M674" t="n">
        <v>0</v>
      </c>
      <c r="N674" t="n">
        <v>0</v>
      </c>
      <c r="O674" t="n">
        <v>0</v>
      </c>
      <c r="P674" t="n">
        <v>0</v>
      </c>
      <c r="Q674" t="n">
        <v>0</v>
      </c>
      <c r="R674" s="2" t="inlineStr"/>
    </row>
    <row r="675" ht="15" customHeight="1">
      <c r="A675" t="inlineStr">
        <is>
          <t>A 8404-2022</t>
        </is>
      </c>
      <c r="B675" s="1" t="n">
        <v>44610</v>
      </c>
      <c r="C675" s="1" t="n">
        <v>45970</v>
      </c>
      <c r="D675" t="inlineStr">
        <is>
          <t>UPPSALA LÄN</t>
        </is>
      </c>
      <c r="E675" t="inlineStr">
        <is>
          <t>UPPSALA</t>
        </is>
      </c>
      <c r="F675" t="inlineStr">
        <is>
          <t>Allmännings- och besparingsskogar</t>
        </is>
      </c>
      <c r="G675" t="n">
        <v>5.4</v>
      </c>
      <c r="H675" t="n">
        <v>0</v>
      </c>
      <c r="I675" t="n">
        <v>0</v>
      </c>
      <c r="J675" t="n">
        <v>0</v>
      </c>
      <c r="K675" t="n">
        <v>0</v>
      </c>
      <c r="L675" t="n">
        <v>0</v>
      </c>
      <c r="M675" t="n">
        <v>0</v>
      </c>
      <c r="N675" t="n">
        <v>0</v>
      </c>
      <c r="O675" t="n">
        <v>0</v>
      </c>
      <c r="P675" t="n">
        <v>0</v>
      </c>
      <c r="Q675" t="n">
        <v>0</v>
      </c>
      <c r="R675" s="2" t="inlineStr"/>
    </row>
    <row r="676" ht="15" customHeight="1">
      <c r="A676" t="inlineStr">
        <is>
          <t>A 53921-2024</t>
        </is>
      </c>
      <c r="B676" s="1" t="n">
        <v>45615</v>
      </c>
      <c r="C676" s="1" t="n">
        <v>45970</v>
      </c>
      <c r="D676" t="inlineStr">
        <is>
          <t>UPPSALA LÄN</t>
        </is>
      </c>
      <c r="E676" t="inlineStr">
        <is>
          <t>UPPSALA</t>
        </is>
      </c>
      <c r="G676" t="n">
        <v>8.1</v>
      </c>
      <c r="H676" t="n">
        <v>0</v>
      </c>
      <c r="I676" t="n">
        <v>0</v>
      </c>
      <c r="J676" t="n">
        <v>0</v>
      </c>
      <c r="K676" t="n">
        <v>0</v>
      </c>
      <c r="L676" t="n">
        <v>0</v>
      </c>
      <c r="M676" t="n">
        <v>0</v>
      </c>
      <c r="N676" t="n">
        <v>0</v>
      </c>
      <c r="O676" t="n">
        <v>0</v>
      </c>
      <c r="P676" t="n">
        <v>0</v>
      </c>
      <c r="Q676" t="n">
        <v>0</v>
      </c>
      <c r="R676" s="2" t="inlineStr"/>
    </row>
    <row r="677" ht="15" customHeight="1">
      <c r="A677" t="inlineStr">
        <is>
          <t>A 45885-2023</t>
        </is>
      </c>
      <c r="B677" s="1" t="n">
        <v>45195.64807870371</v>
      </c>
      <c r="C677" s="1" t="n">
        <v>45970</v>
      </c>
      <c r="D677" t="inlineStr">
        <is>
          <t>UPPSALA LÄN</t>
        </is>
      </c>
      <c r="E677" t="inlineStr">
        <is>
          <t>UPPSALA</t>
        </is>
      </c>
      <c r="G677" t="n">
        <v>6.5</v>
      </c>
      <c r="H677" t="n">
        <v>0</v>
      </c>
      <c r="I677" t="n">
        <v>0</v>
      </c>
      <c r="J677" t="n">
        <v>0</v>
      </c>
      <c r="K677" t="n">
        <v>0</v>
      </c>
      <c r="L677" t="n">
        <v>0</v>
      </c>
      <c r="M677" t="n">
        <v>0</v>
      </c>
      <c r="N677" t="n">
        <v>0</v>
      </c>
      <c r="O677" t="n">
        <v>0</v>
      </c>
      <c r="P677" t="n">
        <v>0</v>
      </c>
      <c r="Q677" t="n">
        <v>0</v>
      </c>
      <c r="R677" s="2" t="inlineStr"/>
    </row>
    <row r="678" ht="15" customHeight="1">
      <c r="A678" t="inlineStr">
        <is>
          <t>A 59562-2024</t>
        </is>
      </c>
      <c r="B678" s="1" t="n">
        <v>45638</v>
      </c>
      <c r="C678" s="1" t="n">
        <v>45970</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59098-2024</t>
        </is>
      </c>
      <c r="B679" s="1" t="n">
        <v>45636</v>
      </c>
      <c r="C679" s="1" t="n">
        <v>45970</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14026-2021</t>
        </is>
      </c>
      <c r="B680" s="1" t="n">
        <v>44277.65650462963</v>
      </c>
      <c r="C680" s="1" t="n">
        <v>45970</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41445-2025</t>
        </is>
      </c>
      <c r="B681" s="1" t="n">
        <v>45901.41853009259</v>
      </c>
      <c r="C681" s="1" t="n">
        <v>45970</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60698-2024</t>
        </is>
      </c>
      <c r="B682" s="1" t="n">
        <v>45644</v>
      </c>
      <c r="C682" s="1" t="n">
        <v>45970</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44115-2023</t>
        </is>
      </c>
      <c r="B683" s="1" t="n">
        <v>45188</v>
      </c>
      <c r="C683" s="1" t="n">
        <v>45970</v>
      </c>
      <c r="D683" t="inlineStr">
        <is>
          <t>UPPSALA LÄN</t>
        </is>
      </c>
      <c r="E683" t="inlineStr">
        <is>
          <t>UPPSALA</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30319-2024</t>
        </is>
      </c>
      <c r="B684" s="1" t="n">
        <v>45490</v>
      </c>
      <c r="C684" s="1" t="n">
        <v>45970</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42772-2022</t>
        </is>
      </c>
      <c r="B685" s="1" t="n">
        <v>44832.49594907407</v>
      </c>
      <c r="C685" s="1" t="n">
        <v>45970</v>
      </c>
      <c r="D685" t="inlineStr">
        <is>
          <t>UPPSALA LÄN</t>
        </is>
      </c>
      <c r="E685" t="inlineStr">
        <is>
          <t>UPPSALA</t>
        </is>
      </c>
      <c r="G685" t="n">
        <v>17.7</v>
      </c>
      <c r="H685" t="n">
        <v>0</v>
      </c>
      <c r="I685" t="n">
        <v>0</v>
      </c>
      <c r="J685" t="n">
        <v>0</v>
      </c>
      <c r="K685" t="n">
        <v>0</v>
      </c>
      <c r="L685" t="n">
        <v>0</v>
      </c>
      <c r="M685" t="n">
        <v>0</v>
      </c>
      <c r="N685" t="n">
        <v>0</v>
      </c>
      <c r="O685" t="n">
        <v>0</v>
      </c>
      <c r="P685" t="n">
        <v>0</v>
      </c>
      <c r="Q685" t="n">
        <v>0</v>
      </c>
      <c r="R685" s="2" t="inlineStr"/>
    </row>
    <row r="686" ht="15" customHeight="1">
      <c r="A686" t="inlineStr">
        <is>
          <t>A 20903-2024</t>
        </is>
      </c>
      <c r="B686" s="1" t="n">
        <v>45439</v>
      </c>
      <c r="C686" s="1" t="n">
        <v>45970</v>
      </c>
      <c r="D686" t="inlineStr">
        <is>
          <t>UPPSALA LÄN</t>
        </is>
      </c>
      <c r="E686" t="inlineStr">
        <is>
          <t>UPPSALA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19539-2024</t>
        </is>
      </c>
      <c r="B687" s="1" t="n">
        <v>45429</v>
      </c>
      <c r="C687" s="1" t="n">
        <v>45970</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6363-2024</t>
        </is>
      </c>
      <c r="B688" s="1" t="n">
        <v>45338.49412037037</v>
      </c>
      <c r="C688" s="1" t="n">
        <v>45970</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49987-2025</t>
        </is>
      </c>
      <c r="B689" s="1" t="n">
        <v>45942.80185185185</v>
      </c>
      <c r="C689" s="1" t="n">
        <v>45970</v>
      </c>
      <c r="D689" t="inlineStr">
        <is>
          <t>UPPSALA LÄN</t>
        </is>
      </c>
      <c r="E689" t="inlineStr">
        <is>
          <t>UPPSALA</t>
        </is>
      </c>
      <c r="F689" t="inlineStr">
        <is>
          <t>Bergvik skog öst AB</t>
        </is>
      </c>
      <c r="G689" t="n">
        <v>3.4</v>
      </c>
      <c r="H689" t="n">
        <v>0</v>
      </c>
      <c r="I689" t="n">
        <v>0</v>
      </c>
      <c r="J689" t="n">
        <v>0</v>
      </c>
      <c r="K689" t="n">
        <v>0</v>
      </c>
      <c r="L689" t="n">
        <v>0</v>
      </c>
      <c r="M689" t="n">
        <v>0</v>
      </c>
      <c r="N689" t="n">
        <v>0</v>
      </c>
      <c r="O689" t="n">
        <v>0</v>
      </c>
      <c r="P689" t="n">
        <v>0</v>
      </c>
      <c r="Q689" t="n">
        <v>0</v>
      </c>
      <c r="R689" s="2" t="inlineStr"/>
    </row>
    <row r="690" ht="15" customHeight="1">
      <c r="A690" t="inlineStr">
        <is>
          <t>A 24284-2025</t>
        </is>
      </c>
      <c r="B690" s="1" t="n">
        <v>45797.45900462963</v>
      </c>
      <c r="C690" s="1" t="n">
        <v>45970</v>
      </c>
      <c r="D690" t="inlineStr">
        <is>
          <t>UPPSALA LÄN</t>
        </is>
      </c>
      <c r="E690" t="inlineStr">
        <is>
          <t>UPPSALA</t>
        </is>
      </c>
      <c r="F690" t="inlineStr">
        <is>
          <t>Holmen skog AB</t>
        </is>
      </c>
      <c r="G690" t="n">
        <v>12.7</v>
      </c>
      <c r="H690" t="n">
        <v>0</v>
      </c>
      <c r="I690" t="n">
        <v>0</v>
      </c>
      <c r="J690" t="n">
        <v>0</v>
      </c>
      <c r="K690" t="n">
        <v>0</v>
      </c>
      <c r="L690" t="n">
        <v>0</v>
      </c>
      <c r="M690" t="n">
        <v>0</v>
      </c>
      <c r="N690" t="n">
        <v>0</v>
      </c>
      <c r="O690" t="n">
        <v>0</v>
      </c>
      <c r="P690" t="n">
        <v>0</v>
      </c>
      <c r="Q690" t="n">
        <v>0</v>
      </c>
      <c r="R690" s="2" t="inlineStr"/>
    </row>
    <row r="691" ht="15" customHeight="1">
      <c r="A691" t="inlineStr">
        <is>
          <t>A 10490-2025</t>
        </is>
      </c>
      <c r="B691" s="1" t="n">
        <v>45721.35173611111</v>
      </c>
      <c r="C691" s="1" t="n">
        <v>45970</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49986-2025</t>
        </is>
      </c>
      <c r="B692" s="1" t="n">
        <v>45942.79476851852</v>
      </c>
      <c r="C692" s="1" t="n">
        <v>45970</v>
      </c>
      <c r="D692" t="inlineStr">
        <is>
          <t>UPPSALA LÄN</t>
        </is>
      </c>
      <c r="E692" t="inlineStr">
        <is>
          <t>UPPSALA</t>
        </is>
      </c>
      <c r="F692" t="inlineStr">
        <is>
          <t>Bergvik skog öst AB</t>
        </is>
      </c>
      <c r="G692" t="n">
        <v>4.5</v>
      </c>
      <c r="H692" t="n">
        <v>0</v>
      </c>
      <c r="I692" t="n">
        <v>0</v>
      </c>
      <c r="J692" t="n">
        <v>0</v>
      </c>
      <c r="K692" t="n">
        <v>0</v>
      </c>
      <c r="L692" t="n">
        <v>0</v>
      </c>
      <c r="M692" t="n">
        <v>0</v>
      </c>
      <c r="N692" t="n">
        <v>0</v>
      </c>
      <c r="O692" t="n">
        <v>0</v>
      </c>
      <c r="P692" t="n">
        <v>0</v>
      </c>
      <c r="Q692" t="n">
        <v>0</v>
      </c>
      <c r="R692" s="2" t="inlineStr"/>
    </row>
    <row r="693" ht="15" customHeight="1">
      <c r="A693" t="inlineStr">
        <is>
          <t>A 49989-2025</t>
        </is>
      </c>
      <c r="B693" s="1" t="n">
        <v>45942.8396412037</v>
      </c>
      <c r="C693" s="1" t="n">
        <v>45970</v>
      </c>
      <c r="D693" t="inlineStr">
        <is>
          <t>UPPSALA LÄN</t>
        </is>
      </c>
      <c r="E693" t="inlineStr">
        <is>
          <t>UPPSALA</t>
        </is>
      </c>
      <c r="G693" t="n">
        <v>2.4</v>
      </c>
      <c r="H693" t="n">
        <v>0</v>
      </c>
      <c r="I693" t="n">
        <v>0</v>
      </c>
      <c r="J693" t="n">
        <v>0</v>
      </c>
      <c r="K693" t="n">
        <v>0</v>
      </c>
      <c r="L693" t="n">
        <v>0</v>
      </c>
      <c r="M693" t="n">
        <v>0</v>
      </c>
      <c r="N693" t="n">
        <v>0</v>
      </c>
      <c r="O693" t="n">
        <v>0</v>
      </c>
      <c r="P693" t="n">
        <v>0</v>
      </c>
      <c r="Q693" t="n">
        <v>0</v>
      </c>
      <c r="R693" s="2" t="inlineStr"/>
    </row>
    <row r="694" ht="15" customHeight="1">
      <c r="A694" t="inlineStr">
        <is>
          <t>A 50106-2025</t>
        </is>
      </c>
      <c r="B694" s="1" t="n">
        <v>45943.53659722222</v>
      </c>
      <c r="C694" s="1" t="n">
        <v>45970</v>
      </c>
      <c r="D694" t="inlineStr">
        <is>
          <t>UPPSALA LÄN</t>
        </is>
      </c>
      <c r="E694" t="inlineStr">
        <is>
          <t>UPPSALA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35906-2023</t>
        </is>
      </c>
      <c r="B695" s="1" t="n">
        <v>45148</v>
      </c>
      <c r="C695" s="1" t="n">
        <v>45970</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35914-2023</t>
        </is>
      </c>
      <c r="B696" s="1" t="n">
        <v>45148</v>
      </c>
      <c r="C696" s="1" t="n">
        <v>45970</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35916-2023</t>
        </is>
      </c>
      <c r="B697" s="1" t="n">
        <v>45148</v>
      </c>
      <c r="C697" s="1" t="n">
        <v>45970</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4312-2022</t>
        </is>
      </c>
      <c r="B698" s="1" t="n">
        <v>44588</v>
      </c>
      <c r="C698" s="1" t="n">
        <v>45970</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24525-2025</t>
        </is>
      </c>
      <c r="B699" s="1" t="n">
        <v>45798.42252314815</v>
      </c>
      <c r="C699" s="1" t="n">
        <v>45970</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24268-2025</t>
        </is>
      </c>
      <c r="B700" s="1" t="n">
        <v>45797.42777777778</v>
      </c>
      <c r="C700" s="1" t="n">
        <v>45970</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4065-2024</t>
        </is>
      </c>
      <c r="B701" s="1" t="n">
        <v>45323.55914351852</v>
      </c>
      <c r="C701" s="1" t="n">
        <v>45970</v>
      </c>
      <c r="D701" t="inlineStr">
        <is>
          <t>UPPSALA LÄN</t>
        </is>
      </c>
      <c r="E701" t="inlineStr">
        <is>
          <t>UPPSALA</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45662-2023</t>
        </is>
      </c>
      <c r="B702" s="1" t="n">
        <v>45194</v>
      </c>
      <c r="C702" s="1" t="n">
        <v>45970</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50706-2025</t>
        </is>
      </c>
      <c r="B703" s="1" t="n">
        <v>45946.30063657407</v>
      </c>
      <c r="C703" s="1" t="n">
        <v>45970</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50708-2025</t>
        </is>
      </c>
      <c r="B704" s="1" t="n">
        <v>45946.31299768519</v>
      </c>
      <c r="C704" s="1" t="n">
        <v>45970</v>
      </c>
      <c r="D704" t="inlineStr">
        <is>
          <t>UPPSALA LÄN</t>
        </is>
      </c>
      <c r="E704" t="inlineStr">
        <is>
          <t>UPPSALA</t>
        </is>
      </c>
      <c r="G704" t="n">
        <v>6.7</v>
      </c>
      <c r="H704" t="n">
        <v>0</v>
      </c>
      <c r="I704" t="n">
        <v>0</v>
      </c>
      <c r="J704" t="n">
        <v>0</v>
      </c>
      <c r="K704" t="n">
        <v>0</v>
      </c>
      <c r="L704" t="n">
        <v>0</v>
      </c>
      <c r="M704" t="n">
        <v>0</v>
      </c>
      <c r="N704" t="n">
        <v>0</v>
      </c>
      <c r="O704" t="n">
        <v>0</v>
      </c>
      <c r="P704" t="n">
        <v>0</v>
      </c>
      <c r="Q704" t="n">
        <v>0</v>
      </c>
      <c r="R704" s="2" t="inlineStr"/>
    </row>
    <row r="705" ht="15" customHeight="1">
      <c r="A705" t="inlineStr">
        <is>
          <t>A 42084-2025</t>
        </is>
      </c>
      <c r="B705" s="1" t="n">
        <v>45903.69096064815</v>
      </c>
      <c r="C705" s="1" t="n">
        <v>45970</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42085-2025</t>
        </is>
      </c>
      <c r="B706" s="1" t="n">
        <v>45903.69358796296</v>
      </c>
      <c r="C706" s="1" t="n">
        <v>45970</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6988-2025</t>
        </is>
      </c>
      <c r="B707" s="1" t="n">
        <v>45693</v>
      </c>
      <c r="C707" s="1" t="n">
        <v>45970</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24912-2025</t>
        </is>
      </c>
      <c r="B708" s="1" t="n">
        <v>45799.53803240741</v>
      </c>
      <c r="C708" s="1" t="n">
        <v>45970</v>
      </c>
      <c r="D708" t="inlineStr">
        <is>
          <t>UPPSALA LÄN</t>
        </is>
      </c>
      <c r="E708" t="inlineStr">
        <is>
          <t>UPPSALA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24916-2025</t>
        </is>
      </c>
      <c r="B709" s="1" t="n">
        <v>45799.5421875</v>
      </c>
      <c r="C709" s="1" t="n">
        <v>45970</v>
      </c>
      <c r="D709" t="inlineStr">
        <is>
          <t>UPPSALA LÄN</t>
        </is>
      </c>
      <c r="E709" t="inlineStr">
        <is>
          <t>UPPSALA</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50897-2025</t>
        </is>
      </c>
      <c r="B710" s="1" t="n">
        <v>45946.64121527778</v>
      </c>
      <c r="C710" s="1" t="n">
        <v>45970</v>
      </c>
      <c r="D710" t="inlineStr">
        <is>
          <t>UPPSALA LÄN</t>
        </is>
      </c>
      <c r="E710" t="inlineStr">
        <is>
          <t>UPPSALA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50463-2024</t>
        </is>
      </c>
      <c r="B711" s="1" t="n">
        <v>45601</v>
      </c>
      <c r="C711" s="1" t="n">
        <v>45970</v>
      </c>
      <c r="D711" t="inlineStr">
        <is>
          <t>UPPSALA LÄN</t>
        </is>
      </c>
      <c r="E711" t="inlineStr">
        <is>
          <t>UPPSALA</t>
        </is>
      </c>
      <c r="F711" t="inlineStr">
        <is>
          <t>Allmännings- och besparingsskogar</t>
        </is>
      </c>
      <c r="G711" t="n">
        <v>12.6</v>
      </c>
      <c r="H711" t="n">
        <v>0</v>
      </c>
      <c r="I711" t="n">
        <v>0</v>
      </c>
      <c r="J711" t="n">
        <v>0</v>
      </c>
      <c r="K711" t="n">
        <v>0</v>
      </c>
      <c r="L711" t="n">
        <v>0</v>
      </c>
      <c r="M711" t="n">
        <v>0</v>
      </c>
      <c r="N711" t="n">
        <v>0</v>
      </c>
      <c r="O711" t="n">
        <v>0</v>
      </c>
      <c r="P711" t="n">
        <v>0</v>
      </c>
      <c r="Q711" t="n">
        <v>0</v>
      </c>
      <c r="R711" s="2" t="inlineStr"/>
    </row>
    <row r="712" ht="15" customHeight="1">
      <c r="A712" t="inlineStr">
        <is>
          <t>A 24961-2025</t>
        </is>
      </c>
      <c r="B712" s="1" t="n">
        <v>45799.57714120371</v>
      </c>
      <c r="C712" s="1" t="n">
        <v>45970</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25025-2025</t>
        </is>
      </c>
      <c r="B713" s="1" t="n">
        <v>45799.64877314815</v>
      </c>
      <c r="C713" s="1" t="n">
        <v>45970</v>
      </c>
      <c r="D713" t="inlineStr">
        <is>
          <t>UPPSALA LÄN</t>
        </is>
      </c>
      <c r="E713" t="inlineStr">
        <is>
          <t>UPPSALA</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12828-2025</t>
        </is>
      </c>
      <c r="B714" s="1" t="n">
        <v>45733.62903935185</v>
      </c>
      <c r="C714" s="1" t="n">
        <v>45970</v>
      </c>
      <c r="D714" t="inlineStr">
        <is>
          <t>UPPSALA LÄN</t>
        </is>
      </c>
      <c r="E714" t="inlineStr">
        <is>
          <t>UPPSALA</t>
        </is>
      </c>
      <c r="G714" t="n">
        <v>5.3</v>
      </c>
      <c r="H714" t="n">
        <v>0</v>
      </c>
      <c r="I714" t="n">
        <v>0</v>
      </c>
      <c r="J714" t="n">
        <v>0</v>
      </c>
      <c r="K714" t="n">
        <v>0</v>
      </c>
      <c r="L714" t="n">
        <v>0</v>
      </c>
      <c r="M714" t="n">
        <v>0</v>
      </c>
      <c r="N714" t="n">
        <v>0</v>
      </c>
      <c r="O714" t="n">
        <v>0</v>
      </c>
      <c r="P714" t="n">
        <v>0</v>
      </c>
      <c r="Q714" t="n">
        <v>0</v>
      </c>
      <c r="R714" s="2" t="inlineStr"/>
    </row>
    <row r="715" ht="15" customHeight="1">
      <c r="A715" t="inlineStr">
        <is>
          <t>A 5189-2022</t>
        </is>
      </c>
      <c r="B715" s="1" t="n">
        <v>44594</v>
      </c>
      <c r="C715" s="1" t="n">
        <v>45970</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59547-2024</t>
        </is>
      </c>
      <c r="B716" s="1" t="n">
        <v>45638</v>
      </c>
      <c r="C716" s="1" t="n">
        <v>45970</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24913-2025</t>
        </is>
      </c>
      <c r="B717" s="1" t="n">
        <v>45799.53947916667</v>
      </c>
      <c r="C717" s="1" t="n">
        <v>45970</v>
      </c>
      <c r="D717" t="inlineStr">
        <is>
          <t>UPPSALA LÄN</t>
        </is>
      </c>
      <c r="E717" t="inlineStr">
        <is>
          <t>UPPSALA</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24915-2025</t>
        </is>
      </c>
      <c r="B718" s="1" t="n">
        <v>45799.54104166666</v>
      </c>
      <c r="C718" s="1" t="n">
        <v>45970</v>
      </c>
      <c r="D718" t="inlineStr">
        <is>
          <t>UPPSALA LÄN</t>
        </is>
      </c>
      <c r="E718" t="inlineStr">
        <is>
          <t>UPPSALA</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11201-2024</t>
        </is>
      </c>
      <c r="B719" s="1" t="n">
        <v>45371</v>
      </c>
      <c r="C719" s="1" t="n">
        <v>45970</v>
      </c>
      <c r="D719" t="inlineStr">
        <is>
          <t>UPPSALA LÄN</t>
        </is>
      </c>
      <c r="E719" t="inlineStr">
        <is>
          <t>UPPSALA</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45970</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44815-2023</t>
        </is>
      </c>
      <c r="B721" s="1" t="n">
        <v>45190</v>
      </c>
      <c r="C721" s="1" t="n">
        <v>45970</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13742-2025</t>
        </is>
      </c>
      <c r="B722" s="1" t="n">
        <v>45737.40503472222</v>
      </c>
      <c r="C722" s="1" t="n">
        <v>45970</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25026-2025</t>
        </is>
      </c>
      <c r="B723" s="1" t="n">
        <v>45799.65021990741</v>
      </c>
      <c r="C723" s="1" t="n">
        <v>45970</v>
      </c>
      <c r="D723" t="inlineStr">
        <is>
          <t>UPPSALA LÄN</t>
        </is>
      </c>
      <c r="E723" t="inlineStr">
        <is>
          <t>UPPSALA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25030-2025</t>
        </is>
      </c>
      <c r="B724" s="1" t="n">
        <v>45799.6527199074</v>
      </c>
      <c r="C724" s="1" t="n">
        <v>45970</v>
      </c>
      <c r="D724" t="inlineStr">
        <is>
          <t>UPPSALA LÄN</t>
        </is>
      </c>
      <c r="E724" t="inlineStr">
        <is>
          <t>UPPSALA</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11162-2022</t>
        </is>
      </c>
      <c r="B725" s="1" t="n">
        <v>44629.42423611111</v>
      </c>
      <c r="C725" s="1" t="n">
        <v>45970</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24794-2025</t>
        </is>
      </c>
      <c r="B726" s="1" t="n">
        <v>45799.43496527777</v>
      </c>
      <c r="C726" s="1" t="n">
        <v>45970</v>
      </c>
      <c r="D726" t="inlineStr">
        <is>
          <t>UPPSALA LÄN</t>
        </is>
      </c>
      <c r="E726" t="inlineStr">
        <is>
          <t>UPPSALA</t>
        </is>
      </c>
      <c r="F726" t="inlineStr">
        <is>
          <t>BillerudKorsnäs AB</t>
        </is>
      </c>
      <c r="G726" t="n">
        <v>1.4</v>
      </c>
      <c r="H726" t="n">
        <v>0</v>
      </c>
      <c r="I726" t="n">
        <v>0</v>
      </c>
      <c r="J726" t="n">
        <v>0</v>
      </c>
      <c r="K726" t="n">
        <v>0</v>
      </c>
      <c r="L726" t="n">
        <v>0</v>
      </c>
      <c r="M726" t="n">
        <v>0</v>
      </c>
      <c r="N726" t="n">
        <v>0</v>
      </c>
      <c r="O726" t="n">
        <v>0</v>
      </c>
      <c r="P726" t="n">
        <v>0</v>
      </c>
      <c r="Q726" t="n">
        <v>0</v>
      </c>
      <c r="R726" s="2" t="inlineStr"/>
    </row>
    <row r="727" ht="15" customHeight="1">
      <c r="A727" t="inlineStr">
        <is>
          <t>A 25280-2023</t>
        </is>
      </c>
      <c r="B727" s="1" t="n">
        <v>45086.7037037037</v>
      </c>
      <c r="C727" s="1" t="n">
        <v>45970</v>
      </c>
      <c r="D727" t="inlineStr">
        <is>
          <t>UPPSALA LÄN</t>
        </is>
      </c>
      <c r="E727" t="inlineStr">
        <is>
          <t>UPPSALA</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12211-2025</t>
        </is>
      </c>
      <c r="B728" s="1" t="n">
        <v>45729</v>
      </c>
      <c r="C728" s="1" t="n">
        <v>45970</v>
      </c>
      <c r="D728" t="inlineStr">
        <is>
          <t>UPPSALA LÄN</t>
        </is>
      </c>
      <c r="E728" t="inlineStr">
        <is>
          <t>UPPSALA</t>
        </is>
      </c>
      <c r="G728" t="n">
        <v>3.6</v>
      </c>
      <c r="H728" t="n">
        <v>0</v>
      </c>
      <c r="I728" t="n">
        <v>0</v>
      </c>
      <c r="J728" t="n">
        <v>0</v>
      </c>
      <c r="K728" t="n">
        <v>0</v>
      </c>
      <c r="L728" t="n">
        <v>0</v>
      </c>
      <c r="M728" t="n">
        <v>0</v>
      </c>
      <c r="N728" t="n">
        <v>0</v>
      </c>
      <c r="O728" t="n">
        <v>0</v>
      </c>
      <c r="P728" t="n">
        <v>0</v>
      </c>
      <c r="Q728" t="n">
        <v>0</v>
      </c>
      <c r="R728" s="2" t="inlineStr"/>
    </row>
    <row r="729" ht="15" customHeight="1">
      <c r="A729" t="inlineStr">
        <is>
          <t>A 15264-2025</t>
        </is>
      </c>
      <c r="B729" s="1" t="n">
        <v>45744</v>
      </c>
      <c r="C729" s="1" t="n">
        <v>45970</v>
      </c>
      <c r="D729" t="inlineStr">
        <is>
          <t>UPPSALA LÄN</t>
        </is>
      </c>
      <c r="E729" t="inlineStr">
        <is>
          <t>UPPSALA</t>
        </is>
      </c>
      <c r="G729" t="n">
        <v>3.5</v>
      </c>
      <c r="H729" t="n">
        <v>0</v>
      </c>
      <c r="I729" t="n">
        <v>0</v>
      </c>
      <c r="J729" t="n">
        <v>0</v>
      </c>
      <c r="K729" t="n">
        <v>0</v>
      </c>
      <c r="L729" t="n">
        <v>0</v>
      </c>
      <c r="M729" t="n">
        <v>0</v>
      </c>
      <c r="N729" t="n">
        <v>0</v>
      </c>
      <c r="O729" t="n">
        <v>0</v>
      </c>
      <c r="P729" t="n">
        <v>0</v>
      </c>
      <c r="Q729" t="n">
        <v>0</v>
      </c>
      <c r="R729" s="2" t="inlineStr"/>
    </row>
    <row r="730" ht="15" customHeight="1">
      <c r="A730" t="inlineStr">
        <is>
          <t>A 6628-2024</t>
        </is>
      </c>
      <c r="B730" s="1" t="n">
        <v>45341</v>
      </c>
      <c r="C730" s="1" t="n">
        <v>45970</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52197-2024</t>
        </is>
      </c>
      <c r="B731" s="1" t="n">
        <v>45608</v>
      </c>
      <c r="C731" s="1" t="n">
        <v>45970</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25513-2025</t>
        </is>
      </c>
      <c r="B732" s="1" t="n">
        <v>45803.36384259259</v>
      </c>
      <c r="C732" s="1" t="n">
        <v>45970</v>
      </c>
      <c r="D732" t="inlineStr">
        <is>
          <t>UPPSALA LÄN</t>
        </is>
      </c>
      <c r="E732" t="inlineStr">
        <is>
          <t>UPPSALA</t>
        </is>
      </c>
      <c r="F732" t="inlineStr">
        <is>
          <t>Bergvik skog öst AB</t>
        </is>
      </c>
      <c r="G732" t="n">
        <v>8.9</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45970</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26738-2025</t>
        </is>
      </c>
      <c r="B734" s="1" t="n">
        <v>45809</v>
      </c>
      <c r="C734" s="1" t="n">
        <v>45970</v>
      </c>
      <c r="D734" t="inlineStr">
        <is>
          <t>UPPSALA LÄN</t>
        </is>
      </c>
      <c r="E734" t="inlineStr">
        <is>
          <t>UPPSALA</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26739-2025</t>
        </is>
      </c>
      <c r="B735" s="1" t="n">
        <v>45809</v>
      </c>
      <c r="C735" s="1" t="n">
        <v>45970</v>
      </c>
      <c r="D735" t="inlineStr">
        <is>
          <t>UPPSALA LÄN</t>
        </is>
      </c>
      <c r="E735" t="inlineStr">
        <is>
          <t>UPPSALA</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8132-2024</t>
        </is>
      </c>
      <c r="B736" s="1" t="n">
        <v>45351.54596064815</v>
      </c>
      <c r="C736" s="1" t="n">
        <v>45970</v>
      </c>
      <c r="D736" t="inlineStr">
        <is>
          <t>UPPSALA LÄN</t>
        </is>
      </c>
      <c r="E736" t="inlineStr">
        <is>
          <t>UPPSALA</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25674-2025</t>
        </is>
      </c>
      <c r="B737" s="1" t="n">
        <v>45803.63395833333</v>
      </c>
      <c r="C737" s="1" t="n">
        <v>45970</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26130-2025</t>
        </is>
      </c>
      <c r="B738" s="1" t="n">
        <v>45805.4094675926</v>
      </c>
      <c r="C738" s="1" t="n">
        <v>45970</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26131-2025</t>
        </is>
      </c>
      <c r="B739" s="1" t="n">
        <v>45805.41010416667</v>
      </c>
      <c r="C739" s="1" t="n">
        <v>45970</v>
      </c>
      <c r="D739" t="inlineStr">
        <is>
          <t>UPPSALA LÄN</t>
        </is>
      </c>
      <c r="E739" t="inlineStr">
        <is>
          <t>UPPSALA</t>
        </is>
      </c>
      <c r="F739" t="inlineStr">
        <is>
          <t>Bergvik skog öst AB</t>
        </is>
      </c>
      <c r="G739" t="n">
        <v>3.8</v>
      </c>
      <c r="H739" t="n">
        <v>0</v>
      </c>
      <c r="I739" t="n">
        <v>0</v>
      </c>
      <c r="J739" t="n">
        <v>0</v>
      </c>
      <c r="K739" t="n">
        <v>0</v>
      </c>
      <c r="L739" t="n">
        <v>0</v>
      </c>
      <c r="M739" t="n">
        <v>0</v>
      </c>
      <c r="N739" t="n">
        <v>0</v>
      </c>
      <c r="O739" t="n">
        <v>0</v>
      </c>
      <c r="P739" t="n">
        <v>0</v>
      </c>
      <c r="Q739" t="n">
        <v>0</v>
      </c>
      <c r="R739" s="2" t="inlineStr"/>
    </row>
    <row r="740" ht="15" customHeight="1">
      <c r="A740" t="inlineStr">
        <is>
          <t>A 24909-2025</t>
        </is>
      </c>
      <c r="B740" s="1" t="n">
        <v>45799.53348379629</v>
      </c>
      <c r="C740" s="1" t="n">
        <v>45970</v>
      </c>
      <c r="D740" t="inlineStr">
        <is>
          <t>UPPSALA LÄN</t>
        </is>
      </c>
      <c r="E740" t="inlineStr">
        <is>
          <t>UPPSALA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42134-2025</t>
        </is>
      </c>
      <c r="B741" s="1" t="n">
        <v>45904</v>
      </c>
      <c r="C741" s="1" t="n">
        <v>45970</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41954-2025</t>
        </is>
      </c>
      <c r="B742" s="1" t="n">
        <v>45903</v>
      </c>
      <c r="C742" s="1" t="n">
        <v>45970</v>
      </c>
      <c r="D742" t="inlineStr">
        <is>
          <t>UPPSALA LÄN</t>
        </is>
      </c>
      <c r="E742" t="inlineStr">
        <is>
          <t>UPPSALA</t>
        </is>
      </c>
      <c r="G742" t="n">
        <v>7.5</v>
      </c>
      <c r="H742" t="n">
        <v>0</v>
      </c>
      <c r="I742" t="n">
        <v>0</v>
      </c>
      <c r="J742" t="n">
        <v>0</v>
      </c>
      <c r="K742" t="n">
        <v>0</v>
      </c>
      <c r="L742" t="n">
        <v>0</v>
      </c>
      <c r="M742" t="n">
        <v>0</v>
      </c>
      <c r="N742" t="n">
        <v>0</v>
      </c>
      <c r="O742" t="n">
        <v>0</v>
      </c>
      <c r="P742" t="n">
        <v>0</v>
      </c>
      <c r="Q742" t="n">
        <v>0</v>
      </c>
      <c r="R742" s="2" t="inlineStr"/>
    </row>
    <row r="743" ht="15" customHeight="1">
      <c r="A743" t="inlineStr">
        <is>
          <t>A 26139-2025</t>
        </is>
      </c>
      <c r="B743" s="1" t="n">
        <v>45805.41813657407</v>
      </c>
      <c r="C743" s="1" t="n">
        <v>45970</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20087-2023</t>
        </is>
      </c>
      <c r="B744" s="1" t="n">
        <v>45054.9271875</v>
      </c>
      <c r="C744" s="1" t="n">
        <v>45970</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26155-2025</t>
        </is>
      </c>
      <c r="B745" s="1" t="n">
        <v>45805.43402777778</v>
      </c>
      <c r="C745" s="1" t="n">
        <v>45970</v>
      </c>
      <c r="D745" t="inlineStr">
        <is>
          <t>UPPSALA LÄN</t>
        </is>
      </c>
      <c r="E745" t="inlineStr">
        <is>
          <t>UPPSALA</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26141-2025</t>
        </is>
      </c>
      <c r="B746" s="1" t="n">
        <v>45805.4255787037</v>
      </c>
      <c r="C746" s="1" t="n">
        <v>45970</v>
      </c>
      <c r="D746" t="inlineStr">
        <is>
          <t>UPPSALA LÄN</t>
        </is>
      </c>
      <c r="E746" t="inlineStr">
        <is>
          <t>UPPSALA</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32127-2024</t>
        </is>
      </c>
      <c r="B747" s="1" t="n">
        <v>45511</v>
      </c>
      <c r="C747" s="1" t="n">
        <v>45970</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49080-2025</t>
        </is>
      </c>
      <c r="B748" s="1" t="n">
        <v>45937</v>
      </c>
      <c r="C748" s="1" t="n">
        <v>45970</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50949-2025</t>
        </is>
      </c>
      <c r="B749" s="1" t="n">
        <v>45946.75140046296</v>
      </c>
      <c r="C749" s="1" t="n">
        <v>45970</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61463-2024</t>
        </is>
      </c>
      <c r="B750" s="1" t="n">
        <v>45646.50211805556</v>
      </c>
      <c r="C750" s="1" t="n">
        <v>45970</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45970</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40872-2023</t>
        </is>
      </c>
      <c r="B752" s="1" t="n">
        <v>45173</v>
      </c>
      <c r="C752" s="1" t="n">
        <v>45970</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42347-2025</t>
        </is>
      </c>
      <c r="B753" s="1" t="n">
        <v>45904.77746527778</v>
      </c>
      <c r="C753" s="1" t="n">
        <v>45970</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26697-2025</t>
        </is>
      </c>
      <c r="B754" s="1" t="n">
        <v>45810.44339120371</v>
      </c>
      <c r="C754" s="1" t="n">
        <v>45970</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49996-2023</t>
        </is>
      </c>
      <c r="B755" s="1" t="n">
        <v>45215.44233796297</v>
      </c>
      <c r="C755" s="1" t="n">
        <v>45970</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5309-2022</t>
        </is>
      </c>
      <c r="B756" s="1" t="n">
        <v>44594</v>
      </c>
      <c r="C756" s="1" t="n">
        <v>45970</v>
      </c>
      <c r="D756" t="inlineStr">
        <is>
          <t>UPPSALA LÄN</t>
        </is>
      </c>
      <c r="E756" t="inlineStr">
        <is>
          <t>UPPSALA</t>
        </is>
      </c>
      <c r="G756" t="n">
        <v>4.8</v>
      </c>
      <c r="H756" t="n">
        <v>0</v>
      </c>
      <c r="I756" t="n">
        <v>0</v>
      </c>
      <c r="J756" t="n">
        <v>0</v>
      </c>
      <c r="K756" t="n">
        <v>0</v>
      </c>
      <c r="L756" t="n">
        <v>0</v>
      </c>
      <c r="M756" t="n">
        <v>0</v>
      </c>
      <c r="N756" t="n">
        <v>0</v>
      </c>
      <c r="O756" t="n">
        <v>0</v>
      </c>
      <c r="P756" t="n">
        <v>0</v>
      </c>
      <c r="Q756" t="n">
        <v>0</v>
      </c>
      <c r="R756" s="2" t="inlineStr"/>
    </row>
    <row r="757" ht="15" customHeight="1">
      <c r="A757" t="inlineStr">
        <is>
          <t>A 45575-2023</t>
        </is>
      </c>
      <c r="B757" s="1" t="n">
        <v>45194.60876157408</v>
      </c>
      <c r="C757" s="1" t="n">
        <v>45970</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51433-2025</t>
        </is>
      </c>
      <c r="B758" s="1" t="n">
        <v>45950.55603009259</v>
      </c>
      <c r="C758" s="1" t="n">
        <v>45970</v>
      </c>
      <c r="D758" t="inlineStr">
        <is>
          <t>UPPSALA LÄN</t>
        </is>
      </c>
      <c r="E758" t="inlineStr">
        <is>
          <t>UPPSALA</t>
        </is>
      </c>
      <c r="F758" t="inlineStr">
        <is>
          <t>Bergvik skog öst AB</t>
        </is>
      </c>
      <c r="G758" t="n">
        <v>14.7</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45970</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42593-2025</t>
        </is>
      </c>
      <c r="B760" s="1" t="n">
        <v>45905.64862268518</v>
      </c>
      <c r="C760" s="1" t="n">
        <v>45970</v>
      </c>
      <c r="D760" t="inlineStr">
        <is>
          <t>UPPSALA LÄN</t>
        </is>
      </c>
      <c r="E760" t="inlineStr">
        <is>
          <t>UPPSALA</t>
        </is>
      </c>
      <c r="G760" t="n">
        <v>2.1</v>
      </c>
      <c r="H760" t="n">
        <v>0</v>
      </c>
      <c r="I760" t="n">
        <v>0</v>
      </c>
      <c r="J760" t="n">
        <v>0</v>
      </c>
      <c r="K760" t="n">
        <v>0</v>
      </c>
      <c r="L760" t="n">
        <v>0</v>
      </c>
      <c r="M760" t="n">
        <v>0</v>
      </c>
      <c r="N760" t="n">
        <v>0</v>
      </c>
      <c r="O760" t="n">
        <v>0</v>
      </c>
      <c r="P760" t="n">
        <v>0</v>
      </c>
      <c r="Q760" t="n">
        <v>0</v>
      </c>
      <c r="R760" s="2" t="inlineStr"/>
    </row>
    <row r="761" ht="15" customHeight="1">
      <c r="A761" t="inlineStr">
        <is>
          <t>A 51158-2025</t>
        </is>
      </c>
      <c r="B761" s="1" t="n">
        <v>45947.58105324074</v>
      </c>
      <c r="C761" s="1" t="n">
        <v>45970</v>
      </c>
      <c r="D761" t="inlineStr">
        <is>
          <t>UPPSALA LÄN</t>
        </is>
      </c>
      <c r="E761" t="inlineStr">
        <is>
          <t>UPPSALA</t>
        </is>
      </c>
      <c r="F761" t="inlineStr">
        <is>
          <t>Övriga Aktiebolag</t>
        </is>
      </c>
      <c r="G761" t="n">
        <v>12.1</v>
      </c>
      <c r="H761" t="n">
        <v>0</v>
      </c>
      <c r="I761" t="n">
        <v>0</v>
      </c>
      <c r="J761" t="n">
        <v>0</v>
      </c>
      <c r="K761" t="n">
        <v>0</v>
      </c>
      <c r="L761" t="n">
        <v>0</v>
      </c>
      <c r="M761" t="n">
        <v>0</v>
      </c>
      <c r="N761" t="n">
        <v>0</v>
      </c>
      <c r="O761" t="n">
        <v>0</v>
      </c>
      <c r="P761" t="n">
        <v>0</v>
      </c>
      <c r="Q761" t="n">
        <v>0</v>
      </c>
      <c r="R761" s="2" t="inlineStr"/>
    </row>
    <row r="762" ht="15" customHeight="1">
      <c r="A762" t="inlineStr">
        <is>
          <t>A 20206-2023</t>
        </is>
      </c>
      <c r="B762" s="1" t="n">
        <v>45055</v>
      </c>
      <c r="C762" s="1" t="n">
        <v>45970</v>
      </c>
      <c r="D762" t="inlineStr">
        <is>
          <t>UPPSALA LÄN</t>
        </is>
      </c>
      <c r="E762" t="inlineStr">
        <is>
          <t>UPPSALA</t>
        </is>
      </c>
      <c r="G762" t="n">
        <v>5.7</v>
      </c>
      <c r="H762" t="n">
        <v>0</v>
      </c>
      <c r="I762" t="n">
        <v>0</v>
      </c>
      <c r="J762" t="n">
        <v>0</v>
      </c>
      <c r="K762" t="n">
        <v>0</v>
      </c>
      <c r="L762" t="n">
        <v>0</v>
      </c>
      <c r="M762" t="n">
        <v>0</v>
      </c>
      <c r="N762" t="n">
        <v>0</v>
      </c>
      <c r="O762" t="n">
        <v>0</v>
      </c>
      <c r="P762" t="n">
        <v>0</v>
      </c>
      <c r="Q762" t="n">
        <v>0</v>
      </c>
      <c r="R762" s="2" t="inlineStr"/>
    </row>
    <row r="763" ht="15" customHeight="1">
      <c r="A763" t="inlineStr">
        <is>
          <t>A 42541-2025</t>
        </is>
      </c>
      <c r="B763" s="1" t="n">
        <v>45905.5756712963</v>
      </c>
      <c r="C763" s="1" t="n">
        <v>45970</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26740-2025</t>
        </is>
      </c>
      <c r="B764" s="1" t="n">
        <v>45809</v>
      </c>
      <c r="C764" s="1" t="n">
        <v>45970</v>
      </c>
      <c r="D764" t="inlineStr">
        <is>
          <t>UPPSALA LÄN</t>
        </is>
      </c>
      <c r="E764" t="inlineStr">
        <is>
          <t>UPPSALA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43029-2023</t>
        </is>
      </c>
      <c r="B765" s="1" t="n">
        <v>45182</v>
      </c>
      <c r="C765" s="1" t="n">
        <v>45970</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43031-2023</t>
        </is>
      </c>
      <c r="B766" s="1" t="n">
        <v>45182</v>
      </c>
      <c r="C766" s="1" t="n">
        <v>45970</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23494-2024</t>
        </is>
      </c>
      <c r="B767" s="1" t="n">
        <v>45453.69339120371</v>
      </c>
      <c r="C767" s="1" t="n">
        <v>45970</v>
      </c>
      <c r="D767" t="inlineStr">
        <is>
          <t>UPPSALA LÄN</t>
        </is>
      </c>
      <c r="E767" t="inlineStr">
        <is>
          <t>UPPSALA</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26696-2025</t>
        </is>
      </c>
      <c r="B768" s="1" t="n">
        <v>45810.44299768518</v>
      </c>
      <c r="C768" s="1" t="n">
        <v>45970</v>
      </c>
      <c r="D768" t="inlineStr">
        <is>
          <t>UPPSALA LÄN</t>
        </is>
      </c>
      <c r="E768" t="inlineStr">
        <is>
          <t>UPPSALA</t>
        </is>
      </c>
      <c r="F768" t="inlineStr">
        <is>
          <t>Bergvik skog öst AB</t>
        </is>
      </c>
      <c r="G768" t="n">
        <v>7.1</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45970</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26762-2023</t>
        </is>
      </c>
      <c r="B770" s="1" t="n">
        <v>45093.46706018518</v>
      </c>
      <c r="C770" s="1" t="n">
        <v>45970</v>
      </c>
      <c r="D770" t="inlineStr">
        <is>
          <t>UPPSALA LÄN</t>
        </is>
      </c>
      <c r="E770" t="inlineStr">
        <is>
          <t>UPPSALA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27265-2025</t>
        </is>
      </c>
      <c r="B771" s="1" t="n">
        <v>45812.48032407407</v>
      </c>
      <c r="C771" s="1" t="n">
        <v>45970</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16434-2024</t>
        </is>
      </c>
      <c r="B772" s="1" t="n">
        <v>45407.69575231482</v>
      </c>
      <c r="C772" s="1" t="n">
        <v>45970</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44080-2023</t>
        </is>
      </c>
      <c r="B773" s="1" t="n">
        <v>45188.42052083334</v>
      </c>
      <c r="C773" s="1" t="n">
        <v>45970</v>
      </c>
      <c r="D773" t="inlineStr">
        <is>
          <t>UPPSALA LÄN</t>
        </is>
      </c>
      <c r="E773" t="inlineStr">
        <is>
          <t>UPPSALA</t>
        </is>
      </c>
      <c r="G773" t="n">
        <v>13.3</v>
      </c>
      <c r="H773" t="n">
        <v>0</v>
      </c>
      <c r="I773" t="n">
        <v>0</v>
      </c>
      <c r="J773" t="n">
        <v>0</v>
      </c>
      <c r="K773" t="n">
        <v>0</v>
      </c>
      <c r="L773" t="n">
        <v>0</v>
      </c>
      <c r="M773" t="n">
        <v>0</v>
      </c>
      <c r="N773" t="n">
        <v>0</v>
      </c>
      <c r="O773" t="n">
        <v>0</v>
      </c>
      <c r="P773" t="n">
        <v>0</v>
      </c>
      <c r="Q773" t="n">
        <v>0</v>
      </c>
      <c r="R773" s="2" t="inlineStr"/>
    </row>
    <row r="774" ht="15" customHeight="1">
      <c r="A774" t="inlineStr">
        <is>
          <t>A 53963-2023</t>
        </is>
      </c>
      <c r="B774" s="1" t="n">
        <v>45231.62840277778</v>
      </c>
      <c r="C774" s="1" t="n">
        <v>45970</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43056-2025</t>
        </is>
      </c>
      <c r="B775" s="1" t="n">
        <v>45909.57565972222</v>
      </c>
      <c r="C775" s="1" t="n">
        <v>45970</v>
      </c>
      <c r="D775" t="inlineStr">
        <is>
          <t>UPPSALA LÄN</t>
        </is>
      </c>
      <c r="E775" t="inlineStr">
        <is>
          <t>UPPSALA</t>
        </is>
      </c>
      <c r="F775" t="inlineStr">
        <is>
          <t>Allmännings- och besparingsskogar</t>
        </is>
      </c>
      <c r="G775" t="n">
        <v>11.8</v>
      </c>
      <c r="H775" t="n">
        <v>0</v>
      </c>
      <c r="I775" t="n">
        <v>0</v>
      </c>
      <c r="J775" t="n">
        <v>0</v>
      </c>
      <c r="K775" t="n">
        <v>0</v>
      </c>
      <c r="L775" t="n">
        <v>0</v>
      </c>
      <c r="M775" t="n">
        <v>0</v>
      </c>
      <c r="N775" t="n">
        <v>0</v>
      </c>
      <c r="O775" t="n">
        <v>0</v>
      </c>
      <c r="P775" t="n">
        <v>0</v>
      </c>
      <c r="Q775" t="n">
        <v>0</v>
      </c>
      <c r="R775" s="2" t="inlineStr"/>
    </row>
    <row r="776" ht="15" customHeight="1">
      <c r="A776" t="inlineStr">
        <is>
          <t>A 2897-2025</t>
        </is>
      </c>
      <c r="B776" s="1" t="n">
        <v>45677</v>
      </c>
      <c r="C776" s="1" t="n">
        <v>45970</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10394-2025</t>
        </is>
      </c>
      <c r="B777" s="1" t="n">
        <v>45720.60410879629</v>
      </c>
      <c r="C777" s="1" t="n">
        <v>45970</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6059-2025</t>
        </is>
      </c>
      <c r="B778" s="1" t="n">
        <v>45695.8391550926</v>
      </c>
      <c r="C778" s="1" t="n">
        <v>45970</v>
      </c>
      <c r="D778" t="inlineStr">
        <is>
          <t>UPPSALA LÄN</t>
        </is>
      </c>
      <c r="E778" t="inlineStr">
        <is>
          <t>UPPSALA</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6060-2025</t>
        </is>
      </c>
      <c r="B779" s="1" t="n">
        <v>45695.84078703704</v>
      </c>
      <c r="C779" s="1" t="n">
        <v>45970</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10489-2025</t>
        </is>
      </c>
      <c r="B780" s="1" t="n">
        <v>45721.34715277778</v>
      </c>
      <c r="C780" s="1" t="n">
        <v>45970</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27917-2025</t>
        </is>
      </c>
      <c r="B781" s="1" t="n">
        <v>45814</v>
      </c>
      <c r="C781" s="1" t="n">
        <v>45970</v>
      </c>
      <c r="D781" t="inlineStr">
        <is>
          <t>UPPSALA LÄN</t>
        </is>
      </c>
      <c r="E781" t="inlineStr">
        <is>
          <t>UPPSALA</t>
        </is>
      </c>
      <c r="G781" t="n">
        <v>4</v>
      </c>
      <c r="H781" t="n">
        <v>0</v>
      </c>
      <c r="I781" t="n">
        <v>0</v>
      </c>
      <c r="J781" t="n">
        <v>0</v>
      </c>
      <c r="K781" t="n">
        <v>0</v>
      </c>
      <c r="L781" t="n">
        <v>0</v>
      </c>
      <c r="M781" t="n">
        <v>0</v>
      </c>
      <c r="N781" t="n">
        <v>0</v>
      </c>
      <c r="O781" t="n">
        <v>0</v>
      </c>
      <c r="P781" t="n">
        <v>0</v>
      </c>
      <c r="Q781" t="n">
        <v>0</v>
      </c>
      <c r="R781" s="2" t="inlineStr"/>
    </row>
    <row r="782" ht="15" customHeight="1">
      <c r="A782" t="inlineStr">
        <is>
          <t>A 52517-2025</t>
        </is>
      </c>
      <c r="B782" s="1" t="n">
        <v>45954.51438657408</v>
      </c>
      <c r="C782" s="1" t="n">
        <v>45970</v>
      </c>
      <c r="D782" t="inlineStr">
        <is>
          <t>UPPSALA LÄN</t>
        </is>
      </c>
      <c r="E782" t="inlineStr">
        <is>
          <t>UPPSALA</t>
        </is>
      </c>
      <c r="G782" t="n">
        <v>10.3</v>
      </c>
      <c r="H782" t="n">
        <v>0</v>
      </c>
      <c r="I782" t="n">
        <v>0</v>
      </c>
      <c r="J782" t="n">
        <v>0</v>
      </c>
      <c r="K782" t="n">
        <v>0</v>
      </c>
      <c r="L782" t="n">
        <v>0</v>
      </c>
      <c r="M782" t="n">
        <v>0</v>
      </c>
      <c r="N782" t="n">
        <v>0</v>
      </c>
      <c r="O782" t="n">
        <v>0</v>
      </c>
      <c r="P782" t="n">
        <v>0</v>
      </c>
      <c r="Q782" t="n">
        <v>0</v>
      </c>
      <c r="R782" s="2" t="inlineStr"/>
    </row>
    <row r="783" ht="15" customHeight="1">
      <c r="A783" t="inlineStr">
        <is>
          <t>A 27538-2025</t>
        </is>
      </c>
      <c r="B783" s="1" t="n">
        <v>45813.46034722222</v>
      </c>
      <c r="C783" s="1" t="n">
        <v>45970</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43893-2025</t>
        </is>
      </c>
      <c r="B784" s="1" t="n">
        <v>45912.7097337963</v>
      </c>
      <c r="C784" s="1" t="n">
        <v>45970</v>
      </c>
      <c r="D784" t="inlineStr">
        <is>
          <t>UPPSALA LÄN</t>
        </is>
      </c>
      <c r="E784" t="inlineStr">
        <is>
          <t>UPPSALA</t>
        </is>
      </c>
      <c r="F784" t="inlineStr">
        <is>
          <t>Kyrkan</t>
        </is>
      </c>
      <c r="G784" t="n">
        <v>5.7</v>
      </c>
      <c r="H784" t="n">
        <v>0</v>
      </c>
      <c r="I784" t="n">
        <v>0</v>
      </c>
      <c r="J784" t="n">
        <v>0</v>
      </c>
      <c r="K784" t="n">
        <v>0</v>
      </c>
      <c r="L784" t="n">
        <v>0</v>
      </c>
      <c r="M784" t="n">
        <v>0</v>
      </c>
      <c r="N784" t="n">
        <v>0</v>
      </c>
      <c r="O784" t="n">
        <v>0</v>
      </c>
      <c r="P784" t="n">
        <v>0</v>
      </c>
      <c r="Q784" t="n">
        <v>0</v>
      </c>
      <c r="R784" s="2" t="inlineStr"/>
    </row>
    <row r="785" ht="15" customHeight="1">
      <c r="A785" t="inlineStr">
        <is>
          <t>A 51493-2025</t>
        </is>
      </c>
      <c r="B785" s="1" t="n">
        <v>45950</v>
      </c>
      <c r="C785" s="1" t="n">
        <v>45970</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1617-2021</t>
        </is>
      </c>
      <c r="B786" s="1" t="n">
        <v>44209</v>
      </c>
      <c r="C786" s="1" t="n">
        <v>45970</v>
      </c>
      <c r="D786" t="inlineStr">
        <is>
          <t>UPPSALA LÄN</t>
        </is>
      </c>
      <c r="E786" t="inlineStr">
        <is>
          <t>UPPSALA</t>
        </is>
      </c>
      <c r="G786" t="n">
        <v>2.5</v>
      </c>
      <c r="H786" t="n">
        <v>0</v>
      </c>
      <c r="I786" t="n">
        <v>0</v>
      </c>
      <c r="J786" t="n">
        <v>0</v>
      </c>
      <c r="K786" t="n">
        <v>0</v>
      </c>
      <c r="L786" t="n">
        <v>0</v>
      </c>
      <c r="M786" t="n">
        <v>0</v>
      </c>
      <c r="N786" t="n">
        <v>0</v>
      </c>
      <c r="O786" t="n">
        <v>0</v>
      </c>
      <c r="P786" t="n">
        <v>0</v>
      </c>
      <c r="Q786" t="n">
        <v>0</v>
      </c>
      <c r="R786" s="2" t="inlineStr"/>
    </row>
    <row r="787" ht="15" customHeight="1">
      <c r="A787" t="inlineStr">
        <is>
          <t>A 52429-2025</t>
        </is>
      </c>
      <c r="B787" s="1" t="n">
        <v>45954.38475694445</v>
      </c>
      <c r="C787" s="1" t="n">
        <v>45970</v>
      </c>
      <c r="D787" t="inlineStr">
        <is>
          <t>UPPSALA LÄN</t>
        </is>
      </c>
      <c r="E787" t="inlineStr">
        <is>
          <t>UPPSALA</t>
        </is>
      </c>
      <c r="G787" t="n">
        <v>16.6</v>
      </c>
      <c r="H787" t="n">
        <v>0</v>
      </c>
      <c r="I787" t="n">
        <v>0</v>
      </c>
      <c r="J787" t="n">
        <v>0</v>
      </c>
      <c r="K787" t="n">
        <v>0</v>
      </c>
      <c r="L787" t="n">
        <v>0</v>
      </c>
      <c r="M787" t="n">
        <v>0</v>
      </c>
      <c r="N787" t="n">
        <v>0</v>
      </c>
      <c r="O787" t="n">
        <v>0</v>
      </c>
      <c r="P787" t="n">
        <v>0</v>
      </c>
      <c r="Q787" t="n">
        <v>0</v>
      </c>
      <c r="R787" s="2" t="inlineStr"/>
    </row>
    <row r="788" ht="15" customHeight="1">
      <c r="A788" t="inlineStr">
        <is>
          <t>A 28275-2025</t>
        </is>
      </c>
      <c r="B788" s="1" t="n">
        <v>45818.57910879629</v>
      </c>
      <c r="C788" s="1" t="n">
        <v>45970</v>
      </c>
      <c r="D788" t="inlineStr">
        <is>
          <t>UPPSALA LÄN</t>
        </is>
      </c>
      <c r="E788" t="inlineStr">
        <is>
          <t>UPPSALA</t>
        </is>
      </c>
      <c r="F788" t="inlineStr">
        <is>
          <t>Holmen skog AB</t>
        </is>
      </c>
      <c r="G788" t="n">
        <v>6.5</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45970</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50395-2023</t>
        </is>
      </c>
      <c r="B790" s="1" t="n">
        <v>45216</v>
      </c>
      <c r="C790" s="1" t="n">
        <v>45970</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50473-2023</t>
        </is>
      </c>
      <c r="B791" s="1" t="n">
        <v>45216</v>
      </c>
      <c r="C791" s="1" t="n">
        <v>45970</v>
      </c>
      <c r="D791" t="inlineStr">
        <is>
          <t>UPPSALA LÄN</t>
        </is>
      </c>
      <c r="E791" t="inlineStr">
        <is>
          <t>UPPSALA</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41002-2023</t>
        </is>
      </c>
      <c r="B792" s="1" t="n">
        <v>45173</v>
      </c>
      <c r="C792" s="1" t="n">
        <v>45970</v>
      </c>
      <c r="D792" t="inlineStr">
        <is>
          <t>UPPSALA LÄN</t>
        </is>
      </c>
      <c r="E792" t="inlineStr">
        <is>
          <t>UPPSALA</t>
        </is>
      </c>
      <c r="G792" t="n">
        <v>6.2</v>
      </c>
      <c r="H792" t="n">
        <v>0</v>
      </c>
      <c r="I792" t="n">
        <v>0</v>
      </c>
      <c r="J792" t="n">
        <v>0</v>
      </c>
      <c r="K792" t="n">
        <v>0</v>
      </c>
      <c r="L792" t="n">
        <v>0</v>
      </c>
      <c r="M792" t="n">
        <v>0</v>
      </c>
      <c r="N792" t="n">
        <v>0</v>
      </c>
      <c r="O792" t="n">
        <v>0</v>
      </c>
      <c r="P792" t="n">
        <v>0</v>
      </c>
      <c r="Q792" t="n">
        <v>0</v>
      </c>
      <c r="R792" s="2" t="inlineStr"/>
    </row>
    <row r="793" ht="15" customHeight="1">
      <c r="A793" t="inlineStr">
        <is>
          <t>A 5725-2025</t>
        </is>
      </c>
      <c r="B793" s="1" t="n">
        <v>45694</v>
      </c>
      <c r="C793" s="1" t="n">
        <v>45970</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28871-2025</t>
        </is>
      </c>
      <c r="B794" s="1" t="n">
        <v>45820</v>
      </c>
      <c r="C794" s="1" t="n">
        <v>45970</v>
      </c>
      <c r="D794" t="inlineStr">
        <is>
          <t>UPPSALA LÄN</t>
        </is>
      </c>
      <c r="E794" t="inlineStr">
        <is>
          <t>UPPSALA</t>
        </is>
      </c>
      <c r="G794" t="n">
        <v>6.5</v>
      </c>
      <c r="H794" t="n">
        <v>0</v>
      </c>
      <c r="I794" t="n">
        <v>0</v>
      </c>
      <c r="J794" t="n">
        <v>0</v>
      </c>
      <c r="K794" t="n">
        <v>0</v>
      </c>
      <c r="L794" t="n">
        <v>0</v>
      </c>
      <c r="M794" t="n">
        <v>0</v>
      </c>
      <c r="N794" t="n">
        <v>0</v>
      </c>
      <c r="O794" t="n">
        <v>0</v>
      </c>
      <c r="P794" t="n">
        <v>0</v>
      </c>
      <c r="Q794" t="n">
        <v>0</v>
      </c>
      <c r="R794" s="2" t="inlineStr"/>
    </row>
    <row r="795" ht="15" customHeight="1">
      <c r="A795" t="inlineStr">
        <is>
          <t>A 28878-2025</t>
        </is>
      </c>
      <c r="B795" s="1" t="n">
        <v>45820</v>
      </c>
      <c r="C795" s="1" t="n">
        <v>45970</v>
      </c>
      <c r="D795" t="inlineStr">
        <is>
          <t>UPPSALA LÄN</t>
        </is>
      </c>
      <c r="E795" t="inlineStr">
        <is>
          <t>UPPSALA</t>
        </is>
      </c>
      <c r="G795" t="n">
        <v>5.5</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45970</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45970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45970</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52267-2025</t>
        </is>
      </c>
      <c r="B799" s="1" t="n">
        <v>45953.53460648148</v>
      </c>
      <c r="C799" s="1" t="n">
        <v>45970</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48564-2023</t>
        </is>
      </c>
      <c r="B800" s="1" t="n">
        <v>45208.4350462963</v>
      </c>
      <c r="C800" s="1" t="n">
        <v>45970</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52269-2025</t>
        </is>
      </c>
      <c r="B801" s="1" t="n">
        <v>45953.53765046296</v>
      </c>
      <c r="C801" s="1" t="n">
        <v>45970</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28876-2025</t>
        </is>
      </c>
      <c r="B802" s="1" t="n">
        <v>45820</v>
      </c>
      <c r="C802" s="1" t="n">
        <v>45970</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7501-2025</t>
        </is>
      </c>
      <c r="B803" s="1" t="n">
        <v>45705</v>
      </c>
      <c r="C803" s="1" t="n">
        <v>45970</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42273-2023</t>
        </is>
      </c>
      <c r="B804" s="1" t="n">
        <v>45180.40255787037</v>
      </c>
      <c r="C804" s="1" t="n">
        <v>45970</v>
      </c>
      <c r="D804" t="inlineStr">
        <is>
          <t>UPPSALA LÄN</t>
        </is>
      </c>
      <c r="E804" t="inlineStr">
        <is>
          <t>UPPSALA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52523-2025</t>
        </is>
      </c>
      <c r="B805" s="1" t="n">
        <v>45954.528125</v>
      </c>
      <c r="C805" s="1" t="n">
        <v>45970</v>
      </c>
      <c r="D805" t="inlineStr">
        <is>
          <t>UPPSALA LÄN</t>
        </is>
      </c>
      <c r="E805" t="inlineStr">
        <is>
          <t>UPPSALA</t>
        </is>
      </c>
      <c r="G805" t="n">
        <v>1.8</v>
      </c>
      <c r="H805" t="n">
        <v>0</v>
      </c>
      <c r="I805" t="n">
        <v>0</v>
      </c>
      <c r="J805" t="n">
        <v>0</v>
      </c>
      <c r="K805" t="n">
        <v>0</v>
      </c>
      <c r="L805" t="n">
        <v>0</v>
      </c>
      <c r="M805" t="n">
        <v>0</v>
      </c>
      <c r="N805" t="n">
        <v>0</v>
      </c>
      <c r="O805" t="n">
        <v>0</v>
      </c>
      <c r="P805" t="n">
        <v>0</v>
      </c>
      <c r="Q805" t="n">
        <v>0</v>
      </c>
      <c r="R805" s="2" t="inlineStr"/>
    </row>
    <row r="806" ht="15" customHeight="1">
      <c r="A806" t="inlineStr">
        <is>
          <t>A 8877-2022</t>
        </is>
      </c>
      <c r="B806" s="1" t="n">
        <v>44614.59027777778</v>
      </c>
      <c r="C806" s="1" t="n">
        <v>45970</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29047-2025</t>
        </is>
      </c>
      <c r="B807" s="1" t="n">
        <v>45821.45905092593</v>
      </c>
      <c r="C807" s="1" t="n">
        <v>45970</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45970</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51275-2025</t>
        </is>
      </c>
      <c r="B809" s="1" t="n">
        <v>45949</v>
      </c>
      <c r="C809" s="1" t="n">
        <v>45970</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29030-2025</t>
        </is>
      </c>
      <c r="B810" s="1" t="n">
        <v>45821.44101851852</v>
      </c>
      <c r="C810" s="1" t="n">
        <v>45970</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17562-2022</t>
        </is>
      </c>
      <c r="B811" s="1" t="n">
        <v>44679.68706018518</v>
      </c>
      <c r="C811" s="1" t="n">
        <v>45970</v>
      </c>
      <c r="D811" t="inlineStr">
        <is>
          <t>UPPSALA LÄN</t>
        </is>
      </c>
      <c r="E811" t="inlineStr">
        <is>
          <t>UPPSALA</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36123-2023</t>
        </is>
      </c>
      <c r="B812" s="1" t="n">
        <v>45149.56928240741</v>
      </c>
      <c r="C812" s="1" t="n">
        <v>45970</v>
      </c>
      <c r="D812" t="inlineStr">
        <is>
          <t>UPPSALA LÄN</t>
        </is>
      </c>
      <c r="E812" t="inlineStr">
        <is>
          <t>UPPSALA</t>
        </is>
      </c>
      <c r="F812" t="inlineStr">
        <is>
          <t>Allmännings- och besparingsskogar</t>
        </is>
      </c>
      <c r="G812" t="n">
        <v>4.2</v>
      </c>
      <c r="H812" t="n">
        <v>0</v>
      </c>
      <c r="I812" t="n">
        <v>0</v>
      </c>
      <c r="J812" t="n">
        <v>0</v>
      </c>
      <c r="K812" t="n">
        <v>0</v>
      </c>
      <c r="L812" t="n">
        <v>0</v>
      </c>
      <c r="M812" t="n">
        <v>0</v>
      </c>
      <c r="N812" t="n">
        <v>0</v>
      </c>
      <c r="O812" t="n">
        <v>0</v>
      </c>
      <c r="P812" t="n">
        <v>0</v>
      </c>
      <c r="Q812" t="n">
        <v>0</v>
      </c>
      <c r="R812" s="2" t="inlineStr"/>
    </row>
    <row r="813" ht="15" customHeight="1">
      <c r="A813" t="inlineStr">
        <is>
          <t>A 42543-2023</t>
        </is>
      </c>
      <c r="B813" s="1" t="n">
        <v>45181.36815972222</v>
      </c>
      <c r="C813" s="1" t="n">
        <v>45970</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45970</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4875-2021</t>
        </is>
      </c>
      <c r="B815" s="1" t="n">
        <v>44223</v>
      </c>
      <c r="C815" s="1" t="n">
        <v>45970</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44226-2025</t>
        </is>
      </c>
      <c r="B816" s="1" t="n">
        <v>45915.64064814815</v>
      </c>
      <c r="C816" s="1" t="n">
        <v>45970</v>
      </c>
      <c r="D816" t="inlineStr">
        <is>
          <t>UPPSALA LÄN</t>
        </is>
      </c>
      <c r="E816" t="inlineStr">
        <is>
          <t>UPPSALA</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29627-2025</t>
        </is>
      </c>
      <c r="B817" s="1" t="n">
        <v>45825.44482638889</v>
      </c>
      <c r="C817" s="1" t="n">
        <v>45970</v>
      </c>
      <c r="D817" t="inlineStr">
        <is>
          <t>UPPSALA LÄN</t>
        </is>
      </c>
      <c r="E817" t="inlineStr">
        <is>
          <t>UPPSALA</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43795-2023</t>
        </is>
      </c>
      <c r="B818" s="1" t="n">
        <v>45182</v>
      </c>
      <c r="C818" s="1" t="n">
        <v>45970</v>
      </c>
      <c r="D818" t="inlineStr">
        <is>
          <t>UPPSALA LÄN</t>
        </is>
      </c>
      <c r="E818" t="inlineStr">
        <is>
          <t>UPPSALA</t>
        </is>
      </c>
      <c r="G818" t="n">
        <v>4.7</v>
      </c>
      <c r="H818" t="n">
        <v>0</v>
      </c>
      <c r="I818" t="n">
        <v>0</v>
      </c>
      <c r="J818" t="n">
        <v>0</v>
      </c>
      <c r="K818" t="n">
        <v>0</v>
      </c>
      <c r="L818" t="n">
        <v>0</v>
      </c>
      <c r="M818" t="n">
        <v>0</v>
      </c>
      <c r="N818" t="n">
        <v>0</v>
      </c>
      <c r="O818" t="n">
        <v>0</v>
      </c>
      <c r="P818" t="n">
        <v>0</v>
      </c>
      <c r="Q818" t="n">
        <v>0</v>
      </c>
      <c r="R818" s="2" t="inlineStr"/>
    </row>
    <row r="819" ht="15" customHeight="1">
      <c r="A819" t="inlineStr">
        <is>
          <t>A 43818-2023</t>
        </is>
      </c>
      <c r="B819" s="1" t="n">
        <v>45182</v>
      </c>
      <c r="C819" s="1" t="n">
        <v>45970</v>
      </c>
      <c r="D819" t="inlineStr">
        <is>
          <t>UPPSALA LÄN</t>
        </is>
      </c>
      <c r="E819" t="inlineStr">
        <is>
          <t>UPPSALA</t>
        </is>
      </c>
      <c r="G819" t="n">
        <v>10.8</v>
      </c>
      <c r="H819" t="n">
        <v>0</v>
      </c>
      <c r="I819" t="n">
        <v>0</v>
      </c>
      <c r="J819" t="n">
        <v>0</v>
      </c>
      <c r="K819" t="n">
        <v>0</v>
      </c>
      <c r="L819" t="n">
        <v>0</v>
      </c>
      <c r="M819" t="n">
        <v>0</v>
      </c>
      <c r="N819" t="n">
        <v>0</v>
      </c>
      <c r="O819" t="n">
        <v>0</v>
      </c>
      <c r="P819" t="n">
        <v>0</v>
      </c>
      <c r="Q819" t="n">
        <v>0</v>
      </c>
      <c r="R819" s="2" t="inlineStr"/>
    </row>
    <row r="820" ht="15" customHeight="1">
      <c r="A820" t="inlineStr">
        <is>
          <t>A 30429-2025</t>
        </is>
      </c>
      <c r="B820" s="1" t="n">
        <v>45827.62096064815</v>
      </c>
      <c r="C820" s="1" t="n">
        <v>45970</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41422-2023</t>
        </is>
      </c>
      <c r="B821" s="1" t="n">
        <v>45175</v>
      </c>
      <c r="C821" s="1" t="n">
        <v>45970</v>
      </c>
      <c r="D821" t="inlineStr">
        <is>
          <t>UPPSALA LÄN</t>
        </is>
      </c>
      <c r="E821" t="inlineStr">
        <is>
          <t>UPPSALA</t>
        </is>
      </c>
      <c r="F821" t="inlineStr">
        <is>
          <t>Kyrkan</t>
        </is>
      </c>
      <c r="G821" t="n">
        <v>5.2</v>
      </c>
      <c r="H821" t="n">
        <v>0</v>
      </c>
      <c r="I821" t="n">
        <v>0</v>
      </c>
      <c r="J821" t="n">
        <v>0</v>
      </c>
      <c r="K821" t="n">
        <v>0</v>
      </c>
      <c r="L821" t="n">
        <v>0</v>
      </c>
      <c r="M821" t="n">
        <v>0</v>
      </c>
      <c r="N821" t="n">
        <v>0</v>
      </c>
      <c r="O821" t="n">
        <v>0</v>
      </c>
      <c r="P821" t="n">
        <v>0</v>
      </c>
      <c r="Q821" t="n">
        <v>0</v>
      </c>
      <c r="R821" s="2" t="inlineStr"/>
    </row>
    <row r="822" ht="15" customHeight="1">
      <c r="A822" t="inlineStr">
        <is>
          <t>A 30437-2025</t>
        </is>
      </c>
      <c r="B822" s="1" t="n">
        <v>45827.64092592592</v>
      </c>
      <c r="C822" s="1" t="n">
        <v>45970</v>
      </c>
      <c r="D822" t="inlineStr">
        <is>
          <t>UPPSALA LÄN</t>
        </is>
      </c>
      <c r="E822" t="inlineStr">
        <is>
          <t>UPPSALA</t>
        </is>
      </c>
      <c r="G822" t="n">
        <v>3.6</v>
      </c>
      <c r="H822" t="n">
        <v>0</v>
      </c>
      <c r="I822" t="n">
        <v>0</v>
      </c>
      <c r="J822" t="n">
        <v>0</v>
      </c>
      <c r="K822" t="n">
        <v>0</v>
      </c>
      <c r="L822" t="n">
        <v>0</v>
      </c>
      <c r="M822" t="n">
        <v>0</v>
      </c>
      <c r="N822" t="n">
        <v>0</v>
      </c>
      <c r="O822" t="n">
        <v>0</v>
      </c>
      <c r="P822" t="n">
        <v>0</v>
      </c>
      <c r="Q822" t="n">
        <v>0</v>
      </c>
      <c r="R822" s="2" t="inlineStr"/>
    </row>
    <row r="823" ht="15" customHeight="1">
      <c r="A823" t="inlineStr">
        <is>
          <t>A 30282-2025</t>
        </is>
      </c>
      <c r="B823" s="1" t="n">
        <v>45827.46288194445</v>
      </c>
      <c r="C823" s="1" t="n">
        <v>45970</v>
      </c>
      <c r="D823" t="inlineStr">
        <is>
          <t>UPPSALA LÄN</t>
        </is>
      </c>
      <c r="E823" t="inlineStr">
        <is>
          <t>UPPSALA</t>
        </is>
      </c>
      <c r="F823" t="inlineStr">
        <is>
          <t>Holmen skog AB</t>
        </is>
      </c>
      <c r="G823" t="n">
        <v>3.5</v>
      </c>
      <c r="H823" t="n">
        <v>0</v>
      </c>
      <c r="I823" t="n">
        <v>0</v>
      </c>
      <c r="J823" t="n">
        <v>0</v>
      </c>
      <c r="K823" t="n">
        <v>0</v>
      </c>
      <c r="L823" t="n">
        <v>0</v>
      </c>
      <c r="M823" t="n">
        <v>0</v>
      </c>
      <c r="N823" t="n">
        <v>0</v>
      </c>
      <c r="O823" t="n">
        <v>0</v>
      </c>
      <c r="P823" t="n">
        <v>0</v>
      </c>
      <c r="Q823" t="n">
        <v>0</v>
      </c>
      <c r="R823" s="2" t="inlineStr"/>
    </row>
    <row r="824" ht="15" customHeight="1">
      <c r="A824" t="inlineStr">
        <is>
          <t>A 6541-2025</t>
        </is>
      </c>
      <c r="B824" s="1" t="n">
        <v>45699</v>
      </c>
      <c r="C824" s="1" t="n">
        <v>45970</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30585-2025</t>
        </is>
      </c>
      <c r="B825" s="1" t="n">
        <v>45831.42616898148</v>
      </c>
      <c r="C825" s="1" t="n">
        <v>45970</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30839-2025</t>
        </is>
      </c>
      <c r="B826" s="1" t="n">
        <v>45831.73</v>
      </c>
      <c r="C826" s="1" t="n">
        <v>45970</v>
      </c>
      <c r="D826" t="inlineStr">
        <is>
          <t>UPPSALA LÄN</t>
        </is>
      </c>
      <c r="E826" t="inlineStr">
        <is>
          <t>UPPSALA</t>
        </is>
      </c>
      <c r="F826" t="inlineStr">
        <is>
          <t>Kyrkan</t>
        </is>
      </c>
      <c r="G826" t="n">
        <v>2.2</v>
      </c>
      <c r="H826" t="n">
        <v>0</v>
      </c>
      <c r="I826" t="n">
        <v>0</v>
      </c>
      <c r="J826" t="n">
        <v>0</v>
      </c>
      <c r="K826" t="n">
        <v>0</v>
      </c>
      <c r="L826" t="n">
        <v>0</v>
      </c>
      <c r="M826" t="n">
        <v>0</v>
      </c>
      <c r="N826" t="n">
        <v>0</v>
      </c>
      <c r="O826" t="n">
        <v>0</v>
      </c>
      <c r="P826" t="n">
        <v>0</v>
      </c>
      <c r="Q826" t="n">
        <v>0</v>
      </c>
      <c r="R826" s="2" t="inlineStr"/>
    </row>
    <row r="827" ht="15" customHeight="1">
      <c r="A827" t="inlineStr">
        <is>
          <t>A 36479-2023</t>
        </is>
      </c>
      <c r="B827" s="1" t="n">
        <v>45152</v>
      </c>
      <c r="C827" s="1" t="n">
        <v>45970</v>
      </c>
      <c r="D827" t="inlineStr">
        <is>
          <t>UPPSALA LÄN</t>
        </is>
      </c>
      <c r="E827" t="inlineStr">
        <is>
          <t>UPPSALA</t>
        </is>
      </c>
      <c r="F827" t="inlineStr">
        <is>
          <t>Allmännings- och besparingsskogar</t>
        </is>
      </c>
      <c r="G827" t="n">
        <v>3.4</v>
      </c>
      <c r="H827" t="n">
        <v>0</v>
      </c>
      <c r="I827" t="n">
        <v>0</v>
      </c>
      <c r="J827" t="n">
        <v>0</v>
      </c>
      <c r="K827" t="n">
        <v>0</v>
      </c>
      <c r="L827" t="n">
        <v>0</v>
      </c>
      <c r="M827" t="n">
        <v>0</v>
      </c>
      <c r="N827" t="n">
        <v>0</v>
      </c>
      <c r="O827" t="n">
        <v>0</v>
      </c>
      <c r="P827" t="n">
        <v>0</v>
      </c>
      <c r="Q827" t="n">
        <v>0</v>
      </c>
      <c r="R827" s="2" t="inlineStr"/>
    </row>
    <row r="828" ht="15" customHeight="1">
      <c r="A828" t="inlineStr">
        <is>
          <t>A 53161-2025</t>
        </is>
      </c>
      <c r="B828" s="1" t="n">
        <v>45958.49162037037</v>
      </c>
      <c r="C828" s="1" t="n">
        <v>45970</v>
      </c>
      <c r="D828" t="inlineStr">
        <is>
          <t>UPPSALA LÄN</t>
        </is>
      </c>
      <c r="E828" t="inlineStr">
        <is>
          <t>UPPSALA</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5729-2025</t>
        </is>
      </c>
      <c r="B829" s="1" t="n">
        <v>45694.49037037037</v>
      </c>
      <c r="C829" s="1" t="n">
        <v>45970</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52963-2025</t>
        </is>
      </c>
      <c r="B830" s="1" t="n">
        <v>45957.66506944445</v>
      </c>
      <c r="C830" s="1" t="n">
        <v>45970</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30898-2025</t>
        </is>
      </c>
      <c r="B831" s="1" t="n">
        <v>45832.35590277778</v>
      </c>
      <c r="C831" s="1" t="n">
        <v>45970</v>
      </c>
      <c r="D831" t="inlineStr">
        <is>
          <t>UPPSALA LÄN</t>
        </is>
      </c>
      <c r="E831" t="inlineStr">
        <is>
          <t>UPPSALA</t>
        </is>
      </c>
      <c r="F831" t="inlineStr">
        <is>
          <t>Kyrkan</t>
        </is>
      </c>
      <c r="G831" t="n">
        <v>2.8</v>
      </c>
      <c r="H831" t="n">
        <v>0</v>
      </c>
      <c r="I831" t="n">
        <v>0</v>
      </c>
      <c r="J831" t="n">
        <v>0</v>
      </c>
      <c r="K831" t="n">
        <v>0</v>
      </c>
      <c r="L831" t="n">
        <v>0</v>
      </c>
      <c r="M831" t="n">
        <v>0</v>
      </c>
      <c r="N831" t="n">
        <v>0</v>
      </c>
      <c r="O831" t="n">
        <v>0</v>
      </c>
      <c r="P831" t="n">
        <v>0</v>
      </c>
      <c r="Q831" t="n">
        <v>0</v>
      </c>
      <c r="R831" s="2" t="inlineStr"/>
    </row>
    <row r="832" ht="15" customHeight="1">
      <c r="A832" t="inlineStr">
        <is>
          <t>A 30567-2025</t>
        </is>
      </c>
      <c r="B832" s="1" t="n">
        <v>45831.40671296296</v>
      </c>
      <c r="C832" s="1" t="n">
        <v>45970</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20497-2022</t>
        </is>
      </c>
      <c r="B833" s="1" t="n">
        <v>44699</v>
      </c>
      <c r="C833" s="1" t="n">
        <v>45970</v>
      </c>
      <c r="D833" t="inlineStr">
        <is>
          <t>UPPSALA LÄN</t>
        </is>
      </c>
      <c r="E833" t="inlineStr">
        <is>
          <t>UPPSALA</t>
        </is>
      </c>
      <c r="F833" t="inlineStr">
        <is>
          <t>Övriga statliga verk och myndigheter</t>
        </is>
      </c>
      <c r="G833" t="n">
        <v>1</v>
      </c>
      <c r="H833" t="n">
        <v>0</v>
      </c>
      <c r="I833" t="n">
        <v>0</v>
      </c>
      <c r="J833" t="n">
        <v>0</v>
      </c>
      <c r="K833" t="n">
        <v>0</v>
      </c>
      <c r="L833" t="n">
        <v>0</v>
      </c>
      <c r="M833" t="n">
        <v>0</v>
      </c>
      <c r="N833" t="n">
        <v>0</v>
      </c>
      <c r="O833" t="n">
        <v>0</v>
      </c>
      <c r="P833" t="n">
        <v>0</v>
      </c>
      <c r="Q833" t="n">
        <v>0</v>
      </c>
      <c r="R833" s="2" t="inlineStr"/>
    </row>
    <row r="834" ht="15" customHeight="1">
      <c r="A834" t="inlineStr">
        <is>
          <t>A 30897-2025</t>
        </is>
      </c>
      <c r="B834" s="1" t="n">
        <v>45832.35545138889</v>
      </c>
      <c r="C834" s="1" t="n">
        <v>45970</v>
      </c>
      <c r="D834" t="inlineStr">
        <is>
          <t>UPPSALA LÄN</t>
        </is>
      </c>
      <c r="E834" t="inlineStr">
        <is>
          <t>UPPSALA</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53244-2025</t>
        </is>
      </c>
      <c r="B835" s="1" t="n">
        <v>45957</v>
      </c>
      <c r="C835" s="1" t="n">
        <v>45970</v>
      </c>
      <c r="D835" t="inlineStr">
        <is>
          <t>UPPSALA LÄN</t>
        </is>
      </c>
      <c r="E835" t="inlineStr">
        <is>
          <t>UPPSALA</t>
        </is>
      </c>
      <c r="G835" t="n">
        <v>2.6</v>
      </c>
      <c r="H835" t="n">
        <v>0</v>
      </c>
      <c r="I835" t="n">
        <v>0</v>
      </c>
      <c r="J835" t="n">
        <v>0</v>
      </c>
      <c r="K835" t="n">
        <v>0</v>
      </c>
      <c r="L835" t="n">
        <v>0</v>
      </c>
      <c r="M835" t="n">
        <v>0</v>
      </c>
      <c r="N835" t="n">
        <v>0</v>
      </c>
      <c r="O835" t="n">
        <v>0</v>
      </c>
      <c r="P835" t="n">
        <v>0</v>
      </c>
      <c r="Q835" t="n">
        <v>0</v>
      </c>
      <c r="R835" s="2" t="inlineStr"/>
    </row>
    <row r="836" ht="15" customHeight="1">
      <c r="A836" t="inlineStr">
        <is>
          <t>A 53248-2025</t>
        </is>
      </c>
      <c r="B836" s="1" t="n">
        <v>45958.6516087963</v>
      </c>
      <c r="C836" s="1" t="n">
        <v>45970</v>
      </c>
      <c r="D836" t="inlineStr">
        <is>
          <t>UPPSALA LÄN</t>
        </is>
      </c>
      <c r="E836" t="inlineStr">
        <is>
          <t>UPPSALA</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53228-2025</t>
        </is>
      </c>
      <c r="B837" s="1" t="n">
        <v>45958.61577546296</v>
      </c>
      <c r="C837" s="1" t="n">
        <v>45970</v>
      </c>
      <c r="D837" t="inlineStr">
        <is>
          <t>UPPSALA LÄN</t>
        </is>
      </c>
      <c r="E837" t="inlineStr">
        <is>
          <t>UPPSALA</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3955-2021</t>
        </is>
      </c>
      <c r="B838" s="1" t="n">
        <v>44222</v>
      </c>
      <c r="C838" s="1" t="n">
        <v>45970</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30838-2025</t>
        </is>
      </c>
      <c r="B839" s="1" t="n">
        <v>45831.72686342592</v>
      </c>
      <c r="C839" s="1" t="n">
        <v>45970</v>
      </c>
      <c r="D839" t="inlineStr">
        <is>
          <t>UPPSALA LÄN</t>
        </is>
      </c>
      <c r="E839" t="inlineStr">
        <is>
          <t>UPPSALA</t>
        </is>
      </c>
      <c r="F839" t="inlineStr">
        <is>
          <t>Kyrkan</t>
        </is>
      </c>
      <c r="G839" t="n">
        <v>2.2</v>
      </c>
      <c r="H839" t="n">
        <v>0</v>
      </c>
      <c r="I839" t="n">
        <v>0</v>
      </c>
      <c r="J839" t="n">
        <v>0</v>
      </c>
      <c r="K839" t="n">
        <v>0</v>
      </c>
      <c r="L839" t="n">
        <v>0</v>
      </c>
      <c r="M839" t="n">
        <v>0</v>
      </c>
      <c r="N839" t="n">
        <v>0</v>
      </c>
      <c r="O839" t="n">
        <v>0</v>
      </c>
      <c r="P839" t="n">
        <v>0</v>
      </c>
      <c r="Q839" t="n">
        <v>0</v>
      </c>
      <c r="R839" s="2" t="inlineStr"/>
    </row>
    <row r="840" ht="15" customHeight="1">
      <c r="A840" t="inlineStr">
        <is>
          <t>A 52503-2023</t>
        </is>
      </c>
      <c r="B840" s="1" t="n">
        <v>45225.46480324074</v>
      </c>
      <c r="C840" s="1" t="n">
        <v>45970</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33562-2023</t>
        </is>
      </c>
      <c r="B841" s="1" t="n">
        <v>45131</v>
      </c>
      <c r="C841" s="1" t="n">
        <v>45970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43903-2025</t>
        </is>
      </c>
      <c r="B842" s="1" t="n">
        <v>45913.39467592593</v>
      </c>
      <c r="C842" s="1" t="n">
        <v>45970</v>
      </c>
      <c r="D842" t="inlineStr">
        <is>
          <t>UPPSALA LÄN</t>
        </is>
      </c>
      <c r="E842" t="inlineStr">
        <is>
          <t>UPPSALA</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44385-2025</t>
        </is>
      </c>
      <c r="B843" s="1" t="n">
        <v>45916.48704861111</v>
      </c>
      <c r="C843" s="1" t="n">
        <v>45970</v>
      </c>
      <c r="D843" t="inlineStr">
        <is>
          <t>UPPSALA LÄN</t>
        </is>
      </c>
      <c r="E843" t="inlineStr">
        <is>
          <t>UPPSALA</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53235-2025</t>
        </is>
      </c>
      <c r="B844" s="1" t="n">
        <v>45958.62983796297</v>
      </c>
      <c r="C844" s="1" t="n">
        <v>45970</v>
      </c>
      <c r="D844" t="inlineStr">
        <is>
          <t>UPPSALA LÄN</t>
        </is>
      </c>
      <c r="E844" t="inlineStr">
        <is>
          <t>UPPSALA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53234-2025</t>
        </is>
      </c>
      <c r="B845" s="1" t="n">
        <v>45958.62765046296</v>
      </c>
      <c r="C845" s="1" t="n">
        <v>45970</v>
      </c>
      <c r="D845" t="inlineStr">
        <is>
          <t>UPPSALA LÄN</t>
        </is>
      </c>
      <c r="E845" t="inlineStr">
        <is>
          <t>UPPSALA</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53242-2025</t>
        </is>
      </c>
      <c r="B846" s="1" t="n">
        <v>45958.64146990741</v>
      </c>
      <c r="C846" s="1" t="n">
        <v>45970</v>
      </c>
      <c r="D846" t="inlineStr">
        <is>
          <t>UPPSALA LÄN</t>
        </is>
      </c>
      <c r="E846" t="inlineStr">
        <is>
          <t>UPPSALA</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53224-2025</t>
        </is>
      </c>
      <c r="B847" s="1" t="n">
        <v>45958.60826388889</v>
      </c>
      <c r="C847" s="1" t="n">
        <v>45970</v>
      </c>
      <c r="D847" t="inlineStr">
        <is>
          <t>UPPSALA LÄN</t>
        </is>
      </c>
      <c r="E847" t="inlineStr">
        <is>
          <t>UPPSALA</t>
        </is>
      </c>
      <c r="F847" t="inlineStr">
        <is>
          <t>Bergvik skog väst AB</t>
        </is>
      </c>
      <c r="G847" t="n">
        <v>3.7</v>
      </c>
      <c r="H847" t="n">
        <v>0</v>
      </c>
      <c r="I847" t="n">
        <v>0</v>
      </c>
      <c r="J847" t="n">
        <v>0</v>
      </c>
      <c r="K847" t="n">
        <v>0</v>
      </c>
      <c r="L847" t="n">
        <v>0</v>
      </c>
      <c r="M847" t="n">
        <v>0</v>
      </c>
      <c r="N847" t="n">
        <v>0</v>
      </c>
      <c r="O847" t="n">
        <v>0</v>
      </c>
      <c r="P847" t="n">
        <v>0</v>
      </c>
      <c r="Q847" t="n">
        <v>0</v>
      </c>
      <c r="R847" s="2" t="inlineStr"/>
    </row>
    <row r="848" ht="15" customHeight="1">
      <c r="A848" t="inlineStr">
        <is>
          <t>A 49098-2025</t>
        </is>
      </c>
      <c r="B848" s="1" t="n">
        <v>45937</v>
      </c>
      <c r="C848" s="1" t="n">
        <v>45970</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53021-2025</t>
        </is>
      </c>
      <c r="B849" s="1" t="n">
        <v>45957.95233796296</v>
      </c>
      <c r="C849" s="1" t="n">
        <v>45970</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53062-2025</t>
        </is>
      </c>
      <c r="B850" s="1" t="n">
        <v>45958.37273148148</v>
      </c>
      <c r="C850" s="1" t="n">
        <v>45970</v>
      </c>
      <c r="D850" t="inlineStr">
        <is>
          <t>UPPSALA LÄN</t>
        </is>
      </c>
      <c r="E850" t="inlineStr">
        <is>
          <t>UPPSALA</t>
        </is>
      </c>
      <c r="G850" t="n">
        <v>2.1</v>
      </c>
      <c r="H850" t="n">
        <v>0</v>
      </c>
      <c r="I850" t="n">
        <v>0</v>
      </c>
      <c r="J850" t="n">
        <v>0</v>
      </c>
      <c r="K850" t="n">
        <v>0</v>
      </c>
      <c r="L850" t="n">
        <v>0</v>
      </c>
      <c r="M850" t="n">
        <v>0</v>
      </c>
      <c r="N850" t="n">
        <v>0</v>
      </c>
      <c r="O850" t="n">
        <v>0</v>
      </c>
      <c r="P850" t="n">
        <v>0</v>
      </c>
      <c r="Q850" t="n">
        <v>0</v>
      </c>
      <c r="R850" s="2" t="inlineStr"/>
    </row>
    <row r="851" ht="15" customHeight="1">
      <c r="A851" t="inlineStr">
        <is>
          <t>A 53230-2025</t>
        </is>
      </c>
      <c r="B851" s="1" t="n">
        <v>45958.62303240741</v>
      </c>
      <c r="C851" s="1" t="n">
        <v>45970</v>
      </c>
      <c r="D851" t="inlineStr">
        <is>
          <t>UPPSALA LÄN</t>
        </is>
      </c>
      <c r="E851" t="inlineStr">
        <is>
          <t>UPPSALA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53206-2025</t>
        </is>
      </c>
      <c r="B852" s="1" t="n">
        <v>45958.58711805556</v>
      </c>
      <c r="C852" s="1" t="n">
        <v>45970</v>
      </c>
      <c r="D852" t="inlineStr">
        <is>
          <t>UPPSALA LÄN</t>
        </is>
      </c>
      <c r="E852" t="inlineStr">
        <is>
          <t>UPPSALA</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53238-2025</t>
        </is>
      </c>
      <c r="B853" s="1" t="n">
        <v>45958.63368055555</v>
      </c>
      <c r="C853" s="1" t="n">
        <v>45970</v>
      </c>
      <c r="D853" t="inlineStr">
        <is>
          <t>UPPSALA LÄN</t>
        </is>
      </c>
      <c r="E853" t="inlineStr">
        <is>
          <t>UPPSALA</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44470-2025</t>
        </is>
      </c>
      <c r="B854" s="1" t="n">
        <v>45916</v>
      </c>
      <c r="C854" s="1" t="n">
        <v>45970</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60447-2023</t>
        </is>
      </c>
      <c r="B855" s="1" t="n">
        <v>45259</v>
      </c>
      <c r="C855" s="1" t="n">
        <v>45970</v>
      </c>
      <c r="D855" t="inlineStr">
        <is>
          <t>UPPSALA LÄN</t>
        </is>
      </c>
      <c r="E855" t="inlineStr">
        <is>
          <t>UPPSALA</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50103-2025</t>
        </is>
      </c>
      <c r="B856" s="1" t="n">
        <v>45943.53451388889</v>
      </c>
      <c r="C856" s="1" t="n">
        <v>45970</v>
      </c>
      <c r="D856" t="inlineStr">
        <is>
          <t>UPPSALA LÄN</t>
        </is>
      </c>
      <c r="E856" t="inlineStr">
        <is>
          <t>UPPSALA</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30583-2025</t>
        </is>
      </c>
      <c r="B857" s="1" t="n">
        <v>45831.42365740741</v>
      </c>
      <c r="C857" s="1" t="n">
        <v>45970</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53582-2025</t>
        </is>
      </c>
      <c r="B858" s="1" t="n">
        <v>45960.43065972222</v>
      </c>
      <c r="C858" s="1" t="n">
        <v>45970</v>
      </c>
      <c r="D858" t="inlineStr">
        <is>
          <t>UPPSALA LÄN</t>
        </is>
      </c>
      <c r="E858" t="inlineStr">
        <is>
          <t>UPPSALA</t>
        </is>
      </c>
      <c r="G858" t="n">
        <v>12.2</v>
      </c>
      <c r="H858" t="n">
        <v>0</v>
      </c>
      <c r="I858" t="n">
        <v>0</v>
      </c>
      <c r="J858" t="n">
        <v>0</v>
      </c>
      <c r="K858" t="n">
        <v>0</v>
      </c>
      <c r="L858" t="n">
        <v>0</v>
      </c>
      <c r="M858" t="n">
        <v>0</v>
      </c>
      <c r="N858" t="n">
        <v>0</v>
      </c>
      <c r="O858" t="n">
        <v>0</v>
      </c>
      <c r="P858" t="n">
        <v>0</v>
      </c>
      <c r="Q858" t="n">
        <v>0</v>
      </c>
      <c r="R858" s="2" t="inlineStr"/>
    </row>
    <row r="859" ht="15" customHeight="1">
      <c r="A859" t="inlineStr">
        <is>
          <t>A 54783-2023</t>
        </is>
      </c>
      <c r="B859" s="1" t="n">
        <v>45236.47697916667</v>
      </c>
      <c r="C859" s="1" t="n">
        <v>45970</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32252-2025</t>
        </is>
      </c>
      <c r="B860" s="1" t="n">
        <v>45835.62752314815</v>
      </c>
      <c r="C860" s="1" t="n">
        <v>45970</v>
      </c>
      <c r="D860" t="inlineStr">
        <is>
          <t>UPPSALA LÄN</t>
        </is>
      </c>
      <c r="E860" t="inlineStr">
        <is>
          <t>UPPSALA</t>
        </is>
      </c>
      <c r="F860" t="inlineStr">
        <is>
          <t>Kyrkan</t>
        </is>
      </c>
      <c r="G860" t="n">
        <v>3.8</v>
      </c>
      <c r="H860" t="n">
        <v>0</v>
      </c>
      <c r="I860" t="n">
        <v>0</v>
      </c>
      <c r="J860" t="n">
        <v>0</v>
      </c>
      <c r="K860" t="n">
        <v>0</v>
      </c>
      <c r="L860" t="n">
        <v>0</v>
      </c>
      <c r="M860" t="n">
        <v>0</v>
      </c>
      <c r="N860" t="n">
        <v>0</v>
      </c>
      <c r="O860" t="n">
        <v>0</v>
      </c>
      <c r="P860" t="n">
        <v>0</v>
      </c>
      <c r="Q860" t="n">
        <v>0</v>
      </c>
      <c r="R860" s="2" t="inlineStr"/>
    </row>
    <row r="861" ht="15" customHeight="1">
      <c r="A861" t="inlineStr">
        <is>
          <t>A 600-2024</t>
        </is>
      </c>
      <c r="B861" s="1" t="n">
        <v>45299</v>
      </c>
      <c r="C861" s="1" t="n">
        <v>45970</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62287-2023</t>
        </is>
      </c>
      <c r="B862" s="1" t="n">
        <v>45267</v>
      </c>
      <c r="C862" s="1" t="n">
        <v>45970</v>
      </c>
      <c r="D862" t="inlineStr">
        <is>
          <t>UPPSALA LÄN</t>
        </is>
      </c>
      <c r="E862" t="inlineStr">
        <is>
          <t>UPPSALA</t>
        </is>
      </c>
      <c r="F862" t="inlineStr">
        <is>
          <t>Allmännings- och besparingsskogar</t>
        </is>
      </c>
      <c r="G862" t="n">
        <v>2.8</v>
      </c>
      <c r="H862" t="n">
        <v>0</v>
      </c>
      <c r="I862" t="n">
        <v>0</v>
      </c>
      <c r="J862" t="n">
        <v>0</v>
      </c>
      <c r="K862" t="n">
        <v>0</v>
      </c>
      <c r="L862" t="n">
        <v>0</v>
      </c>
      <c r="M862" t="n">
        <v>0</v>
      </c>
      <c r="N862" t="n">
        <v>0</v>
      </c>
      <c r="O862" t="n">
        <v>0</v>
      </c>
      <c r="P862" t="n">
        <v>0</v>
      </c>
      <c r="Q862" t="n">
        <v>0</v>
      </c>
      <c r="R862" s="2" t="inlineStr"/>
    </row>
    <row r="863" ht="15" customHeight="1">
      <c r="A863" t="inlineStr">
        <is>
          <t>A 54808-2023</t>
        </is>
      </c>
      <c r="B863" s="1" t="n">
        <v>45236</v>
      </c>
      <c r="C863" s="1" t="n">
        <v>45970</v>
      </c>
      <c r="D863" t="inlineStr">
        <is>
          <t>UPPSALA LÄN</t>
        </is>
      </c>
      <c r="E863" t="inlineStr">
        <is>
          <t>UPPSALA</t>
        </is>
      </c>
      <c r="G863" t="n">
        <v>4.1</v>
      </c>
      <c r="H863" t="n">
        <v>0</v>
      </c>
      <c r="I863" t="n">
        <v>0</v>
      </c>
      <c r="J863" t="n">
        <v>0</v>
      </c>
      <c r="K863" t="n">
        <v>0</v>
      </c>
      <c r="L863" t="n">
        <v>0</v>
      </c>
      <c r="M863" t="n">
        <v>0</v>
      </c>
      <c r="N863" t="n">
        <v>0</v>
      </c>
      <c r="O863" t="n">
        <v>0</v>
      </c>
      <c r="P863" t="n">
        <v>0</v>
      </c>
      <c r="Q863" t="n">
        <v>0</v>
      </c>
      <c r="R863" s="2" t="inlineStr"/>
    </row>
    <row r="864" ht="15" customHeight="1">
      <c r="A864" t="inlineStr">
        <is>
          <t>A 44813-2025</t>
        </is>
      </c>
      <c r="B864" s="1" t="n">
        <v>45918.37322916667</v>
      </c>
      <c r="C864" s="1" t="n">
        <v>45970</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32711-2025</t>
        </is>
      </c>
      <c r="B865" s="1" t="n">
        <v>45839</v>
      </c>
      <c r="C865" s="1" t="n">
        <v>45970</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c r="U865">
        <f>HYPERLINK("https://klasma.github.io/Logging_0380/knärot/A 32711-2025 karta knärot.png", "A 32711-2025")</f>
        <v/>
      </c>
      <c r="V865">
        <f>HYPERLINK("https://klasma.github.io/Logging_0380/klagomål/A 32711-2025 FSC-klagomål.docx", "A 32711-2025")</f>
        <v/>
      </c>
      <c r="W865">
        <f>HYPERLINK("https://klasma.github.io/Logging_0380/klagomålsmail/A 32711-2025 FSC-klagomål mail.docx", "A 32711-2025")</f>
        <v/>
      </c>
      <c r="X865">
        <f>HYPERLINK("https://klasma.github.io/Logging_0380/tillsyn/A 32711-2025 tillsynsbegäran.docx", "A 32711-2025")</f>
        <v/>
      </c>
      <c r="Y865">
        <f>HYPERLINK("https://klasma.github.io/Logging_0380/tillsynsmail/A 32711-2025 tillsynsbegäran mail.docx", "A 32711-2025")</f>
        <v/>
      </c>
    </row>
    <row r="866" ht="15" customHeight="1">
      <c r="A866" t="inlineStr">
        <is>
          <t>A 53322-2025</t>
        </is>
      </c>
      <c r="B866" s="1" t="n">
        <v>45959.35965277778</v>
      </c>
      <c r="C866" s="1" t="n">
        <v>45970</v>
      </c>
      <c r="D866" t="inlineStr">
        <is>
          <t>UPPSALA LÄN</t>
        </is>
      </c>
      <c r="E866" t="inlineStr">
        <is>
          <t>UPPSALA</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53324-2025</t>
        </is>
      </c>
      <c r="B867" s="1" t="n">
        <v>45959.36146990741</v>
      </c>
      <c r="C867" s="1" t="n">
        <v>45970</v>
      </c>
      <c r="D867" t="inlineStr">
        <is>
          <t>UPPSALA LÄN</t>
        </is>
      </c>
      <c r="E867" t="inlineStr">
        <is>
          <t>UPPSALA</t>
        </is>
      </c>
      <c r="F867" t="inlineStr">
        <is>
          <t>Bergvik skog öst AB</t>
        </is>
      </c>
      <c r="G867" t="n">
        <v>1.2</v>
      </c>
      <c r="H867" t="n">
        <v>0</v>
      </c>
      <c r="I867" t="n">
        <v>0</v>
      </c>
      <c r="J867" t="n">
        <v>0</v>
      </c>
      <c r="K867" t="n">
        <v>0</v>
      </c>
      <c r="L867" t="n">
        <v>0</v>
      </c>
      <c r="M867" t="n">
        <v>0</v>
      </c>
      <c r="N867" t="n">
        <v>0</v>
      </c>
      <c r="O867" t="n">
        <v>0</v>
      </c>
      <c r="P867" t="n">
        <v>0</v>
      </c>
      <c r="Q867" t="n">
        <v>0</v>
      </c>
      <c r="R867" s="2" t="inlineStr"/>
    </row>
    <row r="868" ht="15" customHeight="1">
      <c r="A868" t="inlineStr">
        <is>
          <t>A 53423-2025</t>
        </is>
      </c>
      <c r="B868" s="1" t="n">
        <v>45959.60851851852</v>
      </c>
      <c r="C868" s="1" t="n">
        <v>45970</v>
      </c>
      <c r="D868" t="inlineStr">
        <is>
          <t>UPPSALA LÄN</t>
        </is>
      </c>
      <c r="E868" t="inlineStr">
        <is>
          <t>UPPSALA</t>
        </is>
      </c>
      <c r="F868" t="inlineStr">
        <is>
          <t>Övriga Aktiebolag</t>
        </is>
      </c>
      <c r="G868" t="n">
        <v>23.6</v>
      </c>
      <c r="H868" t="n">
        <v>0</v>
      </c>
      <c r="I868" t="n">
        <v>0</v>
      </c>
      <c r="J868" t="n">
        <v>0</v>
      </c>
      <c r="K868" t="n">
        <v>0</v>
      </c>
      <c r="L868" t="n">
        <v>0</v>
      </c>
      <c r="M868" t="n">
        <v>0</v>
      </c>
      <c r="N868" t="n">
        <v>0</v>
      </c>
      <c r="O868" t="n">
        <v>0</v>
      </c>
      <c r="P868" t="n">
        <v>0</v>
      </c>
      <c r="Q868" t="n">
        <v>0</v>
      </c>
      <c r="R868" s="2" t="inlineStr"/>
    </row>
    <row r="869" ht="15" customHeight="1">
      <c r="A869" t="inlineStr">
        <is>
          <t>A 32923-2025</t>
        </is>
      </c>
      <c r="B869" s="1" t="n">
        <v>45839</v>
      </c>
      <c r="C869" s="1" t="n">
        <v>45970</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28958-2025</t>
        </is>
      </c>
      <c r="B870" s="1" t="n">
        <v>45821.31292824074</v>
      </c>
      <c r="C870" s="1" t="n">
        <v>45970</v>
      </c>
      <c r="D870" t="inlineStr">
        <is>
          <t>UPPSALA LÄN</t>
        </is>
      </c>
      <c r="E870" t="inlineStr">
        <is>
          <t>UPPSALA</t>
        </is>
      </c>
      <c r="G870" t="n">
        <v>4.6</v>
      </c>
      <c r="H870" t="n">
        <v>0</v>
      </c>
      <c r="I870" t="n">
        <v>0</v>
      </c>
      <c r="J870" t="n">
        <v>0</v>
      </c>
      <c r="K870" t="n">
        <v>0</v>
      </c>
      <c r="L870" t="n">
        <v>0</v>
      </c>
      <c r="M870" t="n">
        <v>0</v>
      </c>
      <c r="N870" t="n">
        <v>0</v>
      </c>
      <c r="O870" t="n">
        <v>0</v>
      </c>
      <c r="P870" t="n">
        <v>0</v>
      </c>
      <c r="Q870" t="n">
        <v>0</v>
      </c>
      <c r="R870" s="2" t="inlineStr"/>
    </row>
    <row r="871" ht="15" customHeight="1">
      <c r="A871" t="inlineStr">
        <is>
          <t>A 33272-2025</t>
        </is>
      </c>
      <c r="B871" s="1" t="n">
        <v>45840.68518518518</v>
      </c>
      <c r="C871" s="1" t="n">
        <v>45970</v>
      </c>
      <c r="D871" t="inlineStr">
        <is>
          <t>UPPSALA LÄN</t>
        </is>
      </c>
      <c r="E871" t="inlineStr">
        <is>
          <t>UPPSALA</t>
        </is>
      </c>
      <c r="G871" t="n">
        <v>4.7</v>
      </c>
      <c r="H871" t="n">
        <v>0</v>
      </c>
      <c r="I871" t="n">
        <v>0</v>
      </c>
      <c r="J871" t="n">
        <v>0</v>
      </c>
      <c r="K871" t="n">
        <v>0</v>
      </c>
      <c r="L871" t="n">
        <v>0</v>
      </c>
      <c r="M871" t="n">
        <v>0</v>
      </c>
      <c r="N871" t="n">
        <v>0</v>
      </c>
      <c r="O871" t="n">
        <v>0</v>
      </c>
      <c r="P871" t="n">
        <v>0</v>
      </c>
      <c r="Q871" t="n">
        <v>0</v>
      </c>
      <c r="R871" s="2" t="inlineStr"/>
    </row>
    <row r="872" ht="15" customHeight="1">
      <c r="A872" t="inlineStr">
        <is>
          <t>A 33261-2025</t>
        </is>
      </c>
      <c r="B872" s="1" t="n">
        <v>45840</v>
      </c>
      <c r="C872" s="1" t="n">
        <v>45970</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9984-2025</t>
        </is>
      </c>
      <c r="B873" s="1" t="n">
        <v>45719.42197916667</v>
      </c>
      <c r="C873" s="1" t="n">
        <v>45970</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9991-2025</t>
        </is>
      </c>
      <c r="B874" s="1" t="n">
        <v>45719.43646990741</v>
      </c>
      <c r="C874" s="1" t="n">
        <v>45970</v>
      </c>
      <c r="D874" t="inlineStr">
        <is>
          <t>UPPSALA LÄN</t>
        </is>
      </c>
      <c r="E874" t="inlineStr">
        <is>
          <t>UPPSALA</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33571-2025</t>
        </is>
      </c>
      <c r="B875" s="1" t="n">
        <v>45841.5847337963</v>
      </c>
      <c r="C875" s="1" t="n">
        <v>45970</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53589-2025</t>
        </is>
      </c>
      <c r="B876" s="1" t="n">
        <v>45960.43780092592</v>
      </c>
      <c r="C876" s="1" t="n">
        <v>45970</v>
      </c>
      <c r="D876" t="inlineStr">
        <is>
          <t>UPPSALA LÄN</t>
        </is>
      </c>
      <c r="E876" t="inlineStr">
        <is>
          <t>UPPSALA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33964-2025</t>
        </is>
      </c>
      <c r="B877" s="1" t="n">
        <v>45842.74049768518</v>
      </c>
      <c r="C877" s="1" t="n">
        <v>45970</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35542-2022</t>
        </is>
      </c>
      <c r="B878" s="1" t="n">
        <v>44799.36695601852</v>
      </c>
      <c r="C878" s="1" t="n">
        <v>45970</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3314-2025</t>
        </is>
      </c>
      <c r="B879" s="1" t="n">
        <v>45679</v>
      </c>
      <c r="C879" s="1" t="n">
        <v>45970</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59585-2023</t>
        </is>
      </c>
      <c r="B880" s="1" t="n">
        <v>45254</v>
      </c>
      <c r="C880" s="1" t="n">
        <v>45970</v>
      </c>
      <c r="D880" t="inlineStr">
        <is>
          <t>UPPSALA LÄN</t>
        </is>
      </c>
      <c r="E880" t="inlineStr">
        <is>
          <t>UPPSALA</t>
        </is>
      </c>
      <c r="G880" t="n">
        <v>4.4</v>
      </c>
      <c r="H880" t="n">
        <v>0</v>
      </c>
      <c r="I880" t="n">
        <v>0</v>
      </c>
      <c r="J880" t="n">
        <v>0</v>
      </c>
      <c r="K880" t="n">
        <v>0</v>
      </c>
      <c r="L880" t="n">
        <v>0</v>
      </c>
      <c r="M880" t="n">
        <v>0</v>
      </c>
      <c r="N880" t="n">
        <v>0</v>
      </c>
      <c r="O880" t="n">
        <v>0</v>
      </c>
      <c r="P880" t="n">
        <v>0</v>
      </c>
      <c r="Q880" t="n">
        <v>0</v>
      </c>
      <c r="R880" s="2" t="inlineStr"/>
    </row>
    <row r="881" ht="15" customHeight="1">
      <c r="A881" t="inlineStr">
        <is>
          <t>A 3813-2024</t>
        </is>
      </c>
      <c r="B881" s="1" t="n">
        <v>45321</v>
      </c>
      <c r="C881" s="1" t="n">
        <v>45970</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18625-2025</t>
        </is>
      </c>
      <c r="B882" s="1" t="n">
        <v>45763.52744212963</v>
      </c>
      <c r="C882" s="1" t="n">
        <v>45970</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36478-2023</t>
        </is>
      </c>
      <c r="B883" s="1" t="n">
        <v>45152</v>
      </c>
      <c r="C883" s="1" t="n">
        <v>45970</v>
      </c>
      <c r="D883" t="inlineStr">
        <is>
          <t>UPPSALA LÄN</t>
        </is>
      </c>
      <c r="E883" t="inlineStr">
        <is>
          <t>UPPSALA</t>
        </is>
      </c>
      <c r="F883" t="inlineStr">
        <is>
          <t>Allmännings- och besparingsskogar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3260-2024</t>
        </is>
      </c>
      <c r="B884" s="1" t="n">
        <v>45317</v>
      </c>
      <c r="C884" s="1" t="n">
        <v>45970</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9611-2024</t>
        </is>
      </c>
      <c r="B885" s="1" t="n">
        <v>45361.57299768519</v>
      </c>
      <c r="C885" s="1" t="n">
        <v>45970</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45405-2025</t>
        </is>
      </c>
      <c r="B886" s="1" t="n">
        <v>45922.42865740741</v>
      </c>
      <c r="C886" s="1" t="n">
        <v>45970</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53886-2025</t>
        </is>
      </c>
      <c r="B887" s="1" t="n">
        <v>45961.40716435185</v>
      </c>
      <c r="C887" s="1" t="n">
        <v>45970</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34132-2025</t>
        </is>
      </c>
      <c r="B888" s="1" t="n">
        <v>45845.53202546296</v>
      </c>
      <c r="C888" s="1" t="n">
        <v>45970</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53891-2025</t>
        </is>
      </c>
      <c r="B889" s="1" t="n">
        <v>45961.41853009259</v>
      </c>
      <c r="C889" s="1" t="n">
        <v>45970</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39107-2023</t>
        </is>
      </c>
      <c r="B890" s="1" t="n">
        <v>45164.82913194445</v>
      </c>
      <c r="C890" s="1" t="n">
        <v>45970</v>
      </c>
      <c r="D890" t="inlineStr">
        <is>
          <t>UPPSALA LÄN</t>
        </is>
      </c>
      <c r="E890" t="inlineStr">
        <is>
          <t>UPPSALA</t>
        </is>
      </c>
      <c r="F890" t="inlineStr">
        <is>
          <t>Bergvik skog öst AB</t>
        </is>
      </c>
      <c r="G890" t="n">
        <v>1</v>
      </c>
      <c r="H890" t="n">
        <v>0</v>
      </c>
      <c r="I890" t="n">
        <v>0</v>
      </c>
      <c r="J890" t="n">
        <v>0</v>
      </c>
      <c r="K890" t="n">
        <v>0</v>
      </c>
      <c r="L890" t="n">
        <v>0</v>
      </c>
      <c r="M890" t="n">
        <v>0</v>
      </c>
      <c r="N890" t="n">
        <v>0</v>
      </c>
      <c r="O890" t="n">
        <v>0</v>
      </c>
      <c r="P890" t="n">
        <v>0</v>
      </c>
      <c r="Q890" t="n">
        <v>0</v>
      </c>
      <c r="R890" s="2" t="inlineStr"/>
    </row>
    <row r="891" ht="15" customHeight="1">
      <c r="A891" t="inlineStr">
        <is>
          <t>A 8109-2024</t>
        </is>
      </c>
      <c r="B891" s="1" t="n">
        <v>45351.48662037037</v>
      </c>
      <c r="C891" s="1" t="n">
        <v>45970</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554-2023</t>
        </is>
      </c>
      <c r="B892" s="1" t="n">
        <v>44930</v>
      </c>
      <c r="C892" s="1" t="n">
        <v>45970</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2357-2024</t>
        </is>
      </c>
      <c r="B893" s="1" t="n">
        <v>45310</v>
      </c>
      <c r="C893" s="1" t="n">
        <v>45970</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35014-2025</t>
        </is>
      </c>
      <c r="B894" s="1" t="n">
        <v>45851.60097222222</v>
      </c>
      <c r="C894" s="1" t="n">
        <v>45970</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44781-2021</t>
        </is>
      </c>
      <c r="B895" s="1" t="n">
        <v>44438</v>
      </c>
      <c r="C895" s="1" t="n">
        <v>45970</v>
      </c>
      <c r="D895" t="inlineStr">
        <is>
          <t>UPPSALA LÄN</t>
        </is>
      </c>
      <c r="E895" t="inlineStr">
        <is>
          <t>UPPSALA</t>
        </is>
      </c>
      <c r="F895" t="inlineStr">
        <is>
          <t>Sveaskog</t>
        </is>
      </c>
      <c r="G895" t="n">
        <v>0.1</v>
      </c>
      <c r="H895" t="n">
        <v>0</v>
      </c>
      <c r="I895" t="n">
        <v>0</v>
      </c>
      <c r="J895" t="n">
        <v>0</v>
      </c>
      <c r="K895" t="n">
        <v>0</v>
      </c>
      <c r="L895" t="n">
        <v>0</v>
      </c>
      <c r="M895" t="n">
        <v>0</v>
      </c>
      <c r="N895" t="n">
        <v>0</v>
      </c>
      <c r="O895" t="n">
        <v>0</v>
      </c>
      <c r="P895" t="n">
        <v>0</v>
      </c>
      <c r="Q895" t="n">
        <v>0</v>
      </c>
      <c r="R895" s="2" t="inlineStr"/>
    </row>
    <row r="896" ht="15" customHeight="1">
      <c r="A896" t="inlineStr">
        <is>
          <t>A 35015-2025</t>
        </is>
      </c>
      <c r="B896" s="1" t="n">
        <v>45851.62018518519</v>
      </c>
      <c r="C896" s="1" t="n">
        <v>45970</v>
      </c>
      <c r="D896" t="inlineStr">
        <is>
          <t>UPPSALA LÄN</t>
        </is>
      </c>
      <c r="E896" t="inlineStr">
        <is>
          <t>UPPSALA</t>
        </is>
      </c>
      <c r="F896" t="inlineStr">
        <is>
          <t>Bergvik skog öst AB</t>
        </is>
      </c>
      <c r="G896" t="n">
        <v>0.3</v>
      </c>
      <c r="H896" t="n">
        <v>0</v>
      </c>
      <c r="I896" t="n">
        <v>0</v>
      </c>
      <c r="J896" t="n">
        <v>0</v>
      </c>
      <c r="K896" t="n">
        <v>0</v>
      </c>
      <c r="L896" t="n">
        <v>0</v>
      </c>
      <c r="M896" t="n">
        <v>0</v>
      </c>
      <c r="N896" t="n">
        <v>0</v>
      </c>
      <c r="O896" t="n">
        <v>0</v>
      </c>
      <c r="P896" t="n">
        <v>0</v>
      </c>
      <c r="Q896" t="n">
        <v>0</v>
      </c>
      <c r="R896" s="2" t="inlineStr"/>
    </row>
    <row r="897" ht="15" customHeight="1">
      <c r="A897" t="inlineStr">
        <is>
          <t>A 60820-2024</t>
        </is>
      </c>
      <c r="B897" s="1" t="n">
        <v>45644.62677083333</v>
      </c>
      <c r="C897" s="1" t="n">
        <v>45970</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18675-2024</t>
        </is>
      </c>
      <c r="B898" s="1" t="n">
        <v>45426</v>
      </c>
      <c r="C898" s="1" t="n">
        <v>45970</v>
      </c>
      <c r="D898" t="inlineStr">
        <is>
          <t>UPPSALA LÄN</t>
        </is>
      </c>
      <c r="E898" t="inlineStr">
        <is>
          <t>UPPSALA</t>
        </is>
      </c>
      <c r="G898" t="n">
        <v>8.1</v>
      </c>
      <c r="H898" t="n">
        <v>0</v>
      </c>
      <c r="I898" t="n">
        <v>0</v>
      </c>
      <c r="J898" t="n">
        <v>0</v>
      </c>
      <c r="K898" t="n">
        <v>0</v>
      </c>
      <c r="L898" t="n">
        <v>0</v>
      </c>
      <c r="M898" t="n">
        <v>0</v>
      </c>
      <c r="N898" t="n">
        <v>0</v>
      </c>
      <c r="O898" t="n">
        <v>0</v>
      </c>
      <c r="P898" t="n">
        <v>0</v>
      </c>
      <c r="Q898" t="n">
        <v>0</v>
      </c>
      <c r="R898" s="2" t="inlineStr"/>
    </row>
    <row r="899" ht="15" customHeight="1">
      <c r="A899" t="inlineStr">
        <is>
          <t>A 34893-2025</t>
        </is>
      </c>
      <c r="B899" s="1" t="n">
        <v>45849.49259259259</v>
      </c>
      <c r="C899" s="1" t="n">
        <v>45970</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53851-2025</t>
        </is>
      </c>
      <c r="B900" s="1" t="n">
        <v>45961.37217592593</v>
      </c>
      <c r="C900" s="1" t="n">
        <v>45970</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35148-2025</t>
        </is>
      </c>
      <c r="B901" s="1" t="n">
        <v>45852.67366898148</v>
      </c>
      <c r="C901" s="1" t="n">
        <v>45970</v>
      </c>
      <c r="D901" t="inlineStr">
        <is>
          <t>UPPSALA LÄN</t>
        </is>
      </c>
      <c r="E901" t="inlineStr">
        <is>
          <t>UPPSALA</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35056-2025</t>
        </is>
      </c>
      <c r="B902" s="1" t="n">
        <v>45852.39642361111</v>
      </c>
      <c r="C902" s="1" t="n">
        <v>45970</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54284-2025</t>
        </is>
      </c>
      <c r="B903" s="1" t="n">
        <v>45964.76486111111</v>
      </c>
      <c r="C903" s="1" t="n">
        <v>45970</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35053-2025</t>
        </is>
      </c>
      <c r="B904" s="1" t="n">
        <v>45852.36871527778</v>
      </c>
      <c r="C904" s="1" t="n">
        <v>45970</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35155-2025</t>
        </is>
      </c>
      <c r="B905" s="1" t="n">
        <v>45852.68978009259</v>
      </c>
      <c r="C905" s="1" t="n">
        <v>45970</v>
      </c>
      <c r="D905" t="inlineStr">
        <is>
          <t>UPPSALA LÄN</t>
        </is>
      </c>
      <c r="E905" t="inlineStr">
        <is>
          <t>UPPSALA</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35150-2025</t>
        </is>
      </c>
      <c r="B906" s="1" t="n">
        <v>45852</v>
      </c>
      <c r="C906" s="1" t="n">
        <v>45970</v>
      </c>
      <c r="D906" t="inlineStr">
        <is>
          <t>UPPSALA LÄN</t>
        </is>
      </c>
      <c r="E906" t="inlineStr">
        <is>
          <t>UPPSALA</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35167-2025</t>
        </is>
      </c>
      <c r="B907" s="1" t="n">
        <v>45852.72965277778</v>
      </c>
      <c r="C907" s="1" t="n">
        <v>45970</v>
      </c>
      <c r="D907" t="inlineStr">
        <is>
          <t>UPPSALA LÄN</t>
        </is>
      </c>
      <c r="E907" t="inlineStr">
        <is>
          <t>UPPSALA</t>
        </is>
      </c>
      <c r="F907" t="inlineStr">
        <is>
          <t>Holmen skog AB</t>
        </is>
      </c>
      <c r="G907" t="n">
        <v>10</v>
      </c>
      <c r="H907" t="n">
        <v>0</v>
      </c>
      <c r="I907" t="n">
        <v>0</v>
      </c>
      <c r="J907" t="n">
        <v>0</v>
      </c>
      <c r="K907" t="n">
        <v>0</v>
      </c>
      <c r="L907" t="n">
        <v>0</v>
      </c>
      <c r="M907" t="n">
        <v>0</v>
      </c>
      <c r="N907" t="n">
        <v>0</v>
      </c>
      <c r="O907" t="n">
        <v>0</v>
      </c>
      <c r="P907" t="n">
        <v>0</v>
      </c>
      <c r="Q907" t="n">
        <v>0</v>
      </c>
      <c r="R907" s="2" t="inlineStr"/>
    </row>
    <row r="908" ht="15" customHeight="1">
      <c r="A908" t="inlineStr">
        <is>
          <t>A 45447-2025</t>
        </is>
      </c>
      <c r="B908" s="1" t="n">
        <v>45922.48148148148</v>
      </c>
      <c r="C908" s="1" t="n">
        <v>45970</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c r="U908">
        <f>HYPERLINK("https://klasma.github.io/Logging_0380/knärot/A 45447-2025 karta knärot.png", "A 45447-2025")</f>
        <v/>
      </c>
      <c r="V908">
        <f>HYPERLINK("https://klasma.github.io/Logging_0380/klagomål/A 45447-2025 FSC-klagomål.docx", "A 45447-2025")</f>
        <v/>
      </c>
      <c r="W908">
        <f>HYPERLINK("https://klasma.github.io/Logging_0380/klagomålsmail/A 45447-2025 FSC-klagomål mail.docx", "A 45447-2025")</f>
        <v/>
      </c>
      <c r="X908">
        <f>HYPERLINK("https://klasma.github.io/Logging_0380/tillsyn/A 45447-2025 tillsynsbegäran.docx", "A 45447-2025")</f>
        <v/>
      </c>
      <c r="Y908">
        <f>HYPERLINK("https://klasma.github.io/Logging_0380/tillsynsmail/A 45447-2025 tillsynsbegäran mail.docx", "A 45447-2025")</f>
        <v/>
      </c>
    </row>
    <row r="909" ht="15" customHeight="1">
      <c r="A909" t="inlineStr">
        <is>
          <t>A 35305-2025</t>
        </is>
      </c>
      <c r="B909" s="1" t="n">
        <v>45854.44017361111</v>
      </c>
      <c r="C909" s="1" t="n">
        <v>45970</v>
      </c>
      <c r="D909" t="inlineStr">
        <is>
          <t>UPPSALA LÄN</t>
        </is>
      </c>
      <c r="E909" t="inlineStr">
        <is>
          <t>UPPSALA</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26323-2023</t>
        </is>
      </c>
      <c r="B910" s="1" t="n">
        <v>45091.69766203704</v>
      </c>
      <c r="C910" s="1" t="n">
        <v>45970</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16288-2025</t>
        </is>
      </c>
      <c r="B911" s="1" t="n">
        <v>45751.32001157408</v>
      </c>
      <c r="C911" s="1" t="n">
        <v>45970</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45436-2025</t>
        </is>
      </c>
      <c r="B912" s="1" t="n">
        <v>45922.46763888889</v>
      </c>
      <c r="C912" s="1" t="n">
        <v>45970</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35509-2025</t>
        </is>
      </c>
      <c r="B913" s="1" t="n">
        <v>45856.34959490741</v>
      </c>
      <c r="C913" s="1" t="n">
        <v>45970</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35510-2025</t>
        </is>
      </c>
      <c r="B914" s="1" t="n">
        <v>45856</v>
      </c>
      <c r="C914" s="1" t="n">
        <v>45970</v>
      </c>
      <c r="D914" t="inlineStr">
        <is>
          <t>UPPSALA LÄN</t>
        </is>
      </c>
      <c r="E914" t="inlineStr">
        <is>
          <t>UPPSALA</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v>
      </c>
      <c r="C915" s="1" t="n">
        <v>45970</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53870-2025</t>
        </is>
      </c>
      <c r="B916" s="1" t="n">
        <v>45961.38690972222</v>
      </c>
      <c r="C916" s="1" t="n">
        <v>45970</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35504-2025</t>
        </is>
      </c>
      <c r="B917" s="1" t="n">
        <v>45856.34034722222</v>
      </c>
      <c r="C917" s="1" t="n">
        <v>45970</v>
      </c>
      <c r="D917" t="inlineStr">
        <is>
          <t>UPPSALA LÄN</t>
        </is>
      </c>
      <c r="E917" t="inlineStr">
        <is>
          <t>UPPSALA</t>
        </is>
      </c>
      <c r="F917" t="inlineStr">
        <is>
          <t>Bergvik skog öst AB</t>
        </is>
      </c>
      <c r="G917" t="n">
        <v>6.7</v>
      </c>
      <c r="H917" t="n">
        <v>0</v>
      </c>
      <c r="I917" t="n">
        <v>0</v>
      </c>
      <c r="J917" t="n">
        <v>0</v>
      </c>
      <c r="K917" t="n">
        <v>0</v>
      </c>
      <c r="L917" t="n">
        <v>0</v>
      </c>
      <c r="M917" t="n">
        <v>0</v>
      </c>
      <c r="N917" t="n">
        <v>0</v>
      </c>
      <c r="O917" t="n">
        <v>0</v>
      </c>
      <c r="P917" t="n">
        <v>0</v>
      </c>
      <c r="Q917" t="n">
        <v>0</v>
      </c>
      <c r="R917" s="2" t="inlineStr"/>
    </row>
    <row r="918" ht="15" customHeight="1">
      <c r="A918" t="inlineStr">
        <is>
          <t>A 35505-2025</t>
        </is>
      </c>
      <c r="B918" s="1" t="n">
        <v>45856.34231481481</v>
      </c>
      <c r="C918" s="1" t="n">
        <v>45970</v>
      </c>
      <c r="D918" t="inlineStr">
        <is>
          <t>UPPSALA LÄN</t>
        </is>
      </c>
      <c r="E918" t="inlineStr">
        <is>
          <t>UPPSALA</t>
        </is>
      </c>
      <c r="F918" t="inlineStr">
        <is>
          <t>Bergvik skog öst AB</t>
        </is>
      </c>
      <c r="G918" t="n">
        <v>7.9</v>
      </c>
      <c r="H918" t="n">
        <v>0</v>
      </c>
      <c r="I918" t="n">
        <v>0</v>
      </c>
      <c r="J918" t="n">
        <v>0</v>
      </c>
      <c r="K918" t="n">
        <v>0</v>
      </c>
      <c r="L918" t="n">
        <v>0</v>
      </c>
      <c r="M918" t="n">
        <v>0</v>
      </c>
      <c r="N918" t="n">
        <v>0</v>
      </c>
      <c r="O918" t="n">
        <v>0</v>
      </c>
      <c r="P918" t="n">
        <v>0</v>
      </c>
      <c r="Q918" t="n">
        <v>0</v>
      </c>
      <c r="R918" s="2" t="inlineStr"/>
    </row>
    <row r="919" ht="15" customHeight="1">
      <c r="A919" t="inlineStr">
        <is>
          <t>A 5605-2025</t>
        </is>
      </c>
      <c r="B919" s="1" t="n">
        <v>45693</v>
      </c>
      <c r="C919" s="1" t="n">
        <v>45970</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32475-2025</t>
        </is>
      </c>
      <c r="B920" s="1" t="n">
        <v>45838</v>
      </c>
      <c r="C920" s="1" t="n">
        <v>45970</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45970</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33332-2022</t>
        </is>
      </c>
      <c r="B922" s="1" t="n">
        <v>44788</v>
      </c>
      <c r="C922" s="1" t="n">
        <v>45970</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18054-2025</t>
        </is>
      </c>
      <c r="B923" s="1" t="n">
        <v>45761.47540509259</v>
      </c>
      <c r="C923" s="1" t="n">
        <v>45970</v>
      </c>
      <c r="D923" t="inlineStr">
        <is>
          <t>UPPSALA LÄN</t>
        </is>
      </c>
      <c r="E923" t="inlineStr">
        <is>
          <t>UPPSALA</t>
        </is>
      </c>
      <c r="G923" t="n">
        <v>1.9</v>
      </c>
      <c r="H923" t="n">
        <v>0</v>
      </c>
      <c r="I923" t="n">
        <v>0</v>
      </c>
      <c r="J923" t="n">
        <v>0</v>
      </c>
      <c r="K923" t="n">
        <v>0</v>
      </c>
      <c r="L923" t="n">
        <v>0</v>
      </c>
      <c r="M923" t="n">
        <v>0</v>
      </c>
      <c r="N923" t="n">
        <v>0</v>
      </c>
      <c r="O923" t="n">
        <v>0</v>
      </c>
      <c r="P923" t="n">
        <v>0</v>
      </c>
      <c r="Q923" t="n">
        <v>0</v>
      </c>
      <c r="R923" s="2" t="inlineStr"/>
    </row>
    <row r="924" ht="15" customHeight="1">
      <c r="A924" t="inlineStr">
        <is>
          <t>A 18058-2025</t>
        </is>
      </c>
      <c r="B924" s="1" t="n">
        <v>45761.47748842592</v>
      </c>
      <c r="C924" s="1" t="n">
        <v>45970</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51505-2025</t>
        </is>
      </c>
      <c r="B925" s="1" t="n">
        <v>45950</v>
      </c>
      <c r="C925" s="1" t="n">
        <v>45970</v>
      </c>
      <c r="D925" t="inlineStr">
        <is>
          <t>UPPSALA LÄN</t>
        </is>
      </c>
      <c r="E925" t="inlineStr">
        <is>
          <t>UPPSALA</t>
        </is>
      </c>
      <c r="G925" t="n">
        <v>6.7</v>
      </c>
      <c r="H925" t="n">
        <v>0</v>
      </c>
      <c r="I925" t="n">
        <v>0</v>
      </c>
      <c r="J925" t="n">
        <v>0</v>
      </c>
      <c r="K925" t="n">
        <v>0</v>
      </c>
      <c r="L925" t="n">
        <v>0</v>
      </c>
      <c r="M925" t="n">
        <v>0</v>
      </c>
      <c r="N925" t="n">
        <v>0</v>
      </c>
      <c r="O925" t="n">
        <v>0</v>
      </c>
      <c r="P925" t="n">
        <v>0</v>
      </c>
      <c r="Q925" t="n">
        <v>0</v>
      </c>
      <c r="R925" s="2" t="inlineStr"/>
    </row>
    <row r="926" ht="15" customHeight="1">
      <c r="A926" t="inlineStr">
        <is>
          <t>A 45588-2025</t>
        </is>
      </c>
      <c r="B926" s="1" t="n">
        <v>45922</v>
      </c>
      <c r="C926" s="1" t="n">
        <v>45970</v>
      </c>
      <c r="D926" t="inlineStr">
        <is>
          <t>UPPSALA LÄN</t>
        </is>
      </c>
      <c r="E926" t="inlineStr">
        <is>
          <t>UPPSALA</t>
        </is>
      </c>
      <c r="G926" t="n">
        <v>2.9</v>
      </c>
      <c r="H926" t="n">
        <v>0</v>
      </c>
      <c r="I926" t="n">
        <v>0</v>
      </c>
      <c r="J926" t="n">
        <v>0</v>
      </c>
      <c r="K926" t="n">
        <v>0</v>
      </c>
      <c r="L926" t="n">
        <v>0</v>
      </c>
      <c r="M926" t="n">
        <v>0</v>
      </c>
      <c r="N926" t="n">
        <v>0</v>
      </c>
      <c r="O926" t="n">
        <v>0</v>
      </c>
      <c r="P926" t="n">
        <v>0</v>
      </c>
      <c r="Q926" t="n">
        <v>0</v>
      </c>
      <c r="R926" s="2" t="inlineStr"/>
    </row>
    <row r="927" ht="15" customHeight="1">
      <c r="A927" t="inlineStr">
        <is>
          <t>A 7727-2024</t>
        </is>
      </c>
      <c r="B927" s="1" t="n">
        <v>45349</v>
      </c>
      <c r="C927" s="1" t="n">
        <v>45970</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35978-2025</t>
        </is>
      </c>
      <c r="B928" s="1" t="n">
        <v>45863.44648148148</v>
      </c>
      <c r="C928" s="1" t="n">
        <v>45970</v>
      </c>
      <c r="D928" t="inlineStr">
        <is>
          <t>UPPSALA LÄN</t>
        </is>
      </c>
      <c r="E928" t="inlineStr">
        <is>
          <t>UPPSALA</t>
        </is>
      </c>
      <c r="G928" t="n">
        <v>1.6</v>
      </c>
      <c r="H928" t="n">
        <v>0</v>
      </c>
      <c r="I928" t="n">
        <v>0</v>
      </c>
      <c r="J928" t="n">
        <v>0</v>
      </c>
      <c r="K928" t="n">
        <v>0</v>
      </c>
      <c r="L928" t="n">
        <v>0</v>
      </c>
      <c r="M928" t="n">
        <v>0</v>
      </c>
      <c r="N928" t="n">
        <v>0</v>
      </c>
      <c r="O928" t="n">
        <v>0</v>
      </c>
      <c r="P928" t="n">
        <v>0</v>
      </c>
      <c r="Q928" t="n">
        <v>0</v>
      </c>
      <c r="R928" s="2" t="inlineStr"/>
    </row>
    <row r="929" ht="15" customHeight="1">
      <c r="A929" t="inlineStr">
        <is>
          <t>A 35984-2025</t>
        </is>
      </c>
      <c r="B929" s="1" t="n">
        <v>45863.45355324074</v>
      </c>
      <c r="C929" s="1" t="n">
        <v>45970</v>
      </c>
      <c r="D929" t="inlineStr">
        <is>
          <t>UPPSALA LÄN</t>
        </is>
      </c>
      <c r="E929" t="inlineStr">
        <is>
          <t>UPPSALA</t>
        </is>
      </c>
      <c r="G929" t="n">
        <v>6.1</v>
      </c>
      <c r="H929" t="n">
        <v>0</v>
      </c>
      <c r="I929" t="n">
        <v>0</v>
      </c>
      <c r="J929" t="n">
        <v>0</v>
      </c>
      <c r="K929" t="n">
        <v>0</v>
      </c>
      <c r="L929" t="n">
        <v>0</v>
      </c>
      <c r="M929" t="n">
        <v>0</v>
      </c>
      <c r="N929" t="n">
        <v>0</v>
      </c>
      <c r="O929" t="n">
        <v>0</v>
      </c>
      <c r="P929" t="n">
        <v>0</v>
      </c>
      <c r="Q929" t="n">
        <v>0</v>
      </c>
      <c r="R929" s="2" t="inlineStr"/>
    </row>
    <row r="930" ht="15" customHeight="1">
      <c r="A930" t="inlineStr">
        <is>
          <t>A 6973-2025</t>
        </is>
      </c>
      <c r="B930" s="1" t="n">
        <v>45693</v>
      </c>
      <c r="C930" s="1" t="n">
        <v>45970</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39608-2022</t>
        </is>
      </c>
      <c r="B931" s="1" t="n">
        <v>44817</v>
      </c>
      <c r="C931" s="1" t="n">
        <v>45970</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36253-2025</t>
        </is>
      </c>
      <c r="B932" s="1" t="n">
        <v>45867.58056712963</v>
      </c>
      <c r="C932" s="1" t="n">
        <v>45970</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50267-2023</t>
        </is>
      </c>
      <c r="B933" s="1" t="n">
        <v>45216.39040509259</v>
      </c>
      <c r="C933" s="1" t="n">
        <v>45970</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30616-2025</t>
        </is>
      </c>
      <c r="B934" s="1" t="n">
        <v>45831.46731481481</v>
      </c>
      <c r="C934" s="1" t="n">
        <v>45970</v>
      </c>
      <c r="D934" t="inlineStr">
        <is>
          <t>UPPSALA LÄN</t>
        </is>
      </c>
      <c r="E934" t="inlineStr">
        <is>
          <t>UPPSALA</t>
        </is>
      </c>
      <c r="G934" t="n">
        <v>2.1</v>
      </c>
      <c r="H934" t="n">
        <v>0</v>
      </c>
      <c r="I934" t="n">
        <v>0</v>
      </c>
      <c r="J934" t="n">
        <v>0</v>
      </c>
      <c r="K934" t="n">
        <v>0</v>
      </c>
      <c r="L934" t="n">
        <v>0</v>
      </c>
      <c r="M934" t="n">
        <v>0</v>
      </c>
      <c r="N934" t="n">
        <v>0</v>
      </c>
      <c r="O934" t="n">
        <v>0</v>
      </c>
      <c r="P934" t="n">
        <v>0</v>
      </c>
      <c r="Q934" t="n">
        <v>0</v>
      </c>
      <c r="R934" s="2" t="inlineStr"/>
    </row>
    <row r="935" ht="15" customHeight="1">
      <c r="A935" t="inlineStr">
        <is>
          <t>A 45904-2025</t>
        </is>
      </c>
      <c r="B935" s="1" t="n">
        <v>45923.70230324074</v>
      </c>
      <c r="C935" s="1" t="n">
        <v>45970</v>
      </c>
      <c r="D935" t="inlineStr">
        <is>
          <t>UPPSALA LÄN</t>
        </is>
      </c>
      <c r="E935" t="inlineStr">
        <is>
          <t>UPPSALA</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28825-2024</t>
        </is>
      </c>
      <c r="B936" s="1" t="n">
        <v>45478</v>
      </c>
      <c r="C936" s="1" t="n">
        <v>45970</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50037-2024</t>
        </is>
      </c>
      <c r="B937" s="1" t="n">
        <v>45599</v>
      </c>
      <c r="C937" s="1" t="n">
        <v>45970</v>
      </c>
      <c r="D937" t="inlineStr">
        <is>
          <t>UPPSALA LÄN</t>
        </is>
      </c>
      <c r="E937" t="inlineStr">
        <is>
          <t>UPPSALA</t>
        </is>
      </c>
      <c r="G937" t="n">
        <v>13.7</v>
      </c>
      <c r="H937" t="n">
        <v>0</v>
      </c>
      <c r="I937" t="n">
        <v>0</v>
      </c>
      <c r="J937" t="n">
        <v>0</v>
      </c>
      <c r="K937" t="n">
        <v>0</v>
      </c>
      <c r="L937" t="n">
        <v>0</v>
      </c>
      <c r="M937" t="n">
        <v>0</v>
      </c>
      <c r="N937" t="n">
        <v>0</v>
      </c>
      <c r="O937" t="n">
        <v>0</v>
      </c>
      <c r="P937" t="n">
        <v>0</v>
      </c>
      <c r="Q937" t="n">
        <v>0</v>
      </c>
      <c r="R937" s="2" t="inlineStr"/>
    </row>
    <row r="938" ht="15" customHeight="1">
      <c r="A938" t="inlineStr">
        <is>
          <t>A 60167-2024</t>
        </is>
      </c>
      <c r="B938" s="1" t="n">
        <v>45642.63524305556</v>
      </c>
      <c r="C938" s="1" t="n">
        <v>45970</v>
      </c>
      <c r="D938" t="inlineStr">
        <is>
          <t>UPPSALA LÄN</t>
        </is>
      </c>
      <c r="E938" t="inlineStr">
        <is>
          <t>UPPSALA</t>
        </is>
      </c>
      <c r="G938" t="n">
        <v>1</v>
      </c>
      <c r="H938" t="n">
        <v>0</v>
      </c>
      <c r="I938" t="n">
        <v>0</v>
      </c>
      <c r="J938" t="n">
        <v>0</v>
      </c>
      <c r="K938" t="n">
        <v>0</v>
      </c>
      <c r="L938" t="n">
        <v>0</v>
      </c>
      <c r="M938" t="n">
        <v>0</v>
      </c>
      <c r="N938" t="n">
        <v>0</v>
      </c>
      <c r="O938" t="n">
        <v>0</v>
      </c>
      <c r="P938" t="n">
        <v>0</v>
      </c>
      <c r="Q938" t="n">
        <v>0</v>
      </c>
      <c r="R938" s="2" t="inlineStr"/>
    </row>
    <row r="939" ht="15" customHeight="1">
      <c r="A939" t="inlineStr">
        <is>
          <t>A 61574-2024</t>
        </is>
      </c>
      <c r="B939" s="1" t="n">
        <v>45646.61892361111</v>
      </c>
      <c r="C939" s="1" t="n">
        <v>45970</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45970</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34243-2021</t>
        </is>
      </c>
      <c r="B941" s="1" t="n">
        <v>44379.56163194445</v>
      </c>
      <c r="C941" s="1" t="n">
        <v>45970</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36913-2025</t>
        </is>
      </c>
      <c r="B942" s="1" t="n">
        <v>45874</v>
      </c>
      <c r="C942" s="1" t="n">
        <v>45970</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37010-2025</t>
        </is>
      </c>
      <c r="B943" s="1" t="n">
        <v>45874.705</v>
      </c>
      <c r="C943" s="1" t="n">
        <v>45970</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13799-2024</t>
        </is>
      </c>
      <c r="B944" s="1" t="n">
        <v>45391.37361111111</v>
      </c>
      <c r="C944" s="1" t="n">
        <v>45970</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37352-2025</t>
        </is>
      </c>
      <c r="B945" s="1" t="n">
        <v>45876</v>
      </c>
      <c r="C945" s="1" t="n">
        <v>45970</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33816-2024</t>
        </is>
      </c>
      <c r="B946" s="1" t="n">
        <v>45520</v>
      </c>
      <c r="C946" s="1" t="n">
        <v>45970</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45970</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37351-2025</t>
        </is>
      </c>
      <c r="B948" s="1" t="n">
        <v>45876</v>
      </c>
      <c r="C948" s="1" t="n">
        <v>45970</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733-2022</t>
        </is>
      </c>
      <c r="B949" s="1" t="n">
        <v>44568.67040509259</v>
      </c>
      <c r="C949" s="1" t="n">
        <v>45970</v>
      </c>
      <c r="D949" t="inlineStr">
        <is>
          <t>UPPSALA LÄN</t>
        </is>
      </c>
      <c r="E949" t="inlineStr">
        <is>
          <t>UPPSALA</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45903-2025</t>
        </is>
      </c>
      <c r="B950" s="1" t="n">
        <v>45923.70146990741</v>
      </c>
      <c r="C950" s="1" t="n">
        <v>45970</v>
      </c>
      <c r="D950" t="inlineStr">
        <is>
          <t>UPPSALA LÄN</t>
        </is>
      </c>
      <c r="E950" t="inlineStr">
        <is>
          <t>UPPSALA</t>
        </is>
      </c>
      <c r="F950" t="inlineStr">
        <is>
          <t>Kyrkan</t>
        </is>
      </c>
      <c r="G950" t="n">
        <v>1.4</v>
      </c>
      <c r="H950" t="n">
        <v>0</v>
      </c>
      <c r="I950" t="n">
        <v>0</v>
      </c>
      <c r="J950" t="n">
        <v>0</v>
      </c>
      <c r="K950" t="n">
        <v>0</v>
      </c>
      <c r="L950" t="n">
        <v>0</v>
      </c>
      <c r="M950" t="n">
        <v>0</v>
      </c>
      <c r="N950" t="n">
        <v>0</v>
      </c>
      <c r="O950" t="n">
        <v>0</v>
      </c>
      <c r="P950" t="n">
        <v>0</v>
      </c>
      <c r="Q950" t="n">
        <v>0</v>
      </c>
      <c r="R950" s="2" t="inlineStr"/>
    </row>
    <row r="951" ht="15" customHeight="1">
      <c r="A951" t="inlineStr">
        <is>
          <t>A 37468-2025</t>
        </is>
      </c>
      <c r="B951" s="1" t="n">
        <v>45877.57847222222</v>
      </c>
      <c r="C951" s="1" t="n">
        <v>45970</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37557-2025</t>
        </is>
      </c>
      <c r="B952" s="1" t="n">
        <v>45880.32907407408</v>
      </c>
      <c r="C952" s="1" t="n">
        <v>45970</v>
      </c>
      <c r="D952" t="inlineStr">
        <is>
          <t>UPPSALA LÄN</t>
        </is>
      </c>
      <c r="E952" t="inlineStr">
        <is>
          <t>UPPSALA</t>
        </is>
      </c>
      <c r="G952" t="n">
        <v>1.6</v>
      </c>
      <c r="H952" t="n">
        <v>0</v>
      </c>
      <c r="I952" t="n">
        <v>0</v>
      </c>
      <c r="J952" t="n">
        <v>0</v>
      </c>
      <c r="K952" t="n">
        <v>0</v>
      </c>
      <c r="L952" t="n">
        <v>0</v>
      </c>
      <c r="M952" t="n">
        <v>0</v>
      </c>
      <c r="N952" t="n">
        <v>0</v>
      </c>
      <c r="O952" t="n">
        <v>0</v>
      </c>
      <c r="P952" t="n">
        <v>0</v>
      </c>
      <c r="Q952" t="n">
        <v>0</v>
      </c>
      <c r="R952" s="2" t="inlineStr"/>
    </row>
    <row r="953" ht="15" customHeight="1">
      <c r="A953" t="inlineStr">
        <is>
          <t>A 35016-2025</t>
        </is>
      </c>
      <c r="B953" s="1" t="n">
        <v>45851.62179398148</v>
      </c>
      <c r="C953" s="1" t="n">
        <v>45970</v>
      </c>
      <c r="D953" t="inlineStr">
        <is>
          <t>UPPSALA LÄN</t>
        </is>
      </c>
      <c r="E953" t="inlineStr">
        <is>
          <t>UPPSALA</t>
        </is>
      </c>
      <c r="F953" t="inlineStr">
        <is>
          <t>Bergvik skog öst AB</t>
        </is>
      </c>
      <c r="G953" t="n">
        <v>7</v>
      </c>
      <c r="H953" t="n">
        <v>0</v>
      </c>
      <c r="I953" t="n">
        <v>0</v>
      </c>
      <c r="J953" t="n">
        <v>0</v>
      </c>
      <c r="K953" t="n">
        <v>0</v>
      </c>
      <c r="L953" t="n">
        <v>0</v>
      </c>
      <c r="M953" t="n">
        <v>0</v>
      </c>
      <c r="N953" t="n">
        <v>0</v>
      </c>
      <c r="O953" t="n">
        <v>0</v>
      </c>
      <c r="P953" t="n">
        <v>0</v>
      </c>
      <c r="Q953" t="n">
        <v>0</v>
      </c>
      <c r="R953" s="2" t="inlineStr"/>
    </row>
    <row r="954" ht="15" customHeight="1">
      <c r="A954" t="inlineStr">
        <is>
          <t>A 59719-2022</t>
        </is>
      </c>
      <c r="B954" s="1" t="n">
        <v>44908.425625</v>
      </c>
      <c r="C954" s="1" t="n">
        <v>45970</v>
      </c>
      <c r="D954" t="inlineStr">
        <is>
          <t>UPPSALA LÄN</t>
        </is>
      </c>
      <c r="E954" t="inlineStr">
        <is>
          <t>UPPSALA</t>
        </is>
      </c>
      <c r="G954" t="n">
        <v>3.6</v>
      </c>
      <c r="H954" t="n">
        <v>0</v>
      </c>
      <c r="I954" t="n">
        <v>0</v>
      </c>
      <c r="J954" t="n">
        <v>0</v>
      </c>
      <c r="K954" t="n">
        <v>0</v>
      </c>
      <c r="L954" t="n">
        <v>0</v>
      </c>
      <c r="M954" t="n">
        <v>0</v>
      </c>
      <c r="N954" t="n">
        <v>0</v>
      </c>
      <c r="O954" t="n">
        <v>0</v>
      </c>
      <c r="P954" t="n">
        <v>0</v>
      </c>
      <c r="Q954" t="n">
        <v>0</v>
      </c>
      <c r="R954" s="2" t="inlineStr"/>
    </row>
    <row r="955" ht="15" customHeight="1">
      <c r="A955" t="inlineStr">
        <is>
          <t>A 37561-2025</t>
        </is>
      </c>
      <c r="B955" s="1" t="n">
        <v>45880.34064814815</v>
      </c>
      <c r="C955" s="1" t="n">
        <v>45970</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37611-2025</t>
        </is>
      </c>
      <c r="B956" s="1" t="n">
        <v>45880</v>
      </c>
      <c r="C956" s="1" t="n">
        <v>45970</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45970</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37486-2025</t>
        </is>
      </c>
      <c r="B958" s="1" t="n">
        <v>45877.62969907407</v>
      </c>
      <c r="C958" s="1" t="n">
        <v>45970</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56084-2024</t>
        </is>
      </c>
      <c r="B959" s="1" t="n">
        <v>45624</v>
      </c>
      <c r="C959" s="1" t="n">
        <v>45970</v>
      </c>
      <c r="D959" t="inlineStr">
        <is>
          <t>UPPSALA LÄN</t>
        </is>
      </c>
      <c r="E959" t="inlineStr">
        <is>
          <t>UPPSALA</t>
        </is>
      </c>
      <c r="G959" t="n">
        <v>3.8</v>
      </c>
      <c r="H959" t="n">
        <v>0</v>
      </c>
      <c r="I959" t="n">
        <v>0</v>
      </c>
      <c r="J959" t="n">
        <v>0</v>
      </c>
      <c r="K959" t="n">
        <v>0</v>
      </c>
      <c r="L959" t="n">
        <v>0</v>
      </c>
      <c r="M959" t="n">
        <v>0</v>
      </c>
      <c r="N959" t="n">
        <v>0</v>
      </c>
      <c r="O959" t="n">
        <v>0</v>
      </c>
      <c r="P959" t="n">
        <v>0</v>
      </c>
      <c r="Q959" t="n">
        <v>0</v>
      </c>
      <c r="R959" s="2" t="inlineStr"/>
    </row>
    <row r="960" ht="15" customHeight="1">
      <c r="A960" t="inlineStr">
        <is>
          <t>A 3353-2023</t>
        </is>
      </c>
      <c r="B960" s="1" t="n">
        <v>44949.4708912037</v>
      </c>
      <c r="C960" s="1" t="n">
        <v>45970</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37759-2025</t>
        </is>
      </c>
      <c r="B961" s="1" t="n">
        <v>45880.68200231482</v>
      </c>
      <c r="C961" s="1" t="n">
        <v>45970</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37819-2021</t>
        </is>
      </c>
      <c r="B962" s="1" t="n">
        <v>44403.29719907408</v>
      </c>
      <c r="C962" s="1" t="n">
        <v>45970</v>
      </c>
      <c r="D962" t="inlineStr">
        <is>
          <t>UPPSALA LÄN</t>
        </is>
      </c>
      <c r="E962" t="inlineStr">
        <is>
          <t>UPPSALA</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49938-2025</t>
        </is>
      </c>
      <c r="B963" s="1" t="n">
        <v>45940</v>
      </c>
      <c r="C963" s="1" t="n">
        <v>45970</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4993-2025</t>
        </is>
      </c>
      <c r="B964" s="1" t="n">
        <v>45691</v>
      </c>
      <c r="C964" s="1" t="n">
        <v>45970</v>
      </c>
      <c r="D964" t="inlineStr">
        <is>
          <t>UPPSALA LÄN</t>
        </is>
      </c>
      <c r="E964" t="inlineStr">
        <is>
          <t>UPPSALA</t>
        </is>
      </c>
      <c r="F964" t="inlineStr">
        <is>
          <t>Kyrkan</t>
        </is>
      </c>
      <c r="G964" t="n">
        <v>6.7</v>
      </c>
      <c r="H964" t="n">
        <v>0</v>
      </c>
      <c r="I964" t="n">
        <v>0</v>
      </c>
      <c r="J964" t="n">
        <v>0</v>
      </c>
      <c r="K964" t="n">
        <v>0</v>
      </c>
      <c r="L964" t="n">
        <v>0</v>
      </c>
      <c r="M964" t="n">
        <v>0</v>
      </c>
      <c r="N964" t="n">
        <v>0</v>
      </c>
      <c r="O964" t="n">
        <v>0</v>
      </c>
      <c r="P964" t="n">
        <v>0</v>
      </c>
      <c r="Q964" t="n">
        <v>0</v>
      </c>
      <c r="R964" s="2" t="inlineStr"/>
    </row>
    <row r="965" ht="15" customHeight="1">
      <c r="A965" t="inlineStr">
        <is>
          <t>A 37856-2025</t>
        </is>
      </c>
      <c r="B965" s="1" t="n">
        <v>45881.45898148148</v>
      </c>
      <c r="C965" s="1" t="n">
        <v>45970</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54723-2025</t>
        </is>
      </c>
      <c r="B966" s="1" t="n">
        <v>45966.53721064814</v>
      </c>
      <c r="C966" s="1" t="n">
        <v>45970</v>
      </c>
      <c r="D966" t="inlineStr">
        <is>
          <t>UPPSALA LÄN</t>
        </is>
      </c>
      <c r="E966" t="inlineStr">
        <is>
          <t>UPPSALA</t>
        </is>
      </c>
      <c r="F966" t="inlineStr">
        <is>
          <t>Bergvik skog öst AB</t>
        </is>
      </c>
      <c r="G966" t="n">
        <v>4.7</v>
      </c>
      <c r="H966" t="n">
        <v>0</v>
      </c>
      <c r="I966" t="n">
        <v>0</v>
      </c>
      <c r="J966" t="n">
        <v>0</v>
      </c>
      <c r="K966" t="n">
        <v>0</v>
      </c>
      <c r="L966" t="n">
        <v>0</v>
      </c>
      <c r="M966" t="n">
        <v>0</v>
      </c>
      <c r="N966" t="n">
        <v>0</v>
      </c>
      <c r="O966" t="n">
        <v>0</v>
      </c>
      <c r="P966" t="n">
        <v>0</v>
      </c>
      <c r="Q966" t="n">
        <v>0</v>
      </c>
      <c r="R966" s="2" t="inlineStr"/>
    </row>
    <row r="967" ht="15" customHeight="1">
      <c r="A967" t="inlineStr">
        <is>
          <t>A 54724-2025</t>
        </is>
      </c>
      <c r="B967" s="1" t="n">
        <v>45966.53849537037</v>
      </c>
      <c r="C967" s="1" t="n">
        <v>45970</v>
      </c>
      <c r="D967" t="inlineStr">
        <is>
          <t>UPPSALA LÄN</t>
        </is>
      </c>
      <c r="E967" t="inlineStr">
        <is>
          <t>UPPSALA</t>
        </is>
      </c>
      <c r="F967" t="inlineStr">
        <is>
          <t>Bergvik skog öst AB</t>
        </is>
      </c>
      <c r="G967" t="n">
        <v>3.9</v>
      </c>
      <c r="H967" t="n">
        <v>0</v>
      </c>
      <c r="I967" t="n">
        <v>0</v>
      </c>
      <c r="J967" t="n">
        <v>0</v>
      </c>
      <c r="K967" t="n">
        <v>0</v>
      </c>
      <c r="L967" t="n">
        <v>0</v>
      </c>
      <c r="M967" t="n">
        <v>0</v>
      </c>
      <c r="N967" t="n">
        <v>0</v>
      </c>
      <c r="O967" t="n">
        <v>0</v>
      </c>
      <c r="P967" t="n">
        <v>0</v>
      </c>
      <c r="Q967" t="n">
        <v>0</v>
      </c>
      <c r="R967" s="2" t="inlineStr"/>
    </row>
    <row r="968" ht="15" customHeight="1">
      <c r="A968" t="inlineStr">
        <is>
          <t>A 3287-2025</t>
        </is>
      </c>
      <c r="B968" s="1" t="n">
        <v>45679</v>
      </c>
      <c r="C968" s="1" t="n">
        <v>45970</v>
      </c>
      <c r="D968" t="inlineStr">
        <is>
          <t>UPPSALA LÄN</t>
        </is>
      </c>
      <c r="E968" t="inlineStr">
        <is>
          <t>UPPSALA</t>
        </is>
      </c>
      <c r="F968" t="inlineStr">
        <is>
          <t>Kyrkan</t>
        </is>
      </c>
      <c r="G968" t="n">
        <v>6.7</v>
      </c>
      <c r="H968" t="n">
        <v>0</v>
      </c>
      <c r="I968" t="n">
        <v>0</v>
      </c>
      <c r="J968" t="n">
        <v>0</v>
      </c>
      <c r="K968" t="n">
        <v>0</v>
      </c>
      <c r="L968" t="n">
        <v>0</v>
      </c>
      <c r="M968" t="n">
        <v>0</v>
      </c>
      <c r="N968" t="n">
        <v>0</v>
      </c>
      <c r="O968" t="n">
        <v>0</v>
      </c>
      <c r="P968" t="n">
        <v>0</v>
      </c>
      <c r="Q968" t="n">
        <v>0</v>
      </c>
      <c r="R968" s="2" t="inlineStr"/>
    </row>
    <row r="969" ht="15" customHeight="1">
      <c r="A969" t="inlineStr">
        <is>
          <t>A 50591-2025</t>
        </is>
      </c>
      <c r="B969" s="1" t="n">
        <v>45944</v>
      </c>
      <c r="C969" s="1" t="n">
        <v>45970</v>
      </c>
      <c r="D969" t="inlineStr">
        <is>
          <t>UPPSALA LÄN</t>
        </is>
      </c>
      <c r="E969" t="inlineStr">
        <is>
          <t>UPPSALA</t>
        </is>
      </c>
      <c r="G969" t="n">
        <v>4.2</v>
      </c>
      <c r="H969" t="n">
        <v>0</v>
      </c>
      <c r="I969" t="n">
        <v>0</v>
      </c>
      <c r="J969" t="n">
        <v>0</v>
      </c>
      <c r="K969" t="n">
        <v>0</v>
      </c>
      <c r="L969" t="n">
        <v>0</v>
      </c>
      <c r="M969" t="n">
        <v>0</v>
      </c>
      <c r="N969" t="n">
        <v>0</v>
      </c>
      <c r="O969" t="n">
        <v>0</v>
      </c>
      <c r="P969" t="n">
        <v>0</v>
      </c>
      <c r="Q969" t="n">
        <v>0</v>
      </c>
      <c r="R969" s="2" t="inlineStr"/>
    </row>
    <row r="970" ht="15" customHeight="1">
      <c r="A970" t="inlineStr">
        <is>
          <t>A 38113-2025</t>
        </is>
      </c>
      <c r="B970" s="1" t="n">
        <v>45882.52290509259</v>
      </c>
      <c r="C970" s="1" t="n">
        <v>45970</v>
      </c>
      <c r="D970" t="inlineStr">
        <is>
          <t>UPPSALA LÄN</t>
        </is>
      </c>
      <c r="E970" t="inlineStr">
        <is>
          <t>UPPSALA</t>
        </is>
      </c>
      <c r="G970" t="n">
        <v>5.8</v>
      </c>
      <c r="H970" t="n">
        <v>0</v>
      </c>
      <c r="I970" t="n">
        <v>0</v>
      </c>
      <c r="J970" t="n">
        <v>0</v>
      </c>
      <c r="K970" t="n">
        <v>0</v>
      </c>
      <c r="L970" t="n">
        <v>0</v>
      </c>
      <c r="M970" t="n">
        <v>0</v>
      </c>
      <c r="N970" t="n">
        <v>0</v>
      </c>
      <c r="O970" t="n">
        <v>0</v>
      </c>
      <c r="P970" t="n">
        <v>0</v>
      </c>
      <c r="Q970" t="n">
        <v>0</v>
      </c>
      <c r="R970" s="2" t="inlineStr"/>
    </row>
    <row r="971" ht="15" customHeight="1">
      <c r="A971" t="inlineStr">
        <is>
          <t>A 54507-2025</t>
        </is>
      </c>
      <c r="B971" s="1" t="n">
        <v>45965.61792824074</v>
      </c>
      <c r="C971" s="1" t="n">
        <v>45970</v>
      </c>
      <c r="D971" t="inlineStr">
        <is>
          <t>UPPSALA LÄN</t>
        </is>
      </c>
      <c r="E971" t="inlineStr">
        <is>
          <t>UPPSALA</t>
        </is>
      </c>
      <c r="G971" t="n">
        <v>7.7</v>
      </c>
      <c r="H971" t="n">
        <v>0</v>
      </c>
      <c r="I971" t="n">
        <v>0</v>
      </c>
      <c r="J971" t="n">
        <v>0</v>
      </c>
      <c r="K971" t="n">
        <v>0</v>
      </c>
      <c r="L971" t="n">
        <v>0</v>
      </c>
      <c r="M971" t="n">
        <v>0</v>
      </c>
      <c r="N971" t="n">
        <v>0</v>
      </c>
      <c r="O971" t="n">
        <v>0</v>
      </c>
      <c r="P971" t="n">
        <v>0</v>
      </c>
      <c r="Q971" t="n">
        <v>0</v>
      </c>
      <c r="R971" s="2" t="inlineStr"/>
    </row>
    <row r="972" ht="15" customHeight="1">
      <c r="A972" t="inlineStr">
        <is>
          <t>A 38034-2025</t>
        </is>
      </c>
      <c r="B972" s="1" t="n">
        <v>45882.37202546297</v>
      </c>
      <c r="C972" s="1" t="n">
        <v>45970</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3086-2023</t>
        </is>
      </c>
      <c r="B973" s="1" t="n">
        <v>44946.43564814814</v>
      </c>
      <c r="C973" s="1" t="n">
        <v>45970</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54601-2025</t>
        </is>
      </c>
      <c r="B974" s="1" t="n">
        <v>45965.82398148148</v>
      </c>
      <c r="C974" s="1" t="n">
        <v>45970</v>
      </c>
      <c r="D974" t="inlineStr">
        <is>
          <t>UPPSALA LÄN</t>
        </is>
      </c>
      <c r="E974" t="inlineStr">
        <is>
          <t>UPPSALA</t>
        </is>
      </c>
      <c r="F974" t="inlineStr">
        <is>
          <t>Bergvik skog öst AB</t>
        </is>
      </c>
      <c r="G974" t="n">
        <v>0.5</v>
      </c>
      <c r="H974" t="n">
        <v>0</v>
      </c>
      <c r="I974" t="n">
        <v>0</v>
      </c>
      <c r="J974" t="n">
        <v>0</v>
      </c>
      <c r="K974" t="n">
        <v>0</v>
      </c>
      <c r="L974" t="n">
        <v>0</v>
      </c>
      <c r="M974" t="n">
        <v>0</v>
      </c>
      <c r="N974" t="n">
        <v>0</v>
      </c>
      <c r="O974" t="n">
        <v>0</v>
      </c>
      <c r="P974" t="n">
        <v>0</v>
      </c>
      <c r="Q974" t="n">
        <v>0</v>
      </c>
      <c r="R974" s="2" t="inlineStr"/>
    </row>
    <row r="975" ht="15" customHeight="1">
      <c r="A975" t="inlineStr">
        <is>
          <t>A 16811-2023</t>
        </is>
      </c>
      <c r="B975" s="1" t="n">
        <v>45033</v>
      </c>
      <c r="C975" s="1" t="n">
        <v>45970</v>
      </c>
      <c r="D975" t="inlineStr">
        <is>
          <t>UPPSALA LÄN</t>
        </is>
      </c>
      <c r="E975" t="inlineStr">
        <is>
          <t>UPPSALA</t>
        </is>
      </c>
      <c r="G975" t="n">
        <v>10.1</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45965.44563657408</v>
      </c>
      <c r="C976" s="1" t="n">
        <v>45970</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69436-2021</t>
        </is>
      </c>
      <c r="B977" s="1" t="n">
        <v>44531</v>
      </c>
      <c r="C977" s="1" t="n">
        <v>45970</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37851-2025</t>
        </is>
      </c>
      <c r="B978" s="1" t="n">
        <v>45881.44938657407</v>
      </c>
      <c r="C978" s="1" t="n">
        <v>45970</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54600-2025</t>
        </is>
      </c>
      <c r="B979" s="1" t="n">
        <v>45965.81543981482</v>
      </c>
      <c r="C979" s="1" t="n">
        <v>45970</v>
      </c>
      <c r="D979" t="inlineStr">
        <is>
          <t>UPPSALA LÄN</t>
        </is>
      </c>
      <c r="E979" t="inlineStr">
        <is>
          <t>UPPSALA</t>
        </is>
      </c>
      <c r="F979" t="inlineStr">
        <is>
          <t>Bergvik skog öst AB</t>
        </is>
      </c>
      <c r="G979" t="n">
        <v>4.7</v>
      </c>
      <c r="H979" t="n">
        <v>0</v>
      </c>
      <c r="I979" t="n">
        <v>0</v>
      </c>
      <c r="J979" t="n">
        <v>0</v>
      </c>
      <c r="K979" t="n">
        <v>0</v>
      </c>
      <c r="L979" t="n">
        <v>0</v>
      </c>
      <c r="M979" t="n">
        <v>0</v>
      </c>
      <c r="N979" t="n">
        <v>0</v>
      </c>
      <c r="O979" t="n">
        <v>0</v>
      </c>
      <c r="P979" t="n">
        <v>0</v>
      </c>
      <c r="Q979" t="n">
        <v>0</v>
      </c>
      <c r="R979" s="2" t="inlineStr"/>
    </row>
    <row r="980" ht="15" customHeight="1">
      <c r="A980" t="inlineStr">
        <is>
          <t>A 32479-2025</t>
        </is>
      </c>
      <c r="B980" s="1" t="n">
        <v>45838</v>
      </c>
      <c r="C980" s="1" t="n">
        <v>45970</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55275-2025</t>
        </is>
      </c>
      <c r="B981" s="1" t="n">
        <v>45968.76021990741</v>
      </c>
      <c r="C981" s="1" t="n">
        <v>45970</v>
      </c>
      <c r="D981" t="inlineStr">
        <is>
          <t>UPPSALA LÄN</t>
        </is>
      </c>
      <c r="E981" t="inlineStr">
        <is>
          <t>UPPSALA</t>
        </is>
      </c>
      <c r="F981" t="inlineStr">
        <is>
          <t>Allmännings- och besparingsskogar</t>
        </is>
      </c>
      <c r="G981" t="n">
        <v>13.2</v>
      </c>
      <c r="H981" t="n">
        <v>0</v>
      </c>
      <c r="I981" t="n">
        <v>0</v>
      </c>
      <c r="J981" t="n">
        <v>0</v>
      </c>
      <c r="K981" t="n">
        <v>0</v>
      </c>
      <c r="L981" t="n">
        <v>0</v>
      </c>
      <c r="M981" t="n">
        <v>0</v>
      </c>
      <c r="N981" t="n">
        <v>0</v>
      </c>
      <c r="O981" t="n">
        <v>0</v>
      </c>
      <c r="P981" t="n">
        <v>0</v>
      </c>
      <c r="Q981" t="n">
        <v>0</v>
      </c>
      <c r="R981" s="2" t="inlineStr"/>
    </row>
    <row r="982" ht="15" customHeight="1">
      <c r="A982" t="inlineStr">
        <is>
          <t>A 46773-2025</t>
        </is>
      </c>
      <c r="B982" s="1" t="n">
        <v>45926.63290509259</v>
      </c>
      <c r="C982" s="1" t="n">
        <v>45970</v>
      </c>
      <c r="D982" t="inlineStr">
        <is>
          <t>UPPSALA LÄN</t>
        </is>
      </c>
      <c r="E982" t="inlineStr">
        <is>
          <t>UPPSALA</t>
        </is>
      </c>
      <c r="F982" t="inlineStr">
        <is>
          <t>Kyrkan</t>
        </is>
      </c>
      <c r="G982" t="n">
        <v>0.9</v>
      </c>
      <c r="H982" t="n">
        <v>0</v>
      </c>
      <c r="I982" t="n">
        <v>0</v>
      </c>
      <c r="J982" t="n">
        <v>0</v>
      </c>
      <c r="K982" t="n">
        <v>0</v>
      </c>
      <c r="L982" t="n">
        <v>0</v>
      </c>
      <c r="M982" t="n">
        <v>0</v>
      </c>
      <c r="N982" t="n">
        <v>0</v>
      </c>
      <c r="O982" t="n">
        <v>0</v>
      </c>
      <c r="P982" t="n">
        <v>0</v>
      </c>
      <c r="Q982" t="n">
        <v>0</v>
      </c>
      <c r="R982" s="2" t="inlineStr"/>
    </row>
    <row r="983" ht="15" customHeight="1">
      <c r="A983" t="inlineStr">
        <is>
          <t>A 46632-2025</t>
        </is>
      </c>
      <c r="B983" s="1" t="n">
        <v>45926.45846064815</v>
      </c>
      <c r="C983" s="1" t="n">
        <v>45970</v>
      </c>
      <c r="D983" t="inlineStr">
        <is>
          <t>UPPSALA LÄN</t>
        </is>
      </c>
      <c r="E983" t="inlineStr">
        <is>
          <t>UPPSALA</t>
        </is>
      </c>
      <c r="F983" t="inlineStr">
        <is>
          <t>Bergvik skog öst AB</t>
        </is>
      </c>
      <c r="G983" t="n">
        <v>2.9</v>
      </c>
      <c r="H983" t="n">
        <v>0</v>
      </c>
      <c r="I983" t="n">
        <v>0</v>
      </c>
      <c r="J983" t="n">
        <v>0</v>
      </c>
      <c r="K983" t="n">
        <v>0</v>
      </c>
      <c r="L983" t="n">
        <v>0</v>
      </c>
      <c r="M983" t="n">
        <v>0</v>
      </c>
      <c r="N983" t="n">
        <v>0</v>
      </c>
      <c r="O983" t="n">
        <v>0</v>
      </c>
      <c r="P983" t="n">
        <v>0</v>
      </c>
      <c r="Q983" t="n">
        <v>0</v>
      </c>
      <c r="R983" s="2" t="inlineStr"/>
    </row>
    <row r="984" ht="15" customHeight="1">
      <c r="A984" t="inlineStr">
        <is>
          <t>A 1573-2021</t>
        </is>
      </c>
      <c r="B984" s="1" t="n">
        <v>44209</v>
      </c>
      <c r="C984" s="1" t="n">
        <v>45970</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13420-2021</t>
        </is>
      </c>
      <c r="B985" s="1" t="n">
        <v>44273</v>
      </c>
      <c r="C985" s="1" t="n">
        <v>45970</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5678-2023</t>
        </is>
      </c>
      <c r="B986" s="1" t="n">
        <v>44960</v>
      </c>
      <c r="C986" s="1" t="n">
        <v>45970</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46571-2025</t>
        </is>
      </c>
      <c r="B987" s="1" t="n">
        <v>45926.366875</v>
      </c>
      <c r="C987" s="1" t="n">
        <v>45970</v>
      </c>
      <c r="D987" t="inlineStr">
        <is>
          <t>UPPSALA LÄN</t>
        </is>
      </c>
      <c r="E987" t="inlineStr">
        <is>
          <t>UPPSALA</t>
        </is>
      </c>
      <c r="F987" t="inlineStr">
        <is>
          <t>Bergvik skog öst AB</t>
        </is>
      </c>
      <c r="G987" t="n">
        <v>11.1</v>
      </c>
      <c r="H987" t="n">
        <v>0</v>
      </c>
      <c r="I987" t="n">
        <v>0</v>
      </c>
      <c r="J987" t="n">
        <v>0</v>
      </c>
      <c r="K987" t="n">
        <v>0</v>
      </c>
      <c r="L987" t="n">
        <v>0</v>
      </c>
      <c r="M987" t="n">
        <v>0</v>
      </c>
      <c r="N987" t="n">
        <v>0</v>
      </c>
      <c r="O987" t="n">
        <v>0</v>
      </c>
      <c r="P987" t="n">
        <v>0</v>
      </c>
      <c r="Q987" t="n">
        <v>0</v>
      </c>
      <c r="R987" s="2" t="inlineStr"/>
    </row>
    <row r="988" ht="15" customHeight="1">
      <c r="A988" t="inlineStr">
        <is>
          <t>A 46564-2025</t>
        </is>
      </c>
      <c r="B988" s="1" t="n">
        <v>45926.35917824074</v>
      </c>
      <c r="C988" s="1" t="n">
        <v>45970</v>
      </c>
      <c r="D988" t="inlineStr">
        <is>
          <t>UPPSALA LÄN</t>
        </is>
      </c>
      <c r="E988" t="inlineStr">
        <is>
          <t>UPPSALA</t>
        </is>
      </c>
      <c r="F988" t="inlineStr">
        <is>
          <t>Bergvik skog öst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46565-2025</t>
        </is>
      </c>
      <c r="B989" s="1" t="n">
        <v>45926.35998842592</v>
      </c>
      <c r="C989" s="1" t="n">
        <v>45970</v>
      </c>
      <c r="D989" t="inlineStr">
        <is>
          <t>UPPSALA LÄN</t>
        </is>
      </c>
      <c r="E989" t="inlineStr">
        <is>
          <t>UPPSALA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53384-2024</t>
        </is>
      </c>
      <c r="B990" s="1" t="n">
        <v>45614</v>
      </c>
      <c r="C990" s="1" t="n">
        <v>45970</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46775-2025</t>
        </is>
      </c>
      <c r="B991" s="1" t="n">
        <v>45926.63366898148</v>
      </c>
      <c r="C991" s="1" t="n">
        <v>45970</v>
      </c>
      <c r="D991" t="inlineStr">
        <is>
          <t>UPPSALA LÄN</t>
        </is>
      </c>
      <c r="E991" t="inlineStr">
        <is>
          <t>UPPSALA</t>
        </is>
      </c>
      <c r="F991" t="inlineStr">
        <is>
          <t>Kyrkan</t>
        </is>
      </c>
      <c r="G991" t="n">
        <v>0.9</v>
      </c>
      <c r="H991" t="n">
        <v>0</v>
      </c>
      <c r="I991" t="n">
        <v>0</v>
      </c>
      <c r="J991" t="n">
        <v>0</v>
      </c>
      <c r="K991" t="n">
        <v>0</v>
      </c>
      <c r="L991" t="n">
        <v>0</v>
      </c>
      <c r="M991" t="n">
        <v>0</v>
      </c>
      <c r="N991" t="n">
        <v>0</v>
      </c>
      <c r="O991" t="n">
        <v>0</v>
      </c>
      <c r="P991" t="n">
        <v>0</v>
      </c>
      <c r="Q991" t="n">
        <v>0</v>
      </c>
      <c r="R991" s="2" t="inlineStr"/>
    </row>
    <row r="992">
      <c r="A992" t="inlineStr">
        <is>
          <t>A 46772-2025</t>
        </is>
      </c>
      <c r="B992" s="1" t="n">
        <v>45926.63232638889</v>
      </c>
      <c r="C992" s="1" t="n">
        <v>45970</v>
      </c>
      <c r="D992" t="inlineStr">
        <is>
          <t>UPPSALA LÄN</t>
        </is>
      </c>
      <c r="E992" t="inlineStr">
        <is>
          <t>UPPSALA</t>
        </is>
      </c>
      <c r="F992" t="inlineStr">
        <is>
          <t>Kyrkan</t>
        </is>
      </c>
      <c r="G992" t="n">
        <v>0.9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2025-11-09T10:09:51Z</dcterms:created>
  <dcterms:modified xmlns:dcterms="http://purl.org/dc/terms/" xmlns:xsi="http://www.w3.org/2001/XMLSchema-instance" xsi:type="dcterms:W3CDTF">2025-11-09T10:09:52Z</dcterms:modified>
</cp:coreProperties>
</file>