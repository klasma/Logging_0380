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46138</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46138</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46138</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46138</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46138</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46138</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46138</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46138</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9409-2025</t>
        </is>
      </c>
      <c r="B13" s="1" t="n">
        <v>45715.38824074074</v>
      </c>
      <c r="C13" s="1" t="n">
        <v>46138</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24492-2023</t>
        </is>
      </c>
      <c r="B14" s="1" t="n">
        <v>45082</v>
      </c>
      <c r="C14" s="1" t="n">
        <v>46138</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63008-2025</t>
        </is>
      </c>
      <c r="B15" s="1" t="n">
        <v>46009.57934027778</v>
      </c>
      <c r="C15" s="1" t="n">
        <v>46138</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46138</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46138</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46138</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46138</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7380-2023</t>
        </is>
      </c>
      <c r="B20" s="1" t="n">
        <v>44971</v>
      </c>
      <c r="C20" s="1" t="n">
        <v>46138</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46099.38084490741</v>
      </c>
      <c r="C21" s="1" t="n">
        <v>46138</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25143-2023</t>
        </is>
      </c>
      <c r="B22" s="1" t="n">
        <v>45086</v>
      </c>
      <c r="C22" s="1" t="n">
        <v>46138</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46138</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10368-2022</t>
        </is>
      </c>
      <c r="B24" s="1" t="n">
        <v>44623</v>
      </c>
      <c r="C24" s="1" t="n">
        <v>46138</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62998-2025</t>
        </is>
      </c>
      <c r="B25" s="1" t="n">
        <v>46009.5597337963</v>
      </c>
      <c r="C25" s="1" t="n">
        <v>46138</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62003-2025</t>
        </is>
      </c>
      <c r="B26" s="1" t="n">
        <v>46003.65950231482</v>
      </c>
      <c r="C26" s="1" t="n">
        <v>46138</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46138</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48755-2025</t>
        </is>
      </c>
      <c r="B28" s="1" t="n">
        <v>45936</v>
      </c>
      <c r="C28" s="1" t="n">
        <v>46138</v>
      </c>
      <c r="D28" t="inlineStr">
        <is>
          <t>UPPSALA LÄN</t>
        </is>
      </c>
      <c r="E28" t="inlineStr">
        <is>
          <t>UPPSALA</t>
        </is>
      </c>
      <c r="F28" t="inlineStr">
        <is>
          <t>Allmännings- och besparingsskogar</t>
        </is>
      </c>
      <c r="G28" t="n">
        <v>6.3</v>
      </c>
      <c r="H28" t="n">
        <v>4</v>
      </c>
      <c r="I28" t="n">
        <v>5</v>
      </c>
      <c r="J28" t="n">
        <v>4</v>
      </c>
      <c r="K28" t="n">
        <v>1</v>
      </c>
      <c r="L28" t="n">
        <v>0</v>
      </c>
      <c r="M28" t="n">
        <v>0</v>
      </c>
      <c r="N28" t="n">
        <v>0</v>
      </c>
      <c r="O28" t="n">
        <v>5</v>
      </c>
      <c r="P28" t="n">
        <v>1</v>
      </c>
      <c r="Q28" t="n">
        <v>10</v>
      </c>
      <c r="R28" s="2" t="inlineStr">
        <is>
          <t>Knärot
Spillkråka
Tallkötticka
Talltita
Vedtrappmossa
Björksplintborre
Grön sköldmossa
Jättesvampmal
Trådticka
Vedticka</t>
        </is>
      </c>
      <c r="S28">
        <f>HYPERLINK("https://klasma.github.io/Logging_0380/artfynd/A 48755-2025 artfynd.xlsx", "A 48755-2025")</f>
        <v/>
      </c>
      <c r="T28">
        <f>HYPERLINK("https://klasma.github.io/Logging_0380/kartor/A 48755-2025 karta.png", "A 48755-2025")</f>
        <v/>
      </c>
      <c r="U28">
        <f>HYPERLINK("https://klasma.github.io/Logging_0380/knärot/A 48755-2025 karta knärot.png", "A 48755-2025")</f>
        <v/>
      </c>
      <c r="V28">
        <f>HYPERLINK("https://klasma.github.io/Logging_0380/klagomål/A 48755-2025 FSC-klagomål.docx", "A 48755-2025")</f>
        <v/>
      </c>
      <c r="W28">
        <f>HYPERLINK("https://klasma.github.io/Logging_0380/klagomålsmail/A 48755-2025 FSC-klagomål mail.docx", "A 48755-2025")</f>
        <v/>
      </c>
      <c r="X28">
        <f>HYPERLINK("https://klasma.github.io/Logging_0380/tillsyn/A 48755-2025 tillsynsbegäran.docx", "A 48755-2025")</f>
        <v/>
      </c>
      <c r="Y28">
        <f>HYPERLINK("https://klasma.github.io/Logging_0380/tillsynsmail/A 48755-2025 tillsynsbegäran mail.docx", "A 48755-2025")</f>
        <v/>
      </c>
      <c r="Z28">
        <f>HYPERLINK("https://klasma.github.io/Logging_0380/fåglar/A 48755-2025 prioriterade fågelarter.docx", "A 48755-2025")</f>
        <v/>
      </c>
    </row>
    <row r="29" ht="15" customHeight="1">
      <c r="A29" t="inlineStr">
        <is>
          <t>A 25651-2025</t>
        </is>
      </c>
      <c r="B29" s="1" t="n">
        <v>45803</v>
      </c>
      <c r="C29" s="1" t="n">
        <v>46138</v>
      </c>
      <c r="D29" t="inlineStr">
        <is>
          <t>UPPSALA LÄN</t>
        </is>
      </c>
      <c r="E29" t="inlineStr">
        <is>
          <t>UPPSALA</t>
        </is>
      </c>
      <c r="F29" t="inlineStr">
        <is>
          <t>Holmen skog AB</t>
        </is>
      </c>
      <c r="G29" t="n">
        <v>3.6</v>
      </c>
      <c r="H29" t="n">
        <v>5</v>
      </c>
      <c r="I29" t="n">
        <v>2</v>
      </c>
      <c r="J29" t="n">
        <v>5</v>
      </c>
      <c r="K29" t="n">
        <v>1</v>
      </c>
      <c r="L29" t="n">
        <v>0</v>
      </c>
      <c r="M29" t="n">
        <v>0</v>
      </c>
      <c r="N29" t="n">
        <v>0</v>
      </c>
      <c r="O29" t="n">
        <v>6</v>
      </c>
      <c r="P29" t="n">
        <v>1</v>
      </c>
      <c r="Q29" t="n">
        <v>10</v>
      </c>
      <c r="R29" s="2" t="inlineStr">
        <is>
          <t>Knärot
Kortskaftad ärgspik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2021-2022</t>
        </is>
      </c>
      <c r="B30" s="1" t="n">
        <v>44575</v>
      </c>
      <c r="C30" s="1" t="n">
        <v>46138</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46138</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46138</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46138</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46138</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61014-2021</t>
        </is>
      </c>
      <c r="B35" s="1" t="n">
        <v>44497</v>
      </c>
      <c r="C35" s="1" t="n">
        <v>46138</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21674-2024</t>
        </is>
      </c>
      <c r="B36" s="1" t="n">
        <v>45442</v>
      </c>
      <c r="C36" s="1" t="n">
        <v>46138</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46138</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25608-2025</t>
        </is>
      </c>
      <c r="B38" s="1" t="n">
        <v>45803.55535879629</v>
      </c>
      <c r="C38" s="1" t="n">
        <v>46138</v>
      </c>
      <c r="D38" t="inlineStr">
        <is>
          <t>UPPSALA LÄN</t>
        </is>
      </c>
      <c r="E38" t="inlineStr">
        <is>
          <t>UPPSALA</t>
        </is>
      </c>
      <c r="F38" t="inlineStr">
        <is>
          <t>Holmen skog AB</t>
        </is>
      </c>
      <c r="G38" t="n">
        <v>3</v>
      </c>
      <c r="H38" t="n">
        <v>4</v>
      </c>
      <c r="I38" t="n">
        <v>2</v>
      </c>
      <c r="J38" t="n">
        <v>3</v>
      </c>
      <c r="K38" t="n">
        <v>2</v>
      </c>
      <c r="L38" t="n">
        <v>0</v>
      </c>
      <c r="M38" t="n">
        <v>0</v>
      </c>
      <c r="N38" t="n">
        <v>0</v>
      </c>
      <c r="O38" t="n">
        <v>5</v>
      </c>
      <c r="P38" t="n">
        <v>2</v>
      </c>
      <c r="Q38" t="n">
        <v>8</v>
      </c>
      <c r="R38" s="2" t="inlineStr">
        <is>
          <t>Knärot
Rynkskinn
Spillkråka
Talltita
Ullticka
Bronshjon
Stuplav
Blåsippa</t>
        </is>
      </c>
      <c r="S38">
        <f>HYPERLINK("https://klasma.github.io/Logging_0380/artfynd/A 25608-2025 artfynd.xlsx", "A 25608-2025")</f>
        <v/>
      </c>
      <c r="T38">
        <f>HYPERLINK("https://klasma.github.io/Logging_0380/kartor/A 25608-2025 karta.png", "A 25608-2025")</f>
        <v/>
      </c>
      <c r="U38">
        <f>HYPERLINK("https://klasma.github.io/Logging_0380/knärot/A 25608-2025 karta knärot.png", "A 25608-2025")</f>
        <v/>
      </c>
      <c r="V38">
        <f>HYPERLINK("https://klasma.github.io/Logging_0380/klagomål/A 25608-2025 FSC-klagomål.docx", "A 25608-2025")</f>
        <v/>
      </c>
      <c r="W38">
        <f>HYPERLINK("https://klasma.github.io/Logging_0380/klagomålsmail/A 25608-2025 FSC-klagomål mail.docx", "A 25608-2025")</f>
        <v/>
      </c>
      <c r="X38">
        <f>HYPERLINK("https://klasma.github.io/Logging_0380/tillsyn/A 25608-2025 tillsynsbegäran.docx", "A 25608-2025")</f>
        <v/>
      </c>
      <c r="Y38">
        <f>HYPERLINK("https://klasma.github.io/Logging_0380/tillsynsmail/A 25608-2025 tillsynsbegäran mail.docx", "A 25608-2025")</f>
        <v/>
      </c>
      <c r="Z38">
        <f>HYPERLINK("https://klasma.github.io/Logging_0380/fåglar/A 25608-2025 prioriterade fågelarter.docx", "A 25608-2025")</f>
        <v/>
      </c>
    </row>
    <row r="39" ht="15" customHeight="1">
      <c r="A39" t="inlineStr">
        <is>
          <t>A 34459-2022</t>
        </is>
      </c>
      <c r="B39" s="1" t="n">
        <v>44792</v>
      </c>
      <c r="C39" s="1" t="n">
        <v>46138</v>
      </c>
      <c r="D39" t="inlineStr">
        <is>
          <t>UPPSALA LÄN</t>
        </is>
      </c>
      <c r="E39" t="inlineStr">
        <is>
          <t>UPPSALA</t>
        </is>
      </c>
      <c r="F39" t="inlineStr">
        <is>
          <t>Kommuner</t>
        </is>
      </c>
      <c r="G39" t="n">
        <v>2.6</v>
      </c>
      <c r="H39" t="n">
        <v>6</v>
      </c>
      <c r="I39" t="n">
        <v>1</v>
      </c>
      <c r="J39" t="n">
        <v>1</v>
      </c>
      <c r="K39" t="n">
        <v>0</v>
      </c>
      <c r="L39" t="n">
        <v>1</v>
      </c>
      <c r="M39" t="n">
        <v>0</v>
      </c>
      <c r="N39" t="n">
        <v>0</v>
      </c>
      <c r="O39" t="n">
        <v>2</v>
      </c>
      <c r="P39" t="n">
        <v>1</v>
      </c>
      <c r="Q39" t="n">
        <v>8</v>
      </c>
      <c r="R39" s="2" t="inlineStr">
        <is>
          <t>Cinnoberbagge
Matt pricklav
Svart trolldruva
Gröngöling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c r="Z39">
        <f>HYPERLINK("https://klasma.github.io/Logging_0380/fåglar/A 34459-2022 prioriterade fågelarter.docx", "A 34459-2022")</f>
        <v/>
      </c>
    </row>
    <row r="40" ht="15" customHeight="1">
      <c r="A40" t="inlineStr">
        <is>
          <t>A 6180-2026</t>
        </is>
      </c>
      <c r="B40" s="1" t="n">
        <v>46055.35829861111</v>
      </c>
      <c r="C40" s="1" t="n">
        <v>46138</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46138</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33636-2025</t>
        </is>
      </c>
      <c r="B42" s="1" t="n">
        <v>45841.64539351852</v>
      </c>
      <c r="C42" s="1" t="n">
        <v>46138</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56363-2025</t>
        </is>
      </c>
      <c r="B43" s="1" t="n">
        <v>45974.6671412037</v>
      </c>
      <c r="C43" s="1" t="n">
        <v>46138</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33707-2025</t>
        </is>
      </c>
      <c r="B44" s="1" t="n">
        <v>45841.80690972223</v>
      </c>
      <c r="C44" s="1" t="n">
        <v>46138</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46138</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46138</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46138</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46138</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46138</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3100-2024</t>
        </is>
      </c>
      <c r="B50" s="1" t="n">
        <v>45316</v>
      </c>
      <c r="C50" s="1" t="n">
        <v>46138</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13546-2025</t>
        </is>
      </c>
      <c r="B51" s="1" t="n">
        <v>45736.53695601852</v>
      </c>
      <c r="C51" s="1" t="n">
        <v>46138</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27625-2023</t>
        </is>
      </c>
      <c r="B52" s="1" t="n">
        <v>45097</v>
      </c>
      <c r="C52" s="1" t="n">
        <v>46138</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27389-2021</t>
        </is>
      </c>
      <c r="B53" s="1" t="n">
        <v>44351</v>
      </c>
      <c r="C53" s="1" t="n">
        <v>46138</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44601-2025</t>
        </is>
      </c>
      <c r="B54" s="1" t="n">
        <v>45917.43857638889</v>
      </c>
      <c r="C54" s="1" t="n">
        <v>46138</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29803-2023</t>
        </is>
      </c>
      <c r="B55" s="1" t="n">
        <v>45107</v>
      </c>
      <c r="C55" s="1" t="n">
        <v>46138</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21809-2024</t>
        </is>
      </c>
      <c r="B56" s="1" t="n">
        <v>45442</v>
      </c>
      <c r="C56" s="1" t="n">
        <v>46138</v>
      </c>
      <c r="D56" t="inlineStr">
        <is>
          <t>UPPSALA LÄN</t>
        </is>
      </c>
      <c r="E56" t="inlineStr">
        <is>
          <t>UPPSALA</t>
        </is>
      </c>
      <c r="F56" t="inlineStr">
        <is>
          <t>Övriga statliga verk och myndigheter</t>
        </is>
      </c>
      <c r="G56" t="n">
        <v>6.6</v>
      </c>
      <c r="H56" t="n">
        <v>3</v>
      </c>
      <c r="I56" t="n">
        <v>1</v>
      </c>
      <c r="J56" t="n">
        <v>2</v>
      </c>
      <c r="K56" t="n">
        <v>0</v>
      </c>
      <c r="L56" t="n">
        <v>0</v>
      </c>
      <c r="M56" t="n">
        <v>0</v>
      </c>
      <c r="N56" t="n">
        <v>0</v>
      </c>
      <c r="O56" t="n">
        <v>2</v>
      </c>
      <c r="P56" t="n">
        <v>0</v>
      </c>
      <c r="Q56" t="n">
        <v>5</v>
      </c>
      <c r="R56" s="2" t="inlineStr">
        <is>
          <t>Igelkott
Nordfladdermus
Vågbandad barkbock
Dvärgpipistrell
Blåsippa</t>
        </is>
      </c>
      <c r="S56">
        <f>HYPERLINK("https://klasma.github.io/Logging_0380/artfynd/A 21809-2024 artfynd.xlsx", "A 21809-2024")</f>
        <v/>
      </c>
      <c r="T56">
        <f>HYPERLINK("https://klasma.github.io/Logging_0380/kartor/A 21809-2024 karta.png", "A 21809-2024")</f>
        <v/>
      </c>
      <c r="V56">
        <f>HYPERLINK("https://klasma.github.io/Logging_0380/klagomål/A 21809-2024 FSC-klagomål.docx", "A 21809-2024")</f>
        <v/>
      </c>
      <c r="W56">
        <f>HYPERLINK("https://klasma.github.io/Logging_0380/klagomålsmail/A 21809-2024 FSC-klagomål mail.docx", "A 21809-2024")</f>
        <v/>
      </c>
      <c r="X56">
        <f>HYPERLINK("https://klasma.github.io/Logging_0380/tillsyn/A 21809-2024 tillsynsbegäran.docx", "A 21809-2024")</f>
        <v/>
      </c>
      <c r="Y56">
        <f>HYPERLINK("https://klasma.github.io/Logging_0380/tillsynsmail/A 21809-2024 tillsynsbegäran mail.docx", "A 21809-2024")</f>
        <v/>
      </c>
    </row>
    <row r="57" ht="15" customHeight="1">
      <c r="A57" t="inlineStr">
        <is>
          <t>A 53870-2025</t>
        </is>
      </c>
      <c r="B57" s="1" t="n">
        <v>45961.38690972222</v>
      </c>
      <c r="C57" s="1" t="n">
        <v>46138</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53851-2025</t>
        </is>
      </c>
      <c r="B58" s="1" t="n">
        <v>45961.37217592593</v>
      </c>
      <c r="C58" s="1" t="n">
        <v>46138</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59538-2025</t>
        </is>
      </c>
      <c r="B59" s="1" t="n">
        <v>45989</v>
      </c>
      <c r="C59" s="1" t="n">
        <v>46138</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46138</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1725-2022</t>
        </is>
      </c>
      <c r="B61" s="1" t="n">
        <v>44574</v>
      </c>
      <c r="C61" s="1" t="n">
        <v>46138</v>
      </c>
      <c r="D61" t="inlineStr">
        <is>
          <t>UPPSALA LÄN</t>
        </is>
      </c>
      <c r="E61" t="inlineStr">
        <is>
          <t>UPPSALA</t>
        </is>
      </c>
      <c r="G61" t="n">
        <v>6.1</v>
      </c>
      <c r="H61" t="n">
        <v>1</v>
      </c>
      <c r="I61" t="n">
        <v>4</v>
      </c>
      <c r="J61" t="n">
        <v>1</v>
      </c>
      <c r="K61" t="n">
        <v>0</v>
      </c>
      <c r="L61" t="n">
        <v>0</v>
      </c>
      <c r="M61" t="n">
        <v>0</v>
      </c>
      <c r="N61" t="n">
        <v>0</v>
      </c>
      <c r="O61" t="n">
        <v>1</v>
      </c>
      <c r="P61" t="n">
        <v>0</v>
      </c>
      <c r="Q61" t="n">
        <v>5</v>
      </c>
      <c r="R61" s="2" t="inlineStr">
        <is>
          <t>Järpe
Fjällig taggsvamp s.str.
Fällmossa
Platt fjädermossa
Stubbspretmossa</t>
        </is>
      </c>
      <c r="S61">
        <f>HYPERLINK("https://klasma.github.io/Logging_0380/artfynd/A 1725-2022 artfynd.xlsx", "A 1725-2022")</f>
        <v/>
      </c>
      <c r="T61">
        <f>HYPERLINK("https://klasma.github.io/Logging_0380/kartor/A 1725-2022 karta.png", "A 1725-2022")</f>
        <v/>
      </c>
      <c r="V61">
        <f>HYPERLINK("https://klasma.github.io/Logging_0380/klagomål/A 1725-2022 FSC-klagomål.docx", "A 1725-2022")</f>
        <v/>
      </c>
      <c r="W61">
        <f>HYPERLINK("https://klasma.github.io/Logging_0380/klagomålsmail/A 1725-2022 FSC-klagomål mail.docx", "A 1725-2022")</f>
        <v/>
      </c>
      <c r="X61">
        <f>HYPERLINK("https://klasma.github.io/Logging_0380/tillsyn/A 1725-2022 tillsynsbegäran.docx", "A 1725-2022")</f>
        <v/>
      </c>
      <c r="Y61">
        <f>HYPERLINK("https://klasma.github.io/Logging_0380/tillsynsmail/A 1725-2022 tillsynsbegäran mail.docx", "A 1725-2022")</f>
        <v/>
      </c>
      <c r="Z61">
        <f>HYPERLINK("https://klasma.github.io/Logging_0380/fåglar/A 1725-2022 prioriterade fågelarter.docx", "A 1725-2022")</f>
        <v/>
      </c>
    </row>
    <row r="62" ht="15" customHeight="1">
      <c r="A62" t="inlineStr">
        <is>
          <t>A 23153-2022</t>
        </is>
      </c>
      <c r="B62" s="1" t="n">
        <v>44719</v>
      </c>
      <c r="C62" s="1" t="n">
        <v>46138</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46138</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11217-2024</t>
        </is>
      </c>
      <c r="B64" s="1" t="n">
        <v>45371</v>
      </c>
      <c r="C64" s="1" t="n">
        <v>46138</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42581-2025</t>
        </is>
      </c>
      <c r="B65" s="1" t="n">
        <v>45905.62541666667</v>
      </c>
      <c r="C65" s="1" t="n">
        <v>46138</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46138</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51875-2025</t>
        </is>
      </c>
      <c r="B67" s="1" t="n">
        <v>45952.39770833333</v>
      </c>
      <c r="C67" s="1" t="n">
        <v>46138</v>
      </c>
      <c r="D67" t="inlineStr">
        <is>
          <t>UPPSALA LÄN</t>
        </is>
      </c>
      <c r="E67" t="inlineStr">
        <is>
          <t>UPPSALA</t>
        </is>
      </c>
      <c r="G67" t="n">
        <v>15.5</v>
      </c>
      <c r="H67" t="n">
        <v>0</v>
      </c>
      <c r="I67" t="n">
        <v>1</v>
      </c>
      <c r="J67" t="n">
        <v>3</v>
      </c>
      <c r="K67" t="n">
        <v>0</v>
      </c>
      <c r="L67" t="n">
        <v>0</v>
      </c>
      <c r="M67" t="n">
        <v>0</v>
      </c>
      <c r="N67" t="n">
        <v>0</v>
      </c>
      <c r="O67" t="n">
        <v>3</v>
      </c>
      <c r="P67" t="n">
        <v>0</v>
      </c>
      <c r="Q67" t="n">
        <v>4</v>
      </c>
      <c r="R67" s="2" t="inlineStr">
        <is>
          <t>Kortskaftad ärgspik
Orange taggsvamp
Vedtrappmossa
Källpraktmossa</t>
        </is>
      </c>
      <c r="S67">
        <f>HYPERLINK("https://klasma.github.io/Logging_0380/artfynd/A 51875-2025 artfynd.xlsx", "A 51875-2025")</f>
        <v/>
      </c>
      <c r="T67">
        <f>HYPERLINK("https://klasma.github.io/Logging_0380/kartor/A 51875-2025 karta.png", "A 51875-2025")</f>
        <v/>
      </c>
      <c r="V67">
        <f>HYPERLINK("https://klasma.github.io/Logging_0380/klagomål/A 51875-2025 FSC-klagomål.docx", "A 51875-2025")</f>
        <v/>
      </c>
      <c r="W67">
        <f>HYPERLINK("https://klasma.github.io/Logging_0380/klagomålsmail/A 51875-2025 FSC-klagomål mail.docx", "A 51875-2025")</f>
        <v/>
      </c>
      <c r="X67">
        <f>HYPERLINK("https://klasma.github.io/Logging_0380/tillsyn/A 51875-2025 tillsynsbegäran.docx", "A 51875-2025")</f>
        <v/>
      </c>
      <c r="Y67">
        <f>HYPERLINK("https://klasma.github.io/Logging_0380/tillsynsmail/A 51875-2025 tillsynsbegäran mail.docx", "A 51875-2025")</f>
        <v/>
      </c>
    </row>
    <row r="68" ht="15" customHeight="1">
      <c r="A68" t="inlineStr">
        <is>
          <t>A 26758-2022</t>
        </is>
      </c>
      <c r="B68" s="1" t="n">
        <v>44740</v>
      </c>
      <c r="C68" s="1" t="n">
        <v>46138</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15297-2022</t>
        </is>
      </c>
      <c r="B69" s="1" t="n">
        <v>44659</v>
      </c>
      <c r="C69" s="1" t="n">
        <v>46138</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37004-2025</t>
        </is>
      </c>
      <c r="B70" s="1" t="n">
        <v>45874.69282407407</v>
      </c>
      <c r="C70" s="1" t="n">
        <v>46138</v>
      </c>
      <c r="D70" t="inlineStr">
        <is>
          <t>UPPSALA LÄN</t>
        </is>
      </c>
      <c r="E70" t="inlineStr">
        <is>
          <t>UPPSALA</t>
        </is>
      </c>
      <c r="G70" t="n">
        <v>15.8</v>
      </c>
      <c r="H70" t="n">
        <v>2</v>
      </c>
      <c r="I70" t="n">
        <v>1</v>
      </c>
      <c r="J70" t="n">
        <v>2</v>
      </c>
      <c r="K70" t="n">
        <v>0</v>
      </c>
      <c r="L70" t="n">
        <v>0</v>
      </c>
      <c r="M70" t="n">
        <v>0</v>
      </c>
      <c r="N70" t="n">
        <v>0</v>
      </c>
      <c r="O70" t="n">
        <v>2</v>
      </c>
      <c r="P70" t="n">
        <v>0</v>
      </c>
      <c r="Q70" t="n">
        <v>4</v>
      </c>
      <c r="R70" s="2" t="inlineStr">
        <is>
          <t>Gulsparv
Skogshare
Mindre märgborre
Vanlig padda</t>
        </is>
      </c>
      <c r="S70">
        <f>HYPERLINK("https://klasma.github.io/Logging_0380/artfynd/A 37004-2025 artfynd.xlsx", "A 37004-2025")</f>
        <v/>
      </c>
      <c r="T70">
        <f>HYPERLINK("https://klasma.github.io/Logging_0380/kartor/A 37004-2025 karta.png", "A 37004-2025")</f>
        <v/>
      </c>
      <c r="V70">
        <f>HYPERLINK("https://klasma.github.io/Logging_0380/klagomål/A 37004-2025 FSC-klagomål.docx", "A 37004-2025")</f>
        <v/>
      </c>
      <c r="W70">
        <f>HYPERLINK("https://klasma.github.io/Logging_0380/klagomålsmail/A 37004-2025 FSC-klagomål mail.docx", "A 37004-2025")</f>
        <v/>
      </c>
      <c r="X70">
        <f>HYPERLINK("https://klasma.github.io/Logging_0380/tillsyn/A 37004-2025 tillsynsbegäran.docx", "A 37004-2025")</f>
        <v/>
      </c>
      <c r="Y70">
        <f>HYPERLINK("https://klasma.github.io/Logging_0380/tillsynsmail/A 37004-2025 tillsynsbegäran mail.docx", "A 37004-2025")</f>
        <v/>
      </c>
      <c r="Z70">
        <f>HYPERLINK("https://klasma.github.io/Logging_0380/fåglar/A 37004-2025 prioriterade fågelarter.docx", "A 37004-2025")</f>
        <v/>
      </c>
    </row>
    <row r="71" ht="15" customHeight="1">
      <c r="A71" t="inlineStr">
        <is>
          <t>A 8323-2023</t>
        </is>
      </c>
      <c r="B71" s="1" t="n">
        <v>44974</v>
      </c>
      <c r="C71" s="1" t="n">
        <v>46138</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Tallkötticka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62004-2025</t>
        </is>
      </c>
      <c r="B72" s="1" t="n">
        <v>46003.66043981481</v>
      </c>
      <c r="C72" s="1" t="n">
        <v>46138</v>
      </c>
      <c r="D72" t="inlineStr">
        <is>
          <t>UPPSALA LÄN</t>
        </is>
      </c>
      <c r="E72" t="inlineStr">
        <is>
          <t>UPPSALA</t>
        </is>
      </c>
      <c r="G72" t="n">
        <v>7.2</v>
      </c>
      <c r="H72" t="n">
        <v>3</v>
      </c>
      <c r="I72" t="n">
        <v>0</v>
      </c>
      <c r="J72" t="n">
        <v>2</v>
      </c>
      <c r="K72" t="n">
        <v>1</v>
      </c>
      <c r="L72" t="n">
        <v>0</v>
      </c>
      <c r="M72" t="n">
        <v>0</v>
      </c>
      <c r="N72" t="n">
        <v>0</v>
      </c>
      <c r="O72" t="n">
        <v>3</v>
      </c>
      <c r="P72" t="n">
        <v>1</v>
      </c>
      <c r="Q72" t="n">
        <v>4</v>
      </c>
      <c r="R72" s="2" t="inlineStr">
        <is>
          <t>Knärot
Spillkråka
Vedtrappmossa
Revlummer</t>
        </is>
      </c>
      <c r="S72">
        <f>HYPERLINK("https://klasma.github.io/Logging_0380/artfynd/A 62004-2025 artfynd.xlsx", "A 62004-2025")</f>
        <v/>
      </c>
      <c r="T72">
        <f>HYPERLINK("https://klasma.github.io/Logging_0380/kartor/A 62004-2025 karta.png", "A 62004-2025")</f>
        <v/>
      </c>
      <c r="U72">
        <f>HYPERLINK("https://klasma.github.io/Logging_0380/knärot/A 62004-2025 karta knärot.png", "A 62004-2025")</f>
        <v/>
      </c>
      <c r="V72">
        <f>HYPERLINK("https://klasma.github.io/Logging_0380/klagomål/A 62004-2025 FSC-klagomål.docx", "A 62004-2025")</f>
        <v/>
      </c>
      <c r="W72">
        <f>HYPERLINK("https://klasma.github.io/Logging_0380/klagomålsmail/A 62004-2025 FSC-klagomål mail.docx", "A 62004-2025")</f>
        <v/>
      </c>
      <c r="X72">
        <f>HYPERLINK("https://klasma.github.io/Logging_0380/tillsyn/A 62004-2025 tillsynsbegäran.docx", "A 62004-2025")</f>
        <v/>
      </c>
      <c r="Y72">
        <f>HYPERLINK("https://klasma.github.io/Logging_0380/tillsynsmail/A 62004-2025 tillsynsbegäran mail.docx", "A 62004-2025")</f>
        <v/>
      </c>
      <c r="Z72">
        <f>HYPERLINK("https://klasma.github.io/Logging_0380/fåglar/A 62004-2025 prioriterade fågelarter.docx", "A 62004-2025")</f>
        <v/>
      </c>
    </row>
    <row r="73" ht="15" customHeight="1">
      <c r="A73" t="inlineStr">
        <is>
          <t>A 2524-2026</t>
        </is>
      </c>
      <c r="B73" s="1" t="n">
        <v>46037.42877314815</v>
      </c>
      <c r="C73" s="1" t="n">
        <v>46138</v>
      </c>
      <c r="D73" t="inlineStr">
        <is>
          <t>UPPSALA LÄN</t>
        </is>
      </c>
      <c r="E73" t="inlineStr">
        <is>
          <t>UPPSALA</t>
        </is>
      </c>
      <c r="F73" t="inlineStr">
        <is>
          <t>Allmännings- och besparingsskogar</t>
        </is>
      </c>
      <c r="G73" t="n">
        <v>13.4</v>
      </c>
      <c r="H73" t="n">
        <v>2</v>
      </c>
      <c r="I73" t="n">
        <v>1</v>
      </c>
      <c r="J73" t="n">
        <v>1</v>
      </c>
      <c r="K73" t="n">
        <v>1</v>
      </c>
      <c r="L73" t="n">
        <v>0</v>
      </c>
      <c r="M73" t="n">
        <v>0</v>
      </c>
      <c r="N73" t="n">
        <v>0</v>
      </c>
      <c r="O73" t="n">
        <v>2</v>
      </c>
      <c r="P73" t="n">
        <v>1</v>
      </c>
      <c r="Q73" t="n">
        <v>4</v>
      </c>
      <c r="R73" s="2" t="inlineStr">
        <is>
          <t>Vågticka
Spillkråka
Blodticka
Tjäder</t>
        </is>
      </c>
      <c r="S73">
        <f>HYPERLINK("https://klasma.github.io/Logging_0380/artfynd/A 2524-2026 artfynd.xlsx", "A 2524-2026")</f>
        <v/>
      </c>
      <c r="T73">
        <f>HYPERLINK("https://klasma.github.io/Logging_0380/kartor/A 2524-2026 karta.png", "A 2524-2026")</f>
        <v/>
      </c>
      <c r="V73">
        <f>HYPERLINK("https://klasma.github.io/Logging_0380/klagomål/A 2524-2026 FSC-klagomål.docx", "A 2524-2026")</f>
        <v/>
      </c>
      <c r="W73">
        <f>HYPERLINK("https://klasma.github.io/Logging_0380/klagomålsmail/A 2524-2026 FSC-klagomål mail.docx", "A 2524-2026")</f>
        <v/>
      </c>
      <c r="X73">
        <f>HYPERLINK("https://klasma.github.io/Logging_0380/tillsyn/A 2524-2026 tillsynsbegäran.docx", "A 2524-2026")</f>
        <v/>
      </c>
      <c r="Y73">
        <f>HYPERLINK("https://klasma.github.io/Logging_0380/tillsynsmail/A 2524-2026 tillsynsbegäran mail.docx", "A 2524-2026")</f>
        <v/>
      </c>
      <c r="Z73">
        <f>HYPERLINK("https://klasma.github.io/Logging_0380/fåglar/A 2524-2026 prioriterade fågelarter.docx", "A 2524-2026")</f>
        <v/>
      </c>
    </row>
    <row r="74" ht="15" customHeight="1">
      <c r="A74" t="inlineStr">
        <is>
          <t>A 34147-2022</t>
        </is>
      </c>
      <c r="B74" s="1" t="n">
        <v>44791</v>
      </c>
      <c r="C74" s="1" t="n">
        <v>46138</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46138</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46138</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60038-2021</t>
        </is>
      </c>
      <c r="B77" s="1" t="n">
        <v>44495</v>
      </c>
      <c r="C77" s="1" t="n">
        <v>46138</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25943-2023</t>
        </is>
      </c>
      <c r="B78" s="1" t="n">
        <v>45090</v>
      </c>
      <c r="C78" s="1" t="n">
        <v>46138</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43280-2025</t>
        </is>
      </c>
      <c r="B79" s="1" t="n">
        <v>45910.59475694445</v>
      </c>
      <c r="C79" s="1" t="n">
        <v>46138</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43280-2025 artfynd.xlsx", "A 43280-2025")</f>
        <v/>
      </c>
      <c r="T79">
        <f>HYPERLINK("https://klasma.github.io/Logging_0380/kartor/A 43280-2025 karta.png", "A 43280-2025")</f>
        <v/>
      </c>
      <c r="V79">
        <f>HYPERLINK("https://klasma.github.io/Logging_0380/klagomål/A 43280-2025 FSC-klagomål.docx", "A 43280-2025")</f>
        <v/>
      </c>
      <c r="W79">
        <f>HYPERLINK("https://klasma.github.io/Logging_0380/klagomålsmail/A 43280-2025 FSC-klagomål mail.docx", "A 43280-2025")</f>
        <v/>
      </c>
      <c r="X79">
        <f>HYPERLINK("https://klasma.github.io/Logging_0380/tillsyn/A 43280-2025 tillsynsbegäran.docx", "A 43280-2025")</f>
        <v/>
      </c>
      <c r="Y79">
        <f>HYPERLINK("https://klasma.github.io/Logging_0380/tillsynsmail/A 43280-2025 tillsynsbegäran mail.docx", "A 43280-2025")</f>
        <v/>
      </c>
    </row>
    <row r="80" ht="15" customHeight="1">
      <c r="A80" t="inlineStr">
        <is>
          <t>A 43278-2025</t>
        </is>
      </c>
      <c r="B80" s="1" t="n">
        <v>45910.59415509259</v>
      </c>
      <c r="C80" s="1" t="n">
        <v>46138</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43278-2025 artfynd.xlsx", "A 43278-2025")</f>
        <v/>
      </c>
      <c r="T80">
        <f>HYPERLINK("https://klasma.github.io/Logging_0380/kartor/A 43278-2025 karta.png", "A 43278-2025")</f>
        <v/>
      </c>
      <c r="V80">
        <f>HYPERLINK("https://klasma.github.io/Logging_0380/klagomål/A 43278-2025 FSC-klagomål.docx", "A 43278-2025")</f>
        <v/>
      </c>
      <c r="W80">
        <f>HYPERLINK("https://klasma.github.io/Logging_0380/klagomålsmail/A 43278-2025 FSC-klagomål mail.docx", "A 43278-2025")</f>
        <v/>
      </c>
      <c r="X80">
        <f>HYPERLINK("https://klasma.github.io/Logging_0380/tillsyn/A 43278-2025 tillsynsbegäran.docx", "A 43278-2025")</f>
        <v/>
      </c>
      <c r="Y80">
        <f>HYPERLINK("https://klasma.github.io/Logging_0380/tillsynsmail/A 43278-2025 tillsynsbegäran mail.docx", "A 43278-2025")</f>
        <v/>
      </c>
    </row>
    <row r="81" ht="15" customHeight="1">
      <c r="A81" t="inlineStr">
        <is>
          <t>A 45627-2025</t>
        </is>
      </c>
      <c r="B81" s="1" t="n">
        <v>45922.80255787037</v>
      </c>
      <c r="C81" s="1" t="n">
        <v>46138</v>
      </c>
      <c r="D81" t="inlineStr">
        <is>
          <t>UPPSALA LÄN</t>
        </is>
      </c>
      <c r="E81" t="inlineStr">
        <is>
          <t>UPPSALA</t>
        </is>
      </c>
      <c r="G81" t="n">
        <v>4</v>
      </c>
      <c r="H81" t="n">
        <v>2</v>
      </c>
      <c r="I81" t="n">
        <v>0</v>
      </c>
      <c r="J81" t="n">
        <v>3</v>
      </c>
      <c r="K81" t="n">
        <v>0</v>
      </c>
      <c r="L81" t="n">
        <v>0</v>
      </c>
      <c r="M81" t="n">
        <v>0</v>
      </c>
      <c r="N81" t="n">
        <v>0</v>
      </c>
      <c r="O81" t="n">
        <v>3</v>
      </c>
      <c r="P81" t="n">
        <v>0</v>
      </c>
      <c r="Q81" t="n">
        <v>3</v>
      </c>
      <c r="R81" s="2" t="inlineStr">
        <is>
          <t>Kungsspindling
Spillkråka
Talltita</t>
        </is>
      </c>
      <c r="S81">
        <f>HYPERLINK("https://klasma.github.io/Logging_0380/artfynd/A 45627-2025 artfynd.xlsx", "A 45627-2025")</f>
        <v/>
      </c>
      <c r="T81">
        <f>HYPERLINK("https://klasma.github.io/Logging_0380/kartor/A 45627-2025 karta.png", "A 45627-2025")</f>
        <v/>
      </c>
      <c r="V81">
        <f>HYPERLINK("https://klasma.github.io/Logging_0380/klagomål/A 45627-2025 FSC-klagomål.docx", "A 45627-2025")</f>
        <v/>
      </c>
      <c r="W81">
        <f>HYPERLINK("https://klasma.github.io/Logging_0380/klagomålsmail/A 45627-2025 FSC-klagomål mail.docx", "A 45627-2025")</f>
        <v/>
      </c>
      <c r="X81">
        <f>HYPERLINK("https://klasma.github.io/Logging_0380/tillsyn/A 45627-2025 tillsynsbegäran.docx", "A 45627-2025")</f>
        <v/>
      </c>
      <c r="Y81">
        <f>HYPERLINK("https://klasma.github.io/Logging_0380/tillsynsmail/A 45627-2025 tillsynsbegäran mail.docx", "A 45627-2025")</f>
        <v/>
      </c>
      <c r="Z81">
        <f>HYPERLINK("https://klasma.github.io/Logging_0380/fåglar/A 45627-2025 prioriterade fågelarter.docx", "A 45627-2025")</f>
        <v/>
      </c>
    </row>
    <row r="82" ht="15" customHeight="1">
      <c r="A82" t="inlineStr">
        <is>
          <t>A 30716-2025</t>
        </is>
      </c>
      <c r="B82" s="1" t="n">
        <v>45831.55982638889</v>
      </c>
      <c r="C82" s="1" t="n">
        <v>46138</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55788-2025</t>
        </is>
      </c>
      <c r="B83" s="1" t="n">
        <v>45972.64483796297</v>
      </c>
      <c r="C83" s="1" t="n">
        <v>46138</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18079-2022</t>
        </is>
      </c>
      <c r="B84" s="1" t="n">
        <v>44684</v>
      </c>
      <c r="C84" s="1" t="n">
        <v>46138</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17277-2023</t>
        </is>
      </c>
      <c r="B85" s="1" t="n">
        <v>45035.44672453704</v>
      </c>
      <c r="C85" s="1" t="n">
        <v>46138</v>
      </c>
      <c r="D85" t="inlineStr">
        <is>
          <t>UPPSALA LÄN</t>
        </is>
      </c>
      <c r="E85" t="inlineStr">
        <is>
          <t>UPPSALA</t>
        </is>
      </c>
      <c r="F85" t="inlineStr">
        <is>
          <t>Övriga Aktiebolag</t>
        </is>
      </c>
      <c r="G85" t="n">
        <v>6.1</v>
      </c>
      <c r="H85" t="n">
        <v>3</v>
      </c>
      <c r="I85" t="n">
        <v>0</v>
      </c>
      <c r="J85" t="n">
        <v>2</v>
      </c>
      <c r="K85" t="n">
        <v>0</v>
      </c>
      <c r="L85" t="n">
        <v>0</v>
      </c>
      <c r="M85" t="n">
        <v>0</v>
      </c>
      <c r="N85" t="n">
        <v>0</v>
      </c>
      <c r="O85" t="n">
        <v>2</v>
      </c>
      <c r="P85" t="n">
        <v>0</v>
      </c>
      <c r="Q85" t="n">
        <v>3</v>
      </c>
      <c r="R85" s="2" t="inlineStr">
        <is>
          <t>Duvhök
Slaguggla
Trana</t>
        </is>
      </c>
      <c r="S85">
        <f>HYPERLINK("https://klasma.github.io/Logging_0380/artfynd/A 17277-2023 artfynd.xlsx", "A 17277-2023")</f>
        <v/>
      </c>
      <c r="T85">
        <f>HYPERLINK("https://klasma.github.io/Logging_0380/kartor/A 17277-2023 karta.png", "A 17277-2023")</f>
        <v/>
      </c>
      <c r="V85">
        <f>HYPERLINK("https://klasma.github.io/Logging_0380/klagomål/A 17277-2023 FSC-klagomål.docx", "A 17277-2023")</f>
        <v/>
      </c>
      <c r="W85">
        <f>HYPERLINK("https://klasma.github.io/Logging_0380/klagomålsmail/A 17277-2023 FSC-klagomål mail.docx", "A 17277-2023")</f>
        <v/>
      </c>
      <c r="X85">
        <f>HYPERLINK("https://klasma.github.io/Logging_0380/tillsyn/A 17277-2023 tillsynsbegäran.docx", "A 17277-2023")</f>
        <v/>
      </c>
      <c r="Y85">
        <f>HYPERLINK("https://klasma.github.io/Logging_0380/tillsynsmail/A 17277-2023 tillsynsbegäran mail.docx", "A 17277-2023")</f>
        <v/>
      </c>
      <c r="Z85">
        <f>HYPERLINK("https://klasma.github.io/Logging_0380/fåglar/A 17277-2023 prioriterade fågelarter.docx", "A 17277-2023")</f>
        <v/>
      </c>
    </row>
    <row r="86" ht="15" customHeight="1">
      <c r="A86" t="inlineStr">
        <is>
          <t>A 6044-2024</t>
        </is>
      </c>
      <c r="B86" s="1" t="n">
        <v>45336</v>
      </c>
      <c r="C86" s="1" t="n">
        <v>46138</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36471-2022</t>
        </is>
      </c>
      <c r="B87" s="1" t="n">
        <v>44804</v>
      </c>
      <c r="C87" s="1" t="n">
        <v>46138</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17679-2026</t>
        </is>
      </c>
      <c r="B88" s="1" t="n">
        <v>46121.6049537037</v>
      </c>
      <c r="C88" s="1" t="n">
        <v>46138</v>
      </c>
      <c r="D88" t="inlineStr">
        <is>
          <t>UPPSALA LÄN</t>
        </is>
      </c>
      <c r="E88" t="inlineStr">
        <is>
          <t>UPPSALA</t>
        </is>
      </c>
      <c r="G88" t="n">
        <v>2.4</v>
      </c>
      <c r="H88" t="n">
        <v>2</v>
      </c>
      <c r="I88" t="n">
        <v>0</v>
      </c>
      <c r="J88" t="n">
        <v>2</v>
      </c>
      <c r="K88" t="n">
        <v>0</v>
      </c>
      <c r="L88" t="n">
        <v>0</v>
      </c>
      <c r="M88" t="n">
        <v>0</v>
      </c>
      <c r="N88" t="n">
        <v>0</v>
      </c>
      <c r="O88" t="n">
        <v>2</v>
      </c>
      <c r="P88" t="n">
        <v>0</v>
      </c>
      <c r="Q88" t="n">
        <v>3</v>
      </c>
      <c r="R88" s="2" t="inlineStr">
        <is>
          <t>Nordfladdermus
Tallkötticka
Kungsfågel</t>
        </is>
      </c>
      <c r="S88">
        <f>HYPERLINK("https://klasma.github.io/Logging_0380/artfynd/A 17679-2026 artfynd.xlsx", "A 17679-2026")</f>
        <v/>
      </c>
      <c r="T88">
        <f>HYPERLINK("https://klasma.github.io/Logging_0380/kartor/A 17679-2026 karta.png", "A 17679-2026")</f>
        <v/>
      </c>
      <c r="V88">
        <f>HYPERLINK("https://klasma.github.io/Logging_0380/klagomål/A 17679-2026 FSC-klagomål.docx", "A 17679-2026")</f>
        <v/>
      </c>
      <c r="W88">
        <f>HYPERLINK("https://klasma.github.io/Logging_0380/klagomålsmail/A 17679-2026 FSC-klagomål mail.docx", "A 17679-2026")</f>
        <v/>
      </c>
      <c r="X88">
        <f>HYPERLINK("https://klasma.github.io/Logging_0380/tillsyn/A 17679-2026 tillsynsbegäran.docx", "A 17679-2026")</f>
        <v/>
      </c>
      <c r="Y88">
        <f>HYPERLINK("https://klasma.github.io/Logging_0380/tillsynsmail/A 17679-2026 tillsynsbegäran mail.docx", "A 17679-2026")</f>
        <v/>
      </c>
      <c r="Z88">
        <f>HYPERLINK("https://klasma.github.io/Logging_0380/fåglar/A 17679-2026 prioriterade fågelarter.docx", "A 17679-2026")</f>
        <v/>
      </c>
    </row>
    <row r="89" ht="15" customHeight="1">
      <c r="A89" t="inlineStr">
        <is>
          <t>A 13085-2026</t>
        </is>
      </c>
      <c r="B89" s="1" t="n">
        <v>46093.38986111111</v>
      </c>
      <c r="C89" s="1" t="n">
        <v>46138</v>
      </c>
      <c r="D89" t="inlineStr">
        <is>
          <t>UPPSALA LÄN</t>
        </is>
      </c>
      <c r="E89" t="inlineStr">
        <is>
          <t>UPPSALA</t>
        </is>
      </c>
      <c r="G89" t="n">
        <v>2.2</v>
      </c>
      <c r="H89" t="n">
        <v>1</v>
      </c>
      <c r="I89" t="n">
        <v>2</v>
      </c>
      <c r="J89" t="n">
        <v>0</v>
      </c>
      <c r="K89" t="n">
        <v>0</v>
      </c>
      <c r="L89" t="n">
        <v>0</v>
      </c>
      <c r="M89" t="n">
        <v>0</v>
      </c>
      <c r="N89" t="n">
        <v>0</v>
      </c>
      <c r="O89" t="n">
        <v>0</v>
      </c>
      <c r="P89" t="n">
        <v>0</v>
      </c>
      <c r="Q89" t="n">
        <v>3</v>
      </c>
      <c r="R89" s="2" t="inlineStr">
        <is>
          <t>Svart trolldruva
Vårärt
Blåsippa</t>
        </is>
      </c>
      <c r="S89">
        <f>HYPERLINK("https://klasma.github.io/Logging_0380/artfynd/A 13085-2026 artfynd.xlsx", "A 13085-2026")</f>
        <v/>
      </c>
      <c r="T89">
        <f>HYPERLINK("https://klasma.github.io/Logging_0380/kartor/A 13085-2026 karta.png", "A 13085-2026")</f>
        <v/>
      </c>
      <c r="V89">
        <f>HYPERLINK("https://klasma.github.io/Logging_0380/klagomål/A 13085-2026 FSC-klagomål.docx", "A 13085-2026")</f>
        <v/>
      </c>
      <c r="W89">
        <f>HYPERLINK("https://klasma.github.io/Logging_0380/klagomålsmail/A 13085-2026 FSC-klagomål mail.docx", "A 13085-2026")</f>
        <v/>
      </c>
      <c r="X89">
        <f>HYPERLINK("https://klasma.github.io/Logging_0380/tillsyn/A 13085-2026 tillsynsbegäran.docx", "A 13085-2026")</f>
        <v/>
      </c>
      <c r="Y89">
        <f>HYPERLINK("https://klasma.github.io/Logging_0380/tillsynsmail/A 13085-2026 tillsynsbegäran mail.docx", "A 13085-2026")</f>
        <v/>
      </c>
    </row>
    <row r="90" ht="15" customHeight="1">
      <c r="A90" t="inlineStr">
        <is>
          <t>A 5755-2025</t>
        </is>
      </c>
      <c r="B90" s="1" t="n">
        <v>45694.55559027778</v>
      </c>
      <c r="C90" s="1" t="n">
        <v>46138</v>
      </c>
      <c r="D90" t="inlineStr">
        <is>
          <t>UPPSALA LÄN</t>
        </is>
      </c>
      <c r="E90" t="inlineStr">
        <is>
          <t>UPPSALA</t>
        </is>
      </c>
      <c r="G90" t="n">
        <v>1.3</v>
      </c>
      <c r="H90" t="n">
        <v>0</v>
      </c>
      <c r="I90" t="n">
        <v>2</v>
      </c>
      <c r="J90" t="n">
        <v>0</v>
      </c>
      <c r="K90" t="n">
        <v>0</v>
      </c>
      <c r="L90" t="n">
        <v>0</v>
      </c>
      <c r="M90" t="n">
        <v>0</v>
      </c>
      <c r="N90" t="n">
        <v>0</v>
      </c>
      <c r="O90" t="n">
        <v>0</v>
      </c>
      <c r="P90" t="n">
        <v>0</v>
      </c>
      <c r="Q90" t="n">
        <v>2</v>
      </c>
      <c r="R90" s="2" t="inlineStr">
        <is>
          <t>Fällmossa
Hasselticka</t>
        </is>
      </c>
      <c r="S90">
        <f>HYPERLINK("https://klasma.github.io/Logging_0380/artfynd/A 5755-2025 artfynd.xlsx", "A 5755-2025")</f>
        <v/>
      </c>
      <c r="T90">
        <f>HYPERLINK("https://klasma.github.io/Logging_0380/kartor/A 5755-2025 karta.png", "A 5755-2025")</f>
        <v/>
      </c>
      <c r="V90">
        <f>HYPERLINK("https://klasma.github.io/Logging_0380/klagomål/A 5755-2025 FSC-klagomål.docx", "A 5755-2025")</f>
        <v/>
      </c>
      <c r="W90">
        <f>HYPERLINK("https://klasma.github.io/Logging_0380/klagomålsmail/A 5755-2025 FSC-klagomål mail.docx", "A 5755-2025")</f>
        <v/>
      </c>
      <c r="X90">
        <f>HYPERLINK("https://klasma.github.io/Logging_0380/tillsyn/A 5755-2025 tillsynsbegäran.docx", "A 5755-2025")</f>
        <v/>
      </c>
      <c r="Y90">
        <f>HYPERLINK("https://klasma.github.io/Logging_0380/tillsynsmail/A 5755-2025 tillsynsbegäran mail.docx", "A 5755-2025")</f>
        <v/>
      </c>
    </row>
    <row r="91" ht="15" customHeight="1">
      <c r="A91" t="inlineStr">
        <is>
          <t>A 6998-2023</t>
        </is>
      </c>
      <c r="B91" s="1" t="n">
        <v>44967</v>
      </c>
      <c r="C91" s="1" t="n">
        <v>46138</v>
      </c>
      <c r="D91" t="inlineStr">
        <is>
          <t>UPPSALA LÄN</t>
        </is>
      </c>
      <c r="E91" t="inlineStr">
        <is>
          <t>UPPSALA</t>
        </is>
      </c>
      <c r="G91" t="n">
        <v>8.4</v>
      </c>
      <c r="H91" t="n">
        <v>2</v>
      </c>
      <c r="I91" t="n">
        <v>0</v>
      </c>
      <c r="J91" t="n">
        <v>0</v>
      </c>
      <c r="K91" t="n">
        <v>0</v>
      </c>
      <c r="L91" t="n">
        <v>0</v>
      </c>
      <c r="M91" t="n">
        <v>0</v>
      </c>
      <c r="N91" t="n">
        <v>0</v>
      </c>
      <c r="O91" t="n">
        <v>0</v>
      </c>
      <c r="P91" t="n">
        <v>0</v>
      </c>
      <c r="Q91" t="n">
        <v>2</v>
      </c>
      <c r="R91" s="2" t="inlineStr">
        <is>
          <t>Nattviol
Blåsippa</t>
        </is>
      </c>
      <c r="S91">
        <f>HYPERLINK("https://klasma.github.io/Logging_0380/artfynd/A 6998-2023 artfynd.xlsx", "A 6998-2023")</f>
        <v/>
      </c>
      <c r="T91">
        <f>HYPERLINK("https://klasma.github.io/Logging_0380/kartor/A 6998-2023 karta.png", "A 6998-2023")</f>
        <v/>
      </c>
      <c r="V91">
        <f>HYPERLINK("https://klasma.github.io/Logging_0380/klagomål/A 6998-2023 FSC-klagomål.docx", "A 6998-2023")</f>
        <v/>
      </c>
      <c r="W91">
        <f>HYPERLINK("https://klasma.github.io/Logging_0380/klagomålsmail/A 6998-2023 FSC-klagomål mail.docx", "A 6998-2023")</f>
        <v/>
      </c>
      <c r="X91">
        <f>HYPERLINK("https://klasma.github.io/Logging_0380/tillsyn/A 6998-2023 tillsynsbegäran.docx", "A 6998-2023")</f>
        <v/>
      </c>
      <c r="Y91">
        <f>HYPERLINK("https://klasma.github.io/Logging_0380/tillsynsmail/A 6998-2023 tillsynsbegäran mail.docx", "A 6998-2023")</f>
        <v/>
      </c>
    </row>
    <row r="92" ht="15" customHeight="1">
      <c r="A92" t="inlineStr">
        <is>
          <t>A 41606-2025</t>
        </is>
      </c>
      <c r="B92" s="1" t="n">
        <v>45901.66702546296</v>
      </c>
      <c r="C92" s="1" t="n">
        <v>46138</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46138</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18425-2025</t>
        </is>
      </c>
      <c r="B94" s="1" t="n">
        <v>45762.62260416667</v>
      </c>
      <c r="C94" s="1" t="n">
        <v>46138</v>
      </c>
      <c r="D94" t="inlineStr">
        <is>
          <t>UPPSALA LÄN</t>
        </is>
      </c>
      <c r="E94" t="inlineStr">
        <is>
          <t>UPPSALA</t>
        </is>
      </c>
      <c r="G94" t="n">
        <v>9.800000000000001</v>
      </c>
      <c r="H94" t="n">
        <v>1</v>
      </c>
      <c r="I94" t="n">
        <v>0</v>
      </c>
      <c r="J94" t="n">
        <v>2</v>
      </c>
      <c r="K94" t="n">
        <v>0</v>
      </c>
      <c r="L94" t="n">
        <v>0</v>
      </c>
      <c r="M94" t="n">
        <v>0</v>
      </c>
      <c r="N94" t="n">
        <v>0</v>
      </c>
      <c r="O94" t="n">
        <v>2</v>
      </c>
      <c r="P94" t="n">
        <v>0</v>
      </c>
      <c r="Q94" t="n">
        <v>2</v>
      </c>
      <c r="R94" s="2" t="inlineStr">
        <is>
          <t>Spillkråka
Tallticka</t>
        </is>
      </c>
      <c r="S94">
        <f>HYPERLINK("https://klasma.github.io/Logging_0380/artfynd/A 18425-2025 artfynd.xlsx", "A 18425-2025")</f>
        <v/>
      </c>
      <c r="T94">
        <f>HYPERLINK("https://klasma.github.io/Logging_0380/kartor/A 18425-2025 karta.png", "A 18425-2025")</f>
        <v/>
      </c>
      <c r="V94">
        <f>HYPERLINK("https://klasma.github.io/Logging_0380/klagomål/A 18425-2025 FSC-klagomål.docx", "A 18425-2025")</f>
        <v/>
      </c>
      <c r="W94">
        <f>HYPERLINK("https://klasma.github.io/Logging_0380/klagomålsmail/A 18425-2025 FSC-klagomål mail.docx", "A 18425-2025")</f>
        <v/>
      </c>
      <c r="X94">
        <f>HYPERLINK("https://klasma.github.io/Logging_0380/tillsyn/A 18425-2025 tillsynsbegäran.docx", "A 18425-2025")</f>
        <v/>
      </c>
      <c r="Y94">
        <f>HYPERLINK("https://klasma.github.io/Logging_0380/tillsynsmail/A 18425-2025 tillsynsbegäran mail.docx", "A 18425-2025")</f>
        <v/>
      </c>
      <c r="Z94">
        <f>HYPERLINK("https://klasma.github.io/Logging_0380/fåglar/A 18425-2025 prioriterade fågelarter.docx", "A 18425-2025")</f>
        <v/>
      </c>
    </row>
    <row r="95" ht="15" customHeight="1">
      <c r="A95" t="inlineStr">
        <is>
          <t>A 25660-2025</t>
        </is>
      </c>
      <c r="B95" s="1" t="n">
        <v>45803.61554398148</v>
      </c>
      <c r="C95" s="1" t="n">
        <v>46138</v>
      </c>
      <c r="D95" t="inlineStr">
        <is>
          <t>UPPSALA LÄN</t>
        </is>
      </c>
      <c r="E95" t="inlineStr">
        <is>
          <t>UPPSALA</t>
        </is>
      </c>
      <c r="F95" t="inlineStr">
        <is>
          <t>Holmen skog AB</t>
        </is>
      </c>
      <c r="G95" t="n">
        <v>4.8</v>
      </c>
      <c r="H95" t="n">
        <v>0</v>
      </c>
      <c r="I95" t="n">
        <v>2</v>
      </c>
      <c r="J95" t="n">
        <v>0</v>
      </c>
      <c r="K95" t="n">
        <v>0</v>
      </c>
      <c r="L95" t="n">
        <v>0</v>
      </c>
      <c r="M95" t="n">
        <v>0</v>
      </c>
      <c r="N95" t="n">
        <v>0</v>
      </c>
      <c r="O95" t="n">
        <v>0</v>
      </c>
      <c r="P95" t="n">
        <v>0</v>
      </c>
      <c r="Q95" t="n">
        <v>2</v>
      </c>
      <c r="R95" s="2" t="inlineStr">
        <is>
          <t>Mindre märgborre
Skogshakmossa</t>
        </is>
      </c>
      <c r="S95">
        <f>HYPERLINK("https://klasma.github.io/Logging_0380/artfynd/A 25660-2025 artfynd.xlsx", "A 25660-2025")</f>
        <v/>
      </c>
      <c r="T95">
        <f>HYPERLINK("https://klasma.github.io/Logging_0380/kartor/A 25660-2025 karta.png", "A 25660-2025")</f>
        <v/>
      </c>
      <c r="V95">
        <f>HYPERLINK("https://klasma.github.io/Logging_0380/klagomål/A 25660-2025 FSC-klagomål.docx", "A 25660-2025")</f>
        <v/>
      </c>
      <c r="W95">
        <f>HYPERLINK("https://klasma.github.io/Logging_0380/klagomålsmail/A 25660-2025 FSC-klagomål mail.docx", "A 25660-2025")</f>
        <v/>
      </c>
      <c r="X95">
        <f>HYPERLINK("https://klasma.github.io/Logging_0380/tillsyn/A 25660-2025 tillsynsbegäran.docx", "A 25660-2025")</f>
        <v/>
      </c>
      <c r="Y95">
        <f>HYPERLINK("https://klasma.github.io/Logging_0380/tillsynsmail/A 25660-2025 tillsynsbegäran mail.docx", "A 25660-2025")</f>
        <v/>
      </c>
    </row>
    <row r="96" ht="15" customHeight="1">
      <c r="A96" t="inlineStr">
        <is>
          <t>A 9401-2025</t>
        </is>
      </c>
      <c r="B96" s="1" t="n">
        <v>45715.38105324074</v>
      </c>
      <c r="C96" s="1" t="n">
        <v>46138</v>
      </c>
      <c r="D96" t="inlineStr">
        <is>
          <t>UPPSALA LÄN</t>
        </is>
      </c>
      <c r="E96" t="inlineStr">
        <is>
          <t>UPPSALA</t>
        </is>
      </c>
      <c r="G96" t="n">
        <v>3.1</v>
      </c>
      <c r="H96" t="n">
        <v>2</v>
      </c>
      <c r="I96" t="n">
        <v>0</v>
      </c>
      <c r="J96" t="n">
        <v>0</v>
      </c>
      <c r="K96" t="n">
        <v>0</v>
      </c>
      <c r="L96" t="n">
        <v>0</v>
      </c>
      <c r="M96" t="n">
        <v>0</v>
      </c>
      <c r="N96" t="n">
        <v>0</v>
      </c>
      <c r="O96" t="n">
        <v>0</v>
      </c>
      <c r="P96" t="n">
        <v>0</v>
      </c>
      <c r="Q96" t="n">
        <v>2</v>
      </c>
      <c r="R96" s="2" t="inlineStr">
        <is>
          <t>Vanlig padda
Blåsippa</t>
        </is>
      </c>
      <c r="S96">
        <f>HYPERLINK("https://klasma.github.io/Logging_0380/artfynd/A 9401-2025 artfynd.xlsx", "A 9401-2025")</f>
        <v/>
      </c>
      <c r="T96">
        <f>HYPERLINK("https://klasma.github.io/Logging_0380/kartor/A 9401-2025 karta.png", "A 9401-2025")</f>
        <v/>
      </c>
      <c r="V96">
        <f>HYPERLINK("https://klasma.github.io/Logging_0380/klagomål/A 9401-2025 FSC-klagomål.docx", "A 9401-2025")</f>
        <v/>
      </c>
      <c r="W96">
        <f>HYPERLINK("https://klasma.github.io/Logging_0380/klagomålsmail/A 9401-2025 FSC-klagomål mail.docx", "A 9401-2025")</f>
        <v/>
      </c>
      <c r="X96">
        <f>HYPERLINK("https://klasma.github.io/Logging_0380/tillsyn/A 9401-2025 tillsynsbegäran.docx", "A 9401-2025")</f>
        <v/>
      </c>
      <c r="Y96">
        <f>HYPERLINK("https://klasma.github.io/Logging_0380/tillsynsmail/A 9401-2025 tillsynsbegäran mail.docx", "A 9401-2025")</f>
        <v/>
      </c>
    </row>
    <row r="97" ht="15" customHeight="1">
      <c r="A97" t="inlineStr">
        <is>
          <t>A 53589-2025</t>
        </is>
      </c>
      <c r="B97" s="1" t="n">
        <v>45960.43780092592</v>
      </c>
      <c r="C97" s="1" t="n">
        <v>46138</v>
      </c>
      <c r="D97" t="inlineStr">
        <is>
          <t>UPPSALA LÄN</t>
        </is>
      </c>
      <c r="E97" t="inlineStr">
        <is>
          <t>UPPSALA</t>
        </is>
      </c>
      <c r="G97" t="n">
        <v>9.699999999999999</v>
      </c>
      <c r="H97" t="n">
        <v>1</v>
      </c>
      <c r="I97" t="n">
        <v>0</v>
      </c>
      <c r="J97" t="n">
        <v>2</v>
      </c>
      <c r="K97" t="n">
        <v>0</v>
      </c>
      <c r="L97" t="n">
        <v>0</v>
      </c>
      <c r="M97" t="n">
        <v>0</v>
      </c>
      <c r="N97" t="n">
        <v>0</v>
      </c>
      <c r="O97" t="n">
        <v>2</v>
      </c>
      <c r="P97" t="n">
        <v>0</v>
      </c>
      <c r="Q97" t="n">
        <v>2</v>
      </c>
      <c r="R97" s="2" t="inlineStr">
        <is>
          <t>Spillkråka
Vedtrappmossa</t>
        </is>
      </c>
      <c r="S97">
        <f>HYPERLINK("https://klasma.github.io/Logging_0380/artfynd/A 53589-2025 artfynd.xlsx", "A 53589-2025")</f>
        <v/>
      </c>
      <c r="T97">
        <f>HYPERLINK("https://klasma.github.io/Logging_0380/kartor/A 53589-2025 karta.png", "A 53589-2025")</f>
        <v/>
      </c>
      <c r="V97">
        <f>HYPERLINK("https://klasma.github.io/Logging_0380/klagomål/A 53589-2025 FSC-klagomål.docx", "A 53589-2025")</f>
        <v/>
      </c>
      <c r="W97">
        <f>HYPERLINK("https://klasma.github.io/Logging_0380/klagomålsmail/A 53589-2025 FSC-klagomål mail.docx", "A 53589-2025")</f>
        <v/>
      </c>
      <c r="X97">
        <f>HYPERLINK("https://klasma.github.io/Logging_0380/tillsyn/A 53589-2025 tillsynsbegäran.docx", "A 53589-2025")</f>
        <v/>
      </c>
      <c r="Y97">
        <f>HYPERLINK("https://klasma.github.io/Logging_0380/tillsynsmail/A 53589-2025 tillsynsbegäran mail.docx", "A 53589-2025")</f>
        <v/>
      </c>
      <c r="Z97">
        <f>HYPERLINK("https://klasma.github.io/Logging_0380/fåglar/A 53589-2025 prioriterade fågelarter.docx", "A 53589-2025")</f>
        <v/>
      </c>
    </row>
    <row r="98" ht="15" customHeight="1">
      <c r="A98" t="inlineStr">
        <is>
          <t>A 58906-2021</t>
        </is>
      </c>
      <c r="B98" s="1" t="n">
        <v>44489</v>
      </c>
      <c r="C98" s="1" t="n">
        <v>46138</v>
      </c>
      <c r="D98" t="inlineStr">
        <is>
          <t>UPPSALA LÄN</t>
        </is>
      </c>
      <c r="E98" t="inlineStr">
        <is>
          <t>UPPSALA</t>
        </is>
      </c>
      <c r="G98" t="n">
        <v>8.6</v>
      </c>
      <c r="H98" t="n">
        <v>1</v>
      </c>
      <c r="I98" t="n">
        <v>0</v>
      </c>
      <c r="J98" t="n">
        <v>1</v>
      </c>
      <c r="K98" t="n">
        <v>0</v>
      </c>
      <c r="L98" t="n">
        <v>0</v>
      </c>
      <c r="M98" t="n">
        <v>0</v>
      </c>
      <c r="N98" t="n">
        <v>0</v>
      </c>
      <c r="O98" t="n">
        <v>1</v>
      </c>
      <c r="P98" t="n">
        <v>0</v>
      </c>
      <c r="Q98" t="n">
        <v>2</v>
      </c>
      <c r="R98" s="2" t="inlineStr">
        <is>
          <t>Ullticka
Tjäder</t>
        </is>
      </c>
      <c r="S98">
        <f>HYPERLINK("https://klasma.github.io/Logging_0380/artfynd/A 58906-2021 artfynd.xlsx", "A 58906-2021")</f>
        <v/>
      </c>
      <c r="T98">
        <f>HYPERLINK("https://klasma.github.io/Logging_0380/kartor/A 58906-2021 karta.png", "A 58906-2021")</f>
        <v/>
      </c>
      <c r="V98">
        <f>HYPERLINK("https://klasma.github.io/Logging_0380/klagomål/A 58906-2021 FSC-klagomål.docx", "A 58906-2021")</f>
        <v/>
      </c>
      <c r="W98">
        <f>HYPERLINK("https://klasma.github.io/Logging_0380/klagomålsmail/A 58906-2021 FSC-klagomål mail.docx", "A 58906-2021")</f>
        <v/>
      </c>
      <c r="X98">
        <f>HYPERLINK("https://klasma.github.io/Logging_0380/tillsyn/A 58906-2021 tillsynsbegäran.docx", "A 58906-2021")</f>
        <v/>
      </c>
      <c r="Y98">
        <f>HYPERLINK("https://klasma.github.io/Logging_0380/tillsynsmail/A 58906-2021 tillsynsbegäran mail.docx", "A 58906-2021")</f>
        <v/>
      </c>
      <c r="Z98">
        <f>HYPERLINK("https://klasma.github.io/Logging_0380/fåglar/A 58906-2021 prioriterade fågelarter.docx", "A 58906-2021")</f>
        <v/>
      </c>
    </row>
    <row r="99" ht="15" customHeight="1">
      <c r="A99" t="inlineStr">
        <is>
          <t>A 33708-2025</t>
        </is>
      </c>
      <c r="B99" s="1" t="n">
        <v>45841.81555555556</v>
      </c>
      <c r="C99" s="1" t="n">
        <v>46138</v>
      </c>
      <c r="D99" t="inlineStr">
        <is>
          <t>UPPSALA LÄN</t>
        </is>
      </c>
      <c r="E99" t="inlineStr">
        <is>
          <t>UPPSALA</t>
        </is>
      </c>
      <c r="F99" t="inlineStr">
        <is>
          <t>Holmen skog AB</t>
        </is>
      </c>
      <c r="G99" t="n">
        <v>2</v>
      </c>
      <c r="H99" t="n">
        <v>0</v>
      </c>
      <c r="I99" t="n">
        <v>1</v>
      </c>
      <c r="J99" t="n">
        <v>0</v>
      </c>
      <c r="K99" t="n">
        <v>0</v>
      </c>
      <c r="L99" t="n">
        <v>0</v>
      </c>
      <c r="M99" t="n">
        <v>1</v>
      </c>
      <c r="N99" t="n">
        <v>0</v>
      </c>
      <c r="O99" t="n">
        <v>1</v>
      </c>
      <c r="P99" t="n">
        <v>1</v>
      </c>
      <c r="Q99" t="n">
        <v>2</v>
      </c>
      <c r="R99" s="2" t="inlineStr">
        <is>
          <t>Skogsalm
Svavelriska</t>
        </is>
      </c>
      <c r="S99">
        <f>HYPERLINK("https://klasma.github.io/Logging_0380/artfynd/A 33708-2025 artfynd.xlsx", "A 33708-2025")</f>
        <v/>
      </c>
      <c r="T99">
        <f>HYPERLINK("https://klasma.github.io/Logging_0380/kartor/A 33708-2025 karta.png", "A 33708-2025")</f>
        <v/>
      </c>
      <c r="V99">
        <f>HYPERLINK("https://klasma.github.io/Logging_0380/klagomål/A 33708-2025 FSC-klagomål.docx", "A 33708-2025")</f>
        <v/>
      </c>
      <c r="W99">
        <f>HYPERLINK("https://klasma.github.io/Logging_0380/klagomålsmail/A 33708-2025 FSC-klagomål mail.docx", "A 33708-2025")</f>
        <v/>
      </c>
      <c r="X99">
        <f>HYPERLINK("https://klasma.github.io/Logging_0380/tillsyn/A 33708-2025 tillsynsbegäran.docx", "A 33708-2025")</f>
        <v/>
      </c>
      <c r="Y99">
        <f>HYPERLINK("https://klasma.github.io/Logging_0380/tillsynsmail/A 33708-2025 tillsynsbegäran mail.docx", "A 33708-2025")</f>
        <v/>
      </c>
    </row>
    <row r="100" ht="15" customHeight="1">
      <c r="A100" t="inlineStr">
        <is>
          <t>A 57715-2025</t>
        </is>
      </c>
      <c r="B100" s="1" t="n">
        <v>45981</v>
      </c>
      <c r="C100" s="1" t="n">
        <v>46138</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44675-2023</t>
        </is>
      </c>
      <c r="B101" s="1" t="n">
        <v>45189</v>
      </c>
      <c r="C101" s="1" t="n">
        <v>46138</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52503-2025</t>
        </is>
      </c>
      <c r="B102" s="1" t="n">
        <v>45954.49768518518</v>
      </c>
      <c r="C102" s="1" t="n">
        <v>46138</v>
      </c>
      <c r="D102" t="inlineStr">
        <is>
          <t>UPPSALA LÄN</t>
        </is>
      </c>
      <c r="E102" t="inlineStr">
        <is>
          <t>UPPSALA</t>
        </is>
      </c>
      <c r="F102" t="inlineStr">
        <is>
          <t>Holmen skog AB</t>
        </is>
      </c>
      <c r="G102" t="n">
        <v>21.5</v>
      </c>
      <c r="H102" t="n">
        <v>0</v>
      </c>
      <c r="I102" t="n">
        <v>0</v>
      </c>
      <c r="J102" t="n">
        <v>0</v>
      </c>
      <c r="K102" t="n">
        <v>2</v>
      </c>
      <c r="L102" t="n">
        <v>0</v>
      </c>
      <c r="M102" t="n">
        <v>0</v>
      </c>
      <c r="N102" t="n">
        <v>0</v>
      </c>
      <c r="O102" t="n">
        <v>2</v>
      </c>
      <c r="P102" t="n">
        <v>2</v>
      </c>
      <c r="Q102" t="n">
        <v>2</v>
      </c>
      <c r="R102" s="2" t="inlineStr">
        <is>
          <t>Gulvit blekspik
Klosterlav</t>
        </is>
      </c>
      <c r="S102">
        <f>HYPERLINK("https://klasma.github.io/Logging_0380/artfynd/A 52503-2025 artfynd.xlsx", "A 52503-2025")</f>
        <v/>
      </c>
      <c r="T102">
        <f>HYPERLINK("https://klasma.github.io/Logging_0380/kartor/A 52503-2025 karta.png", "A 52503-2025")</f>
        <v/>
      </c>
      <c r="V102">
        <f>HYPERLINK("https://klasma.github.io/Logging_0380/klagomål/A 52503-2025 FSC-klagomål.docx", "A 52503-2025")</f>
        <v/>
      </c>
      <c r="W102">
        <f>HYPERLINK("https://klasma.github.io/Logging_0380/klagomålsmail/A 52503-2025 FSC-klagomål mail.docx", "A 52503-2025")</f>
        <v/>
      </c>
      <c r="X102">
        <f>HYPERLINK("https://klasma.github.io/Logging_0380/tillsyn/A 52503-2025 tillsynsbegäran.docx", "A 52503-2025")</f>
        <v/>
      </c>
      <c r="Y102">
        <f>HYPERLINK("https://klasma.github.io/Logging_0380/tillsynsmail/A 52503-2025 tillsynsbegäran mail.docx", "A 52503-2025")</f>
        <v/>
      </c>
    </row>
    <row r="103" ht="15" customHeight="1">
      <c r="A103" t="inlineStr">
        <is>
          <t>A 51749-2023</t>
        </is>
      </c>
      <c r="B103" s="1" t="n">
        <v>45222</v>
      </c>
      <c r="C103" s="1" t="n">
        <v>46138</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63026-2025</t>
        </is>
      </c>
      <c r="B104" s="1" t="n">
        <v>46009.59555555556</v>
      </c>
      <c r="C104" s="1" t="n">
        <v>46138</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39933-2023</t>
        </is>
      </c>
      <c r="B105" s="1" t="n">
        <v>45168.50667824074</v>
      </c>
      <c r="C105" s="1" t="n">
        <v>46138</v>
      </c>
      <c r="D105" t="inlineStr">
        <is>
          <t>UPPSALA LÄN</t>
        </is>
      </c>
      <c r="E105" t="inlineStr">
        <is>
          <t>UPPSALA</t>
        </is>
      </c>
      <c r="F105" t="inlineStr">
        <is>
          <t>Holmen skog AB</t>
        </is>
      </c>
      <c r="G105" t="n">
        <v>6.3</v>
      </c>
      <c r="H105" t="n">
        <v>2</v>
      </c>
      <c r="I105" t="n">
        <v>0</v>
      </c>
      <c r="J105" t="n">
        <v>2</v>
      </c>
      <c r="K105" t="n">
        <v>0</v>
      </c>
      <c r="L105" t="n">
        <v>0</v>
      </c>
      <c r="M105" t="n">
        <v>0</v>
      </c>
      <c r="N105" t="n">
        <v>0</v>
      </c>
      <c r="O105" t="n">
        <v>2</v>
      </c>
      <c r="P105" t="n">
        <v>0</v>
      </c>
      <c r="Q105" t="n">
        <v>2</v>
      </c>
      <c r="R105" s="2" t="inlineStr">
        <is>
          <t>Entita
Spillkråka</t>
        </is>
      </c>
      <c r="S105">
        <f>HYPERLINK("https://klasma.github.io/Logging_0380/artfynd/A 39933-2023 artfynd.xlsx", "A 39933-2023")</f>
        <v/>
      </c>
      <c r="T105">
        <f>HYPERLINK("https://klasma.github.io/Logging_0380/kartor/A 39933-2023 karta.png", "A 39933-2023")</f>
        <v/>
      </c>
      <c r="V105">
        <f>HYPERLINK("https://klasma.github.io/Logging_0380/klagomål/A 39933-2023 FSC-klagomål.docx", "A 39933-2023")</f>
        <v/>
      </c>
      <c r="W105">
        <f>HYPERLINK("https://klasma.github.io/Logging_0380/klagomålsmail/A 39933-2023 FSC-klagomål mail.docx", "A 39933-2023")</f>
        <v/>
      </c>
      <c r="X105">
        <f>HYPERLINK("https://klasma.github.io/Logging_0380/tillsyn/A 39933-2023 tillsynsbegäran.docx", "A 39933-2023")</f>
        <v/>
      </c>
      <c r="Y105">
        <f>HYPERLINK("https://klasma.github.io/Logging_0380/tillsynsmail/A 39933-2023 tillsynsbegäran mail.docx", "A 39933-2023")</f>
        <v/>
      </c>
      <c r="Z105">
        <f>HYPERLINK("https://klasma.github.io/Logging_0380/fåglar/A 39933-2023 prioriterade fågelarter.docx", "A 39933-2023")</f>
        <v/>
      </c>
    </row>
    <row r="106" ht="15" customHeight="1">
      <c r="A106" t="inlineStr">
        <is>
          <t>A 58546-2025</t>
        </is>
      </c>
      <c r="B106" s="1" t="n">
        <v>45985</v>
      </c>
      <c r="C106" s="1" t="n">
        <v>46138</v>
      </c>
      <c r="D106" t="inlineStr">
        <is>
          <t>UPPSALA LÄN</t>
        </is>
      </c>
      <c r="E106" t="inlineStr">
        <is>
          <t>UPPSALA</t>
        </is>
      </c>
      <c r="G106" t="n">
        <v>0.6</v>
      </c>
      <c r="H106" t="n">
        <v>1</v>
      </c>
      <c r="I106" t="n">
        <v>0</v>
      </c>
      <c r="J106" t="n">
        <v>1</v>
      </c>
      <c r="K106" t="n">
        <v>0</v>
      </c>
      <c r="L106" t="n">
        <v>0</v>
      </c>
      <c r="M106" t="n">
        <v>0</v>
      </c>
      <c r="N106" t="n">
        <v>0</v>
      </c>
      <c r="O106" t="n">
        <v>1</v>
      </c>
      <c r="P106" t="n">
        <v>0</v>
      </c>
      <c r="Q106" t="n">
        <v>2</v>
      </c>
      <c r="R106" s="2" t="inlineStr">
        <is>
          <t>Vedtrappmossa
Revlummer</t>
        </is>
      </c>
      <c r="S106">
        <f>HYPERLINK("https://klasma.github.io/Logging_0380/artfynd/A 58546-2025 artfynd.xlsx", "A 58546-2025")</f>
        <v/>
      </c>
      <c r="T106">
        <f>HYPERLINK("https://klasma.github.io/Logging_0380/kartor/A 58546-2025 karta.png", "A 58546-2025")</f>
        <v/>
      </c>
      <c r="U106">
        <f>HYPERLINK("https://klasma.github.io/Logging_0380/knärot/A 58546-2025 karta knärot.png", "A 58546-2025")</f>
        <v/>
      </c>
      <c r="V106">
        <f>HYPERLINK("https://klasma.github.io/Logging_0380/klagomål/A 58546-2025 FSC-klagomål.docx", "A 58546-2025")</f>
        <v/>
      </c>
      <c r="W106">
        <f>HYPERLINK("https://klasma.github.io/Logging_0380/klagomålsmail/A 58546-2025 FSC-klagomål mail.docx", "A 58546-2025")</f>
        <v/>
      </c>
      <c r="X106">
        <f>HYPERLINK("https://klasma.github.io/Logging_0380/tillsyn/A 58546-2025 tillsynsbegäran.docx", "A 58546-2025")</f>
        <v/>
      </c>
      <c r="Y106">
        <f>HYPERLINK("https://klasma.github.io/Logging_0380/tillsynsmail/A 58546-2025 tillsynsbegäran mail.docx", "A 58546-2025")</f>
        <v/>
      </c>
    </row>
    <row r="107" ht="15" customHeight="1">
      <c r="A107" t="inlineStr">
        <is>
          <t>A 88-2024</t>
        </is>
      </c>
      <c r="B107" s="1" t="n">
        <v>45293</v>
      </c>
      <c r="C107" s="1" t="n">
        <v>46138</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8865-2022</t>
        </is>
      </c>
      <c r="B108" s="1" t="n">
        <v>44614</v>
      </c>
      <c r="C108" s="1" t="n">
        <v>46138</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46138</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46138</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58050-2021</t>
        </is>
      </c>
      <c r="B111" s="1" t="n">
        <v>44487</v>
      </c>
      <c r="C111" s="1" t="n">
        <v>46138</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61818-2022</t>
        </is>
      </c>
      <c r="B112" s="1" t="n">
        <v>44917</v>
      </c>
      <c r="C112" s="1" t="n">
        <v>46138</v>
      </c>
      <c r="D112" t="inlineStr">
        <is>
          <t>UPPSALA LÄN</t>
        </is>
      </c>
      <c r="E112" t="inlineStr">
        <is>
          <t>UPPSALA</t>
        </is>
      </c>
      <c r="F112" t="inlineStr">
        <is>
          <t>Holmen skog AB</t>
        </is>
      </c>
      <c r="G112" t="n">
        <v>0.8</v>
      </c>
      <c r="H112" t="n">
        <v>0</v>
      </c>
      <c r="I112" t="n">
        <v>0</v>
      </c>
      <c r="J112" t="n">
        <v>1</v>
      </c>
      <c r="K112" t="n">
        <v>0</v>
      </c>
      <c r="L112" t="n">
        <v>0</v>
      </c>
      <c r="M112" t="n">
        <v>0</v>
      </c>
      <c r="N112" t="n">
        <v>0</v>
      </c>
      <c r="O112" t="n">
        <v>1</v>
      </c>
      <c r="P112" t="n">
        <v>0</v>
      </c>
      <c r="Q112" t="n">
        <v>1</v>
      </c>
      <c r="R112" s="2" t="inlineStr">
        <is>
          <t>Blekticka</t>
        </is>
      </c>
      <c r="S112">
        <f>HYPERLINK("https://klasma.github.io/Logging_0380/artfynd/A 61818-2022 artfynd.xlsx", "A 61818-2022")</f>
        <v/>
      </c>
      <c r="T112">
        <f>HYPERLINK("https://klasma.github.io/Logging_0380/kartor/A 61818-2022 karta.png", "A 61818-2022")</f>
        <v/>
      </c>
      <c r="V112">
        <f>HYPERLINK("https://klasma.github.io/Logging_0380/klagomål/A 61818-2022 FSC-klagomål.docx", "A 61818-2022")</f>
        <v/>
      </c>
      <c r="W112">
        <f>HYPERLINK("https://klasma.github.io/Logging_0380/klagomålsmail/A 61818-2022 FSC-klagomål mail.docx", "A 61818-2022")</f>
        <v/>
      </c>
      <c r="X112">
        <f>HYPERLINK("https://klasma.github.io/Logging_0380/tillsyn/A 61818-2022 tillsynsbegäran.docx", "A 61818-2022")</f>
        <v/>
      </c>
      <c r="Y112">
        <f>HYPERLINK("https://klasma.github.io/Logging_0380/tillsynsmail/A 61818-2022 tillsynsbegäran mail.docx", "A 61818-2022")</f>
        <v/>
      </c>
    </row>
    <row r="113" ht="15" customHeight="1">
      <c r="A113" t="inlineStr">
        <is>
          <t>A 63172-2023</t>
        </is>
      </c>
      <c r="B113" s="1" t="n">
        <v>45273</v>
      </c>
      <c r="C113" s="1" t="n">
        <v>46138</v>
      </c>
      <c r="D113" t="inlineStr">
        <is>
          <t>UPPSALA LÄN</t>
        </is>
      </c>
      <c r="E113" t="inlineStr">
        <is>
          <t>UPPSALA</t>
        </is>
      </c>
      <c r="G113" t="n">
        <v>1.8</v>
      </c>
      <c r="H113" t="n">
        <v>0</v>
      </c>
      <c r="I113" t="n">
        <v>1</v>
      </c>
      <c r="J113" t="n">
        <v>0</v>
      </c>
      <c r="K113" t="n">
        <v>0</v>
      </c>
      <c r="L113" t="n">
        <v>0</v>
      </c>
      <c r="M113" t="n">
        <v>0</v>
      </c>
      <c r="N113" t="n">
        <v>0</v>
      </c>
      <c r="O113" t="n">
        <v>0</v>
      </c>
      <c r="P113" t="n">
        <v>0</v>
      </c>
      <c r="Q113" t="n">
        <v>1</v>
      </c>
      <c r="R113" s="2" t="inlineStr">
        <is>
          <t>Ögonpyrola</t>
        </is>
      </c>
      <c r="S113">
        <f>HYPERLINK("https://klasma.github.io/Logging_0380/artfynd/A 63172-2023 artfynd.xlsx", "A 63172-2023")</f>
        <v/>
      </c>
      <c r="T113">
        <f>HYPERLINK("https://klasma.github.io/Logging_0380/kartor/A 63172-2023 karta.png", "A 63172-2023")</f>
        <v/>
      </c>
      <c r="V113">
        <f>HYPERLINK("https://klasma.github.io/Logging_0380/klagomål/A 63172-2023 FSC-klagomål.docx", "A 63172-2023")</f>
        <v/>
      </c>
      <c r="W113">
        <f>HYPERLINK("https://klasma.github.io/Logging_0380/klagomålsmail/A 63172-2023 FSC-klagomål mail.docx", "A 63172-2023")</f>
        <v/>
      </c>
      <c r="X113">
        <f>HYPERLINK("https://klasma.github.io/Logging_0380/tillsyn/A 63172-2023 tillsynsbegäran.docx", "A 63172-2023")</f>
        <v/>
      </c>
      <c r="Y113">
        <f>HYPERLINK("https://klasma.github.io/Logging_0380/tillsynsmail/A 63172-2023 tillsynsbegäran mail.docx", "A 63172-2023")</f>
        <v/>
      </c>
    </row>
    <row r="114" ht="15" customHeight="1">
      <c r="A114" t="inlineStr">
        <is>
          <t>A 49015-2022</t>
        </is>
      </c>
      <c r="B114" s="1" t="n">
        <v>44855</v>
      </c>
      <c r="C114" s="1" t="n">
        <v>46138</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17484-2025</t>
        </is>
      </c>
      <c r="B115" s="1" t="n">
        <v>45757.49934027778</v>
      </c>
      <c r="C115" s="1" t="n">
        <v>46138</v>
      </c>
      <c r="D115" t="inlineStr">
        <is>
          <t>UPPSALA LÄN</t>
        </is>
      </c>
      <c r="E115" t="inlineStr">
        <is>
          <t>UPPSALA</t>
        </is>
      </c>
      <c r="G115" t="n">
        <v>13.1</v>
      </c>
      <c r="H115" t="n">
        <v>1</v>
      </c>
      <c r="I115" t="n">
        <v>0</v>
      </c>
      <c r="J115" t="n">
        <v>0</v>
      </c>
      <c r="K115" t="n">
        <v>0</v>
      </c>
      <c r="L115" t="n">
        <v>0</v>
      </c>
      <c r="M115" t="n">
        <v>0</v>
      </c>
      <c r="N115" t="n">
        <v>0</v>
      </c>
      <c r="O115" t="n">
        <v>0</v>
      </c>
      <c r="P115" t="n">
        <v>0</v>
      </c>
      <c r="Q115" t="n">
        <v>1</v>
      </c>
      <c r="R115" s="2" t="inlineStr">
        <is>
          <t>Fläcknycklar</t>
        </is>
      </c>
      <c r="S115">
        <f>HYPERLINK("https://klasma.github.io/Logging_0380/artfynd/A 17484-2025 artfynd.xlsx", "A 17484-2025")</f>
        <v/>
      </c>
      <c r="T115">
        <f>HYPERLINK("https://klasma.github.io/Logging_0380/kartor/A 17484-2025 karta.png", "A 17484-2025")</f>
        <v/>
      </c>
      <c r="V115">
        <f>HYPERLINK("https://klasma.github.io/Logging_0380/klagomål/A 17484-2025 FSC-klagomål.docx", "A 17484-2025")</f>
        <v/>
      </c>
      <c r="W115">
        <f>HYPERLINK("https://klasma.github.io/Logging_0380/klagomålsmail/A 17484-2025 FSC-klagomål mail.docx", "A 17484-2025")</f>
        <v/>
      </c>
      <c r="X115">
        <f>HYPERLINK("https://klasma.github.io/Logging_0380/tillsyn/A 17484-2025 tillsynsbegäran.docx", "A 17484-2025")</f>
        <v/>
      </c>
      <c r="Y115">
        <f>HYPERLINK("https://klasma.github.io/Logging_0380/tillsynsmail/A 17484-2025 tillsynsbegäran mail.docx", "A 17484-2025")</f>
        <v/>
      </c>
    </row>
    <row r="116" ht="15" customHeight="1">
      <c r="A116" t="inlineStr">
        <is>
          <t>A 29906-2023</t>
        </is>
      </c>
      <c r="B116" s="1" t="n">
        <v>45107</v>
      </c>
      <c r="C116" s="1" t="n">
        <v>46138</v>
      </c>
      <c r="D116" t="inlineStr">
        <is>
          <t>UPPSALA LÄN</t>
        </is>
      </c>
      <c r="E116" t="inlineStr">
        <is>
          <t>UPPSALA</t>
        </is>
      </c>
      <c r="F116" t="inlineStr">
        <is>
          <t>Kyrkan</t>
        </is>
      </c>
      <c r="G116" t="n">
        <v>0.5</v>
      </c>
      <c r="H116" t="n">
        <v>0</v>
      </c>
      <c r="I116" t="n">
        <v>1</v>
      </c>
      <c r="J116" t="n">
        <v>0</v>
      </c>
      <c r="K116" t="n">
        <v>0</v>
      </c>
      <c r="L116" t="n">
        <v>0</v>
      </c>
      <c r="M116" t="n">
        <v>0</v>
      </c>
      <c r="N116" t="n">
        <v>0</v>
      </c>
      <c r="O116" t="n">
        <v>0</v>
      </c>
      <c r="P116" t="n">
        <v>0</v>
      </c>
      <c r="Q116" t="n">
        <v>1</v>
      </c>
      <c r="R116" s="2" t="inlineStr">
        <is>
          <t>Sotriska</t>
        </is>
      </c>
      <c r="S116">
        <f>HYPERLINK("https://klasma.github.io/Logging_0380/artfynd/A 29906-2023 artfynd.xlsx", "A 29906-2023")</f>
        <v/>
      </c>
      <c r="T116">
        <f>HYPERLINK("https://klasma.github.io/Logging_0380/kartor/A 29906-2023 karta.png", "A 29906-2023")</f>
        <v/>
      </c>
      <c r="V116">
        <f>HYPERLINK("https://klasma.github.io/Logging_0380/klagomål/A 29906-2023 FSC-klagomål.docx", "A 29906-2023")</f>
        <v/>
      </c>
      <c r="W116">
        <f>HYPERLINK("https://klasma.github.io/Logging_0380/klagomålsmail/A 29906-2023 FSC-klagomål mail.docx", "A 29906-2023")</f>
        <v/>
      </c>
      <c r="X116">
        <f>HYPERLINK("https://klasma.github.io/Logging_0380/tillsyn/A 29906-2023 tillsynsbegäran.docx", "A 29906-2023")</f>
        <v/>
      </c>
      <c r="Y116">
        <f>HYPERLINK("https://klasma.github.io/Logging_0380/tillsynsmail/A 29906-2023 tillsynsbegäran mail.docx", "A 29906-2023")</f>
        <v/>
      </c>
    </row>
    <row r="117" ht="15" customHeight="1">
      <c r="A117" t="inlineStr">
        <is>
          <t>A 40568-2025</t>
        </is>
      </c>
      <c r="B117" s="1" t="n">
        <v>45896.47487268518</v>
      </c>
      <c r="C117" s="1" t="n">
        <v>46138</v>
      </c>
      <c r="D117" t="inlineStr">
        <is>
          <t>UPPSALA LÄN</t>
        </is>
      </c>
      <c r="E117" t="inlineStr">
        <is>
          <t>UPPSALA</t>
        </is>
      </c>
      <c r="F117" t="inlineStr">
        <is>
          <t>Kyrkan</t>
        </is>
      </c>
      <c r="G117" t="n">
        <v>2.1</v>
      </c>
      <c r="H117" t="n">
        <v>0</v>
      </c>
      <c r="I117" t="n">
        <v>1</v>
      </c>
      <c r="J117" t="n">
        <v>0</v>
      </c>
      <c r="K117" t="n">
        <v>0</v>
      </c>
      <c r="L117" t="n">
        <v>0</v>
      </c>
      <c r="M117" t="n">
        <v>0</v>
      </c>
      <c r="N117" t="n">
        <v>0</v>
      </c>
      <c r="O117" t="n">
        <v>0</v>
      </c>
      <c r="P117" t="n">
        <v>0</v>
      </c>
      <c r="Q117" t="n">
        <v>1</v>
      </c>
      <c r="R117" s="2" t="inlineStr">
        <is>
          <t>Rödgul trumpetsvamp</t>
        </is>
      </c>
      <c r="S117">
        <f>HYPERLINK("https://klasma.github.io/Logging_0380/artfynd/A 40568-2025 artfynd.xlsx", "A 40568-2025")</f>
        <v/>
      </c>
      <c r="T117">
        <f>HYPERLINK("https://klasma.github.io/Logging_0380/kartor/A 40568-2025 karta.png", "A 40568-2025")</f>
        <v/>
      </c>
      <c r="V117">
        <f>HYPERLINK("https://klasma.github.io/Logging_0380/klagomål/A 40568-2025 FSC-klagomål.docx", "A 40568-2025")</f>
        <v/>
      </c>
      <c r="W117">
        <f>HYPERLINK("https://klasma.github.io/Logging_0380/klagomålsmail/A 40568-2025 FSC-klagomål mail.docx", "A 40568-2025")</f>
        <v/>
      </c>
      <c r="X117">
        <f>HYPERLINK("https://klasma.github.io/Logging_0380/tillsyn/A 40568-2025 tillsynsbegäran.docx", "A 40568-2025")</f>
        <v/>
      </c>
      <c r="Y117">
        <f>HYPERLINK("https://klasma.github.io/Logging_0380/tillsynsmail/A 40568-2025 tillsynsbegäran mail.docx", "A 40568-2025")</f>
        <v/>
      </c>
    </row>
    <row r="118" ht="15" customHeight="1">
      <c r="A118" t="inlineStr">
        <is>
          <t>A 5009-2023</t>
        </is>
      </c>
      <c r="B118" s="1" t="n">
        <v>44958</v>
      </c>
      <c r="C118" s="1" t="n">
        <v>46138</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61830-2022</t>
        </is>
      </c>
      <c r="B119" s="1" t="n">
        <v>44917.59298611111</v>
      </c>
      <c r="C119" s="1" t="n">
        <v>46138</v>
      </c>
      <c r="D119" t="inlineStr">
        <is>
          <t>UPPSALA LÄN</t>
        </is>
      </c>
      <c r="E119" t="inlineStr">
        <is>
          <t>UPPSALA</t>
        </is>
      </c>
      <c r="F119" t="inlineStr">
        <is>
          <t>Holmen skog AB</t>
        </is>
      </c>
      <c r="G119" t="n">
        <v>1.1</v>
      </c>
      <c r="H119" t="n">
        <v>0</v>
      </c>
      <c r="I119" t="n">
        <v>0</v>
      </c>
      <c r="J119" t="n">
        <v>1</v>
      </c>
      <c r="K119" t="n">
        <v>0</v>
      </c>
      <c r="L119" t="n">
        <v>0</v>
      </c>
      <c r="M119" t="n">
        <v>0</v>
      </c>
      <c r="N119" t="n">
        <v>0</v>
      </c>
      <c r="O119" t="n">
        <v>1</v>
      </c>
      <c r="P119" t="n">
        <v>0</v>
      </c>
      <c r="Q119" t="n">
        <v>1</v>
      </c>
      <c r="R119" s="2" t="inlineStr">
        <is>
          <t>Rödbrun blekspik</t>
        </is>
      </c>
      <c r="S119">
        <f>HYPERLINK("https://klasma.github.io/Logging_0380/artfynd/A 61830-2022 artfynd.xlsx", "A 61830-2022")</f>
        <v/>
      </c>
      <c r="T119">
        <f>HYPERLINK("https://klasma.github.io/Logging_0380/kartor/A 61830-2022 karta.png", "A 61830-2022")</f>
        <v/>
      </c>
      <c r="V119">
        <f>HYPERLINK("https://klasma.github.io/Logging_0380/klagomål/A 61830-2022 FSC-klagomål.docx", "A 61830-2022")</f>
        <v/>
      </c>
      <c r="W119">
        <f>HYPERLINK("https://klasma.github.io/Logging_0380/klagomålsmail/A 61830-2022 FSC-klagomål mail.docx", "A 61830-2022")</f>
        <v/>
      </c>
      <c r="X119">
        <f>HYPERLINK("https://klasma.github.io/Logging_0380/tillsyn/A 61830-2022 tillsynsbegäran.docx", "A 61830-2022")</f>
        <v/>
      </c>
      <c r="Y119">
        <f>HYPERLINK("https://klasma.github.io/Logging_0380/tillsynsmail/A 61830-2022 tillsynsbegäran mail.docx", "A 61830-2022")</f>
        <v/>
      </c>
    </row>
    <row r="120" ht="15" customHeight="1">
      <c r="A120" t="inlineStr">
        <is>
          <t>A 844-2025</t>
        </is>
      </c>
      <c r="B120" s="1" t="n">
        <v>45665</v>
      </c>
      <c r="C120" s="1" t="n">
        <v>46138</v>
      </c>
      <c r="D120" t="inlineStr">
        <is>
          <t>UPPSALA LÄN</t>
        </is>
      </c>
      <c r="E120" t="inlineStr">
        <is>
          <t>UPPSALA</t>
        </is>
      </c>
      <c r="G120" t="n">
        <v>2.6</v>
      </c>
      <c r="H120" t="n">
        <v>1</v>
      </c>
      <c r="I120" t="n">
        <v>0</v>
      </c>
      <c r="J120" t="n">
        <v>0</v>
      </c>
      <c r="K120" t="n">
        <v>0</v>
      </c>
      <c r="L120" t="n">
        <v>0</v>
      </c>
      <c r="M120" t="n">
        <v>0</v>
      </c>
      <c r="N120" t="n">
        <v>0</v>
      </c>
      <c r="O120" t="n">
        <v>0</v>
      </c>
      <c r="P120" t="n">
        <v>0</v>
      </c>
      <c r="Q120" t="n">
        <v>1</v>
      </c>
      <c r="R120" s="2" t="inlineStr">
        <is>
          <t>Tjäder</t>
        </is>
      </c>
      <c r="S120">
        <f>HYPERLINK("https://klasma.github.io/Logging_0380/artfynd/A 844-2025 artfynd.xlsx", "A 844-2025")</f>
        <v/>
      </c>
      <c r="T120">
        <f>HYPERLINK("https://klasma.github.io/Logging_0380/kartor/A 844-2025 karta.png", "A 844-2025")</f>
        <v/>
      </c>
      <c r="V120">
        <f>HYPERLINK("https://klasma.github.io/Logging_0380/klagomål/A 844-2025 FSC-klagomål.docx", "A 844-2025")</f>
        <v/>
      </c>
      <c r="W120">
        <f>HYPERLINK("https://klasma.github.io/Logging_0380/klagomålsmail/A 844-2025 FSC-klagomål mail.docx", "A 844-2025")</f>
        <v/>
      </c>
      <c r="X120">
        <f>HYPERLINK("https://klasma.github.io/Logging_0380/tillsyn/A 844-2025 tillsynsbegäran.docx", "A 844-2025")</f>
        <v/>
      </c>
      <c r="Y120">
        <f>HYPERLINK("https://klasma.github.io/Logging_0380/tillsynsmail/A 844-2025 tillsynsbegäran mail.docx", "A 844-2025")</f>
        <v/>
      </c>
      <c r="Z120">
        <f>HYPERLINK("https://klasma.github.io/Logging_0380/fåglar/A 844-2025 prioriterade fågelarter.docx", "A 844-2025")</f>
        <v/>
      </c>
    </row>
    <row r="121" ht="15" customHeight="1">
      <c r="A121" t="inlineStr">
        <is>
          <t>A 21801-2025</t>
        </is>
      </c>
      <c r="B121" s="1" t="n">
        <v>45783</v>
      </c>
      <c r="C121" s="1" t="n">
        <v>46138</v>
      </c>
      <c r="D121" t="inlineStr">
        <is>
          <t>UPPSALA LÄN</t>
        </is>
      </c>
      <c r="E121" t="inlineStr">
        <is>
          <t>UPPSALA</t>
        </is>
      </c>
      <c r="G121" t="n">
        <v>7.9</v>
      </c>
      <c r="H121" t="n">
        <v>1</v>
      </c>
      <c r="I121" t="n">
        <v>0</v>
      </c>
      <c r="J121" t="n">
        <v>0</v>
      </c>
      <c r="K121" t="n">
        <v>0</v>
      </c>
      <c r="L121" t="n">
        <v>0</v>
      </c>
      <c r="M121" t="n">
        <v>0</v>
      </c>
      <c r="N121" t="n">
        <v>0</v>
      </c>
      <c r="O121" t="n">
        <v>0</v>
      </c>
      <c r="P121" t="n">
        <v>0</v>
      </c>
      <c r="Q121" t="n">
        <v>1</v>
      </c>
      <c r="R121" s="2" t="inlineStr">
        <is>
          <t>Mattlummer</t>
        </is>
      </c>
      <c r="S121">
        <f>HYPERLINK("https://klasma.github.io/Logging_0380/artfynd/A 21801-2025 artfynd.xlsx", "A 21801-2025")</f>
        <v/>
      </c>
      <c r="T121">
        <f>HYPERLINK("https://klasma.github.io/Logging_0380/kartor/A 21801-2025 karta.png", "A 21801-2025")</f>
        <v/>
      </c>
      <c r="V121">
        <f>HYPERLINK("https://klasma.github.io/Logging_0380/klagomål/A 21801-2025 FSC-klagomål.docx", "A 21801-2025")</f>
        <v/>
      </c>
      <c r="W121">
        <f>HYPERLINK("https://klasma.github.io/Logging_0380/klagomålsmail/A 21801-2025 FSC-klagomål mail.docx", "A 21801-2025")</f>
        <v/>
      </c>
      <c r="X121">
        <f>HYPERLINK("https://klasma.github.io/Logging_0380/tillsyn/A 21801-2025 tillsynsbegäran.docx", "A 21801-2025")</f>
        <v/>
      </c>
      <c r="Y121">
        <f>HYPERLINK("https://klasma.github.io/Logging_0380/tillsynsmail/A 21801-2025 tillsynsbegäran mail.docx", "A 21801-2025")</f>
        <v/>
      </c>
    </row>
    <row r="122" ht="15" customHeight="1">
      <c r="A122" t="inlineStr">
        <is>
          <t>A 5732-2025</t>
        </is>
      </c>
      <c r="B122" s="1" t="n">
        <v>45694.49650462963</v>
      </c>
      <c r="C122" s="1" t="n">
        <v>46138</v>
      </c>
      <c r="D122" t="inlineStr">
        <is>
          <t>UPPSALA LÄN</t>
        </is>
      </c>
      <c r="E122" t="inlineStr">
        <is>
          <t>UPPSALA</t>
        </is>
      </c>
      <c r="G122" t="n">
        <v>1.9</v>
      </c>
      <c r="H122" t="n">
        <v>0</v>
      </c>
      <c r="I122" t="n">
        <v>1</v>
      </c>
      <c r="J122" t="n">
        <v>0</v>
      </c>
      <c r="K122" t="n">
        <v>0</v>
      </c>
      <c r="L122" t="n">
        <v>0</v>
      </c>
      <c r="M122" t="n">
        <v>0</v>
      </c>
      <c r="N122" t="n">
        <v>0</v>
      </c>
      <c r="O122" t="n">
        <v>0</v>
      </c>
      <c r="P122" t="n">
        <v>0</v>
      </c>
      <c r="Q122" t="n">
        <v>1</v>
      </c>
      <c r="R122" s="2" t="inlineStr">
        <is>
          <t>Fällmossa</t>
        </is>
      </c>
      <c r="S122">
        <f>HYPERLINK("https://klasma.github.io/Logging_0380/artfynd/A 5732-2025 artfynd.xlsx", "A 5732-2025")</f>
        <v/>
      </c>
      <c r="T122">
        <f>HYPERLINK("https://klasma.github.io/Logging_0380/kartor/A 5732-2025 karta.png", "A 5732-2025")</f>
        <v/>
      </c>
      <c r="V122">
        <f>HYPERLINK("https://klasma.github.io/Logging_0380/klagomål/A 5732-2025 FSC-klagomål.docx", "A 5732-2025")</f>
        <v/>
      </c>
      <c r="W122">
        <f>HYPERLINK("https://klasma.github.io/Logging_0380/klagomålsmail/A 5732-2025 FSC-klagomål mail.docx", "A 5732-2025")</f>
        <v/>
      </c>
      <c r="X122">
        <f>HYPERLINK("https://klasma.github.io/Logging_0380/tillsyn/A 5732-2025 tillsynsbegäran.docx", "A 5732-2025")</f>
        <v/>
      </c>
      <c r="Y122">
        <f>HYPERLINK("https://klasma.github.io/Logging_0380/tillsynsmail/A 5732-2025 tillsynsbegäran mail.docx", "A 5732-2025")</f>
        <v/>
      </c>
    </row>
    <row r="123" ht="15" customHeight="1">
      <c r="A123" t="inlineStr">
        <is>
          <t>A 4657-2025</t>
        </is>
      </c>
      <c r="B123" s="1" t="n">
        <v>45687</v>
      </c>
      <c r="C123" s="1" t="n">
        <v>46138</v>
      </c>
      <c r="D123" t="inlineStr">
        <is>
          <t>UPPSALA LÄN</t>
        </is>
      </c>
      <c r="E123" t="inlineStr">
        <is>
          <t>UPPSALA</t>
        </is>
      </c>
      <c r="G123" t="n">
        <v>2.9</v>
      </c>
      <c r="H123" t="n">
        <v>1</v>
      </c>
      <c r="I123" t="n">
        <v>0</v>
      </c>
      <c r="J123" t="n">
        <v>1</v>
      </c>
      <c r="K123" t="n">
        <v>0</v>
      </c>
      <c r="L123" t="n">
        <v>0</v>
      </c>
      <c r="M123" t="n">
        <v>0</v>
      </c>
      <c r="N123" t="n">
        <v>0</v>
      </c>
      <c r="O123" t="n">
        <v>1</v>
      </c>
      <c r="P123" t="n">
        <v>0</v>
      </c>
      <c r="Q123" t="n">
        <v>1</v>
      </c>
      <c r="R123" s="2" t="inlineStr">
        <is>
          <t>Grönsångare</t>
        </is>
      </c>
      <c r="S123">
        <f>HYPERLINK("https://klasma.github.io/Logging_0380/artfynd/A 4657-2025 artfynd.xlsx", "A 4657-2025")</f>
        <v/>
      </c>
      <c r="T123">
        <f>HYPERLINK("https://klasma.github.io/Logging_0380/kartor/A 4657-2025 karta.png", "A 4657-2025")</f>
        <v/>
      </c>
      <c r="V123">
        <f>HYPERLINK("https://klasma.github.io/Logging_0380/klagomål/A 4657-2025 FSC-klagomål.docx", "A 4657-2025")</f>
        <v/>
      </c>
      <c r="W123">
        <f>HYPERLINK("https://klasma.github.io/Logging_0380/klagomålsmail/A 4657-2025 FSC-klagomål mail.docx", "A 4657-2025")</f>
        <v/>
      </c>
      <c r="X123">
        <f>HYPERLINK("https://klasma.github.io/Logging_0380/tillsyn/A 4657-2025 tillsynsbegäran.docx", "A 4657-2025")</f>
        <v/>
      </c>
      <c r="Y123">
        <f>HYPERLINK("https://klasma.github.io/Logging_0380/tillsynsmail/A 4657-2025 tillsynsbegäran mail.docx", "A 4657-2025")</f>
        <v/>
      </c>
      <c r="Z123">
        <f>HYPERLINK("https://klasma.github.io/Logging_0380/fåglar/A 4657-2025 prioriterade fågelarter.docx", "A 4657-2025")</f>
        <v/>
      </c>
    </row>
    <row r="124" ht="15" customHeight="1">
      <c r="A124" t="inlineStr">
        <is>
          <t>A 44385-2025</t>
        </is>
      </c>
      <c r="B124" s="1" t="n">
        <v>45916.48704861111</v>
      </c>
      <c r="C124" s="1" t="n">
        <v>46138</v>
      </c>
      <c r="D124" t="inlineStr">
        <is>
          <t>UPPSALA LÄN</t>
        </is>
      </c>
      <c r="E124" t="inlineStr">
        <is>
          <t>UPPSALA</t>
        </is>
      </c>
      <c r="F124" t="inlineStr">
        <is>
          <t>Bergvik skog öst AB</t>
        </is>
      </c>
      <c r="G124" t="n">
        <v>6.8</v>
      </c>
      <c r="H124" t="n">
        <v>1</v>
      </c>
      <c r="I124" t="n">
        <v>0</v>
      </c>
      <c r="J124" t="n">
        <v>0</v>
      </c>
      <c r="K124" t="n">
        <v>0</v>
      </c>
      <c r="L124" t="n">
        <v>0</v>
      </c>
      <c r="M124" t="n">
        <v>0</v>
      </c>
      <c r="N124" t="n">
        <v>0</v>
      </c>
      <c r="O124" t="n">
        <v>0</v>
      </c>
      <c r="P124" t="n">
        <v>0</v>
      </c>
      <c r="Q124" t="n">
        <v>1</v>
      </c>
      <c r="R124" s="2" t="inlineStr">
        <is>
          <t>Blåsippa</t>
        </is>
      </c>
      <c r="S124">
        <f>HYPERLINK("https://klasma.github.io/Logging_0380/artfynd/A 44385-2025 artfynd.xlsx", "A 44385-2025")</f>
        <v/>
      </c>
      <c r="T124">
        <f>HYPERLINK("https://klasma.github.io/Logging_0380/kartor/A 44385-2025 karta.png", "A 44385-2025")</f>
        <v/>
      </c>
      <c r="V124">
        <f>HYPERLINK("https://klasma.github.io/Logging_0380/klagomål/A 44385-2025 FSC-klagomål.docx", "A 44385-2025")</f>
        <v/>
      </c>
      <c r="W124">
        <f>HYPERLINK("https://klasma.github.io/Logging_0380/klagomålsmail/A 44385-2025 FSC-klagomål mail.docx", "A 44385-2025")</f>
        <v/>
      </c>
      <c r="X124">
        <f>HYPERLINK("https://klasma.github.io/Logging_0380/tillsyn/A 44385-2025 tillsynsbegäran.docx", "A 44385-2025")</f>
        <v/>
      </c>
      <c r="Y124">
        <f>HYPERLINK("https://klasma.github.io/Logging_0380/tillsynsmail/A 44385-2025 tillsynsbegäran mail.docx", "A 44385-2025")</f>
        <v/>
      </c>
    </row>
    <row r="125" ht="15" customHeight="1">
      <c r="A125" t="inlineStr">
        <is>
          <t>A 25729-2024</t>
        </is>
      </c>
      <c r="B125" s="1" t="n">
        <v>45464</v>
      </c>
      <c r="C125" s="1" t="n">
        <v>46138</v>
      </c>
      <c r="D125" t="inlineStr">
        <is>
          <t>UPPSALA LÄN</t>
        </is>
      </c>
      <c r="E125" t="inlineStr">
        <is>
          <t>UPPSALA</t>
        </is>
      </c>
      <c r="G125" t="n">
        <v>22.3</v>
      </c>
      <c r="H125" t="n">
        <v>0</v>
      </c>
      <c r="I125" t="n">
        <v>0</v>
      </c>
      <c r="J125" t="n">
        <v>1</v>
      </c>
      <c r="K125" t="n">
        <v>0</v>
      </c>
      <c r="L125" t="n">
        <v>0</v>
      </c>
      <c r="M125" t="n">
        <v>0</v>
      </c>
      <c r="N125" t="n">
        <v>0</v>
      </c>
      <c r="O125" t="n">
        <v>1</v>
      </c>
      <c r="P125" t="n">
        <v>0</v>
      </c>
      <c r="Q125" t="n">
        <v>1</v>
      </c>
      <c r="R125" s="2" t="inlineStr">
        <is>
          <t>Ullticka</t>
        </is>
      </c>
      <c r="S125">
        <f>HYPERLINK("https://klasma.github.io/Logging_0380/artfynd/A 25729-2024 artfynd.xlsx", "A 25729-2024")</f>
        <v/>
      </c>
      <c r="T125">
        <f>HYPERLINK("https://klasma.github.io/Logging_0380/kartor/A 25729-2024 karta.png", "A 25729-2024")</f>
        <v/>
      </c>
      <c r="V125">
        <f>HYPERLINK("https://klasma.github.io/Logging_0380/klagomål/A 25729-2024 FSC-klagomål.docx", "A 25729-2024")</f>
        <v/>
      </c>
      <c r="W125">
        <f>HYPERLINK("https://klasma.github.io/Logging_0380/klagomålsmail/A 25729-2024 FSC-klagomål mail.docx", "A 25729-2024")</f>
        <v/>
      </c>
      <c r="X125">
        <f>HYPERLINK("https://klasma.github.io/Logging_0380/tillsyn/A 25729-2024 tillsynsbegäran.docx", "A 25729-2024")</f>
        <v/>
      </c>
      <c r="Y125">
        <f>HYPERLINK("https://klasma.github.io/Logging_0380/tillsynsmail/A 25729-2024 tillsynsbegäran mail.docx", "A 25729-2024")</f>
        <v/>
      </c>
    </row>
    <row r="126" ht="15" customHeight="1">
      <c r="A126" t="inlineStr">
        <is>
          <t>A 52849-2021</t>
        </is>
      </c>
      <c r="B126" s="1" t="n">
        <v>44467</v>
      </c>
      <c r="C126" s="1" t="n">
        <v>46138</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26923-2025</t>
        </is>
      </c>
      <c r="B127" s="1" t="n">
        <v>45811.38710648148</v>
      </c>
      <c r="C127" s="1" t="n">
        <v>46138</v>
      </c>
      <c r="D127" t="inlineStr">
        <is>
          <t>UPPSALA LÄN</t>
        </is>
      </c>
      <c r="E127" t="inlineStr">
        <is>
          <t>UPPSALA</t>
        </is>
      </c>
      <c r="F127" t="inlineStr">
        <is>
          <t>Kyrkan</t>
        </is>
      </c>
      <c r="G127" t="n">
        <v>9.800000000000001</v>
      </c>
      <c r="H127" t="n">
        <v>1</v>
      </c>
      <c r="I127" t="n">
        <v>0</v>
      </c>
      <c r="J127" t="n">
        <v>0</v>
      </c>
      <c r="K127" t="n">
        <v>0</v>
      </c>
      <c r="L127" t="n">
        <v>0</v>
      </c>
      <c r="M127" t="n">
        <v>0</v>
      </c>
      <c r="N127" t="n">
        <v>0</v>
      </c>
      <c r="O127" t="n">
        <v>0</v>
      </c>
      <c r="P127" t="n">
        <v>0</v>
      </c>
      <c r="Q127" t="n">
        <v>1</v>
      </c>
      <c r="R127" s="2" t="inlineStr">
        <is>
          <t>Fläcknycklar</t>
        </is>
      </c>
      <c r="S127">
        <f>HYPERLINK("https://klasma.github.io/Logging_0380/artfynd/A 26923-2025 artfynd.xlsx", "A 26923-2025")</f>
        <v/>
      </c>
      <c r="T127">
        <f>HYPERLINK("https://klasma.github.io/Logging_0380/kartor/A 26923-2025 karta.png", "A 26923-2025")</f>
        <v/>
      </c>
      <c r="V127">
        <f>HYPERLINK("https://klasma.github.io/Logging_0380/klagomål/A 26923-2025 FSC-klagomål.docx", "A 26923-2025")</f>
        <v/>
      </c>
      <c r="W127">
        <f>HYPERLINK("https://klasma.github.io/Logging_0380/klagomålsmail/A 26923-2025 FSC-klagomål mail.docx", "A 26923-2025")</f>
        <v/>
      </c>
      <c r="X127">
        <f>HYPERLINK("https://klasma.github.io/Logging_0380/tillsyn/A 26923-2025 tillsynsbegäran.docx", "A 26923-2025")</f>
        <v/>
      </c>
      <c r="Y127">
        <f>HYPERLINK("https://klasma.github.io/Logging_0380/tillsynsmail/A 26923-2025 tillsynsbegäran mail.docx", "A 26923-2025")</f>
        <v/>
      </c>
    </row>
    <row r="128" ht="15" customHeight="1">
      <c r="A128" t="inlineStr">
        <is>
          <t>A 27848-2023</t>
        </is>
      </c>
      <c r="B128" s="1" t="n">
        <v>45098</v>
      </c>
      <c r="C128" s="1" t="n">
        <v>46138</v>
      </c>
      <c r="D128" t="inlineStr">
        <is>
          <t>UPPSALA LÄN</t>
        </is>
      </c>
      <c r="E128" t="inlineStr">
        <is>
          <t>UPPSALA</t>
        </is>
      </c>
      <c r="G128" t="n">
        <v>14.3</v>
      </c>
      <c r="H128" t="n">
        <v>0</v>
      </c>
      <c r="I128" t="n">
        <v>1</v>
      </c>
      <c r="J128" t="n">
        <v>0</v>
      </c>
      <c r="K128" t="n">
        <v>0</v>
      </c>
      <c r="L128" t="n">
        <v>0</v>
      </c>
      <c r="M128" t="n">
        <v>0</v>
      </c>
      <c r="N128" t="n">
        <v>0</v>
      </c>
      <c r="O128" t="n">
        <v>0</v>
      </c>
      <c r="P128" t="n">
        <v>0</v>
      </c>
      <c r="Q128" t="n">
        <v>1</v>
      </c>
      <c r="R128" s="2" t="inlineStr">
        <is>
          <t>Blåmossa</t>
        </is>
      </c>
      <c r="S128">
        <f>HYPERLINK("https://klasma.github.io/Logging_0380/artfynd/A 27848-2023 artfynd.xlsx", "A 27848-2023")</f>
        <v/>
      </c>
      <c r="T128">
        <f>HYPERLINK("https://klasma.github.io/Logging_0380/kartor/A 27848-2023 karta.png", "A 27848-2023")</f>
        <v/>
      </c>
      <c r="V128">
        <f>HYPERLINK("https://klasma.github.io/Logging_0380/klagomål/A 27848-2023 FSC-klagomål.docx", "A 27848-2023")</f>
        <v/>
      </c>
      <c r="W128">
        <f>HYPERLINK("https://klasma.github.io/Logging_0380/klagomålsmail/A 27848-2023 FSC-klagomål mail.docx", "A 27848-2023")</f>
        <v/>
      </c>
      <c r="X128">
        <f>HYPERLINK("https://klasma.github.io/Logging_0380/tillsyn/A 27848-2023 tillsynsbegäran.docx", "A 27848-2023")</f>
        <v/>
      </c>
      <c r="Y128">
        <f>HYPERLINK("https://klasma.github.io/Logging_0380/tillsynsmail/A 27848-2023 tillsynsbegäran mail.docx", "A 27848-2023")</f>
        <v/>
      </c>
    </row>
    <row r="129" ht="15" customHeight="1">
      <c r="A129" t="inlineStr">
        <is>
          <t>A 3304-2025</t>
        </is>
      </c>
      <c r="B129" s="1" t="n">
        <v>45679</v>
      </c>
      <c r="C129" s="1" t="n">
        <v>46138</v>
      </c>
      <c r="D129" t="inlineStr">
        <is>
          <t>UPPSALA LÄN</t>
        </is>
      </c>
      <c r="E129" t="inlineStr">
        <is>
          <t>UPPSALA</t>
        </is>
      </c>
      <c r="F129" t="inlineStr">
        <is>
          <t>Övriga statliga verk och myndigheter</t>
        </is>
      </c>
      <c r="G129" t="n">
        <v>3.8</v>
      </c>
      <c r="H129" t="n">
        <v>1</v>
      </c>
      <c r="I129" t="n">
        <v>0</v>
      </c>
      <c r="J129" t="n">
        <v>0</v>
      </c>
      <c r="K129" t="n">
        <v>0</v>
      </c>
      <c r="L129" t="n">
        <v>0</v>
      </c>
      <c r="M129" t="n">
        <v>0</v>
      </c>
      <c r="N129" t="n">
        <v>0</v>
      </c>
      <c r="O129" t="n">
        <v>0</v>
      </c>
      <c r="P129" t="n">
        <v>0</v>
      </c>
      <c r="Q129" t="n">
        <v>1</v>
      </c>
      <c r="R129" s="2" t="inlineStr">
        <is>
          <t>Blåsippa</t>
        </is>
      </c>
      <c r="S129">
        <f>HYPERLINK("https://klasma.github.io/Logging_0380/artfynd/A 3304-2025 artfynd.xlsx", "A 3304-2025")</f>
        <v/>
      </c>
      <c r="T129">
        <f>HYPERLINK("https://klasma.github.io/Logging_0380/kartor/A 3304-2025 karta.png", "A 3304-2025")</f>
        <v/>
      </c>
      <c r="V129">
        <f>HYPERLINK("https://klasma.github.io/Logging_0380/klagomål/A 3304-2025 FSC-klagomål.docx", "A 3304-2025")</f>
        <v/>
      </c>
      <c r="W129">
        <f>HYPERLINK("https://klasma.github.io/Logging_0380/klagomålsmail/A 3304-2025 FSC-klagomål mail.docx", "A 3304-2025")</f>
        <v/>
      </c>
      <c r="X129">
        <f>HYPERLINK("https://klasma.github.io/Logging_0380/tillsyn/A 3304-2025 tillsynsbegäran.docx", "A 3304-2025")</f>
        <v/>
      </c>
      <c r="Y129">
        <f>HYPERLINK("https://klasma.github.io/Logging_0380/tillsynsmail/A 3304-2025 tillsynsbegäran mail.docx", "A 3304-2025")</f>
        <v/>
      </c>
    </row>
    <row r="130" ht="15" customHeight="1">
      <c r="A130" t="inlineStr">
        <is>
          <t>A 28056-2025</t>
        </is>
      </c>
      <c r="B130" s="1" t="n">
        <v>45817</v>
      </c>
      <c r="C130" s="1" t="n">
        <v>46138</v>
      </c>
      <c r="D130" t="inlineStr">
        <is>
          <t>UPPSALA LÄN</t>
        </is>
      </c>
      <c r="E130" t="inlineStr">
        <is>
          <t>UPPSALA</t>
        </is>
      </c>
      <c r="G130" t="n">
        <v>19.3</v>
      </c>
      <c r="H130" t="n">
        <v>1</v>
      </c>
      <c r="I130" t="n">
        <v>0</v>
      </c>
      <c r="J130" t="n">
        <v>0</v>
      </c>
      <c r="K130" t="n">
        <v>1</v>
      </c>
      <c r="L130" t="n">
        <v>0</v>
      </c>
      <c r="M130" t="n">
        <v>0</v>
      </c>
      <c r="N130" t="n">
        <v>0</v>
      </c>
      <c r="O130" t="n">
        <v>1</v>
      </c>
      <c r="P130" t="n">
        <v>1</v>
      </c>
      <c r="Q130" t="n">
        <v>1</v>
      </c>
      <c r="R130" s="2" t="inlineStr">
        <is>
          <t>Knärot</t>
        </is>
      </c>
      <c r="S130">
        <f>HYPERLINK("https://klasma.github.io/Logging_0380/artfynd/A 28056-2025 artfynd.xlsx", "A 28056-2025")</f>
        <v/>
      </c>
      <c r="T130">
        <f>HYPERLINK("https://klasma.github.io/Logging_0380/kartor/A 28056-2025 karta.png", "A 28056-2025")</f>
        <v/>
      </c>
      <c r="U130">
        <f>HYPERLINK("https://klasma.github.io/Logging_0380/knärot/A 28056-2025 karta knärot.png", "A 28056-2025")</f>
        <v/>
      </c>
      <c r="V130">
        <f>HYPERLINK("https://klasma.github.io/Logging_0380/klagomål/A 28056-2025 FSC-klagomål.docx", "A 28056-2025")</f>
        <v/>
      </c>
      <c r="W130">
        <f>HYPERLINK("https://klasma.github.io/Logging_0380/klagomålsmail/A 28056-2025 FSC-klagomål mail.docx", "A 28056-2025")</f>
        <v/>
      </c>
      <c r="X130">
        <f>HYPERLINK("https://klasma.github.io/Logging_0380/tillsyn/A 28056-2025 tillsynsbegäran.docx", "A 28056-2025")</f>
        <v/>
      </c>
      <c r="Y130">
        <f>HYPERLINK("https://klasma.github.io/Logging_0380/tillsynsmail/A 28056-2025 tillsynsbegäran mail.docx", "A 28056-2025")</f>
        <v/>
      </c>
    </row>
    <row r="131" ht="15" customHeight="1">
      <c r="A131" t="inlineStr">
        <is>
          <t>A 27824-2025</t>
        </is>
      </c>
      <c r="B131" s="1" t="n">
        <v>45817.34614583333</v>
      </c>
      <c r="C131" s="1" t="n">
        <v>46138</v>
      </c>
      <c r="D131" t="inlineStr">
        <is>
          <t>UPPSALA LÄN</t>
        </is>
      </c>
      <c r="E131" t="inlineStr">
        <is>
          <t>UPPSALA</t>
        </is>
      </c>
      <c r="F131" t="inlineStr">
        <is>
          <t>Kyrkan</t>
        </is>
      </c>
      <c r="G131" t="n">
        <v>3.3</v>
      </c>
      <c r="H131" t="n">
        <v>0</v>
      </c>
      <c r="I131" t="n">
        <v>1</v>
      </c>
      <c r="J131" t="n">
        <v>0</v>
      </c>
      <c r="K131" t="n">
        <v>0</v>
      </c>
      <c r="L131" t="n">
        <v>0</v>
      </c>
      <c r="M131" t="n">
        <v>0</v>
      </c>
      <c r="N131" t="n">
        <v>0</v>
      </c>
      <c r="O131" t="n">
        <v>0</v>
      </c>
      <c r="P131" t="n">
        <v>0</v>
      </c>
      <c r="Q131" t="n">
        <v>1</v>
      </c>
      <c r="R131" s="2" t="inlineStr">
        <is>
          <t>Sårläka</t>
        </is>
      </c>
      <c r="S131">
        <f>HYPERLINK("https://klasma.github.io/Logging_0380/artfynd/A 27824-2025 artfynd.xlsx", "A 27824-2025")</f>
        <v/>
      </c>
      <c r="T131">
        <f>HYPERLINK("https://klasma.github.io/Logging_0380/kartor/A 27824-2025 karta.png", "A 27824-2025")</f>
        <v/>
      </c>
      <c r="V131">
        <f>HYPERLINK("https://klasma.github.io/Logging_0380/klagomål/A 27824-2025 FSC-klagomål.docx", "A 27824-2025")</f>
        <v/>
      </c>
      <c r="W131">
        <f>HYPERLINK("https://klasma.github.io/Logging_0380/klagomålsmail/A 27824-2025 FSC-klagomål mail.docx", "A 27824-2025")</f>
        <v/>
      </c>
      <c r="X131">
        <f>HYPERLINK("https://klasma.github.io/Logging_0380/tillsyn/A 27824-2025 tillsynsbegäran.docx", "A 27824-2025")</f>
        <v/>
      </c>
      <c r="Y131">
        <f>HYPERLINK("https://klasma.github.io/Logging_0380/tillsynsmail/A 27824-2025 tillsynsbegäran mail.docx", "A 27824-2025")</f>
        <v/>
      </c>
    </row>
    <row r="132" ht="15" customHeight="1">
      <c r="A132" t="inlineStr">
        <is>
          <t>A 28299-2025</t>
        </is>
      </c>
      <c r="B132" s="1" t="n">
        <v>45818.60254629629</v>
      </c>
      <c r="C132" s="1" t="n">
        <v>46138</v>
      </c>
      <c r="D132" t="inlineStr">
        <is>
          <t>UPPSALA LÄN</t>
        </is>
      </c>
      <c r="E132" t="inlineStr">
        <is>
          <t>UPPSALA</t>
        </is>
      </c>
      <c r="F132" t="inlineStr">
        <is>
          <t>Holmen skog AB</t>
        </is>
      </c>
      <c r="G132" t="n">
        <v>12</v>
      </c>
      <c r="H132" t="n">
        <v>0</v>
      </c>
      <c r="I132" t="n">
        <v>0</v>
      </c>
      <c r="J132" t="n">
        <v>1</v>
      </c>
      <c r="K132" t="n">
        <v>0</v>
      </c>
      <c r="L132" t="n">
        <v>0</v>
      </c>
      <c r="M132" t="n">
        <v>0</v>
      </c>
      <c r="N132" t="n">
        <v>0</v>
      </c>
      <c r="O132" t="n">
        <v>1</v>
      </c>
      <c r="P132" t="n">
        <v>0</v>
      </c>
      <c r="Q132" t="n">
        <v>1</v>
      </c>
      <c r="R132" s="2" t="inlineStr">
        <is>
          <t>Slåtterfibbla</t>
        </is>
      </c>
      <c r="S132">
        <f>HYPERLINK("https://klasma.github.io/Logging_0380/artfynd/A 28299-2025 artfynd.xlsx", "A 28299-2025")</f>
        <v/>
      </c>
      <c r="T132">
        <f>HYPERLINK("https://klasma.github.io/Logging_0380/kartor/A 28299-2025 karta.png", "A 28299-2025")</f>
        <v/>
      </c>
      <c r="V132">
        <f>HYPERLINK("https://klasma.github.io/Logging_0380/klagomål/A 28299-2025 FSC-klagomål.docx", "A 28299-2025")</f>
        <v/>
      </c>
      <c r="W132">
        <f>HYPERLINK("https://klasma.github.io/Logging_0380/klagomålsmail/A 28299-2025 FSC-klagomål mail.docx", "A 28299-2025")</f>
        <v/>
      </c>
      <c r="X132">
        <f>HYPERLINK("https://klasma.github.io/Logging_0380/tillsyn/A 28299-2025 tillsynsbegäran.docx", "A 28299-2025")</f>
        <v/>
      </c>
      <c r="Y132">
        <f>HYPERLINK("https://klasma.github.io/Logging_0380/tillsynsmail/A 28299-2025 tillsynsbegäran mail.docx", "A 28299-2025")</f>
        <v/>
      </c>
    </row>
    <row r="133" ht="15" customHeight="1">
      <c r="A133" t="inlineStr">
        <is>
          <t>A 51475-2025</t>
        </is>
      </c>
      <c r="B133" s="1" t="n">
        <v>45950</v>
      </c>
      <c r="C133" s="1" t="n">
        <v>46138</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13526-2025</t>
        </is>
      </c>
      <c r="B134" s="1" t="n">
        <v>45736.49902777778</v>
      </c>
      <c r="C134" s="1" t="n">
        <v>46138</v>
      </c>
      <c r="D134" t="inlineStr">
        <is>
          <t>UPPSALA LÄN</t>
        </is>
      </c>
      <c r="E134" t="inlineStr">
        <is>
          <t>UPPSALA</t>
        </is>
      </c>
      <c r="F134" t="inlineStr">
        <is>
          <t>Allmännings- och besparingsskogar</t>
        </is>
      </c>
      <c r="G134" t="n">
        <v>3</v>
      </c>
      <c r="H134" t="n">
        <v>0</v>
      </c>
      <c r="I134" t="n">
        <v>0</v>
      </c>
      <c r="J134" t="n">
        <v>1</v>
      </c>
      <c r="K134" t="n">
        <v>0</v>
      </c>
      <c r="L134" t="n">
        <v>0</v>
      </c>
      <c r="M134" t="n">
        <v>0</v>
      </c>
      <c r="N134" t="n">
        <v>0</v>
      </c>
      <c r="O134" t="n">
        <v>1</v>
      </c>
      <c r="P134" t="n">
        <v>0</v>
      </c>
      <c r="Q134" t="n">
        <v>1</v>
      </c>
      <c r="R134" s="2" t="inlineStr">
        <is>
          <t>Vedtrappmossa</t>
        </is>
      </c>
      <c r="S134">
        <f>HYPERLINK("https://klasma.github.io/Logging_0380/artfynd/A 13526-2025 artfynd.xlsx", "A 13526-2025")</f>
        <v/>
      </c>
      <c r="T134">
        <f>HYPERLINK("https://klasma.github.io/Logging_0380/kartor/A 13526-2025 karta.png", "A 13526-2025")</f>
        <v/>
      </c>
      <c r="V134">
        <f>HYPERLINK("https://klasma.github.io/Logging_0380/klagomål/A 13526-2025 FSC-klagomål.docx", "A 13526-2025")</f>
        <v/>
      </c>
      <c r="W134">
        <f>HYPERLINK("https://klasma.github.io/Logging_0380/klagomålsmail/A 13526-2025 FSC-klagomål mail.docx", "A 13526-2025")</f>
        <v/>
      </c>
      <c r="X134">
        <f>HYPERLINK("https://klasma.github.io/Logging_0380/tillsyn/A 13526-2025 tillsynsbegäran.docx", "A 13526-2025")</f>
        <v/>
      </c>
      <c r="Y134">
        <f>HYPERLINK("https://klasma.github.io/Logging_0380/tillsynsmail/A 13526-2025 tillsynsbegäran mail.docx", "A 13526-2025")</f>
        <v/>
      </c>
    </row>
    <row r="135" ht="15" customHeight="1">
      <c r="A135" t="inlineStr">
        <is>
          <t>A 39741-2023</t>
        </is>
      </c>
      <c r="B135" s="1" t="n">
        <v>45167</v>
      </c>
      <c r="C135" s="1" t="n">
        <v>46138</v>
      </c>
      <c r="D135" t="inlineStr">
        <is>
          <t>UPPSALA LÄN</t>
        </is>
      </c>
      <c r="E135" t="inlineStr">
        <is>
          <t>UPPSALA</t>
        </is>
      </c>
      <c r="G135" t="n">
        <v>5.6</v>
      </c>
      <c r="H135" t="n">
        <v>1</v>
      </c>
      <c r="I135" t="n">
        <v>0</v>
      </c>
      <c r="J135" t="n">
        <v>1</v>
      </c>
      <c r="K135" t="n">
        <v>0</v>
      </c>
      <c r="L135" t="n">
        <v>0</v>
      </c>
      <c r="M135" t="n">
        <v>0</v>
      </c>
      <c r="N135" t="n">
        <v>0</v>
      </c>
      <c r="O135" t="n">
        <v>1</v>
      </c>
      <c r="P135" t="n">
        <v>0</v>
      </c>
      <c r="Q135" t="n">
        <v>1</v>
      </c>
      <c r="R135" s="2" t="inlineStr">
        <is>
          <t>Entita</t>
        </is>
      </c>
      <c r="S135">
        <f>HYPERLINK("https://klasma.github.io/Logging_0380/artfynd/A 39741-2023 artfynd.xlsx", "A 39741-2023")</f>
        <v/>
      </c>
      <c r="T135">
        <f>HYPERLINK("https://klasma.github.io/Logging_0380/kartor/A 39741-2023 karta.png", "A 39741-2023")</f>
        <v/>
      </c>
      <c r="V135">
        <f>HYPERLINK("https://klasma.github.io/Logging_0380/klagomål/A 39741-2023 FSC-klagomål.docx", "A 39741-2023")</f>
        <v/>
      </c>
      <c r="W135">
        <f>HYPERLINK("https://klasma.github.io/Logging_0380/klagomålsmail/A 39741-2023 FSC-klagomål mail.docx", "A 39741-2023")</f>
        <v/>
      </c>
      <c r="X135">
        <f>HYPERLINK("https://klasma.github.io/Logging_0380/tillsyn/A 39741-2023 tillsynsbegäran.docx", "A 39741-2023")</f>
        <v/>
      </c>
      <c r="Y135">
        <f>HYPERLINK("https://klasma.github.io/Logging_0380/tillsynsmail/A 39741-2023 tillsynsbegäran mail.docx", "A 39741-2023")</f>
        <v/>
      </c>
      <c r="Z135">
        <f>HYPERLINK("https://klasma.github.io/Logging_0380/fåglar/A 39741-2023 prioriterade fågelarter.docx", "A 39741-2023")</f>
        <v/>
      </c>
    </row>
    <row r="136" ht="15" customHeight="1">
      <c r="A136" t="inlineStr">
        <is>
          <t>A 29664-2025</t>
        </is>
      </c>
      <c r="B136" s="1" t="n">
        <v>45825.49060185185</v>
      </c>
      <c r="C136" s="1" t="n">
        <v>46138</v>
      </c>
      <c r="D136" t="inlineStr">
        <is>
          <t>UPPSALA LÄN</t>
        </is>
      </c>
      <c r="E136" t="inlineStr">
        <is>
          <t>UPPSALA</t>
        </is>
      </c>
      <c r="F136" t="inlineStr">
        <is>
          <t>Holmen skog AB</t>
        </is>
      </c>
      <c r="G136" t="n">
        <v>16.8</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29664-2025 artfynd.xlsx", "A 29664-2025")</f>
        <v/>
      </c>
      <c r="T136">
        <f>HYPERLINK("https://klasma.github.io/Logging_0380/kartor/A 29664-2025 karta.png", "A 29664-2025")</f>
        <v/>
      </c>
      <c r="V136">
        <f>HYPERLINK("https://klasma.github.io/Logging_0380/klagomål/A 29664-2025 FSC-klagomål.docx", "A 29664-2025")</f>
        <v/>
      </c>
      <c r="W136">
        <f>HYPERLINK("https://klasma.github.io/Logging_0380/klagomålsmail/A 29664-2025 FSC-klagomål mail.docx", "A 29664-2025")</f>
        <v/>
      </c>
      <c r="X136">
        <f>HYPERLINK("https://klasma.github.io/Logging_0380/tillsyn/A 29664-2025 tillsynsbegäran.docx", "A 29664-2025")</f>
        <v/>
      </c>
      <c r="Y136">
        <f>HYPERLINK("https://klasma.github.io/Logging_0380/tillsynsmail/A 29664-2025 tillsynsbegäran mail.docx", "A 29664-2025")</f>
        <v/>
      </c>
    </row>
    <row r="137" ht="15" customHeight="1">
      <c r="A137" t="inlineStr">
        <is>
          <t>A 36842-2025</t>
        </is>
      </c>
      <c r="B137" s="1" t="n">
        <v>45874</v>
      </c>
      <c r="C137" s="1" t="n">
        <v>46138</v>
      </c>
      <c r="D137" t="inlineStr">
        <is>
          <t>UPPSALA LÄN</t>
        </is>
      </c>
      <c r="E137" t="inlineStr">
        <is>
          <t>UPPSALA</t>
        </is>
      </c>
      <c r="G137" t="n">
        <v>9.9</v>
      </c>
      <c r="H137" t="n">
        <v>0</v>
      </c>
      <c r="I137" t="n">
        <v>1</v>
      </c>
      <c r="J137" t="n">
        <v>0</v>
      </c>
      <c r="K137" t="n">
        <v>0</v>
      </c>
      <c r="L137" t="n">
        <v>0</v>
      </c>
      <c r="M137" t="n">
        <v>0</v>
      </c>
      <c r="N137" t="n">
        <v>0</v>
      </c>
      <c r="O137" t="n">
        <v>0</v>
      </c>
      <c r="P137" t="n">
        <v>0</v>
      </c>
      <c r="Q137" t="n">
        <v>1</v>
      </c>
      <c r="R137" s="2" t="inlineStr">
        <is>
          <t>Vedticka</t>
        </is>
      </c>
      <c r="S137">
        <f>HYPERLINK("https://klasma.github.io/Logging_0380/artfynd/A 36842-2025 artfynd.xlsx", "A 36842-2025")</f>
        <v/>
      </c>
      <c r="T137">
        <f>HYPERLINK("https://klasma.github.io/Logging_0380/kartor/A 36842-2025 karta.png", "A 36842-2025")</f>
        <v/>
      </c>
      <c r="V137">
        <f>HYPERLINK("https://klasma.github.io/Logging_0380/klagomål/A 36842-2025 FSC-klagomål.docx", "A 36842-2025")</f>
        <v/>
      </c>
      <c r="W137">
        <f>HYPERLINK("https://klasma.github.io/Logging_0380/klagomålsmail/A 36842-2025 FSC-klagomål mail.docx", "A 36842-2025")</f>
        <v/>
      </c>
      <c r="X137">
        <f>HYPERLINK("https://klasma.github.io/Logging_0380/tillsyn/A 36842-2025 tillsynsbegäran.docx", "A 36842-2025")</f>
        <v/>
      </c>
      <c r="Y137">
        <f>HYPERLINK("https://klasma.github.io/Logging_0380/tillsynsmail/A 36842-2025 tillsynsbegäran mail.docx", "A 36842-2025")</f>
        <v/>
      </c>
    </row>
    <row r="138" ht="15" customHeight="1">
      <c r="A138" t="inlineStr">
        <is>
          <t>A 60055-2022</t>
        </is>
      </c>
      <c r="B138" s="1" t="n">
        <v>44909</v>
      </c>
      <c r="C138" s="1" t="n">
        <v>46138</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35260-2025</t>
        </is>
      </c>
      <c r="B139" s="1" t="n">
        <v>45853.76976851852</v>
      </c>
      <c r="C139" s="1" t="n">
        <v>46138</v>
      </c>
      <c r="D139" t="inlineStr">
        <is>
          <t>UPPSALA LÄN</t>
        </is>
      </c>
      <c r="E139" t="inlineStr">
        <is>
          <t>UPPSALA</t>
        </is>
      </c>
      <c r="G139" t="n">
        <v>7.3</v>
      </c>
      <c r="H139" t="n">
        <v>0</v>
      </c>
      <c r="I139" t="n">
        <v>1</v>
      </c>
      <c r="J139" t="n">
        <v>0</v>
      </c>
      <c r="K139" t="n">
        <v>0</v>
      </c>
      <c r="L139" t="n">
        <v>0</v>
      </c>
      <c r="M139" t="n">
        <v>0</v>
      </c>
      <c r="N139" t="n">
        <v>0</v>
      </c>
      <c r="O139" t="n">
        <v>0</v>
      </c>
      <c r="P139" t="n">
        <v>0</v>
      </c>
      <c r="Q139" t="n">
        <v>1</v>
      </c>
      <c r="R139" s="2" t="inlineStr">
        <is>
          <t>Svavelriska</t>
        </is>
      </c>
      <c r="S139">
        <f>HYPERLINK("https://klasma.github.io/Logging_0380/artfynd/A 35260-2025 artfynd.xlsx", "A 35260-2025")</f>
        <v/>
      </c>
      <c r="T139">
        <f>HYPERLINK("https://klasma.github.io/Logging_0380/kartor/A 35260-2025 karta.png", "A 35260-2025")</f>
        <v/>
      </c>
      <c r="V139">
        <f>HYPERLINK("https://klasma.github.io/Logging_0380/klagomål/A 35260-2025 FSC-klagomål.docx", "A 35260-2025")</f>
        <v/>
      </c>
      <c r="W139">
        <f>HYPERLINK("https://klasma.github.io/Logging_0380/klagomålsmail/A 35260-2025 FSC-klagomål mail.docx", "A 35260-2025")</f>
        <v/>
      </c>
      <c r="X139">
        <f>HYPERLINK("https://klasma.github.io/Logging_0380/tillsyn/A 35260-2025 tillsynsbegäran.docx", "A 35260-2025")</f>
        <v/>
      </c>
      <c r="Y139">
        <f>HYPERLINK("https://klasma.github.io/Logging_0380/tillsynsmail/A 35260-2025 tillsynsbegäran mail.docx", "A 35260-2025")</f>
        <v/>
      </c>
    </row>
    <row r="140" ht="15" customHeight="1">
      <c r="A140" t="inlineStr">
        <is>
          <t>A 26135-2025</t>
        </is>
      </c>
      <c r="B140" s="1" t="n">
        <v>45805.41232638889</v>
      </c>
      <c r="C140" s="1" t="n">
        <v>46138</v>
      </c>
      <c r="D140" t="inlineStr">
        <is>
          <t>UPPSALA LÄN</t>
        </is>
      </c>
      <c r="E140" t="inlineStr">
        <is>
          <t>UPPSALA</t>
        </is>
      </c>
      <c r="F140" t="inlineStr">
        <is>
          <t>Holmen skog AB</t>
        </is>
      </c>
      <c r="G140" t="n">
        <v>3.1</v>
      </c>
      <c r="H140" t="n">
        <v>0</v>
      </c>
      <c r="I140" t="n">
        <v>0</v>
      </c>
      <c r="J140" t="n">
        <v>1</v>
      </c>
      <c r="K140" t="n">
        <v>0</v>
      </c>
      <c r="L140" t="n">
        <v>0</v>
      </c>
      <c r="M140" t="n">
        <v>0</v>
      </c>
      <c r="N140" t="n">
        <v>0</v>
      </c>
      <c r="O140" t="n">
        <v>1</v>
      </c>
      <c r="P140" t="n">
        <v>0</v>
      </c>
      <c r="Q140" t="n">
        <v>1</v>
      </c>
      <c r="R140" s="2" t="inlineStr">
        <is>
          <t>Vedtrappmossa</t>
        </is>
      </c>
      <c r="S140">
        <f>HYPERLINK("https://klasma.github.io/Logging_0380/artfynd/A 26135-2025 artfynd.xlsx", "A 26135-2025")</f>
        <v/>
      </c>
      <c r="T140">
        <f>HYPERLINK("https://klasma.github.io/Logging_0380/kartor/A 26135-2025 karta.png", "A 26135-2025")</f>
        <v/>
      </c>
      <c r="V140">
        <f>HYPERLINK("https://klasma.github.io/Logging_0380/klagomål/A 26135-2025 FSC-klagomål.docx", "A 26135-2025")</f>
        <v/>
      </c>
      <c r="W140">
        <f>HYPERLINK("https://klasma.github.io/Logging_0380/klagomålsmail/A 26135-2025 FSC-klagomål mail.docx", "A 26135-2025")</f>
        <v/>
      </c>
      <c r="X140">
        <f>HYPERLINK("https://klasma.github.io/Logging_0380/tillsyn/A 26135-2025 tillsynsbegäran.docx", "A 26135-2025")</f>
        <v/>
      </c>
      <c r="Y140">
        <f>HYPERLINK("https://klasma.github.io/Logging_0380/tillsynsmail/A 26135-2025 tillsynsbegäran mail.docx", "A 26135-2025")</f>
        <v/>
      </c>
    </row>
    <row r="141" ht="15" customHeight="1">
      <c r="A141" t="inlineStr">
        <is>
          <t>A 61374-2025</t>
        </is>
      </c>
      <c r="B141" s="1" t="n">
        <v>46001.44021990741</v>
      </c>
      <c r="C141" s="1" t="n">
        <v>46138</v>
      </c>
      <c r="D141" t="inlineStr">
        <is>
          <t>UPPSALA LÄN</t>
        </is>
      </c>
      <c r="E141" t="inlineStr">
        <is>
          <t>UPPSALA</t>
        </is>
      </c>
      <c r="F141" t="inlineStr">
        <is>
          <t>Holmen skog AB</t>
        </is>
      </c>
      <c r="G141" t="n">
        <v>6.2</v>
      </c>
      <c r="H141" t="n">
        <v>0</v>
      </c>
      <c r="I141" t="n">
        <v>1</v>
      </c>
      <c r="J141" t="n">
        <v>0</v>
      </c>
      <c r="K141" t="n">
        <v>0</v>
      </c>
      <c r="L141" t="n">
        <v>0</v>
      </c>
      <c r="M141" t="n">
        <v>0</v>
      </c>
      <c r="N141" t="n">
        <v>0</v>
      </c>
      <c r="O141" t="n">
        <v>0</v>
      </c>
      <c r="P141" t="n">
        <v>0</v>
      </c>
      <c r="Q141" t="n">
        <v>1</v>
      </c>
      <c r="R141" s="2" t="inlineStr">
        <is>
          <t>Tibast</t>
        </is>
      </c>
      <c r="S141">
        <f>HYPERLINK("https://klasma.github.io/Logging_0380/artfynd/A 61374-2025 artfynd.xlsx", "A 61374-2025")</f>
        <v/>
      </c>
      <c r="T141">
        <f>HYPERLINK("https://klasma.github.io/Logging_0380/kartor/A 61374-2025 karta.png", "A 61374-2025")</f>
        <v/>
      </c>
      <c r="V141">
        <f>HYPERLINK("https://klasma.github.io/Logging_0380/klagomål/A 61374-2025 FSC-klagomål.docx", "A 61374-2025")</f>
        <v/>
      </c>
      <c r="W141">
        <f>HYPERLINK("https://klasma.github.io/Logging_0380/klagomålsmail/A 61374-2025 FSC-klagomål mail.docx", "A 61374-2025")</f>
        <v/>
      </c>
      <c r="X141">
        <f>HYPERLINK("https://klasma.github.io/Logging_0380/tillsyn/A 61374-2025 tillsynsbegäran.docx", "A 61374-2025")</f>
        <v/>
      </c>
      <c r="Y141">
        <f>HYPERLINK("https://klasma.github.io/Logging_0380/tillsynsmail/A 61374-2025 tillsynsbegäran mail.docx", "A 61374-2025")</f>
        <v/>
      </c>
    </row>
    <row r="142" ht="15" customHeight="1">
      <c r="A142" t="inlineStr">
        <is>
          <t>A 57793-2022</t>
        </is>
      </c>
      <c r="B142" s="1" t="n">
        <v>44897</v>
      </c>
      <c r="C142" s="1" t="n">
        <v>46138</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5750-2023</t>
        </is>
      </c>
      <c r="B143" s="1" t="n">
        <v>44963</v>
      </c>
      <c r="C143" s="1" t="n">
        <v>46138</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46634-2022</t>
        </is>
      </c>
      <c r="B144" s="1" t="n">
        <v>44849</v>
      </c>
      <c r="C144" s="1" t="n">
        <v>46138</v>
      </c>
      <c r="D144" t="inlineStr">
        <is>
          <t>UPPSALA LÄN</t>
        </is>
      </c>
      <c r="E144" t="inlineStr">
        <is>
          <t>UPPSALA</t>
        </is>
      </c>
      <c r="G144" t="n">
        <v>2.9</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46634-2022 artfynd.xlsx", "A 46634-2022")</f>
        <v/>
      </c>
      <c r="T144">
        <f>HYPERLINK("https://klasma.github.io/Logging_0380/kartor/A 46634-2022 karta.png", "A 46634-2022")</f>
        <v/>
      </c>
      <c r="V144">
        <f>HYPERLINK("https://klasma.github.io/Logging_0380/klagomål/A 46634-2022 FSC-klagomål.docx", "A 46634-2022")</f>
        <v/>
      </c>
      <c r="W144">
        <f>HYPERLINK("https://klasma.github.io/Logging_0380/klagomålsmail/A 46634-2022 FSC-klagomål mail.docx", "A 46634-2022")</f>
        <v/>
      </c>
      <c r="X144">
        <f>HYPERLINK("https://klasma.github.io/Logging_0380/tillsyn/A 46634-2022 tillsynsbegäran.docx", "A 46634-2022")</f>
        <v/>
      </c>
      <c r="Y144">
        <f>HYPERLINK("https://klasma.github.io/Logging_0380/tillsynsmail/A 46634-2022 tillsynsbegäran mail.docx", "A 46634-2022")</f>
        <v/>
      </c>
    </row>
    <row r="145" ht="15" customHeight="1">
      <c r="A145" t="inlineStr">
        <is>
          <t>A 63075-2025</t>
        </is>
      </c>
      <c r="B145" s="1" t="n">
        <v>46009</v>
      </c>
      <c r="C145" s="1" t="n">
        <v>46138</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13093-2024</t>
        </is>
      </c>
      <c r="B146" s="1" t="n">
        <v>45385</v>
      </c>
      <c r="C146" s="1" t="n">
        <v>46138</v>
      </c>
      <c r="D146" t="inlineStr">
        <is>
          <t>UPPSALA LÄN</t>
        </is>
      </c>
      <c r="E146" t="inlineStr">
        <is>
          <t>UPPSALA</t>
        </is>
      </c>
      <c r="G146" t="n">
        <v>1.1</v>
      </c>
      <c r="H146" t="n">
        <v>1</v>
      </c>
      <c r="I146" t="n">
        <v>1</v>
      </c>
      <c r="J146" t="n">
        <v>0</v>
      </c>
      <c r="K146" t="n">
        <v>0</v>
      </c>
      <c r="L146" t="n">
        <v>0</v>
      </c>
      <c r="M146" t="n">
        <v>0</v>
      </c>
      <c r="N146" t="n">
        <v>0</v>
      </c>
      <c r="O146" t="n">
        <v>0</v>
      </c>
      <c r="P146" t="n">
        <v>0</v>
      </c>
      <c r="Q146" t="n">
        <v>1</v>
      </c>
      <c r="R146" s="2" t="inlineStr">
        <is>
          <t>Skogsknipprot</t>
        </is>
      </c>
      <c r="S146">
        <f>HYPERLINK("https://klasma.github.io/Logging_0380/artfynd/A 13093-2024 artfynd.xlsx", "A 13093-2024")</f>
        <v/>
      </c>
      <c r="T146">
        <f>HYPERLINK("https://klasma.github.io/Logging_0380/kartor/A 13093-2024 karta.png", "A 13093-2024")</f>
        <v/>
      </c>
      <c r="V146">
        <f>HYPERLINK("https://klasma.github.io/Logging_0380/klagomål/A 13093-2024 FSC-klagomål.docx", "A 13093-2024")</f>
        <v/>
      </c>
      <c r="W146">
        <f>HYPERLINK("https://klasma.github.io/Logging_0380/klagomålsmail/A 13093-2024 FSC-klagomål mail.docx", "A 13093-2024")</f>
        <v/>
      </c>
      <c r="X146">
        <f>HYPERLINK("https://klasma.github.io/Logging_0380/tillsyn/A 13093-2024 tillsynsbegäran.docx", "A 13093-2024")</f>
        <v/>
      </c>
      <c r="Y146">
        <f>HYPERLINK("https://klasma.github.io/Logging_0380/tillsynsmail/A 13093-2024 tillsynsbegäran mail.docx", "A 13093-2024")</f>
        <v/>
      </c>
    </row>
    <row r="147" ht="15" customHeight="1">
      <c r="A147" t="inlineStr">
        <is>
          <t>A 13363-2022</t>
        </is>
      </c>
      <c r="B147" s="1" t="n">
        <v>44645</v>
      </c>
      <c r="C147" s="1" t="n">
        <v>46138</v>
      </c>
      <c r="D147" t="inlineStr">
        <is>
          <t>UPPSALA LÄN</t>
        </is>
      </c>
      <c r="E147" t="inlineStr">
        <is>
          <t>UPPSALA</t>
        </is>
      </c>
      <c r="F147" t="inlineStr">
        <is>
          <t>Övriga Aktiebolag</t>
        </is>
      </c>
      <c r="G147" t="n">
        <v>9.4</v>
      </c>
      <c r="H147" t="n">
        <v>1</v>
      </c>
      <c r="I147" t="n">
        <v>0</v>
      </c>
      <c r="J147" t="n">
        <v>0</v>
      </c>
      <c r="K147" t="n">
        <v>0</v>
      </c>
      <c r="L147" t="n">
        <v>0</v>
      </c>
      <c r="M147" t="n">
        <v>0</v>
      </c>
      <c r="N147" t="n">
        <v>0</v>
      </c>
      <c r="O147" t="n">
        <v>0</v>
      </c>
      <c r="P147" t="n">
        <v>0</v>
      </c>
      <c r="Q147" t="n">
        <v>1</v>
      </c>
      <c r="R147" s="2" t="inlineStr">
        <is>
          <t>Huggorm</t>
        </is>
      </c>
      <c r="S147">
        <f>HYPERLINK("https://klasma.github.io/Logging_0380/artfynd/A 13363-2022 artfynd.xlsx", "A 13363-2022")</f>
        <v/>
      </c>
      <c r="T147">
        <f>HYPERLINK("https://klasma.github.io/Logging_0380/kartor/A 13363-2022 karta.png", "A 13363-2022")</f>
        <v/>
      </c>
      <c r="V147">
        <f>HYPERLINK("https://klasma.github.io/Logging_0380/klagomål/A 13363-2022 FSC-klagomål.docx", "A 13363-2022")</f>
        <v/>
      </c>
      <c r="W147">
        <f>HYPERLINK("https://klasma.github.io/Logging_0380/klagomålsmail/A 13363-2022 FSC-klagomål mail.docx", "A 13363-2022")</f>
        <v/>
      </c>
      <c r="X147">
        <f>HYPERLINK("https://klasma.github.io/Logging_0380/tillsyn/A 13363-2022 tillsynsbegäran.docx", "A 13363-2022")</f>
        <v/>
      </c>
      <c r="Y147">
        <f>HYPERLINK("https://klasma.github.io/Logging_0380/tillsynsmail/A 13363-2022 tillsynsbegäran mail.docx", "A 13363-2022")</f>
        <v/>
      </c>
    </row>
    <row r="148" ht="15" customHeight="1">
      <c r="A148" t="inlineStr">
        <is>
          <t>A 2729-2024</t>
        </is>
      </c>
      <c r="B148" s="1" t="n">
        <v>45314.55579861111</v>
      </c>
      <c r="C148" s="1" t="n">
        <v>46138</v>
      </c>
      <c r="D148" t="inlineStr">
        <is>
          <t>UPPSALA LÄN</t>
        </is>
      </c>
      <c r="E148" t="inlineStr">
        <is>
          <t>UPPSALA</t>
        </is>
      </c>
      <c r="G148" t="n">
        <v>3.3</v>
      </c>
      <c r="H148" t="n">
        <v>1</v>
      </c>
      <c r="I148" t="n">
        <v>0</v>
      </c>
      <c r="J148" t="n">
        <v>0</v>
      </c>
      <c r="K148" t="n">
        <v>0</v>
      </c>
      <c r="L148" t="n">
        <v>0</v>
      </c>
      <c r="M148" t="n">
        <v>0</v>
      </c>
      <c r="N148" t="n">
        <v>0</v>
      </c>
      <c r="O148" t="n">
        <v>0</v>
      </c>
      <c r="P148" t="n">
        <v>0</v>
      </c>
      <c r="Q148" t="n">
        <v>1</v>
      </c>
      <c r="R148" s="2" t="inlineStr">
        <is>
          <t>Revlummer</t>
        </is>
      </c>
      <c r="S148">
        <f>HYPERLINK("https://klasma.github.io/Logging_0380/artfynd/A 2729-2024 artfynd.xlsx", "A 2729-2024")</f>
        <v/>
      </c>
      <c r="T148">
        <f>HYPERLINK("https://klasma.github.io/Logging_0380/kartor/A 2729-2024 karta.png", "A 2729-2024")</f>
        <v/>
      </c>
      <c r="V148">
        <f>HYPERLINK("https://klasma.github.io/Logging_0380/klagomål/A 2729-2024 FSC-klagomål.docx", "A 2729-2024")</f>
        <v/>
      </c>
      <c r="W148">
        <f>HYPERLINK("https://klasma.github.io/Logging_0380/klagomålsmail/A 2729-2024 FSC-klagomål mail.docx", "A 2729-2024")</f>
        <v/>
      </c>
      <c r="X148">
        <f>HYPERLINK("https://klasma.github.io/Logging_0380/tillsyn/A 2729-2024 tillsynsbegäran.docx", "A 2729-2024")</f>
        <v/>
      </c>
      <c r="Y148">
        <f>HYPERLINK("https://klasma.github.io/Logging_0380/tillsynsmail/A 2729-2024 tillsynsbegäran mail.docx", "A 2729-2024")</f>
        <v/>
      </c>
    </row>
    <row r="149" ht="15" customHeight="1">
      <c r="A149" t="inlineStr">
        <is>
          <t>A 42622-2022</t>
        </is>
      </c>
      <c r="B149" s="1" t="n">
        <v>44831</v>
      </c>
      <c r="C149" s="1" t="n">
        <v>46138</v>
      </c>
      <c r="D149" t="inlineStr">
        <is>
          <t>UPPSALA LÄN</t>
        </is>
      </c>
      <c r="E149" t="inlineStr">
        <is>
          <t>UPPSALA</t>
        </is>
      </c>
      <c r="G149" t="n">
        <v>2.4</v>
      </c>
      <c r="H149" t="n">
        <v>0</v>
      </c>
      <c r="I149" t="n">
        <v>0</v>
      </c>
      <c r="J149" t="n">
        <v>1</v>
      </c>
      <c r="K149" t="n">
        <v>0</v>
      </c>
      <c r="L149" t="n">
        <v>0</v>
      </c>
      <c r="M149" t="n">
        <v>0</v>
      </c>
      <c r="N149" t="n">
        <v>0</v>
      </c>
      <c r="O149" t="n">
        <v>1</v>
      </c>
      <c r="P149" t="n">
        <v>0</v>
      </c>
      <c r="Q149" t="n">
        <v>1</v>
      </c>
      <c r="R149" s="2" t="inlineStr">
        <is>
          <t>Motaggsvamp</t>
        </is>
      </c>
      <c r="S149">
        <f>HYPERLINK("https://klasma.github.io/Logging_0380/artfynd/A 42622-2022 artfynd.xlsx", "A 42622-2022")</f>
        <v/>
      </c>
      <c r="T149">
        <f>HYPERLINK("https://klasma.github.io/Logging_0380/kartor/A 42622-2022 karta.png", "A 42622-2022")</f>
        <v/>
      </c>
      <c r="V149">
        <f>HYPERLINK("https://klasma.github.io/Logging_0380/klagomål/A 42622-2022 FSC-klagomål.docx", "A 42622-2022")</f>
        <v/>
      </c>
      <c r="W149">
        <f>HYPERLINK("https://klasma.github.io/Logging_0380/klagomålsmail/A 42622-2022 FSC-klagomål mail.docx", "A 42622-2022")</f>
        <v/>
      </c>
      <c r="X149">
        <f>HYPERLINK("https://klasma.github.io/Logging_0380/tillsyn/A 42622-2022 tillsynsbegäran.docx", "A 42622-2022")</f>
        <v/>
      </c>
      <c r="Y149">
        <f>HYPERLINK("https://klasma.github.io/Logging_0380/tillsynsmail/A 42622-2022 tillsynsbegäran mail.docx", "A 42622-2022")</f>
        <v/>
      </c>
    </row>
    <row r="150" ht="15" customHeight="1">
      <c r="A150" t="inlineStr">
        <is>
          <t>A 16761-2022</t>
        </is>
      </c>
      <c r="B150" s="1" t="n">
        <v>44673.47858796296</v>
      </c>
      <c r="C150" s="1" t="n">
        <v>46138</v>
      </c>
      <c r="D150" t="inlineStr">
        <is>
          <t>UPPSALA LÄN</t>
        </is>
      </c>
      <c r="E150" t="inlineStr">
        <is>
          <t>UPPSALA</t>
        </is>
      </c>
      <c r="G150" t="n">
        <v>0.6</v>
      </c>
      <c r="H150" t="n">
        <v>1</v>
      </c>
      <c r="I150" t="n">
        <v>0</v>
      </c>
      <c r="J150" t="n">
        <v>0</v>
      </c>
      <c r="K150" t="n">
        <v>0</v>
      </c>
      <c r="L150" t="n">
        <v>0</v>
      </c>
      <c r="M150" t="n">
        <v>0</v>
      </c>
      <c r="N150" t="n">
        <v>0</v>
      </c>
      <c r="O150" t="n">
        <v>0</v>
      </c>
      <c r="P150" t="n">
        <v>0</v>
      </c>
      <c r="Q150" t="n">
        <v>1</v>
      </c>
      <c r="R150" s="2" t="inlineStr">
        <is>
          <t>Trädlärka</t>
        </is>
      </c>
      <c r="S150">
        <f>HYPERLINK("https://klasma.github.io/Logging_0380/artfynd/A 16761-2022 artfynd.xlsx", "A 16761-2022")</f>
        <v/>
      </c>
      <c r="T150">
        <f>HYPERLINK("https://klasma.github.io/Logging_0380/kartor/A 16761-2022 karta.png", "A 16761-2022")</f>
        <v/>
      </c>
      <c r="V150">
        <f>HYPERLINK("https://klasma.github.io/Logging_0380/klagomål/A 16761-2022 FSC-klagomål.docx", "A 16761-2022")</f>
        <v/>
      </c>
      <c r="W150">
        <f>HYPERLINK("https://klasma.github.io/Logging_0380/klagomålsmail/A 16761-2022 FSC-klagomål mail.docx", "A 16761-2022")</f>
        <v/>
      </c>
      <c r="X150">
        <f>HYPERLINK("https://klasma.github.io/Logging_0380/tillsyn/A 16761-2022 tillsynsbegäran.docx", "A 16761-2022")</f>
        <v/>
      </c>
      <c r="Y150">
        <f>HYPERLINK("https://klasma.github.io/Logging_0380/tillsynsmail/A 16761-2022 tillsynsbegäran mail.docx", "A 16761-2022")</f>
        <v/>
      </c>
      <c r="Z150">
        <f>HYPERLINK("https://klasma.github.io/Logging_0380/fåglar/A 16761-2022 prioriterade fågelarter.docx", "A 16761-2022")</f>
        <v/>
      </c>
    </row>
    <row r="151" ht="15" customHeight="1">
      <c r="A151" t="inlineStr">
        <is>
          <t>A 21657-2024</t>
        </is>
      </c>
      <c r="B151" s="1" t="n">
        <v>45442</v>
      </c>
      <c r="C151" s="1" t="n">
        <v>46138</v>
      </c>
      <c r="D151" t="inlineStr">
        <is>
          <t>UPPSALA LÄN</t>
        </is>
      </c>
      <c r="E151" t="inlineStr">
        <is>
          <t>UPPSALA</t>
        </is>
      </c>
      <c r="G151" t="n">
        <v>5.7</v>
      </c>
      <c r="H151" t="n">
        <v>1</v>
      </c>
      <c r="I151" t="n">
        <v>0</v>
      </c>
      <c r="J151" t="n">
        <v>0</v>
      </c>
      <c r="K151" t="n">
        <v>0</v>
      </c>
      <c r="L151" t="n">
        <v>0</v>
      </c>
      <c r="M151" t="n">
        <v>0</v>
      </c>
      <c r="N151" t="n">
        <v>0</v>
      </c>
      <c r="O151" t="n">
        <v>0</v>
      </c>
      <c r="P151" t="n">
        <v>0</v>
      </c>
      <c r="Q151" t="n">
        <v>1</v>
      </c>
      <c r="R151" s="2" t="inlineStr">
        <is>
          <t>Kungsfågel</t>
        </is>
      </c>
      <c r="S151">
        <f>HYPERLINK("https://klasma.github.io/Logging_0380/artfynd/A 21657-2024 artfynd.xlsx", "A 21657-2024")</f>
        <v/>
      </c>
      <c r="T151">
        <f>HYPERLINK("https://klasma.github.io/Logging_0380/kartor/A 21657-2024 karta.png", "A 21657-2024")</f>
        <v/>
      </c>
      <c r="V151">
        <f>HYPERLINK("https://klasma.github.io/Logging_0380/klagomål/A 21657-2024 FSC-klagomål.docx", "A 21657-2024")</f>
        <v/>
      </c>
      <c r="W151">
        <f>HYPERLINK("https://klasma.github.io/Logging_0380/klagomålsmail/A 21657-2024 FSC-klagomål mail.docx", "A 21657-2024")</f>
        <v/>
      </c>
      <c r="X151">
        <f>HYPERLINK("https://klasma.github.io/Logging_0380/tillsyn/A 21657-2024 tillsynsbegäran.docx", "A 21657-2024")</f>
        <v/>
      </c>
      <c r="Y151">
        <f>HYPERLINK("https://klasma.github.io/Logging_0380/tillsynsmail/A 21657-2024 tillsynsbegäran mail.docx", "A 21657-2024")</f>
        <v/>
      </c>
      <c r="Z151">
        <f>HYPERLINK("https://klasma.github.io/Logging_0380/fåglar/A 21657-2024 prioriterade fågelarter.docx", "A 21657-2024")</f>
        <v/>
      </c>
    </row>
    <row r="152" ht="15" customHeight="1">
      <c r="A152" t="inlineStr">
        <is>
          <t>A 18373-2025</t>
        </is>
      </c>
      <c r="B152" s="1" t="n">
        <v>45762.57244212963</v>
      </c>
      <c r="C152" s="1" t="n">
        <v>46138</v>
      </c>
      <c r="D152" t="inlineStr">
        <is>
          <t>UPPSALA LÄN</t>
        </is>
      </c>
      <c r="E152" t="inlineStr">
        <is>
          <t>UPPSALA</t>
        </is>
      </c>
      <c r="G152" t="n">
        <v>9.5</v>
      </c>
      <c r="H152" t="n">
        <v>0</v>
      </c>
      <c r="I152" t="n">
        <v>0</v>
      </c>
      <c r="J152" t="n">
        <v>1</v>
      </c>
      <c r="K152" t="n">
        <v>0</v>
      </c>
      <c r="L152" t="n">
        <v>0</v>
      </c>
      <c r="M152" t="n">
        <v>0</v>
      </c>
      <c r="N152" t="n">
        <v>0</v>
      </c>
      <c r="O152" t="n">
        <v>1</v>
      </c>
      <c r="P152" t="n">
        <v>0</v>
      </c>
      <c r="Q152" t="n">
        <v>1</v>
      </c>
      <c r="R152" s="2" t="inlineStr">
        <is>
          <t>Ullticka</t>
        </is>
      </c>
      <c r="S152">
        <f>HYPERLINK("https://klasma.github.io/Logging_0380/artfynd/A 18373-2025 artfynd.xlsx", "A 18373-2025")</f>
        <v/>
      </c>
      <c r="T152">
        <f>HYPERLINK("https://klasma.github.io/Logging_0380/kartor/A 18373-2025 karta.png", "A 18373-2025")</f>
        <v/>
      </c>
      <c r="V152">
        <f>HYPERLINK("https://klasma.github.io/Logging_0380/klagomål/A 18373-2025 FSC-klagomål.docx", "A 18373-2025")</f>
        <v/>
      </c>
      <c r="W152">
        <f>HYPERLINK("https://klasma.github.io/Logging_0380/klagomålsmail/A 18373-2025 FSC-klagomål mail.docx", "A 18373-2025")</f>
        <v/>
      </c>
      <c r="X152">
        <f>HYPERLINK("https://klasma.github.io/Logging_0380/tillsyn/A 18373-2025 tillsynsbegäran.docx", "A 18373-2025")</f>
        <v/>
      </c>
      <c r="Y152">
        <f>HYPERLINK("https://klasma.github.io/Logging_0380/tillsynsmail/A 18373-2025 tillsynsbegäran mail.docx", "A 18373-2025")</f>
        <v/>
      </c>
    </row>
    <row r="153" ht="15" customHeight="1">
      <c r="A153" t="inlineStr">
        <is>
          <t>A 29902-2023</t>
        </is>
      </c>
      <c r="B153" s="1" t="n">
        <v>45107</v>
      </c>
      <c r="C153" s="1" t="n">
        <v>46138</v>
      </c>
      <c r="D153" t="inlineStr">
        <is>
          <t>UPPSALA LÄN</t>
        </is>
      </c>
      <c r="E153" t="inlineStr">
        <is>
          <t>UPPSALA</t>
        </is>
      </c>
      <c r="F153" t="inlineStr">
        <is>
          <t>Kyrkan</t>
        </is>
      </c>
      <c r="G153" t="n">
        <v>10.6</v>
      </c>
      <c r="H153" t="n">
        <v>1</v>
      </c>
      <c r="I153" t="n">
        <v>0</v>
      </c>
      <c r="J153" t="n">
        <v>1</v>
      </c>
      <c r="K153" t="n">
        <v>0</v>
      </c>
      <c r="L153" t="n">
        <v>0</v>
      </c>
      <c r="M153" t="n">
        <v>0</v>
      </c>
      <c r="N153" t="n">
        <v>0</v>
      </c>
      <c r="O153" t="n">
        <v>1</v>
      </c>
      <c r="P153" t="n">
        <v>0</v>
      </c>
      <c r="Q153" t="n">
        <v>1</v>
      </c>
      <c r="R153" s="2" t="inlineStr">
        <is>
          <t>Järpe</t>
        </is>
      </c>
      <c r="S153">
        <f>HYPERLINK("https://klasma.github.io/Logging_0380/artfynd/A 29902-2023 artfynd.xlsx", "A 29902-2023")</f>
        <v/>
      </c>
      <c r="T153">
        <f>HYPERLINK("https://klasma.github.io/Logging_0380/kartor/A 29902-2023 karta.png", "A 29902-2023")</f>
        <v/>
      </c>
      <c r="V153">
        <f>HYPERLINK("https://klasma.github.io/Logging_0380/klagomål/A 29902-2023 FSC-klagomål.docx", "A 29902-2023")</f>
        <v/>
      </c>
      <c r="W153">
        <f>HYPERLINK("https://klasma.github.io/Logging_0380/klagomålsmail/A 29902-2023 FSC-klagomål mail.docx", "A 29902-2023")</f>
        <v/>
      </c>
      <c r="X153">
        <f>HYPERLINK("https://klasma.github.io/Logging_0380/tillsyn/A 29902-2023 tillsynsbegäran.docx", "A 29902-2023")</f>
        <v/>
      </c>
      <c r="Y153">
        <f>HYPERLINK("https://klasma.github.io/Logging_0380/tillsynsmail/A 29902-2023 tillsynsbegäran mail.docx", "A 29902-2023")</f>
        <v/>
      </c>
      <c r="Z153">
        <f>HYPERLINK("https://klasma.github.io/Logging_0380/fåglar/A 29902-2023 prioriterade fågelarter.docx", "A 29902-2023")</f>
        <v/>
      </c>
    </row>
    <row r="154" ht="15" customHeight="1">
      <c r="A154" t="inlineStr">
        <is>
          <t>A 3260-2022</t>
        </is>
      </c>
      <c r="B154" s="1" t="n">
        <v>44583.61803240741</v>
      </c>
      <c r="C154" s="1" t="n">
        <v>46138</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46138</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46138</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46138</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46138</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46138</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46138</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46138</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46138</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46138</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46138</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46138</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46138</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46138</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46138</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46138</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59881-2021</t>
        </is>
      </c>
      <c r="B170" s="1" t="n">
        <v>44494</v>
      </c>
      <c r="C170" s="1" t="n">
        <v>46138</v>
      </c>
      <c r="D170" t="inlineStr">
        <is>
          <t>UPPSALA LÄN</t>
        </is>
      </c>
      <c r="E170" t="inlineStr">
        <is>
          <t>UPPSALA</t>
        </is>
      </c>
      <c r="F170" t="inlineStr">
        <is>
          <t>Allmännings- och besparingsskogar</t>
        </is>
      </c>
      <c r="G170" t="n">
        <v>1.6</v>
      </c>
      <c r="H170" t="n">
        <v>0</v>
      </c>
      <c r="I170" t="n">
        <v>0</v>
      </c>
      <c r="J170" t="n">
        <v>0</v>
      </c>
      <c r="K170" t="n">
        <v>0</v>
      </c>
      <c r="L170" t="n">
        <v>0</v>
      </c>
      <c r="M170" t="n">
        <v>0</v>
      </c>
      <c r="N170" t="n">
        <v>0</v>
      </c>
      <c r="O170" t="n">
        <v>0</v>
      </c>
      <c r="P170" t="n">
        <v>0</v>
      </c>
      <c r="Q170" t="n">
        <v>0</v>
      </c>
      <c r="R170" s="2" t="inlineStr"/>
    </row>
    <row r="171" ht="15" customHeight="1">
      <c r="A171" t="inlineStr">
        <is>
          <t>A 7124-2022</t>
        </is>
      </c>
      <c r="B171" s="1" t="n">
        <v>44603</v>
      </c>
      <c r="C171" s="1" t="n">
        <v>46138</v>
      </c>
      <c r="D171" t="inlineStr">
        <is>
          <t>UPPSALA LÄN</t>
        </is>
      </c>
      <c r="E171" t="inlineStr">
        <is>
          <t>UPPSALA</t>
        </is>
      </c>
      <c r="G171" t="n">
        <v>0.5</v>
      </c>
      <c r="H171" t="n">
        <v>0</v>
      </c>
      <c r="I171" t="n">
        <v>0</v>
      </c>
      <c r="J171" t="n">
        <v>0</v>
      </c>
      <c r="K171" t="n">
        <v>0</v>
      </c>
      <c r="L171" t="n">
        <v>0</v>
      </c>
      <c r="M171" t="n">
        <v>0</v>
      </c>
      <c r="N171" t="n">
        <v>0</v>
      </c>
      <c r="O171" t="n">
        <v>0</v>
      </c>
      <c r="P171" t="n">
        <v>0</v>
      </c>
      <c r="Q171" t="n">
        <v>0</v>
      </c>
      <c r="R171" s="2" t="inlineStr"/>
    </row>
    <row r="172" ht="15" customHeight="1">
      <c r="A172" t="inlineStr">
        <is>
          <t>A 57890-2021</t>
        </is>
      </c>
      <c r="B172" s="1" t="n">
        <v>44486</v>
      </c>
      <c r="C172" s="1" t="n">
        <v>46138</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46138</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46138</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15436-2022</t>
        </is>
      </c>
      <c r="B175" s="1" t="n">
        <v>44659.70381944445</v>
      </c>
      <c r="C175" s="1" t="n">
        <v>46138</v>
      </c>
      <c r="D175" t="inlineStr">
        <is>
          <t>UPPSALA LÄN</t>
        </is>
      </c>
      <c r="E175" t="inlineStr">
        <is>
          <t>UPPSALA</t>
        </is>
      </c>
      <c r="G175" t="n">
        <v>14.4</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46138</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46138</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46138</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8451-2022</t>
        </is>
      </c>
      <c r="B179" s="1" t="n">
        <v>44612</v>
      </c>
      <c r="C179" s="1" t="n">
        <v>46138</v>
      </c>
      <c r="D179" t="inlineStr">
        <is>
          <t>UPPSALA LÄN</t>
        </is>
      </c>
      <c r="E179" t="inlineStr">
        <is>
          <t>UPPSALA</t>
        </is>
      </c>
      <c r="G179" t="n">
        <v>1.8</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46138</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46138</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46138</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46138</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20276-2021</t>
        </is>
      </c>
      <c r="B184" s="1" t="n">
        <v>44314</v>
      </c>
      <c r="C184" s="1" t="n">
        <v>46138</v>
      </c>
      <c r="D184" t="inlineStr">
        <is>
          <t>UPPSALA LÄN</t>
        </is>
      </c>
      <c r="E184" t="inlineStr">
        <is>
          <t>UPPSALA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46138</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46138</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46138</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46138</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46138</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46138</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46138</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46138</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46138</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46138</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46138</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46138</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64858-2021</t>
        </is>
      </c>
      <c r="B197" s="1" t="n">
        <v>44512</v>
      </c>
      <c r="C197" s="1" t="n">
        <v>46138</v>
      </c>
      <c r="D197" t="inlineStr">
        <is>
          <t>UPPSALA LÄN</t>
        </is>
      </c>
      <c r="E197" t="inlineStr">
        <is>
          <t>UPPSALA</t>
        </is>
      </c>
      <c r="G197" t="n">
        <v>1.2</v>
      </c>
      <c r="H197" t="n">
        <v>0</v>
      </c>
      <c r="I197" t="n">
        <v>0</v>
      </c>
      <c r="J197" t="n">
        <v>0</v>
      </c>
      <c r="K197" t="n">
        <v>0</v>
      </c>
      <c r="L197" t="n">
        <v>0</v>
      </c>
      <c r="M197" t="n">
        <v>0</v>
      </c>
      <c r="N197" t="n">
        <v>0</v>
      </c>
      <c r="O197" t="n">
        <v>0</v>
      </c>
      <c r="P197" t="n">
        <v>0</v>
      </c>
      <c r="Q197" t="n">
        <v>0</v>
      </c>
      <c r="R197" s="2" t="inlineStr"/>
    </row>
    <row r="198" ht="15" customHeight="1">
      <c r="A198" t="inlineStr">
        <is>
          <t>A 26972-2022</t>
        </is>
      </c>
      <c r="B198" s="1" t="n">
        <v>44740.68142361111</v>
      </c>
      <c r="C198" s="1" t="n">
        <v>46138</v>
      </c>
      <c r="D198" t="inlineStr">
        <is>
          <t>UPPSALA LÄN</t>
        </is>
      </c>
      <c r="E198" t="inlineStr">
        <is>
          <t>UPPSALA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23877-2021</t>
        </is>
      </c>
      <c r="B199" s="1" t="n">
        <v>44335.52201388889</v>
      </c>
      <c r="C199" s="1" t="n">
        <v>46138</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46138</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46138</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46138</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46138</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46138</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46138</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46138</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46138</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46138</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13009-2022</t>
        </is>
      </c>
      <c r="B209" s="1" t="n">
        <v>44643.51446759259</v>
      </c>
      <c r="C209" s="1" t="n">
        <v>46138</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46138</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51821-2021</t>
        </is>
      </c>
      <c r="B211" s="1" t="n">
        <v>44461</v>
      </c>
      <c r="C211" s="1" t="n">
        <v>46138</v>
      </c>
      <c r="D211" t="inlineStr">
        <is>
          <t>UPPSALA LÄN</t>
        </is>
      </c>
      <c r="E211" t="inlineStr">
        <is>
          <t>UPPSALA</t>
        </is>
      </c>
      <c r="F211" t="inlineStr">
        <is>
          <t>Övriga Aktiebolag</t>
        </is>
      </c>
      <c r="G211" t="n">
        <v>5.3</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46138</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46138</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46138</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46138</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46138</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21394-2022</t>
        </is>
      </c>
      <c r="B217" s="1" t="n">
        <v>44705.84535879629</v>
      </c>
      <c r="C217" s="1" t="n">
        <v>46138</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55823-2021</t>
        </is>
      </c>
      <c r="B218" s="1" t="n">
        <v>44476.61263888889</v>
      </c>
      <c r="C218" s="1" t="n">
        <v>46138</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46138</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46138</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46138</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31646-2021</t>
        </is>
      </c>
      <c r="B222" s="1" t="n">
        <v>44369</v>
      </c>
      <c r="C222" s="1" t="n">
        <v>46138</v>
      </c>
      <c r="D222" t="inlineStr">
        <is>
          <t>UPPSALA LÄN</t>
        </is>
      </c>
      <c r="E222" t="inlineStr">
        <is>
          <t>UPPSALA</t>
        </is>
      </c>
      <c r="G222" t="n">
        <v>1.7</v>
      </c>
      <c r="H222" t="n">
        <v>0</v>
      </c>
      <c r="I222" t="n">
        <v>0</v>
      </c>
      <c r="J222" t="n">
        <v>0</v>
      </c>
      <c r="K222" t="n">
        <v>0</v>
      </c>
      <c r="L222" t="n">
        <v>0</v>
      </c>
      <c r="M222" t="n">
        <v>0</v>
      </c>
      <c r="N222" t="n">
        <v>0</v>
      </c>
      <c r="O222" t="n">
        <v>0</v>
      </c>
      <c r="P222" t="n">
        <v>0</v>
      </c>
      <c r="Q222" t="n">
        <v>0</v>
      </c>
      <c r="R222" s="2" t="inlineStr"/>
    </row>
    <row r="223" ht="15" customHeight="1">
      <c r="A223" t="inlineStr">
        <is>
          <t>A 1936-2022</t>
        </is>
      </c>
      <c r="B223" s="1" t="n">
        <v>44575.4366087963</v>
      </c>
      <c r="C223" s="1" t="n">
        <v>46138</v>
      </c>
      <c r="D223" t="inlineStr">
        <is>
          <t>UPPSALA LÄN</t>
        </is>
      </c>
      <c r="E223" t="inlineStr">
        <is>
          <t>UPPSALA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46138</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46138</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46138</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46138</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46138</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46138</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46138</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46138</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29277-2022</t>
        </is>
      </c>
      <c r="B232" s="1" t="n">
        <v>44750.678125</v>
      </c>
      <c r="C232" s="1" t="n">
        <v>46138</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46138</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4059-2022</t>
        </is>
      </c>
      <c r="B234" s="1" t="n">
        <v>44588</v>
      </c>
      <c r="C234" s="1" t="n">
        <v>46138</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55066-2022</t>
        </is>
      </c>
      <c r="B235" s="1" t="n">
        <v>44886.58890046296</v>
      </c>
      <c r="C235" s="1" t="n">
        <v>46138</v>
      </c>
      <c r="D235" t="inlineStr">
        <is>
          <t>UPPSALA LÄN</t>
        </is>
      </c>
      <c r="E235" t="inlineStr">
        <is>
          <t>UPPSALA</t>
        </is>
      </c>
      <c r="G235" t="n">
        <v>0.4</v>
      </c>
      <c r="H235" t="n">
        <v>0</v>
      </c>
      <c r="I235" t="n">
        <v>0</v>
      </c>
      <c r="J235" t="n">
        <v>0</v>
      </c>
      <c r="K235" t="n">
        <v>0</v>
      </c>
      <c r="L235" t="n">
        <v>0</v>
      </c>
      <c r="M235" t="n">
        <v>0</v>
      </c>
      <c r="N235" t="n">
        <v>0</v>
      </c>
      <c r="O235" t="n">
        <v>0</v>
      </c>
      <c r="P235" t="n">
        <v>0</v>
      </c>
      <c r="Q235" t="n">
        <v>0</v>
      </c>
      <c r="R235" s="2" t="inlineStr"/>
    </row>
    <row r="236" ht="15" customHeight="1">
      <c r="A236" t="inlineStr">
        <is>
          <t>A 18330-2022</t>
        </is>
      </c>
      <c r="B236" s="1" t="n">
        <v>44685.6212037037</v>
      </c>
      <c r="C236" s="1" t="n">
        <v>46138</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59133-2022</t>
        </is>
      </c>
      <c r="B237" s="1" t="n">
        <v>44904</v>
      </c>
      <c r="C237" s="1" t="n">
        <v>46138</v>
      </c>
      <c r="D237" t="inlineStr">
        <is>
          <t>UPPSALA LÄN</t>
        </is>
      </c>
      <c r="E237" t="inlineStr">
        <is>
          <t>UPPSALA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54715-2022</t>
        </is>
      </c>
      <c r="B238" s="1" t="n">
        <v>44883</v>
      </c>
      <c r="C238" s="1" t="n">
        <v>46138</v>
      </c>
      <c r="D238" t="inlineStr">
        <is>
          <t>UPPSALA LÄN</t>
        </is>
      </c>
      <c r="E238" t="inlineStr">
        <is>
          <t>UPPSALA</t>
        </is>
      </c>
      <c r="F238" t="inlineStr">
        <is>
          <t>Övriga Aktiebolag</t>
        </is>
      </c>
      <c r="G238" t="n">
        <v>9.5</v>
      </c>
      <c r="H238" t="n">
        <v>0</v>
      </c>
      <c r="I238" t="n">
        <v>0</v>
      </c>
      <c r="J238" t="n">
        <v>0</v>
      </c>
      <c r="K238" t="n">
        <v>0</v>
      </c>
      <c r="L238" t="n">
        <v>0</v>
      </c>
      <c r="M238" t="n">
        <v>0</v>
      </c>
      <c r="N238" t="n">
        <v>0</v>
      </c>
      <c r="O238" t="n">
        <v>0</v>
      </c>
      <c r="P238" t="n">
        <v>0</v>
      </c>
      <c r="Q238" t="n">
        <v>0</v>
      </c>
      <c r="R238" s="2" t="inlineStr"/>
    </row>
    <row r="239" ht="15" customHeight="1">
      <c r="A239" t="inlineStr">
        <is>
          <t>A 6973-2025</t>
        </is>
      </c>
      <c r="B239" s="1" t="n">
        <v>45693</v>
      </c>
      <c r="C239" s="1" t="n">
        <v>46138</v>
      </c>
      <c r="D239" t="inlineStr">
        <is>
          <t>UPPSALA LÄN</t>
        </is>
      </c>
      <c r="E239" t="inlineStr">
        <is>
          <t>UPPSALA</t>
        </is>
      </c>
      <c r="G239" t="n">
        <v>1.3</v>
      </c>
      <c r="H239" t="n">
        <v>0</v>
      </c>
      <c r="I239" t="n">
        <v>0</v>
      </c>
      <c r="J239" t="n">
        <v>0</v>
      </c>
      <c r="K239" t="n">
        <v>0</v>
      </c>
      <c r="L239" t="n">
        <v>0</v>
      </c>
      <c r="M239" t="n">
        <v>0</v>
      </c>
      <c r="N239" t="n">
        <v>0</v>
      </c>
      <c r="O239" t="n">
        <v>0</v>
      </c>
      <c r="P239" t="n">
        <v>0</v>
      </c>
      <c r="Q239" t="n">
        <v>0</v>
      </c>
      <c r="R239" s="2" t="inlineStr"/>
    </row>
    <row r="240" ht="15" customHeight="1">
      <c r="A240" t="inlineStr">
        <is>
          <t>A 74019-2021</t>
        </is>
      </c>
      <c r="B240" s="1" t="n">
        <v>44553</v>
      </c>
      <c r="C240" s="1" t="n">
        <v>46138</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19613-2025</t>
        </is>
      </c>
      <c r="B241" s="1" t="n">
        <v>45770.61341435185</v>
      </c>
      <c r="C241" s="1" t="n">
        <v>46138</v>
      </c>
      <c r="D241" t="inlineStr">
        <is>
          <t>UPPSALA LÄN</t>
        </is>
      </c>
      <c r="E241" t="inlineStr">
        <is>
          <t>UPPSALA</t>
        </is>
      </c>
      <c r="F241" t="inlineStr">
        <is>
          <t>Övriga Aktiebolag</t>
        </is>
      </c>
      <c r="G241" t="n">
        <v>2.2</v>
      </c>
      <c r="H241" t="n">
        <v>0</v>
      </c>
      <c r="I241" t="n">
        <v>0</v>
      </c>
      <c r="J241" t="n">
        <v>0</v>
      </c>
      <c r="K241" t="n">
        <v>0</v>
      </c>
      <c r="L241" t="n">
        <v>0</v>
      </c>
      <c r="M241" t="n">
        <v>0</v>
      </c>
      <c r="N241" t="n">
        <v>0</v>
      </c>
      <c r="O241" t="n">
        <v>0</v>
      </c>
      <c r="P241" t="n">
        <v>0</v>
      </c>
      <c r="Q241" t="n">
        <v>0</v>
      </c>
      <c r="R241" s="2" t="inlineStr"/>
    </row>
    <row r="242" ht="15" customHeight="1">
      <c r="A242" t="inlineStr">
        <is>
          <t>A 25745-2022</t>
        </is>
      </c>
      <c r="B242" s="1" t="n">
        <v>44733.43420138889</v>
      </c>
      <c r="C242" s="1" t="n">
        <v>46138</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22021-2022</t>
        </is>
      </c>
      <c r="B243" s="1" t="n">
        <v>44711</v>
      </c>
      <c r="C243" s="1" t="n">
        <v>46138</v>
      </c>
      <c r="D243" t="inlineStr">
        <is>
          <t>UPPSALA LÄN</t>
        </is>
      </c>
      <c r="E243" t="inlineStr">
        <is>
          <t>UPPSALA</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44698.67151620371</v>
      </c>
      <c r="C244" s="1" t="n">
        <v>46138</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46138</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5996-2022</t>
        </is>
      </c>
      <c r="B246" s="1" t="n">
        <v>44599.43265046296</v>
      </c>
      <c r="C246" s="1" t="n">
        <v>46138</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27119-2023</t>
        </is>
      </c>
      <c r="B247" s="1" t="n">
        <v>45096</v>
      </c>
      <c r="C247" s="1" t="n">
        <v>46138</v>
      </c>
      <c r="D247" t="inlineStr">
        <is>
          <t>UPPSALA LÄN</t>
        </is>
      </c>
      <c r="E247" t="inlineStr">
        <is>
          <t>UPPSALA</t>
        </is>
      </c>
      <c r="G247" t="n">
        <v>3.1</v>
      </c>
      <c r="H247" t="n">
        <v>0</v>
      </c>
      <c r="I247" t="n">
        <v>0</v>
      </c>
      <c r="J247" t="n">
        <v>0</v>
      </c>
      <c r="K247" t="n">
        <v>0</v>
      </c>
      <c r="L247" t="n">
        <v>0</v>
      </c>
      <c r="M247" t="n">
        <v>0</v>
      </c>
      <c r="N247" t="n">
        <v>0</v>
      </c>
      <c r="O247" t="n">
        <v>0</v>
      </c>
      <c r="P247" t="n">
        <v>0</v>
      </c>
      <c r="Q247" t="n">
        <v>0</v>
      </c>
      <c r="R247" s="2" t="inlineStr"/>
    </row>
    <row r="248" ht="15" customHeight="1">
      <c r="A248" t="inlineStr">
        <is>
          <t>A 50092-2022</t>
        </is>
      </c>
      <c r="B248" s="1" t="n">
        <v>44865</v>
      </c>
      <c r="C248" s="1" t="n">
        <v>46138</v>
      </c>
      <c r="D248" t="inlineStr">
        <is>
          <t>UPPSALA LÄN</t>
        </is>
      </c>
      <c r="E248" t="inlineStr">
        <is>
          <t>UPPSALA</t>
        </is>
      </c>
      <c r="G248" t="n">
        <v>1.1</v>
      </c>
      <c r="H248" t="n">
        <v>0</v>
      </c>
      <c r="I248" t="n">
        <v>0</v>
      </c>
      <c r="J248" t="n">
        <v>0</v>
      </c>
      <c r="K248" t="n">
        <v>0</v>
      </c>
      <c r="L248" t="n">
        <v>0</v>
      </c>
      <c r="M248" t="n">
        <v>0</v>
      </c>
      <c r="N248" t="n">
        <v>0</v>
      </c>
      <c r="O248" t="n">
        <v>0</v>
      </c>
      <c r="P248" t="n">
        <v>0</v>
      </c>
      <c r="Q248" t="n">
        <v>0</v>
      </c>
      <c r="R248" s="2" t="inlineStr"/>
    </row>
    <row r="249" ht="15" customHeight="1">
      <c r="A249" t="inlineStr">
        <is>
          <t>A 51396-2021</t>
        </is>
      </c>
      <c r="B249" s="1" t="n">
        <v>44461.73350694445</v>
      </c>
      <c r="C249" s="1" t="n">
        <v>46138</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46138</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35906-2023</t>
        </is>
      </c>
      <c r="B251" s="1" t="n">
        <v>45148</v>
      </c>
      <c r="C251" s="1" t="n">
        <v>46138</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9295-2023</t>
        </is>
      </c>
      <c r="B252" s="1" t="n">
        <v>44980</v>
      </c>
      <c r="C252" s="1" t="n">
        <v>46138</v>
      </c>
      <c r="D252" t="inlineStr">
        <is>
          <t>UPPSALA LÄN</t>
        </is>
      </c>
      <c r="E252" t="inlineStr">
        <is>
          <t>UPPSALA</t>
        </is>
      </c>
      <c r="G252" t="n">
        <v>2.1</v>
      </c>
      <c r="H252" t="n">
        <v>0</v>
      </c>
      <c r="I252" t="n">
        <v>0</v>
      </c>
      <c r="J252" t="n">
        <v>0</v>
      </c>
      <c r="K252" t="n">
        <v>0</v>
      </c>
      <c r="L252" t="n">
        <v>0</v>
      </c>
      <c r="M252" t="n">
        <v>0</v>
      </c>
      <c r="N252" t="n">
        <v>0</v>
      </c>
      <c r="O252" t="n">
        <v>0</v>
      </c>
      <c r="P252" t="n">
        <v>0</v>
      </c>
      <c r="Q252" t="n">
        <v>0</v>
      </c>
      <c r="R252" s="2" t="inlineStr"/>
    </row>
    <row r="253" ht="15" customHeight="1">
      <c r="A253" t="inlineStr">
        <is>
          <t>A 29019-2023</t>
        </is>
      </c>
      <c r="B253" s="1" t="n">
        <v>45104.6828125</v>
      </c>
      <c r="C253" s="1" t="n">
        <v>46138</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5081-2022</t>
        </is>
      </c>
      <c r="B254" s="1" t="n">
        <v>44593</v>
      </c>
      <c r="C254" s="1" t="n">
        <v>46138</v>
      </c>
      <c r="D254" t="inlineStr">
        <is>
          <t>UPPSALA LÄN</t>
        </is>
      </c>
      <c r="E254" t="inlineStr">
        <is>
          <t>UPPSALA</t>
        </is>
      </c>
      <c r="G254" t="n">
        <v>3</v>
      </c>
      <c r="H254" t="n">
        <v>0</v>
      </c>
      <c r="I254" t="n">
        <v>0</v>
      </c>
      <c r="J254" t="n">
        <v>0</v>
      </c>
      <c r="K254" t="n">
        <v>0</v>
      </c>
      <c r="L254" t="n">
        <v>0</v>
      </c>
      <c r="M254" t="n">
        <v>0</v>
      </c>
      <c r="N254" t="n">
        <v>0</v>
      </c>
      <c r="O254" t="n">
        <v>0</v>
      </c>
      <c r="P254" t="n">
        <v>0</v>
      </c>
      <c r="Q254" t="n">
        <v>0</v>
      </c>
      <c r="R254" s="2" t="inlineStr"/>
    </row>
    <row r="255" ht="15" customHeight="1">
      <c r="A255" t="inlineStr">
        <is>
          <t>A 28782-2024</t>
        </is>
      </c>
      <c r="B255" s="1" t="n">
        <v>45478.60802083334</v>
      </c>
      <c r="C255" s="1" t="n">
        <v>46138</v>
      </c>
      <c r="D255" t="inlineStr">
        <is>
          <t>UPPSALA LÄN</t>
        </is>
      </c>
      <c r="E255" t="inlineStr">
        <is>
          <t>UPPSALA</t>
        </is>
      </c>
      <c r="F255" t="inlineStr">
        <is>
          <t>Holmen skog AB</t>
        </is>
      </c>
      <c r="G255" t="n">
        <v>0.9</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46138</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27125-2023</t>
        </is>
      </c>
      <c r="B257" s="1" t="n">
        <v>45096</v>
      </c>
      <c r="C257" s="1" t="n">
        <v>46138</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9426-2023</t>
        </is>
      </c>
      <c r="B258" s="1" t="n">
        <v>44977</v>
      </c>
      <c r="C258" s="1" t="n">
        <v>46138</v>
      </c>
      <c r="D258" t="inlineStr">
        <is>
          <t>UPPSALA LÄN</t>
        </is>
      </c>
      <c r="E258" t="inlineStr">
        <is>
          <t>UPPSALA</t>
        </is>
      </c>
      <c r="G258" t="n">
        <v>0.6</v>
      </c>
      <c r="H258" t="n">
        <v>0</v>
      </c>
      <c r="I258" t="n">
        <v>0</v>
      </c>
      <c r="J258" t="n">
        <v>0</v>
      </c>
      <c r="K258" t="n">
        <v>0</v>
      </c>
      <c r="L258" t="n">
        <v>0</v>
      </c>
      <c r="M258" t="n">
        <v>0</v>
      </c>
      <c r="N258" t="n">
        <v>0</v>
      </c>
      <c r="O258" t="n">
        <v>0</v>
      </c>
      <c r="P258" t="n">
        <v>0</v>
      </c>
      <c r="Q258" t="n">
        <v>0</v>
      </c>
      <c r="R258" s="2" t="inlineStr"/>
    </row>
    <row r="259" ht="15" customHeight="1">
      <c r="A259" t="inlineStr">
        <is>
          <t>A 53900-2023</t>
        </is>
      </c>
      <c r="B259" s="1" t="n">
        <v>45231.54601851852</v>
      </c>
      <c r="C259" s="1" t="n">
        <v>46138</v>
      </c>
      <c r="D259" t="inlineStr">
        <is>
          <t>UPPSALA LÄN</t>
        </is>
      </c>
      <c r="E259" t="inlineStr">
        <is>
          <t>UPPSALA</t>
        </is>
      </c>
      <c r="G259" t="n">
        <v>2.1</v>
      </c>
      <c r="H259" t="n">
        <v>0</v>
      </c>
      <c r="I259" t="n">
        <v>0</v>
      </c>
      <c r="J259" t="n">
        <v>0</v>
      </c>
      <c r="K259" t="n">
        <v>0</v>
      </c>
      <c r="L259" t="n">
        <v>0</v>
      </c>
      <c r="M259" t="n">
        <v>0</v>
      </c>
      <c r="N259" t="n">
        <v>0</v>
      </c>
      <c r="O259" t="n">
        <v>0</v>
      </c>
      <c r="P259" t="n">
        <v>0</v>
      </c>
      <c r="Q259" t="n">
        <v>0</v>
      </c>
      <c r="R259" s="2" t="inlineStr"/>
    </row>
    <row r="260" ht="15" customHeight="1">
      <c r="A260" t="inlineStr">
        <is>
          <t>A 56463-2021</t>
        </is>
      </c>
      <c r="B260" s="1" t="n">
        <v>44479</v>
      </c>
      <c r="C260" s="1" t="n">
        <v>46138</v>
      </c>
      <c r="D260" t="inlineStr">
        <is>
          <t>UPPSALA LÄN</t>
        </is>
      </c>
      <c r="E260" t="inlineStr">
        <is>
          <t>UPPSALA</t>
        </is>
      </c>
      <c r="G260" t="n">
        <v>6.4</v>
      </c>
      <c r="H260" t="n">
        <v>0</v>
      </c>
      <c r="I260" t="n">
        <v>0</v>
      </c>
      <c r="J260" t="n">
        <v>0</v>
      </c>
      <c r="K260" t="n">
        <v>0</v>
      </c>
      <c r="L260" t="n">
        <v>0</v>
      </c>
      <c r="M260" t="n">
        <v>0</v>
      </c>
      <c r="N260" t="n">
        <v>0</v>
      </c>
      <c r="O260" t="n">
        <v>0</v>
      </c>
      <c r="P260" t="n">
        <v>0</v>
      </c>
      <c r="Q260" t="n">
        <v>0</v>
      </c>
      <c r="R260" s="2" t="inlineStr"/>
    </row>
    <row r="261" ht="15" customHeight="1">
      <c r="A261" t="inlineStr">
        <is>
          <t>A 8132-2022</t>
        </is>
      </c>
      <c r="B261" s="1" t="n">
        <v>44609.60171296296</v>
      </c>
      <c r="C261" s="1" t="n">
        <v>46138</v>
      </c>
      <c r="D261" t="inlineStr">
        <is>
          <t>UPPSALA LÄN</t>
        </is>
      </c>
      <c r="E261" t="inlineStr">
        <is>
          <t>UPPSALA</t>
        </is>
      </c>
      <c r="F261" t="inlineStr">
        <is>
          <t>Kommuner</t>
        </is>
      </c>
      <c r="G261" t="n">
        <v>1.2</v>
      </c>
      <c r="H261" t="n">
        <v>0</v>
      </c>
      <c r="I261" t="n">
        <v>0</v>
      </c>
      <c r="J261" t="n">
        <v>0</v>
      </c>
      <c r="K261" t="n">
        <v>0</v>
      </c>
      <c r="L261" t="n">
        <v>0</v>
      </c>
      <c r="M261" t="n">
        <v>0</v>
      </c>
      <c r="N261" t="n">
        <v>0</v>
      </c>
      <c r="O261" t="n">
        <v>0</v>
      </c>
      <c r="P261" t="n">
        <v>0</v>
      </c>
      <c r="Q261" t="n">
        <v>0</v>
      </c>
      <c r="R261" s="2" t="inlineStr"/>
    </row>
    <row r="262" ht="15" customHeight="1">
      <c r="A262" t="inlineStr">
        <is>
          <t>A 58767-2021</t>
        </is>
      </c>
      <c r="B262" s="1" t="n">
        <v>44489</v>
      </c>
      <c r="C262" s="1" t="n">
        <v>46138</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18054-2025</t>
        </is>
      </c>
      <c r="B263" s="1" t="n">
        <v>45761.47540509259</v>
      </c>
      <c r="C263" s="1" t="n">
        <v>46138</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18058-2025</t>
        </is>
      </c>
      <c r="B264" s="1" t="n">
        <v>45761.47748842592</v>
      </c>
      <c r="C264" s="1" t="n">
        <v>46138</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71643-2021</t>
        </is>
      </c>
      <c r="B265" s="1" t="n">
        <v>44543.34697916666</v>
      </c>
      <c r="C265" s="1" t="n">
        <v>46138</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60032-2021</t>
        </is>
      </c>
      <c r="B266" s="1" t="n">
        <v>44495</v>
      </c>
      <c r="C266" s="1" t="n">
        <v>46138</v>
      </c>
      <c r="D266" t="inlineStr">
        <is>
          <t>UPPSALA LÄN</t>
        </is>
      </c>
      <c r="E266" t="inlineStr">
        <is>
          <t>UPPSALA</t>
        </is>
      </c>
      <c r="G266" t="n">
        <v>1.8</v>
      </c>
      <c r="H266" t="n">
        <v>0</v>
      </c>
      <c r="I266" t="n">
        <v>0</v>
      </c>
      <c r="J266" t="n">
        <v>0</v>
      </c>
      <c r="K266" t="n">
        <v>0</v>
      </c>
      <c r="L266" t="n">
        <v>0</v>
      </c>
      <c r="M266" t="n">
        <v>0</v>
      </c>
      <c r="N266" t="n">
        <v>0</v>
      </c>
      <c r="O266" t="n">
        <v>0</v>
      </c>
      <c r="P266" t="n">
        <v>0</v>
      </c>
      <c r="Q266" t="n">
        <v>0</v>
      </c>
      <c r="R266" s="2" t="inlineStr"/>
    </row>
    <row r="267" ht="15" customHeight="1">
      <c r="A267" t="inlineStr">
        <is>
          <t>A 40872-2023</t>
        </is>
      </c>
      <c r="B267" s="1" t="n">
        <v>45173</v>
      </c>
      <c r="C267" s="1" t="n">
        <v>46138</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15377-2022</t>
        </is>
      </c>
      <c r="B268" s="1" t="n">
        <v>44659.57912037037</v>
      </c>
      <c r="C268" s="1" t="n">
        <v>46138</v>
      </c>
      <c r="D268" t="inlineStr">
        <is>
          <t>UPPSALA LÄN</t>
        </is>
      </c>
      <c r="E268" t="inlineStr">
        <is>
          <t>UPPSALA</t>
        </is>
      </c>
      <c r="F268" t="inlineStr">
        <is>
          <t>Bergvik skog öst AB</t>
        </is>
      </c>
      <c r="G268" t="n">
        <v>0.5</v>
      </c>
      <c r="H268" t="n">
        <v>0</v>
      </c>
      <c r="I268" t="n">
        <v>0</v>
      </c>
      <c r="J268" t="n">
        <v>0</v>
      </c>
      <c r="K268" t="n">
        <v>0</v>
      </c>
      <c r="L268" t="n">
        <v>0</v>
      </c>
      <c r="M268" t="n">
        <v>0</v>
      </c>
      <c r="N268" t="n">
        <v>0</v>
      </c>
      <c r="O268" t="n">
        <v>0</v>
      </c>
      <c r="P268" t="n">
        <v>0</v>
      </c>
      <c r="Q268" t="n">
        <v>0</v>
      </c>
      <c r="R268" s="2" t="inlineStr"/>
    </row>
    <row r="269" ht="15" customHeight="1">
      <c r="A269" t="inlineStr">
        <is>
          <t>A 42124-2021</t>
        </is>
      </c>
      <c r="B269" s="1" t="n">
        <v>44426</v>
      </c>
      <c r="C269" s="1" t="n">
        <v>46138</v>
      </c>
      <c r="D269" t="inlineStr">
        <is>
          <t>UPPSALA LÄN</t>
        </is>
      </c>
      <c r="E269" t="inlineStr">
        <is>
          <t>UPPSALA</t>
        </is>
      </c>
      <c r="G269" t="n">
        <v>6.3</v>
      </c>
      <c r="H269" t="n">
        <v>0</v>
      </c>
      <c r="I269" t="n">
        <v>0</v>
      </c>
      <c r="J269" t="n">
        <v>0</v>
      </c>
      <c r="K269" t="n">
        <v>0</v>
      </c>
      <c r="L269" t="n">
        <v>0</v>
      </c>
      <c r="M269" t="n">
        <v>0</v>
      </c>
      <c r="N269" t="n">
        <v>0</v>
      </c>
      <c r="O269" t="n">
        <v>0</v>
      </c>
      <c r="P269" t="n">
        <v>0</v>
      </c>
      <c r="Q269" t="n">
        <v>0</v>
      </c>
      <c r="R269" s="2" t="inlineStr"/>
    </row>
    <row r="270" ht="15" customHeight="1">
      <c r="A270" t="inlineStr">
        <is>
          <t>A 6550-2025</t>
        </is>
      </c>
      <c r="B270" s="1" t="n">
        <v>45699.71063657408</v>
      </c>
      <c r="C270" s="1" t="n">
        <v>46138</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34061-2022</t>
        </is>
      </c>
      <c r="B271" s="1" t="n">
        <v>44791.38336805555</v>
      </c>
      <c r="C271" s="1" t="n">
        <v>46138</v>
      </c>
      <c r="D271" t="inlineStr">
        <is>
          <t>UPPSALA LÄN</t>
        </is>
      </c>
      <c r="E271" t="inlineStr">
        <is>
          <t>UPPSALA</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66927-2021</t>
        </is>
      </c>
      <c r="B272" s="1" t="n">
        <v>44522.55518518519</v>
      </c>
      <c r="C272" s="1" t="n">
        <v>46138</v>
      </c>
      <c r="D272" t="inlineStr">
        <is>
          <t>UPPSALA LÄN</t>
        </is>
      </c>
      <c r="E272" t="inlineStr">
        <is>
          <t>UPPSALA</t>
        </is>
      </c>
      <c r="G272" t="n">
        <v>2.9</v>
      </c>
      <c r="H272" t="n">
        <v>0</v>
      </c>
      <c r="I272" t="n">
        <v>0</v>
      </c>
      <c r="J272" t="n">
        <v>0</v>
      </c>
      <c r="K272" t="n">
        <v>0</v>
      </c>
      <c r="L272" t="n">
        <v>0</v>
      </c>
      <c r="M272" t="n">
        <v>0</v>
      </c>
      <c r="N272" t="n">
        <v>0</v>
      </c>
      <c r="O272" t="n">
        <v>0</v>
      </c>
      <c r="P272" t="n">
        <v>0</v>
      </c>
      <c r="Q272" t="n">
        <v>0</v>
      </c>
      <c r="R272" s="2" t="inlineStr"/>
    </row>
    <row r="273" ht="15" customHeight="1">
      <c r="A273" t="inlineStr">
        <is>
          <t>A 55862-2022</t>
        </is>
      </c>
      <c r="B273" s="1" t="n">
        <v>44888</v>
      </c>
      <c r="C273" s="1" t="n">
        <v>46138</v>
      </c>
      <c r="D273" t="inlineStr">
        <is>
          <t>UPPSALA LÄN</t>
        </is>
      </c>
      <c r="E273" t="inlineStr">
        <is>
          <t>UPPSALA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32428-2023</t>
        </is>
      </c>
      <c r="B274" s="1" t="n">
        <v>45110</v>
      </c>
      <c r="C274" s="1" t="n">
        <v>46138</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10464-2022</t>
        </is>
      </c>
      <c r="B275" s="1" t="n">
        <v>44623</v>
      </c>
      <c r="C275" s="1" t="n">
        <v>46138</v>
      </c>
      <c r="D275" t="inlineStr">
        <is>
          <t>UPPSALA LÄN</t>
        </is>
      </c>
      <c r="E275" t="inlineStr">
        <is>
          <t>UPPSALA</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35411-2022</t>
        </is>
      </c>
      <c r="B276" s="1" t="n">
        <v>44798</v>
      </c>
      <c r="C276" s="1" t="n">
        <v>46138</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39795-2022</t>
        </is>
      </c>
      <c r="B277" s="1" t="n">
        <v>44819.50233796296</v>
      </c>
      <c r="C277" s="1" t="n">
        <v>46138</v>
      </c>
      <c r="D277" t="inlineStr">
        <is>
          <t>UPPSALA LÄN</t>
        </is>
      </c>
      <c r="E277" t="inlineStr">
        <is>
          <t>UPPSALA</t>
        </is>
      </c>
      <c r="F277" t="inlineStr">
        <is>
          <t>Övriga Aktiebolag</t>
        </is>
      </c>
      <c r="G277" t="n">
        <v>3.5</v>
      </c>
      <c r="H277" t="n">
        <v>0</v>
      </c>
      <c r="I277" t="n">
        <v>0</v>
      </c>
      <c r="J277" t="n">
        <v>0</v>
      </c>
      <c r="K277" t="n">
        <v>0</v>
      </c>
      <c r="L277" t="n">
        <v>0</v>
      </c>
      <c r="M277" t="n">
        <v>0</v>
      </c>
      <c r="N277" t="n">
        <v>0</v>
      </c>
      <c r="O277" t="n">
        <v>0</v>
      </c>
      <c r="P277" t="n">
        <v>0</v>
      </c>
      <c r="Q277" t="n">
        <v>0</v>
      </c>
      <c r="R277" s="2" t="inlineStr"/>
    </row>
    <row r="278" ht="15" customHeight="1">
      <c r="A278" t="inlineStr">
        <is>
          <t>A 49050-2024</t>
        </is>
      </c>
      <c r="B278" s="1" t="n">
        <v>45594</v>
      </c>
      <c r="C278" s="1" t="n">
        <v>46138</v>
      </c>
      <c r="D278" t="inlineStr">
        <is>
          <t>UPPSALA LÄN</t>
        </is>
      </c>
      <c r="E278" t="inlineStr">
        <is>
          <t>UPPSALA</t>
        </is>
      </c>
      <c r="F278" t="inlineStr">
        <is>
          <t>Övriga statliga verk och myndigheter</t>
        </is>
      </c>
      <c r="G278" t="n">
        <v>3.9</v>
      </c>
      <c r="H278" t="n">
        <v>0</v>
      </c>
      <c r="I278" t="n">
        <v>0</v>
      </c>
      <c r="J278" t="n">
        <v>0</v>
      </c>
      <c r="K278" t="n">
        <v>0</v>
      </c>
      <c r="L278" t="n">
        <v>0</v>
      </c>
      <c r="M278" t="n">
        <v>0</v>
      </c>
      <c r="N278" t="n">
        <v>0</v>
      </c>
      <c r="O278" t="n">
        <v>0</v>
      </c>
      <c r="P278" t="n">
        <v>0</v>
      </c>
      <c r="Q278" t="n">
        <v>0</v>
      </c>
      <c r="R278" s="2" t="inlineStr"/>
    </row>
    <row r="279" ht="15" customHeight="1">
      <c r="A279" t="inlineStr">
        <is>
          <t>A 15310-2022</t>
        </is>
      </c>
      <c r="B279" s="1" t="n">
        <v>44659</v>
      </c>
      <c r="C279" s="1" t="n">
        <v>46138</v>
      </c>
      <c r="D279" t="inlineStr">
        <is>
          <t>UPPSALA LÄN</t>
        </is>
      </c>
      <c r="E279" t="inlineStr">
        <is>
          <t>UPPSALA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13892-2022</t>
        </is>
      </c>
      <c r="B280" s="1" t="n">
        <v>44649</v>
      </c>
      <c r="C280" s="1" t="n">
        <v>46138</v>
      </c>
      <c r="D280" t="inlineStr">
        <is>
          <t>UPPSALA LÄN</t>
        </is>
      </c>
      <c r="E280" t="inlineStr">
        <is>
          <t>UPPSALA</t>
        </is>
      </c>
      <c r="G280" t="n">
        <v>3.3</v>
      </c>
      <c r="H280" t="n">
        <v>0</v>
      </c>
      <c r="I280" t="n">
        <v>0</v>
      </c>
      <c r="J280" t="n">
        <v>0</v>
      </c>
      <c r="K280" t="n">
        <v>0</v>
      </c>
      <c r="L280" t="n">
        <v>0</v>
      </c>
      <c r="M280" t="n">
        <v>0</v>
      </c>
      <c r="N280" t="n">
        <v>0</v>
      </c>
      <c r="O280" t="n">
        <v>0</v>
      </c>
      <c r="P280" t="n">
        <v>0</v>
      </c>
      <c r="Q280" t="n">
        <v>0</v>
      </c>
      <c r="R280" s="2" t="inlineStr"/>
    </row>
    <row r="281" ht="15" customHeight="1">
      <c r="A281" t="inlineStr">
        <is>
          <t>A 5006-2022</t>
        </is>
      </c>
      <c r="B281" s="1" t="n">
        <v>44593</v>
      </c>
      <c r="C281" s="1" t="n">
        <v>46138</v>
      </c>
      <c r="D281" t="inlineStr">
        <is>
          <t>UPPSALA LÄN</t>
        </is>
      </c>
      <c r="E281" t="inlineStr">
        <is>
          <t>UPPSALA</t>
        </is>
      </c>
      <c r="F281" t="inlineStr">
        <is>
          <t>BillerudKorsnäs AB</t>
        </is>
      </c>
      <c r="G281" t="n">
        <v>1.4</v>
      </c>
      <c r="H281" t="n">
        <v>0</v>
      </c>
      <c r="I281" t="n">
        <v>0</v>
      </c>
      <c r="J281" t="n">
        <v>0</v>
      </c>
      <c r="K281" t="n">
        <v>0</v>
      </c>
      <c r="L281" t="n">
        <v>0</v>
      </c>
      <c r="M281" t="n">
        <v>0</v>
      </c>
      <c r="N281" t="n">
        <v>0</v>
      </c>
      <c r="O281" t="n">
        <v>0</v>
      </c>
      <c r="P281" t="n">
        <v>0</v>
      </c>
      <c r="Q281" t="n">
        <v>0</v>
      </c>
      <c r="R281" s="2" t="inlineStr"/>
    </row>
    <row r="282" ht="15" customHeight="1">
      <c r="A282" t="inlineStr">
        <is>
          <t>A 5007-2022</t>
        </is>
      </c>
      <c r="B282" s="1" t="n">
        <v>44593.61355324074</v>
      </c>
      <c r="C282" s="1" t="n">
        <v>46138</v>
      </c>
      <c r="D282" t="inlineStr">
        <is>
          <t>UPPSALA LÄN</t>
        </is>
      </c>
      <c r="E282" t="inlineStr">
        <is>
          <t>UPPSALA</t>
        </is>
      </c>
      <c r="F282" t="inlineStr">
        <is>
          <t>BillerudKorsnäs AB</t>
        </is>
      </c>
      <c r="G282" t="n">
        <v>3.6</v>
      </c>
      <c r="H282" t="n">
        <v>0</v>
      </c>
      <c r="I282" t="n">
        <v>0</v>
      </c>
      <c r="J282" t="n">
        <v>0</v>
      </c>
      <c r="K282" t="n">
        <v>0</v>
      </c>
      <c r="L282" t="n">
        <v>0</v>
      </c>
      <c r="M282" t="n">
        <v>0</v>
      </c>
      <c r="N282" t="n">
        <v>0</v>
      </c>
      <c r="O282" t="n">
        <v>0</v>
      </c>
      <c r="P282" t="n">
        <v>0</v>
      </c>
      <c r="Q282" t="n">
        <v>0</v>
      </c>
      <c r="R282" s="2" t="inlineStr"/>
    </row>
    <row r="283" ht="15" customHeight="1">
      <c r="A283" t="inlineStr">
        <is>
          <t>A 46293-2022</t>
        </is>
      </c>
      <c r="B283" s="1" t="n">
        <v>44847</v>
      </c>
      <c r="C283" s="1" t="n">
        <v>46138</v>
      </c>
      <c r="D283" t="inlineStr">
        <is>
          <t>UPPSALA LÄN</t>
        </is>
      </c>
      <c r="E283" t="inlineStr">
        <is>
          <t>UPPSALA</t>
        </is>
      </c>
      <c r="G283" t="n">
        <v>2</v>
      </c>
      <c r="H283" t="n">
        <v>0</v>
      </c>
      <c r="I283" t="n">
        <v>0</v>
      </c>
      <c r="J283" t="n">
        <v>0</v>
      </c>
      <c r="K283" t="n">
        <v>0</v>
      </c>
      <c r="L283" t="n">
        <v>0</v>
      </c>
      <c r="M283" t="n">
        <v>0</v>
      </c>
      <c r="N283" t="n">
        <v>0</v>
      </c>
      <c r="O283" t="n">
        <v>0</v>
      </c>
      <c r="P283" t="n">
        <v>0</v>
      </c>
      <c r="Q283" t="n">
        <v>0</v>
      </c>
      <c r="R283" s="2" t="inlineStr"/>
    </row>
    <row r="284" ht="15" customHeight="1">
      <c r="A284" t="inlineStr">
        <is>
          <t>A 11409-2025</t>
        </is>
      </c>
      <c r="B284" s="1" t="n">
        <v>45726</v>
      </c>
      <c r="C284" s="1" t="n">
        <v>46138</v>
      </c>
      <c r="D284" t="inlineStr">
        <is>
          <t>UPPSALA LÄN</t>
        </is>
      </c>
      <c r="E284" t="inlineStr">
        <is>
          <t>UPPSALA</t>
        </is>
      </c>
      <c r="G284" t="n">
        <v>0.3</v>
      </c>
      <c r="H284" t="n">
        <v>0</v>
      </c>
      <c r="I284" t="n">
        <v>0</v>
      </c>
      <c r="J284" t="n">
        <v>0</v>
      </c>
      <c r="K284" t="n">
        <v>0</v>
      </c>
      <c r="L284" t="n">
        <v>0</v>
      </c>
      <c r="M284" t="n">
        <v>0</v>
      </c>
      <c r="N284" t="n">
        <v>0</v>
      </c>
      <c r="O284" t="n">
        <v>0</v>
      </c>
      <c r="P284" t="n">
        <v>0</v>
      </c>
      <c r="Q284" t="n">
        <v>0</v>
      </c>
      <c r="R284" s="2" t="inlineStr"/>
    </row>
    <row r="285" ht="15" customHeight="1">
      <c r="A285" t="inlineStr">
        <is>
          <t>A 668-2025</t>
        </is>
      </c>
      <c r="B285" s="1" t="n">
        <v>45664</v>
      </c>
      <c r="C285" s="1" t="n">
        <v>46138</v>
      </c>
      <c r="D285" t="inlineStr">
        <is>
          <t>UPPSALA LÄN</t>
        </is>
      </c>
      <c r="E285" t="inlineStr">
        <is>
          <t>UPPSALA</t>
        </is>
      </c>
      <c r="F285" t="inlineStr">
        <is>
          <t>Bergvik skog öst AB</t>
        </is>
      </c>
      <c r="G285" t="n">
        <v>4.7</v>
      </c>
      <c r="H285" t="n">
        <v>0</v>
      </c>
      <c r="I285" t="n">
        <v>0</v>
      </c>
      <c r="J285" t="n">
        <v>0</v>
      </c>
      <c r="K285" t="n">
        <v>0</v>
      </c>
      <c r="L285" t="n">
        <v>0</v>
      </c>
      <c r="M285" t="n">
        <v>0</v>
      </c>
      <c r="N285" t="n">
        <v>0</v>
      </c>
      <c r="O285" t="n">
        <v>0</v>
      </c>
      <c r="P285" t="n">
        <v>0</v>
      </c>
      <c r="Q285" t="n">
        <v>0</v>
      </c>
      <c r="R285" s="2" t="inlineStr"/>
    </row>
    <row r="286" ht="15" customHeight="1">
      <c r="A286" t="inlineStr">
        <is>
          <t>A 9201-2024</t>
        </is>
      </c>
      <c r="B286" s="1" t="n">
        <v>45358</v>
      </c>
      <c r="C286" s="1" t="n">
        <v>46138</v>
      </c>
      <c r="D286" t="inlineStr">
        <is>
          <t>UPPSALA LÄN</t>
        </is>
      </c>
      <c r="E286" t="inlineStr">
        <is>
          <t>UPPSALA</t>
        </is>
      </c>
      <c r="F286" t="inlineStr">
        <is>
          <t>Allmännings- och besparingsskogar</t>
        </is>
      </c>
      <c r="G286" t="n">
        <v>6.5</v>
      </c>
      <c r="H286" t="n">
        <v>0</v>
      </c>
      <c r="I286" t="n">
        <v>0</v>
      </c>
      <c r="J286" t="n">
        <v>0</v>
      </c>
      <c r="K286" t="n">
        <v>0</v>
      </c>
      <c r="L286" t="n">
        <v>0</v>
      </c>
      <c r="M286" t="n">
        <v>0</v>
      </c>
      <c r="N286" t="n">
        <v>0</v>
      </c>
      <c r="O286" t="n">
        <v>0</v>
      </c>
      <c r="P286" t="n">
        <v>0</v>
      </c>
      <c r="Q286" t="n">
        <v>0</v>
      </c>
      <c r="R286" s="2" t="inlineStr"/>
    </row>
    <row r="287" ht="15" customHeight="1">
      <c r="A287" t="inlineStr">
        <is>
          <t>A 6408-2022</t>
        </is>
      </c>
      <c r="B287" s="1" t="n">
        <v>44600</v>
      </c>
      <c r="C287" s="1" t="n">
        <v>46138</v>
      </c>
      <c r="D287" t="inlineStr">
        <is>
          <t>UPPSALA LÄN</t>
        </is>
      </c>
      <c r="E287" t="inlineStr">
        <is>
          <t>UPPSALA</t>
        </is>
      </c>
      <c r="F287" t="inlineStr">
        <is>
          <t>Bergvik skog öst AB</t>
        </is>
      </c>
      <c r="G287" t="n">
        <v>1.8</v>
      </c>
      <c r="H287" t="n">
        <v>0</v>
      </c>
      <c r="I287" t="n">
        <v>0</v>
      </c>
      <c r="J287" t="n">
        <v>0</v>
      </c>
      <c r="K287" t="n">
        <v>0</v>
      </c>
      <c r="L287" t="n">
        <v>0</v>
      </c>
      <c r="M287" t="n">
        <v>0</v>
      </c>
      <c r="N287" t="n">
        <v>0</v>
      </c>
      <c r="O287" t="n">
        <v>0</v>
      </c>
      <c r="P287" t="n">
        <v>0</v>
      </c>
      <c r="Q287" t="n">
        <v>0</v>
      </c>
      <c r="R287" s="2" t="inlineStr"/>
    </row>
    <row r="288" ht="15" customHeight="1">
      <c r="A288" t="inlineStr">
        <is>
          <t>A 24098-2024</t>
        </is>
      </c>
      <c r="B288" s="1" t="n">
        <v>45456.59535879629</v>
      </c>
      <c r="C288" s="1" t="n">
        <v>46138</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5722-2025</t>
        </is>
      </c>
      <c r="B289" s="1" t="n">
        <v>45694</v>
      </c>
      <c r="C289" s="1" t="n">
        <v>46138</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37316-2022</t>
        </is>
      </c>
      <c r="B290" s="1" t="n">
        <v>44806</v>
      </c>
      <c r="C290" s="1" t="n">
        <v>46138</v>
      </c>
      <c r="D290" t="inlineStr">
        <is>
          <t>UPPSALA LÄN</t>
        </is>
      </c>
      <c r="E290" t="inlineStr">
        <is>
          <t>UPPSALA</t>
        </is>
      </c>
      <c r="G290" t="n">
        <v>10.6</v>
      </c>
      <c r="H290" t="n">
        <v>0</v>
      </c>
      <c r="I290" t="n">
        <v>0</v>
      </c>
      <c r="J290" t="n">
        <v>0</v>
      </c>
      <c r="K290" t="n">
        <v>0</v>
      </c>
      <c r="L290" t="n">
        <v>0</v>
      </c>
      <c r="M290" t="n">
        <v>0</v>
      </c>
      <c r="N290" t="n">
        <v>0</v>
      </c>
      <c r="O290" t="n">
        <v>0</v>
      </c>
      <c r="P290" t="n">
        <v>0</v>
      </c>
      <c r="Q290" t="n">
        <v>0</v>
      </c>
      <c r="R290" s="2" t="inlineStr"/>
    </row>
    <row r="291" ht="15" customHeight="1">
      <c r="A291" t="inlineStr">
        <is>
          <t>A 6363-2024</t>
        </is>
      </c>
      <c r="B291" s="1" t="n">
        <v>45338.49412037037</v>
      </c>
      <c r="C291" s="1" t="n">
        <v>46138</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2980-2025</t>
        </is>
      </c>
      <c r="B292" s="1" t="n">
        <v>45678</v>
      </c>
      <c r="C292" s="1" t="n">
        <v>46138</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56679-2022</t>
        </is>
      </c>
      <c r="B293" s="1" t="n">
        <v>44893</v>
      </c>
      <c r="C293" s="1" t="n">
        <v>46138</v>
      </c>
      <c r="D293" t="inlineStr">
        <is>
          <t>UPPSALA LÄN</t>
        </is>
      </c>
      <c r="E293" t="inlineStr">
        <is>
          <t>UPPSALA</t>
        </is>
      </c>
      <c r="G293" t="n">
        <v>1.4</v>
      </c>
      <c r="H293" t="n">
        <v>0</v>
      </c>
      <c r="I293" t="n">
        <v>0</v>
      </c>
      <c r="J293" t="n">
        <v>0</v>
      </c>
      <c r="K293" t="n">
        <v>0</v>
      </c>
      <c r="L293" t="n">
        <v>0</v>
      </c>
      <c r="M293" t="n">
        <v>0</v>
      </c>
      <c r="N293" t="n">
        <v>0</v>
      </c>
      <c r="O293" t="n">
        <v>0</v>
      </c>
      <c r="P293" t="n">
        <v>0</v>
      </c>
      <c r="Q293" t="n">
        <v>0</v>
      </c>
      <c r="R293" s="2" t="inlineStr"/>
    </row>
    <row r="294" ht="15" customHeight="1">
      <c r="A294" t="inlineStr">
        <is>
          <t>A 54808-2023</t>
        </is>
      </c>
      <c r="B294" s="1" t="n">
        <v>45236</v>
      </c>
      <c r="C294" s="1" t="n">
        <v>46138</v>
      </c>
      <c r="D294" t="inlineStr">
        <is>
          <t>UPPSALA LÄN</t>
        </is>
      </c>
      <c r="E294" t="inlineStr">
        <is>
          <t>UPPSALA</t>
        </is>
      </c>
      <c r="G294" t="n">
        <v>4.1</v>
      </c>
      <c r="H294" t="n">
        <v>0</v>
      </c>
      <c r="I294" t="n">
        <v>0</v>
      </c>
      <c r="J294" t="n">
        <v>0</v>
      </c>
      <c r="K294" t="n">
        <v>0</v>
      </c>
      <c r="L294" t="n">
        <v>0</v>
      </c>
      <c r="M294" t="n">
        <v>0</v>
      </c>
      <c r="N294" t="n">
        <v>0</v>
      </c>
      <c r="O294" t="n">
        <v>0</v>
      </c>
      <c r="P294" t="n">
        <v>0</v>
      </c>
      <c r="Q294" t="n">
        <v>0</v>
      </c>
      <c r="R294" s="2" t="inlineStr"/>
    </row>
    <row r="295" ht="15" customHeight="1">
      <c r="A295" t="inlineStr">
        <is>
          <t>A 10383-2022</t>
        </is>
      </c>
      <c r="B295" s="1" t="n">
        <v>44623.41775462963</v>
      </c>
      <c r="C295" s="1" t="n">
        <v>46138</v>
      </c>
      <c r="D295" t="inlineStr">
        <is>
          <t>UPPSALA LÄN</t>
        </is>
      </c>
      <c r="E295" t="inlineStr">
        <is>
          <t>UPPSALA</t>
        </is>
      </c>
      <c r="F295" t="inlineStr">
        <is>
          <t>Övriga Aktiebolag</t>
        </is>
      </c>
      <c r="G295" t="n">
        <v>2.8</v>
      </c>
      <c r="H295" t="n">
        <v>0</v>
      </c>
      <c r="I295" t="n">
        <v>0</v>
      </c>
      <c r="J295" t="n">
        <v>0</v>
      </c>
      <c r="K295" t="n">
        <v>0</v>
      </c>
      <c r="L295" t="n">
        <v>0</v>
      </c>
      <c r="M295" t="n">
        <v>0</v>
      </c>
      <c r="N295" t="n">
        <v>0</v>
      </c>
      <c r="O295" t="n">
        <v>0</v>
      </c>
      <c r="P295" t="n">
        <v>0</v>
      </c>
      <c r="Q295" t="n">
        <v>0</v>
      </c>
      <c r="R295" s="2" t="inlineStr"/>
    </row>
    <row r="296" ht="15" customHeight="1">
      <c r="A296" t="inlineStr">
        <is>
          <t>A 45-2024</t>
        </is>
      </c>
      <c r="B296" s="1" t="n">
        <v>45293</v>
      </c>
      <c r="C296" s="1" t="n">
        <v>46138</v>
      </c>
      <c r="D296" t="inlineStr">
        <is>
          <t>UPPSALA LÄN</t>
        </is>
      </c>
      <c r="E296" t="inlineStr">
        <is>
          <t>UPPSALA</t>
        </is>
      </c>
      <c r="G296" t="n">
        <v>12.5</v>
      </c>
      <c r="H296" t="n">
        <v>0</v>
      </c>
      <c r="I296" t="n">
        <v>0</v>
      </c>
      <c r="J296" t="n">
        <v>0</v>
      </c>
      <c r="K296" t="n">
        <v>0</v>
      </c>
      <c r="L296" t="n">
        <v>0</v>
      </c>
      <c r="M296" t="n">
        <v>0</v>
      </c>
      <c r="N296" t="n">
        <v>0</v>
      </c>
      <c r="O296" t="n">
        <v>0</v>
      </c>
      <c r="P296" t="n">
        <v>0</v>
      </c>
      <c r="Q296" t="n">
        <v>0</v>
      </c>
      <c r="R296" s="2" t="inlineStr"/>
    </row>
    <row r="297" ht="15" customHeight="1">
      <c r="A297" t="inlineStr">
        <is>
          <t>A 60691-2024</t>
        </is>
      </c>
      <c r="B297" s="1" t="n">
        <v>45644.47723379629</v>
      </c>
      <c r="C297" s="1" t="n">
        <v>46138</v>
      </c>
      <c r="D297" t="inlineStr">
        <is>
          <t>UPPSALA LÄN</t>
        </is>
      </c>
      <c r="E297" t="inlineStr">
        <is>
          <t>UPPSALA</t>
        </is>
      </c>
      <c r="G297" t="n">
        <v>1.4</v>
      </c>
      <c r="H297" t="n">
        <v>0</v>
      </c>
      <c r="I297" t="n">
        <v>0</v>
      </c>
      <c r="J297" t="n">
        <v>0</v>
      </c>
      <c r="K297" t="n">
        <v>0</v>
      </c>
      <c r="L297" t="n">
        <v>0</v>
      </c>
      <c r="M297" t="n">
        <v>0</v>
      </c>
      <c r="N297" t="n">
        <v>0</v>
      </c>
      <c r="O297" t="n">
        <v>0</v>
      </c>
      <c r="P297" t="n">
        <v>0</v>
      </c>
      <c r="Q297" t="n">
        <v>0</v>
      </c>
      <c r="R297" s="2" t="inlineStr"/>
    </row>
    <row r="298" ht="15" customHeight="1">
      <c r="A298" t="inlineStr">
        <is>
          <t>A 54813-2022</t>
        </is>
      </c>
      <c r="B298" s="1" t="n">
        <v>44883</v>
      </c>
      <c r="C298" s="1" t="n">
        <v>46138</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35542-2022</t>
        </is>
      </c>
      <c r="B299" s="1" t="n">
        <v>44799.36695601852</v>
      </c>
      <c r="C299" s="1" t="n">
        <v>46138</v>
      </c>
      <c r="D299" t="inlineStr">
        <is>
          <t>UPPSALA LÄN</t>
        </is>
      </c>
      <c r="E299" t="inlineStr">
        <is>
          <t>UPPSALA</t>
        </is>
      </c>
      <c r="G299" t="n">
        <v>3.2</v>
      </c>
      <c r="H299" t="n">
        <v>0</v>
      </c>
      <c r="I299" t="n">
        <v>0</v>
      </c>
      <c r="J299" t="n">
        <v>0</v>
      </c>
      <c r="K299" t="n">
        <v>0</v>
      </c>
      <c r="L299" t="n">
        <v>0</v>
      </c>
      <c r="M299" t="n">
        <v>0</v>
      </c>
      <c r="N299" t="n">
        <v>0</v>
      </c>
      <c r="O299" t="n">
        <v>0</v>
      </c>
      <c r="P299" t="n">
        <v>0</v>
      </c>
      <c r="Q299" t="n">
        <v>0</v>
      </c>
      <c r="R299" s="2" t="inlineStr"/>
    </row>
    <row r="300" ht="15" customHeight="1">
      <c r="A300" t="inlineStr">
        <is>
          <t>A 23157-2023</t>
        </is>
      </c>
      <c r="B300" s="1" t="n">
        <v>45075.51982638889</v>
      </c>
      <c r="C300" s="1" t="n">
        <v>46138</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51935-2023</t>
        </is>
      </c>
      <c r="B301" s="1" t="n">
        <v>45223</v>
      </c>
      <c r="C301" s="1" t="n">
        <v>46138</v>
      </c>
      <c r="D301" t="inlineStr">
        <is>
          <t>UPPSALA LÄN</t>
        </is>
      </c>
      <c r="E301" t="inlineStr">
        <is>
          <t>UPPSALA</t>
        </is>
      </c>
      <c r="G301" t="n">
        <v>4.8</v>
      </c>
      <c r="H301" t="n">
        <v>0</v>
      </c>
      <c r="I301" t="n">
        <v>0</v>
      </c>
      <c r="J301" t="n">
        <v>0</v>
      </c>
      <c r="K301" t="n">
        <v>0</v>
      </c>
      <c r="L301" t="n">
        <v>0</v>
      </c>
      <c r="M301" t="n">
        <v>0</v>
      </c>
      <c r="N301" t="n">
        <v>0</v>
      </c>
      <c r="O301" t="n">
        <v>0</v>
      </c>
      <c r="P301" t="n">
        <v>0</v>
      </c>
      <c r="Q301" t="n">
        <v>0</v>
      </c>
      <c r="R301" s="2" t="inlineStr"/>
    </row>
    <row r="302" ht="15" customHeight="1">
      <c r="A302" t="inlineStr">
        <is>
          <t>A 47316-2023</t>
        </is>
      </c>
      <c r="B302" s="1" t="n">
        <v>45202.4997337963</v>
      </c>
      <c r="C302" s="1" t="n">
        <v>46138</v>
      </c>
      <c r="D302" t="inlineStr">
        <is>
          <t>UPPSALA LÄN</t>
        </is>
      </c>
      <c r="E302" t="inlineStr">
        <is>
          <t>UPPSALA</t>
        </is>
      </c>
      <c r="F302" t="inlineStr">
        <is>
          <t>Bergvik skog öst AB</t>
        </is>
      </c>
      <c r="G302" t="n">
        <v>0.3</v>
      </c>
      <c r="H302" t="n">
        <v>0</v>
      </c>
      <c r="I302" t="n">
        <v>0</v>
      </c>
      <c r="J302" t="n">
        <v>0</v>
      </c>
      <c r="K302" t="n">
        <v>0</v>
      </c>
      <c r="L302" t="n">
        <v>0</v>
      </c>
      <c r="M302" t="n">
        <v>0</v>
      </c>
      <c r="N302" t="n">
        <v>0</v>
      </c>
      <c r="O302" t="n">
        <v>0</v>
      </c>
      <c r="P302" t="n">
        <v>0</v>
      </c>
      <c r="Q302" t="n">
        <v>0</v>
      </c>
      <c r="R302" s="2" t="inlineStr"/>
    </row>
    <row r="303" ht="15" customHeight="1">
      <c r="A303" t="inlineStr">
        <is>
          <t>A 53589-2024</t>
        </is>
      </c>
      <c r="B303" s="1" t="n">
        <v>45614.67020833334</v>
      </c>
      <c r="C303" s="1" t="n">
        <v>46138</v>
      </c>
      <c r="D303" t="inlineStr">
        <is>
          <t>UPPSALA LÄN</t>
        </is>
      </c>
      <c r="E303" t="inlineStr">
        <is>
          <t>UPPSALA</t>
        </is>
      </c>
      <c r="G303" t="n">
        <v>4</v>
      </c>
      <c r="H303" t="n">
        <v>0</v>
      </c>
      <c r="I303" t="n">
        <v>0</v>
      </c>
      <c r="J303" t="n">
        <v>0</v>
      </c>
      <c r="K303" t="n">
        <v>0</v>
      </c>
      <c r="L303" t="n">
        <v>0</v>
      </c>
      <c r="M303" t="n">
        <v>0</v>
      </c>
      <c r="N303" t="n">
        <v>0</v>
      </c>
      <c r="O303" t="n">
        <v>0</v>
      </c>
      <c r="P303" t="n">
        <v>0</v>
      </c>
      <c r="Q303" t="n">
        <v>0</v>
      </c>
      <c r="R303" s="2" t="inlineStr"/>
    </row>
    <row r="304" ht="15" customHeight="1">
      <c r="A304" t="inlineStr">
        <is>
          <t>A 35914-2023</t>
        </is>
      </c>
      <c r="B304" s="1" t="n">
        <v>45148</v>
      </c>
      <c r="C304" s="1" t="n">
        <v>46138</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35916-2023</t>
        </is>
      </c>
      <c r="B305" s="1" t="n">
        <v>45148</v>
      </c>
      <c r="C305" s="1" t="n">
        <v>46138</v>
      </c>
      <c r="D305" t="inlineStr">
        <is>
          <t>UPPSALA LÄN</t>
        </is>
      </c>
      <c r="E305" t="inlineStr">
        <is>
          <t>UPPSALA</t>
        </is>
      </c>
      <c r="G305" t="n">
        <v>3.1</v>
      </c>
      <c r="H305" t="n">
        <v>0</v>
      </c>
      <c r="I305" t="n">
        <v>0</v>
      </c>
      <c r="J305" t="n">
        <v>0</v>
      </c>
      <c r="K305" t="n">
        <v>0</v>
      </c>
      <c r="L305" t="n">
        <v>0</v>
      </c>
      <c r="M305" t="n">
        <v>0</v>
      </c>
      <c r="N305" t="n">
        <v>0</v>
      </c>
      <c r="O305" t="n">
        <v>0</v>
      </c>
      <c r="P305" t="n">
        <v>0</v>
      </c>
      <c r="Q305" t="n">
        <v>0</v>
      </c>
      <c r="R305" s="2" t="inlineStr"/>
    </row>
    <row r="306" ht="15" customHeight="1">
      <c r="A306" t="inlineStr">
        <is>
          <t>A 43029-2023</t>
        </is>
      </c>
      <c r="B306" s="1" t="n">
        <v>45182</v>
      </c>
      <c r="C306" s="1" t="n">
        <v>46138</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17595-2025</t>
        </is>
      </c>
      <c r="B307" s="1" t="n">
        <v>45757</v>
      </c>
      <c r="C307" s="1" t="n">
        <v>46138</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61947-2023</t>
        </is>
      </c>
      <c r="B308" s="1" t="n">
        <v>45266</v>
      </c>
      <c r="C308" s="1" t="n">
        <v>46138</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61574-2024</t>
        </is>
      </c>
      <c r="B309" s="1" t="n">
        <v>45646.61892361111</v>
      </c>
      <c r="C309" s="1" t="n">
        <v>46138</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25462-2023</t>
        </is>
      </c>
      <c r="B310" s="1" t="n">
        <v>45089</v>
      </c>
      <c r="C310" s="1" t="n">
        <v>46138</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6851-2022</t>
        </is>
      </c>
      <c r="B311" s="1" t="n">
        <v>44602</v>
      </c>
      <c r="C311" s="1" t="n">
        <v>46138</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14337-2022</t>
        </is>
      </c>
      <c r="B312" s="1" t="n">
        <v>44652</v>
      </c>
      <c r="C312" s="1" t="n">
        <v>46138</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46745-2024</t>
        </is>
      </c>
      <c r="B313" s="1" t="n">
        <v>45583</v>
      </c>
      <c r="C313" s="1" t="n">
        <v>46138</v>
      </c>
      <c r="D313" t="inlineStr">
        <is>
          <t>UPPSALA LÄN</t>
        </is>
      </c>
      <c r="E313" t="inlineStr">
        <is>
          <t>UPPSALA</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46748-2024</t>
        </is>
      </c>
      <c r="B314" s="1" t="n">
        <v>45583</v>
      </c>
      <c r="C314" s="1" t="n">
        <v>46138</v>
      </c>
      <c r="D314" t="inlineStr">
        <is>
          <t>UPPSALA LÄN</t>
        </is>
      </c>
      <c r="E314" t="inlineStr">
        <is>
          <t>UPPSALA</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6059-2025</t>
        </is>
      </c>
      <c r="B315" s="1" t="n">
        <v>45695.8391550926</v>
      </c>
      <c r="C315" s="1" t="n">
        <v>46138</v>
      </c>
      <c r="D315" t="inlineStr">
        <is>
          <t>UPPSALA LÄN</t>
        </is>
      </c>
      <c r="E315" t="inlineStr">
        <is>
          <t>UPPSALA</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39107-2023</t>
        </is>
      </c>
      <c r="B316" s="1" t="n">
        <v>45164.82913194445</v>
      </c>
      <c r="C316" s="1" t="n">
        <v>46138</v>
      </c>
      <c r="D316" t="inlineStr">
        <is>
          <t>UPPSALA LÄN</t>
        </is>
      </c>
      <c r="E316" t="inlineStr">
        <is>
          <t>UPPSALA</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26323-2023</t>
        </is>
      </c>
      <c r="B317" s="1" t="n">
        <v>45091.69766203704</v>
      </c>
      <c r="C317" s="1" t="n">
        <v>46138</v>
      </c>
      <c r="D317" t="inlineStr">
        <is>
          <t>UPPSALA LÄN</t>
        </is>
      </c>
      <c r="E317" t="inlineStr">
        <is>
          <t>UPPSALA</t>
        </is>
      </c>
      <c r="G317" t="n">
        <v>3.1</v>
      </c>
      <c r="H317" t="n">
        <v>0</v>
      </c>
      <c r="I317" t="n">
        <v>0</v>
      </c>
      <c r="J317" t="n">
        <v>0</v>
      </c>
      <c r="K317" t="n">
        <v>0</v>
      </c>
      <c r="L317" t="n">
        <v>0</v>
      </c>
      <c r="M317" t="n">
        <v>0</v>
      </c>
      <c r="N317" t="n">
        <v>0</v>
      </c>
      <c r="O317" t="n">
        <v>0</v>
      </c>
      <c r="P317" t="n">
        <v>0</v>
      </c>
      <c r="Q317" t="n">
        <v>0</v>
      </c>
      <c r="R317" s="2" t="inlineStr"/>
    </row>
    <row r="318" ht="15" customHeight="1">
      <c r="A318" t="inlineStr">
        <is>
          <t>A 2927-2022</t>
        </is>
      </c>
      <c r="B318" s="1" t="n">
        <v>44581.60254629629</v>
      </c>
      <c r="C318" s="1" t="n">
        <v>46138</v>
      </c>
      <c r="D318" t="inlineStr">
        <is>
          <t>UPPSALA LÄN</t>
        </is>
      </c>
      <c r="E318" t="inlineStr">
        <is>
          <t>UPPSALA</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5989-2022</t>
        </is>
      </c>
      <c r="B319" s="1" t="n">
        <v>44599.42277777778</v>
      </c>
      <c r="C319" s="1" t="n">
        <v>46138</v>
      </c>
      <c r="D319" t="inlineStr">
        <is>
          <t>UPPSALA LÄN</t>
        </is>
      </c>
      <c r="E319" t="inlineStr">
        <is>
          <t>UPPSALA</t>
        </is>
      </c>
      <c r="G319" t="n">
        <v>2.8</v>
      </c>
      <c r="H319" t="n">
        <v>0</v>
      </c>
      <c r="I319" t="n">
        <v>0</v>
      </c>
      <c r="J319" t="n">
        <v>0</v>
      </c>
      <c r="K319" t="n">
        <v>0</v>
      </c>
      <c r="L319" t="n">
        <v>0</v>
      </c>
      <c r="M319" t="n">
        <v>0</v>
      </c>
      <c r="N319" t="n">
        <v>0</v>
      </c>
      <c r="O319" t="n">
        <v>0</v>
      </c>
      <c r="P319" t="n">
        <v>0</v>
      </c>
      <c r="Q319" t="n">
        <v>0</v>
      </c>
      <c r="R319" s="2" t="inlineStr"/>
    </row>
    <row r="320" ht="15" customHeight="1">
      <c r="A320" t="inlineStr">
        <is>
          <t>A 6541-2025</t>
        </is>
      </c>
      <c r="B320" s="1" t="n">
        <v>45699</v>
      </c>
      <c r="C320" s="1" t="n">
        <v>46138</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33562-2023</t>
        </is>
      </c>
      <c r="B321" s="1" t="n">
        <v>45131</v>
      </c>
      <c r="C321" s="1" t="n">
        <v>46138</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5725-2025</t>
        </is>
      </c>
      <c r="B322" s="1" t="n">
        <v>45694</v>
      </c>
      <c r="C322" s="1" t="n">
        <v>46138</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6997-2023</t>
        </is>
      </c>
      <c r="B323" s="1" t="n">
        <v>44967.78984953704</v>
      </c>
      <c r="C323" s="1" t="n">
        <v>46138</v>
      </c>
      <c r="D323" t="inlineStr">
        <is>
          <t>UPPSALA LÄN</t>
        </is>
      </c>
      <c r="E323" t="inlineStr">
        <is>
          <t>UPPSALA</t>
        </is>
      </c>
      <c r="G323" t="n">
        <v>3.9</v>
      </c>
      <c r="H323" t="n">
        <v>0</v>
      </c>
      <c r="I323" t="n">
        <v>0</v>
      </c>
      <c r="J323" t="n">
        <v>0</v>
      </c>
      <c r="K323" t="n">
        <v>0</v>
      </c>
      <c r="L323" t="n">
        <v>0</v>
      </c>
      <c r="M323" t="n">
        <v>0</v>
      </c>
      <c r="N323" t="n">
        <v>0</v>
      </c>
      <c r="O323" t="n">
        <v>0</v>
      </c>
      <c r="P323" t="n">
        <v>0</v>
      </c>
      <c r="Q323" t="n">
        <v>0</v>
      </c>
      <c r="R323" s="2" t="inlineStr"/>
    </row>
    <row r="324" ht="15" customHeight="1">
      <c r="A324" t="inlineStr">
        <is>
          <t>A 10565-2022</t>
        </is>
      </c>
      <c r="B324" s="1" t="n">
        <v>44624.35083333333</v>
      </c>
      <c r="C324" s="1" t="n">
        <v>46138</v>
      </c>
      <c r="D324" t="inlineStr">
        <is>
          <t>UPPSALA LÄN</t>
        </is>
      </c>
      <c r="E324" t="inlineStr">
        <is>
          <t>UPPSALA</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12221-2022</t>
        </is>
      </c>
      <c r="B325" s="1" t="n">
        <v>44637.35744212963</v>
      </c>
      <c r="C325" s="1" t="n">
        <v>46138</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53921-2024</t>
        </is>
      </c>
      <c r="B326" s="1" t="n">
        <v>45615</v>
      </c>
      <c r="C326" s="1" t="n">
        <v>46138</v>
      </c>
      <c r="D326" t="inlineStr">
        <is>
          <t>UPPSALA LÄN</t>
        </is>
      </c>
      <c r="E326" t="inlineStr">
        <is>
          <t>UPPSALA</t>
        </is>
      </c>
      <c r="G326" t="n">
        <v>8.1</v>
      </c>
      <c r="H326" t="n">
        <v>0</v>
      </c>
      <c r="I326" t="n">
        <v>0</v>
      </c>
      <c r="J326" t="n">
        <v>0</v>
      </c>
      <c r="K326" t="n">
        <v>0</v>
      </c>
      <c r="L326" t="n">
        <v>0</v>
      </c>
      <c r="M326" t="n">
        <v>0</v>
      </c>
      <c r="N326" t="n">
        <v>0</v>
      </c>
      <c r="O326" t="n">
        <v>0</v>
      </c>
      <c r="P326" t="n">
        <v>0</v>
      </c>
      <c r="Q326" t="n">
        <v>0</v>
      </c>
      <c r="R326" s="2" t="inlineStr"/>
    </row>
    <row r="327" ht="15" customHeight="1">
      <c r="A327" t="inlineStr">
        <is>
          <t>A 12293-2022</t>
        </is>
      </c>
      <c r="B327" s="1" t="n">
        <v>44637.56178240741</v>
      </c>
      <c r="C327" s="1" t="n">
        <v>46138</v>
      </c>
      <c r="D327" t="inlineStr">
        <is>
          <t>UPPSALA LÄN</t>
        </is>
      </c>
      <c r="E327" t="inlineStr">
        <is>
          <t>UPPSALA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6012-2025</t>
        </is>
      </c>
      <c r="B328" s="1" t="n">
        <v>45695.59805555556</v>
      </c>
      <c r="C328" s="1" t="n">
        <v>46138</v>
      </c>
      <c r="D328" t="inlineStr">
        <is>
          <t>UPPSALA LÄN</t>
        </is>
      </c>
      <c r="E328" t="inlineStr">
        <is>
          <t>UPPSALA</t>
        </is>
      </c>
      <c r="F328" t="inlineStr">
        <is>
          <t>Övriga Aktiebolag</t>
        </is>
      </c>
      <c r="G328" t="n">
        <v>14.3</v>
      </c>
      <c r="H328" t="n">
        <v>0</v>
      </c>
      <c r="I328" t="n">
        <v>0</v>
      </c>
      <c r="J328" t="n">
        <v>0</v>
      </c>
      <c r="K328" t="n">
        <v>0</v>
      </c>
      <c r="L328" t="n">
        <v>0</v>
      </c>
      <c r="M328" t="n">
        <v>0</v>
      </c>
      <c r="N328" t="n">
        <v>0</v>
      </c>
      <c r="O328" t="n">
        <v>0</v>
      </c>
      <c r="P328" t="n">
        <v>0</v>
      </c>
      <c r="Q328" t="n">
        <v>0</v>
      </c>
      <c r="R328" s="2" t="inlineStr"/>
    </row>
    <row r="329" ht="15" customHeight="1">
      <c r="A329" t="inlineStr">
        <is>
          <t>A 4240-2025</t>
        </is>
      </c>
      <c r="B329" s="1" t="n">
        <v>45685.5778125</v>
      </c>
      <c r="C329" s="1" t="n">
        <v>46138</v>
      </c>
      <c r="D329" t="inlineStr">
        <is>
          <t>UPPSALA LÄN</t>
        </is>
      </c>
      <c r="E329" t="inlineStr">
        <is>
          <t>UPPSALA</t>
        </is>
      </c>
      <c r="G329" t="n">
        <v>1.2</v>
      </c>
      <c r="H329" t="n">
        <v>0</v>
      </c>
      <c r="I329" t="n">
        <v>0</v>
      </c>
      <c r="J329" t="n">
        <v>0</v>
      </c>
      <c r="K329" t="n">
        <v>0</v>
      </c>
      <c r="L329" t="n">
        <v>0</v>
      </c>
      <c r="M329" t="n">
        <v>0</v>
      </c>
      <c r="N329" t="n">
        <v>0</v>
      </c>
      <c r="O329" t="n">
        <v>0</v>
      </c>
      <c r="P329" t="n">
        <v>0</v>
      </c>
      <c r="Q329" t="n">
        <v>0</v>
      </c>
      <c r="R329" s="2" t="inlineStr"/>
    </row>
    <row r="330" ht="15" customHeight="1">
      <c r="A330" t="inlineStr">
        <is>
          <t>A 48564-2023</t>
        </is>
      </c>
      <c r="B330" s="1" t="n">
        <v>45208.4350462963</v>
      </c>
      <c r="C330" s="1" t="n">
        <v>46138</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21727-2023</t>
        </is>
      </c>
      <c r="B331" s="1" t="n">
        <v>45065.43013888889</v>
      </c>
      <c r="C331" s="1" t="n">
        <v>46138</v>
      </c>
      <c r="D331" t="inlineStr">
        <is>
          <t>UPPSALA LÄN</t>
        </is>
      </c>
      <c r="E331" t="inlineStr">
        <is>
          <t>UPPSALA</t>
        </is>
      </c>
      <c r="G331" t="n">
        <v>1.5</v>
      </c>
      <c r="H331" t="n">
        <v>0</v>
      </c>
      <c r="I331" t="n">
        <v>0</v>
      </c>
      <c r="J331" t="n">
        <v>0</v>
      </c>
      <c r="K331" t="n">
        <v>0</v>
      </c>
      <c r="L331" t="n">
        <v>0</v>
      </c>
      <c r="M331" t="n">
        <v>0</v>
      </c>
      <c r="N331" t="n">
        <v>0</v>
      </c>
      <c r="O331" t="n">
        <v>0</v>
      </c>
      <c r="P331" t="n">
        <v>0</v>
      </c>
      <c r="Q331" t="n">
        <v>0</v>
      </c>
      <c r="R331" s="2" t="inlineStr"/>
    </row>
    <row r="332" ht="15" customHeight="1">
      <c r="A332" t="inlineStr">
        <is>
          <t>A 18668-2024</t>
        </is>
      </c>
      <c r="B332" s="1" t="n">
        <v>45426.34148148148</v>
      </c>
      <c r="C332" s="1" t="n">
        <v>46138</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66686-2021</t>
        </is>
      </c>
      <c r="B333" s="1" t="n">
        <v>44519</v>
      </c>
      <c r="C333" s="1" t="n">
        <v>46138</v>
      </c>
      <c r="D333" t="inlineStr">
        <is>
          <t>UPPSALA LÄN</t>
        </is>
      </c>
      <c r="E333" t="inlineStr">
        <is>
          <t>UPPSALA</t>
        </is>
      </c>
      <c r="G333" t="n">
        <v>6.4</v>
      </c>
      <c r="H333" t="n">
        <v>0</v>
      </c>
      <c r="I333" t="n">
        <v>0</v>
      </c>
      <c r="J333" t="n">
        <v>0</v>
      </c>
      <c r="K333" t="n">
        <v>0</v>
      </c>
      <c r="L333" t="n">
        <v>0</v>
      </c>
      <c r="M333" t="n">
        <v>0</v>
      </c>
      <c r="N333" t="n">
        <v>0</v>
      </c>
      <c r="O333" t="n">
        <v>0</v>
      </c>
      <c r="P333" t="n">
        <v>0</v>
      </c>
      <c r="Q333" t="n">
        <v>0</v>
      </c>
      <c r="R333" s="2" t="inlineStr"/>
    </row>
    <row r="334" ht="15" customHeight="1">
      <c r="A334" t="inlineStr">
        <is>
          <t>A 5006-2022</t>
        </is>
      </c>
      <c r="B334" s="1" t="n">
        <v>44593</v>
      </c>
      <c r="C334" s="1" t="n">
        <v>46138</v>
      </c>
      <c r="D334" t="inlineStr">
        <is>
          <t>UPPSALA LÄN</t>
        </is>
      </c>
      <c r="E334" t="inlineStr">
        <is>
          <t>UPPSALA</t>
        </is>
      </c>
      <c r="F334" t="inlineStr">
        <is>
          <t>BillerudKorsnäs AB</t>
        </is>
      </c>
      <c r="G334" t="n">
        <v>1.4</v>
      </c>
      <c r="H334" t="n">
        <v>0</v>
      </c>
      <c r="I334" t="n">
        <v>0</v>
      </c>
      <c r="J334" t="n">
        <v>0</v>
      </c>
      <c r="K334" t="n">
        <v>0</v>
      </c>
      <c r="L334" t="n">
        <v>0</v>
      </c>
      <c r="M334" t="n">
        <v>0</v>
      </c>
      <c r="N334" t="n">
        <v>0</v>
      </c>
      <c r="O334" t="n">
        <v>0</v>
      </c>
      <c r="P334" t="n">
        <v>0</v>
      </c>
      <c r="Q334" t="n">
        <v>0</v>
      </c>
      <c r="R334" s="2" t="inlineStr"/>
    </row>
    <row r="335" ht="15" customHeight="1">
      <c r="A335" t="inlineStr">
        <is>
          <t>A 32276-2021</t>
        </is>
      </c>
      <c r="B335" s="1" t="n">
        <v>44371.49178240741</v>
      </c>
      <c r="C335" s="1" t="n">
        <v>46138</v>
      </c>
      <c r="D335" t="inlineStr">
        <is>
          <t>UPPSALA LÄN</t>
        </is>
      </c>
      <c r="E335" t="inlineStr">
        <is>
          <t>UPPSALA</t>
        </is>
      </c>
      <c r="G335" t="n">
        <v>3.7</v>
      </c>
      <c r="H335" t="n">
        <v>0</v>
      </c>
      <c r="I335" t="n">
        <v>0</v>
      </c>
      <c r="J335" t="n">
        <v>0</v>
      </c>
      <c r="K335" t="n">
        <v>0</v>
      </c>
      <c r="L335" t="n">
        <v>0</v>
      </c>
      <c r="M335" t="n">
        <v>0</v>
      </c>
      <c r="N335" t="n">
        <v>0</v>
      </c>
      <c r="O335" t="n">
        <v>0</v>
      </c>
      <c r="P335" t="n">
        <v>0</v>
      </c>
      <c r="Q335" t="n">
        <v>0</v>
      </c>
      <c r="R335" s="2" t="inlineStr"/>
    </row>
    <row r="336" ht="15" customHeight="1">
      <c r="A336" t="inlineStr">
        <is>
          <t>A 38469-2025</t>
        </is>
      </c>
      <c r="B336" s="1" t="n">
        <v>45884</v>
      </c>
      <c r="C336" s="1" t="n">
        <v>46138</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32928-2025</t>
        </is>
      </c>
      <c r="B337" s="1" t="n">
        <v>45839</v>
      </c>
      <c r="C337" s="1" t="n">
        <v>46138</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179-2024</t>
        </is>
      </c>
      <c r="B338" s="1" t="n">
        <v>45294.5666550926</v>
      </c>
      <c r="C338" s="1" t="n">
        <v>46138</v>
      </c>
      <c r="D338" t="inlineStr">
        <is>
          <t>UPPSALA LÄN</t>
        </is>
      </c>
      <c r="E338" t="inlineStr">
        <is>
          <t>UPPSALA</t>
        </is>
      </c>
      <c r="F338" t="inlineStr">
        <is>
          <t>Bergvik skog öst AB</t>
        </is>
      </c>
      <c r="G338" t="n">
        <v>12.7</v>
      </c>
      <c r="H338" t="n">
        <v>0</v>
      </c>
      <c r="I338" t="n">
        <v>0</v>
      </c>
      <c r="J338" t="n">
        <v>0</v>
      </c>
      <c r="K338" t="n">
        <v>0</v>
      </c>
      <c r="L338" t="n">
        <v>0</v>
      </c>
      <c r="M338" t="n">
        <v>0</v>
      </c>
      <c r="N338" t="n">
        <v>0</v>
      </c>
      <c r="O338" t="n">
        <v>0</v>
      </c>
      <c r="P338" t="n">
        <v>0</v>
      </c>
      <c r="Q338" t="n">
        <v>0</v>
      </c>
      <c r="R338" s="2" t="inlineStr"/>
    </row>
    <row r="339" ht="15" customHeight="1">
      <c r="A339" t="inlineStr">
        <is>
          <t>A 6549-2025</t>
        </is>
      </c>
      <c r="B339" s="1" t="n">
        <v>45699</v>
      </c>
      <c r="C339" s="1" t="n">
        <v>46138</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6999-2023</t>
        </is>
      </c>
      <c r="B340" s="1" t="n">
        <v>44967.80034722222</v>
      </c>
      <c r="C340" s="1" t="n">
        <v>46138</v>
      </c>
      <c r="D340" t="inlineStr">
        <is>
          <t>UPPSALA LÄN</t>
        </is>
      </c>
      <c r="E340" t="inlineStr">
        <is>
          <t>UPPSALA</t>
        </is>
      </c>
      <c r="G340" t="n">
        <v>1</v>
      </c>
      <c r="H340" t="n">
        <v>0</v>
      </c>
      <c r="I340" t="n">
        <v>0</v>
      </c>
      <c r="J340" t="n">
        <v>0</v>
      </c>
      <c r="K340" t="n">
        <v>0</v>
      </c>
      <c r="L340" t="n">
        <v>0</v>
      </c>
      <c r="M340" t="n">
        <v>0</v>
      </c>
      <c r="N340" t="n">
        <v>0</v>
      </c>
      <c r="O340" t="n">
        <v>0</v>
      </c>
      <c r="P340" t="n">
        <v>0</v>
      </c>
      <c r="Q340" t="n">
        <v>0</v>
      </c>
      <c r="R340" s="2" t="inlineStr"/>
    </row>
    <row r="341" ht="15" customHeight="1">
      <c r="A341" t="inlineStr">
        <is>
          <t>A 7002-2023</t>
        </is>
      </c>
      <c r="B341" s="1" t="n">
        <v>44967</v>
      </c>
      <c r="C341" s="1" t="n">
        <v>46138</v>
      </c>
      <c r="D341" t="inlineStr">
        <is>
          <t>UPPSALA LÄN</t>
        </is>
      </c>
      <c r="E341" t="inlineStr">
        <is>
          <t>UPPSALA</t>
        </is>
      </c>
      <c r="G341" t="n">
        <v>5</v>
      </c>
      <c r="H341" t="n">
        <v>0</v>
      </c>
      <c r="I341" t="n">
        <v>0</v>
      </c>
      <c r="J341" t="n">
        <v>0</v>
      </c>
      <c r="K341" t="n">
        <v>0</v>
      </c>
      <c r="L341" t="n">
        <v>0</v>
      </c>
      <c r="M341" t="n">
        <v>0</v>
      </c>
      <c r="N341" t="n">
        <v>0</v>
      </c>
      <c r="O341" t="n">
        <v>0</v>
      </c>
      <c r="P341" t="n">
        <v>0</v>
      </c>
      <c r="Q341" t="n">
        <v>0</v>
      </c>
      <c r="R341" s="2" t="inlineStr"/>
    </row>
    <row r="342" ht="15" customHeight="1">
      <c r="A342" t="inlineStr">
        <is>
          <t>A 27599-2023</t>
        </is>
      </c>
      <c r="B342" s="1" t="n">
        <v>45097</v>
      </c>
      <c r="C342" s="1" t="n">
        <v>46138</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17211-2025</t>
        </is>
      </c>
      <c r="B343" s="1" t="n">
        <v>45756.44024305556</v>
      </c>
      <c r="C343" s="1" t="n">
        <v>46138</v>
      </c>
      <c r="D343" t="inlineStr">
        <is>
          <t>UPPSALA LÄN</t>
        </is>
      </c>
      <c r="E343" t="inlineStr">
        <is>
          <t>UPPSALA</t>
        </is>
      </c>
      <c r="G343" t="n">
        <v>1.2</v>
      </c>
      <c r="H343" t="n">
        <v>0</v>
      </c>
      <c r="I343" t="n">
        <v>0</v>
      </c>
      <c r="J343" t="n">
        <v>0</v>
      </c>
      <c r="K343" t="n">
        <v>0</v>
      </c>
      <c r="L343" t="n">
        <v>0</v>
      </c>
      <c r="M343" t="n">
        <v>0</v>
      </c>
      <c r="N343" t="n">
        <v>0</v>
      </c>
      <c r="O343" t="n">
        <v>0</v>
      </c>
      <c r="P343" t="n">
        <v>0</v>
      </c>
      <c r="Q343" t="n">
        <v>0</v>
      </c>
      <c r="R343" s="2" t="inlineStr"/>
    </row>
    <row r="344" ht="15" customHeight="1">
      <c r="A344" t="inlineStr">
        <is>
          <t>A 20301-2024</t>
        </is>
      </c>
      <c r="B344" s="1" t="n">
        <v>45435.34778935185</v>
      </c>
      <c r="C344" s="1" t="n">
        <v>46138</v>
      </c>
      <c r="D344" t="inlineStr">
        <is>
          <t>UPPSALA LÄN</t>
        </is>
      </c>
      <c r="E344" t="inlineStr">
        <is>
          <t>UPPSALA</t>
        </is>
      </c>
      <c r="F344" t="inlineStr">
        <is>
          <t>Kyrkan</t>
        </is>
      </c>
      <c r="G344" t="n">
        <v>2.8</v>
      </c>
      <c r="H344" t="n">
        <v>0</v>
      </c>
      <c r="I344" t="n">
        <v>0</v>
      </c>
      <c r="J344" t="n">
        <v>0</v>
      </c>
      <c r="K344" t="n">
        <v>0</v>
      </c>
      <c r="L344" t="n">
        <v>0</v>
      </c>
      <c r="M344" t="n">
        <v>0</v>
      </c>
      <c r="N344" t="n">
        <v>0</v>
      </c>
      <c r="O344" t="n">
        <v>0</v>
      </c>
      <c r="P344" t="n">
        <v>0</v>
      </c>
      <c r="Q344" t="n">
        <v>0</v>
      </c>
      <c r="R344" s="2" t="inlineStr"/>
    </row>
    <row r="345" ht="15" customHeight="1">
      <c r="A345" t="inlineStr">
        <is>
          <t>A 8090-2022</t>
        </is>
      </c>
      <c r="B345" s="1" t="n">
        <v>44608</v>
      </c>
      <c r="C345" s="1" t="n">
        <v>46138</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57714-2022</t>
        </is>
      </c>
      <c r="B346" s="1" t="n">
        <v>44897</v>
      </c>
      <c r="C346" s="1" t="n">
        <v>46138</v>
      </c>
      <c r="D346" t="inlineStr">
        <is>
          <t>UPPSALA LÄN</t>
        </is>
      </c>
      <c r="E346" t="inlineStr">
        <is>
          <t>UPPSALA</t>
        </is>
      </c>
      <c r="G346" t="n">
        <v>8.9</v>
      </c>
      <c r="H346" t="n">
        <v>0</v>
      </c>
      <c r="I346" t="n">
        <v>0</v>
      </c>
      <c r="J346" t="n">
        <v>0</v>
      </c>
      <c r="K346" t="n">
        <v>0</v>
      </c>
      <c r="L346" t="n">
        <v>0</v>
      </c>
      <c r="M346" t="n">
        <v>0</v>
      </c>
      <c r="N346" t="n">
        <v>0</v>
      </c>
      <c r="O346" t="n">
        <v>0</v>
      </c>
      <c r="P346" t="n">
        <v>0</v>
      </c>
      <c r="Q346" t="n">
        <v>0</v>
      </c>
      <c r="R346" s="2" t="inlineStr"/>
    </row>
    <row r="347" ht="15" customHeight="1">
      <c r="A347" t="inlineStr">
        <is>
          <t>A 3260-2024</t>
        </is>
      </c>
      <c r="B347" s="1" t="n">
        <v>45317</v>
      </c>
      <c r="C347" s="1" t="n">
        <v>46138</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39148-2022</t>
        </is>
      </c>
      <c r="B348" s="1" t="n">
        <v>44816</v>
      </c>
      <c r="C348" s="1" t="n">
        <v>46138</v>
      </c>
      <c r="D348" t="inlineStr">
        <is>
          <t>UPPSALA LÄN</t>
        </is>
      </c>
      <c r="E348" t="inlineStr">
        <is>
          <t>UPPSALA</t>
        </is>
      </c>
      <c r="F348" t="inlineStr">
        <is>
          <t>Övriga statliga verk och myndigheter</t>
        </is>
      </c>
      <c r="G348" t="n">
        <v>1.7</v>
      </c>
      <c r="H348" t="n">
        <v>0</v>
      </c>
      <c r="I348" t="n">
        <v>0</v>
      </c>
      <c r="J348" t="n">
        <v>0</v>
      </c>
      <c r="K348" t="n">
        <v>0</v>
      </c>
      <c r="L348" t="n">
        <v>0</v>
      </c>
      <c r="M348" t="n">
        <v>0</v>
      </c>
      <c r="N348" t="n">
        <v>0</v>
      </c>
      <c r="O348" t="n">
        <v>0</v>
      </c>
      <c r="P348" t="n">
        <v>0</v>
      </c>
      <c r="Q348" t="n">
        <v>0</v>
      </c>
      <c r="R348" s="2" t="inlineStr"/>
    </row>
    <row r="349" ht="15" customHeight="1">
      <c r="A349" t="inlineStr">
        <is>
          <t>A 5729-2025</t>
        </is>
      </c>
      <c r="B349" s="1" t="n">
        <v>45694.49037037037</v>
      </c>
      <c r="C349" s="1" t="n">
        <v>46138</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42273-2023</t>
        </is>
      </c>
      <c r="B350" s="1" t="n">
        <v>45180.40255787037</v>
      </c>
      <c r="C350" s="1" t="n">
        <v>46138</v>
      </c>
      <c r="D350" t="inlineStr">
        <is>
          <t>UPPSALA LÄN</t>
        </is>
      </c>
      <c r="E350" t="inlineStr">
        <is>
          <t>UPPSALA</t>
        </is>
      </c>
      <c r="F350" t="inlineStr">
        <is>
          <t>Bergvik skog öst AB</t>
        </is>
      </c>
      <c r="G350" t="n">
        <v>0.9</v>
      </c>
      <c r="H350" t="n">
        <v>0</v>
      </c>
      <c r="I350" t="n">
        <v>0</v>
      </c>
      <c r="J350" t="n">
        <v>0</v>
      </c>
      <c r="K350" t="n">
        <v>0</v>
      </c>
      <c r="L350" t="n">
        <v>0</v>
      </c>
      <c r="M350" t="n">
        <v>0</v>
      </c>
      <c r="N350" t="n">
        <v>0</v>
      </c>
      <c r="O350" t="n">
        <v>0</v>
      </c>
      <c r="P350" t="n">
        <v>0</v>
      </c>
      <c r="Q350" t="n">
        <v>0</v>
      </c>
      <c r="R350" s="2" t="inlineStr"/>
    </row>
    <row r="351" ht="15" customHeight="1">
      <c r="A351" t="inlineStr">
        <is>
          <t>A 53615-2024</t>
        </is>
      </c>
      <c r="B351" s="1" t="n">
        <v>45611</v>
      </c>
      <c r="C351" s="1" t="n">
        <v>46138</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11744-2023</t>
        </is>
      </c>
      <c r="B352" s="1" t="n">
        <v>44993</v>
      </c>
      <c r="C352" s="1" t="n">
        <v>46138</v>
      </c>
      <c r="D352" t="inlineStr">
        <is>
          <t>UPPSALA LÄN</t>
        </is>
      </c>
      <c r="E352" t="inlineStr">
        <is>
          <t>UPPSALA</t>
        </is>
      </c>
      <c r="G352" t="n">
        <v>1.4</v>
      </c>
      <c r="H352" t="n">
        <v>0</v>
      </c>
      <c r="I352" t="n">
        <v>0</v>
      </c>
      <c r="J352" t="n">
        <v>0</v>
      </c>
      <c r="K352" t="n">
        <v>0</v>
      </c>
      <c r="L352" t="n">
        <v>0</v>
      </c>
      <c r="M352" t="n">
        <v>0</v>
      </c>
      <c r="N352" t="n">
        <v>0</v>
      </c>
      <c r="O352" t="n">
        <v>0</v>
      </c>
      <c r="P352" t="n">
        <v>0</v>
      </c>
      <c r="Q352" t="n">
        <v>0</v>
      </c>
      <c r="R352" s="2" t="inlineStr"/>
    </row>
    <row r="353" ht="15" customHeight="1">
      <c r="A353" t="inlineStr">
        <is>
          <t>A 8132-2024</t>
        </is>
      </c>
      <c r="B353" s="1" t="n">
        <v>45351.54596064815</v>
      </c>
      <c r="C353" s="1" t="n">
        <v>46138</v>
      </c>
      <c r="D353" t="inlineStr">
        <is>
          <t>UPPSALA LÄN</t>
        </is>
      </c>
      <c r="E353" t="inlineStr">
        <is>
          <t>UPPSALA</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19380-2023</t>
        </is>
      </c>
      <c r="B354" s="1" t="n">
        <v>45049.66025462963</v>
      </c>
      <c r="C354" s="1" t="n">
        <v>46138</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37618-2023</t>
        </is>
      </c>
      <c r="B355" s="1" t="n">
        <v>45159.44694444445</v>
      </c>
      <c r="C355" s="1" t="n">
        <v>46138</v>
      </c>
      <c r="D355" t="inlineStr">
        <is>
          <t>UPPSALA LÄN</t>
        </is>
      </c>
      <c r="E355" t="inlineStr">
        <is>
          <t>UPPSALA</t>
        </is>
      </c>
      <c r="G355" t="n">
        <v>2.6</v>
      </c>
      <c r="H355" t="n">
        <v>0</v>
      </c>
      <c r="I355" t="n">
        <v>0</v>
      </c>
      <c r="J355" t="n">
        <v>0</v>
      </c>
      <c r="K355" t="n">
        <v>0</v>
      </c>
      <c r="L355" t="n">
        <v>0</v>
      </c>
      <c r="M355" t="n">
        <v>0</v>
      </c>
      <c r="N355" t="n">
        <v>0</v>
      </c>
      <c r="O355" t="n">
        <v>0</v>
      </c>
      <c r="P355" t="n">
        <v>0</v>
      </c>
      <c r="Q355" t="n">
        <v>0</v>
      </c>
      <c r="R355" s="2" t="inlineStr"/>
    </row>
    <row r="356" ht="15" customHeight="1">
      <c r="A356" t="inlineStr">
        <is>
          <t>A 39792-2025</t>
        </is>
      </c>
      <c r="B356" s="1" t="n">
        <v>45891.4865625</v>
      </c>
      <c r="C356" s="1" t="n">
        <v>46138</v>
      </c>
      <c r="D356" t="inlineStr">
        <is>
          <t>UPPSALA LÄN</t>
        </is>
      </c>
      <c r="E356" t="inlineStr">
        <is>
          <t>UPPSALA</t>
        </is>
      </c>
      <c r="G356" t="n">
        <v>0.9</v>
      </c>
      <c r="H356" t="n">
        <v>0</v>
      </c>
      <c r="I356" t="n">
        <v>0</v>
      </c>
      <c r="J356" t="n">
        <v>0</v>
      </c>
      <c r="K356" t="n">
        <v>0</v>
      </c>
      <c r="L356" t="n">
        <v>0</v>
      </c>
      <c r="M356" t="n">
        <v>0</v>
      </c>
      <c r="N356" t="n">
        <v>0</v>
      </c>
      <c r="O356" t="n">
        <v>0</v>
      </c>
      <c r="P356" t="n">
        <v>0</v>
      </c>
      <c r="Q356" t="n">
        <v>0</v>
      </c>
      <c r="R356" s="2" t="inlineStr"/>
    </row>
    <row r="357" ht="15" customHeight="1">
      <c r="A357" t="inlineStr">
        <is>
          <t>A 39777-2025</t>
        </is>
      </c>
      <c r="B357" s="1" t="n">
        <v>45891.46827546296</v>
      </c>
      <c r="C357" s="1" t="n">
        <v>46138</v>
      </c>
      <c r="D357" t="inlineStr">
        <is>
          <t>UPPSALA LÄN</t>
        </is>
      </c>
      <c r="E357" t="inlineStr">
        <is>
          <t>UPPSALA</t>
        </is>
      </c>
      <c r="G357" t="n">
        <v>6.5</v>
      </c>
      <c r="H357" t="n">
        <v>0</v>
      </c>
      <c r="I357" t="n">
        <v>0</v>
      </c>
      <c r="J357" t="n">
        <v>0</v>
      </c>
      <c r="K357" t="n">
        <v>0</v>
      </c>
      <c r="L357" t="n">
        <v>0</v>
      </c>
      <c r="M357" t="n">
        <v>0</v>
      </c>
      <c r="N357" t="n">
        <v>0</v>
      </c>
      <c r="O357" t="n">
        <v>0</v>
      </c>
      <c r="P357" t="n">
        <v>0</v>
      </c>
      <c r="Q357" t="n">
        <v>0</v>
      </c>
      <c r="R357" s="2" t="inlineStr"/>
    </row>
    <row r="358" ht="15" customHeight="1">
      <c r="A358" t="inlineStr">
        <is>
          <t>A 59521-2023</t>
        </is>
      </c>
      <c r="B358" s="1" t="n">
        <v>45254.49552083333</v>
      </c>
      <c r="C358" s="1" t="n">
        <v>46138</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58023-2022</t>
        </is>
      </c>
      <c r="B359" s="1" t="n">
        <v>44900.54711805555</v>
      </c>
      <c r="C359" s="1" t="n">
        <v>46138</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39721-2025</t>
        </is>
      </c>
      <c r="B360" s="1" t="n">
        <v>45891.33204861111</v>
      </c>
      <c r="C360" s="1" t="n">
        <v>46138</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51661-2022</t>
        </is>
      </c>
      <c r="B361" s="1" t="n">
        <v>44872</v>
      </c>
      <c r="C361" s="1" t="n">
        <v>46138</v>
      </c>
      <c r="D361" t="inlineStr">
        <is>
          <t>UPPSALA LÄN</t>
        </is>
      </c>
      <c r="E361" t="inlineStr">
        <is>
          <t>UPPSALA</t>
        </is>
      </c>
      <c r="G361" t="n">
        <v>8.9</v>
      </c>
      <c r="H361" t="n">
        <v>0</v>
      </c>
      <c r="I361" t="n">
        <v>0</v>
      </c>
      <c r="J361" t="n">
        <v>0</v>
      </c>
      <c r="K361" t="n">
        <v>0</v>
      </c>
      <c r="L361" t="n">
        <v>0</v>
      </c>
      <c r="M361" t="n">
        <v>0</v>
      </c>
      <c r="N361" t="n">
        <v>0</v>
      </c>
      <c r="O361" t="n">
        <v>0</v>
      </c>
      <c r="P361" t="n">
        <v>0</v>
      </c>
      <c r="Q361" t="n">
        <v>0</v>
      </c>
      <c r="R361" s="2" t="inlineStr"/>
    </row>
    <row r="362" ht="15" customHeight="1">
      <c r="A362" t="inlineStr">
        <is>
          <t>A 7226-2024</t>
        </is>
      </c>
      <c r="B362" s="1" t="n">
        <v>45344.64759259259</v>
      </c>
      <c r="C362" s="1" t="n">
        <v>46138</v>
      </c>
      <c r="D362" t="inlineStr">
        <is>
          <t>UPPSALA LÄN</t>
        </is>
      </c>
      <c r="E362" t="inlineStr">
        <is>
          <t>UPPSALA</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39529-2025</t>
        </is>
      </c>
      <c r="B363" s="1" t="n">
        <v>45890</v>
      </c>
      <c r="C363" s="1" t="n">
        <v>46138</v>
      </c>
      <c r="D363" t="inlineStr">
        <is>
          <t>UPPSALA LÄN</t>
        </is>
      </c>
      <c r="E363" t="inlineStr">
        <is>
          <t>UPPSALA</t>
        </is>
      </c>
      <c r="F363" t="inlineStr">
        <is>
          <t>Allmännings- och besparingsskogar</t>
        </is>
      </c>
      <c r="G363" t="n">
        <v>3.9</v>
      </c>
      <c r="H363" t="n">
        <v>0</v>
      </c>
      <c r="I363" t="n">
        <v>0</v>
      </c>
      <c r="J363" t="n">
        <v>0</v>
      </c>
      <c r="K363" t="n">
        <v>0</v>
      </c>
      <c r="L363" t="n">
        <v>0</v>
      </c>
      <c r="M363" t="n">
        <v>0</v>
      </c>
      <c r="N363" t="n">
        <v>0</v>
      </c>
      <c r="O363" t="n">
        <v>0</v>
      </c>
      <c r="P363" t="n">
        <v>0</v>
      </c>
      <c r="Q363" t="n">
        <v>0</v>
      </c>
      <c r="R363" s="2" t="inlineStr"/>
    </row>
    <row r="364" ht="15" customHeight="1">
      <c r="A364" t="inlineStr">
        <is>
          <t>A 34243-2021</t>
        </is>
      </c>
      <c r="B364" s="1" t="n">
        <v>44379.56163194445</v>
      </c>
      <c r="C364" s="1" t="n">
        <v>46138</v>
      </c>
      <c r="D364" t="inlineStr">
        <is>
          <t>UPPSALA LÄN</t>
        </is>
      </c>
      <c r="E364" t="inlineStr">
        <is>
          <t>UPPSALA</t>
        </is>
      </c>
      <c r="G364" t="n">
        <v>1.9</v>
      </c>
      <c r="H364" t="n">
        <v>0</v>
      </c>
      <c r="I364" t="n">
        <v>0</v>
      </c>
      <c r="J364" t="n">
        <v>0</v>
      </c>
      <c r="K364" t="n">
        <v>0</v>
      </c>
      <c r="L364" t="n">
        <v>0</v>
      </c>
      <c r="M364" t="n">
        <v>0</v>
      </c>
      <c r="N364" t="n">
        <v>0</v>
      </c>
      <c r="O364" t="n">
        <v>0</v>
      </c>
      <c r="P364" t="n">
        <v>0</v>
      </c>
      <c r="Q364" t="n">
        <v>0</v>
      </c>
      <c r="R364" s="2" t="inlineStr"/>
    </row>
    <row r="365" ht="15" customHeight="1">
      <c r="A365" t="inlineStr">
        <is>
          <t>A 49682-2023</t>
        </is>
      </c>
      <c r="B365" s="1" t="n">
        <v>45212.34997685185</v>
      </c>
      <c r="C365" s="1" t="n">
        <v>46138</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69691-2021</t>
        </is>
      </c>
      <c r="B366" s="1" t="n">
        <v>44532</v>
      </c>
      <c r="C366" s="1" t="n">
        <v>46138</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57871-2024</t>
        </is>
      </c>
      <c r="B367" s="1" t="n">
        <v>45631.44464120371</v>
      </c>
      <c r="C367" s="1" t="n">
        <v>46138</v>
      </c>
      <c r="D367" t="inlineStr">
        <is>
          <t>UPPSALA LÄN</t>
        </is>
      </c>
      <c r="E367" t="inlineStr">
        <is>
          <t>UPPSALA</t>
        </is>
      </c>
      <c r="G367" t="n">
        <v>2.9</v>
      </c>
      <c r="H367" t="n">
        <v>0</v>
      </c>
      <c r="I367" t="n">
        <v>0</v>
      </c>
      <c r="J367" t="n">
        <v>0</v>
      </c>
      <c r="K367" t="n">
        <v>0</v>
      </c>
      <c r="L367" t="n">
        <v>0</v>
      </c>
      <c r="M367" t="n">
        <v>0</v>
      </c>
      <c r="N367" t="n">
        <v>0</v>
      </c>
      <c r="O367" t="n">
        <v>0</v>
      </c>
      <c r="P367" t="n">
        <v>0</v>
      </c>
      <c r="Q367" t="n">
        <v>0</v>
      </c>
      <c r="R367" s="2" t="inlineStr"/>
    </row>
    <row r="368" ht="15" customHeight="1">
      <c r="A368" t="inlineStr">
        <is>
          <t>A 5362-2023</t>
        </is>
      </c>
      <c r="B368" s="1" t="n">
        <v>44944</v>
      </c>
      <c r="C368" s="1" t="n">
        <v>46138</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26762-2023</t>
        </is>
      </c>
      <c r="B369" s="1" t="n">
        <v>45093.46706018518</v>
      </c>
      <c r="C369" s="1" t="n">
        <v>46138</v>
      </c>
      <c r="D369" t="inlineStr">
        <is>
          <t>UPPSALA LÄN</t>
        </is>
      </c>
      <c r="E369" t="inlineStr">
        <is>
          <t>UPPSALA</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40610-2025</t>
        </is>
      </c>
      <c r="B370" s="1" t="n">
        <v>45896.57368055556</v>
      </c>
      <c r="C370" s="1" t="n">
        <v>46138</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19345-2025</t>
        </is>
      </c>
      <c r="B371" s="1" t="n">
        <v>45769.6009375</v>
      </c>
      <c r="C371" s="1" t="n">
        <v>46138</v>
      </c>
      <c r="D371" t="inlineStr">
        <is>
          <t>UPPSALA LÄN</t>
        </is>
      </c>
      <c r="E371" t="inlineStr">
        <is>
          <t>UPPSALA</t>
        </is>
      </c>
      <c r="G371" t="n">
        <v>1.8</v>
      </c>
      <c r="H371" t="n">
        <v>0</v>
      </c>
      <c r="I371" t="n">
        <v>0</v>
      </c>
      <c r="J371" t="n">
        <v>0</v>
      </c>
      <c r="K371" t="n">
        <v>0</v>
      </c>
      <c r="L371" t="n">
        <v>0</v>
      </c>
      <c r="M371" t="n">
        <v>0</v>
      </c>
      <c r="N371" t="n">
        <v>0</v>
      </c>
      <c r="O371" t="n">
        <v>0</v>
      </c>
      <c r="P371" t="n">
        <v>0</v>
      </c>
      <c r="Q371" t="n">
        <v>0</v>
      </c>
      <c r="R371" s="2" t="inlineStr"/>
    </row>
    <row r="372" ht="15" customHeight="1">
      <c r="A372" t="inlineStr">
        <is>
          <t>A 7058-2023</t>
        </is>
      </c>
      <c r="B372" s="1" t="n">
        <v>44969</v>
      </c>
      <c r="C372" s="1" t="n">
        <v>46138</v>
      </c>
      <c r="D372" t="inlineStr">
        <is>
          <t>UPPSALA LÄN</t>
        </is>
      </c>
      <c r="E372" t="inlineStr">
        <is>
          <t>UPPSALA</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40504-2025</t>
        </is>
      </c>
      <c r="B373" s="1" t="n">
        <v>45896</v>
      </c>
      <c r="C373" s="1" t="n">
        <v>46138</v>
      </c>
      <c r="D373" t="inlineStr">
        <is>
          <t>UPPSALA LÄN</t>
        </is>
      </c>
      <c r="E373" t="inlineStr">
        <is>
          <t>UPPSALA</t>
        </is>
      </c>
      <c r="G373" t="n">
        <v>4.4</v>
      </c>
      <c r="H373" t="n">
        <v>0</v>
      </c>
      <c r="I373" t="n">
        <v>0</v>
      </c>
      <c r="J373" t="n">
        <v>0</v>
      </c>
      <c r="K373" t="n">
        <v>0</v>
      </c>
      <c r="L373" t="n">
        <v>0</v>
      </c>
      <c r="M373" t="n">
        <v>0</v>
      </c>
      <c r="N373" t="n">
        <v>0</v>
      </c>
      <c r="O373" t="n">
        <v>0</v>
      </c>
      <c r="P373" t="n">
        <v>0</v>
      </c>
      <c r="Q373" t="n">
        <v>0</v>
      </c>
      <c r="R373" s="2" t="inlineStr"/>
    </row>
    <row r="374" ht="15" customHeight="1">
      <c r="A374" t="inlineStr">
        <is>
          <t>A 16811-2023</t>
        </is>
      </c>
      <c r="B374" s="1" t="n">
        <v>45033</v>
      </c>
      <c r="C374" s="1" t="n">
        <v>46138</v>
      </c>
      <c r="D374" t="inlineStr">
        <is>
          <t>UPPSALA LÄN</t>
        </is>
      </c>
      <c r="E374" t="inlineStr">
        <is>
          <t>UPPSALA</t>
        </is>
      </c>
      <c r="G374" t="n">
        <v>10.1</v>
      </c>
      <c r="H374" t="n">
        <v>0</v>
      </c>
      <c r="I374" t="n">
        <v>0</v>
      </c>
      <c r="J374" t="n">
        <v>0</v>
      </c>
      <c r="K374" t="n">
        <v>0</v>
      </c>
      <c r="L374" t="n">
        <v>0</v>
      </c>
      <c r="M374" t="n">
        <v>0</v>
      </c>
      <c r="N374" t="n">
        <v>0</v>
      </c>
      <c r="O374" t="n">
        <v>0</v>
      </c>
      <c r="P374" t="n">
        <v>0</v>
      </c>
      <c r="Q374" t="n">
        <v>0</v>
      </c>
      <c r="R374" s="2" t="inlineStr"/>
    </row>
    <row r="375" ht="15" customHeight="1">
      <c r="A375" t="inlineStr">
        <is>
          <t>A 18410-2025</t>
        </is>
      </c>
      <c r="B375" s="1" t="n">
        <v>45762.61341435185</v>
      </c>
      <c r="C375" s="1" t="n">
        <v>46138</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62471-2021</t>
        </is>
      </c>
      <c r="B376" s="1" t="n">
        <v>44503</v>
      </c>
      <c r="C376" s="1" t="n">
        <v>46138</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40606-2025</t>
        </is>
      </c>
      <c r="B377" s="1" t="n">
        <v>45896.57171296296</v>
      </c>
      <c r="C377" s="1" t="n">
        <v>46138</v>
      </c>
      <c r="D377" t="inlineStr">
        <is>
          <t>UPPSALA LÄN</t>
        </is>
      </c>
      <c r="E377" t="inlineStr">
        <is>
          <t>UPPSALA</t>
        </is>
      </c>
      <c r="G377" t="n">
        <v>3.2</v>
      </c>
      <c r="H377" t="n">
        <v>0</v>
      </c>
      <c r="I377" t="n">
        <v>0</v>
      </c>
      <c r="J377" t="n">
        <v>0</v>
      </c>
      <c r="K377" t="n">
        <v>0</v>
      </c>
      <c r="L377" t="n">
        <v>0</v>
      </c>
      <c r="M377" t="n">
        <v>0</v>
      </c>
      <c r="N377" t="n">
        <v>0</v>
      </c>
      <c r="O377" t="n">
        <v>0</v>
      </c>
      <c r="P377" t="n">
        <v>0</v>
      </c>
      <c r="Q377" t="n">
        <v>0</v>
      </c>
      <c r="R377" s="2" t="inlineStr"/>
    </row>
    <row r="378" ht="15" customHeight="1">
      <c r="A378" t="inlineStr">
        <is>
          <t>A 40501-2025</t>
        </is>
      </c>
      <c r="B378" s="1" t="n">
        <v>45896</v>
      </c>
      <c r="C378" s="1" t="n">
        <v>46138</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40855-2025</t>
        </is>
      </c>
      <c r="B379" s="1" t="n">
        <v>45897</v>
      </c>
      <c r="C379" s="1" t="n">
        <v>46138</v>
      </c>
      <c r="D379" t="inlineStr">
        <is>
          <t>UPPSALA LÄN</t>
        </is>
      </c>
      <c r="E379" t="inlineStr">
        <is>
          <t>UPPSALA</t>
        </is>
      </c>
      <c r="G379" t="n">
        <v>2.9</v>
      </c>
      <c r="H379" t="n">
        <v>0</v>
      </c>
      <c r="I379" t="n">
        <v>0</v>
      </c>
      <c r="J379" t="n">
        <v>0</v>
      </c>
      <c r="K379" t="n">
        <v>0</v>
      </c>
      <c r="L379" t="n">
        <v>0</v>
      </c>
      <c r="M379" t="n">
        <v>0</v>
      </c>
      <c r="N379" t="n">
        <v>0</v>
      </c>
      <c r="O379" t="n">
        <v>0</v>
      </c>
      <c r="P379" t="n">
        <v>0</v>
      </c>
      <c r="Q379" t="n">
        <v>0</v>
      </c>
      <c r="R379" s="2" t="inlineStr"/>
    </row>
    <row r="380" ht="15" customHeight="1">
      <c r="A380" t="inlineStr">
        <is>
          <t>A 12606-2023</t>
        </is>
      </c>
      <c r="B380" s="1" t="n">
        <v>45000.44666666666</v>
      </c>
      <c r="C380" s="1" t="n">
        <v>46138</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6602-2023</t>
        </is>
      </c>
      <c r="B381" s="1" t="n">
        <v>44966</v>
      </c>
      <c r="C381" s="1" t="n">
        <v>46138</v>
      </c>
      <c r="D381" t="inlineStr">
        <is>
          <t>UPPSALA LÄN</t>
        </is>
      </c>
      <c r="E381" t="inlineStr">
        <is>
          <t>UPPSALA</t>
        </is>
      </c>
      <c r="F381" t="inlineStr">
        <is>
          <t>Allmännings- och besparingsskogar</t>
        </is>
      </c>
      <c r="G381" t="n">
        <v>20.2</v>
      </c>
      <c r="H381" t="n">
        <v>0</v>
      </c>
      <c r="I381" t="n">
        <v>0</v>
      </c>
      <c r="J381" t="n">
        <v>0</v>
      </c>
      <c r="K381" t="n">
        <v>0</v>
      </c>
      <c r="L381" t="n">
        <v>0</v>
      </c>
      <c r="M381" t="n">
        <v>0</v>
      </c>
      <c r="N381" t="n">
        <v>0</v>
      </c>
      <c r="O381" t="n">
        <v>0</v>
      </c>
      <c r="P381" t="n">
        <v>0</v>
      </c>
      <c r="Q381" t="n">
        <v>0</v>
      </c>
      <c r="R381" s="2" t="inlineStr"/>
    </row>
    <row r="382" ht="15" customHeight="1">
      <c r="A382" t="inlineStr">
        <is>
          <t>A 40639-2025</t>
        </is>
      </c>
      <c r="B382" s="1" t="n">
        <v>45896.61050925926</v>
      </c>
      <c r="C382" s="1" t="n">
        <v>46138</v>
      </c>
      <c r="D382" t="inlineStr">
        <is>
          <t>UPPSALA LÄN</t>
        </is>
      </c>
      <c r="E382" t="inlineStr">
        <is>
          <t>UPPSALA</t>
        </is>
      </c>
      <c r="G382" t="n">
        <v>6.9</v>
      </c>
      <c r="H382" t="n">
        <v>0</v>
      </c>
      <c r="I382" t="n">
        <v>0</v>
      </c>
      <c r="J382" t="n">
        <v>0</v>
      </c>
      <c r="K382" t="n">
        <v>0</v>
      </c>
      <c r="L382" t="n">
        <v>0</v>
      </c>
      <c r="M382" t="n">
        <v>0</v>
      </c>
      <c r="N382" t="n">
        <v>0</v>
      </c>
      <c r="O382" t="n">
        <v>0</v>
      </c>
      <c r="P382" t="n">
        <v>0</v>
      </c>
      <c r="Q382" t="n">
        <v>0</v>
      </c>
      <c r="R382" s="2" t="inlineStr"/>
    </row>
    <row r="383" ht="15" customHeight="1">
      <c r="A383" t="inlineStr">
        <is>
          <t>A 53893-2023</t>
        </is>
      </c>
      <c r="B383" s="1" t="n">
        <v>45231</v>
      </c>
      <c r="C383" s="1" t="n">
        <v>46138</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41444-2025</t>
        </is>
      </c>
      <c r="B384" s="1" t="n">
        <v>45901.41756944444</v>
      </c>
      <c r="C384" s="1" t="n">
        <v>46138</v>
      </c>
      <c r="D384" t="inlineStr">
        <is>
          <t>UPPSALA LÄN</t>
        </is>
      </c>
      <c r="E384" t="inlineStr">
        <is>
          <t>UPPSALA</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40325-2023</t>
        </is>
      </c>
      <c r="B385" s="1" t="n">
        <v>45169</v>
      </c>
      <c r="C385" s="1" t="n">
        <v>46138</v>
      </c>
      <c r="D385" t="inlineStr">
        <is>
          <t>UPPSALA LÄN</t>
        </is>
      </c>
      <c r="E385" t="inlineStr">
        <is>
          <t>UPPSALA</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44115-2023</t>
        </is>
      </c>
      <c r="B386" s="1" t="n">
        <v>45188</v>
      </c>
      <c r="C386" s="1" t="n">
        <v>46138</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42063-2023</t>
        </is>
      </c>
      <c r="B387" s="1" t="n">
        <v>45177.56940972222</v>
      </c>
      <c r="C387" s="1" t="n">
        <v>46138</v>
      </c>
      <c r="D387" t="inlineStr">
        <is>
          <t>UPPSALA LÄN</t>
        </is>
      </c>
      <c r="E387" t="inlineStr">
        <is>
          <t>UPPSALA</t>
        </is>
      </c>
      <c r="G387" t="n">
        <v>5.6</v>
      </c>
      <c r="H387" t="n">
        <v>0</v>
      </c>
      <c r="I387" t="n">
        <v>0</v>
      </c>
      <c r="J387" t="n">
        <v>0</v>
      </c>
      <c r="K387" t="n">
        <v>0</v>
      </c>
      <c r="L387" t="n">
        <v>0</v>
      </c>
      <c r="M387" t="n">
        <v>0</v>
      </c>
      <c r="N387" t="n">
        <v>0</v>
      </c>
      <c r="O387" t="n">
        <v>0</v>
      </c>
      <c r="P387" t="n">
        <v>0</v>
      </c>
      <c r="Q387" t="n">
        <v>0</v>
      </c>
      <c r="R387" s="2" t="inlineStr"/>
    </row>
    <row r="388" ht="15" customHeight="1">
      <c r="A388" t="inlineStr">
        <is>
          <t>A 74493-2021</t>
        </is>
      </c>
      <c r="B388" s="1" t="n">
        <v>44560</v>
      </c>
      <c r="C388" s="1" t="n">
        <v>46138</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50395-2023</t>
        </is>
      </c>
      <c r="B389" s="1" t="n">
        <v>45216</v>
      </c>
      <c r="C389" s="1" t="n">
        <v>46138</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4412-2024</t>
        </is>
      </c>
      <c r="B390" s="1" t="n">
        <v>45327</v>
      </c>
      <c r="C390" s="1" t="n">
        <v>46138</v>
      </c>
      <c r="D390" t="inlineStr">
        <is>
          <t>UPPSALA LÄN</t>
        </is>
      </c>
      <c r="E390" t="inlineStr">
        <is>
          <t>UPPSALA</t>
        </is>
      </c>
      <c r="G390" t="n">
        <v>5.4</v>
      </c>
      <c r="H390" t="n">
        <v>0</v>
      </c>
      <c r="I390" t="n">
        <v>0</v>
      </c>
      <c r="J390" t="n">
        <v>0</v>
      </c>
      <c r="K390" t="n">
        <v>0</v>
      </c>
      <c r="L390" t="n">
        <v>0</v>
      </c>
      <c r="M390" t="n">
        <v>0</v>
      </c>
      <c r="N390" t="n">
        <v>0</v>
      </c>
      <c r="O390" t="n">
        <v>0</v>
      </c>
      <c r="P390" t="n">
        <v>0</v>
      </c>
      <c r="Q390" t="n">
        <v>0</v>
      </c>
      <c r="R390" s="2" t="inlineStr"/>
    </row>
    <row r="391" ht="15" customHeight="1">
      <c r="A391" t="inlineStr">
        <is>
          <t>A 17481-2023</t>
        </is>
      </c>
      <c r="B391" s="1" t="n">
        <v>45036</v>
      </c>
      <c r="C391" s="1" t="n">
        <v>46138</v>
      </c>
      <c r="D391" t="inlineStr">
        <is>
          <t>UPPSALA LÄN</t>
        </is>
      </c>
      <c r="E391" t="inlineStr">
        <is>
          <t>UPPSALA</t>
        </is>
      </c>
      <c r="G391" t="n">
        <v>1.9</v>
      </c>
      <c r="H391" t="n">
        <v>0</v>
      </c>
      <c r="I391" t="n">
        <v>0</v>
      </c>
      <c r="J391" t="n">
        <v>0</v>
      </c>
      <c r="K391" t="n">
        <v>0</v>
      </c>
      <c r="L391" t="n">
        <v>0</v>
      </c>
      <c r="M391" t="n">
        <v>0</v>
      </c>
      <c r="N391" t="n">
        <v>0</v>
      </c>
      <c r="O391" t="n">
        <v>0</v>
      </c>
      <c r="P391" t="n">
        <v>0</v>
      </c>
      <c r="Q391" t="n">
        <v>0</v>
      </c>
      <c r="R391" s="2" t="inlineStr"/>
    </row>
    <row r="392" ht="15" customHeight="1">
      <c r="A392" t="inlineStr">
        <is>
          <t>A 8404-2022</t>
        </is>
      </c>
      <c r="B392" s="1" t="n">
        <v>44610</v>
      </c>
      <c r="C392" s="1" t="n">
        <v>46138</v>
      </c>
      <c r="D392" t="inlineStr">
        <is>
          <t>UPPSALA LÄN</t>
        </is>
      </c>
      <c r="E392" t="inlineStr">
        <is>
          <t>UPPSALA</t>
        </is>
      </c>
      <c r="F392" t="inlineStr">
        <is>
          <t>Allmännings- och besparingsskogar</t>
        </is>
      </c>
      <c r="G392" t="n">
        <v>5.4</v>
      </c>
      <c r="H392" t="n">
        <v>0</v>
      </c>
      <c r="I392" t="n">
        <v>0</v>
      </c>
      <c r="J392" t="n">
        <v>0</v>
      </c>
      <c r="K392" t="n">
        <v>0</v>
      </c>
      <c r="L392" t="n">
        <v>0</v>
      </c>
      <c r="M392" t="n">
        <v>0</v>
      </c>
      <c r="N392" t="n">
        <v>0</v>
      </c>
      <c r="O392" t="n">
        <v>0</v>
      </c>
      <c r="P392" t="n">
        <v>0</v>
      </c>
      <c r="Q392" t="n">
        <v>0</v>
      </c>
      <c r="R392" s="2" t="inlineStr"/>
    </row>
    <row r="393" ht="15" customHeight="1">
      <c r="A393" t="inlineStr">
        <is>
          <t>A 2695-2025</t>
        </is>
      </c>
      <c r="B393" s="1" t="n">
        <v>45677.39440972222</v>
      </c>
      <c r="C393" s="1" t="n">
        <v>46138</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9313-2023</t>
        </is>
      </c>
      <c r="B394" s="1" t="n">
        <v>44980</v>
      </c>
      <c r="C394" s="1" t="n">
        <v>46138</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39818-2024</t>
        </is>
      </c>
      <c r="B395" s="1" t="n">
        <v>45552</v>
      </c>
      <c r="C395" s="1" t="n">
        <v>46138</v>
      </c>
      <c r="D395" t="inlineStr">
        <is>
          <t>UPPSALA LÄN</t>
        </is>
      </c>
      <c r="E395" t="inlineStr">
        <is>
          <t>UPPSALA</t>
        </is>
      </c>
      <c r="G395" t="n">
        <v>1.9</v>
      </c>
      <c r="H395" t="n">
        <v>0</v>
      </c>
      <c r="I395" t="n">
        <v>0</v>
      </c>
      <c r="J395" t="n">
        <v>0</v>
      </c>
      <c r="K395" t="n">
        <v>0</v>
      </c>
      <c r="L395" t="n">
        <v>0</v>
      </c>
      <c r="M395" t="n">
        <v>0</v>
      </c>
      <c r="N395" t="n">
        <v>0</v>
      </c>
      <c r="O395" t="n">
        <v>0</v>
      </c>
      <c r="P395" t="n">
        <v>0</v>
      </c>
      <c r="Q395" t="n">
        <v>0</v>
      </c>
      <c r="R395" s="2" t="inlineStr"/>
    </row>
    <row r="396" ht="15" customHeight="1">
      <c r="A396" t="inlineStr">
        <is>
          <t>A 41445-2025</t>
        </is>
      </c>
      <c r="B396" s="1" t="n">
        <v>45901.41853009259</v>
      </c>
      <c r="C396" s="1" t="n">
        <v>46138</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18607-2024</t>
        </is>
      </c>
      <c r="B397" s="1" t="n">
        <v>45425.94947916667</v>
      </c>
      <c r="C397" s="1" t="n">
        <v>46138</v>
      </c>
      <c r="D397" t="inlineStr">
        <is>
          <t>UPPSALA LÄN</t>
        </is>
      </c>
      <c r="E397" t="inlineStr">
        <is>
          <t>UPPSALA</t>
        </is>
      </c>
      <c r="G397" t="n">
        <v>4.3</v>
      </c>
      <c r="H397" t="n">
        <v>0</v>
      </c>
      <c r="I397" t="n">
        <v>0</v>
      </c>
      <c r="J397" t="n">
        <v>0</v>
      </c>
      <c r="K397" t="n">
        <v>0</v>
      </c>
      <c r="L397" t="n">
        <v>0</v>
      </c>
      <c r="M397" t="n">
        <v>0</v>
      </c>
      <c r="N397" t="n">
        <v>0</v>
      </c>
      <c r="O397" t="n">
        <v>0</v>
      </c>
      <c r="P397" t="n">
        <v>0</v>
      </c>
      <c r="Q397" t="n">
        <v>0</v>
      </c>
      <c r="R397" s="2" t="inlineStr"/>
    </row>
    <row r="398" ht="15" customHeight="1">
      <c r="A398" t="inlineStr">
        <is>
          <t>A 56872-2023</t>
        </is>
      </c>
      <c r="B398" s="1" t="n">
        <v>45244.52202546296</v>
      </c>
      <c r="C398" s="1" t="n">
        <v>46138</v>
      </c>
      <c r="D398" t="inlineStr">
        <is>
          <t>UPPSALA LÄN</t>
        </is>
      </c>
      <c r="E398" t="inlineStr">
        <is>
          <t>UPPSALA</t>
        </is>
      </c>
      <c r="F398" t="inlineStr">
        <is>
          <t>Holmen skog AB</t>
        </is>
      </c>
      <c r="G398" t="n">
        <v>3.5</v>
      </c>
      <c r="H398" t="n">
        <v>0</v>
      </c>
      <c r="I398" t="n">
        <v>0</v>
      </c>
      <c r="J398" t="n">
        <v>0</v>
      </c>
      <c r="K398" t="n">
        <v>0</v>
      </c>
      <c r="L398" t="n">
        <v>0</v>
      </c>
      <c r="M398" t="n">
        <v>0</v>
      </c>
      <c r="N398" t="n">
        <v>0</v>
      </c>
      <c r="O398" t="n">
        <v>0</v>
      </c>
      <c r="P398" t="n">
        <v>0</v>
      </c>
      <c r="Q398" t="n">
        <v>0</v>
      </c>
      <c r="R398" s="2" t="inlineStr"/>
    </row>
    <row r="399" ht="15" customHeight="1">
      <c r="A399" t="inlineStr">
        <is>
          <t>A 5204-2025</t>
        </is>
      </c>
      <c r="B399" s="1" t="n">
        <v>45691</v>
      </c>
      <c r="C399" s="1" t="n">
        <v>46138</v>
      </c>
      <c r="D399" t="inlineStr">
        <is>
          <t>UPPSALA LÄN</t>
        </is>
      </c>
      <c r="E399" t="inlineStr">
        <is>
          <t>UPPSALA</t>
        </is>
      </c>
      <c r="G399" t="n">
        <v>3.7</v>
      </c>
      <c r="H399" t="n">
        <v>0</v>
      </c>
      <c r="I399" t="n">
        <v>0</v>
      </c>
      <c r="J399" t="n">
        <v>0</v>
      </c>
      <c r="K399" t="n">
        <v>0</v>
      </c>
      <c r="L399" t="n">
        <v>0</v>
      </c>
      <c r="M399" t="n">
        <v>0</v>
      </c>
      <c r="N399" t="n">
        <v>0</v>
      </c>
      <c r="O399" t="n">
        <v>0</v>
      </c>
      <c r="P399" t="n">
        <v>0</v>
      </c>
      <c r="Q399" t="n">
        <v>0</v>
      </c>
      <c r="R399" s="2" t="inlineStr"/>
    </row>
    <row r="400" ht="15" customHeight="1">
      <c r="A400" t="inlineStr">
        <is>
          <t>A 15629-2023</t>
        </is>
      </c>
      <c r="B400" s="1" t="n">
        <v>45021.29524305555</v>
      </c>
      <c r="C400" s="1" t="n">
        <v>46138</v>
      </c>
      <c r="D400" t="inlineStr">
        <is>
          <t>UPPSALA LÄN</t>
        </is>
      </c>
      <c r="E400" t="inlineStr">
        <is>
          <t>UPPSALA</t>
        </is>
      </c>
      <c r="F400" t="inlineStr">
        <is>
          <t>Övriga Aktiebolag</t>
        </is>
      </c>
      <c r="G400" t="n">
        <v>7</v>
      </c>
      <c r="H400" t="n">
        <v>0</v>
      </c>
      <c r="I400" t="n">
        <v>0</v>
      </c>
      <c r="J400" t="n">
        <v>0</v>
      </c>
      <c r="K400" t="n">
        <v>0</v>
      </c>
      <c r="L400" t="n">
        <v>0</v>
      </c>
      <c r="M400" t="n">
        <v>0</v>
      </c>
      <c r="N400" t="n">
        <v>0</v>
      </c>
      <c r="O400" t="n">
        <v>0</v>
      </c>
      <c r="P400" t="n">
        <v>0</v>
      </c>
      <c r="Q400" t="n">
        <v>0</v>
      </c>
      <c r="R400" s="2" t="inlineStr"/>
    </row>
    <row r="401" ht="15" customHeight="1">
      <c r="A401" t="inlineStr">
        <is>
          <t>A 5678-2023</t>
        </is>
      </c>
      <c r="B401" s="1" t="n">
        <v>44960</v>
      </c>
      <c r="C401" s="1" t="n">
        <v>46138</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46796-2024</t>
        </is>
      </c>
      <c r="B402" s="1" t="n">
        <v>45583</v>
      </c>
      <c r="C402" s="1" t="n">
        <v>46138</v>
      </c>
      <c r="D402" t="inlineStr">
        <is>
          <t>UPPSALA LÄN</t>
        </is>
      </c>
      <c r="E402" t="inlineStr">
        <is>
          <t>UPPSALA</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341-2024</t>
        </is>
      </c>
      <c r="B403" s="1" t="n">
        <v>45295</v>
      </c>
      <c r="C403" s="1" t="n">
        <v>46138</v>
      </c>
      <c r="D403" t="inlineStr">
        <is>
          <t>UPPSALA LÄN</t>
        </is>
      </c>
      <c r="E403" t="inlineStr">
        <is>
          <t>UPPSALA</t>
        </is>
      </c>
      <c r="F403" t="inlineStr">
        <is>
          <t>Allmännings- och besparingsskogar</t>
        </is>
      </c>
      <c r="G403" t="n">
        <v>1.8</v>
      </c>
      <c r="H403" t="n">
        <v>0</v>
      </c>
      <c r="I403" t="n">
        <v>0</v>
      </c>
      <c r="J403" t="n">
        <v>0</v>
      </c>
      <c r="K403" t="n">
        <v>0</v>
      </c>
      <c r="L403" t="n">
        <v>0</v>
      </c>
      <c r="M403" t="n">
        <v>0</v>
      </c>
      <c r="N403" t="n">
        <v>0</v>
      </c>
      <c r="O403" t="n">
        <v>0</v>
      </c>
      <c r="P403" t="n">
        <v>0</v>
      </c>
      <c r="Q403" t="n">
        <v>0</v>
      </c>
      <c r="R403" s="2" t="inlineStr"/>
    </row>
    <row r="404" ht="15" customHeight="1">
      <c r="A404" t="inlineStr">
        <is>
          <t>A 41954-2025</t>
        </is>
      </c>
      <c r="B404" s="1" t="n">
        <v>45903</v>
      </c>
      <c r="C404" s="1" t="n">
        <v>46138</v>
      </c>
      <c r="D404" t="inlineStr">
        <is>
          <t>UPPSALA LÄN</t>
        </is>
      </c>
      <c r="E404" t="inlineStr">
        <is>
          <t>UPPSALA</t>
        </is>
      </c>
      <c r="G404" t="n">
        <v>7.5</v>
      </c>
      <c r="H404" t="n">
        <v>0</v>
      </c>
      <c r="I404" t="n">
        <v>0</v>
      </c>
      <c r="J404" t="n">
        <v>0</v>
      </c>
      <c r="K404" t="n">
        <v>0</v>
      </c>
      <c r="L404" t="n">
        <v>0</v>
      </c>
      <c r="M404" t="n">
        <v>0</v>
      </c>
      <c r="N404" t="n">
        <v>0</v>
      </c>
      <c r="O404" t="n">
        <v>0</v>
      </c>
      <c r="P404" t="n">
        <v>0</v>
      </c>
      <c r="Q404" t="n">
        <v>0</v>
      </c>
      <c r="R404" s="2" t="inlineStr"/>
    </row>
    <row r="405" ht="15" customHeight="1">
      <c r="A405" t="inlineStr">
        <is>
          <t>A 20497-2022</t>
        </is>
      </c>
      <c r="B405" s="1" t="n">
        <v>44699</v>
      </c>
      <c r="C405" s="1" t="n">
        <v>46138</v>
      </c>
      <c r="D405" t="inlineStr">
        <is>
          <t>UPPSALA LÄN</t>
        </is>
      </c>
      <c r="E405" t="inlineStr">
        <is>
          <t>UPPSALA</t>
        </is>
      </c>
      <c r="F405" t="inlineStr">
        <is>
          <t>Övriga statliga verk och myndigheter</t>
        </is>
      </c>
      <c r="G405" t="n">
        <v>1</v>
      </c>
      <c r="H405" t="n">
        <v>0</v>
      </c>
      <c r="I405" t="n">
        <v>0</v>
      </c>
      <c r="J405" t="n">
        <v>0</v>
      </c>
      <c r="K405" t="n">
        <v>0</v>
      </c>
      <c r="L405" t="n">
        <v>0</v>
      </c>
      <c r="M405" t="n">
        <v>0</v>
      </c>
      <c r="N405" t="n">
        <v>0</v>
      </c>
      <c r="O405" t="n">
        <v>0</v>
      </c>
      <c r="P405" t="n">
        <v>0</v>
      </c>
      <c r="Q405" t="n">
        <v>0</v>
      </c>
      <c r="R405" s="2" t="inlineStr"/>
    </row>
    <row r="406" ht="15" customHeight="1">
      <c r="A406" t="inlineStr">
        <is>
          <t>A 23291-2024</t>
        </is>
      </c>
      <c r="B406" s="1" t="n">
        <v>45453</v>
      </c>
      <c r="C406" s="1" t="n">
        <v>46138</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59562-2024</t>
        </is>
      </c>
      <c r="B407" s="1" t="n">
        <v>45638</v>
      </c>
      <c r="C407" s="1" t="n">
        <v>46138</v>
      </c>
      <c r="D407" t="inlineStr">
        <is>
          <t>UPPSALA LÄN</t>
        </is>
      </c>
      <c r="E407" t="inlineStr">
        <is>
          <t>UPPSALA</t>
        </is>
      </c>
      <c r="G407" t="n">
        <v>1.1</v>
      </c>
      <c r="H407" t="n">
        <v>0</v>
      </c>
      <c r="I407" t="n">
        <v>0</v>
      </c>
      <c r="J407" t="n">
        <v>0</v>
      </c>
      <c r="K407" t="n">
        <v>0</v>
      </c>
      <c r="L407" t="n">
        <v>0</v>
      </c>
      <c r="M407" t="n">
        <v>0</v>
      </c>
      <c r="N407" t="n">
        <v>0</v>
      </c>
      <c r="O407" t="n">
        <v>0</v>
      </c>
      <c r="P407" t="n">
        <v>0</v>
      </c>
      <c r="Q407" t="n">
        <v>0</v>
      </c>
      <c r="R407" s="2" t="inlineStr"/>
    </row>
    <row r="408" ht="15" customHeight="1">
      <c r="A408" t="inlineStr">
        <is>
          <t>A 10827-2024</t>
        </is>
      </c>
      <c r="B408" s="1" t="n">
        <v>45369</v>
      </c>
      <c r="C408" s="1" t="n">
        <v>46138</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20797-2025</t>
        </is>
      </c>
      <c r="B409" s="1" t="n">
        <v>45776.6415162037</v>
      </c>
      <c r="C409" s="1" t="n">
        <v>46138</v>
      </c>
      <c r="D409" t="inlineStr">
        <is>
          <t>UPPSALA LÄN</t>
        </is>
      </c>
      <c r="E409" t="inlineStr">
        <is>
          <t>UPPSALA</t>
        </is>
      </c>
      <c r="F409" t="inlineStr">
        <is>
          <t>Kommuner</t>
        </is>
      </c>
      <c r="G409" t="n">
        <v>4.6</v>
      </c>
      <c r="H409" t="n">
        <v>0</v>
      </c>
      <c r="I409" t="n">
        <v>0</v>
      </c>
      <c r="J409" t="n">
        <v>0</v>
      </c>
      <c r="K409" t="n">
        <v>0</v>
      </c>
      <c r="L409" t="n">
        <v>0</v>
      </c>
      <c r="M409" t="n">
        <v>0</v>
      </c>
      <c r="N409" t="n">
        <v>0</v>
      </c>
      <c r="O409" t="n">
        <v>0</v>
      </c>
      <c r="P409" t="n">
        <v>0</v>
      </c>
      <c r="Q409" t="n">
        <v>0</v>
      </c>
      <c r="R409" s="2" t="inlineStr"/>
    </row>
    <row r="410" ht="15" customHeight="1">
      <c r="A410" t="inlineStr">
        <is>
          <t>A 42084-2025</t>
        </is>
      </c>
      <c r="B410" s="1" t="n">
        <v>45903.69096064815</v>
      </c>
      <c r="C410" s="1" t="n">
        <v>46138</v>
      </c>
      <c r="D410" t="inlineStr">
        <is>
          <t>UPPSALA LÄN</t>
        </is>
      </c>
      <c r="E410" t="inlineStr">
        <is>
          <t>UPPSALA</t>
        </is>
      </c>
      <c r="F410" t="inlineStr">
        <is>
          <t>Bergvik skog öst AB</t>
        </is>
      </c>
      <c r="G410" t="n">
        <v>1.8</v>
      </c>
      <c r="H410" t="n">
        <v>0</v>
      </c>
      <c r="I410" t="n">
        <v>0</v>
      </c>
      <c r="J410" t="n">
        <v>0</v>
      </c>
      <c r="K410" t="n">
        <v>0</v>
      </c>
      <c r="L410" t="n">
        <v>0</v>
      </c>
      <c r="M410" t="n">
        <v>0</v>
      </c>
      <c r="N410" t="n">
        <v>0</v>
      </c>
      <c r="O410" t="n">
        <v>0</v>
      </c>
      <c r="P410" t="n">
        <v>0</v>
      </c>
      <c r="Q410" t="n">
        <v>0</v>
      </c>
      <c r="R410" s="2" t="inlineStr"/>
    </row>
    <row r="411" ht="15" customHeight="1">
      <c r="A411" t="inlineStr">
        <is>
          <t>A 12830-2025</t>
        </is>
      </c>
      <c r="B411" s="1" t="n">
        <v>45733.63099537037</v>
      </c>
      <c r="C411" s="1" t="n">
        <v>46138</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9914-2024</t>
        </is>
      </c>
      <c r="B412" s="1" t="n">
        <v>45363.54878472222</v>
      </c>
      <c r="C412" s="1" t="n">
        <v>46138</v>
      </c>
      <c r="D412" t="inlineStr">
        <is>
          <t>UPPSALA LÄN</t>
        </is>
      </c>
      <c r="E412" t="inlineStr">
        <is>
          <t>UPPSALA</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42085-2025</t>
        </is>
      </c>
      <c r="B413" s="1" t="n">
        <v>45903.69358796296</v>
      </c>
      <c r="C413" s="1" t="n">
        <v>46138</v>
      </c>
      <c r="D413" t="inlineStr">
        <is>
          <t>UPPSALA LÄN</t>
        </is>
      </c>
      <c r="E413" t="inlineStr">
        <is>
          <t>UPPSALA</t>
        </is>
      </c>
      <c r="F413" t="inlineStr">
        <is>
          <t>Bergvik skog öst AB</t>
        </is>
      </c>
      <c r="G413" t="n">
        <v>1.7</v>
      </c>
      <c r="H413" t="n">
        <v>0</v>
      </c>
      <c r="I413" t="n">
        <v>0</v>
      </c>
      <c r="J413" t="n">
        <v>0</v>
      </c>
      <c r="K413" t="n">
        <v>0</v>
      </c>
      <c r="L413" t="n">
        <v>0</v>
      </c>
      <c r="M413" t="n">
        <v>0</v>
      </c>
      <c r="N413" t="n">
        <v>0</v>
      </c>
      <c r="O413" t="n">
        <v>0</v>
      </c>
      <c r="P413" t="n">
        <v>0</v>
      </c>
      <c r="Q413" t="n">
        <v>0</v>
      </c>
      <c r="R413" s="2" t="inlineStr"/>
    </row>
    <row r="414" ht="15" customHeight="1">
      <c r="A414" t="inlineStr">
        <is>
          <t>A 41707-2025</t>
        </is>
      </c>
      <c r="B414" s="1" t="n">
        <v>45902.42243055555</v>
      </c>
      <c r="C414" s="1" t="n">
        <v>46138</v>
      </c>
      <c r="D414" t="inlineStr">
        <is>
          <t>UPPSALA LÄN</t>
        </is>
      </c>
      <c r="E414" t="inlineStr">
        <is>
          <t>UPPSALA</t>
        </is>
      </c>
      <c r="F414" t="inlineStr">
        <is>
          <t>Allmännings- och besparingsskogar</t>
        </is>
      </c>
      <c r="G414" t="n">
        <v>3.3</v>
      </c>
      <c r="H414" t="n">
        <v>0</v>
      </c>
      <c r="I414" t="n">
        <v>0</v>
      </c>
      <c r="J414" t="n">
        <v>0</v>
      </c>
      <c r="K414" t="n">
        <v>0</v>
      </c>
      <c r="L414" t="n">
        <v>0</v>
      </c>
      <c r="M414" t="n">
        <v>0</v>
      </c>
      <c r="N414" t="n">
        <v>0</v>
      </c>
      <c r="O414" t="n">
        <v>0</v>
      </c>
      <c r="P414" t="n">
        <v>0</v>
      </c>
      <c r="Q414" t="n">
        <v>0</v>
      </c>
      <c r="R414" s="2" t="inlineStr"/>
    </row>
    <row r="415" ht="15" customHeight="1">
      <c r="A415" t="inlineStr">
        <is>
          <t>A 33667-2024</t>
        </is>
      </c>
      <c r="B415" s="1" t="n">
        <v>45520</v>
      </c>
      <c r="C415" s="1" t="n">
        <v>46138</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row>
    <row r="416" ht="15" customHeight="1">
      <c r="A416" t="inlineStr">
        <is>
          <t>A 20888-2025</t>
        </is>
      </c>
      <c r="B416" s="1" t="n">
        <v>45777.37119212963</v>
      </c>
      <c r="C416" s="1" t="n">
        <v>46138</v>
      </c>
      <c r="D416" t="inlineStr">
        <is>
          <t>UPPSALA LÄN</t>
        </is>
      </c>
      <c r="E416" t="inlineStr">
        <is>
          <t>UPPSALA</t>
        </is>
      </c>
      <c r="F416" t="inlineStr">
        <is>
          <t>Övriga statliga verk och myndigheter</t>
        </is>
      </c>
      <c r="G416" t="n">
        <v>5.1</v>
      </c>
      <c r="H416" t="n">
        <v>0</v>
      </c>
      <c r="I416" t="n">
        <v>0</v>
      </c>
      <c r="J416" t="n">
        <v>0</v>
      </c>
      <c r="K416" t="n">
        <v>0</v>
      </c>
      <c r="L416" t="n">
        <v>0</v>
      </c>
      <c r="M416" t="n">
        <v>0</v>
      </c>
      <c r="N416" t="n">
        <v>0</v>
      </c>
      <c r="O416" t="n">
        <v>0</v>
      </c>
      <c r="P416" t="n">
        <v>0</v>
      </c>
      <c r="Q416" t="n">
        <v>0</v>
      </c>
      <c r="R416" s="2" t="inlineStr"/>
    </row>
    <row r="417" ht="15" customHeight="1">
      <c r="A417" t="inlineStr">
        <is>
          <t>A 42541-2025</t>
        </is>
      </c>
      <c r="B417" s="1" t="n">
        <v>45905.5756712963</v>
      </c>
      <c r="C417" s="1" t="n">
        <v>46138</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20928-2025</t>
        </is>
      </c>
      <c r="B418" s="1" t="n">
        <v>45777</v>
      </c>
      <c r="C418" s="1" t="n">
        <v>46138</v>
      </c>
      <c r="D418" t="inlineStr">
        <is>
          <t>UPPSALA LÄN</t>
        </is>
      </c>
      <c r="E418" t="inlineStr">
        <is>
          <t>UPPSALA</t>
        </is>
      </c>
      <c r="G418" t="n">
        <v>11.9</v>
      </c>
      <c r="H418" t="n">
        <v>0</v>
      </c>
      <c r="I418" t="n">
        <v>0</v>
      </c>
      <c r="J418" t="n">
        <v>0</v>
      </c>
      <c r="K418" t="n">
        <v>0</v>
      </c>
      <c r="L418" t="n">
        <v>0</v>
      </c>
      <c r="M418" t="n">
        <v>0</v>
      </c>
      <c r="N418" t="n">
        <v>0</v>
      </c>
      <c r="O418" t="n">
        <v>0</v>
      </c>
      <c r="P418" t="n">
        <v>0</v>
      </c>
      <c r="Q418" t="n">
        <v>0</v>
      </c>
      <c r="R418" s="2" t="inlineStr"/>
    </row>
    <row r="419" ht="15" customHeight="1">
      <c r="A419" t="inlineStr">
        <is>
          <t>A 29815-2023</t>
        </is>
      </c>
      <c r="B419" s="1" t="n">
        <v>45107.55574074074</v>
      </c>
      <c r="C419" s="1" t="n">
        <v>46138</v>
      </c>
      <c r="D419" t="inlineStr">
        <is>
          <t>UPPSALA LÄN</t>
        </is>
      </c>
      <c r="E419" t="inlineStr">
        <is>
          <t>UPPSALA</t>
        </is>
      </c>
      <c r="G419" t="n">
        <v>2.4</v>
      </c>
      <c r="H419" t="n">
        <v>0</v>
      </c>
      <c r="I419" t="n">
        <v>0</v>
      </c>
      <c r="J419" t="n">
        <v>0</v>
      </c>
      <c r="K419" t="n">
        <v>0</v>
      </c>
      <c r="L419" t="n">
        <v>0</v>
      </c>
      <c r="M419" t="n">
        <v>0</v>
      </c>
      <c r="N419" t="n">
        <v>0</v>
      </c>
      <c r="O419" t="n">
        <v>0</v>
      </c>
      <c r="P419" t="n">
        <v>0</v>
      </c>
      <c r="Q419" t="n">
        <v>0</v>
      </c>
      <c r="R419" s="2" t="inlineStr"/>
    </row>
    <row r="420" ht="15" customHeight="1">
      <c r="A420" t="inlineStr">
        <is>
          <t>A 24909-2025</t>
        </is>
      </c>
      <c r="B420" s="1" t="n">
        <v>45799.53348379629</v>
      </c>
      <c r="C420" s="1" t="n">
        <v>46138</v>
      </c>
      <c r="D420" t="inlineStr">
        <is>
          <t>UPPSALA LÄN</t>
        </is>
      </c>
      <c r="E420" t="inlineStr">
        <is>
          <t>UPPSALA</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26739-2025</t>
        </is>
      </c>
      <c r="B421" s="1" t="n">
        <v>45809</v>
      </c>
      <c r="C421" s="1" t="n">
        <v>46138</v>
      </c>
      <c r="D421" t="inlineStr">
        <is>
          <t>UPPSALA LÄN</t>
        </is>
      </c>
      <c r="E421" t="inlineStr">
        <is>
          <t>UPPSALA</t>
        </is>
      </c>
      <c r="F421" t="inlineStr">
        <is>
          <t>Övriga Aktiebolag</t>
        </is>
      </c>
      <c r="G421" t="n">
        <v>3.6</v>
      </c>
      <c r="H421" t="n">
        <v>0</v>
      </c>
      <c r="I421" t="n">
        <v>0</v>
      </c>
      <c r="J421" t="n">
        <v>0</v>
      </c>
      <c r="K421" t="n">
        <v>0</v>
      </c>
      <c r="L421" t="n">
        <v>0</v>
      </c>
      <c r="M421" t="n">
        <v>0</v>
      </c>
      <c r="N421" t="n">
        <v>0</v>
      </c>
      <c r="O421" t="n">
        <v>0</v>
      </c>
      <c r="P421" t="n">
        <v>0</v>
      </c>
      <c r="Q421" t="n">
        <v>0</v>
      </c>
      <c r="R421" s="2" t="inlineStr"/>
    </row>
    <row r="422" ht="15" customHeight="1">
      <c r="A422" t="inlineStr">
        <is>
          <t>A 20686-2025</t>
        </is>
      </c>
      <c r="B422" s="1" t="n">
        <v>45776.45263888889</v>
      </c>
      <c r="C422" s="1" t="n">
        <v>46138</v>
      </c>
      <c r="D422" t="inlineStr">
        <is>
          <t>UPPSALA LÄN</t>
        </is>
      </c>
      <c r="E422" t="inlineStr">
        <is>
          <t>UPPSALA</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42347-2025</t>
        </is>
      </c>
      <c r="B423" s="1" t="n">
        <v>45904.77746527778</v>
      </c>
      <c r="C423" s="1" t="n">
        <v>46138</v>
      </c>
      <c r="D423" t="inlineStr">
        <is>
          <t>UPPSALA LÄN</t>
        </is>
      </c>
      <c r="E423" t="inlineStr">
        <is>
          <t>UPPSALA</t>
        </is>
      </c>
      <c r="G423" t="n">
        <v>2.7</v>
      </c>
      <c r="H423" t="n">
        <v>0</v>
      </c>
      <c r="I423" t="n">
        <v>0</v>
      </c>
      <c r="J423" t="n">
        <v>0</v>
      </c>
      <c r="K423" t="n">
        <v>0</v>
      </c>
      <c r="L423" t="n">
        <v>0</v>
      </c>
      <c r="M423" t="n">
        <v>0</v>
      </c>
      <c r="N423" t="n">
        <v>0</v>
      </c>
      <c r="O423" t="n">
        <v>0</v>
      </c>
      <c r="P423" t="n">
        <v>0</v>
      </c>
      <c r="Q423" t="n">
        <v>0</v>
      </c>
      <c r="R423" s="2" t="inlineStr"/>
    </row>
    <row r="424" ht="15" customHeight="1">
      <c r="A424" t="inlineStr">
        <is>
          <t>A 12211-2025</t>
        </is>
      </c>
      <c r="B424" s="1" t="n">
        <v>45729</v>
      </c>
      <c r="C424" s="1" t="n">
        <v>46138</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21033-2025</t>
        </is>
      </c>
      <c r="B425" s="1" t="n">
        <v>45777.52655092593</v>
      </c>
      <c r="C425" s="1" t="n">
        <v>46138</v>
      </c>
      <c r="D425" t="inlineStr">
        <is>
          <t>UPPSALA LÄN</t>
        </is>
      </c>
      <c r="E425" t="inlineStr">
        <is>
          <t>UPPSALA</t>
        </is>
      </c>
      <c r="G425" t="n">
        <v>2.2</v>
      </c>
      <c r="H425" t="n">
        <v>0</v>
      </c>
      <c r="I425" t="n">
        <v>0</v>
      </c>
      <c r="J425" t="n">
        <v>0</v>
      </c>
      <c r="K425" t="n">
        <v>0</v>
      </c>
      <c r="L425" t="n">
        <v>0</v>
      </c>
      <c r="M425" t="n">
        <v>0</v>
      </c>
      <c r="N425" t="n">
        <v>0</v>
      </c>
      <c r="O425" t="n">
        <v>0</v>
      </c>
      <c r="P425" t="n">
        <v>0</v>
      </c>
      <c r="Q425" t="n">
        <v>0</v>
      </c>
      <c r="R425" s="2" t="inlineStr"/>
    </row>
    <row r="426" ht="15" customHeight="1">
      <c r="A426" t="inlineStr">
        <is>
          <t>A 20874-2025</t>
        </is>
      </c>
      <c r="B426" s="1" t="n">
        <v>45777.34894675926</v>
      </c>
      <c r="C426" s="1" t="n">
        <v>46138</v>
      </c>
      <c r="D426" t="inlineStr">
        <is>
          <t>UPPSALA LÄN</t>
        </is>
      </c>
      <c r="E426" t="inlineStr">
        <is>
          <t>UPPSALA</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44847-2024</t>
        </is>
      </c>
      <c r="B427" s="1" t="n">
        <v>45574</v>
      </c>
      <c r="C427" s="1" t="n">
        <v>46138</v>
      </c>
      <c r="D427" t="inlineStr">
        <is>
          <t>UPPSALA LÄN</t>
        </is>
      </c>
      <c r="E427" t="inlineStr">
        <is>
          <t>UPPSALA</t>
        </is>
      </c>
      <c r="G427" t="n">
        <v>6.3</v>
      </c>
      <c r="H427" t="n">
        <v>0</v>
      </c>
      <c r="I427" t="n">
        <v>0</v>
      </c>
      <c r="J427" t="n">
        <v>0</v>
      </c>
      <c r="K427" t="n">
        <v>0</v>
      </c>
      <c r="L427" t="n">
        <v>0</v>
      </c>
      <c r="M427" t="n">
        <v>0</v>
      </c>
      <c r="N427" t="n">
        <v>0</v>
      </c>
      <c r="O427" t="n">
        <v>0</v>
      </c>
      <c r="P427" t="n">
        <v>0</v>
      </c>
      <c r="Q427" t="n">
        <v>0</v>
      </c>
      <c r="R427" s="2" t="inlineStr"/>
    </row>
    <row r="428" ht="15" customHeight="1">
      <c r="A428" t="inlineStr">
        <is>
          <t>A 37588-2022</t>
        </is>
      </c>
      <c r="B428" s="1" t="n">
        <v>44809.92752314815</v>
      </c>
      <c r="C428" s="1" t="n">
        <v>46138</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59549-2024</t>
        </is>
      </c>
      <c r="B429" s="1" t="n">
        <v>45638</v>
      </c>
      <c r="C429" s="1" t="n">
        <v>46138</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42593-2025</t>
        </is>
      </c>
      <c r="B430" s="1" t="n">
        <v>45905.64862268518</v>
      </c>
      <c r="C430" s="1" t="n">
        <v>46138</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20703-2025</t>
        </is>
      </c>
      <c r="B431" s="1" t="n">
        <v>45776.48275462963</v>
      </c>
      <c r="C431" s="1" t="n">
        <v>46138</v>
      </c>
      <c r="D431" t="inlineStr">
        <is>
          <t>UPPSALA LÄN</t>
        </is>
      </c>
      <c r="E431" t="inlineStr">
        <is>
          <t>UPPSALA</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20712-2025</t>
        </is>
      </c>
      <c r="B432" s="1" t="n">
        <v>45776</v>
      </c>
      <c r="C432" s="1" t="n">
        <v>46138</v>
      </c>
      <c r="D432" t="inlineStr">
        <is>
          <t>UPPSALA LÄN</t>
        </is>
      </c>
      <c r="E432" t="inlineStr">
        <is>
          <t>UPPSALA</t>
        </is>
      </c>
      <c r="G432" t="n">
        <v>1.5</v>
      </c>
      <c r="H432" t="n">
        <v>0</v>
      </c>
      <c r="I432" t="n">
        <v>0</v>
      </c>
      <c r="J432" t="n">
        <v>0</v>
      </c>
      <c r="K432" t="n">
        <v>0</v>
      </c>
      <c r="L432" t="n">
        <v>0</v>
      </c>
      <c r="M432" t="n">
        <v>0</v>
      </c>
      <c r="N432" t="n">
        <v>0</v>
      </c>
      <c r="O432" t="n">
        <v>0</v>
      </c>
      <c r="P432" t="n">
        <v>0</v>
      </c>
      <c r="Q432" t="n">
        <v>0</v>
      </c>
      <c r="R432" s="2" t="inlineStr"/>
    </row>
    <row r="433" ht="15" customHeight="1">
      <c r="A433" t="inlineStr">
        <is>
          <t>A 26738-2025</t>
        </is>
      </c>
      <c r="B433" s="1" t="n">
        <v>45809</v>
      </c>
      <c r="C433" s="1" t="n">
        <v>46138</v>
      </c>
      <c r="D433" t="inlineStr">
        <is>
          <t>UPPSALA LÄN</t>
        </is>
      </c>
      <c r="E433" t="inlineStr">
        <is>
          <t>UPPSALA</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42134-2025</t>
        </is>
      </c>
      <c r="B434" s="1" t="n">
        <v>45904</v>
      </c>
      <c r="C434" s="1" t="n">
        <v>46138</v>
      </c>
      <c r="D434" t="inlineStr">
        <is>
          <t>UPPSALA LÄN</t>
        </is>
      </c>
      <c r="E434" t="inlineStr">
        <is>
          <t>UPPSALA</t>
        </is>
      </c>
      <c r="G434" t="n">
        <v>0.7</v>
      </c>
      <c r="H434" t="n">
        <v>0</v>
      </c>
      <c r="I434" t="n">
        <v>0</v>
      </c>
      <c r="J434" t="n">
        <v>0</v>
      </c>
      <c r="K434" t="n">
        <v>0</v>
      </c>
      <c r="L434" t="n">
        <v>0</v>
      </c>
      <c r="M434" t="n">
        <v>0</v>
      </c>
      <c r="N434" t="n">
        <v>0</v>
      </c>
      <c r="O434" t="n">
        <v>0</v>
      </c>
      <c r="P434" t="n">
        <v>0</v>
      </c>
      <c r="Q434" t="n">
        <v>0</v>
      </c>
      <c r="R434" s="2" t="inlineStr"/>
    </row>
    <row r="435" ht="15" customHeight="1">
      <c r="A435" t="inlineStr">
        <is>
          <t>A 20858-2025</t>
        </is>
      </c>
      <c r="B435" s="1" t="n">
        <v>45777.32731481481</v>
      </c>
      <c r="C435" s="1" t="n">
        <v>46138</v>
      </c>
      <c r="D435" t="inlineStr">
        <is>
          <t>UPPSALA LÄN</t>
        </is>
      </c>
      <c r="E435" t="inlineStr">
        <is>
          <t>UPPSALA</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21217-2025</t>
        </is>
      </c>
      <c r="B436" s="1" t="n">
        <v>45779.49085648148</v>
      </c>
      <c r="C436" s="1" t="n">
        <v>46138</v>
      </c>
      <c r="D436" t="inlineStr">
        <is>
          <t>UPPSALA LÄN</t>
        </is>
      </c>
      <c r="E436" t="inlineStr">
        <is>
          <t>UPPSALA</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44080-2023</t>
        </is>
      </c>
      <c r="B437" s="1" t="n">
        <v>45188.42052083334</v>
      </c>
      <c r="C437" s="1" t="n">
        <v>46138</v>
      </c>
      <c r="D437" t="inlineStr">
        <is>
          <t>UPPSALA LÄN</t>
        </is>
      </c>
      <c r="E437" t="inlineStr">
        <is>
          <t>UPPSALA</t>
        </is>
      </c>
      <c r="G437" t="n">
        <v>13.3</v>
      </c>
      <c r="H437" t="n">
        <v>0</v>
      </c>
      <c r="I437" t="n">
        <v>0</v>
      </c>
      <c r="J437" t="n">
        <v>0</v>
      </c>
      <c r="K437" t="n">
        <v>0</v>
      </c>
      <c r="L437" t="n">
        <v>0</v>
      </c>
      <c r="M437" t="n">
        <v>0</v>
      </c>
      <c r="N437" t="n">
        <v>0</v>
      </c>
      <c r="O437" t="n">
        <v>0</v>
      </c>
      <c r="P437" t="n">
        <v>0</v>
      </c>
      <c r="Q437" t="n">
        <v>0</v>
      </c>
      <c r="R437" s="2" t="inlineStr"/>
    </row>
    <row r="438" ht="15" customHeight="1">
      <c r="A438" t="inlineStr">
        <is>
          <t>A 21281-2025</t>
        </is>
      </c>
      <c r="B438" s="1" t="n">
        <v>45779.6665162037</v>
      </c>
      <c r="C438" s="1" t="n">
        <v>46138</v>
      </c>
      <c r="D438" t="inlineStr">
        <is>
          <t>UPPSALA LÄN</t>
        </is>
      </c>
      <c r="E438" t="inlineStr">
        <is>
          <t>UPPSALA</t>
        </is>
      </c>
      <c r="F438" t="inlineStr">
        <is>
          <t>Övriga Aktiebolag</t>
        </is>
      </c>
      <c r="G438" t="n">
        <v>5.9</v>
      </c>
      <c r="H438" t="n">
        <v>0</v>
      </c>
      <c r="I438" t="n">
        <v>0</v>
      </c>
      <c r="J438" t="n">
        <v>0</v>
      </c>
      <c r="K438" t="n">
        <v>0</v>
      </c>
      <c r="L438" t="n">
        <v>0</v>
      </c>
      <c r="M438" t="n">
        <v>0</v>
      </c>
      <c r="N438" t="n">
        <v>0</v>
      </c>
      <c r="O438" t="n">
        <v>0</v>
      </c>
      <c r="P438" t="n">
        <v>0</v>
      </c>
      <c r="Q438" t="n">
        <v>0</v>
      </c>
      <c r="R438" s="2" t="inlineStr"/>
    </row>
    <row r="439" ht="15" customHeight="1">
      <c r="A439" t="inlineStr">
        <is>
          <t>A 10490-2025</t>
        </is>
      </c>
      <c r="B439" s="1" t="n">
        <v>45721.35173611111</v>
      </c>
      <c r="C439" s="1" t="n">
        <v>46138</v>
      </c>
      <c r="D439" t="inlineStr">
        <is>
          <t>UPPSALA LÄN</t>
        </is>
      </c>
      <c r="E439" t="inlineStr">
        <is>
          <t>UPPSALA</t>
        </is>
      </c>
      <c r="G439" t="n">
        <v>1.8</v>
      </c>
      <c r="H439" t="n">
        <v>0</v>
      </c>
      <c r="I439" t="n">
        <v>0</v>
      </c>
      <c r="J439" t="n">
        <v>0</v>
      </c>
      <c r="K439" t="n">
        <v>0</v>
      </c>
      <c r="L439" t="n">
        <v>0</v>
      </c>
      <c r="M439" t="n">
        <v>0</v>
      </c>
      <c r="N439" t="n">
        <v>0</v>
      </c>
      <c r="O439" t="n">
        <v>0</v>
      </c>
      <c r="P439" t="n">
        <v>0</v>
      </c>
      <c r="Q439" t="n">
        <v>0</v>
      </c>
      <c r="R439" s="2" t="inlineStr"/>
    </row>
    <row r="440" ht="15" customHeight="1">
      <c r="A440" t="inlineStr">
        <is>
          <t>A 55021-2022</t>
        </is>
      </c>
      <c r="B440" s="1" t="n">
        <v>44886</v>
      </c>
      <c r="C440" s="1" t="n">
        <v>46138</v>
      </c>
      <c r="D440" t="inlineStr">
        <is>
          <t>UPPSALA LÄN</t>
        </is>
      </c>
      <c r="E440" t="inlineStr">
        <is>
          <t>UPPSALA</t>
        </is>
      </c>
      <c r="G440" t="n">
        <v>1.2</v>
      </c>
      <c r="H440" t="n">
        <v>0</v>
      </c>
      <c r="I440" t="n">
        <v>0</v>
      </c>
      <c r="J440" t="n">
        <v>0</v>
      </c>
      <c r="K440" t="n">
        <v>0</v>
      </c>
      <c r="L440" t="n">
        <v>0</v>
      </c>
      <c r="M440" t="n">
        <v>0</v>
      </c>
      <c r="N440" t="n">
        <v>0</v>
      </c>
      <c r="O440" t="n">
        <v>0</v>
      </c>
      <c r="P440" t="n">
        <v>0</v>
      </c>
      <c r="Q440" t="n">
        <v>0</v>
      </c>
      <c r="R440" s="2" t="inlineStr"/>
    </row>
    <row r="441" ht="15" customHeight="1">
      <c r="A441" t="inlineStr">
        <is>
          <t>A 21279-2025</t>
        </is>
      </c>
      <c r="B441" s="1" t="n">
        <v>45779.65787037037</v>
      </c>
      <c r="C441" s="1" t="n">
        <v>46138</v>
      </c>
      <c r="D441" t="inlineStr">
        <is>
          <t>UPPSALA LÄN</t>
        </is>
      </c>
      <c r="E441" t="inlineStr">
        <is>
          <t>UPPSALA</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781-2024</t>
        </is>
      </c>
      <c r="B442" s="1" t="n">
        <v>45300.55028935185</v>
      </c>
      <c r="C442" s="1" t="n">
        <v>46138</v>
      </c>
      <c r="D442" t="inlineStr">
        <is>
          <t>UPPSALA LÄN</t>
        </is>
      </c>
      <c r="E442" t="inlineStr">
        <is>
          <t>UPPSALA</t>
        </is>
      </c>
      <c r="G442" t="n">
        <v>6.3</v>
      </c>
      <c r="H442" t="n">
        <v>0</v>
      </c>
      <c r="I442" t="n">
        <v>0</v>
      </c>
      <c r="J442" t="n">
        <v>0</v>
      </c>
      <c r="K442" t="n">
        <v>0</v>
      </c>
      <c r="L442" t="n">
        <v>0</v>
      </c>
      <c r="M442" t="n">
        <v>0</v>
      </c>
      <c r="N442" t="n">
        <v>0</v>
      </c>
      <c r="O442" t="n">
        <v>0</v>
      </c>
      <c r="P442" t="n">
        <v>0</v>
      </c>
      <c r="Q442" t="n">
        <v>0</v>
      </c>
      <c r="R442" s="2" t="inlineStr"/>
    </row>
    <row r="443" ht="15" customHeight="1">
      <c r="A443" t="inlineStr">
        <is>
          <t>A 65659-2021</t>
        </is>
      </c>
      <c r="B443" s="1" t="n">
        <v>44516</v>
      </c>
      <c r="C443" s="1" t="n">
        <v>46138</v>
      </c>
      <c r="D443" t="inlineStr">
        <is>
          <t>UPPSALA LÄN</t>
        </is>
      </c>
      <c r="E443" t="inlineStr">
        <is>
          <t>UPPSALA</t>
        </is>
      </c>
      <c r="G443" t="n">
        <v>2.2</v>
      </c>
      <c r="H443" t="n">
        <v>0</v>
      </c>
      <c r="I443" t="n">
        <v>0</v>
      </c>
      <c r="J443" t="n">
        <v>0</v>
      </c>
      <c r="K443" t="n">
        <v>0</v>
      </c>
      <c r="L443" t="n">
        <v>0</v>
      </c>
      <c r="M443" t="n">
        <v>0</v>
      </c>
      <c r="N443" t="n">
        <v>0</v>
      </c>
      <c r="O443" t="n">
        <v>0</v>
      </c>
      <c r="P443" t="n">
        <v>0</v>
      </c>
      <c r="Q443" t="n">
        <v>0</v>
      </c>
      <c r="R443" s="2" t="inlineStr"/>
    </row>
    <row r="444" ht="15" customHeight="1">
      <c r="A444" t="inlineStr">
        <is>
          <t>A 21748-2025</t>
        </is>
      </c>
      <c r="B444" s="1" t="n">
        <v>45783.61053240741</v>
      </c>
      <c r="C444" s="1" t="n">
        <v>46138</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9592-2022</t>
        </is>
      </c>
      <c r="B445" s="1" t="n">
        <v>44617.48311342593</v>
      </c>
      <c r="C445" s="1" t="n">
        <v>46138</v>
      </c>
      <c r="D445" t="inlineStr">
        <is>
          <t>UPPSALA LÄN</t>
        </is>
      </c>
      <c r="E445" t="inlineStr">
        <is>
          <t>UPPSALA</t>
        </is>
      </c>
      <c r="G445" t="n">
        <v>7.5</v>
      </c>
      <c r="H445" t="n">
        <v>0</v>
      </c>
      <c r="I445" t="n">
        <v>0</v>
      </c>
      <c r="J445" t="n">
        <v>0</v>
      </c>
      <c r="K445" t="n">
        <v>0</v>
      </c>
      <c r="L445" t="n">
        <v>0</v>
      </c>
      <c r="M445" t="n">
        <v>0</v>
      </c>
      <c r="N445" t="n">
        <v>0</v>
      </c>
      <c r="O445" t="n">
        <v>0</v>
      </c>
      <c r="P445" t="n">
        <v>0</v>
      </c>
      <c r="Q445" t="n">
        <v>0</v>
      </c>
      <c r="R445" s="2" t="inlineStr"/>
    </row>
    <row r="446" ht="15" customHeight="1">
      <c r="A446" t="inlineStr">
        <is>
          <t>A 784-2024</t>
        </is>
      </c>
      <c r="B446" s="1" t="n">
        <v>45300.55680555556</v>
      </c>
      <c r="C446" s="1" t="n">
        <v>46138</v>
      </c>
      <c r="D446" t="inlineStr">
        <is>
          <t>UPPSALA LÄN</t>
        </is>
      </c>
      <c r="E446" t="inlineStr">
        <is>
          <t>UPPSALA</t>
        </is>
      </c>
      <c r="G446" t="n">
        <v>6.6</v>
      </c>
      <c r="H446" t="n">
        <v>0</v>
      </c>
      <c r="I446" t="n">
        <v>0</v>
      </c>
      <c r="J446" t="n">
        <v>0</v>
      </c>
      <c r="K446" t="n">
        <v>0</v>
      </c>
      <c r="L446" t="n">
        <v>0</v>
      </c>
      <c r="M446" t="n">
        <v>0</v>
      </c>
      <c r="N446" t="n">
        <v>0</v>
      </c>
      <c r="O446" t="n">
        <v>0</v>
      </c>
      <c r="P446" t="n">
        <v>0</v>
      </c>
      <c r="Q446" t="n">
        <v>0</v>
      </c>
      <c r="R446" s="2" t="inlineStr"/>
    </row>
    <row r="447" ht="15" customHeight="1">
      <c r="A447" t="inlineStr">
        <is>
          <t>A 29901-2023</t>
        </is>
      </c>
      <c r="B447" s="1" t="n">
        <v>45107</v>
      </c>
      <c r="C447" s="1" t="n">
        <v>46138</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10394-2025</t>
        </is>
      </c>
      <c r="B448" s="1" t="n">
        <v>45720.60410879629</v>
      </c>
      <c r="C448" s="1" t="n">
        <v>46138</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29926-2023</t>
        </is>
      </c>
      <c r="B449" s="1" t="n">
        <v>45107</v>
      </c>
      <c r="C449" s="1" t="n">
        <v>46138</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22018-2025</t>
        </is>
      </c>
      <c r="B450" s="1" t="n">
        <v>45784.80497685185</v>
      </c>
      <c r="C450" s="1" t="n">
        <v>46138</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21936-2025</t>
        </is>
      </c>
      <c r="B451" s="1" t="n">
        <v>45784.57266203704</v>
      </c>
      <c r="C451" s="1" t="n">
        <v>46138</v>
      </c>
      <c r="D451" t="inlineStr">
        <is>
          <t>UPPSALA LÄN</t>
        </is>
      </c>
      <c r="E451" t="inlineStr">
        <is>
          <t>UPPSALA</t>
        </is>
      </c>
      <c r="F451" t="inlineStr">
        <is>
          <t>Bergvik skog öst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3353-2023</t>
        </is>
      </c>
      <c r="B452" s="1" t="n">
        <v>44949.4708912037</v>
      </c>
      <c r="C452" s="1" t="n">
        <v>46138</v>
      </c>
      <c r="D452" t="inlineStr">
        <is>
          <t>UPPSALA LÄN</t>
        </is>
      </c>
      <c r="E452" t="inlineStr">
        <is>
          <t>UPPSALA</t>
        </is>
      </c>
      <c r="G452" t="n">
        <v>3</v>
      </c>
      <c r="H452" t="n">
        <v>0</v>
      </c>
      <c r="I452" t="n">
        <v>0</v>
      </c>
      <c r="J452" t="n">
        <v>0</v>
      </c>
      <c r="K452" t="n">
        <v>0</v>
      </c>
      <c r="L452" t="n">
        <v>0</v>
      </c>
      <c r="M452" t="n">
        <v>0</v>
      </c>
      <c r="N452" t="n">
        <v>0</v>
      </c>
      <c r="O452" t="n">
        <v>0</v>
      </c>
      <c r="P452" t="n">
        <v>0</v>
      </c>
      <c r="Q452" t="n">
        <v>0</v>
      </c>
      <c r="R452" s="2" t="inlineStr"/>
    </row>
    <row r="453" ht="15" customHeight="1">
      <c r="A453" t="inlineStr">
        <is>
          <t>A 40701-2024</t>
        </is>
      </c>
      <c r="B453" s="1" t="n">
        <v>45558.42498842593</v>
      </c>
      <c r="C453" s="1" t="n">
        <v>46138</v>
      </c>
      <c r="D453" t="inlineStr">
        <is>
          <t>UPPSALA LÄN</t>
        </is>
      </c>
      <c r="E453" t="inlineStr">
        <is>
          <t>UPPSALA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758-2022</t>
        </is>
      </c>
      <c r="B454" s="1" t="n">
        <v>44569.69358796296</v>
      </c>
      <c r="C454" s="1" t="n">
        <v>46138</v>
      </c>
      <c r="D454" t="inlineStr">
        <is>
          <t>UPPSALA LÄN</t>
        </is>
      </c>
      <c r="E454" t="inlineStr">
        <is>
          <t>UPPSALA</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59570-2023</t>
        </is>
      </c>
      <c r="B455" s="1" t="n">
        <v>45254</v>
      </c>
      <c r="C455" s="1" t="n">
        <v>46138</v>
      </c>
      <c r="D455" t="inlineStr">
        <is>
          <t>UPPSALA LÄN</t>
        </is>
      </c>
      <c r="E455" t="inlineStr">
        <is>
          <t>UPPSALA</t>
        </is>
      </c>
      <c r="G455" t="n">
        <v>6.7</v>
      </c>
      <c r="H455" t="n">
        <v>0</v>
      </c>
      <c r="I455" t="n">
        <v>0</v>
      </c>
      <c r="J455" t="n">
        <v>0</v>
      </c>
      <c r="K455" t="n">
        <v>0</v>
      </c>
      <c r="L455" t="n">
        <v>0</v>
      </c>
      <c r="M455" t="n">
        <v>0</v>
      </c>
      <c r="N455" t="n">
        <v>0</v>
      </c>
      <c r="O455" t="n">
        <v>0</v>
      </c>
      <c r="P455" t="n">
        <v>0</v>
      </c>
      <c r="Q455" t="n">
        <v>0</v>
      </c>
      <c r="R455" s="2" t="inlineStr"/>
    </row>
    <row r="456" ht="15" customHeight="1">
      <c r="A456" t="inlineStr">
        <is>
          <t>A 10650-2024</t>
        </is>
      </c>
      <c r="B456" s="1" t="n">
        <v>45368.64787037037</v>
      </c>
      <c r="C456" s="1" t="n">
        <v>46138</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48571-2023</t>
        </is>
      </c>
      <c r="B457" s="1" t="n">
        <v>45208.46130787037</v>
      </c>
      <c r="C457" s="1" t="n">
        <v>46138</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46925-2024</t>
        </is>
      </c>
      <c r="B458" s="1" t="n">
        <v>45584.60038194444</v>
      </c>
      <c r="C458" s="1" t="n">
        <v>46138</v>
      </c>
      <c r="D458" t="inlineStr">
        <is>
          <t>UPPSALA LÄN</t>
        </is>
      </c>
      <c r="E458" t="inlineStr">
        <is>
          <t>UPPSALA</t>
        </is>
      </c>
      <c r="G458" t="n">
        <v>0.7</v>
      </c>
      <c r="H458" t="n">
        <v>0</v>
      </c>
      <c r="I458" t="n">
        <v>0</v>
      </c>
      <c r="J458" t="n">
        <v>0</v>
      </c>
      <c r="K458" t="n">
        <v>0</v>
      </c>
      <c r="L458" t="n">
        <v>0</v>
      </c>
      <c r="M458" t="n">
        <v>0</v>
      </c>
      <c r="N458" t="n">
        <v>0</v>
      </c>
      <c r="O458" t="n">
        <v>0</v>
      </c>
      <c r="P458" t="n">
        <v>0</v>
      </c>
      <c r="Q458" t="n">
        <v>0</v>
      </c>
      <c r="R458" s="2" t="inlineStr"/>
    </row>
    <row r="459" ht="15" customHeight="1">
      <c r="A459" t="inlineStr">
        <is>
          <t>A 36123-2023</t>
        </is>
      </c>
      <c r="B459" s="1" t="n">
        <v>45149.56928240741</v>
      </c>
      <c r="C459" s="1" t="n">
        <v>46138</v>
      </c>
      <c r="D459" t="inlineStr">
        <is>
          <t>UPPSALA LÄN</t>
        </is>
      </c>
      <c r="E459" t="inlineStr">
        <is>
          <t>UPPSALA</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37162-2021</t>
        </is>
      </c>
      <c r="B460" s="1" t="n">
        <v>44395</v>
      </c>
      <c r="C460" s="1" t="n">
        <v>46138</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73326-2021</t>
        </is>
      </c>
      <c r="B461" s="1" t="n">
        <v>44548</v>
      </c>
      <c r="C461" s="1" t="n">
        <v>46138</v>
      </c>
      <c r="D461" t="inlineStr">
        <is>
          <t>UPPSALA LÄN</t>
        </is>
      </c>
      <c r="E461" t="inlineStr">
        <is>
          <t>UPPSALA</t>
        </is>
      </c>
      <c r="G461" t="n">
        <v>4</v>
      </c>
      <c r="H461" t="n">
        <v>0</v>
      </c>
      <c r="I461" t="n">
        <v>0</v>
      </c>
      <c r="J461" t="n">
        <v>0</v>
      </c>
      <c r="K461" t="n">
        <v>0</v>
      </c>
      <c r="L461" t="n">
        <v>0</v>
      </c>
      <c r="M461" t="n">
        <v>0</v>
      </c>
      <c r="N461" t="n">
        <v>0</v>
      </c>
      <c r="O461" t="n">
        <v>0</v>
      </c>
      <c r="P461" t="n">
        <v>0</v>
      </c>
      <c r="Q461" t="n">
        <v>0</v>
      </c>
      <c r="R461" s="2" t="inlineStr"/>
    </row>
    <row r="462" ht="15" customHeight="1">
      <c r="A462" t="inlineStr">
        <is>
          <t>A 43893-2025</t>
        </is>
      </c>
      <c r="B462" s="1" t="n">
        <v>45912.7097337963</v>
      </c>
      <c r="C462" s="1" t="n">
        <v>46138</v>
      </c>
      <c r="D462" t="inlineStr">
        <is>
          <t>UPPSALA LÄN</t>
        </is>
      </c>
      <c r="E462" t="inlineStr">
        <is>
          <t>UPPSALA</t>
        </is>
      </c>
      <c r="F462" t="inlineStr">
        <is>
          <t>Kyrkan</t>
        </is>
      </c>
      <c r="G462" t="n">
        <v>5.7</v>
      </c>
      <c r="H462" t="n">
        <v>0</v>
      </c>
      <c r="I462" t="n">
        <v>0</v>
      </c>
      <c r="J462" t="n">
        <v>0</v>
      </c>
      <c r="K462" t="n">
        <v>0</v>
      </c>
      <c r="L462" t="n">
        <v>0</v>
      </c>
      <c r="M462" t="n">
        <v>0</v>
      </c>
      <c r="N462" t="n">
        <v>0</v>
      </c>
      <c r="O462" t="n">
        <v>0</v>
      </c>
      <c r="P462" t="n">
        <v>0</v>
      </c>
      <c r="Q462" t="n">
        <v>0</v>
      </c>
      <c r="R462" s="2" t="inlineStr"/>
    </row>
    <row r="463" ht="15" customHeight="1">
      <c r="A463" t="inlineStr">
        <is>
          <t>A 44226-2025</t>
        </is>
      </c>
      <c r="B463" s="1" t="n">
        <v>45915.64064814815</v>
      </c>
      <c r="C463" s="1" t="n">
        <v>46138</v>
      </c>
      <c r="D463" t="inlineStr">
        <is>
          <t>UPPSALA LÄN</t>
        </is>
      </c>
      <c r="E463" t="inlineStr">
        <is>
          <t>UPPSALA</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43903-2025</t>
        </is>
      </c>
      <c r="B464" s="1" t="n">
        <v>45913.39467592593</v>
      </c>
      <c r="C464" s="1" t="n">
        <v>46138</v>
      </c>
      <c r="D464" t="inlineStr">
        <is>
          <t>UPPSALA LÄN</t>
        </is>
      </c>
      <c r="E464" t="inlineStr">
        <is>
          <t>UPPSALA</t>
        </is>
      </c>
      <c r="F464" t="inlineStr">
        <is>
          <t>Bergvik skog öst AB</t>
        </is>
      </c>
      <c r="G464" t="n">
        <v>3.5</v>
      </c>
      <c r="H464" t="n">
        <v>0</v>
      </c>
      <c r="I464" t="n">
        <v>0</v>
      </c>
      <c r="J464" t="n">
        <v>0</v>
      </c>
      <c r="K464" t="n">
        <v>0</v>
      </c>
      <c r="L464" t="n">
        <v>0</v>
      </c>
      <c r="M464" t="n">
        <v>0</v>
      </c>
      <c r="N464" t="n">
        <v>0</v>
      </c>
      <c r="O464" t="n">
        <v>0</v>
      </c>
      <c r="P464" t="n">
        <v>0</v>
      </c>
      <c r="Q464" t="n">
        <v>0</v>
      </c>
      <c r="R464" s="2" t="inlineStr"/>
    </row>
    <row r="465" ht="15" customHeight="1">
      <c r="A465" t="inlineStr">
        <is>
          <t>A 41002-2023</t>
        </is>
      </c>
      <c r="B465" s="1" t="n">
        <v>45173</v>
      </c>
      <c r="C465" s="1" t="n">
        <v>46138</v>
      </c>
      <c r="D465" t="inlineStr">
        <is>
          <t>UPPSALA LÄN</t>
        </is>
      </c>
      <c r="E465" t="inlineStr">
        <is>
          <t>UPPSALA</t>
        </is>
      </c>
      <c r="G465" t="n">
        <v>6.2</v>
      </c>
      <c r="H465" t="n">
        <v>0</v>
      </c>
      <c r="I465" t="n">
        <v>0</v>
      </c>
      <c r="J465" t="n">
        <v>0</v>
      </c>
      <c r="K465" t="n">
        <v>0</v>
      </c>
      <c r="L465" t="n">
        <v>0</v>
      </c>
      <c r="M465" t="n">
        <v>0</v>
      </c>
      <c r="N465" t="n">
        <v>0</v>
      </c>
      <c r="O465" t="n">
        <v>0</v>
      </c>
      <c r="P465" t="n">
        <v>0</v>
      </c>
      <c r="Q465" t="n">
        <v>0</v>
      </c>
      <c r="R465" s="2" t="inlineStr"/>
    </row>
    <row r="466" ht="15" customHeight="1">
      <c r="A466" t="inlineStr">
        <is>
          <t>A 5309-2022</t>
        </is>
      </c>
      <c r="B466" s="1" t="n">
        <v>44594</v>
      </c>
      <c r="C466" s="1" t="n">
        <v>46138</v>
      </c>
      <c r="D466" t="inlineStr">
        <is>
          <t>UPPSALA LÄN</t>
        </is>
      </c>
      <c r="E466" t="inlineStr">
        <is>
          <t>UPPSALA</t>
        </is>
      </c>
      <c r="G466" t="n">
        <v>4.8</v>
      </c>
      <c r="H466" t="n">
        <v>0</v>
      </c>
      <c r="I466" t="n">
        <v>0</v>
      </c>
      <c r="J466" t="n">
        <v>0</v>
      </c>
      <c r="K466" t="n">
        <v>0</v>
      </c>
      <c r="L466" t="n">
        <v>0</v>
      </c>
      <c r="M466" t="n">
        <v>0</v>
      </c>
      <c r="N466" t="n">
        <v>0</v>
      </c>
      <c r="O466" t="n">
        <v>0</v>
      </c>
      <c r="P466" t="n">
        <v>0</v>
      </c>
      <c r="Q466" t="n">
        <v>0</v>
      </c>
      <c r="R466" s="2" t="inlineStr"/>
    </row>
    <row r="467" ht="15" customHeight="1">
      <c r="A467" t="inlineStr">
        <is>
          <t>A 26208-2023</t>
        </is>
      </c>
      <c r="B467" s="1" t="n">
        <v>45091</v>
      </c>
      <c r="C467" s="1" t="n">
        <v>46138</v>
      </c>
      <c r="D467" t="inlineStr">
        <is>
          <t>UPPSALA LÄN</t>
        </is>
      </c>
      <c r="E467" t="inlineStr">
        <is>
          <t>UPPSALA</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11260-2024</t>
        </is>
      </c>
      <c r="B468" s="1" t="n">
        <v>45371.67368055556</v>
      </c>
      <c r="C468" s="1" t="n">
        <v>46138</v>
      </c>
      <c r="D468" t="inlineStr">
        <is>
          <t>UPPSALA LÄN</t>
        </is>
      </c>
      <c r="E468" t="inlineStr">
        <is>
          <t>UPPSALA</t>
        </is>
      </c>
      <c r="G468" t="n">
        <v>1.9</v>
      </c>
      <c r="H468" t="n">
        <v>0</v>
      </c>
      <c r="I468" t="n">
        <v>0</v>
      </c>
      <c r="J468" t="n">
        <v>0</v>
      </c>
      <c r="K468" t="n">
        <v>0</v>
      </c>
      <c r="L468" t="n">
        <v>0</v>
      </c>
      <c r="M468" t="n">
        <v>0</v>
      </c>
      <c r="N468" t="n">
        <v>0</v>
      </c>
      <c r="O468" t="n">
        <v>0</v>
      </c>
      <c r="P468" t="n">
        <v>0</v>
      </c>
      <c r="Q468" t="n">
        <v>0</v>
      </c>
      <c r="R468" s="2" t="inlineStr"/>
    </row>
    <row r="469" ht="15" customHeight="1">
      <c r="A469" t="inlineStr">
        <is>
          <t>A 24012-2023</t>
        </is>
      </c>
      <c r="B469" s="1" t="n">
        <v>45078</v>
      </c>
      <c r="C469" s="1" t="n">
        <v>46138</v>
      </c>
      <c r="D469" t="inlineStr">
        <is>
          <t>UPPSALA LÄN</t>
        </is>
      </c>
      <c r="E469" t="inlineStr">
        <is>
          <t>UPPSALA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10612-2025</t>
        </is>
      </c>
      <c r="B470" s="1" t="n">
        <v>45721.60894675926</v>
      </c>
      <c r="C470" s="1" t="n">
        <v>46138</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3973-2025</t>
        </is>
      </c>
      <c r="B471" s="1" t="n">
        <v>45684</v>
      </c>
      <c r="C471" s="1" t="n">
        <v>46138</v>
      </c>
      <c r="D471" t="inlineStr">
        <is>
          <t>UPPSALA LÄN</t>
        </is>
      </c>
      <c r="E471" t="inlineStr">
        <is>
          <t>UPPSALA</t>
        </is>
      </c>
      <c r="G471" t="n">
        <v>8</v>
      </c>
      <c r="H471" t="n">
        <v>0</v>
      </c>
      <c r="I471" t="n">
        <v>0</v>
      </c>
      <c r="J471" t="n">
        <v>0</v>
      </c>
      <c r="K471" t="n">
        <v>0</v>
      </c>
      <c r="L471" t="n">
        <v>0</v>
      </c>
      <c r="M471" t="n">
        <v>0</v>
      </c>
      <c r="N471" t="n">
        <v>0</v>
      </c>
      <c r="O471" t="n">
        <v>0</v>
      </c>
      <c r="P471" t="n">
        <v>0</v>
      </c>
      <c r="Q471" t="n">
        <v>0</v>
      </c>
      <c r="R471" s="2" t="inlineStr"/>
    </row>
    <row r="472" ht="15" customHeight="1">
      <c r="A472" t="inlineStr">
        <is>
          <t>A 16324-2024</t>
        </is>
      </c>
      <c r="B472" s="1" t="n">
        <v>45407.49721064815</v>
      </c>
      <c r="C472" s="1" t="n">
        <v>46138</v>
      </c>
      <c r="D472" t="inlineStr">
        <is>
          <t>UPPSALA LÄN</t>
        </is>
      </c>
      <c r="E472" t="inlineStr">
        <is>
          <t>UPPSALA</t>
        </is>
      </c>
      <c r="G472" t="n">
        <v>2.3</v>
      </c>
      <c r="H472" t="n">
        <v>0</v>
      </c>
      <c r="I472" t="n">
        <v>0</v>
      </c>
      <c r="J472" t="n">
        <v>0</v>
      </c>
      <c r="K472" t="n">
        <v>0</v>
      </c>
      <c r="L472" t="n">
        <v>0</v>
      </c>
      <c r="M472" t="n">
        <v>0</v>
      </c>
      <c r="N472" t="n">
        <v>0</v>
      </c>
      <c r="O472" t="n">
        <v>0</v>
      </c>
      <c r="P472" t="n">
        <v>0</v>
      </c>
      <c r="Q472" t="n">
        <v>0</v>
      </c>
      <c r="R472" s="2" t="inlineStr"/>
    </row>
    <row r="473" ht="15" customHeight="1">
      <c r="A473" t="inlineStr">
        <is>
          <t>A 42276-2024</t>
        </is>
      </c>
      <c r="B473" s="1" t="n">
        <v>45562</v>
      </c>
      <c r="C473" s="1" t="n">
        <v>46138</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42131-2023</t>
        </is>
      </c>
      <c r="B474" s="1" t="n">
        <v>45177.79766203704</v>
      </c>
      <c r="C474" s="1" t="n">
        <v>46138</v>
      </c>
      <c r="D474" t="inlineStr">
        <is>
          <t>UPPSALA LÄN</t>
        </is>
      </c>
      <c r="E474" t="inlineStr">
        <is>
          <t>UPPSALA</t>
        </is>
      </c>
      <c r="F474" t="inlineStr">
        <is>
          <t>Allmännings- och besparingsskogar</t>
        </is>
      </c>
      <c r="G474" t="n">
        <v>6.3</v>
      </c>
      <c r="H474" t="n">
        <v>0</v>
      </c>
      <c r="I474" t="n">
        <v>0</v>
      </c>
      <c r="J474" t="n">
        <v>0</v>
      </c>
      <c r="K474" t="n">
        <v>0</v>
      </c>
      <c r="L474" t="n">
        <v>0</v>
      </c>
      <c r="M474" t="n">
        <v>0</v>
      </c>
      <c r="N474" t="n">
        <v>0</v>
      </c>
      <c r="O474" t="n">
        <v>0</v>
      </c>
      <c r="P474" t="n">
        <v>0</v>
      </c>
      <c r="Q474" t="n">
        <v>0</v>
      </c>
      <c r="R474" s="2" t="inlineStr"/>
    </row>
    <row r="475" ht="15" customHeight="1">
      <c r="A475" t="inlineStr">
        <is>
          <t>A 40503-2024</t>
        </is>
      </c>
      <c r="B475" s="1" t="n">
        <v>45555.5727662037</v>
      </c>
      <c r="C475" s="1" t="n">
        <v>46138</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56564-2024</t>
        </is>
      </c>
      <c r="B476" s="1" t="n">
        <v>45625.58501157408</v>
      </c>
      <c r="C476" s="1" t="n">
        <v>46138</v>
      </c>
      <c r="D476" t="inlineStr">
        <is>
          <t>UPPSALA LÄN</t>
        </is>
      </c>
      <c r="E476" t="inlineStr">
        <is>
          <t>UPPSALA</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30583-2025</t>
        </is>
      </c>
      <c r="B477" s="1" t="n">
        <v>45831.42365740741</v>
      </c>
      <c r="C477" s="1" t="n">
        <v>46138</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44470-2025</t>
        </is>
      </c>
      <c r="B478" s="1" t="n">
        <v>45916</v>
      </c>
      <c r="C478" s="1" t="n">
        <v>46138</v>
      </c>
      <c r="D478" t="inlineStr">
        <is>
          <t>UPPSALA LÄN</t>
        </is>
      </c>
      <c r="E478" t="inlineStr">
        <is>
          <t>UPPSALA</t>
        </is>
      </c>
      <c r="G478" t="n">
        <v>0.5</v>
      </c>
      <c r="H478" t="n">
        <v>0</v>
      </c>
      <c r="I478" t="n">
        <v>0</v>
      </c>
      <c r="J478" t="n">
        <v>0</v>
      </c>
      <c r="K478" t="n">
        <v>0</v>
      </c>
      <c r="L478" t="n">
        <v>0</v>
      </c>
      <c r="M478" t="n">
        <v>0</v>
      </c>
      <c r="N478" t="n">
        <v>0</v>
      </c>
      <c r="O478" t="n">
        <v>0</v>
      </c>
      <c r="P478" t="n">
        <v>0</v>
      </c>
      <c r="Q478" t="n">
        <v>0</v>
      </c>
      <c r="R478" s="2" t="inlineStr"/>
    </row>
    <row r="479" ht="15" customHeight="1">
      <c r="A479" t="inlineStr">
        <is>
          <t>A 4980-2024</t>
        </is>
      </c>
      <c r="B479" s="1" t="n">
        <v>45329</v>
      </c>
      <c r="C479" s="1" t="n">
        <v>46138</v>
      </c>
      <c r="D479" t="inlineStr">
        <is>
          <t>UPPSALA LÄN</t>
        </is>
      </c>
      <c r="E479" t="inlineStr">
        <is>
          <t>UPPSALA</t>
        </is>
      </c>
      <c r="G479" t="n">
        <v>10.8</v>
      </c>
      <c r="H479" t="n">
        <v>0</v>
      </c>
      <c r="I479" t="n">
        <v>0</v>
      </c>
      <c r="J479" t="n">
        <v>0</v>
      </c>
      <c r="K479" t="n">
        <v>0</v>
      </c>
      <c r="L479" t="n">
        <v>0</v>
      </c>
      <c r="M479" t="n">
        <v>0</v>
      </c>
      <c r="N479" t="n">
        <v>0</v>
      </c>
      <c r="O479" t="n">
        <v>0</v>
      </c>
      <c r="P479" t="n">
        <v>0</v>
      </c>
      <c r="Q479" t="n">
        <v>0</v>
      </c>
      <c r="R479" s="2" t="inlineStr"/>
    </row>
    <row r="480" ht="15" customHeight="1">
      <c r="A480" t="inlineStr">
        <is>
          <t>A 43818-2023</t>
        </is>
      </c>
      <c r="B480" s="1" t="n">
        <v>45182</v>
      </c>
      <c r="C480" s="1" t="n">
        <v>46138</v>
      </c>
      <c r="D480" t="inlineStr">
        <is>
          <t>UPPSALA LÄN</t>
        </is>
      </c>
      <c r="E480" t="inlineStr">
        <is>
          <t>UPPSALA</t>
        </is>
      </c>
      <c r="G480" t="n">
        <v>10.8</v>
      </c>
      <c r="H480" t="n">
        <v>0</v>
      </c>
      <c r="I480" t="n">
        <v>0</v>
      </c>
      <c r="J480" t="n">
        <v>0</v>
      </c>
      <c r="K480" t="n">
        <v>0</v>
      </c>
      <c r="L480" t="n">
        <v>0</v>
      </c>
      <c r="M480" t="n">
        <v>0</v>
      </c>
      <c r="N480" t="n">
        <v>0</v>
      </c>
      <c r="O480" t="n">
        <v>0</v>
      </c>
      <c r="P480" t="n">
        <v>0</v>
      </c>
      <c r="Q480" t="n">
        <v>0</v>
      </c>
      <c r="R480" s="2" t="inlineStr"/>
    </row>
    <row r="481" ht="15" customHeight="1">
      <c r="A481" t="inlineStr">
        <is>
          <t>A 750-2022</t>
        </is>
      </c>
      <c r="B481" s="1" t="n">
        <v>44569.49344907407</v>
      </c>
      <c r="C481" s="1" t="n">
        <v>46138</v>
      </c>
      <c r="D481" t="inlineStr">
        <is>
          <t>UPPSALA LÄN</t>
        </is>
      </c>
      <c r="E481" t="inlineStr">
        <is>
          <t>UPPSALA</t>
        </is>
      </c>
      <c r="F481" t="inlineStr">
        <is>
          <t>Holmen skog AB</t>
        </is>
      </c>
      <c r="G481" t="n">
        <v>6</v>
      </c>
      <c r="H481" t="n">
        <v>0</v>
      </c>
      <c r="I481" t="n">
        <v>0</v>
      </c>
      <c r="J481" t="n">
        <v>0</v>
      </c>
      <c r="K481" t="n">
        <v>0</v>
      </c>
      <c r="L481" t="n">
        <v>0</v>
      </c>
      <c r="M481" t="n">
        <v>0</v>
      </c>
      <c r="N481" t="n">
        <v>0</v>
      </c>
      <c r="O481" t="n">
        <v>0</v>
      </c>
      <c r="P481" t="n">
        <v>0</v>
      </c>
      <c r="Q481" t="n">
        <v>0</v>
      </c>
      <c r="R481" s="2" t="inlineStr"/>
    </row>
    <row r="482" ht="15" customHeight="1">
      <c r="A482" t="inlineStr">
        <is>
          <t>A 46751-2024</t>
        </is>
      </c>
      <c r="B482" s="1" t="n">
        <v>45583.48449074074</v>
      </c>
      <c r="C482" s="1" t="n">
        <v>46138</v>
      </c>
      <c r="D482" t="inlineStr">
        <is>
          <t>UPPSALA LÄN</t>
        </is>
      </c>
      <c r="E482" t="inlineStr">
        <is>
          <t>UPPSALA</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9206-2022</t>
        </is>
      </c>
      <c r="B483" s="1" t="n">
        <v>44616</v>
      </c>
      <c r="C483" s="1" t="n">
        <v>46138</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45489-2023</t>
        </is>
      </c>
      <c r="B484" s="1" t="n">
        <v>45194</v>
      </c>
      <c r="C484" s="1" t="n">
        <v>46138</v>
      </c>
      <c r="D484" t="inlineStr">
        <is>
          <t>UPPSALA LÄN</t>
        </is>
      </c>
      <c r="E484" t="inlineStr">
        <is>
          <t>UPPSALA</t>
        </is>
      </c>
      <c r="F484" t="inlineStr">
        <is>
          <t>Allmännings- och besparingsskogar</t>
        </is>
      </c>
      <c r="G484" t="n">
        <v>15.8</v>
      </c>
      <c r="H484" t="n">
        <v>0</v>
      </c>
      <c r="I484" t="n">
        <v>0</v>
      </c>
      <c r="J484" t="n">
        <v>0</v>
      </c>
      <c r="K484" t="n">
        <v>0</v>
      </c>
      <c r="L484" t="n">
        <v>0</v>
      </c>
      <c r="M484" t="n">
        <v>0</v>
      </c>
      <c r="N484" t="n">
        <v>0</v>
      </c>
      <c r="O484" t="n">
        <v>0</v>
      </c>
      <c r="P484" t="n">
        <v>0</v>
      </c>
      <c r="Q484" t="n">
        <v>0</v>
      </c>
      <c r="R484" s="2" t="inlineStr"/>
    </row>
    <row r="485" ht="15" customHeight="1">
      <c r="A485" t="inlineStr">
        <is>
          <t>A 53906-2023</t>
        </is>
      </c>
      <c r="B485" s="1" t="n">
        <v>45231</v>
      </c>
      <c r="C485" s="1" t="n">
        <v>46138</v>
      </c>
      <c r="D485" t="inlineStr">
        <is>
          <t>UPPSALA LÄN</t>
        </is>
      </c>
      <c r="E485" t="inlineStr">
        <is>
          <t>UPPSALA</t>
        </is>
      </c>
      <c r="G485" t="n">
        <v>13.2</v>
      </c>
      <c r="H485" t="n">
        <v>0</v>
      </c>
      <c r="I485" t="n">
        <v>0</v>
      </c>
      <c r="J485" t="n">
        <v>0</v>
      </c>
      <c r="K485" t="n">
        <v>0</v>
      </c>
      <c r="L485" t="n">
        <v>0</v>
      </c>
      <c r="M485" t="n">
        <v>0</v>
      </c>
      <c r="N485" t="n">
        <v>0</v>
      </c>
      <c r="O485" t="n">
        <v>0</v>
      </c>
      <c r="P485" t="n">
        <v>0</v>
      </c>
      <c r="Q485" t="n">
        <v>0</v>
      </c>
      <c r="R485" s="2" t="inlineStr"/>
    </row>
    <row r="486" ht="15" customHeight="1">
      <c r="A486" t="inlineStr">
        <is>
          <t>A 22930-2025</t>
        </is>
      </c>
      <c r="B486" s="1" t="n">
        <v>45790.44972222222</v>
      </c>
      <c r="C486" s="1" t="n">
        <v>46138</v>
      </c>
      <c r="D486" t="inlineStr">
        <is>
          <t>UPPSALA LÄN</t>
        </is>
      </c>
      <c r="E486" t="inlineStr">
        <is>
          <t>UPPSALA</t>
        </is>
      </c>
      <c r="G486" t="n">
        <v>7.7</v>
      </c>
      <c r="H486" t="n">
        <v>0</v>
      </c>
      <c r="I486" t="n">
        <v>0</v>
      </c>
      <c r="J486" t="n">
        <v>0</v>
      </c>
      <c r="K486" t="n">
        <v>0</v>
      </c>
      <c r="L486" t="n">
        <v>0</v>
      </c>
      <c r="M486" t="n">
        <v>0</v>
      </c>
      <c r="N486" t="n">
        <v>0</v>
      </c>
      <c r="O486" t="n">
        <v>0</v>
      </c>
      <c r="P486" t="n">
        <v>0</v>
      </c>
      <c r="Q486" t="n">
        <v>0</v>
      </c>
      <c r="R486" s="2" t="inlineStr"/>
    </row>
    <row r="487" ht="15" customHeight="1">
      <c r="A487" t="inlineStr">
        <is>
          <t>A 55073-2022</t>
        </is>
      </c>
      <c r="B487" s="1" t="n">
        <v>44886.5928125</v>
      </c>
      <c r="C487" s="1" t="n">
        <v>46138</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33816-2024</t>
        </is>
      </c>
      <c r="B488" s="1" t="n">
        <v>45520</v>
      </c>
      <c r="C488" s="1" t="n">
        <v>46138</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44813-2025</t>
        </is>
      </c>
      <c r="B489" s="1" t="n">
        <v>45918.37322916667</v>
      </c>
      <c r="C489" s="1" t="n">
        <v>46138</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47083-2023</t>
        </is>
      </c>
      <c r="B490" s="1" t="n">
        <v>45201.62318287037</v>
      </c>
      <c r="C490" s="1" t="n">
        <v>46138</v>
      </c>
      <c r="D490" t="inlineStr">
        <is>
          <t>UPPSALA LÄN</t>
        </is>
      </c>
      <c r="E490" t="inlineStr">
        <is>
          <t>UPPSALA</t>
        </is>
      </c>
      <c r="G490" t="n">
        <v>0.7</v>
      </c>
      <c r="H490" t="n">
        <v>0</v>
      </c>
      <c r="I490" t="n">
        <v>0</v>
      </c>
      <c r="J490" t="n">
        <v>0</v>
      </c>
      <c r="K490" t="n">
        <v>0</v>
      </c>
      <c r="L490" t="n">
        <v>0</v>
      </c>
      <c r="M490" t="n">
        <v>0</v>
      </c>
      <c r="N490" t="n">
        <v>0</v>
      </c>
      <c r="O490" t="n">
        <v>0</v>
      </c>
      <c r="P490" t="n">
        <v>0</v>
      </c>
      <c r="Q490" t="n">
        <v>0</v>
      </c>
      <c r="R490" s="2" t="inlineStr"/>
    </row>
    <row r="491" ht="15" customHeight="1">
      <c r="A491" t="inlineStr">
        <is>
          <t>A 9981-2025</t>
        </is>
      </c>
      <c r="B491" s="1" t="n">
        <v>45719.40723379629</v>
      </c>
      <c r="C491" s="1" t="n">
        <v>46138</v>
      </c>
      <c r="D491" t="inlineStr">
        <is>
          <t>UPPSALA LÄN</t>
        </is>
      </c>
      <c r="E491" t="inlineStr">
        <is>
          <t>UPPSALA</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60698-2024</t>
        </is>
      </c>
      <c r="B492" s="1" t="n">
        <v>45644</v>
      </c>
      <c r="C492" s="1" t="n">
        <v>46138</v>
      </c>
      <c r="D492" t="inlineStr">
        <is>
          <t>UPPSALA LÄN</t>
        </is>
      </c>
      <c r="E492" t="inlineStr">
        <is>
          <t>UPPSALA</t>
        </is>
      </c>
      <c r="G492" t="n">
        <v>2</v>
      </c>
      <c r="H492" t="n">
        <v>0</v>
      </c>
      <c r="I492" t="n">
        <v>0</v>
      </c>
      <c r="J492" t="n">
        <v>0</v>
      </c>
      <c r="K492" t="n">
        <v>0</v>
      </c>
      <c r="L492" t="n">
        <v>0</v>
      </c>
      <c r="M492" t="n">
        <v>0</v>
      </c>
      <c r="N492" t="n">
        <v>0</v>
      </c>
      <c r="O492" t="n">
        <v>0</v>
      </c>
      <c r="P492" t="n">
        <v>0</v>
      </c>
      <c r="Q492" t="n">
        <v>0</v>
      </c>
      <c r="R492" s="2" t="inlineStr"/>
    </row>
    <row r="493" ht="15" customHeight="1">
      <c r="A493" t="inlineStr">
        <is>
          <t>A 60735-2024</t>
        </is>
      </c>
      <c r="B493" s="1" t="n">
        <v>45644</v>
      </c>
      <c r="C493" s="1" t="n">
        <v>46138</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11339-2025</t>
        </is>
      </c>
      <c r="B494" s="1" t="n">
        <v>45726</v>
      </c>
      <c r="C494" s="1" t="n">
        <v>46138</v>
      </c>
      <c r="D494" t="inlineStr">
        <is>
          <t>UPPSALA LÄN</t>
        </is>
      </c>
      <c r="E494" t="inlineStr">
        <is>
          <t>UPPSALA</t>
        </is>
      </c>
      <c r="G494" t="n">
        <v>13.4</v>
      </c>
      <c r="H494" t="n">
        <v>0</v>
      </c>
      <c r="I494" t="n">
        <v>0</v>
      </c>
      <c r="J494" t="n">
        <v>0</v>
      </c>
      <c r="K494" t="n">
        <v>0</v>
      </c>
      <c r="L494" t="n">
        <v>0</v>
      </c>
      <c r="M494" t="n">
        <v>0</v>
      </c>
      <c r="N494" t="n">
        <v>0</v>
      </c>
      <c r="O494" t="n">
        <v>0</v>
      </c>
      <c r="P494" t="n">
        <v>0</v>
      </c>
      <c r="Q494" t="n">
        <v>0</v>
      </c>
      <c r="R494" s="2" t="inlineStr"/>
    </row>
    <row r="495" ht="15" customHeight="1">
      <c r="A495" t="inlineStr">
        <is>
          <t>A 61463-2024</t>
        </is>
      </c>
      <c r="B495" s="1" t="n">
        <v>45646.50211805556</v>
      </c>
      <c r="C495" s="1" t="n">
        <v>46138</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45519-2025</t>
        </is>
      </c>
      <c r="B496" s="1" t="n">
        <v>45922</v>
      </c>
      <c r="C496" s="1" t="n">
        <v>46138</v>
      </c>
      <c r="D496" t="inlineStr">
        <is>
          <t>UPPSALA LÄN</t>
        </is>
      </c>
      <c r="E496" t="inlineStr">
        <is>
          <t>UPPSALA</t>
        </is>
      </c>
      <c r="G496" t="n">
        <v>0.3</v>
      </c>
      <c r="H496" t="n">
        <v>0</v>
      </c>
      <c r="I496" t="n">
        <v>0</v>
      </c>
      <c r="J496" t="n">
        <v>0</v>
      </c>
      <c r="K496" t="n">
        <v>0</v>
      </c>
      <c r="L496" t="n">
        <v>0</v>
      </c>
      <c r="M496" t="n">
        <v>0</v>
      </c>
      <c r="N496" t="n">
        <v>0</v>
      </c>
      <c r="O496" t="n">
        <v>0</v>
      </c>
      <c r="P496" t="n">
        <v>0</v>
      </c>
      <c r="Q496" t="n">
        <v>0</v>
      </c>
      <c r="R496" s="2" t="inlineStr"/>
    </row>
    <row r="497" ht="15" customHeight="1">
      <c r="A497" t="inlineStr">
        <is>
          <t>A 20206-2023</t>
        </is>
      </c>
      <c r="B497" s="1" t="n">
        <v>45055</v>
      </c>
      <c r="C497" s="1" t="n">
        <v>46138</v>
      </c>
      <c r="D497" t="inlineStr">
        <is>
          <t>UPPSALA LÄN</t>
        </is>
      </c>
      <c r="E497" t="inlineStr">
        <is>
          <t>UPPSALA</t>
        </is>
      </c>
      <c r="G497" t="n">
        <v>5.7</v>
      </c>
      <c r="H497" t="n">
        <v>0</v>
      </c>
      <c r="I497" t="n">
        <v>0</v>
      </c>
      <c r="J497" t="n">
        <v>0</v>
      </c>
      <c r="K497" t="n">
        <v>0</v>
      </c>
      <c r="L497" t="n">
        <v>0</v>
      </c>
      <c r="M497" t="n">
        <v>0</v>
      </c>
      <c r="N497" t="n">
        <v>0</v>
      </c>
      <c r="O497" t="n">
        <v>0</v>
      </c>
      <c r="P497" t="n">
        <v>0</v>
      </c>
      <c r="Q497" t="n">
        <v>0</v>
      </c>
      <c r="R497" s="2" t="inlineStr"/>
    </row>
    <row r="498" ht="15" customHeight="1">
      <c r="A498" t="inlineStr">
        <is>
          <t>A 22951-2025</t>
        </is>
      </c>
      <c r="B498" s="1" t="n">
        <v>45790.51040509259</v>
      </c>
      <c r="C498" s="1" t="n">
        <v>46138</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45588-2025</t>
        </is>
      </c>
      <c r="B499" s="1" t="n">
        <v>45922</v>
      </c>
      <c r="C499" s="1" t="n">
        <v>46138</v>
      </c>
      <c r="D499" t="inlineStr">
        <is>
          <t>UPPSALA LÄN</t>
        </is>
      </c>
      <c r="E499" t="inlineStr">
        <is>
          <t>UPPSALA</t>
        </is>
      </c>
      <c r="G499" t="n">
        <v>2.9</v>
      </c>
      <c r="H499" t="n">
        <v>0</v>
      </c>
      <c r="I499" t="n">
        <v>0</v>
      </c>
      <c r="J499" t="n">
        <v>0</v>
      </c>
      <c r="K499" t="n">
        <v>0</v>
      </c>
      <c r="L499" t="n">
        <v>0</v>
      </c>
      <c r="M499" t="n">
        <v>0</v>
      </c>
      <c r="N499" t="n">
        <v>0</v>
      </c>
      <c r="O499" t="n">
        <v>0</v>
      </c>
      <c r="P499" t="n">
        <v>0</v>
      </c>
      <c r="Q499" t="n">
        <v>0</v>
      </c>
      <c r="R499" s="2" t="inlineStr"/>
    </row>
    <row r="500" ht="15" customHeight="1">
      <c r="A500" t="inlineStr">
        <is>
          <t>A 60701-2022</t>
        </is>
      </c>
      <c r="B500" s="1" t="n">
        <v>44912</v>
      </c>
      <c r="C500" s="1" t="n">
        <v>46138</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45904-2025</t>
        </is>
      </c>
      <c r="B501" s="1" t="n">
        <v>45923.70230324074</v>
      </c>
      <c r="C501" s="1" t="n">
        <v>46138</v>
      </c>
      <c r="D501" t="inlineStr">
        <is>
          <t>UPPSALA LÄN</t>
        </is>
      </c>
      <c r="E501" t="inlineStr">
        <is>
          <t>UPPSALA</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37670-2022</t>
        </is>
      </c>
      <c r="B502" s="1" t="n">
        <v>44810</v>
      </c>
      <c r="C502" s="1" t="n">
        <v>46138</v>
      </c>
      <c r="D502" t="inlineStr">
        <is>
          <t>UPPSALA LÄN</t>
        </is>
      </c>
      <c r="E502" t="inlineStr">
        <is>
          <t>UPPSALA</t>
        </is>
      </c>
      <c r="G502" t="n">
        <v>2.4</v>
      </c>
      <c r="H502" t="n">
        <v>0</v>
      </c>
      <c r="I502" t="n">
        <v>0</v>
      </c>
      <c r="J502" t="n">
        <v>0</v>
      </c>
      <c r="K502" t="n">
        <v>0</v>
      </c>
      <c r="L502" t="n">
        <v>0</v>
      </c>
      <c r="M502" t="n">
        <v>0</v>
      </c>
      <c r="N502" t="n">
        <v>0</v>
      </c>
      <c r="O502" t="n">
        <v>0</v>
      </c>
      <c r="P502" t="n">
        <v>0</v>
      </c>
      <c r="Q502" t="n">
        <v>0</v>
      </c>
      <c r="R502" s="2" t="inlineStr"/>
    </row>
    <row r="503" ht="15" customHeight="1">
      <c r="A503" t="inlineStr">
        <is>
          <t>A 53614-2024</t>
        </is>
      </c>
      <c r="B503" s="1" t="n">
        <v>45611</v>
      </c>
      <c r="C503" s="1" t="n">
        <v>46138</v>
      </c>
      <c r="D503" t="inlineStr">
        <is>
          <t>UPPSALA LÄN</t>
        </is>
      </c>
      <c r="E503" t="inlineStr">
        <is>
          <t>UPPSALA</t>
        </is>
      </c>
      <c r="G503" t="n">
        <v>2.1</v>
      </c>
      <c r="H503" t="n">
        <v>0</v>
      </c>
      <c r="I503" t="n">
        <v>0</v>
      </c>
      <c r="J503" t="n">
        <v>0</v>
      </c>
      <c r="K503" t="n">
        <v>0</v>
      </c>
      <c r="L503" t="n">
        <v>0</v>
      </c>
      <c r="M503" t="n">
        <v>0</v>
      </c>
      <c r="N503" t="n">
        <v>0</v>
      </c>
      <c r="O503" t="n">
        <v>0</v>
      </c>
      <c r="P503" t="n">
        <v>0</v>
      </c>
      <c r="Q503" t="n">
        <v>0</v>
      </c>
      <c r="R503" s="2" t="inlineStr"/>
    </row>
    <row r="504" ht="15" customHeight="1">
      <c r="A504" t="inlineStr">
        <is>
          <t>A 45436-2025</t>
        </is>
      </c>
      <c r="B504" s="1" t="n">
        <v>45922.46763888889</v>
      </c>
      <c r="C504" s="1" t="n">
        <v>46138</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45405-2025</t>
        </is>
      </c>
      <c r="B505" s="1" t="n">
        <v>45922.42865740741</v>
      </c>
      <c r="C505" s="1" t="n">
        <v>46138</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45903-2025</t>
        </is>
      </c>
      <c r="B506" s="1" t="n">
        <v>45923.70146990741</v>
      </c>
      <c r="C506" s="1" t="n">
        <v>46138</v>
      </c>
      <c r="D506" t="inlineStr">
        <is>
          <t>UPPSALA LÄN</t>
        </is>
      </c>
      <c r="E506" t="inlineStr">
        <is>
          <t>UPPSALA</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45447-2025</t>
        </is>
      </c>
      <c r="B507" s="1" t="n">
        <v>45922.48148148148</v>
      </c>
      <c r="C507" s="1" t="n">
        <v>46138</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c r="U507">
        <f>HYPERLINK("https://klasma.github.io/Logging_0380/knärot/A 45447-2025 karta knärot.png", "A 45447-2025")</f>
        <v/>
      </c>
      <c r="V507">
        <f>HYPERLINK("https://klasma.github.io/Logging_0380/klagomål/A 45447-2025 FSC-klagomål.docx", "A 45447-2025")</f>
        <v/>
      </c>
      <c r="W507">
        <f>HYPERLINK("https://klasma.github.io/Logging_0380/klagomålsmail/A 45447-2025 FSC-klagomål mail.docx", "A 45447-2025")</f>
        <v/>
      </c>
      <c r="X507">
        <f>HYPERLINK("https://klasma.github.io/Logging_0380/tillsyn/A 45447-2025 tillsynsbegäran.docx", "A 45447-2025")</f>
        <v/>
      </c>
      <c r="Y507">
        <f>HYPERLINK("https://klasma.github.io/Logging_0380/tillsynsmail/A 45447-2025 tillsynsbegäran mail.docx", "A 45447-2025")</f>
        <v/>
      </c>
    </row>
    <row r="508" ht="15" customHeight="1">
      <c r="A508" t="inlineStr">
        <is>
          <t>A 16434-2024</t>
        </is>
      </c>
      <c r="B508" s="1" t="n">
        <v>45407.69575231482</v>
      </c>
      <c r="C508" s="1" t="n">
        <v>46138</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1825-2024</t>
        </is>
      </c>
      <c r="B509" s="1" t="n">
        <v>45307</v>
      </c>
      <c r="C509" s="1" t="n">
        <v>46138</v>
      </c>
      <c r="D509" t="inlineStr">
        <is>
          <t>UPPSALA LÄN</t>
        </is>
      </c>
      <c r="E509" t="inlineStr">
        <is>
          <t>UPPSALA</t>
        </is>
      </c>
      <c r="G509" t="n">
        <v>4.2</v>
      </c>
      <c r="H509" t="n">
        <v>0</v>
      </c>
      <c r="I509" t="n">
        <v>0</v>
      </c>
      <c r="J509" t="n">
        <v>0</v>
      </c>
      <c r="K509" t="n">
        <v>0</v>
      </c>
      <c r="L509" t="n">
        <v>0</v>
      </c>
      <c r="M509" t="n">
        <v>0</v>
      </c>
      <c r="N509" t="n">
        <v>0</v>
      </c>
      <c r="O509" t="n">
        <v>0</v>
      </c>
      <c r="P509" t="n">
        <v>0</v>
      </c>
      <c r="Q509" t="n">
        <v>0</v>
      </c>
      <c r="R509" s="2" t="inlineStr"/>
    </row>
    <row r="510" ht="15" customHeight="1">
      <c r="A510" t="inlineStr">
        <is>
          <t>A 64855-2021</t>
        </is>
      </c>
      <c r="B510" s="1" t="n">
        <v>44512</v>
      </c>
      <c r="C510" s="1" t="n">
        <v>46138</v>
      </c>
      <c r="D510" t="inlineStr">
        <is>
          <t>UPPSALA LÄN</t>
        </is>
      </c>
      <c r="E510" t="inlineStr">
        <is>
          <t>UPPSALA</t>
        </is>
      </c>
      <c r="G510" t="n">
        <v>3.1</v>
      </c>
      <c r="H510" t="n">
        <v>0</v>
      </c>
      <c r="I510" t="n">
        <v>0</v>
      </c>
      <c r="J510" t="n">
        <v>0</v>
      </c>
      <c r="K510" t="n">
        <v>0</v>
      </c>
      <c r="L510" t="n">
        <v>0</v>
      </c>
      <c r="M510" t="n">
        <v>0</v>
      </c>
      <c r="N510" t="n">
        <v>0</v>
      </c>
      <c r="O510" t="n">
        <v>0</v>
      </c>
      <c r="P510" t="n">
        <v>0</v>
      </c>
      <c r="Q510" t="n">
        <v>0</v>
      </c>
      <c r="R510" s="2" t="inlineStr"/>
    </row>
    <row r="511" ht="15" customHeight="1">
      <c r="A511" t="inlineStr">
        <is>
          <t>A 27622-2023</t>
        </is>
      </c>
      <c r="B511" s="1" t="n">
        <v>45097</v>
      </c>
      <c r="C511" s="1" t="n">
        <v>46138</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9993-2025</t>
        </is>
      </c>
      <c r="B512" s="1" t="n">
        <v>45719.43755787037</v>
      </c>
      <c r="C512" s="1" t="n">
        <v>46138</v>
      </c>
      <c r="D512" t="inlineStr">
        <is>
          <t>UPPSALA LÄN</t>
        </is>
      </c>
      <c r="E512" t="inlineStr">
        <is>
          <t>UPPSALA</t>
        </is>
      </c>
      <c r="F512" t="inlineStr">
        <is>
          <t>Kyrkan</t>
        </is>
      </c>
      <c r="G512" t="n">
        <v>6.1</v>
      </c>
      <c r="H512" t="n">
        <v>0</v>
      </c>
      <c r="I512" t="n">
        <v>0</v>
      </c>
      <c r="J512" t="n">
        <v>0</v>
      </c>
      <c r="K512" t="n">
        <v>0</v>
      </c>
      <c r="L512" t="n">
        <v>0</v>
      </c>
      <c r="M512" t="n">
        <v>0</v>
      </c>
      <c r="N512" t="n">
        <v>0</v>
      </c>
      <c r="O512" t="n">
        <v>0</v>
      </c>
      <c r="P512" t="n">
        <v>0</v>
      </c>
      <c r="Q512" t="n">
        <v>0</v>
      </c>
      <c r="R512" s="2" t="inlineStr"/>
    </row>
    <row r="513" ht="15" customHeight="1">
      <c r="A513" t="inlineStr">
        <is>
          <t>A 30319-2024</t>
        </is>
      </c>
      <c r="B513" s="1" t="n">
        <v>45490</v>
      </c>
      <c r="C513" s="1" t="n">
        <v>46138</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45885-2023</t>
        </is>
      </c>
      <c r="B514" s="1" t="n">
        <v>45195.64807870371</v>
      </c>
      <c r="C514" s="1" t="n">
        <v>46138</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46772-2025</t>
        </is>
      </c>
      <c r="B515" s="1" t="n">
        <v>45926.63232638889</v>
      </c>
      <c r="C515" s="1" t="n">
        <v>46138</v>
      </c>
      <c r="D515" t="inlineStr">
        <is>
          <t>UPPSALA LÄN</t>
        </is>
      </c>
      <c r="E515" t="inlineStr">
        <is>
          <t>UPPSALA</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46632-2025</t>
        </is>
      </c>
      <c r="B516" s="1" t="n">
        <v>45926.45846064815</v>
      </c>
      <c r="C516" s="1" t="n">
        <v>46138</v>
      </c>
      <c r="D516" t="inlineStr">
        <is>
          <t>UPPSALA LÄN</t>
        </is>
      </c>
      <c r="E516" t="inlineStr">
        <is>
          <t>UPPSALA</t>
        </is>
      </c>
      <c r="F516" t="inlineStr">
        <is>
          <t>Bergvik skog öst AB</t>
        </is>
      </c>
      <c r="G516" t="n">
        <v>2.9</v>
      </c>
      <c r="H516" t="n">
        <v>0</v>
      </c>
      <c r="I516" t="n">
        <v>0</v>
      </c>
      <c r="J516" t="n">
        <v>0</v>
      </c>
      <c r="K516" t="n">
        <v>0</v>
      </c>
      <c r="L516" t="n">
        <v>0</v>
      </c>
      <c r="M516" t="n">
        <v>0</v>
      </c>
      <c r="N516" t="n">
        <v>0</v>
      </c>
      <c r="O516" t="n">
        <v>0</v>
      </c>
      <c r="P516" t="n">
        <v>0</v>
      </c>
      <c r="Q516" t="n">
        <v>0</v>
      </c>
      <c r="R516" s="2" t="inlineStr"/>
    </row>
    <row r="517" ht="15" customHeight="1">
      <c r="A517" t="inlineStr">
        <is>
          <t>A 43031-2023</t>
        </is>
      </c>
      <c r="B517" s="1" t="n">
        <v>45182</v>
      </c>
      <c r="C517" s="1" t="n">
        <v>46138</v>
      </c>
      <c r="D517" t="inlineStr">
        <is>
          <t>UPPSALA LÄN</t>
        </is>
      </c>
      <c r="E517" t="inlineStr">
        <is>
          <t>UPPSALA</t>
        </is>
      </c>
      <c r="G517" t="n">
        <v>2.3</v>
      </c>
      <c r="H517" t="n">
        <v>0</v>
      </c>
      <c r="I517" t="n">
        <v>0</v>
      </c>
      <c r="J517" t="n">
        <v>0</v>
      </c>
      <c r="K517" t="n">
        <v>0</v>
      </c>
      <c r="L517" t="n">
        <v>0</v>
      </c>
      <c r="M517" t="n">
        <v>0</v>
      </c>
      <c r="N517" t="n">
        <v>0</v>
      </c>
      <c r="O517" t="n">
        <v>0</v>
      </c>
      <c r="P517" t="n">
        <v>0</v>
      </c>
      <c r="Q517" t="n">
        <v>0</v>
      </c>
      <c r="R517" s="2" t="inlineStr"/>
    </row>
    <row r="518" ht="15" customHeight="1">
      <c r="A518" t="inlineStr">
        <is>
          <t>A 20903-2024</t>
        </is>
      </c>
      <c r="B518" s="1" t="n">
        <v>45439</v>
      </c>
      <c r="C518" s="1" t="n">
        <v>46138</v>
      </c>
      <c r="D518" t="inlineStr">
        <is>
          <t>UPPSALA LÄN</t>
        </is>
      </c>
      <c r="E518" t="inlineStr">
        <is>
          <t>UPPSALA</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53384-2024</t>
        </is>
      </c>
      <c r="B519" s="1" t="n">
        <v>45614</v>
      </c>
      <c r="C519" s="1" t="n">
        <v>46138</v>
      </c>
      <c r="D519" t="inlineStr">
        <is>
          <t>UPPSALA LÄN</t>
        </is>
      </c>
      <c r="E519" t="inlineStr">
        <is>
          <t>UPPSALA</t>
        </is>
      </c>
      <c r="G519" t="n">
        <v>3.7</v>
      </c>
      <c r="H519" t="n">
        <v>0</v>
      </c>
      <c r="I519" t="n">
        <v>0</v>
      </c>
      <c r="J519" t="n">
        <v>0</v>
      </c>
      <c r="K519" t="n">
        <v>0</v>
      </c>
      <c r="L519" t="n">
        <v>0</v>
      </c>
      <c r="M519" t="n">
        <v>0</v>
      </c>
      <c r="N519" t="n">
        <v>0</v>
      </c>
      <c r="O519" t="n">
        <v>0</v>
      </c>
      <c r="P519" t="n">
        <v>0</v>
      </c>
      <c r="Q519" t="n">
        <v>0</v>
      </c>
      <c r="R519" s="2" t="inlineStr"/>
    </row>
    <row r="520" ht="15" customHeight="1">
      <c r="A520" t="inlineStr">
        <is>
          <t>A 5876-2024</t>
        </is>
      </c>
      <c r="B520" s="1" t="n">
        <v>45335.66331018518</v>
      </c>
      <c r="C520" s="1" t="n">
        <v>46138</v>
      </c>
      <c r="D520" t="inlineStr">
        <is>
          <t>UPPSALA LÄN</t>
        </is>
      </c>
      <c r="E520" t="inlineStr">
        <is>
          <t>UPPSALA</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46571-2025</t>
        </is>
      </c>
      <c r="B521" s="1" t="n">
        <v>45926.366875</v>
      </c>
      <c r="C521" s="1" t="n">
        <v>46138</v>
      </c>
      <c r="D521" t="inlineStr">
        <is>
          <t>UPPSALA LÄN</t>
        </is>
      </c>
      <c r="E521" t="inlineStr">
        <is>
          <t>UPPSALA</t>
        </is>
      </c>
      <c r="F521" t="inlineStr">
        <is>
          <t>Bergvik skog öst AB</t>
        </is>
      </c>
      <c r="G521" t="n">
        <v>11.1</v>
      </c>
      <c r="H521" t="n">
        <v>0</v>
      </c>
      <c r="I521" t="n">
        <v>0</v>
      </c>
      <c r="J521" t="n">
        <v>0</v>
      </c>
      <c r="K521" t="n">
        <v>0</v>
      </c>
      <c r="L521" t="n">
        <v>0</v>
      </c>
      <c r="M521" t="n">
        <v>0</v>
      </c>
      <c r="N521" t="n">
        <v>0</v>
      </c>
      <c r="O521" t="n">
        <v>0</v>
      </c>
      <c r="P521" t="n">
        <v>0</v>
      </c>
      <c r="Q521" t="n">
        <v>0</v>
      </c>
      <c r="R521" s="2" t="inlineStr"/>
    </row>
    <row r="522" ht="15" customHeight="1">
      <c r="A522" t="inlineStr">
        <is>
          <t>A 46773-2025</t>
        </is>
      </c>
      <c r="B522" s="1" t="n">
        <v>45926.63290509259</v>
      </c>
      <c r="C522" s="1" t="n">
        <v>46138</v>
      </c>
      <c r="D522" t="inlineStr">
        <is>
          <t>UPPSALA LÄN</t>
        </is>
      </c>
      <c r="E522" t="inlineStr">
        <is>
          <t>UPPSALA</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47131-2025</t>
        </is>
      </c>
      <c r="B523" s="1" t="n">
        <v>45929.69553240741</v>
      </c>
      <c r="C523" s="1" t="n">
        <v>46138</v>
      </c>
      <c r="D523" t="inlineStr">
        <is>
          <t>UPPSALA LÄN</t>
        </is>
      </c>
      <c r="E523" t="inlineStr">
        <is>
          <t>UPPSALA</t>
        </is>
      </c>
      <c r="F523" t="inlineStr">
        <is>
          <t>Kyrkan</t>
        </is>
      </c>
      <c r="G523" t="n">
        <v>1.9</v>
      </c>
      <c r="H523" t="n">
        <v>0</v>
      </c>
      <c r="I523" t="n">
        <v>0</v>
      </c>
      <c r="J523" t="n">
        <v>0</v>
      </c>
      <c r="K523" t="n">
        <v>0</v>
      </c>
      <c r="L523" t="n">
        <v>0</v>
      </c>
      <c r="M523" t="n">
        <v>0</v>
      </c>
      <c r="N523" t="n">
        <v>0</v>
      </c>
      <c r="O523" t="n">
        <v>0</v>
      </c>
      <c r="P523" t="n">
        <v>0</v>
      </c>
      <c r="Q523" t="n">
        <v>0</v>
      </c>
      <c r="R523" s="2" t="inlineStr"/>
    </row>
    <row r="524" ht="15" customHeight="1">
      <c r="A524" t="inlineStr">
        <is>
          <t>A 47132-2025</t>
        </is>
      </c>
      <c r="B524" s="1" t="n">
        <v>45929.6965162037</v>
      </c>
      <c r="C524" s="1" t="n">
        <v>46138</v>
      </c>
      <c r="D524" t="inlineStr">
        <is>
          <t>UPPSALA LÄN</t>
        </is>
      </c>
      <c r="E524" t="inlineStr">
        <is>
          <t>UPPSALA</t>
        </is>
      </c>
      <c r="F524" t="inlineStr">
        <is>
          <t>Kyrkan</t>
        </is>
      </c>
      <c r="G524" t="n">
        <v>1.9</v>
      </c>
      <c r="H524" t="n">
        <v>0</v>
      </c>
      <c r="I524" t="n">
        <v>0</v>
      </c>
      <c r="J524" t="n">
        <v>0</v>
      </c>
      <c r="K524" t="n">
        <v>0</v>
      </c>
      <c r="L524" t="n">
        <v>0</v>
      </c>
      <c r="M524" t="n">
        <v>0</v>
      </c>
      <c r="N524" t="n">
        <v>0</v>
      </c>
      <c r="O524" t="n">
        <v>0</v>
      </c>
      <c r="P524" t="n">
        <v>0</v>
      </c>
      <c r="Q524" t="n">
        <v>0</v>
      </c>
      <c r="R524" s="2" t="inlineStr"/>
    </row>
    <row r="525" ht="15" customHeight="1">
      <c r="A525" t="inlineStr">
        <is>
          <t>A 59098-2024</t>
        </is>
      </c>
      <c r="B525" s="1" t="n">
        <v>45636</v>
      </c>
      <c r="C525" s="1" t="n">
        <v>46138</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24268-2025</t>
        </is>
      </c>
      <c r="B526" s="1" t="n">
        <v>45797.42777777778</v>
      </c>
      <c r="C526" s="1" t="n">
        <v>46138</v>
      </c>
      <c r="D526" t="inlineStr">
        <is>
          <t>UPPSALA LÄN</t>
        </is>
      </c>
      <c r="E526" t="inlineStr">
        <is>
          <t>UPPSALA</t>
        </is>
      </c>
      <c r="G526" t="n">
        <v>2.5</v>
      </c>
      <c r="H526" t="n">
        <v>0</v>
      </c>
      <c r="I526" t="n">
        <v>0</v>
      </c>
      <c r="J526" t="n">
        <v>0</v>
      </c>
      <c r="K526" t="n">
        <v>0</v>
      </c>
      <c r="L526" t="n">
        <v>0</v>
      </c>
      <c r="M526" t="n">
        <v>0</v>
      </c>
      <c r="N526" t="n">
        <v>0</v>
      </c>
      <c r="O526" t="n">
        <v>0</v>
      </c>
      <c r="P526" t="n">
        <v>0</v>
      </c>
      <c r="Q526" t="n">
        <v>0</v>
      </c>
      <c r="R526" s="2" t="inlineStr"/>
    </row>
    <row r="527" ht="15" customHeight="1">
      <c r="A527" t="inlineStr">
        <is>
          <t>A 46983-2025</t>
        </is>
      </c>
      <c r="B527" s="1" t="n">
        <v>45929.53203703704</v>
      </c>
      <c r="C527" s="1" t="n">
        <v>46138</v>
      </c>
      <c r="D527" t="inlineStr">
        <is>
          <t>UPPSALA LÄN</t>
        </is>
      </c>
      <c r="E527" t="inlineStr">
        <is>
          <t>UPPSALA</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24284-2025</t>
        </is>
      </c>
      <c r="B528" s="1" t="n">
        <v>45797.45900462963</v>
      </c>
      <c r="C528" s="1" t="n">
        <v>46138</v>
      </c>
      <c r="D528" t="inlineStr">
        <is>
          <t>UPPSALA LÄN</t>
        </is>
      </c>
      <c r="E528" t="inlineStr">
        <is>
          <t>UPPSALA</t>
        </is>
      </c>
      <c r="F528" t="inlineStr">
        <is>
          <t>Holmen skog AB</t>
        </is>
      </c>
      <c r="G528" t="n">
        <v>12.7</v>
      </c>
      <c r="H528" t="n">
        <v>0</v>
      </c>
      <c r="I528" t="n">
        <v>0</v>
      </c>
      <c r="J528" t="n">
        <v>0</v>
      </c>
      <c r="K528" t="n">
        <v>0</v>
      </c>
      <c r="L528" t="n">
        <v>0</v>
      </c>
      <c r="M528" t="n">
        <v>0</v>
      </c>
      <c r="N528" t="n">
        <v>0</v>
      </c>
      <c r="O528" t="n">
        <v>0</v>
      </c>
      <c r="P528" t="n">
        <v>0</v>
      </c>
      <c r="Q528" t="n">
        <v>0</v>
      </c>
      <c r="R528" s="2" t="inlineStr"/>
    </row>
    <row r="529" ht="15" customHeight="1">
      <c r="A529" t="inlineStr">
        <is>
          <t>A 46775-2025</t>
        </is>
      </c>
      <c r="B529" s="1" t="n">
        <v>45926.63366898148</v>
      </c>
      <c r="C529" s="1" t="n">
        <v>46138</v>
      </c>
      <c r="D529" t="inlineStr">
        <is>
          <t>UPPSALA LÄN</t>
        </is>
      </c>
      <c r="E529" t="inlineStr">
        <is>
          <t>UPPSALA</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32688-2023</t>
        </is>
      </c>
      <c r="B530" s="1" t="n">
        <v>45121</v>
      </c>
      <c r="C530" s="1" t="n">
        <v>46138</v>
      </c>
      <c r="D530" t="inlineStr">
        <is>
          <t>UPPSALA LÄN</t>
        </is>
      </c>
      <c r="E530" t="inlineStr">
        <is>
          <t>UPPSALA</t>
        </is>
      </c>
      <c r="F530" t="inlineStr">
        <is>
          <t>Holmen skog AB</t>
        </is>
      </c>
      <c r="G530" t="n">
        <v>4.3</v>
      </c>
      <c r="H530" t="n">
        <v>0</v>
      </c>
      <c r="I530" t="n">
        <v>0</v>
      </c>
      <c r="J530" t="n">
        <v>0</v>
      </c>
      <c r="K530" t="n">
        <v>0</v>
      </c>
      <c r="L530" t="n">
        <v>0</v>
      </c>
      <c r="M530" t="n">
        <v>0</v>
      </c>
      <c r="N530" t="n">
        <v>0</v>
      </c>
      <c r="O530" t="n">
        <v>0</v>
      </c>
      <c r="P530" t="n">
        <v>0</v>
      </c>
      <c r="Q530" t="n">
        <v>0</v>
      </c>
      <c r="R530" s="2" t="inlineStr"/>
    </row>
    <row r="531" ht="15" customHeight="1">
      <c r="A531" t="inlineStr">
        <is>
          <t>A 53266-2024</t>
        </is>
      </c>
      <c r="B531" s="1" t="n">
        <v>45614</v>
      </c>
      <c r="C531" s="1" t="n">
        <v>46138</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34520-2024</t>
        </is>
      </c>
      <c r="B532" s="1" t="n">
        <v>45525</v>
      </c>
      <c r="C532" s="1" t="n">
        <v>46138</v>
      </c>
      <c r="D532" t="inlineStr">
        <is>
          <t>UPPSALA LÄN</t>
        </is>
      </c>
      <c r="E532" t="inlineStr">
        <is>
          <t>UPPSALA</t>
        </is>
      </c>
      <c r="G532" t="n">
        <v>2.5</v>
      </c>
      <c r="H532" t="n">
        <v>0</v>
      </c>
      <c r="I532" t="n">
        <v>0</v>
      </c>
      <c r="J532" t="n">
        <v>0</v>
      </c>
      <c r="K532" t="n">
        <v>0</v>
      </c>
      <c r="L532" t="n">
        <v>0</v>
      </c>
      <c r="M532" t="n">
        <v>0</v>
      </c>
      <c r="N532" t="n">
        <v>0</v>
      </c>
      <c r="O532" t="n">
        <v>0</v>
      </c>
      <c r="P532" t="n">
        <v>0</v>
      </c>
      <c r="Q532" t="n">
        <v>0</v>
      </c>
      <c r="R532" s="2" t="inlineStr"/>
    </row>
    <row r="533" ht="15" customHeight="1">
      <c r="A533" t="inlineStr">
        <is>
          <t>A 19539-2024</t>
        </is>
      </c>
      <c r="B533" s="1" t="n">
        <v>45429</v>
      </c>
      <c r="C533" s="1" t="n">
        <v>46138</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46564-2025</t>
        </is>
      </c>
      <c r="B534" s="1" t="n">
        <v>45926.35917824074</v>
      </c>
      <c r="C534" s="1" t="n">
        <v>46138</v>
      </c>
      <c r="D534" t="inlineStr">
        <is>
          <t>UPPSALA LÄN</t>
        </is>
      </c>
      <c r="E534" t="inlineStr">
        <is>
          <t>UPPSALA</t>
        </is>
      </c>
      <c r="F534" t="inlineStr">
        <is>
          <t>Bergvik skog öst AB</t>
        </is>
      </c>
      <c r="G534" t="n">
        <v>1.8</v>
      </c>
      <c r="H534" t="n">
        <v>0</v>
      </c>
      <c r="I534" t="n">
        <v>0</v>
      </c>
      <c r="J534" t="n">
        <v>0</v>
      </c>
      <c r="K534" t="n">
        <v>0</v>
      </c>
      <c r="L534" t="n">
        <v>0</v>
      </c>
      <c r="M534" t="n">
        <v>0</v>
      </c>
      <c r="N534" t="n">
        <v>0</v>
      </c>
      <c r="O534" t="n">
        <v>0</v>
      </c>
      <c r="P534" t="n">
        <v>0</v>
      </c>
      <c r="Q534" t="n">
        <v>0</v>
      </c>
      <c r="R534" s="2" t="inlineStr"/>
    </row>
    <row r="535" ht="15" customHeight="1">
      <c r="A535" t="inlineStr">
        <is>
          <t>A 46565-2025</t>
        </is>
      </c>
      <c r="B535" s="1" t="n">
        <v>45926.35998842592</v>
      </c>
      <c r="C535" s="1" t="n">
        <v>46138</v>
      </c>
      <c r="D535" t="inlineStr">
        <is>
          <t>UPPSALA LÄN</t>
        </is>
      </c>
      <c r="E535" t="inlineStr">
        <is>
          <t>UPPSALA</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47558-2025</t>
        </is>
      </c>
      <c r="B536" s="1" t="n">
        <v>45931.37796296296</v>
      </c>
      <c r="C536" s="1" t="n">
        <v>46138</v>
      </c>
      <c r="D536" t="inlineStr">
        <is>
          <t>UPPSALA LÄN</t>
        </is>
      </c>
      <c r="E536" t="inlineStr">
        <is>
          <t>UPPSALA</t>
        </is>
      </c>
      <c r="F536" t="inlineStr">
        <is>
          <t>Kyrkan</t>
        </is>
      </c>
      <c r="G536" t="n">
        <v>1.9</v>
      </c>
      <c r="H536" t="n">
        <v>0</v>
      </c>
      <c r="I536" t="n">
        <v>0</v>
      </c>
      <c r="J536" t="n">
        <v>0</v>
      </c>
      <c r="K536" t="n">
        <v>0</v>
      </c>
      <c r="L536" t="n">
        <v>0</v>
      </c>
      <c r="M536" t="n">
        <v>0</v>
      </c>
      <c r="N536" t="n">
        <v>0</v>
      </c>
      <c r="O536" t="n">
        <v>0</v>
      </c>
      <c r="P536" t="n">
        <v>0</v>
      </c>
      <c r="Q536" t="n">
        <v>0</v>
      </c>
      <c r="R536" s="2" t="inlineStr"/>
    </row>
    <row r="537" ht="15" customHeight="1">
      <c r="A537" t="inlineStr">
        <is>
          <t>A 47649-2025</t>
        </is>
      </c>
      <c r="B537" s="1" t="n">
        <v>45931.52792824074</v>
      </c>
      <c r="C537" s="1" t="n">
        <v>46138</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12282-2025</t>
        </is>
      </c>
      <c r="B538" s="1" t="n">
        <v>45729</v>
      </c>
      <c r="C538" s="1" t="n">
        <v>46138</v>
      </c>
      <c r="D538" t="inlineStr">
        <is>
          <t>UPPSALA LÄN</t>
        </is>
      </c>
      <c r="E538" t="inlineStr">
        <is>
          <t>UPPSALA</t>
        </is>
      </c>
      <c r="G538" t="n">
        <v>3.3</v>
      </c>
      <c r="H538" t="n">
        <v>0</v>
      </c>
      <c r="I538" t="n">
        <v>0</v>
      </c>
      <c r="J538" t="n">
        <v>0</v>
      </c>
      <c r="K538" t="n">
        <v>0</v>
      </c>
      <c r="L538" t="n">
        <v>0</v>
      </c>
      <c r="M538" t="n">
        <v>0</v>
      </c>
      <c r="N538" t="n">
        <v>0</v>
      </c>
      <c r="O538" t="n">
        <v>0</v>
      </c>
      <c r="P538" t="n">
        <v>0</v>
      </c>
      <c r="Q538" t="n">
        <v>0</v>
      </c>
      <c r="R538" s="2" t="inlineStr"/>
    </row>
    <row r="539" ht="15" customHeight="1">
      <c r="A539" t="inlineStr">
        <is>
          <t>A 24912-2025</t>
        </is>
      </c>
      <c r="B539" s="1" t="n">
        <v>45799.53803240741</v>
      </c>
      <c r="C539" s="1" t="n">
        <v>46138</v>
      </c>
      <c r="D539" t="inlineStr">
        <is>
          <t>UPPSALA LÄN</t>
        </is>
      </c>
      <c r="E539" t="inlineStr">
        <is>
          <t>UPPSALA</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47316-2025</t>
        </is>
      </c>
      <c r="B540" s="1" t="n">
        <v>45930.55024305556</v>
      </c>
      <c r="C540" s="1" t="n">
        <v>46138</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59116-2024</t>
        </is>
      </c>
      <c r="B541" s="1" t="n">
        <v>45637</v>
      </c>
      <c r="C541" s="1" t="n">
        <v>46138</v>
      </c>
      <c r="D541" t="inlineStr">
        <is>
          <t>UPPSALA LÄN</t>
        </is>
      </c>
      <c r="E541" t="inlineStr">
        <is>
          <t>UPPSALA</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47557-2025</t>
        </is>
      </c>
      <c r="B542" s="1" t="n">
        <v>45931.37734953704</v>
      </c>
      <c r="C542" s="1" t="n">
        <v>46138</v>
      </c>
      <c r="D542" t="inlineStr">
        <is>
          <t>UPPSALA LÄN</t>
        </is>
      </c>
      <c r="E542" t="inlineStr">
        <is>
          <t>UPPSALA</t>
        </is>
      </c>
      <c r="F542" t="inlineStr">
        <is>
          <t>Kyrkan</t>
        </is>
      </c>
      <c r="G542" t="n">
        <v>1.9</v>
      </c>
      <c r="H542" t="n">
        <v>0</v>
      </c>
      <c r="I542" t="n">
        <v>0</v>
      </c>
      <c r="J542" t="n">
        <v>0</v>
      </c>
      <c r="K542" t="n">
        <v>0</v>
      </c>
      <c r="L542" t="n">
        <v>0</v>
      </c>
      <c r="M542" t="n">
        <v>0</v>
      </c>
      <c r="N542" t="n">
        <v>0</v>
      </c>
      <c r="O542" t="n">
        <v>0</v>
      </c>
      <c r="P542" t="n">
        <v>0</v>
      </c>
      <c r="Q542" t="n">
        <v>0</v>
      </c>
      <c r="R542" s="2" t="inlineStr"/>
    </row>
    <row r="543" ht="15" customHeight="1">
      <c r="A543" t="inlineStr">
        <is>
          <t>A 47690-2025</t>
        </is>
      </c>
      <c r="B543" s="1" t="n">
        <v>45931.59373842592</v>
      </c>
      <c r="C543" s="1" t="n">
        <v>46138</v>
      </c>
      <c r="D543" t="inlineStr">
        <is>
          <t>UPPSALA LÄN</t>
        </is>
      </c>
      <c r="E543" t="inlineStr">
        <is>
          <t>UPPSALA</t>
        </is>
      </c>
      <c r="F543" t="inlineStr">
        <is>
          <t>Bergvik skog öst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47688-2025</t>
        </is>
      </c>
      <c r="B544" s="1" t="n">
        <v>45931.59091435185</v>
      </c>
      <c r="C544" s="1" t="n">
        <v>46138</v>
      </c>
      <c r="D544" t="inlineStr">
        <is>
          <t>UPPSALA LÄN</t>
        </is>
      </c>
      <c r="E544" t="inlineStr">
        <is>
          <t>UPPSALA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24961-2025</t>
        </is>
      </c>
      <c r="B545" s="1" t="n">
        <v>45799.57714120371</v>
      </c>
      <c r="C545" s="1" t="n">
        <v>46138</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32479-2025</t>
        </is>
      </c>
      <c r="B546" s="1" t="n">
        <v>45838</v>
      </c>
      <c r="C546" s="1" t="n">
        <v>46138</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43795-2023</t>
        </is>
      </c>
      <c r="B547" s="1" t="n">
        <v>45182</v>
      </c>
      <c r="C547" s="1" t="n">
        <v>46138</v>
      </c>
      <c r="D547" t="inlineStr">
        <is>
          <t>UPPSALA LÄN</t>
        </is>
      </c>
      <c r="E547" t="inlineStr">
        <is>
          <t>UPPSALA</t>
        </is>
      </c>
      <c r="G547" t="n">
        <v>4.7</v>
      </c>
      <c r="H547" t="n">
        <v>0</v>
      </c>
      <c r="I547" t="n">
        <v>0</v>
      </c>
      <c r="J547" t="n">
        <v>0</v>
      </c>
      <c r="K547" t="n">
        <v>0</v>
      </c>
      <c r="L547" t="n">
        <v>0</v>
      </c>
      <c r="M547" t="n">
        <v>0</v>
      </c>
      <c r="N547" t="n">
        <v>0</v>
      </c>
      <c r="O547" t="n">
        <v>0</v>
      </c>
      <c r="P547" t="n">
        <v>0</v>
      </c>
      <c r="Q547" t="n">
        <v>0</v>
      </c>
      <c r="R547" s="2" t="inlineStr"/>
    </row>
    <row r="548" ht="15" customHeight="1">
      <c r="A548" t="inlineStr">
        <is>
          <t>A 47840-2025</t>
        </is>
      </c>
      <c r="B548" s="1" t="n">
        <v>45932.37375</v>
      </c>
      <c r="C548" s="1" t="n">
        <v>46138</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12828-2025</t>
        </is>
      </c>
      <c r="B549" s="1" t="n">
        <v>45733.62903935185</v>
      </c>
      <c r="C549" s="1" t="n">
        <v>46138</v>
      </c>
      <c r="D549" t="inlineStr">
        <is>
          <t>UPPSALA LÄN</t>
        </is>
      </c>
      <c r="E549" t="inlineStr">
        <is>
          <t>UPPSALA</t>
        </is>
      </c>
      <c r="G549" t="n">
        <v>5.3</v>
      </c>
      <c r="H549" t="n">
        <v>0</v>
      </c>
      <c r="I549" t="n">
        <v>0</v>
      </c>
      <c r="J549" t="n">
        <v>0</v>
      </c>
      <c r="K549" t="n">
        <v>0</v>
      </c>
      <c r="L549" t="n">
        <v>0</v>
      </c>
      <c r="M549" t="n">
        <v>0</v>
      </c>
      <c r="N549" t="n">
        <v>0</v>
      </c>
      <c r="O549" t="n">
        <v>0</v>
      </c>
      <c r="P549" t="n">
        <v>0</v>
      </c>
      <c r="Q549" t="n">
        <v>0</v>
      </c>
      <c r="R549" s="2" t="inlineStr"/>
    </row>
    <row r="550" ht="15" customHeight="1">
      <c r="A550" t="inlineStr">
        <is>
          <t>A 47999-2025</t>
        </is>
      </c>
      <c r="B550" s="1" t="n">
        <v>45932.62907407407</v>
      </c>
      <c r="C550" s="1" t="n">
        <v>46138</v>
      </c>
      <c r="D550" t="inlineStr">
        <is>
          <t>UPPSALA LÄN</t>
        </is>
      </c>
      <c r="E550" t="inlineStr">
        <is>
          <t>UPPSALA</t>
        </is>
      </c>
      <c r="F550" t="inlineStr">
        <is>
          <t>Allmännings- och besparingsskogar</t>
        </is>
      </c>
      <c r="G550" t="n">
        <v>1</v>
      </c>
      <c r="H550" t="n">
        <v>0</v>
      </c>
      <c r="I550" t="n">
        <v>0</v>
      </c>
      <c r="J550" t="n">
        <v>0</v>
      </c>
      <c r="K550" t="n">
        <v>0</v>
      </c>
      <c r="L550" t="n">
        <v>0</v>
      </c>
      <c r="M550" t="n">
        <v>0</v>
      </c>
      <c r="N550" t="n">
        <v>0</v>
      </c>
      <c r="O550" t="n">
        <v>0</v>
      </c>
      <c r="P550" t="n">
        <v>0</v>
      </c>
      <c r="Q550" t="n">
        <v>0</v>
      </c>
      <c r="R550" s="2" t="inlineStr"/>
    </row>
    <row r="551" ht="15" customHeight="1">
      <c r="A551" t="inlineStr">
        <is>
          <t>A 25026-2025</t>
        </is>
      </c>
      <c r="B551" s="1" t="n">
        <v>45799.65021990741</v>
      </c>
      <c r="C551" s="1" t="n">
        <v>46138</v>
      </c>
      <c r="D551" t="inlineStr">
        <is>
          <t>UPPSALA LÄN</t>
        </is>
      </c>
      <c r="E551" t="inlineStr">
        <is>
          <t>UPPSALA</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25030-2025</t>
        </is>
      </c>
      <c r="B552" s="1" t="n">
        <v>45799.6527199074</v>
      </c>
      <c r="C552" s="1" t="n">
        <v>46138</v>
      </c>
      <c r="D552" t="inlineStr">
        <is>
          <t>UPPSALA LÄN</t>
        </is>
      </c>
      <c r="E552" t="inlineStr">
        <is>
          <t>UPPSALA</t>
        </is>
      </c>
      <c r="F552" t="inlineStr">
        <is>
          <t>Sveaskog</t>
        </is>
      </c>
      <c r="G552" t="n">
        <v>6</v>
      </c>
      <c r="H552" t="n">
        <v>0</v>
      </c>
      <c r="I552" t="n">
        <v>0</v>
      </c>
      <c r="J552" t="n">
        <v>0</v>
      </c>
      <c r="K552" t="n">
        <v>0</v>
      </c>
      <c r="L552" t="n">
        <v>0</v>
      </c>
      <c r="M552" t="n">
        <v>0</v>
      </c>
      <c r="N552" t="n">
        <v>0</v>
      </c>
      <c r="O552" t="n">
        <v>0</v>
      </c>
      <c r="P552" t="n">
        <v>0</v>
      </c>
      <c r="Q552" t="n">
        <v>0</v>
      </c>
      <c r="R552" s="2" t="inlineStr"/>
    </row>
    <row r="553" ht="15" customHeight="1">
      <c r="A553" t="inlineStr">
        <is>
          <t>A 13799-2024</t>
        </is>
      </c>
      <c r="B553" s="1" t="n">
        <v>45391.37361111111</v>
      </c>
      <c r="C553" s="1" t="n">
        <v>46138</v>
      </c>
      <c r="D553" t="inlineStr">
        <is>
          <t>UPPSALA LÄN</t>
        </is>
      </c>
      <c r="E553" t="inlineStr">
        <is>
          <t>UPPSALA</t>
        </is>
      </c>
      <c r="G553" t="n">
        <v>1.9</v>
      </c>
      <c r="H553" t="n">
        <v>0</v>
      </c>
      <c r="I553" t="n">
        <v>0</v>
      </c>
      <c r="J553" t="n">
        <v>0</v>
      </c>
      <c r="K553" t="n">
        <v>0</v>
      </c>
      <c r="L553" t="n">
        <v>0</v>
      </c>
      <c r="M553" t="n">
        <v>0</v>
      </c>
      <c r="N553" t="n">
        <v>0</v>
      </c>
      <c r="O553" t="n">
        <v>0</v>
      </c>
      <c r="P553" t="n">
        <v>0</v>
      </c>
      <c r="Q553" t="n">
        <v>0</v>
      </c>
      <c r="R553" s="2" t="inlineStr"/>
    </row>
    <row r="554" ht="15" customHeight="1">
      <c r="A554" t="inlineStr">
        <is>
          <t>A 47961-2025</t>
        </is>
      </c>
      <c r="B554" s="1" t="n">
        <v>45932.59373842592</v>
      </c>
      <c r="C554" s="1" t="n">
        <v>46138</v>
      </c>
      <c r="D554" t="inlineStr">
        <is>
          <t>UPPSALA LÄN</t>
        </is>
      </c>
      <c r="E554" t="inlineStr">
        <is>
          <t>UPPSALA</t>
        </is>
      </c>
      <c r="F554" t="inlineStr">
        <is>
          <t>Allmännings- och besparingsskogar</t>
        </is>
      </c>
      <c r="G554" t="n">
        <v>1.5</v>
      </c>
      <c r="H554" t="n">
        <v>0</v>
      </c>
      <c r="I554" t="n">
        <v>0</v>
      </c>
      <c r="J554" t="n">
        <v>0</v>
      </c>
      <c r="K554" t="n">
        <v>0</v>
      </c>
      <c r="L554" t="n">
        <v>0</v>
      </c>
      <c r="M554" t="n">
        <v>0</v>
      </c>
      <c r="N554" t="n">
        <v>0</v>
      </c>
      <c r="O554" t="n">
        <v>0</v>
      </c>
      <c r="P554" t="n">
        <v>0</v>
      </c>
      <c r="Q554" t="n">
        <v>0</v>
      </c>
      <c r="R554" s="2" t="inlineStr"/>
    </row>
    <row r="555" ht="15" customHeight="1">
      <c r="A555" t="inlineStr">
        <is>
          <t>A 47978-2025</t>
        </is>
      </c>
      <c r="B555" s="1" t="n">
        <v>45932.61177083333</v>
      </c>
      <c r="C555" s="1" t="n">
        <v>46138</v>
      </c>
      <c r="D555" t="inlineStr">
        <is>
          <t>UPPSALA LÄN</t>
        </is>
      </c>
      <c r="E555" t="inlineStr">
        <is>
          <t>UPPSALA</t>
        </is>
      </c>
      <c r="F555" t="inlineStr">
        <is>
          <t>Allmännings- och besparingsskogar</t>
        </is>
      </c>
      <c r="G555" t="n">
        <v>1.8</v>
      </c>
      <c r="H555" t="n">
        <v>0</v>
      </c>
      <c r="I555" t="n">
        <v>0</v>
      </c>
      <c r="J555" t="n">
        <v>0</v>
      </c>
      <c r="K555" t="n">
        <v>0</v>
      </c>
      <c r="L555" t="n">
        <v>0</v>
      </c>
      <c r="M555" t="n">
        <v>0</v>
      </c>
      <c r="N555" t="n">
        <v>0</v>
      </c>
      <c r="O555" t="n">
        <v>0</v>
      </c>
      <c r="P555" t="n">
        <v>0</v>
      </c>
      <c r="Q555" t="n">
        <v>0</v>
      </c>
      <c r="R555" s="2" t="inlineStr"/>
    </row>
    <row r="556" ht="15" customHeight="1">
      <c r="A556" t="inlineStr">
        <is>
          <t>A 13742-2025</t>
        </is>
      </c>
      <c r="B556" s="1" t="n">
        <v>45737.40503472222</v>
      </c>
      <c r="C556" s="1" t="n">
        <v>46138</v>
      </c>
      <c r="D556" t="inlineStr">
        <is>
          <t>UPPSALA LÄN</t>
        </is>
      </c>
      <c r="E556" t="inlineStr">
        <is>
          <t>UPPSALA</t>
        </is>
      </c>
      <c r="G556" t="n">
        <v>5.1</v>
      </c>
      <c r="H556" t="n">
        <v>0</v>
      </c>
      <c r="I556" t="n">
        <v>0</v>
      </c>
      <c r="J556" t="n">
        <v>0</v>
      </c>
      <c r="K556" t="n">
        <v>0</v>
      </c>
      <c r="L556" t="n">
        <v>0</v>
      </c>
      <c r="M556" t="n">
        <v>0</v>
      </c>
      <c r="N556" t="n">
        <v>0</v>
      </c>
      <c r="O556" t="n">
        <v>0</v>
      </c>
      <c r="P556" t="n">
        <v>0</v>
      </c>
      <c r="Q556" t="n">
        <v>0</v>
      </c>
      <c r="R556" s="2" t="inlineStr"/>
    </row>
    <row r="557" ht="15" customHeight="1">
      <c r="A557" t="inlineStr">
        <is>
          <t>A 24913-2025</t>
        </is>
      </c>
      <c r="B557" s="1" t="n">
        <v>45799.53947916667</v>
      </c>
      <c r="C557" s="1" t="n">
        <v>46138</v>
      </c>
      <c r="D557" t="inlineStr">
        <is>
          <t>UPPSALA LÄN</t>
        </is>
      </c>
      <c r="E557" t="inlineStr">
        <is>
          <t>UPPSALA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24915-2025</t>
        </is>
      </c>
      <c r="B558" s="1" t="n">
        <v>45799.54104166666</v>
      </c>
      <c r="C558" s="1" t="n">
        <v>46138</v>
      </c>
      <c r="D558" t="inlineStr">
        <is>
          <t>UPPSALA LÄN</t>
        </is>
      </c>
      <c r="E558" t="inlineStr">
        <is>
          <t>UPPSALA</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42772-2022</t>
        </is>
      </c>
      <c r="B559" s="1" t="n">
        <v>44832.49594907407</v>
      </c>
      <c r="C559" s="1" t="n">
        <v>46138</v>
      </c>
      <c r="D559" t="inlineStr">
        <is>
          <t>UPPSALA LÄN</t>
        </is>
      </c>
      <c r="E559" t="inlineStr">
        <is>
          <t>UPPSALA</t>
        </is>
      </c>
      <c r="G559" t="n">
        <v>17.7</v>
      </c>
      <c r="H559" t="n">
        <v>0</v>
      </c>
      <c r="I559" t="n">
        <v>0</v>
      </c>
      <c r="J559" t="n">
        <v>0</v>
      </c>
      <c r="K559" t="n">
        <v>0</v>
      </c>
      <c r="L559" t="n">
        <v>0</v>
      </c>
      <c r="M559" t="n">
        <v>0</v>
      </c>
      <c r="N559" t="n">
        <v>0</v>
      </c>
      <c r="O559" t="n">
        <v>0</v>
      </c>
      <c r="P559" t="n">
        <v>0</v>
      </c>
      <c r="Q559" t="n">
        <v>0</v>
      </c>
      <c r="R559" s="2" t="inlineStr"/>
    </row>
    <row r="560" ht="15" customHeight="1">
      <c r="A560" t="inlineStr">
        <is>
          <t>A 6988-2025</t>
        </is>
      </c>
      <c r="B560" s="1" t="n">
        <v>45693</v>
      </c>
      <c r="C560" s="1" t="n">
        <v>46138</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24794-2025</t>
        </is>
      </c>
      <c r="B561" s="1" t="n">
        <v>45799.43496527777</v>
      </c>
      <c r="C561" s="1" t="n">
        <v>46138</v>
      </c>
      <c r="D561" t="inlineStr">
        <is>
          <t>UPPSALA LÄN</t>
        </is>
      </c>
      <c r="E561" t="inlineStr">
        <is>
          <t>UPPSALA</t>
        </is>
      </c>
      <c r="F561" t="inlineStr">
        <is>
          <t>BillerudKorsnäs AB</t>
        </is>
      </c>
      <c r="G561" t="n">
        <v>1.4</v>
      </c>
      <c r="H561" t="n">
        <v>0</v>
      </c>
      <c r="I561" t="n">
        <v>0</v>
      </c>
      <c r="J561" t="n">
        <v>0</v>
      </c>
      <c r="K561" t="n">
        <v>0</v>
      </c>
      <c r="L561" t="n">
        <v>0</v>
      </c>
      <c r="M561" t="n">
        <v>0</v>
      </c>
      <c r="N561" t="n">
        <v>0</v>
      </c>
      <c r="O561" t="n">
        <v>0</v>
      </c>
      <c r="P561" t="n">
        <v>0</v>
      </c>
      <c r="Q561" t="n">
        <v>0</v>
      </c>
      <c r="R561" s="2" t="inlineStr"/>
    </row>
    <row r="562" ht="15" customHeight="1">
      <c r="A562" t="inlineStr">
        <is>
          <t>A 24916-2025</t>
        </is>
      </c>
      <c r="B562" s="1" t="n">
        <v>45799.5421875</v>
      </c>
      <c r="C562" s="1" t="n">
        <v>46138</v>
      </c>
      <c r="D562" t="inlineStr">
        <is>
          <t>UPPSALA LÄN</t>
        </is>
      </c>
      <c r="E562" t="inlineStr">
        <is>
          <t>UPPSALA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25025-2025</t>
        </is>
      </c>
      <c r="B563" s="1" t="n">
        <v>45799.64877314815</v>
      </c>
      <c r="C563" s="1" t="n">
        <v>46138</v>
      </c>
      <c r="D563" t="inlineStr">
        <is>
          <t>UPPSALA LÄN</t>
        </is>
      </c>
      <c r="E563" t="inlineStr">
        <is>
          <t>UPPSALA</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24525-2025</t>
        </is>
      </c>
      <c r="B564" s="1" t="n">
        <v>45798.42252314815</v>
      </c>
      <c r="C564" s="1" t="n">
        <v>46138</v>
      </c>
      <c r="D564" t="inlineStr">
        <is>
          <t>UPPSALA LÄN</t>
        </is>
      </c>
      <c r="E564" t="inlineStr">
        <is>
          <t>UPPSALA</t>
        </is>
      </c>
      <c r="G564" t="n">
        <v>3.2</v>
      </c>
      <c r="H564" t="n">
        <v>0</v>
      </c>
      <c r="I564" t="n">
        <v>0</v>
      </c>
      <c r="J564" t="n">
        <v>0</v>
      </c>
      <c r="K564" t="n">
        <v>0</v>
      </c>
      <c r="L564" t="n">
        <v>0</v>
      </c>
      <c r="M564" t="n">
        <v>0</v>
      </c>
      <c r="N564" t="n">
        <v>0</v>
      </c>
      <c r="O564" t="n">
        <v>0</v>
      </c>
      <c r="P564" t="n">
        <v>0</v>
      </c>
      <c r="Q564" t="n">
        <v>0</v>
      </c>
      <c r="R564" s="2" t="inlineStr"/>
    </row>
    <row r="565" ht="15" customHeight="1">
      <c r="A565" t="inlineStr">
        <is>
          <t>A 3261-2024</t>
        </is>
      </c>
      <c r="B565" s="1" t="n">
        <v>45317</v>
      </c>
      <c r="C565" s="1" t="n">
        <v>46138</v>
      </c>
      <c r="D565" t="inlineStr">
        <is>
          <t>UPPSALA LÄN</t>
        </is>
      </c>
      <c r="E565" t="inlineStr">
        <is>
          <t>UPPSALA</t>
        </is>
      </c>
      <c r="G565" t="n">
        <v>2.8</v>
      </c>
      <c r="H565" t="n">
        <v>0</v>
      </c>
      <c r="I565" t="n">
        <v>0</v>
      </c>
      <c r="J565" t="n">
        <v>0</v>
      </c>
      <c r="K565" t="n">
        <v>0</v>
      </c>
      <c r="L565" t="n">
        <v>0</v>
      </c>
      <c r="M565" t="n">
        <v>0</v>
      </c>
      <c r="N565" t="n">
        <v>0</v>
      </c>
      <c r="O565" t="n">
        <v>0</v>
      </c>
      <c r="P565" t="n">
        <v>0</v>
      </c>
      <c r="Q565" t="n">
        <v>0</v>
      </c>
      <c r="R565" s="2" t="inlineStr"/>
    </row>
    <row r="566" ht="15" customHeight="1">
      <c r="A566" t="inlineStr">
        <is>
          <t>A 25513-2025</t>
        </is>
      </c>
      <c r="B566" s="1" t="n">
        <v>45803.36384259259</v>
      </c>
      <c r="C566" s="1" t="n">
        <v>46138</v>
      </c>
      <c r="D566" t="inlineStr">
        <is>
          <t>UPPSALA LÄN</t>
        </is>
      </c>
      <c r="E566" t="inlineStr">
        <is>
          <t>UPPSALA</t>
        </is>
      </c>
      <c r="F566" t="inlineStr">
        <is>
          <t>Bergvik skog öst AB</t>
        </is>
      </c>
      <c r="G566" t="n">
        <v>8.9</v>
      </c>
      <c r="H566" t="n">
        <v>0</v>
      </c>
      <c r="I566" t="n">
        <v>0</v>
      </c>
      <c r="J566" t="n">
        <v>0</v>
      </c>
      <c r="K566" t="n">
        <v>0</v>
      </c>
      <c r="L566" t="n">
        <v>0</v>
      </c>
      <c r="M566" t="n">
        <v>0</v>
      </c>
      <c r="N566" t="n">
        <v>0</v>
      </c>
      <c r="O566" t="n">
        <v>0</v>
      </c>
      <c r="P566" t="n">
        <v>0</v>
      </c>
      <c r="Q566" t="n">
        <v>0</v>
      </c>
      <c r="R566" s="2" t="inlineStr"/>
    </row>
    <row r="567" ht="15" customHeight="1">
      <c r="A567" t="inlineStr">
        <is>
          <t>A 48418-2025</t>
        </is>
      </c>
      <c r="B567" s="1" t="n">
        <v>45934.55967592593</v>
      </c>
      <c r="C567" s="1" t="n">
        <v>46138</v>
      </c>
      <c r="D567" t="inlineStr">
        <is>
          <t>UPPSALA LÄN</t>
        </is>
      </c>
      <c r="E567" t="inlineStr">
        <is>
          <t>UPPSALA</t>
        </is>
      </c>
      <c r="F567" t="inlineStr">
        <is>
          <t>Bergvik skog öst AB</t>
        </is>
      </c>
      <c r="G567" t="n">
        <v>5.2</v>
      </c>
      <c r="H567" t="n">
        <v>0</v>
      </c>
      <c r="I567" t="n">
        <v>0</v>
      </c>
      <c r="J567" t="n">
        <v>0</v>
      </c>
      <c r="K567" t="n">
        <v>0</v>
      </c>
      <c r="L567" t="n">
        <v>0</v>
      </c>
      <c r="M567" t="n">
        <v>0</v>
      </c>
      <c r="N567" t="n">
        <v>0</v>
      </c>
      <c r="O567" t="n">
        <v>0</v>
      </c>
      <c r="P567" t="n">
        <v>0</v>
      </c>
      <c r="Q567" t="n">
        <v>0</v>
      </c>
      <c r="R567" s="2" t="inlineStr"/>
    </row>
    <row r="568" ht="15" customHeight="1">
      <c r="A568" t="inlineStr">
        <is>
          <t>A 25280-2023</t>
        </is>
      </c>
      <c r="B568" s="1" t="n">
        <v>45086.7037037037</v>
      </c>
      <c r="C568" s="1" t="n">
        <v>46138</v>
      </c>
      <c r="D568" t="inlineStr">
        <is>
          <t>UPPSALA LÄN</t>
        </is>
      </c>
      <c r="E568" t="inlineStr">
        <is>
          <t>UPPSALA</t>
        </is>
      </c>
      <c r="F568" t="inlineStr">
        <is>
          <t>Holmen skog AB</t>
        </is>
      </c>
      <c r="G568" t="n">
        <v>3.2</v>
      </c>
      <c r="H568" t="n">
        <v>0</v>
      </c>
      <c r="I568" t="n">
        <v>0</v>
      </c>
      <c r="J568" t="n">
        <v>0</v>
      </c>
      <c r="K568" t="n">
        <v>0</v>
      </c>
      <c r="L568" t="n">
        <v>0</v>
      </c>
      <c r="M568" t="n">
        <v>0</v>
      </c>
      <c r="N568" t="n">
        <v>0</v>
      </c>
      <c r="O568" t="n">
        <v>0</v>
      </c>
      <c r="P568" t="n">
        <v>0</v>
      </c>
      <c r="Q568" t="n">
        <v>0</v>
      </c>
      <c r="R568" s="2" t="inlineStr"/>
    </row>
    <row r="569" ht="15" customHeight="1">
      <c r="A569" t="inlineStr">
        <is>
          <t>A 59489-2023</t>
        </is>
      </c>
      <c r="B569" s="1" t="n">
        <v>45254</v>
      </c>
      <c r="C569" s="1" t="n">
        <v>46138</v>
      </c>
      <c r="D569" t="inlineStr">
        <is>
          <t>UPPSALA LÄN</t>
        </is>
      </c>
      <c r="E569" t="inlineStr">
        <is>
          <t>UPPSALA</t>
        </is>
      </c>
      <c r="G569" t="n">
        <v>6.5</v>
      </c>
      <c r="H569" t="n">
        <v>0</v>
      </c>
      <c r="I569" t="n">
        <v>0</v>
      </c>
      <c r="J569" t="n">
        <v>0</v>
      </c>
      <c r="K569" t="n">
        <v>0</v>
      </c>
      <c r="L569" t="n">
        <v>0</v>
      </c>
      <c r="M569" t="n">
        <v>0</v>
      </c>
      <c r="N569" t="n">
        <v>0</v>
      </c>
      <c r="O569" t="n">
        <v>0</v>
      </c>
      <c r="P569" t="n">
        <v>0</v>
      </c>
      <c r="Q569" t="n">
        <v>0</v>
      </c>
      <c r="R569" s="2" t="inlineStr"/>
    </row>
    <row r="570" ht="15" customHeight="1">
      <c r="A570" t="inlineStr">
        <is>
          <t>A 25674-2025</t>
        </is>
      </c>
      <c r="B570" s="1" t="n">
        <v>45803.63395833333</v>
      </c>
      <c r="C570" s="1" t="n">
        <v>46138</v>
      </c>
      <c r="D570" t="inlineStr">
        <is>
          <t>UPPSALA LÄN</t>
        </is>
      </c>
      <c r="E570" t="inlineStr">
        <is>
          <t>UPPSALA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52197-2024</t>
        </is>
      </c>
      <c r="B571" s="1" t="n">
        <v>45608</v>
      </c>
      <c r="C571" s="1" t="n">
        <v>46138</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6628-2024</t>
        </is>
      </c>
      <c r="B572" s="1" t="n">
        <v>45341</v>
      </c>
      <c r="C572" s="1" t="n">
        <v>46138</v>
      </c>
      <c r="D572" t="inlineStr">
        <is>
          <t>UPPSALA LÄN</t>
        </is>
      </c>
      <c r="E572" t="inlineStr">
        <is>
          <t>UPPSALA</t>
        </is>
      </c>
      <c r="G572" t="n">
        <v>4.3</v>
      </c>
      <c r="H572" t="n">
        <v>0</v>
      </c>
      <c r="I572" t="n">
        <v>0</v>
      </c>
      <c r="J572" t="n">
        <v>0</v>
      </c>
      <c r="K572" t="n">
        <v>0</v>
      </c>
      <c r="L572" t="n">
        <v>0</v>
      </c>
      <c r="M572" t="n">
        <v>0</v>
      </c>
      <c r="N572" t="n">
        <v>0</v>
      </c>
      <c r="O572" t="n">
        <v>0</v>
      </c>
      <c r="P572" t="n">
        <v>0</v>
      </c>
      <c r="Q572" t="n">
        <v>0</v>
      </c>
      <c r="R572" s="2" t="inlineStr"/>
    </row>
    <row r="573" ht="15" customHeight="1">
      <c r="A573" t="inlineStr">
        <is>
          <t>A 15264-2025</t>
        </is>
      </c>
      <c r="B573" s="1" t="n">
        <v>45744</v>
      </c>
      <c r="C573" s="1" t="n">
        <v>46138</v>
      </c>
      <c r="D573" t="inlineStr">
        <is>
          <t>UPPSALA LÄN</t>
        </is>
      </c>
      <c r="E573" t="inlineStr">
        <is>
          <t>UPPSALA</t>
        </is>
      </c>
      <c r="G573" t="n">
        <v>3.5</v>
      </c>
      <c r="H573" t="n">
        <v>0</v>
      </c>
      <c r="I573" t="n">
        <v>0</v>
      </c>
      <c r="J573" t="n">
        <v>0</v>
      </c>
      <c r="K573" t="n">
        <v>0</v>
      </c>
      <c r="L573" t="n">
        <v>0</v>
      </c>
      <c r="M573" t="n">
        <v>0</v>
      </c>
      <c r="N573" t="n">
        <v>0</v>
      </c>
      <c r="O573" t="n">
        <v>0</v>
      </c>
      <c r="P573" t="n">
        <v>0</v>
      </c>
      <c r="Q573" t="n">
        <v>0</v>
      </c>
      <c r="R573" s="2" t="inlineStr"/>
    </row>
    <row r="574" ht="15" customHeight="1">
      <c r="A574" t="inlineStr">
        <is>
          <t>A 49160-2025</t>
        </is>
      </c>
      <c r="B574" s="1" t="n">
        <v>45938.35063657408</v>
      </c>
      <c r="C574" s="1" t="n">
        <v>46138</v>
      </c>
      <c r="D574" t="inlineStr">
        <is>
          <t>UPPSALA LÄN</t>
        </is>
      </c>
      <c r="E574" t="inlineStr">
        <is>
          <t>UPPSALA</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18805-2025</t>
        </is>
      </c>
      <c r="B575" s="1" t="n">
        <v>45763</v>
      </c>
      <c r="C575" s="1" t="n">
        <v>46138</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49094-2025</t>
        </is>
      </c>
      <c r="B576" s="1" t="n">
        <v>45937.68865740741</v>
      </c>
      <c r="C576" s="1" t="n">
        <v>46138</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26130-2025</t>
        </is>
      </c>
      <c r="B577" s="1" t="n">
        <v>45805.4094675926</v>
      </c>
      <c r="C577" s="1" t="n">
        <v>46138</v>
      </c>
      <c r="D577" t="inlineStr">
        <is>
          <t>UPPSALA LÄN</t>
        </is>
      </c>
      <c r="E577" t="inlineStr">
        <is>
          <t>UPPSALA</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49164-2025</t>
        </is>
      </c>
      <c r="B578" s="1" t="n">
        <v>45938.3615625</v>
      </c>
      <c r="C578" s="1" t="n">
        <v>46138</v>
      </c>
      <c r="D578" t="inlineStr">
        <is>
          <t>UPPSALA LÄN</t>
        </is>
      </c>
      <c r="E578" t="inlineStr">
        <is>
          <t>UPPSALA</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26139-2025</t>
        </is>
      </c>
      <c r="B579" s="1" t="n">
        <v>45805.41813657407</v>
      </c>
      <c r="C579" s="1" t="n">
        <v>46138</v>
      </c>
      <c r="D579" t="inlineStr">
        <is>
          <t>UPPSALA LÄN</t>
        </is>
      </c>
      <c r="E579" t="inlineStr">
        <is>
          <t>UPPSALA</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26141-2025</t>
        </is>
      </c>
      <c r="B580" s="1" t="n">
        <v>45805.4255787037</v>
      </c>
      <c r="C580" s="1" t="n">
        <v>46138</v>
      </c>
      <c r="D580" t="inlineStr">
        <is>
          <t>UPPSALA LÄN</t>
        </is>
      </c>
      <c r="E580" t="inlineStr">
        <is>
          <t>UPPSALA</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26155-2025</t>
        </is>
      </c>
      <c r="B581" s="1" t="n">
        <v>45805.43402777778</v>
      </c>
      <c r="C581" s="1" t="n">
        <v>46138</v>
      </c>
      <c r="D581" t="inlineStr">
        <is>
          <t>UPPSALA LÄN</t>
        </is>
      </c>
      <c r="E581" t="inlineStr">
        <is>
          <t>UPPSALA</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49463-2025</t>
        </is>
      </c>
      <c r="B582" s="1" t="n">
        <v>45939.32621527778</v>
      </c>
      <c r="C582" s="1" t="n">
        <v>46138</v>
      </c>
      <c r="D582" t="inlineStr">
        <is>
          <t>UPPSALA LÄN</t>
        </is>
      </c>
      <c r="E582" t="inlineStr">
        <is>
          <t>UPPSALA</t>
        </is>
      </c>
      <c r="G582" t="n">
        <v>3.4</v>
      </c>
      <c r="H582" t="n">
        <v>0</v>
      </c>
      <c r="I582" t="n">
        <v>0</v>
      </c>
      <c r="J582" t="n">
        <v>0</v>
      </c>
      <c r="K582" t="n">
        <v>0</v>
      </c>
      <c r="L582" t="n">
        <v>0</v>
      </c>
      <c r="M582" t="n">
        <v>0</v>
      </c>
      <c r="N582" t="n">
        <v>0</v>
      </c>
      <c r="O582" t="n">
        <v>0</v>
      </c>
      <c r="P582" t="n">
        <v>0</v>
      </c>
      <c r="Q582" t="n">
        <v>0</v>
      </c>
      <c r="R582" s="2" t="inlineStr"/>
    </row>
    <row r="583" ht="15" customHeight="1">
      <c r="A583" t="inlineStr">
        <is>
          <t>A 49080-2025</t>
        </is>
      </c>
      <c r="B583" s="1" t="n">
        <v>45937</v>
      </c>
      <c r="C583" s="1" t="n">
        <v>46138</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1032-2023</t>
        </is>
      </c>
      <c r="B584" s="1" t="n">
        <v>44935</v>
      </c>
      <c r="C584" s="1" t="n">
        <v>46138</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49098-2025</t>
        </is>
      </c>
      <c r="B585" s="1" t="n">
        <v>45937</v>
      </c>
      <c r="C585" s="1" t="n">
        <v>46138</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26131-2025</t>
        </is>
      </c>
      <c r="B586" s="1" t="n">
        <v>45805.41010416667</v>
      </c>
      <c r="C586" s="1" t="n">
        <v>46138</v>
      </c>
      <c r="D586" t="inlineStr">
        <is>
          <t>UPPSALA LÄN</t>
        </is>
      </c>
      <c r="E586" t="inlineStr">
        <is>
          <t>UPPSALA</t>
        </is>
      </c>
      <c r="F586" t="inlineStr">
        <is>
          <t>Bergvik skog öst AB</t>
        </is>
      </c>
      <c r="G586" t="n">
        <v>3.8</v>
      </c>
      <c r="H586" t="n">
        <v>0</v>
      </c>
      <c r="I586" t="n">
        <v>0</v>
      </c>
      <c r="J586" t="n">
        <v>0</v>
      </c>
      <c r="K586" t="n">
        <v>0</v>
      </c>
      <c r="L586" t="n">
        <v>0</v>
      </c>
      <c r="M586" t="n">
        <v>0</v>
      </c>
      <c r="N586" t="n">
        <v>0</v>
      </c>
      <c r="O586" t="n">
        <v>0</v>
      </c>
      <c r="P586" t="n">
        <v>0</v>
      </c>
      <c r="Q586" t="n">
        <v>0</v>
      </c>
      <c r="R586" s="2" t="inlineStr"/>
    </row>
    <row r="587" ht="15" customHeight="1">
      <c r="A587" t="inlineStr">
        <is>
          <t>A 51576-2023</t>
        </is>
      </c>
      <c r="B587" s="1" t="n">
        <v>45222</v>
      </c>
      <c r="C587" s="1" t="n">
        <v>46138</v>
      </c>
      <c r="D587" t="inlineStr">
        <is>
          <t>UPPSALA LÄN</t>
        </is>
      </c>
      <c r="E587" t="inlineStr">
        <is>
          <t>UPPSALA</t>
        </is>
      </c>
      <c r="G587" t="n">
        <v>2.2</v>
      </c>
      <c r="H587" t="n">
        <v>0</v>
      </c>
      <c r="I587" t="n">
        <v>0</v>
      </c>
      <c r="J587" t="n">
        <v>0</v>
      </c>
      <c r="K587" t="n">
        <v>0</v>
      </c>
      <c r="L587" t="n">
        <v>0</v>
      </c>
      <c r="M587" t="n">
        <v>0</v>
      </c>
      <c r="N587" t="n">
        <v>0</v>
      </c>
      <c r="O587" t="n">
        <v>0</v>
      </c>
      <c r="P587" t="n">
        <v>0</v>
      </c>
      <c r="Q587" t="n">
        <v>0</v>
      </c>
      <c r="R587" s="2" t="inlineStr"/>
    </row>
    <row r="588" ht="15" customHeight="1">
      <c r="A588" t="inlineStr">
        <is>
          <t>A 49986-2025</t>
        </is>
      </c>
      <c r="B588" s="1" t="n">
        <v>45942.79476851852</v>
      </c>
      <c r="C588" s="1" t="n">
        <v>46138</v>
      </c>
      <c r="D588" t="inlineStr">
        <is>
          <t>UPPSALA LÄN</t>
        </is>
      </c>
      <c r="E588" t="inlineStr">
        <is>
          <t>UPPSALA</t>
        </is>
      </c>
      <c r="F588" t="inlineStr">
        <is>
          <t>Bergvik skog öst AB</t>
        </is>
      </c>
      <c r="G588" t="n">
        <v>4.5</v>
      </c>
      <c r="H588" t="n">
        <v>0</v>
      </c>
      <c r="I588" t="n">
        <v>0</v>
      </c>
      <c r="J588" t="n">
        <v>0</v>
      </c>
      <c r="K588" t="n">
        <v>0</v>
      </c>
      <c r="L588" t="n">
        <v>0</v>
      </c>
      <c r="M588" t="n">
        <v>0</v>
      </c>
      <c r="N588" t="n">
        <v>0</v>
      </c>
      <c r="O588" t="n">
        <v>0</v>
      </c>
      <c r="P588" t="n">
        <v>0</v>
      </c>
      <c r="Q588" t="n">
        <v>0</v>
      </c>
      <c r="R588" s="2" t="inlineStr"/>
    </row>
    <row r="589" ht="15" customHeight="1">
      <c r="A589" t="inlineStr">
        <is>
          <t>A 49989-2025</t>
        </is>
      </c>
      <c r="B589" s="1" t="n">
        <v>45942.8396412037</v>
      </c>
      <c r="C589" s="1" t="n">
        <v>46138</v>
      </c>
      <c r="D589" t="inlineStr">
        <is>
          <t>UPPSALA LÄN</t>
        </is>
      </c>
      <c r="E589" t="inlineStr">
        <is>
          <t>UPPSALA</t>
        </is>
      </c>
      <c r="G589" t="n">
        <v>2.4</v>
      </c>
      <c r="H589" t="n">
        <v>0</v>
      </c>
      <c r="I589" t="n">
        <v>0</v>
      </c>
      <c r="J589" t="n">
        <v>0</v>
      </c>
      <c r="K589" t="n">
        <v>0</v>
      </c>
      <c r="L589" t="n">
        <v>0</v>
      </c>
      <c r="M589" t="n">
        <v>0</v>
      </c>
      <c r="N589" t="n">
        <v>0</v>
      </c>
      <c r="O589" t="n">
        <v>0</v>
      </c>
      <c r="P589" t="n">
        <v>0</v>
      </c>
      <c r="Q589" t="n">
        <v>0</v>
      </c>
      <c r="R589" s="2" t="inlineStr"/>
    </row>
    <row r="590" ht="15" customHeight="1">
      <c r="A590" t="inlineStr">
        <is>
          <t>A 49988-2025</t>
        </is>
      </c>
      <c r="B590" s="1" t="n">
        <v>45942.80318287037</v>
      </c>
      <c r="C590" s="1" t="n">
        <v>46138</v>
      </c>
      <c r="D590" t="inlineStr">
        <is>
          <t>UPPSALA LÄN</t>
        </is>
      </c>
      <c r="E590" t="inlineStr">
        <is>
          <t>UPPSALA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26740-2025</t>
        </is>
      </c>
      <c r="B591" s="1" t="n">
        <v>45809</v>
      </c>
      <c r="C591" s="1" t="n">
        <v>46138</v>
      </c>
      <c r="D591" t="inlineStr">
        <is>
          <t>UPPSALA LÄN</t>
        </is>
      </c>
      <c r="E591" t="inlineStr">
        <is>
          <t>UPPSALA</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49937-2025</t>
        </is>
      </c>
      <c r="B592" s="1" t="n">
        <v>45940.67084490741</v>
      </c>
      <c r="C592" s="1" t="n">
        <v>46138</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49940-2025</t>
        </is>
      </c>
      <c r="B593" s="1" t="n">
        <v>45940.67305555556</v>
      </c>
      <c r="C593" s="1" t="n">
        <v>46138</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49996-2023</t>
        </is>
      </c>
      <c r="B594" s="1" t="n">
        <v>45215.44233796297</v>
      </c>
      <c r="C594" s="1" t="n">
        <v>46138</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26697-2025</t>
        </is>
      </c>
      <c r="B595" s="1" t="n">
        <v>45810.44339120371</v>
      </c>
      <c r="C595" s="1" t="n">
        <v>46138</v>
      </c>
      <c r="D595" t="inlineStr">
        <is>
          <t>UPPSALA LÄN</t>
        </is>
      </c>
      <c r="E595" t="inlineStr">
        <is>
          <t>UPPSALA</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50232-2025</t>
        </is>
      </c>
      <c r="B596" s="1" t="n">
        <v>45943.70756944444</v>
      </c>
      <c r="C596" s="1" t="n">
        <v>46138</v>
      </c>
      <c r="D596" t="inlineStr">
        <is>
          <t>UPPSALA LÄN</t>
        </is>
      </c>
      <c r="E596" t="inlineStr">
        <is>
          <t>UPPSALA</t>
        </is>
      </c>
      <c r="F596" t="inlineStr">
        <is>
          <t>Holmen skog AB</t>
        </is>
      </c>
      <c r="G596" t="n">
        <v>2</v>
      </c>
      <c r="H596" t="n">
        <v>0</v>
      </c>
      <c r="I596" t="n">
        <v>0</v>
      </c>
      <c r="J596" t="n">
        <v>0</v>
      </c>
      <c r="K596" t="n">
        <v>0</v>
      </c>
      <c r="L596" t="n">
        <v>0</v>
      </c>
      <c r="M596" t="n">
        <v>0</v>
      </c>
      <c r="N596" t="n">
        <v>0</v>
      </c>
      <c r="O596" t="n">
        <v>0</v>
      </c>
      <c r="P596" t="n">
        <v>0</v>
      </c>
      <c r="Q596" t="n">
        <v>0</v>
      </c>
      <c r="R596" s="2" t="inlineStr"/>
    </row>
    <row r="597" ht="15" customHeight="1">
      <c r="A597" t="inlineStr">
        <is>
          <t>A 26713-2025</t>
        </is>
      </c>
      <c r="B597" s="1" t="n">
        <v>45809</v>
      </c>
      <c r="C597" s="1" t="n">
        <v>46138</v>
      </c>
      <c r="D597" t="inlineStr">
        <is>
          <t>UPPSALA LÄN</t>
        </is>
      </c>
      <c r="E597" t="inlineStr">
        <is>
          <t>UPPSALA</t>
        </is>
      </c>
      <c r="G597" t="n">
        <v>3.8</v>
      </c>
      <c r="H597" t="n">
        <v>0</v>
      </c>
      <c r="I597" t="n">
        <v>0</v>
      </c>
      <c r="J597" t="n">
        <v>0</v>
      </c>
      <c r="K597" t="n">
        <v>0</v>
      </c>
      <c r="L597" t="n">
        <v>0</v>
      </c>
      <c r="M597" t="n">
        <v>0</v>
      </c>
      <c r="N597" t="n">
        <v>0</v>
      </c>
      <c r="O597" t="n">
        <v>0</v>
      </c>
      <c r="P597" t="n">
        <v>0</v>
      </c>
      <c r="Q597" t="n">
        <v>0</v>
      </c>
      <c r="R597" s="2" t="inlineStr"/>
    </row>
    <row r="598" ht="15" customHeight="1">
      <c r="A598" t="inlineStr">
        <is>
          <t>A 49829-2025</t>
        </is>
      </c>
      <c r="B598" s="1" t="n">
        <v>45940.45038194444</v>
      </c>
      <c r="C598" s="1" t="n">
        <v>46138</v>
      </c>
      <c r="D598" t="inlineStr">
        <is>
          <t>UPPSALA LÄN</t>
        </is>
      </c>
      <c r="E598" t="inlineStr">
        <is>
          <t>UPPSALA</t>
        </is>
      </c>
      <c r="F598" t="inlineStr">
        <is>
          <t>Bergvik skog öst AB</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49990-2025</t>
        </is>
      </c>
      <c r="B599" s="1" t="n">
        <v>45942.84414351852</v>
      </c>
      <c r="C599" s="1" t="n">
        <v>46138</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49987-2025</t>
        </is>
      </c>
      <c r="B600" s="1" t="n">
        <v>45942.80185185185</v>
      </c>
      <c r="C600" s="1" t="n">
        <v>46138</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50267-2023</t>
        </is>
      </c>
      <c r="B601" s="1" t="n">
        <v>45216.39040509259</v>
      </c>
      <c r="C601" s="1" t="n">
        <v>46138</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23494-2024</t>
        </is>
      </c>
      <c r="B602" s="1" t="n">
        <v>45453.69339120371</v>
      </c>
      <c r="C602" s="1" t="n">
        <v>46138</v>
      </c>
      <c r="D602" t="inlineStr">
        <is>
          <t>UPPSALA LÄN</t>
        </is>
      </c>
      <c r="E602" t="inlineStr">
        <is>
          <t>UPPSALA</t>
        </is>
      </c>
      <c r="F602" t="inlineStr">
        <is>
          <t>Kyrkan</t>
        </is>
      </c>
      <c r="G602" t="n">
        <v>0.8</v>
      </c>
      <c r="H602" t="n">
        <v>0</v>
      </c>
      <c r="I602" t="n">
        <v>0</v>
      </c>
      <c r="J602" t="n">
        <v>0</v>
      </c>
      <c r="K602" t="n">
        <v>0</v>
      </c>
      <c r="L602" t="n">
        <v>0</v>
      </c>
      <c r="M602" t="n">
        <v>0</v>
      </c>
      <c r="N602" t="n">
        <v>0</v>
      </c>
      <c r="O602" t="n">
        <v>0</v>
      </c>
      <c r="P602" t="n">
        <v>0</v>
      </c>
      <c r="Q602" t="n">
        <v>0</v>
      </c>
      <c r="R602" s="2" t="inlineStr"/>
    </row>
    <row r="603" ht="15" customHeight="1">
      <c r="A603" t="inlineStr">
        <is>
          <t>A 6058-2025</t>
        </is>
      </c>
      <c r="B603" s="1" t="n">
        <v>45695.83655092592</v>
      </c>
      <c r="C603" s="1" t="n">
        <v>46138</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32127-2024</t>
        </is>
      </c>
      <c r="B604" s="1" t="n">
        <v>45511</v>
      </c>
      <c r="C604" s="1" t="n">
        <v>46138</v>
      </c>
      <c r="D604" t="inlineStr">
        <is>
          <t>UPPSALA LÄN</t>
        </is>
      </c>
      <c r="E604" t="inlineStr">
        <is>
          <t>UPPSALA</t>
        </is>
      </c>
      <c r="G604" t="n">
        <v>3.7</v>
      </c>
      <c r="H604" t="n">
        <v>0</v>
      </c>
      <c r="I604" t="n">
        <v>0</v>
      </c>
      <c r="J604" t="n">
        <v>0</v>
      </c>
      <c r="K604" t="n">
        <v>0</v>
      </c>
      <c r="L604" t="n">
        <v>0</v>
      </c>
      <c r="M604" t="n">
        <v>0</v>
      </c>
      <c r="N604" t="n">
        <v>0</v>
      </c>
      <c r="O604" t="n">
        <v>0</v>
      </c>
      <c r="P604" t="n">
        <v>0</v>
      </c>
      <c r="Q604" t="n">
        <v>0</v>
      </c>
      <c r="R604" s="2" t="inlineStr"/>
    </row>
    <row r="605" ht="15" customHeight="1">
      <c r="A605" t="inlineStr">
        <is>
          <t>A 26696-2025</t>
        </is>
      </c>
      <c r="B605" s="1" t="n">
        <v>45810.44299768518</v>
      </c>
      <c r="C605" s="1" t="n">
        <v>46138</v>
      </c>
      <c r="D605" t="inlineStr">
        <is>
          <t>UPPSALA LÄN</t>
        </is>
      </c>
      <c r="E605" t="inlineStr">
        <is>
          <t>UPPSALA</t>
        </is>
      </c>
      <c r="F605" t="inlineStr">
        <is>
          <t>Bergvik skog öst AB</t>
        </is>
      </c>
      <c r="G605" t="n">
        <v>7.1</v>
      </c>
      <c r="H605" t="n">
        <v>0</v>
      </c>
      <c r="I605" t="n">
        <v>0</v>
      </c>
      <c r="J605" t="n">
        <v>0</v>
      </c>
      <c r="K605" t="n">
        <v>0</v>
      </c>
      <c r="L605" t="n">
        <v>0</v>
      </c>
      <c r="M605" t="n">
        <v>0</v>
      </c>
      <c r="N605" t="n">
        <v>0</v>
      </c>
      <c r="O605" t="n">
        <v>0</v>
      </c>
      <c r="P605" t="n">
        <v>0</v>
      </c>
      <c r="Q605" t="n">
        <v>0</v>
      </c>
      <c r="R605" s="2" t="inlineStr"/>
    </row>
    <row r="606" ht="15" customHeight="1">
      <c r="A606" t="inlineStr">
        <is>
          <t>A 50591-2025</t>
        </is>
      </c>
      <c r="B606" s="1" t="n">
        <v>45944</v>
      </c>
      <c r="C606" s="1" t="n">
        <v>46138</v>
      </c>
      <c r="D606" t="inlineStr">
        <is>
          <t>UPPSALA LÄN</t>
        </is>
      </c>
      <c r="E606" t="inlineStr">
        <is>
          <t>UPPSALA</t>
        </is>
      </c>
      <c r="G606" t="n">
        <v>4.2</v>
      </c>
      <c r="H606" t="n">
        <v>0</v>
      </c>
      <c r="I606" t="n">
        <v>0</v>
      </c>
      <c r="J606" t="n">
        <v>0</v>
      </c>
      <c r="K606" t="n">
        <v>0</v>
      </c>
      <c r="L606" t="n">
        <v>0</v>
      </c>
      <c r="M606" t="n">
        <v>0</v>
      </c>
      <c r="N606" t="n">
        <v>0</v>
      </c>
      <c r="O606" t="n">
        <v>0</v>
      </c>
      <c r="P606" t="n">
        <v>0</v>
      </c>
      <c r="Q606" t="n">
        <v>0</v>
      </c>
      <c r="R606" s="2" t="inlineStr"/>
    </row>
    <row r="607" ht="15" customHeight="1">
      <c r="A607" t="inlineStr">
        <is>
          <t>A 41112-2025</t>
        </is>
      </c>
      <c r="B607" s="1" t="n">
        <v>45898.46040509259</v>
      </c>
      <c r="C607" s="1" t="n">
        <v>46138</v>
      </c>
      <c r="D607" t="inlineStr">
        <is>
          <t>UPPSALA LÄN</t>
        </is>
      </c>
      <c r="E607" t="inlineStr">
        <is>
          <t>UPPSALA</t>
        </is>
      </c>
      <c r="G607" t="n">
        <v>3.1</v>
      </c>
      <c r="H607" t="n">
        <v>0</v>
      </c>
      <c r="I607" t="n">
        <v>0</v>
      </c>
      <c r="J607" t="n">
        <v>0</v>
      </c>
      <c r="K607" t="n">
        <v>0</v>
      </c>
      <c r="L607" t="n">
        <v>0</v>
      </c>
      <c r="M607" t="n">
        <v>0</v>
      </c>
      <c r="N607" t="n">
        <v>0</v>
      </c>
      <c r="O607" t="n">
        <v>0</v>
      </c>
      <c r="P607" t="n">
        <v>0</v>
      </c>
      <c r="Q607" t="n">
        <v>0</v>
      </c>
      <c r="R607" s="2" t="inlineStr"/>
    </row>
    <row r="608" ht="15" customHeight="1">
      <c r="A608" t="inlineStr">
        <is>
          <t>A 27265-2025</t>
        </is>
      </c>
      <c r="B608" s="1" t="n">
        <v>45812.48032407407</v>
      </c>
      <c r="C608" s="1" t="n">
        <v>46138</v>
      </c>
      <c r="D608" t="inlineStr">
        <is>
          <t>UPPSALA LÄN</t>
        </is>
      </c>
      <c r="E608" t="inlineStr">
        <is>
          <t>UPPSALA</t>
        </is>
      </c>
      <c r="G608" t="n">
        <v>0.5</v>
      </c>
      <c r="H608" t="n">
        <v>0</v>
      </c>
      <c r="I608" t="n">
        <v>0</v>
      </c>
      <c r="J608" t="n">
        <v>0</v>
      </c>
      <c r="K608" t="n">
        <v>0</v>
      </c>
      <c r="L608" t="n">
        <v>0</v>
      </c>
      <c r="M608" t="n">
        <v>0</v>
      </c>
      <c r="N608" t="n">
        <v>0</v>
      </c>
      <c r="O608" t="n">
        <v>0</v>
      </c>
      <c r="P608" t="n">
        <v>0</v>
      </c>
      <c r="Q608" t="n">
        <v>0</v>
      </c>
      <c r="R608" s="2" t="inlineStr"/>
    </row>
    <row r="609" ht="15" customHeight="1">
      <c r="A609" t="inlineStr">
        <is>
          <t>A 27538-2025</t>
        </is>
      </c>
      <c r="B609" s="1" t="n">
        <v>45813.46034722222</v>
      </c>
      <c r="C609" s="1" t="n">
        <v>46138</v>
      </c>
      <c r="D609" t="inlineStr">
        <is>
          <t>UPPSALA LÄN</t>
        </is>
      </c>
      <c r="E609" t="inlineStr">
        <is>
          <t>UPPSALA</t>
        </is>
      </c>
      <c r="G609" t="n">
        <v>3.1</v>
      </c>
      <c r="H609" t="n">
        <v>0</v>
      </c>
      <c r="I609" t="n">
        <v>0</v>
      </c>
      <c r="J609" t="n">
        <v>0</v>
      </c>
      <c r="K609" t="n">
        <v>0</v>
      </c>
      <c r="L609" t="n">
        <v>0</v>
      </c>
      <c r="M609" t="n">
        <v>0</v>
      </c>
      <c r="N609" t="n">
        <v>0</v>
      </c>
      <c r="O609" t="n">
        <v>0</v>
      </c>
      <c r="P609" t="n">
        <v>0</v>
      </c>
      <c r="Q609" t="n">
        <v>0</v>
      </c>
      <c r="R609" s="2" t="inlineStr"/>
    </row>
    <row r="610" ht="15" customHeight="1">
      <c r="A610" t="inlineStr">
        <is>
          <t>A 59358-2024</t>
        </is>
      </c>
      <c r="B610" s="1" t="n">
        <v>45638</v>
      </c>
      <c r="C610" s="1" t="n">
        <v>46138</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17232-2022</t>
        </is>
      </c>
      <c r="B611" s="1" t="n">
        <v>44678.3315625</v>
      </c>
      <c r="C611" s="1" t="n">
        <v>46138</v>
      </c>
      <c r="D611" t="inlineStr">
        <is>
          <t>UPPSALA LÄN</t>
        </is>
      </c>
      <c r="E611" t="inlineStr">
        <is>
          <t>UPPSALA</t>
        </is>
      </c>
      <c r="F611" t="inlineStr">
        <is>
          <t>Övriga Aktiebolag</t>
        </is>
      </c>
      <c r="G611" t="n">
        <v>7.4</v>
      </c>
      <c r="H611" t="n">
        <v>0</v>
      </c>
      <c r="I611" t="n">
        <v>0</v>
      </c>
      <c r="J611" t="n">
        <v>0</v>
      </c>
      <c r="K611" t="n">
        <v>0</v>
      </c>
      <c r="L611" t="n">
        <v>0</v>
      </c>
      <c r="M611" t="n">
        <v>0</v>
      </c>
      <c r="N611" t="n">
        <v>0</v>
      </c>
      <c r="O611" t="n">
        <v>0</v>
      </c>
      <c r="P611" t="n">
        <v>0</v>
      </c>
      <c r="Q611" t="n">
        <v>0</v>
      </c>
      <c r="R611" s="2" t="inlineStr"/>
    </row>
    <row r="612" ht="15" customHeight="1">
      <c r="A612" t="inlineStr">
        <is>
          <t>A 10489-2025</t>
        </is>
      </c>
      <c r="B612" s="1" t="n">
        <v>45721.34715277778</v>
      </c>
      <c r="C612" s="1" t="n">
        <v>46138</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61805-2021</t>
        </is>
      </c>
      <c r="B613" s="1" t="n">
        <v>44501.71344907407</v>
      </c>
      <c r="C613" s="1" t="n">
        <v>46138</v>
      </c>
      <c r="D613" t="inlineStr">
        <is>
          <t>UPPSALA LÄN</t>
        </is>
      </c>
      <c r="E613" t="inlineStr">
        <is>
          <t>UPPSALA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27917-2025</t>
        </is>
      </c>
      <c r="B614" s="1" t="n">
        <v>45814</v>
      </c>
      <c r="C614" s="1" t="n">
        <v>46138</v>
      </c>
      <c r="D614" t="inlineStr">
        <is>
          <t>UPPSALA LÄN</t>
        </is>
      </c>
      <c r="E614" t="inlineStr">
        <is>
          <t>UPPSALA</t>
        </is>
      </c>
      <c r="G614" t="n">
        <v>4</v>
      </c>
      <c r="H614" t="n">
        <v>0</v>
      </c>
      <c r="I614" t="n">
        <v>0</v>
      </c>
      <c r="J614" t="n">
        <v>0</v>
      </c>
      <c r="K614" t="n">
        <v>0</v>
      </c>
      <c r="L614" t="n">
        <v>0</v>
      </c>
      <c r="M614" t="n">
        <v>0</v>
      </c>
      <c r="N614" t="n">
        <v>0</v>
      </c>
      <c r="O614" t="n">
        <v>0</v>
      </c>
      <c r="P614" t="n">
        <v>0</v>
      </c>
      <c r="Q614" t="n">
        <v>0</v>
      </c>
      <c r="R614" s="2" t="inlineStr"/>
    </row>
    <row r="615" ht="15" customHeight="1">
      <c r="A615" t="inlineStr">
        <is>
          <t>A 28121-2025</t>
        </is>
      </c>
      <c r="B615" s="1" t="n">
        <v>45817</v>
      </c>
      <c r="C615" s="1" t="n">
        <v>46138</v>
      </c>
      <c r="D615" t="inlineStr">
        <is>
          <t>UPPSALA LÄN</t>
        </is>
      </c>
      <c r="E615" t="inlineStr">
        <is>
          <t>UPPSALA</t>
        </is>
      </c>
      <c r="G615" t="n">
        <v>5.6</v>
      </c>
      <c r="H615" t="n">
        <v>0</v>
      </c>
      <c r="I615" t="n">
        <v>0</v>
      </c>
      <c r="J615" t="n">
        <v>0</v>
      </c>
      <c r="K615" t="n">
        <v>0</v>
      </c>
      <c r="L615" t="n">
        <v>0</v>
      </c>
      <c r="M615" t="n">
        <v>0</v>
      </c>
      <c r="N615" t="n">
        <v>0</v>
      </c>
      <c r="O615" t="n">
        <v>0</v>
      </c>
      <c r="P615" t="n">
        <v>0</v>
      </c>
      <c r="Q615" t="n">
        <v>0</v>
      </c>
      <c r="R615" s="2" t="inlineStr"/>
    </row>
    <row r="616" ht="15" customHeight="1">
      <c r="A616" t="inlineStr">
        <is>
          <t>A 4312-2022</t>
        </is>
      </c>
      <c r="B616" s="1" t="n">
        <v>44588</v>
      </c>
      <c r="C616" s="1" t="n">
        <v>46138</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60814-2023</t>
        </is>
      </c>
      <c r="B617" s="1" t="n">
        <v>45259</v>
      </c>
      <c r="C617" s="1" t="n">
        <v>46138</v>
      </c>
      <c r="D617" t="inlineStr">
        <is>
          <t>UPPSALA LÄN</t>
        </is>
      </c>
      <c r="E617" t="inlineStr">
        <is>
          <t>UPPSALA</t>
        </is>
      </c>
      <c r="G617" t="n">
        <v>5.9</v>
      </c>
      <c r="H617" t="n">
        <v>0</v>
      </c>
      <c r="I617" t="n">
        <v>0</v>
      </c>
      <c r="J617" t="n">
        <v>0</v>
      </c>
      <c r="K617" t="n">
        <v>0</v>
      </c>
      <c r="L617" t="n">
        <v>0</v>
      </c>
      <c r="M617" t="n">
        <v>0</v>
      </c>
      <c r="N617" t="n">
        <v>0</v>
      </c>
      <c r="O617" t="n">
        <v>0</v>
      </c>
      <c r="P617" t="n">
        <v>0</v>
      </c>
      <c r="Q617" t="n">
        <v>0</v>
      </c>
      <c r="R617" s="2" t="inlineStr"/>
    </row>
    <row r="618" ht="15" customHeight="1">
      <c r="A618" t="inlineStr">
        <is>
          <t>A 50897-2025</t>
        </is>
      </c>
      <c r="B618" s="1" t="n">
        <v>45946.64121527778</v>
      </c>
      <c r="C618" s="1" t="n">
        <v>46138</v>
      </c>
      <c r="D618" t="inlineStr">
        <is>
          <t>UPPSALA LÄN</t>
        </is>
      </c>
      <c r="E618" t="inlineStr">
        <is>
          <t>UPPSALA</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28275-2025</t>
        </is>
      </c>
      <c r="B619" s="1" t="n">
        <v>45818.57910879629</v>
      </c>
      <c r="C619" s="1" t="n">
        <v>46138</v>
      </c>
      <c r="D619" t="inlineStr">
        <is>
          <t>UPPSALA LÄN</t>
        </is>
      </c>
      <c r="E619" t="inlineStr">
        <is>
          <t>UPPSALA</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27922-2025</t>
        </is>
      </c>
      <c r="B620" s="1" t="n">
        <v>45817</v>
      </c>
      <c r="C620" s="1" t="n">
        <v>46138</v>
      </c>
      <c r="D620" t="inlineStr">
        <is>
          <t>UPPSALA LÄN</t>
        </is>
      </c>
      <c r="E620" t="inlineStr">
        <is>
          <t>UPPSALA</t>
        </is>
      </c>
      <c r="F620" t="inlineStr">
        <is>
          <t>Övriga Aktiebolag</t>
        </is>
      </c>
      <c r="G620" t="n">
        <v>0.1</v>
      </c>
      <c r="H620" t="n">
        <v>0</v>
      </c>
      <c r="I620" t="n">
        <v>0</v>
      </c>
      <c r="J620" t="n">
        <v>0</v>
      </c>
      <c r="K620" t="n">
        <v>0</v>
      </c>
      <c r="L620" t="n">
        <v>0</v>
      </c>
      <c r="M620" t="n">
        <v>0</v>
      </c>
      <c r="N620" t="n">
        <v>0</v>
      </c>
      <c r="O620" t="n">
        <v>0</v>
      </c>
      <c r="P620" t="n">
        <v>0</v>
      </c>
      <c r="Q620" t="n">
        <v>0</v>
      </c>
      <c r="R620" s="2" t="inlineStr"/>
    </row>
    <row r="621" ht="15" customHeight="1">
      <c r="A621" t="inlineStr">
        <is>
          <t>A 51158-2025</t>
        </is>
      </c>
      <c r="B621" s="1" t="n">
        <v>45947.58105324074</v>
      </c>
      <c r="C621" s="1" t="n">
        <v>46138</v>
      </c>
      <c r="D621" t="inlineStr">
        <is>
          <t>UPPSALA LÄN</t>
        </is>
      </c>
      <c r="E621" t="inlineStr">
        <is>
          <t>UPPSALA</t>
        </is>
      </c>
      <c r="F621" t="inlineStr">
        <is>
          <t>Övriga Aktiebolag</t>
        </is>
      </c>
      <c r="G621" t="n">
        <v>12.1</v>
      </c>
      <c r="H621" t="n">
        <v>0</v>
      </c>
      <c r="I621" t="n">
        <v>0</v>
      </c>
      <c r="J621" t="n">
        <v>0</v>
      </c>
      <c r="K621" t="n">
        <v>0</v>
      </c>
      <c r="L621" t="n">
        <v>0</v>
      </c>
      <c r="M621" t="n">
        <v>0</v>
      </c>
      <c r="N621" t="n">
        <v>0</v>
      </c>
      <c r="O621" t="n">
        <v>0</v>
      </c>
      <c r="P621" t="n">
        <v>0</v>
      </c>
      <c r="Q621" t="n">
        <v>0</v>
      </c>
      <c r="R621" s="2" t="inlineStr"/>
    </row>
    <row r="622" ht="15" customHeight="1">
      <c r="A622" t="inlineStr">
        <is>
          <t>A 50951-2025</t>
        </is>
      </c>
      <c r="B622" s="1" t="n">
        <v>45946.76038194444</v>
      </c>
      <c r="C622" s="1" t="n">
        <v>46138</v>
      </c>
      <c r="D622" t="inlineStr">
        <is>
          <t>UPPSALA LÄN</t>
        </is>
      </c>
      <c r="E622" t="inlineStr">
        <is>
          <t>UPPSALA</t>
        </is>
      </c>
      <c r="G622" t="n">
        <v>2.9</v>
      </c>
      <c r="H622" t="n">
        <v>0</v>
      </c>
      <c r="I622" t="n">
        <v>0</v>
      </c>
      <c r="J622" t="n">
        <v>0</v>
      </c>
      <c r="K622" t="n">
        <v>0</v>
      </c>
      <c r="L622" t="n">
        <v>0</v>
      </c>
      <c r="M622" t="n">
        <v>0</v>
      </c>
      <c r="N622" t="n">
        <v>0</v>
      </c>
      <c r="O622" t="n">
        <v>0</v>
      </c>
      <c r="P622" t="n">
        <v>0</v>
      </c>
      <c r="Q622" t="n">
        <v>0</v>
      </c>
      <c r="R622" s="2" t="inlineStr"/>
    </row>
    <row r="623" ht="15" customHeight="1">
      <c r="A623" t="inlineStr">
        <is>
          <t>A 50706-2025</t>
        </is>
      </c>
      <c r="B623" s="1" t="n">
        <v>45946.30063657407</v>
      </c>
      <c r="C623" s="1" t="n">
        <v>46138</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50708-2025</t>
        </is>
      </c>
      <c r="B624" s="1" t="n">
        <v>45946.31299768519</v>
      </c>
      <c r="C624" s="1" t="n">
        <v>46138</v>
      </c>
      <c r="D624" t="inlineStr">
        <is>
          <t>UPPSALA LÄN</t>
        </is>
      </c>
      <c r="E624" t="inlineStr">
        <is>
          <t>UPPSALA</t>
        </is>
      </c>
      <c r="G624" t="n">
        <v>6.7</v>
      </c>
      <c r="H624" t="n">
        <v>0</v>
      </c>
      <c r="I624" t="n">
        <v>0</v>
      </c>
      <c r="J624" t="n">
        <v>0</v>
      </c>
      <c r="K624" t="n">
        <v>0</v>
      </c>
      <c r="L624" t="n">
        <v>0</v>
      </c>
      <c r="M624" t="n">
        <v>0</v>
      </c>
      <c r="N624" t="n">
        <v>0</v>
      </c>
      <c r="O624" t="n">
        <v>0</v>
      </c>
      <c r="P624" t="n">
        <v>0</v>
      </c>
      <c r="Q624" t="n">
        <v>0</v>
      </c>
      <c r="R624" s="2" t="inlineStr"/>
    </row>
    <row r="625" ht="15" customHeight="1">
      <c r="A625" t="inlineStr">
        <is>
          <t>A 53963-2023</t>
        </is>
      </c>
      <c r="B625" s="1" t="n">
        <v>45231.62840277778</v>
      </c>
      <c r="C625" s="1" t="n">
        <v>46138</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50949-2025</t>
        </is>
      </c>
      <c r="B626" s="1" t="n">
        <v>45946.75140046296</v>
      </c>
      <c r="C626" s="1" t="n">
        <v>46138</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7501-2025</t>
        </is>
      </c>
      <c r="B627" s="1" t="n">
        <v>45705</v>
      </c>
      <c r="C627" s="1" t="n">
        <v>46138</v>
      </c>
      <c r="D627" t="inlineStr">
        <is>
          <t>UPPSALA LÄN</t>
        </is>
      </c>
      <c r="E627" t="inlineStr">
        <is>
          <t>UPPSALA</t>
        </is>
      </c>
      <c r="G627" t="n">
        <v>4.2</v>
      </c>
      <c r="H627" t="n">
        <v>0</v>
      </c>
      <c r="I627" t="n">
        <v>0</v>
      </c>
      <c r="J627" t="n">
        <v>0</v>
      </c>
      <c r="K627" t="n">
        <v>0</v>
      </c>
      <c r="L627" t="n">
        <v>0</v>
      </c>
      <c r="M627" t="n">
        <v>0</v>
      </c>
      <c r="N627" t="n">
        <v>0</v>
      </c>
      <c r="O627" t="n">
        <v>0</v>
      </c>
      <c r="P627" t="n">
        <v>0</v>
      </c>
      <c r="Q627" t="n">
        <v>0</v>
      </c>
      <c r="R627" s="2" t="inlineStr"/>
    </row>
    <row r="628" ht="15" customHeight="1">
      <c r="A628" t="inlineStr">
        <is>
          <t>A 60444-2023</t>
        </is>
      </c>
      <c r="B628" s="1" t="n">
        <v>45259.52809027778</v>
      </c>
      <c r="C628" s="1" t="n">
        <v>46138</v>
      </c>
      <c r="D628" t="inlineStr">
        <is>
          <t>UPPSALA LÄN</t>
        </is>
      </c>
      <c r="E628" t="inlineStr">
        <is>
          <t>UPPSALA</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51090-2025</t>
        </is>
      </c>
      <c r="B629" s="1" t="n">
        <v>45947.4724537037</v>
      </c>
      <c r="C629" s="1" t="n">
        <v>46138</v>
      </c>
      <c r="D629" t="inlineStr">
        <is>
          <t>UPPSALA LÄN</t>
        </is>
      </c>
      <c r="E629" t="inlineStr">
        <is>
          <t>UPPSALA</t>
        </is>
      </c>
      <c r="F629" t="inlineStr">
        <is>
          <t>Övriga Aktiebolag</t>
        </is>
      </c>
      <c r="G629" t="n">
        <v>17.5</v>
      </c>
      <c r="H629" t="n">
        <v>0</v>
      </c>
      <c r="I629" t="n">
        <v>0</v>
      </c>
      <c r="J629" t="n">
        <v>0</v>
      </c>
      <c r="K629" t="n">
        <v>0</v>
      </c>
      <c r="L629" t="n">
        <v>0</v>
      </c>
      <c r="M629" t="n">
        <v>0</v>
      </c>
      <c r="N629" t="n">
        <v>0</v>
      </c>
      <c r="O629" t="n">
        <v>0</v>
      </c>
      <c r="P629" t="n">
        <v>0</v>
      </c>
      <c r="Q629" t="n">
        <v>0</v>
      </c>
      <c r="R629" s="2" t="inlineStr"/>
    </row>
    <row r="630" ht="15" customHeight="1">
      <c r="A630" t="inlineStr">
        <is>
          <t>A 28876-2025</t>
        </is>
      </c>
      <c r="B630" s="1" t="n">
        <v>45820</v>
      </c>
      <c r="C630" s="1" t="n">
        <v>46138</v>
      </c>
      <c r="D630" t="inlineStr">
        <is>
          <t>UPPSALA LÄN</t>
        </is>
      </c>
      <c r="E630" t="inlineStr">
        <is>
          <t>UPPSALA</t>
        </is>
      </c>
      <c r="G630" t="n">
        <v>4</v>
      </c>
      <c r="H630" t="n">
        <v>0</v>
      </c>
      <c r="I630" t="n">
        <v>0</v>
      </c>
      <c r="J630" t="n">
        <v>0</v>
      </c>
      <c r="K630" t="n">
        <v>0</v>
      </c>
      <c r="L630" t="n">
        <v>0</v>
      </c>
      <c r="M630" t="n">
        <v>0</v>
      </c>
      <c r="N630" t="n">
        <v>0</v>
      </c>
      <c r="O630" t="n">
        <v>0</v>
      </c>
      <c r="P630" t="n">
        <v>0</v>
      </c>
      <c r="Q630" t="n">
        <v>0</v>
      </c>
      <c r="R630" s="2" t="inlineStr"/>
    </row>
    <row r="631" ht="15" customHeight="1">
      <c r="A631" t="inlineStr">
        <is>
          <t>A 51433-2025</t>
        </is>
      </c>
      <c r="B631" s="1" t="n">
        <v>45950.55603009259</v>
      </c>
      <c r="C631" s="1" t="n">
        <v>46138</v>
      </c>
      <c r="D631" t="inlineStr">
        <is>
          <t>UPPSALA LÄN</t>
        </is>
      </c>
      <c r="E631" t="inlineStr">
        <is>
          <t>UPPSALA</t>
        </is>
      </c>
      <c r="F631" t="inlineStr">
        <is>
          <t>Bergvik skog öst AB</t>
        </is>
      </c>
      <c r="G631" t="n">
        <v>14.7</v>
      </c>
      <c r="H631" t="n">
        <v>0</v>
      </c>
      <c r="I631" t="n">
        <v>0</v>
      </c>
      <c r="J631" t="n">
        <v>0</v>
      </c>
      <c r="K631" t="n">
        <v>0</v>
      </c>
      <c r="L631" t="n">
        <v>0</v>
      </c>
      <c r="M631" t="n">
        <v>0</v>
      </c>
      <c r="N631" t="n">
        <v>0</v>
      </c>
      <c r="O631" t="n">
        <v>0</v>
      </c>
      <c r="P631" t="n">
        <v>0</v>
      </c>
      <c r="Q631" t="n">
        <v>0</v>
      </c>
      <c r="R631" s="2" t="inlineStr"/>
    </row>
    <row r="632" ht="15" customHeight="1">
      <c r="A632" t="inlineStr">
        <is>
          <t>A 28871-2025</t>
        </is>
      </c>
      <c r="B632" s="1" t="n">
        <v>45820</v>
      </c>
      <c r="C632" s="1" t="n">
        <v>46138</v>
      </c>
      <c r="D632" t="inlineStr">
        <is>
          <t>UPPSALA LÄN</t>
        </is>
      </c>
      <c r="E632" t="inlineStr">
        <is>
          <t>UPPSALA</t>
        </is>
      </c>
      <c r="G632" t="n">
        <v>6.5</v>
      </c>
      <c r="H632" t="n">
        <v>0</v>
      </c>
      <c r="I632" t="n">
        <v>0</v>
      </c>
      <c r="J632" t="n">
        <v>0</v>
      </c>
      <c r="K632" t="n">
        <v>0</v>
      </c>
      <c r="L632" t="n">
        <v>0</v>
      </c>
      <c r="M632" t="n">
        <v>0</v>
      </c>
      <c r="N632" t="n">
        <v>0</v>
      </c>
      <c r="O632" t="n">
        <v>0</v>
      </c>
      <c r="P632" t="n">
        <v>0</v>
      </c>
      <c r="Q632" t="n">
        <v>0</v>
      </c>
      <c r="R632" s="2" t="inlineStr"/>
    </row>
    <row r="633" ht="15" customHeight="1">
      <c r="A633" t="inlineStr">
        <is>
          <t>A 28878-2025</t>
        </is>
      </c>
      <c r="B633" s="1" t="n">
        <v>45820</v>
      </c>
      <c r="C633" s="1" t="n">
        <v>46138</v>
      </c>
      <c r="D633" t="inlineStr">
        <is>
          <t>UPPSALA LÄN</t>
        </is>
      </c>
      <c r="E633" t="inlineStr">
        <is>
          <t>UPPSALA</t>
        </is>
      </c>
      <c r="G633" t="n">
        <v>5.5</v>
      </c>
      <c r="H633" t="n">
        <v>0</v>
      </c>
      <c r="I633" t="n">
        <v>0</v>
      </c>
      <c r="J633" t="n">
        <v>0</v>
      </c>
      <c r="K633" t="n">
        <v>0</v>
      </c>
      <c r="L633" t="n">
        <v>0</v>
      </c>
      <c r="M633" t="n">
        <v>0</v>
      </c>
      <c r="N633" t="n">
        <v>0</v>
      </c>
      <c r="O633" t="n">
        <v>0</v>
      </c>
      <c r="P633" t="n">
        <v>0</v>
      </c>
      <c r="Q633" t="n">
        <v>0</v>
      </c>
      <c r="R633" s="2" t="inlineStr"/>
    </row>
    <row r="634" ht="15" customHeight="1">
      <c r="A634" t="inlineStr">
        <is>
          <t>A 29030-2025</t>
        </is>
      </c>
      <c r="B634" s="1" t="n">
        <v>45821.44101851852</v>
      </c>
      <c r="C634" s="1" t="n">
        <v>46138</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51493-2025</t>
        </is>
      </c>
      <c r="B635" s="1" t="n">
        <v>45950</v>
      </c>
      <c r="C635" s="1" t="n">
        <v>46138</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51505-2025</t>
        </is>
      </c>
      <c r="B636" s="1" t="n">
        <v>45950</v>
      </c>
      <c r="C636" s="1" t="n">
        <v>46138</v>
      </c>
      <c r="D636" t="inlineStr">
        <is>
          <t>UPPSALA LÄN</t>
        </is>
      </c>
      <c r="E636" t="inlineStr">
        <is>
          <t>UPPSALA</t>
        </is>
      </c>
      <c r="G636" t="n">
        <v>6.7</v>
      </c>
      <c r="H636" t="n">
        <v>0</v>
      </c>
      <c r="I636" t="n">
        <v>0</v>
      </c>
      <c r="J636" t="n">
        <v>0</v>
      </c>
      <c r="K636" t="n">
        <v>0</v>
      </c>
      <c r="L636" t="n">
        <v>0</v>
      </c>
      <c r="M636" t="n">
        <v>0</v>
      </c>
      <c r="N636" t="n">
        <v>0</v>
      </c>
      <c r="O636" t="n">
        <v>0</v>
      </c>
      <c r="P636" t="n">
        <v>0</v>
      </c>
      <c r="Q636" t="n">
        <v>0</v>
      </c>
      <c r="R636" s="2" t="inlineStr"/>
    </row>
    <row r="637" ht="15" customHeight="1">
      <c r="A637" t="inlineStr">
        <is>
          <t>A 51275-2025</t>
        </is>
      </c>
      <c r="B637" s="1" t="n">
        <v>45949</v>
      </c>
      <c r="C637" s="1" t="n">
        <v>46138</v>
      </c>
      <c r="D637" t="inlineStr">
        <is>
          <t>UPPSALA LÄN</t>
        </is>
      </c>
      <c r="E637" t="inlineStr">
        <is>
          <t>UPPSALA</t>
        </is>
      </c>
      <c r="G637" t="n">
        <v>0.3</v>
      </c>
      <c r="H637" t="n">
        <v>0</v>
      </c>
      <c r="I637" t="n">
        <v>0</v>
      </c>
      <c r="J637" t="n">
        <v>0</v>
      </c>
      <c r="K637" t="n">
        <v>0</v>
      </c>
      <c r="L637" t="n">
        <v>0</v>
      </c>
      <c r="M637" t="n">
        <v>0</v>
      </c>
      <c r="N637" t="n">
        <v>0</v>
      </c>
      <c r="O637" t="n">
        <v>0</v>
      </c>
      <c r="P637" t="n">
        <v>0</v>
      </c>
      <c r="Q637" t="n">
        <v>0</v>
      </c>
      <c r="R637" s="2" t="inlineStr"/>
    </row>
    <row r="638" ht="15" customHeight="1">
      <c r="A638" t="inlineStr">
        <is>
          <t>A 59996-2024</t>
        </is>
      </c>
      <c r="B638" s="1" t="n">
        <v>45642</v>
      </c>
      <c r="C638" s="1" t="n">
        <v>46138</v>
      </c>
      <c r="D638" t="inlineStr">
        <is>
          <t>UPPSALA LÄN</t>
        </is>
      </c>
      <c r="E638" t="inlineStr">
        <is>
          <t>UPPSALA</t>
        </is>
      </c>
      <c r="F638" t="inlineStr">
        <is>
          <t>Bergvik skog väst AB</t>
        </is>
      </c>
      <c r="G638" t="n">
        <v>14.5</v>
      </c>
      <c r="H638" t="n">
        <v>0</v>
      </c>
      <c r="I638" t="n">
        <v>0</v>
      </c>
      <c r="J638" t="n">
        <v>0</v>
      </c>
      <c r="K638" t="n">
        <v>0</v>
      </c>
      <c r="L638" t="n">
        <v>0</v>
      </c>
      <c r="M638" t="n">
        <v>0</v>
      </c>
      <c r="N638" t="n">
        <v>0</v>
      </c>
      <c r="O638" t="n">
        <v>0</v>
      </c>
      <c r="P638" t="n">
        <v>0</v>
      </c>
      <c r="Q638" t="n">
        <v>0</v>
      </c>
      <c r="R638" s="2" t="inlineStr"/>
    </row>
    <row r="639" ht="15" customHeight="1">
      <c r="A639" t="inlineStr">
        <is>
          <t>A 52267-2025</t>
        </is>
      </c>
      <c r="B639" s="1" t="n">
        <v>45953.53460648148</v>
      </c>
      <c r="C639" s="1" t="n">
        <v>46138</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13644-2024</t>
        </is>
      </c>
      <c r="B640" s="1" t="n">
        <v>45390</v>
      </c>
      <c r="C640" s="1" t="n">
        <v>46138</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29287-2025</t>
        </is>
      </c>
      <c r="B641" s="1" t="n">
        <v>45824.43798611111</v>
      </c>
      <c r="C641" s="1" t="n">
        <v>46138</v>
      </c>
      <c r="D641" t="inlineStr">
        <is>
          <t>UPPSALA LÄN</t>
        </is>
      </c>
      <c r="E641" t="inlineStr">
        <is>
          <t>UPPSALA</t>
        </is>
      </c>
      <c r="F641" t="inlineStr">
        <is>
          <t>Kyrkan</t>
        </is>
      </c>
      <c r="G641" t="n">
        <v>5.2</v>
      </c>
      <c r="H641" t="n">
        <v>0</v>
      </c>
      <c r="I641" t="n">
        <v>0</v>
      </c>
      <c r="J641" t="n">
        <v>0</v>
      </c>
      <c r="K641" t="n">
        <v>0</v>
      </c>
      <c r="L641" t="n">
        <v>0</v>
      </c>
      <c r="M641" t="n">
        <v>0</v>
      </c>
      <c r="N641" t="n">
        <v>0</v>
      </c>
      <c r="O641" t="n">
        <v>0</v>
      </c>
      <c r="P641" t="n">
        <v>0</v>
      </c>
      <c r="Q641" t="n">
        <v>0</v>
      </c>
      <c r="R641" s="2" t="inlineStr"/>
    </row>
    <row r="642" ht="15" customHeight="1">
      <c r="A642" t="inlineStr">
        <is>
          <t>A 44815-2023</t>
        </is>
      </c>
      <c r="B642" s="1" t="n">
        <v>45190</v>
      </c>
      <c r="C642" s="1" t="n">
        <v>46138</v>
      </c>
      <c r="D642" t="inlineStr">
        <is>
          <t>UPPSALA LÄN</t>
        </is>
      </c>
      <c r="E642" t="inlineStr">
        <is>
          <t>UPPSALA</t>
        </is>
      </c>
      <c r="G642" t="n">
        <v>2.3</v>
      </c>
      <c r="H642" t="n">
        <v>0</v>
      </c>
      <c r="I642" t="n">
        <v>0</v>
      </c>
      <c r="J642" t="n">
        <v>0</v>
      </c>
      <c r="K642" t="n">
        <v>0</v>
      </c>
      <c r="L642" t="n">
        <v>0</v>
      </c>
      <c r="M642" t="n">
        <v>0</v>
      </c>
      <c r="N642" t="n">
        <v>0</v>
      </c>
      <c r="O642" t="n">
        <v>0</v>
      </c>
      <c r="P642" t="n">
        <v>0</v>
      </c>
      <c r="Q642" t="n">
        <v>0</v>
      </c>
      <c r="R642" s="2" t="inlineStr"/>
    </row>
    <row r="643" ht="15" customHeight="1">
      <c r="A643" t="inlineStr">
        <is>
          <t>A 29627-2025</t>
        </is>
      </c>
      <c r="B643" s="1" t="n">
        <v>45825.44482638889</v>
      </c>
      <c r="C643" s="1" t="n">
        <v>46138</v>
      </c>
      <c r="D643" t="inlineStr">
        <is>
          <t>UPPSALA LÄN</t>
        </is>
      </c>
      <c r="E643" t="inlineStr">
        <is>
          <t>UPPSALA</t>
        </is>
      </c>
      <c r="F643" t="inlineStr">
        <is>
          <t>Kommuner</t>
        </is>
      </c>
      <c r="G643" t="n">
        <v>1.6</v>
      </c>
      <c r="H643" t="n">
        <v>0</v>
      </c>
      <c r="I643" t="n">
        <v>0</v>
      </c>
      <c r="J643" t="n">
        <v>0</v>
      </c>
      <c r="K643" t="n">
        <v>0</v>
      </c>
      <c r="L643" t="n">
        <v>0</v>
      </c>
      <c r="M643" t="n">
        <v>0</v>
      </c>
      <c r="N643" t="n">
        <v>0</v>
      </c>
      <c r="O643" t="n">
        <v>0</v>
      </c>
      <c r="P643" t="n">
        <v>0</v>
      </c>
      <c r="Q643" t="n">
        <v>0</v>
      </c>
      <c r="R643" s="2" t="inlineStr"/>
    </row>
    <row r="644" ht="15" customHeight="1">
      <c r="A644" t="inlineStr">
        <is>
          <t>A 29047-2025</t>
        </is>
      </c>
      <c r="B644" s="1" t="n">
        <v>45821.45905092593</v>
      </c>
      <c r="C644" s="1" t="n">
        <v>46138</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52269-2025</t>
        </is>
      </c>
      <c r="B645" s="1" t="n">
        <v>45953.53765046296</v>
      </c>
      <c r="C645" s="1" t="n">
        <v>46138</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52429-2025</t>
        </is>
      </c>
      <c r="B646" s="1" t="n">
        <v>45954.38475694445</v>
      </c>
      <c r="C646" s="1" t="n">
        <v>46138</v>
      </c>
      <c r="D646" t="inlineStr">
        <is>
          <t>UPPSALA LÄN</t>
        </is>
      </c>
      <c r="E646" t="inlineStr">
        <is>
          <t>UPPSALA</t>
        </is>
      </c>
      <c r="G646" t="n">
        <v>16.6</v>
      </c>
      <c r="H646" t="n">
        <v>0</v>
      </c>
      <c r="I646" t="n">
        <v>0</v>
      </c>
      <c r="J646" t="n">
        <v>0</v>
      </c>
      <c r="K646" t="n">
        <v>0</v>
      </c>
      <c r="L646" t="n">
        <v>0</v>
      </c>
      <c r="M646" t="n">
        <v>0</v>
      </c>
      <c r="N646" t="n">
        <v>0</v>
      </c>
      <c r="O646" t="n">
        <v>0</v>
      </c>
      <c r="P646" t="n">
        <v>0</v>
      </c>
      <c r="Q646" t="n">
        <v>0</v>
      </c>
      <c r="R646" s="2" t="inlineStr"/>
    </row>
    <row r="647" ht="15" customHeight="1">
      <c r="A647" t="inlineStr">
        <is>
          <t>A 53244-2025</t>
        </is>
      </c>
      <c r="B647" s="1" t="n">
        <v>45957</v>
      </c>
      <c r="C647" s="1" t="n">
        <v>46138</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52963-2025</t>
        </is>
      </c>
      <c r="B648" s="1" t="n">
        <v>45957.66506944445</v>
      </c>
      <c r="C648" s="1" t="n">
        <v>46138</v>
      </c>
      <c r="D648" t="inlineStr">
        <is>
          <t>UPPSALA LÄN</t>
        </is>
      </c>
      <c r="E648" t="inlineStr">
        <is>
          <t>UPPSALA</t>
        </is>
      </c>
      <c r="G648" t="n">
        <v>1.3</v>
      </c>
      <c r="H648" t="n">
        <v>0</v>
      </c>
      <c r="I648" t="n">
        <v>0</v>
      </c>
      <c r="J648" t="n">
        <v>0</v>
      </c>
      <c r="K648" t="n">
        <v>0</v>
      </c>
      <c r="L648" t="n">
        <v>0</v>
      </c>
      <c r="M648" t="n">
        <v>0</v>
      </c>
      <c r="N648" t="n">
        <v>0</v>
      </c>
      <c r="O648" t="n">
        <v>0</v>
      </c>
      <c r="P648" t="n">
        <v>0</v>
      </c>
      <c r="Q648" t="n">
        <v>0</v>
      </c>
      <c r="R648" s="2" t="inlineStr"/>
    </row>
    <row r="649" ht="15" customHeight="1">
      <c r="A649" t="inlineStr">
        <is>
          <t>A 20102-2023</t>
        </is>
      </c>
      <c r="B649" s="1" t="n">
        <v>45054.95675925926</v>
      </c>
      <c r="C649" s="1" t="n">
        <v>46138</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46138</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11568-2023</t>
        </is>
      </c>
      <c r="B651" s="1" t="n">
        <v>44994</v>
      </c>
      <c r="C651" s="1" t="n">
        <v>46138</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30437-2025</t>
        </is>
      </c>
      <c r="B652" s="1" t="n">
        <v>45827.64092592592</v>
      </c>
      <c r="C652" s="1" t="n">
        <v>46138</v>
      </c>
      <c r="D652" t="inlineStr">
        <is>
          <t>UPPSALA LÄN</t>
        </is>
      </c>
      <c r="E652" t="inlineStr">
        <is>
          <t>UPPSALA</t>
        </is>
      </c>
      <c r="G652" t="n">
        <v>3.6</v>
      </c>
      <c r="H652" t="n">
        <v>0</v>
      </c>
      <c r="I652" t="n">
        <v>0</v>
      </c>
      <c r="J652" t="n">
        <v>0</v>
      </c>
      <c r="K652" t="n">
        <v>0</v>
      </c>
      <c r="L652" t="n">
        <v>0</v>
      </c>
      <c r="M652" t="n">
        <v>0</v>
      </c>
      <c r="N652" t="n">
        <v>0</v>
      </c>
      <c r="O652" t="n">
        <v>0</v>
      </c>
      <c r="P652" t="n">
        <v>0</v>
      </c>
      <c r="Q652" t="n">
        <v>0</v>
      </c>
      <c r="R652" s="2" t="inlineStr"/>
    </row>
    <row r="653" ht="15" customHeight="1">
      <c r="A653" t="inlineStr">
        <is>
          <t>A 52523-2025</t>
        </is>
      </c>
      <c r="B653" s="1" t="n">
        <v>45954.528125</v>
      </c>
      <c r="C653" s="1" t="n">
        <v>46138</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30282-2025</t>
        </is>
      </c>
      <c r="B654" s="1" t="n">
        <v>45827.46288194445</v>
      </c>
      <c r="C654" s="1" t="n">
        <v>46138</v>
      </c>
      <c r="D654" t="inlineStr">
        <is>
          <t>UPPSALA LÄN</t>
        </is>
      </c>
      <c r="E654" t="inlineStr">
        <is>
          <t>UPPSALA</t>
        </is>
      </c>
      <c r="F654" t="inlineStr">
        <is>
          <t>Holmen skog AB</t>
        </is>
      </c>
      <c r="G654" t="n">
        <v>3.5</v>
      </c>
      <c r="H654" t="n">
        <v>0</v>
      </c>
      <c r="I654" t="n">
        <v>0</v>
      </c>
      <c r="J654" t="n">
        <v>0</v>
      </c>
      <c r="K654" t="n">
        <v>0</v>
      </c>
      <c r="L654" t="n">
        <v>0</v>
      </c>
      <c r="M654" t="n">
        <v>0</v>
      </c>
      <c r="N654" t="n">
        <v>0</v>
      </c>
      <c r="O654" t="n">
        <v>0</v>
      </c>
      <c r="P654" t="n">
        <v>0</v>
      </c>
      <c r="Q654" t="n">
        <v>0</v>
      </c>
      <c r="R654" s="2" t="inlineStr"/>
    </row>
    <row r="655" ht="15" customHeight="1">
      <c r="A655" t="inlineStr">
        <is>
          <t>A 17562-2022</t>
        </is>
      </c>
      <c r="B655" s="1" t="n">
        <v>44679.68706018518</v>
      </c>
      <c r="C655" s="1" t="n">
        <v>46138</v>
      </c>
      <c r="D655" t="inlineStr">
        <is>
          <t>UPPSALA LÄN</t>
        </is>
      </c>
      <c r="E655" t="inlineStr">
        <is>
          <t>UPPSALA</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52517-2025</t>
        </is>
      </c>
      <c r="B656" s="1" t="n">
        <v>45954.51438657408</v>
      </c>
      <c r="C656" s="1" t="n">
        <v>46138</v>
      </c>
      <c r="D656" t="inlineStr">
        <is>
          <t>UPPSALA LÄN</t>
        </is>
      </c>
      <c r="E656" t="inlineStr">
        <is>
          <t>UPPSALA</t>
        </is>
      </c>
      <c r="G656" t="n">
        <v>10.3</v>
      </c>
      <c r="H656" t="n">
        <v>0</v>
      </c>
      <c r="I656" t="n">
        <v>0</v>
      </c>
      <c r="J656" t="n">
        <v>0</v>
      </c>
      <c r="K656" t="n">
        <v>0</v>
      </c>
      <c r="L656" t="n">
        <v>0</v>
      </c>
      <c r="M656" t="n">
        <v>0</v>
      </c>
      <c r="N656" t="n">
        <v>0</v>
      </c>
      <c r="O656" t="n">
        <v>0</v>
      </c>
      <c r="P656" t="n">
        <v>0</v>
      </c>
      <c r="Q656" t="n">
        <v>0</v>
      </c>
      <c r="R656" s="2" t="inlineStr"/>
    </row>
    <row r="657" ht="15" customHeight="1">
      <c r="A657" t="inlineStr">
        <is>
          <t>A 60445-2024</t>
        </is>
      </c>
      <c r="B657" s="1" t="n">
        <v>45643</v>
      </c>
      <c r="C657" s="1" t="n">
        <v>46138</v>
      </c>
      <c r="D657" t="inlineStr">
        <is>
          <t>UPPSALA LÄN</t>
        </is>
      </c>
      <c r="E657" t="inlineStr">
        <is>
          <t>UPPSALA</t>
        </is>
      </c>
      <c r="G657" t="n">
        <v>1</v>
      </c>
      <c r="H657" t="n">
        <v>0</v>
      </c>
      <c r="I657" t="n">
        <v>0</v>
      </c>
      <c r="J657" t="n">
        <v>0</v>
      </c>
      <c r="K657" t="n">
        <v>0</v>
      </c>
      <c r="L657" t="n">
        <v>0</v>
      </c>
      <c r="M657" t="n">
        <v>0</v>
      </c>
      <c r="N657" t="n">
        <v>0</v>
      </c>
      <c r="O657" t="n">
        <v>0</v>
      </c>
      <c r="P657" t="n">
        <v>0</v>
      </c>
      <c r="Q657" t="n">
        <v>0</v>
      </c>
      <c r="R657" s="2" t="inlineStr"/>
    </row>
    <row r="658" ht="15" customHeight="1">
      <c r="A658" t="inlineStr">
        <is>
          <t>A 53224-2025</t>
        </is>
      </c>
      <c r="B658" s="1" t="n">
        <v>45958.60826388889</v>
      </c>
      <c r="C658" s="1" t="n">
        <v>46138</v>
      </c>
      <c r="D658" t="inlineStr">
        <is>
          <t>UPPSALA LÄN</t>
        </is>
      </c>
      <c r="E658" t="inlineStr">
        <is>
          <t>UPPSALA</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53230-2025</t>
        </is>
      </c>
      <c r="B659" s="1" t="n">
        <v>45958.62303240741</v>
      </c>
      <c r="C659" s="1" t="n">
        <v>46138</v>
      </c>
      <c r="D659" t="inlineStr">
        <is>
          <t>UPPSALA LÄN</t>
        </is>
      </c>
      <c r="E659" t="inlineStr">
        <is>
          <t>UPPSALA</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53322-2025</t>
        </is>
      </c>
      <c r="B660" s="1" t="n">
        <v>45959.35965277778</v>
      </c>
      <c r="C660" s="1" t="n">
        <v>46138</v>
      </c>
      <c r="D660" t="inlineStr">
        <is>
          <t>UPPSALA LÄN</t>
        </is>
      </c>
      <c r="E660" t="inlineStr">
        <is>
          <t>UPPSALA</t>
        </is>
      </c>
      <c r="F660" t="inlineStr">
        <is>
          <t>Bergvik skog öst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30429-2025</t>
        </is>
      </c>
      <c r="B661" s="1" t="n">
        <v>45827.62096064815</v>
      </c>
      <c r="C661" s="1" t="n">
        <v>46138</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25776-2022</t>
        </is>
      </c>
      <c r="B662" s="1" t="n">
        <v>44733</v>
      </c>
      <c r="C662" s="1" t="n">
        <v>46138</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30567-2025</t>
        </is>
      </c>
      <c r="B663" s="1" t="n">
        <v>45831.40671296296</v>
      </c>
      <c r="C663" s="1" t="n">
        <v>46138</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53234-2025</t>
        </is>
      </c>
      <c r="B664" s="1" t="n">
        <v>45958.62765046296</v>
      </c>
      <c r="C664" s="1" t="n">
        <v>46138</v>
      </c>
      <c r="D664" t="inlineStr">
        <is>
          <t>UPPSALA LÄN</t>
        </is>
      </c>
      <c r="E664" t="inlineStr">
        <is>
          <t>UPPSALA</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53235-2025</t>
        </is>
      </c>
      <c r="B665" s="1" t="n">
        <v>45958.62983796297</v>
      </c>
      <c r="C665" s="1" t="n">
        <v>46138</v>
      </c>
      <c r="D665" t="inlineStr">
        <is>
          <t>UPPSALA LÄN</t>
        </is>
      </c>
      <c r="E665" t="inlineStr">
        <is>
          <t>UPPSALA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53062-2025</t>
        </is>
      </c>
      <c r="B666" s="1" t="n">
        <v>45958.37273148148</v>
      </c>
      <c r="C666" s="1" t="n">
        <v>46138</v>
      </c>
      <c r="D666" t="inlineStr">
        <is>
          <t>UPPSALA LÄN</t>
        </is>
      </c>
      <c r="E666" t="inlineStr">
        <is>
          <t>UPPSALA</t>
        </is>
      </c>
      <c r="G666" t="n">
        <v>2.1</v>
      </c>
      <c r="H666" t="n">
        <v>0</v>
      </c>
      <c r="I666" t="n">
        <v>0</v>
      </c>
      <c r="J666" t="n">
        <v>0</v>
      </c>
      <c r="K666" t="n">
        <v>0</v>
      </c>
      <c r="L666" t="n">
        <v>0</v>
      </c>
      <c r="M666" t="n">
        <v>0</v>
      </c>
      <c r="N666" t="n">
        <v>0</v>
      </c>
      <c r="O666" t="n">
        <v>0</v>
      </c>
      <c r="P666" t="n">
        <v>0</v>
      </c>
      <c r="Q666" t="n">
        <v>0</v>
      </c>
      <c r="R666" s="2" t="inlineStr"/>
    </row>
    <row r="667" ht="15" customHeight="1">
      <c r="A667" t="inlineStr">
        <is>
          <t>A 53021-2025</t>
        </is>
      </c>
      <c r="B667" s="1" t="n">
        <v>45957.95233796296</v>
      </c>
      <c r="C667" s="1" t="n">
        <v>46138</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53161-2025</t>
        </is>
      </c>
      <c r="B668" s="1" t="n">
        <v>45958.49162037037</v>
      </c>
      <c r="C668" s="1" t="n">
        <v>46138</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53423-2025</t>
        </is>
      </c>
      <c r="B669" s="1" t="n">
        <v>45959.60851851852</v>
      </c>
      <c r="C669" s="1" t="n">
        <v>46138</v>
      </c>
      <c r="D669" t="inlineStr">
        <is>
          <t>UPPSALA LÄN</t>
        </is>
      </c>
      <c r="E669" t="inlineStr">
        <is>
          <t>UPPSALA</t>
        </is>
      </c>
      <c r="F669" t="inlineStr">
        <is>
          <t>Övriga Aktiebolag</t>
        </is>
      </c>
      <c r="G669" t="n">
        <v>23.6</v>
      </c>
      <c r="H669" t="n">
        <v>0</v>
      </c>
      <c r="I669" t="n">
        <v>0</v>
      </c>
      <c r="J669" t="n">
        <v>0</v>
      </c>
      <c r="K669" t="n">
        <v>0</v>
      </c>
      <c r="L669" t="n">
        <v>0</v>
      </c>
      <c r="M669" t="n">
        <v>0</v>
      </c>
      <c r="N669" t="n">
        <v>0</v>
      </c>
      <c r="O669" t="n">
        <v>0</v>
      </c>
      <c r="P669" t="n">
        <v>0</v>
      </c>
      <c r="Q669" t="n">
        <v>0</v>
      </c>
      <c r="R669" s="2" t="inlineStr"/>
    </row>
    <row r="670" ht="15" customHeight="1">
      <c r="A670" t="inlineStr">
        <is>
          <t>A 53228-2025</t>
        </is>
      </c>
      <c r="B670" s="1" t="n">
        <v>45958.61577546296</v>
      </c>
      <c r="C670" s="1" t="n">
        <v>46138</v>
      </c>
      <c r="D670" t="inlineStr">
        <is>
          <t>UPPSALA LÄN</t>
        </is>
      </c>
      <c r="E670" t="inlineStr">
        <is>
          <t>UPPSALA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53238-2025</t>
        </is>
      </c>
      <c r="B671" s="1" t="n">
        <v>45958.63368055555</v>
      </c>
      <c r="C671" s="1" t="n">
        <v>46138</v>
      </c>
      <c r="D671" t="inlineStr">
        <is>
          <t>UPPSALA LÄN</t>
        </is>
      </c>
      <c r="E671" t="inlineStr">
        <is>
          <t>UPPSALA</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30838-2025</t>
        </is>
      </c>
      <c r="B672" s="1" t="n">
        <v>45831.72686342592</v>
      </c>
      <c r="C672" s="1" t="n">
        <v>46138</v>
      </c>
      <c r="D672" t="inlineStr">
        <is>
          <t>UPPSALA LÄN</t>
        </is>
      </c>
      <c r="E672" t="inlineStr">
        <is>
          <t>UPPSALA</t>
        </is>
      </c>
      <c r="F672" t="inlineStr">
        <is>
          <t>Kyrkan</t>
        </is>
      </c>
      <c r="G672" t="n">
        <v>2.2</v>
      </c>
      <c r="H672" t="n">
        <v>0</v>
      </c>
      <c r="I672" t="n">
        <v>0</v>
      </c>
      <c r="J672" t="n">
        <v>0</v>
      </c>
      <c r="K672" t="n">
        <v>0</v>
      </c>
      <c r="L672" t="n">
        <v>0</v>
      </c>
      <c r="M672" t="n">
        <v>0</v>
      </c>
      <c r="N672" t="n">
        <v>0</v>
      </c>
      <c r="O672" t="n">
        <v>0</v>
      </c>
      <c r="P672" t="n">
        <v>0</v>
      </c>
      <c r="Q672" t="n">
        <v>0</v>
      </c>
      <c r="R672" s="2" t="inlineStr"/>
    </row>
    <row r="673" ht="15" customHeight="1">
      <c r="A673" t="inlineStr">
        <is>
          <t>A 53242-2025</t>
        </is>
      </c>
      <c r="B673" s="1" t="n">
        <v>45958.64146990741</v>
      </c>
      <c r="C673" s="1" t="n">
        <v>46138</v>
      </c>
      <c r="D673" t="inlineStr">
        <is>
          <t>UPPSALA LÄN</t>
        </is>
      </c>
      <c r="E673" t="inlineStr">
        <is>
          <t>UPPSALA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53248-2025</t>
        </is>
      </c>
      <c r="B674" s="1" t="n">
        <v>45958.6516087963</v>
      </c>
      <c r="C674" s="1" t="n">
        <v>46138</v>
      </c>
      <c r="D674" t="inlineStr">
        <is>
          <t>UPPSALA LÄN</t>
        </is>
      </c>
      <c r="E674" t="inlineStr">
        <is>
          <t>UPPSALA</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30839-2025</t>
        </is>
      </c>
      <c r="B675" s="1" t="n">
        <v>45831.73</v>
      </c>
      <c r="C675" s="1" t="n">
        <v>46138</v>
      </c>
      <c r="D675" t="inlineStr">
        <is>
          <t>UPPSALA LÄN</t>
        </is>
      </c>
      <c r="E675" t="inlineStr">
        <is>
          <t>UPPSALA</t>
        </is>
      </c>
      <c r="F675" t="inlineStr">
        <is>
          <t>Kyrkan</t>
        </is>
      </c>
      <c r="G675" t="n">
        <v>2.2</v>
      </c>
      <c r="H675" t="n">
        <v>0</v>
      </c>
      <c r="I675" t="n">
        <v>0</v>
      </c>
      <c r="J675" t="n">
        <v>0</v>
      </c>
      <c r="K675" t="n">
        <v>0</v>
      </c>
      <c r="L675" t="n">
        <v>0</v>
      </c>
      <c r="M675" t="n">
        <v>0</v>
      </c>
      <c r="N675" t="n">
        <v>0</v>
      </c>
      <c r="O675" t="n">
        <v>0</v>
      </c>
      <c r="P675" t="n">
        <v>0</v>
      </c>
      <c r="Q675" t="n">
        <v>0</v>
      </c>
      <c r="R675" s="2" t="inlineStr"/>
    </row>
    <row r="676" ht="15" customHeight="1">
      <c r="A676" t="inlineStr">
        <is>
          <t>A 30585-2025</t>
        </is>
      </c>
      <c r="B676" s="1" t="n">
        <v>45831.42616898148</v>
      </c>
      <c r="C676" s="1" t="n">
        <v>46138</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53582-2025</t>
        </is>
      </c>
      <c r="B677" s="1" t="n">
        <v>45960.43065972222</v>
      </c>
      <c r="C677" s="1" t="n">
        <v>46138</v>
      </c>
      <c r="D677" t="inlineStr">
        <is>
          <t>UPPSALA LÄN</t>
        </is>
      </c>
      <c r="E677" t="inlineStr">
        <is>
          <t>UPPSALA</t>
        </is>
      </c>
      <c r="G677" t="n">
        <v>12.2</v>
      </c>
      <c r="H677" t="n">
        <v>0</v>
      </c>
      <c r="I677" t="n">
        <v>0</v>
      </c>
      <c r="J677" t="n">
        <v>0</v>
      </c>
      <c r="K677" t="n">
        <v>0</v>
      </c>
      <c r="L677" t="n">
        <v>0</v>
      </c>
      <c r="M677" t="n">
        <v>0</v>
      </c>
      <c r="N677" t="n">
        <v>0</v>
      </c>
      <c r="O677" t="n">
        <v>0</v>
      </c>
      <c r="P677" t="n">
        <v>0</v>
      </c>
      <c r="Q677" t="n">
        <v>0</v>
      </c>
      <c r="R677" s="2" t="inlineStr"/>
    </row>
    <row r="678" ht="15" customHeight="1">
      <c r="A678" t="inlineStr">
        <is>
          <t>A 9982-2025</t>
        </is>
      </c>
      <c r="B678" s="1" t="n">
        <v>45719.4094212963</v>
      </c>
      <c r="C678" s="1" t="n">
        <v>46138</v>
      </c>
      <c r="D678" t="inlineStr">
        <is>
          <t>UPPSALA LÄN</t>
        </is>
      </c>
      <c r="E678" t="inlineStr">
        <is>
          <t>UPPSALA</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9995-2025</t>
        </is>
      </c>
      <c r="B679" s="1" t="n">
        <v>45719.43872685185</v>
      </c>
      <c r="C679" s="1" t="n">
        <v>46138</v>
      </c>
      <c r="D679" t="inlineStr">
        <is>
          <t>UPPSALA LÄN</t>
        </is>
      </c>
      <c r="E679" t="inlineStr">
        <is>
          <t>UPPSALA</t>
        </is>
      </c>
      <c r="F679" t="inlineStr">
        <is>
          <t>Kyrkan</t>
        </is>
      </c>
      <c r="G679" t="n">
        <v>2</v>
      </c>
      <c r="H679" t="n">
        <v>0</v>
      </c>
      <c r="I679" t="n">
        <v>0</v>
      </c>
      <c r="J679" t="n">
        <v>0</v>
      </c>
      <c r="K679" t="n">
        <v>0</v>
      </c>
      <c r="L679" t="n">
        <v>0</v>
      </c>
      <c r="M679" t="n">
        <v>0</v>
      </c>
      <c r="N679" t="n">
        <v>0</v>
      </c>
      <c r="O679" t="n">
        <v>0</v>
      </c>
      <c r="P679" t="n">
        <v>0</v>
      </c>
      <c r="Q679" t="n">
        <v>0</v>
      </c>
      <c r="R679" s="2" t="inlineStr"/>
    </row>
    <row r="680" ht="15" customHeight="1">
      <c r="A680" t="inlineStr">
        <is>
          <t>A 30897-2025</t>
        </is>
      </c>
      <c r="B680" s="1" t="n">
        <v>45832.35545138889</v>
      </c>
      <c r="C680" s="1" t="n">
        <v>46138</v>
      </c>
      <c r="D680" t="inlineStr">
        <is>
          <t>UPPSALA LÄN</t>
        </is>
      </c>
      <c r="E680" t="inlineStr">
        <is>
          <t>UPPSALA</t>
        </is>
      </c>
      <c r="F680" t="inlineStr">
        <is>
          <t>Kyrkan</t>
        </is>
      </c>
      <c r="G680" t="n">
        <v>2.8</v>
      </c>
      <c r="H680" t="n">
        <v>0</v>
      </c>
      <c r="I680" t="n">
        <v>0</v>
      </c>
      <c r="J680" t="n">
        <v>0</v>
      </c>
      <c r="K680" t="n">
        <v>0</v>
      </c>
      <c r="L680" t="n">
        <v>0</v>
      </c>
      <c r="M680" t="n">
        <v>0</v>
      </c>
      <c r="N680" t="n">
        <v>0</v>
      </c>
      <c r="O680" t="n">
        <v>0</v>
      </c>
      <c r="P680" t="n">
        <v>0</v>
      </c>
      <c r="Q680" t="n">
        <v>0</v>
      </c>
      <c r="R680" s="2" t="inlineStr"/>
    </row>
    <row r="681" ht="15" customHeight="1">
      <c r="A681" t="inlineStr">
        <is>
          <t>A 19276-2023</t>
        </is>
      </c>
      <c r="B681" s="1" t="n">
        <v>45049</v>
      </c>
      <c r="C681" s="1" t="n">
        <v>46138</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47287-2023</t>
        </is>
      </c>
      <c r="B682" s="1" t="n">
        <v>45202</v>
      </c>
      <c r="C682" s="1" t="n">
        <v>46138</v>
      </c>
      <c r="D682" t="inlineStr">
        <is>
          <t>UPPSALA LÄN</t>
        </is>
      </c>
      <c r="E682" t="inlineStr">
        <is>
          <t>UPPSALA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53886-2025</t>
        </is>
      </c>
      <c r="B683" s="1" t="n">
        <v>45961.40716435185</v>
      </c>
      <c r="C683" s="1" t="n">
        <v>46138</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60447-2023</t>
        </is>
      </c>
      <c r="B684" s="1" t="n">
        <v>45259</v>
      </c>
      <c r="C684" s="1" t="n">
        <v>46138</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30898-2025</t>
        </is>
      </c>
      <c r="B685" s="1" t="n">
        <v>45832.35590277778</v>
      </c>
      <c r="C685" s="1" t="n">
        <v>46138</v>
      </c>
      <c r="D685" t="inlineStr">
        <is>
          <t>UPPSALA LÄN</t>
        </is>
      </c>
      <c r="E685" t="inlineStr">
        <is>
          <t>UPPSALA</t>
        </is>
      </c>
      <c r="F685" t="inlineStr">
        <is>
          <t>Kyrkan</t>
        </is>
      </c>
      <c r="G685" t="n">
        <v>2.8</v>
      </c>
      <c r="H685" t="n">
        <v>0</v>
      </c>
      <c r="I685" t="n">
        <v>0</v>
      </c>
      <c r="J685" t="n">
        <v>0</v>
      </c>
      <c r="K685" t="n">
        <v>0</v>
      </c>
      <c r="L685" t="n">
        <v>0</v>
      </c>
      <c r="M685" t="n">
        <v>0</v>
      </c>
      <c r="N685" t="n">
        <v>0</v>
      </c>
      <c r="O685" t="n">
        <v>0</v>
      </c>
      <c r="P685" t="n">
        <v>0</v>
      </c>
      <c r="Q685" t="n">
        <v>0</v>
      </c>
      <c r="R685" s="2" t="inlineStr"/>
    </row>
    <row r="686" ht="15" customHeight="1">
      <c r="A686" t="inlineStr">
        <is>
          <t>A 53891-2025</t>
        </is>
      </c>
      <c r="B686" s="1" t="n">
        <v>45961.41853009259</v>
      </c>
      <c r="C686" s="1" t="n">
        <v>46138</v>
      </c>
      <c r="D686" t="inlineStr">
        <is>
          <t>UPPSALA LÄN</t>
        </is>
      </c>
      <c r="E686" t="inlineStr">
        <is>
          <t>UPPSALA</t>
        </is>
      </c>
      <c r="G686" t="n">
        <v>1.7</v>
      </c>
      <c r="H686" t="n">
        <v>0</v>
      </c>
      <c r="I686" t="n">
        <v>0</v>
      </c>
      <c r="J686" t="n">
        <v>0</v>
      </c>
      <c r="K686" t="n">
        <v>0</v>
      </c>
      <c r="L686" t="n">
        <v>0</v>
      </c>
      <c r="M686" t="n">
        <v>0</v>
      </c>
      <c r="N686" t="n">
        <v>0</v>
      </c>
      <c r="O686" t="n">
        <v>0</v>
      </c>
      <c r="P686" t="n">
        <v>0</v>
      </c>
      <c r="Q686" t="n">
        <v>0</v>
      </c>
      <c r="R686" s="2" t="inlineStr"/>
    </row>
    <row r="687" ht="15" customHeight="1">
      <c r="A687" t="inlineStr">
        <is>
          <t>A 53324-2025</t>
        </is>
      </c>
      <c r="B687" s="1" t="n">
        <v>45959.36146990741</v>
      </c>
      <c r="C687" s="1" t="n">
        <v>46138</v>
      </c>
      <c r="D687" t="inlineStr">
        <is>
          <t>UPPSALA LÄN</t>
        </is>
      </c>
      <c r="E687" t="inlineStr">
        <is>
          <t>UPPSALA</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54393-2025</t>
        </is>
      </c>
      <c r="B688" s="1" t="n">
        <v>45965</v>
      </c>
      <c r="C688" s="1" t="n">
        <v>46138</v>
      </c>
      <c r="D688" t="inlineStr">
        <is>
          <t>UPPSALA LÄN</t>
        </is>
      </c>
      <c r="E688" t="inlineStr">
        <is>
          <t>UPPSALA</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54284-2025</t>
        </is>
      </c>
      <c r="B689" s="1" t="n">
        <v>45964.76486111111</v>
      </c>
      <c r="C689" s="1" t="n">
        <v>46138</v>
      </c>
      <c r="D689" t="inlineStr">
        <is>
          <t>UPPSALA LÄN</t>
        </is>
      </c>
      <c r="E689" t="inlineStr">
        <is>
          <t>UPPSALA</t>
        </is>
      </c>
      <c r="G689" t="n">
        <v>3.9</v>
      </c>
      <c r="H689" t="n">
        <v>0</v>
      </c>
      <c r="I689" t="n">
        <v>0</v>
      </c>
      <c r="J689" t="n">
        <v>0</v>
      </c>
      <c r="K689" t="n">
        <v>0</v>
      </c>
      <c r="L689" t="n">
        <v>0</v>
      </c>
      <c r="M689" t="n">
        <v>0</v>
      </c>
      <c r="N689" t="n">
        <v>0</v>
      </c>
      <c r="O689" t="n">
        <v>0</v>
      </c>
      <c r="P689" t="n">
        <v>0</v>
      </c>
      <c r="Q689" t="n">
        <v>0</v>
      </c>
      <c r="R689" s="2" t="inlineStr"/>
    </row>
    <row r="690" ht="15" customHeight="1">
      <c r="A690" t="inlineStr">
        <is>
          <t>A 54507-2025</t>
        </is>
      </c>
      <c r="B690" s="1" t="n">
        <v>45965.61792824074</v>
      </c>
      <c r="C690" s="1" t="n">
        <v>46138</v>
      </c>
      <c r="D690" t="inlineStr">
        <is>
          <t>UPPSALA LÄN</t>
        </is>
      </c>
      <c r="E690" t="inlineStr">
        <is>
          <t>UPPSALA</t>
        </is>
      </c>
      <c r="G690" t="n">
        <v>7.7</v>
      </c>
      <c r="H690" t="n">
        <v>0</v>
      </c>
      <c r="I690" t="n">
        <v>0</v>
      </c>
      <c r="J690" t="n">
        <v>0</v>
      </c>
      <c r="K690" t="n">
        <v>0</v>
      </c>
      <c r="L690" t="n">
        <v>0</v>
      </c>
      <c r="M690" t="n">
        <v>0</v>
      </c>
      <c r="N690" t="n">
        <v>0</v>
      </c>
      <c r="O690" t="n">
        <v>0</v>
      </c>
      <c r="P690" t="n">
        <v>0</v>
      </c>
      <c r="Q690" t="n">
        <v>0</v>
      </c>
      <c r="R690" s="2" t="inlineStr"/>
    </row>
    <row r="691" ht="15" customHeight="1">
      <c r="A691" t="inlineStr">
        <is>
          <t>A 54724-2025</t>
        </is>
      </c>
      <c r="B691" s="1" t="n">
        <v>45966.53849537037</v>
      </c>
      <c r="C691" s="1" t="n">
        <v>46138</v>
      </c>
      <c r="D691" t="inlineStr">
        <is>
          <t>UPPSALA LÄN</t>
        </is>
      </c>
      <c r="E691" t="inlineStr">
        <is>
          <t>UPPSALA</t>
        </is>
      </c>
      <c r="F691" t="inlineStr">
        <is>
          <t>Bergvik skog öst AB</t>
        </is>
      </c>
      <c r="G691" t="n">
        <v>3.9</v>
      </c>
      <c r="H691" t="n">
        <v>0</v>
      </c>
      <c r="I691" t="n">
        <v>0</v>
      </c>
      <c r="J691" t="n">
        <v>0</v>
      </c>
      <c r="K691" t="n">
        <v>0</v>
      </c>
      <c r="L691" t="n">
        <v>0</v>
      </c>
      <c r="M691" t="n">
        <v>0</v>
      </c>
      <c r="N691" t="n">
        <v>0</v>
      </c>
      <c r="O691" t="n">
        <v>0</v>
      </c>
      <c r="P691" t="n">
        <v>0</v>
      </c>
      <c r="Q691" t="n">
        <v>0</v>
      </c>
      <c r="R691" s="2" t="inlineStr"/>
    </row>
    <row r="692" ht="15" customHeight="1">
      <c r="A692" t="inlineStr">
        <is>
          <t>A 32252-2025</t>
        </is>
      </c>
      <c r="B692" s="1" t="n">
        <v>45835.62752314815</v>
      </c>
      <c r="C692" s="1" t="n">
        <v>46138</v>
      </c>
      <c r="D692" t="inlineStr">
        <is>
          <t>UPPSALA LÄN</t>
        </is>
      </c>
      <c r="E692" t="inlineStr">
        <is>
          <t>UPPSALA</t>
        </is>
      </c>
      <c r="F692" t="inlineStr">
        <is>
          <t>Kyrkan</t>
        </is>
      </c>
      <c r="G692" t="n">
        <v>3.8</v>
      </c>
      <c r="H692" t="n">
        <v>0</v>
      </c>
      <c r="I692" t="n">
        <v>0</v>
      </c>
      <c r="J692" t="n">
        <v>0</v>
      </c>
      <c r="K692" t="n">
        <v>0</v>
      </c>
      <c r="L692" t="n">
        <v>0</v>
      </c>
      <c r="M692" t="n">
        <v>0</v>
      </c>
      <c r="N692" t="n">
        <v>0</v>
      </c>
      <c r="O692" t="n">
        <v>0</v>
      </c>
      <c r="P692" t="n">
        <v>0</v>
      </c>
      <c r="Q692" t="n">
        <v>0</v>
      </c>
      <c r="R692" s="2" t="inlineStr"/>
    </row>
    <row r="693" ht="15" customHeight="1">
      <c r="A693" t="inlineStr">
        <is>
          <t>A 54601-2025</t>
        </is>
      </c>
      <c r="B693" s="1" t="n">
        <v>45965.82398148148</v>
      </c>
      <c r="C693" s="1" t="n">
        <v>46138</v>
      </c>
      <c r="D693" t="inlineStr">
        <is>
          <t>UPPSALA LÄN</t>
        </is>
      </c>
      <c r="E693" t="inlineStr">
        <is>
          <t>UPPSALA</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54723-2025</t>
        </is>
      </c>
      <c r="B694" s="1" t="n">
        <v>45966.53721064814</v>
      </c>
      <c r="C694" s="1" t="n">
        <v>46138</v>
      </c>
      <c r="D694" t="inlineStr">
        <is>
          <t>UPPSALA LÄN</t>
        </is>
      </c>
      <c r="E694" t="inlineStr">
        <is>
          <t>UPPSALA</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54600-2025</t>
        </is>
      </c>
      <c r="B695" s="1" t="n">
        <v>45965.81543981482</v>
      </c>
      <c r="C695" s="1" t="n">
        <v>46138</v>
      </c>
      <c r="D695" t="inlineStr">
        <is>
          <t>UPPSALA LÄN</t>
        </is>
      </c>
      <c r="E695" t="inlineStr">
        <is>
          <t>UPPSALA</t>
        </is>
      </c>
      <c r="F695" t="inlineStr">
        <is>
          <t>Bergvik skog öst AB</t>
        </is>
      </c>
      <c r="G695" t="n">
        <v>4.7</v>
      </c>
      <c r="H695" t="n">
        <v>0</v>
      </c>
      <c r="I695" t="n">
        <v>0</v>
      </c>
      <c r="J695" t="n">
        <v>0</v>
      </c>
      <c r="K695" t="n">
        <v>0</v>
      </c>
      <c r="L695" t="n">
        <v>0</v>
      </c>
      <c r="M695" t="n">
        <v>0</v>
      </c>
      <c r="N695" t="n">
        <v>0</v>
      </c>
      <c r="O695" t="n">
        <v>0</v>
      </c>
      <c r="P695" t="n">
        <v>0</v>
      </c>
      <c r="Q695" t="n">
        <v>0</v>
      </c>
      <c r="R695" s="2" t="inlineStr"/>
    </row>
    <row r="696" ht="15" customHeight="1">
      <c r="A696" t="inlineStr">
        <is>
          <t>A 28958-2025</t>
        </is>
      </c>
      <c r="B696" s="1" t="n">
        <v>45821.31292824074</v>
      </c>
      <c r="C696" s="1" t="n">
        <v>46138</v>
      </c>
      <c r="D696" t="inlineStr">
        <is>
          <t>UPPSALA LÄN</t>
        </is>
      </c>
      <c r="E696" t="inlineStr">
        <is>
          <t>UPPSALA</t>
        </is>
      </c>
      <c r="G696" t="n">
        <v>4.6</v>
      </c>
      <c r="H696" t="n">
        <v>0</v>
      </c>
      <c r="I696" t="n">
        <v>0</v>
      </c>
      <c r="J696" t="n">
        <v>0</v>
      </c>
      <c r="K696" t="n">
        <v>0</v>
      </c>
      <c r="L696" t="n">
        <v>0</v>
      </c>
      <c r="M696" t="n">
        <v>0</v>
      </c>
      <c r="N696" t="n">
        <v>0</v>
      </c>
      <c r="O696" t="n">
        <v>0</v>
      </c>
      <c r="P696" t="n">
        <v>0</v>
      </c>
      <c r="Q696" t="n">
        <v>0</v>
      </c>
      <c r="R696" s="2" t="inlineStr"/>
    </row>
    <row r="697" ht="15" customHeight="1">
      <c r="A697" t="inlineStr">
        <is>
          <t>A 32923-2025</t>
        </is>
      </c>
      <c r="B697" s="1" t="n">
        <v>45839</v>
      </c>
      <c r="C697" s="1" t="n">
        <v>46138</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55594-2025</t>
        </is>
      </c>
      <c r="B698" s="1" t="n">
        <v>45971.70613425926</v>
      </c>
      <c r="C698" s="1" t="n">
        <v>46138</v>
      </c>
      <c r="D698" t="inlineStr">
        <is>
          <t>UPPSALA LÄN</t>
        </is>
      </c>
      <c r="E698" t="inlineStr">
        <is>
          <t>UPPSALA</t>
        </is>
      </c>
      <c r="F698" t="inlineStr">
        <is>
          <t>Allmännings- och besparingsskogar</t>
        </is>
      </c>
      <c r="G698" t="n">
        <v>3.2</v>
      </c>
      <c r="H698" t="n">
        <v>0</v>
      </c>
      <c r="I698" t="n">
        <v>0</v>
      </c>
      <c r="J698" t="n">
        <v>0</v>
      </c>
      <c r="K698" t="n">
        <v>0</v>
      </c>
      <c r="L698" t="n">
        <v>0</v>
      </c>
      <c r="M698" t="n">
        <v>0</v>
      </c>
      <c r="N698" t="n">
        <v>0</v>
      </c>
      <c r="O698" t="n">
        <v>0</v>
      </c>
      <c r="P698" t="n">
        <v>0</v>
      </c>
      <c r="Q698" t="n">
        <v>0</v>
      </c>
      <c r="R698" s="2" t="inlineStr"/>
    </row>
    <row r="699" ht="15" customHeight="1">
      <c r="A699" t="inlineStr">
        <is>
          <t>A 22996-2021</t>
        </is>
      </c>
      <c r="B699" s="1" t="n">
        <v>44328</v>
      </c>
      <c r="C699" s="1" t="n">
        <v>46138</v>
      </c>
      <c r="D699" t="inlineStr">
        <is>
          <t>UPPSALA LÄN</t>
        </is>
      </c>
      <c r="E699" t="inlineStr">
        <is>
          <t>UPPSALA</t>
        </is>
      </c>
      <c r="F699" t="inlineStr">
        <is>
          <t>Bergvik skog öst AB</t>
        </is>
      </c>
      <c r="G699" t="n">
        <v>3.1</v>
      </c>
      <c r="H699" t="n">
        <v>0</v>
      </c>
      <c r="I699" t="n">
        <v>0</v>
      </c>
      <c r="J699" t="n">
        <v>0</v>
      </c>
      <c r="K699" t="n">
        <v>0</v>
      </c>
      <c r="L699" t="n">
        <v>0</v>
      </c>
      <c r="M699" t="n">
        <v>0</v>
      </c>
      <c r="N699" t="n">
        <v>0</v>
      </c>
      <c r="O699" t="n">
        <v>0</v>
      </c>
      <c r="P699" t="n">
        <v>0</v>
      </c>
      <c r="Q699" t="n">
        <v>0</v>
      </c>
      <c r="R699" s="2" t="inlineStr"/>
    </row>
    <row r="700" ht="15" customHeight="1">
      <c r="A700" t="inlineStr">
        <is>
          <t>A 32711-2025</t>
        </is>
      </c>
      <c r="B700" s="1" t="n">
        <v>45839</v>
      </c>
      <c r="C700" s="1" t="n">
        <v>46138</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c r="U700">
        <f>HYPERLINK("https://klasma.github.io/Logging_0380/knärot/A 32711-2025 karta knärot.png", "A 32711-2025")</f>
        <v/>
      </c>
      <c r="V700">
        <f>HYPERLINK("https://klasma.github.io/Logging_0380/klagomål/A 32711-2025 FSC-klagomål.docx", "A 32711-2025")</f>
        <v/>
      </c>
      <c r="W700">
        <f>HYPERLINK("https://klasma.github.io/Logging_0380/klagomålsmail/A 32711-2025 FSC-klagomål mail.docx", "A 32711-2025")</f>
        <v/>
      </c>
      <c r="X700">
        <f>HYPERLINK("https://klasma.github.io/Logging_0380/tillsyn/A 32711-2025 tillsynsbegäran.docx", "A 32711-2025")</f>
        <v/>
      </c>
      <c r="Y700">
        <f>HYPERLINK("https://klasma.github.io/Logging_0380/tillsynsmail/A 32711-2025 tillsynsbegäran mail.docx", "A 32711-2025")</f>
        <v/>
      </c>
    </row>
    <row r="701" ht="15" customHeight="1">
      <c r="A701" t="inlineStr">
        <is>
          <t>A 55357-2025</t>
        </is>
      </c>
      <c r="B701" s="1" t="n">
        <v>45971.37480324074</v>
      </c>
      <c r="C701" s="1" t="n">
        <v>46138</v>
      </c>
      <c r="D701" t="inlineStr">
        <is>
          <t>UPPSALA LÄN</t>
        </is>
      </c>
      <c r="E701" t="inlineStr">
        <is>
          <t>UPPSALA</t>
        </is>
      </c>
      <c r="G701" t="n">
        <v>6</v>
      </c>
      <c r="H701" t="n">
        <v>0</v>
      </c>
      <c r="I701" t="n">
        <v>0</v>
      </c>
      <c r="J701" t="n">
        <v>0</v>
      </c>
      <c r="K701" t="n">
        <v>0</v>
      </c>
      <c r="L701" t="n">
        <v>0</v>
      </c>
      <c r="M701" t="n">
        <v>0</v>
      </c>
      <c r="N701" t="n">
        <v>0</v>
      </c>
      <c r="O701" t="n">
        <v>0</v>
      </c>
      <c r="P701" t="n">
        <v>0</v>
      </c>
      <c r="Q701" t="n">
        <v>0</v>
      </c>
      <c r="R701" s="2" t="inlineStr"/>
    </row>
    <row r="702" ht="15" customHeight="1">
      <c r="A702" t="inlineStr">
        <is>
          <t>A 33571-2025</t>
        </is>
      </c>
      <c r="B702" s="1" t="n">
        <v>45841.5847337963</v>
      </c>
      <c r="C702" s="1" t="n">
        <v>46138</v>
      </c>
      <c r="D702" t="inlineStr">
        <is>
          <t>UPPSALA LÄN</t>
        </is>
      </c>
      <c r="E702" t="inlineStr">
        <is>
          <t>UPPSALA</t>
        </is>
      </c>
      <c r="G702" t="n">
        <v>1.6</v>
      </c>
      <c r="H702" t="n">
        <v>0</v>
      </c>
      <c r="I702" t="n">
        <v>0</v>
      </c>
      <c r="J702" t="n">
        <v>0</v>
      </c>
      <c r="K702" t="n">
        <v>0</v>
      </c>
      <c r="L702" t="n">
        <v>0</v>
      </c>
      <c r="M702" t="n">
        <v>0</v>
      </c>
      <c r="N702" t="n">
        <v>0</v>
      </c>
      <c r="O702" t="n">
        <v>0</v>
      </c>
      <c r="P702" t="n">
        <v>0</v>
      </c>
      <c r="Q702" t="n">
        <v>0</v>
      </c>
      <c r="R702" s="2" t="inlineStr"/>
    </row>
    <row r="703" ht="15" customHeight="1">
      <c r="A703" t="inlineStr">
        <is>
          <t>A 62287-2023</t>
        </is>
      </c>
      <c r="B703" s="1" t="n">
        <v>45267</v>
      </c>
      <c r="C703" s="1" t="n">
        <v>46138</v>
      </c>
      <c r="D703" t="inlineStr">
        <is>
          <t>UPPSALA LÄN</t>
        </is>
      </c>
      <c r="E703" t="inlineStr">
        <is>
          <t>UPPSALA</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33261-2025</t>
        </is>
      </c>
      <c r="B704" s="1" t="n">
        <v>45840</v>
      </c>
      <c r="C704" s="1" t="n">
        <v>46138</v>
      </c>
      <c r="D704" t="inlineStr">
        <is>
          <t>UPPSALA LÄN</t>
        </is>
      </c>
      <c r="E704" t="inlineStr">
        <is>
          <t>UPPSALA</t>
        </is>
      </c>
      <c r="G704" t="n">
        <v>3.4</v>
      </c>
      <c r="H704" t="n">
        <v>0</v>
      </c>
      <c r="I704" t="n">
        <v>0</v>
      </c>
      <c r="J704" t="n">
        <v>0</v>
      </c>
      <c r="K704" t="n">
        <v>0</v>
      </c>
      <c r="L704" t="n">
        <v>0</v>
      </c>
      <c r="M704" t="n">
        <v>0</v>
      </c>
      <c r="N704" t="n">
        <v>0</v>
      </c>
      <c r="O704" t="n">
        <v>0</v>
      </c>
      <c r="P704" t="n">
        <v>0</v>
      </c>
      <c r="Q704" t="n">
        <v>0</v>
      </c>
      <c r="R704" s="2" t="inlineStr"/>
    </row>
    <row r="705" ht="15" customHeight="1">
      <c r="A705" t="inlineStr">
        <is>
          <t>A 48757-2025</t>
        </is>
      </c>
      <c r="B705" s="1" t="n">
        <v>45936.73660879629</v>
      </c>
      <c r="C705" s="1" t="n">
        <v>46138</v>
      </c>
      <c r="D705" t="inlineStr">
        <is>
          <t>UPPSALA LÄN</t>
        </is>
      </c>
      <c r="E705" t="inlineStr">
        <is>
          <t>UPPSALA</t>
        </is>
      </c>
      <c r="G705" t="n">
        <v>4.2</v>
      </c>
      <c r="H705" t="n">
        <v>0</v>
      </c>
      <c r="I705" t="n">
        <v>0</v>
      </c>
      <c r="J705" t="n">
        <v>0</v>
      </c>
      <c r="K705" t="n">
        <v>0</v>
      </c>
      <c r="L705" t="n">
        <v>0</v>
      </c>
      <c r="M705" t="n">
        <v>0</v>
      </c>
      <c r="N705" t="n">
        <v>0</v>
      </c>
      <c r="O705" t="n">
        <v>0</v>
      </c>
      <c r="P705" t="n">
        <v>0</v>
      </c>
      <c r="Q705" t="n">
        <v>0</v>
      </c>
      <c r="R705" s="2" t="inlineStr"/>
    </row>
    <row r="706" ht="15" customHeight="1">
      <c r="A706" t="inlineStr">
        <is>
          <t>A 16288-2025</t>
        </is>
      </c>
      <c r="B706" s="1" t="n">
        <v>45751.32001157408</v>
      </c>
      <c r="C706" s="1" t="n">
        <v>46138</v>
      </c>
      <c r="D706" t="inlineStr">
        <is>
          <t>UPPSALA LÄN</t>
        </is>
      </c>
      <c r="E706" t="inlineStr">
        <is>
          <t>UPPSALA</t>
        </is>
      </c>
      <c r="G706" t="n">
        <v>3.9</v>
      </c>
      <c r="H706" t="n">
        <v>0</v>
      </c>
      <c r="I706" t="n">
        <v>0</v>
      </c>
      <c r="J706" t="n">
        <v>0</v>
      </c>
      <c r="K706" t="n">
        <v>0</v>
      </c>
      <c r="L706" t="n">
        <v>0</v>
      </c>
      <c r="M706" t="n">
        <v>0</v>
      </c>
      <c r="N706" t="n">
        <v>0</v>
      </c>
      <c r="O706" t="n">
        <v>0</v>
      </c>
      <c r="P706" t="n">
        <v>0</v>
      </c>
      <c r="Q706" t="n">
        <v>0</v>
      </c>
      <c r="R706" s="2" t="inlineStr"/>
    </row>
    <row r="707" ht="15" customHeight="1">
      <c r="A707" t="inlineStr">
        <is>
          <t>A 17658-2025</t>
        </is>
      </c>
      <c r="B707" s="1" t="n">
        <v>45758</v>
      </c>
      <c r="C707" s="1" t="n">
        <v>46138</v>
      </c>
      <c r="D707" t="inlineStr">
        <is>
          <t>UPPSALA LÄN</t>
        </is>
      </c>
      <c r="E707" t="inlineStr">
        <is>
          <t>UPPSALA</t>
        </is>
      </c>
      <c r="G707" t="n">
        <v>1.5</v>
      </c>
      <c r="H707" t="n">
        <v>0</v>
      </c>
      <c r="I707" t="n">
        <v>0</v>
      </c>
      <c r="J707" t="n">
        <v>0</v>
      </c>
      <c r="K707" t="n">
        <v>0</v>
      </c>
      <c r="L707" t="n">
        <v>0</v>
      </c>
      <c r="M707" t="n">
        <v>0</v>
      </c>
      <c r="N707" t="n">
        <v>0</v>
      </c>
      <c r="O707" t="n">
        <v>0</v>
      </c>
      <c r="P707" t="n">
        <v>0</v>
      </c>
      <c r="Q707" t="n">
        <v>0</v>
      </c>
      <c r="R707" s="2" t="inlineStr"/>
    </row>
    <row r="708" ht="15" customHeight="1">
      <c r="A708" t="inlineStr">
        <is>
          <t>A 55732-2025</t>
        </is>
      </c>
      <c r="B708" s="1" t="n">
        <v>45972</v>
      </c>
      <c r="C708" s="1" t="n">
        <v>46138</v>
      </c>
      <c r="D708" t="inlineStr">
        <is>
          <t>UPPSALA LÄN</t>
        </is>
      </c>
      <c r="E708" t="inlineStr">
        <is>
          <t>UPPSALA</t>
        </is>
      </c>
      <c r="G708" t="n">
        <v>10.9</v>
      </c>
      <c r="H708" t="n">
        <v>0</v>
      </c>
      <c r="I708" t="n">
        <v>0</v>
      </c>
      <c r="J708" t="n">
        <v>0</v>
      </c>
      <c r="K708" t="n">
        <v>0</v>
      </c>
      <c r="L708" t="n">
        <v>0</v>
      </c>
      <c r="M708" t="n">
        <v>0</v>
      </c>
      <c r="N708" t="n">
        <v>0</v>
      </c>
      <c r="O708" t="n">
        <v>0</v>
      </c>
      <c r="P708" t="n">
        <v>0</v>
      </c>
      <c r="Q708" t="n">
        <v>0</v>
      </c>
      <c r="R708" s="2" t="inlineStr"/>
    </row>
    <row r="709" ht="15" customHeight="1">
      <c r="A709" t="inlineStr">
        <is>
          <t>A 18781-2025</t>
        </is>
      </c>
      <c r="B709" s="1" t="n">
        <v>45763</v>
      </c>
      <c r="C709" s="1" t="n">
        <v>46138</v>
      </c>
      <c r="D709" t="inlineStr">
        <is>
          <t>UPPSALA LÄN</t>
        </is>
      </c>
      <c r="E709" t="inlineStr">
        <is>
          <t>UPPSALA</t>
        </is>
      </c>
      <c r="G709" t="n">
        <v>0.8</v>
      </c>
      <c r="H709" t="n">
        <v>0</v>
      </c>
      <c r="I709" t="n">
        <v>0</v>
      </c>
      <c r="J709" t="n">
        <v>0</v>
      </c>
      <c r="K709" t="n">
        <v>0</v>
      </c>
      <c r="L709" t="n">
        <v>0</v>
      </c>
      <c r="M709" t="n">
        <v>0</v>
      </c>
      <c r="N709" t="n">
        <v>0</v>
      </c>
      <c r="O709" t="n">
        <v>0</v>
      </c>
      <c r="P709" t="n">
        <v>0</v>
      </c>
      <c r="Q709" t="n">
        <v>0</v>
      </c>
      <c r="R709" s="2" t="inlineStr"/>
    </row>
    <row r="710" ht="15" customHeight="1">
      <c r="A710" t="inlineStr">
        <is>
          <t>A 33272-2025</t>
        </is>
      </c>
      <c r="B710" s="1" t="n">
        <v>45840.68518518518</v>
      </c>
      <c r="C710" s="1" t="n">
        <v>46138</v>
      </c>
      <c r="D710" t="inlineStr">
        <is>
          <t>UPPSALA LÄN</t>
        </is>
      </c>
      <c r="E710" t="inlineStr">
        <is>
          <t>UPPSALA</t>
        </is>
      </c>
      <c r="G710" t="n">
        <v>4.7</v>
      </c>
      <c r="H710" t="n">
        <v>0</v>
      </c>
      <c r="I710" t="n">
        <v>0</v>
      </c>
      <c r="J710" t="n">
        <v>0</v>
      </c>
      <c r="K710" t="n">
        <v>0</v>
      </c>
      <c r="L710" t="n">
        <v>0</v>
      </c>
      <c r="M710" t="n">
        <v>0</v>
      </c>
      <c r="N710" t="n">
        <v>0</v>
      </c>
      <c r="O710" t="n">
        <v>0</v>
      </c>
      <c r="P710" t="n">
        <v>0</v>
      </c>
      <c r="Q710" t="n">
        <v>0</v>
      </c>
      <c r="R710" s="2" t="inlineStr"/>
    </row>
    <row r="711" ht="15" customHeight="1">
      <c r="A711" t="inlineStr">
        <is>
          <t>A 59547-2024</t>
        </is>
      </c>
      <c r="B711" s="1" t="n">
        <v>45638</v>
      </c>
      <c r="C711" s="1" t="n">
        <v>46138</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56493-2025</t>
        </is>
      </c>
      <c r="B712" s="1" t="n">
        <v>45975.424375</v>
      </c>
      <c r="C712" s="1" t="n">
        <v>46138</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33964-2025</t>
        </is>
      </c>
      <c r="B713" s="1" t="n">
        <v>45842.74049768518</v>
      </c>
      <c r="C713" s="1" t="n">
        <v>46138</v>
      </c>
      <c r="D713" t="inlineStr">
        <is>
          <t>UPPSALA LÄN</t>
        </is>
      </c>
      <c r="E713" t="inlineStr">
        <is>
          <t>UPPSALA</t>
        </is>
      </c>
      <c r="G713" t="n">
        <v>2.7</v>
      </c>
      <c r="H713" t="n">
        <v>0</v>
      </c>
      <c r="I713" t="n">
        <v>0</v>
      </c>
      <c r="J713" t="n">
        <v>0</v>
      </c>
      <c r="K713" t="n">
        <v>0</v>
      </c>
      <c r="L713" t="n">
        <v>0</v>
      </c>
      <c r="M713" t="n">
        <v>0</v>
      </c>
      <c r="N713" t="n">
        <v>0</v>
      </c>
      <c r="O713" t="n">
        <v>0</v>
      </c>
      <c r="P713" t="n">
        <v>0</v>
      </c>
      <c r="Q713" t="n">
        <v>0</v>
      </c>
      <c r="R713" s="2" t="inlineStr"/>
    </row>
    <row r="714" ht="15" customHeight="1">
      <c r="A714" t="inlineStr">
        <is>
          <t>A 31161-2023</t>
        </is>
      </c>
      <c r="B714" s="1" t="n">
        <v>45113.80170138889</v>
      </c>
      <c r="C714" s="1" t="n">
        <v>46138</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56466-2025</t>
        </is>
      </c>
      <c r="B715" s="1" t="n">
        <v>45975.37621527778</v>
      </c>
      <c r="C715" s="1" t="n">
        <v>46138</v>
      </c>
      <c r="D715" t="inlineStr">
        <is>
          <t>UPPSALA LÄN</t>
        </is>
      </c>
      <c r="E715" t="inlineStr">
        <is>
          <t>UPPSALA</t>
        </is>
      </c>
      <c r="F715" t="inlineStr">
        <is>
          <t>Holmen skog AB</t>
        </is>
      </c>
      <c r="G715" t="n">
        <v>3.4</v>
      </c>
      <c r="H715" t="n">
        <v>0</v>
      </c>
      <c r="I715" t="n">
        <v>0</v>
      </c>
      <c r="J715" t="n">
        <v>0</v>
      </c>
      <c r="K715" t="n">
        <v>0</v>
      </c>
      <c r="L715" t="n">
        <v>0</v>
      </c>
      <c r="M715" t="n">
        <v>0</v>
      </c>
      <c r="N715" t="n">
        <v>0</v>
      </c>
      <c r="O715" t="n">
        <v>0</v>
      </c>
      <c r="P715" t="n">
        <v>0</v>
      </c>
      <c r="Q715" t="n">
        <v>0</v>
      </c>
      <c r="R715" s="2" t="inlineStr"/>
    </row>
    <row r="716" ht="15" customHeight="1">
      <c r="A716" t="inlineStr">
        <is>
          <t>A 36478-2023</t>
        </is>
      </c>
      <c r="B716" s="1" t="n">
        <v>45152</v>
      </c>
      <c r="C716" s="1" t="n">
        <v>46138</v>
      </c>
      <c r="D716" t="inlineStr">
        <is>
          <t>UPPSALA LÄN</t>
        </is>
      </c>
      <c r="E716" t="inlineStr">
        <is>
          <t>UPPSALA</t>
        </is>
      </c>
      <c r="F716" t="inlineStr">
        <is>
          <t>Allmännings- och besparingsskogar</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56577-2025</t>
        </is>
      </c>
      <c r="B717" s="1" t="n">
        <v>45975.5341550926</v>
      </c>
      <c r="C717" s="1" t="n">
        <v>46138</v>
      </c>
      <c r="D717" t="inlineStr">
        <is>
          <t>UPPSALA LÄN</t>
        </is>
      </c>
      <c r="E717" t="inlineStr">
        <is>
          <t>UPPSALA</t>
        </is>
      </c>
      <c r="G717" t="n">
        <v>2.3</v>
      </c>
      <c r="H717" t="n">
        <v>0</v>
      </c>
      <c r="I717" t="n">
        <v>0</v>
      </c>
      <c r="J717" t="n">
        <v>0</v>
      </c>
      <c r="K717" t="n">
        <v>0</v>
      </c>
      <c r="L717" t="n">
        <v>0</v>
      </c>
      <c r="M717" t="n">
        <v>0</v>
      </c>
      <c r="N717" t="n">
        <v>0</v>
      </c>
      <c r="O717" t="n">
        <v>0</v>
      </c>
      <c r="P717" t="n">
        <v>0</v>
      </c>
      <c r="Q717" t="n">
        <v>0</v>
      </c>
      <c r="R717" s="2" t="inlineStr"/>
    </row>
    <row r="718" ht="15" customHeight="1">
      <c r="A718" t="inlineStr">
        <is>
          <t>A 3314-2025</t>
        </is>
      </c>
      <c r="B718" s="1" t="n">
        <v>45679</v>
      </c>
      <c r="C718" s="1" t="n">
        <v>46138</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56620-2025</t>
        </is>
      </c>
      <c r="B719" s="1" t="n">
        <v>45975.59520833333</v>
      </c>
      <c r="C719" s="1" t="n">
        <v>46138</v>
      </c>
      <c r="D719" t="inlineStr">
        <is>
          <t>UPPSALA LÄN</t>
        </is>
      </c>
      <c r="E719" t="inlineStr">
        <is>
          <t>UPPSALA</t>
        </is>
      </c>
      <c r="G719" t="n">
        <v>3.6</v>
      </c>
      <c r="H719" t="n">
        <v>0</v>
      </c>
      <c r="I719" t="n">
        <v>0</v>
      </c>
      <c r="J719" t="n">
        <v>0</v>
      </c>
      <c r="K719" t="n">
        <v>0</v>
      </c>
      <c r="L719" t="n">
        <v>0</v>
      </c>
      <c r="M719" t="n">
        <v>0</v>
      </c>
      <c r="N719" t="n">
        <v>0</v>
      </c>
      <c r="O719" t="n">
        <v>0</v>
      </c>
      <c r="P719" t="n">
        <v>0</v>
      </c>
      <c r="Q719" t="n">
        <v>0</v>
      </c>
      <c r="R719" s="2" t="inlineStr"/>
    </row>
    <row r="720" ht="15" customHeight="1">
      <c r="A720" t="inlineStr">
        <is>
          <t>A 56656-2025</t>
        </is>
      </c>
      <c r="B720" s="1" t="n">
        <v>45975.65054398148</v>
      </c>
      <c r="C720" s="1" t="n">
        <v>46138</v>
      </c>
      <c r="D720" t="inlineStr">
        <is>
          <t>UPPSALA LÄN</t>
        </is>
      </c>
      <c r="E720" t="inlineStr">
        <is>
          <t>UPPSALA</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18625-2025</t>
        </is>
      </c>
      <c r="B721" s="1" t="n">
        <v>45763.52744212963</v>
      </c>
      <c r="C721" s="1" t="n">
        <v>46138</v>
      </c>
      <c r="D721" t="inlineStr">
        <is>
          <t>UPPSALA LÄN</t>
        </is>
      </c>
      <c r="E721" t="inlineStr">
        <is>
          <t>UPPSALA</t>
        </is>
      </c>
      <c r="G721" t="n">
        <v>1.8</v>
      </c>
      <c r="H721" t="n">
        <v>0</v>
      </c>
      <c r="I721" t="n">
        <v>0</v>
      </c>
      <c r="J721" t="n">
        <v>0</v>
      </c>
      <c r="K721" t="n">
        <v>0</v>
      </c>
      <c r="L721" t="n">
        <v>0</v>
      </c>
      <c r="M721" t="n">
        <v>0</v>
      </c>
      <c r="N721" t="n">
        <v>0</v>
      </c>
      <c r="O721" t="n">
        <v>0</v>
      </c>
      <c r="P721" t="n">
        <v>0</v>
      </c>
      <c r="Q721" t="n">
        <v>0</v>
      </c>
      <c r="R721" s="2" t="inlineStr"/>
    </row>
    <row r="722" ht="15" customHeight="1">
      <c r="A722" t="inlineStr">
        <is>
          <t>A 34132-2025</t>
        </is>
      </c>
      <c r="B722" s="1" t="n">
        <v>45845.53202546296</v>
      </c>
      <c r="C722" s="1" t="n">
        <v>46138</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6155-2023</t>
        </is>
      </c>
      <c r="B723" s="1" t="n">
        <v>44964.65261574074</v>
      </c>
      <c r="C723" s="1" t="n">
        <v>46138</v>
      </c>
      <c r="D723" t="inlineStr">
        <is>
          <t>UPPSALA LÄN</t>
        </is>
      </c>
      <c r="E723" t="inlineStr">
        <is>
          <t>UPPSALA</t>
        </is>
      </c>
      <c r="G723" t="n">
        <v>0.5</v>
      </c>
      <c r="H723" t="n">
        <v>0</v>
      </c>
      <c r="I723" t="n">
        <v>0</v>
      </c>
      <c r="J723" t="n">
        <v>0</v>
      </c>
      <c r="K723" t="n">
        <v>0</v>
      </c>
      <c r="L723" t="n">
        <v>0</v>
      </c>
      <c r="M723" t="n">
        <v>0</v>
      </c>
      <c r="N723" t="n">
        <v>0</v>
      </c>
      <c r="O723" t="n">
        <v>0</v>
      </c>
      <c r="P723" t="n">
        <v>0</v>
      </c>
      <c r="Q723" t="n">
        <v>0</v>
      </c>
      <c r="R723" s="2" t="inlineStr"/>
    </row>
    <row r="724" ht="15" customHeight="1">
      <c r="A724" t="inlineStr">
        <is>
          <t>A 1588-2025</t>
        </is>
      </c>
      <c r="B724" s="1" t="n">
        <v>45670</v>
      </c>
      <c r="C724" s="1" t="n">
        <v>46138</v>
      </c>
      <c r="D724" t="inlineStr">
        <is>
          <t>UPPSALA LÄN</t>
        </is>
      </c>
      <c r="E724" t="inlineStr">
        <is>
          <t>UPPSALA</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31157-2023</t>
        </is>
      </c>
      <c r="B725" s="1" t="n">
        <v>45113</v>
      </c>
      <c r="C725" s="1" t="n">
        <v>46138</v>
      </c>
      <c r="D725" t="inlineStr">
        <is>
          <t>UPPSALA LÄN</t>
        </is>
      </c>
      <c r="E725" t="inlineStr">
        <is>
          <t>UPPSALA</t>
        </is>
      </c>
      <c r="G725" t="n">
        <v>1.6</v>
      </c>
      <c r="H725" t="n">
        <v>0</v>
      </c>
      <c r="I725" t="n">
        <v>0</v>
      </c>
      <c r="J725" t="n">
        <v>0</v>
      </c>
      <c r="K725" t="n">
        <v>0</v>
      </c>
      <c r="L725" t="n">
        <v>0</v>
      </c>
      <c r="M725" t="n">
        <v>0</v>
      </c>
      <c r="N725" t="n">
        <v>0</v>
      </c>
      <c r="O725" t="n">
        <v>0</v>
      </c>
      <c r="P725" t="n">
        <v>0</v>
      </c>
      <c r="Q725" t="n">
        <v>0</v>
      </c>
      <c r="R725" s="2" t="inlineStr"/>
    </row>
    <row r="726" ht="15" customHeight="1">
      <c r="A726" t="inlineStr">
        <is>
          <t>A 57789-2025</t>
        </is>
      </c>
      <c r="B726" s="1" t="n">
        <v>45981.57793981482</v>
      </c>
      <c r="C726" s="1" t="n">
        <v>46138</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57736-2025</t>
        </is>
      </c>
      <c r="B727" s="1" t="n">
        <v>45981</v>
      </c>
      <c r="C727" s="1" t="n">
        <v>46138</v>
      </c>
      <c r="D727" t="inlineStr">
        <is>
          <t>UPPSALA LÄN</t>
        </is>
      </c>
      <c r="E727" t="inlineStr">
        <is>
          <t>UPPSALA</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57709-2025</t>
        </is>
      </c>
      <c r="B728" s="1" t="n">
        <v>45981</v>
      </c>
      <c r="C728" s="1" t="n">
        <v>46138</v>
      </c>
      <c r="D728" t="inlineStr">
        <is>
          <t>UPPSALA LÄN</t>
        </is>
      </c>
      <c r="E728" t="inlineStr">
        <is>
          <t>UPPSALA</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34893-2025</t>
        </is>
      </c>
      <c r="B729" s="1" t="n">
        <v>45849.49259259259</v>
      </c>
      <c r="C729" s="1" t="n">
        <v>46138</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57827-2025</t>
        </is>
      </c>
      <c r="B730" s="1" t="n">
        <v>45981.60923611111</v>
      </c>
      <c r="C730" s="1" t="n">
        <v>46138</v>
      </c>
      <c r="D730" t="inlineStr">
        <is>
          <t>UPPSALA LÄN</t>
        </is>
      </c>
      <c r="E730" t="inlineStr">
        <is>
          <t>UPPSALA</t>
        </is>
      </c>
      <c r="F730" t="inlineStr">
        <is>
          <t>Kyrkan</t>
        </is>
      </c>
      <c r="G730" t="n">
        <v>2.9</v>
      </c>
      <c r="H730" t="n">
        <v>0</v>
      </c>
      <c r="I730" t="n">
        <v>0</v>
      </c>
      <c r="J730" t="n">
        <v>0</v>
      </c>
      <c r="K730" t="n">
        <v>0</v>
      </c>
      <c r="L730" t="n">
        <v>0</v>
      </c>
      <c r="M730" t="n">
        <v>0</v>
      </c>
      <c r="N730" t="n">
        <v>0</v>
      </c>
      <c r="O730" t="n">
        <v>0</v>
      </c>
      <c r="P730" t="n">
        <v>0</v>
      </c>
      <c r="Q730" t="n">
        <v>0</v>
      </c>
      <c r="R730" s="2" t="inlineStr"/>
    </row>
    <row r="731" ht="15" customHeight="1">
      <c r="A731" t="inlineStr">
        <is>
          <t>A 57796-2025</t>
        </is>
      </c>
      <c r="B731" s="1" t="n">
        <v>45981.58204861111</v>
      </c>
      <c r="C731" s="1" t="n">
        <v>46138</v>
      </c>
      <c r="D731" t="inlineStr">
        <is>
          <t>UPPSALA LÄN</t>
        </is>
      </c>
      <c r="E731" t="inlineStr">
        <is>
          <t>UPPSALA</t>
        </is>
      </c>
      <c r="G731" t="n">
        <v>2.6</v>
      </c>
      <c r="H731" t="n">
        <v>0</v>
      </c>
      <c r="I731" t="n">
        <v>0</v>
      </c>
      <c r="J731" t="n">
        <v>0</v>
      </c>
      <c r="K731" t="n">
        <v>0</v>
      </c>
      <c r="L731" t="n">
        <v>0</v>
      </c>
      <c r="M731" t="n">
        <v>0</v>
      </c>
      <c r="N731" t="n">
        <v>0</v>
      </c>
      <c r="O731" t="n">
        <v>0</v>
      </c>
      <c r="P731" t="n">
        <v>0</v>
      </c>
      <c r="Q731" t="n">
        <v>0</v>
      </c>
      <c r="R731" s="2" t="inlineStr"/>
    </row>
    <row r="732" ht="15" customHeight="1">
      <c r="A732" t="inlineStr">
        <is>
          <t>A 60820-2024</t>
        </is>
      </c>
      <c r="B732" s="1" t="n">
        <v>45644.62677083333</v>
      </c>
      <c r="C732" s="1" t="n">
        <v>46138</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57836-2025</t>
        </is>
      </c>
      <c r="B733" s="1" t="n">
        <v>45981.61822916667</v>
      </c>
      <c r="C733" s="1" t="n">
        <v>46138</v>
      </c>
      <c r="D733" t="inlineStr">
        <is>
          <t>UPPSALA LÄN</t>
        </is>
      </c>
      <c r="E733" t="inlineStr">
        <is>
          <t>UPPSALA</t>
        </is>
      </c>
      <c r="F733" t="inlineStr">
        <is>
          <t>Kyrkan</t>
        </is>
      </c>
      <c r="G733" t="n">
        <v>0.8</v>
      </c>
      <c r="H733" t="n">
        <v>0</v>
      </c>
      <c r="I733" t="n">
        <v>0</v>
      </c>
      <c r="J733" t="n">
        <v>0</v>
      </c>
      <c r="K733" t="n">
        <v>0</v>
      </c>
      <c r="L733" t="n">
        <v>0</v>
      </c>
      <c r="M733" t="n">
        <v>0</v>
      </c>
      <c r="N733" t="n">
        <v>0</v>
      </c>
      <c r="O733" t="n">
        <v>0</v>
      </c>
      <c r="P733" t="n">
        <v>0</v>
      </c>
      <c r="Q733" t="n">
        <v>0</v>
      </c>
      <c r="R733" s="2" t="inlineStr"/>
    </row>
    <row r="734" ht="15" customHeight="1">
      <c r="A734" t="inlineStr">
        <is>
          <t>A 57410-2025</t>
        </is>
      </c>
      <c r="B734" s="1" t="n">
        <v>45980.4484837963</v>
      </c>
      <c r="C734" s="1" t="n">
        <v>46138</v>
      </c>
      <c r="D734" t="inlineStr">
        <is>
          <t>UPPSALA LÄN</t>
        </is>
      </c>
      <c r="E734" t="inlineStr">
        <is>
          <t>UPPSALA</t>
        </is>
      </c>
      <c r="G734" t="n">
        <v>3.1</v>
      </c>
      <c r="H734" t="n">
        <v>0</v>
      </c>
      <c r="I734" t="n">
        <v>0</v>
      </c>
      <c r="J734" t="n">
        <v>0</v>
      </c>
      <c r="K734" t="n">
        <v>0</v>
      </c>
      <c r="L734" t="n">
        <v>0</v>
      </c>
      <c r="M734" t="n">
        <v>0</v>
      </c>
      <c r="N734" t="n">
        <v>0</v>
      </c>
      <c r="O734" t="n">
        <v>0</v>
      </c>
      <c r="P734" t="n">
        <v>0</v>
      </c>
      <c r="Q734" t="n">
        <v>0</v>
      </c>
      <c r="R734" s="2" t="inlineStr"/>
    </row>
    <row r="735" ht="15" customHeight="1">
      <c r="A735" t="inlineStr">
        <is>
          <t>A 35056-2025</t>
        </is>
      </c>
      <c r="B735" s="1" t="n">
        <v>45852.39642361111</v>
      </c>
      <c r="C735" s="1" t="n">
        <v>46138</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18675-2024</t>
        </is>
      </c>
      <c r="B736" s="1" t="n">
        <v>45426</v>
      </c>
      <c r="C736" s="1" t="n">
        <v>46138</v>
      </c>
      <c r="D736" t="inlineStr">
        <is>
          <t>UPPSALA LÄN</t>
        </is>
      </c>
      <c r="E736" t="inlineStr">
        <is>
          <t>UPPSALA</t>
        </is>
      </c>
      <c r="G736" t="n">
        <v>8.1</v>
      </c>
      <c r="H736" t="n">
        <v>0</v>
      </c>
      <c r="I736" t="n">
        <v>0</v>
      </c>
      <c r="J736" t="n">
        <v>0</v>
      </c>
      <c r="K736" t="n">
        <v>0</v>
      </c>
      <c r="L736" t="n">
        <v>0</v>
      </c>
      <c r="M736" t="n">
        <v>0</v>
      </c>
      <c r="N736" t="n">
        <v>0</v>
      </c>
      <c r="O736" t="n">
        <v>0</v>
      </c>
      <c r="P736" t="n">
        <v>0</v>
      </c>
      <c r="Q736" t="n">
        <v>0</v>
      </c>
      <c r="R736" s="2" t="inlineStr"/>
    </row>
    <row r="737" ht="15" customHeight="1">
      <c r="A737" t="inlineStr">
        <is>
          <t>A 35167-2025</t>
        </is>
      </c>
      <c r="B737" s="1" t="n">
        <v>45852.72965277778</v>
      </c>
      <c r="C737" s="1" t="n">
        <v>46138</v>
      </c>
      <c r="D737" t="inlineStr">
        <is>
          <t>UPPSALA LÄN</t>
        </is>
      </c>
      <c r="E737" t="inlineStr">
        <is>
          <t>UPPSALA</t>
        </is>
      </c>
      <c r="F737" t="inlineStr">
        <is>
          <t>Holmen skog AB</t>
        </is>
      </c>
      <c r="G737" t="n">
        <v>10</v>
      </c>
      <c r="H737" t="n">
        <v>0</v>
      </c>
      <c r="I737" t="n">
        <v>0</v>
      </c>
      <c r="J737" t="n">
        <v>0</v>
      </c>
      <c r="K737" t="n">
        <v>0</v>
      </c>
      <c r="L737" t="n">
        <v>0</v>
      </c>
      <c r="M737" t="n">
        <v>0</v>
      </c>
      <c r="N737" t="n">
        <v>0</v>
      </c>
      <c r="O737" t="n">
        <v>0</v>
      </c>
      <c r="P737" t="n">
        <v>0</v>
      </c>
      <c r="Q737" t="n">
        <v>0</v>
      </c>
      <c r="R737" s="2" t="inlineStr"/>
    </row>
    <row r="738" ht="15" customHeight="1">
      <c r="A738" t="inlineStr">
        <is>
          <t>A 35150-2025</t>
        </is>
      </c>
      <c r="B738" s="1" t="n">
        <v>45852</v>
      </c>
      <c r="C738" s="1" t="n">
        <v>46138</v>
      </c>
      <c r="D738" t="inlineStr">
        <is>
          <t>UPPSALA LÄN</t>
        </is>
      </c>
      <c r="E738" t="inlineStr">
        <is>
          <t>UPPSALA</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35015-2025</t>
        </is>
      </c>
      <c r="B739" s="1" t="n">
        <v>45851.62018518519</v>
      </c>
      <c r="C739" s="1" t="n">
        <v>46138</v>
      </c>
      <c r="D739" t="inlineStr">
        <is>
          <t>UPPSALA LÄN</t>
        </is>
      </c>
      <c r="E739" t="inlineStr">
        <is>
          <t>UPPSALA</t>
        </is>
      </c>
      <c r="F739" t="inlineStr">
        <is>
          <t>Bergvik skog öst AB</t>
        </is>
      </c>
      <c r="G739" t="n">
        <v>0.3</v>
      </c>
      <c r="H739" t="n">
        <v>0</v>
      </c>
      <c r="I739" t="n">
        <v>0</v>
      </c>
      <c r="J739" t="n">
        <v>0</v>
      </c>
      <c r="K739" t="n">
        <v>0</v>
      </c>
      <c r="L739" t="n">
        <v>0</v>
      </c>
      <c r="M739" t="n">
        <v>0</v>
      </c>
      <c r="N739" t="n">
        <v>0</v>
      </c>
      <c r="O739" t="n">
        <v>0</v>
      </c>
      <c r="P739" t="n">
        <v>0</v>
      </c>
      <c r="Q739" t="n">
        <v>0</v>
      </c>
      <c r="R739" s="2" t="inlineStr"/>
    </row>
    <row r="740" ht="15" customHeight="1">
      <c r="A740" t="inlineStr">
        <is>
          <t>A 35155-2025</t>
        </is>
      </c>
      <c r="B740" s="1" t="n">
        <v>45852.68978009259</v>
      </c>
      <c r="C740" s="1" t="n">
        <v>46138</v>
      </c>
      <c r="D740" t="inlineStr">
        <is>
          <t>UPPSALA LÄN</t>
        </is>
      </c>
      <c r="E740" t="inlineStr">
        <is>
          <t>UPPSALA</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35148-2025</t>
        </is>
      </c>
      <c r="B741" s="1" t="n">
        <v>45852.67366898148</v>
      </c>
      <c r="C741" s="1" t="n">
        <v>46138</v>
      </c>
      <c r="D741" t="inlineStr">
        <is>
          <t>UPPSALA LÄN</t>
        </is>
      </c>
      <c r="E741" t="inlineStr">
        <is>
          <t>UPPSALA</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35053-2025</t>
        </is>
      </c>
      <c r="B742" s="1" t="n">
        <v>45852.36871527778</v>
      </c>
      <c r="C742" s="1" t="n">
        <v>46138</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35014-2025</t>
        </is>
      </c>
      <c r="B743" s="1" t="n">
        <v>45851.60097222222</v>
      </c>
      <c r="C743" s="1" t="n">
        <v>46138</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53206-2025</t>
        </is>
      </c>
      <c r="B744" s="1" t="n">
        <v>45958.58711805556</v>
      </c>
      <c r="C744" s="1" t="n">
        <v>46138</v>
      </c>
      <c r="D744" t="inlineStr">
        <is>
          <t>UPPSALA LÄN</t>
        </is>
      </c>
      <c r="E744" t="inlineStr">
        <is>
          <t>UPPSALA</t>
        </is>
      </c>
      <c r="F744" t="inlineStr">
        <is>
          <t>Bergvik skog väst AB</t>
        </is>
      </c>
      <c r="G744" t="n">
        <v>18.6</v>
      </c>
      <c r="H744" t="n">
        <v>0</v>
      </c>
      <c r="I744" t="n">
        <v>0</v>
      </c>
      <c r="J744" t="n">
        <v>0</v>
      </c>
      <c r="K744" t="n">
        <v>0</v>
      </c>
      <c r="L744" t="n">
        <v>0</v>
      </c>
      <c r="M744" t="n">
        <v>0</v>
      </c>
      <c r="N744" t="n">
        <v>0</v>
      </c>
      <c r="O744" t="n">
        <v>0</v>
      </c>
      <c r="P744" t="n">
        <v>0</v>
      </c>
      <c r="Q744" t="n">
        <v>0</v>
      </c>
      <c r="R744" s="2" t="inlineStr"/>
    </row>
    <row r="745" ht="15" customHeight="1">
      <c r="A745" t="inlineStr">
        <is>
          <t>A 33332-2022</t>
        </is>
      </c>
      <c r="B745" s="1" t="n">
        <v>44788</v>
      </c>
      <c r="C745" s="1" t="n">
        <v>46138</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27912-2023</t>
        </is>
      </c>
      <c r="B746" s="1" t="n">
        <v>45098.63572916666</v>
      </c>
      <c r="C746" s="1" t="n">
        <v>46138</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1592-2025</t>
        </is>
      </c>
      <c r="B747" s="1" t="n">
        <v>45670</v>
      </c>
      <c r="C747" s="1" t="n">
        <v>46138</v>
      </c>
      <c r="D747" t="inlineStr">
        <is>
          <t>UPPSALA LÄN</t>
        </is>
      </c>
      <c r="E747" t="inlineStr">
        <is>
          <t>UPPSALA</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58104-2025</t>
        </is>
      </c>
      <c r="B748" s="1" t="n">
        <v>45982</v>
      </c>
      <c r="C748" s="1" t="n">
        <v>46138</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35305-2025</t>
        </is>
      </c>
      <c r="B749" s="1" t="n">
        <v>45854.44017361111</v>
      </c>
      <c r="C749" s="1" t="n">
        <v>46138</v>
      </c>
      <c r="D749" t="inlineStr">
        <is>
          <t>UPPSALA LÄN</t>
        </is>
      </c>
      <c r="E749" t="inlineStr">
        <is>
          <t>UPPSALA</t>
        </is>
      </c>
      <c r="F749" t="inlineStr">
        <is>
          <t>Holmen skog AB</t>
        </is>
      </c>
      <c r="G749" t="n">
        <v>3.3</v>
      </c>
      <c r="H749" t="n">
        <v>0</v>
      </c>
      <c r="I749" t="n">
        <v>0</v>
      </c>
      <c r="J749" t="n">
        <v>0</v>
      </c>
      <c r="K749" t="n">
        <v>0</v>
      </c>
      <c r="L749" t="n">
        <v>0</v>
      </c>
      <c r="M749" t="n">
        <v>0</v>
      </c>
      <c r="N749" t="n">
        <v>0</v>
      </c>
      <c r="O749" t="n">
        <v>0</v>
      </c>
      <c r="P749" t="n">
        <v>0</v>
      </c>
      <c r="Q749" t="n">
        <v>0</v>
      </c>
      <c r="R749" s="2" t="inlineStr"/>
    </row>
    <row r="750" ht="15" customHeight="1">
      <c r="A750" t="inlineStr">
        <is>
          <t>A 58193-2025</t>
        </is>
      </c>
      <c r="B750" s="1" t="n">
        <v>45983.85069444445</v>
      </c>
      <c r="C750" s="1" t="n">
        <v>46138</v>
      </c>
      <c r="D750" t="inlineStr">
        <is>
          <t>UPPSALA LÄN</t>
        </is>
      </c>
      <c r="E750" t="inlineStr">
        <is>
          <t>UPPSALA</t>
        </is>
      </c>
      <c r="G750" t="n">
        <v>2.7</v>
      </c>
      <c r="H750" t="n">
        <v>0</v>
      </c>
      <c r="I750" t="n">
        <v>0</v>
      </c>
      <c r="J750" t="n">
        <v>0</v>
      </c>
      <c r="K750" t="n">
        <v>0</v>
      </c>
      <c r="L750" t="n">
        <v>0</v>
      </c>
      <c r="M750" t="n">
        <v>0</v>
      </c>
      <c r="N750" t="n">
        <v>0</v>
      </c>
      <c r="O750" t="n">
        <v>0</v>
      </c>
      <c r="P750" t="n">
        <v>0</v>
      </c>
      <c r="Q750" t="n">
        <v>0</v>
      </c>
      <c r="R750" s="2" t="inlineStr"/>
    </row>
    <row r="751" ht="15" customHeight="1">
      <c r="A751" t="inlineStr">
        <is>
          <t>A 50106-2025</t>
        </is>
      </c>
      <c r="B751" s="1" t="n">
        <v>45943.53659722222</v>
      </c>
      <c r="C751" s="1" t="n">
        <v>46138</v>
      </c>
      <c r="D751" t="inlineStr">
        <is>
          <t>UPPSALA LÄN</t>
        </is>
      </c>
      <c r="E751" t="inlineStr">
        <is>
          <t>UPPSALA</t>
        </is>
      </c>
      <c r="F751" t="inlineStr">
        <is>
          <t>Bergvik skog öst AB</t>
        </is>
      </c>
      <c r="G751" t="n">
        <v>3.4</v>
      </c>
      <c r="H751" t="n">
        <v>0</v>
      </c>
      <c r="I751" t="n">
        <v>0</v>
      </c>
      <c r="J751" t="n">
        <v>0</v>
      </c>
      <c r="K751" t="n">
        <v>0</v>
      </c>
      <c r="L751" t="n">
        <v>0</v>
      </c>
      <c r="M751" t="n">
        <v>0</v>
      </c>
      <c r="N751" t="n">
        <v>0</v>
      </c>
      <c r="O751" t="n">
        <v>0</v>
      </c>
      <c r="P751" t="n">
        <v>0</v>
      </c>
      <c r="Q751" t="n">
        <v>0</v>
      </c>
      <c r="R751" s="2" t="inlineStr"/>
    </row>
    <row r="752" ht="15" customHeight="1">
      <c r="A752" t="inlineStr">
        <is>
          <t>A 35504-2025</t>
        </is>
      </c>
      <c r="B752" s="1" t="n">
        <v>45856.34034722222</v>
      </c>
      <c r="C752" s="1" t="n">
        <v>46138</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35505-2025</t>
        </is>
      </c>
      <c r="B753" s="1" t="n">
        <v>45856.34231481481</v>
      </c>
      <c r="C753" s="1" t="n">
        <v>46138</v>
      </c>
      <c r="D753" t="inlineStr">
        <is>
          <t>UPPSALA LÄN</t>
        </is>
      </c>
      <c r="E753" t="inlineStr">
        <is>
          <t>UPPSALA</t>
        </is>
      </c>
      <c r="F753" t="inlineStr">
        <is>
          <t>Bergvik skog öst AB</t>
        </is>
      </c>
      <c r="G753" t="n">
        <v>7.9</v>
      </c>
      <c r="H753" t="n">
        <v>0</v>
      </c>
      <c r="I753" t="n">
        <v>0</v>
      </c>
      <c r="J753" t="n">
        <v>0</v>
      </c>
      <c r="K753" t="n">
        <v>0</v>
      </c>
      <c r="L753" t="n">
        <v>0</v>
      </c>
      <c r="M753" t="n">
        <v>0</v>
      </c>
      <c r="N753" t="n">
        <v>0</v>
      </c>
      <c r="O753" t="n">
        <v>0</v>
      </c>
      <c r="P753" t="n">
        <v>0</v>
      </c>
      <c r="Q753" t="n">
        <v>0</v>
      </c>
      <c r="R753" s="2" t="inlineStr"/>
    </row>
    <row r="754" ht="15" customHeight="1">
      <c r="A754" t="inlineStr">
        <is>
          <t>A 35509-2025</t>
        </is>
      </c>
      <c r="B754" s="1" t="n">
        <v>45856.34959490741</v>
      </c>
      <c r="C754" s="1" t="n">
        <v>46138</v>
      </c>
      <c r="D754" t="inlineStr">
        <is>
          <t>UPPSALA LÄN</t>
        </is>
      </c>
      <c r="E754" t="inlineStr">
        <is>
          <t>UPPSALA</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35510-2025</t>
        </is>
      </c>
      <c r="B755" s="1" t="n">
        <v>45856</v>
      </c>
      <c r="C755" s="1" t="n">
        <v>46138</v>
      </c>
      <c r="D755" t="inlineStr">
        <is>
          <t>UPPSALA LÄN</t>
        </is>
      </c>
      <c r="E755" t="inlineStr">
        <is>
          <t>UPPSALA</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32484-2025</t>
        </is>
      </c>
      <c r="B756" s="1" t="n">
        <v>45838</v>
      </c>
      <c r="C756" s="1" t="n">
        <v>46138</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9611-2024</t>
        </is>
      </c>
      <c r="B757" s="1" t="n">
        <v>45361.57299768519</v>
      </c>
      <c r="C757" s="1" t="n">
        <v>46138</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32475-2025</t>
        </is>
      </c>
      <c r="B758" s="1" t="n">
        <v>45838</v>
      </c>
      <c r="C758" s="1" t="n">
        <v>46138</v>
      </c>
      <c r="D758" t="inlineStr">
        <is>
          <t>UPPSALA LÄN</t>
        </is>
      </c>
      <c r="E758" t="inlineStr">
        <is>
          <t>UPPSALA</t>
        </is>
      </c>
      <c r="G758" t="n">
        <v>3</v>
      </c>
      <c r="H758" t="n">
        <v>0</v>
      </c>
      <c r="I758" t="n">
        <v>0</v>
      </c>
      <c r="J758" t="n">
        <v>0</v>
      </c>
      <c r="K758" t="n">
        <v>0</v>
      </c>
      <c r="L758" t="n">
        <v>0</v>
      </c>
      <c r="M758" t="n">
        <v>0</v>
      </c>
      <c r="N758" t="n">
        <v>0</v>
      </c>
      <c r="O758" t="n">
        <v>0</v>
      </c>
      <c r="P758" t="n">
        <v>0</v>
      </c>
      <c r="Q758" t="n">
        <v>0</v>
      </c>
      <c r="R758" s="2" t="inlineStr"/>
    </row>
    <row r="759" ht="15" customHeight="1">
      <c r="A759" t="inlineStr">
        <is>
          <t>A 50103-2025</t>
        </is>
      </c>
      <c r="B759" s="1" t="n">
        <v>45943.53451388889</v>
      </c>
      <c r="C759" s="1" t="n">
        <v>46138</v>
      </c>
      <c r="D759" t="inlineStr">
        <is>
          <t>UPPSALA LÄN</t>
        </is>
      </c>
      <c r="E759" t="inlineStr">
        <is>
          <t>UPPSALA</t>
        </is>
      </c>
      <c r="F759" t="inlineStr">
        <is>
          <t>Bergvik skog öst AB</t>
        </is>
      </c>
      <c r="G759" t="n">
        <v>3.5</v>
      </c>
      <c r="H759" t="n">
        <v>0</v>
      </c>
      <c r="I759" t="n">
        <v>0</v>
      </c>
      <c r="J759" t="n">
        <v>0</v>
      </c>
      <c r="K759" t="n">
        <v>0</v>
      </c>
      <c r="L759" t="n">
        <v>0</v>
      </c>
      <c r="M759" t="n">
        <v>0</v>
      </c>
      <c r="N759" t="n">
        <v>0</v>
      </c>
      <c r="O759" t="n">
        <v>0</v>
      </c>
      <c r="P759" t="n">
        <v>0</v>
      </c>
      <c r="Q759" t="n">
        <v>0</v>
      </c>
      <c r="R759" s="2" t="inlineStr"/>
    </row>
    <row r="760" ht="15" customHeight="1">
      <c r="A760" t="inlineStr">
        <is>
          <t>A 50104-2025</t>
        </is>
      </c>
      <c r="B760" s="1" t="n">
        <v>45943.5354050926</v>
      </c>
      <c r="C760" s="1" t="n">
        <v>46138</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35978-2025</t>
        </is>
      </c>
      <c r="B761" s="1" t="n">
        <v>45863.44648148148</v>
      </c>
      <c r="C761" s="1" t="n">
        <v>46138</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50102-2025</t>
        </is>
      </c>
      <c r="B762" s="1" t="n">
        <v>45943.53341435185</v>
      </c>
      <c r="C762" s="1" t="n">
        <v>46138</v>
      </c>
      <c r="D762" t="inlineStr">
        <is>
          <t>UPPSALA LÄN</t>
        </is>
      </c>
      <c r="E762" t="inlineStr">
        <is>
          <t>UPPSALA</t>
        </is>
      </c>
      <c r="F762" t="inlineStr">
        <is>
          <t>Bergvik skog öst AB</t>
        </is>
      </c>
      <c r="G762" t="n">
        <v>5.8</v>
      </c>
      <c r="H762" t="n">
        <v>0</v>
      </c>
      <c r="I762" t="n">
        <v>0</v>
      </c>
      <c r="J762" t="n">
        <v>0</v>
      </c>
      <c r="K762" t="n">
        <v>0</v>
      </c>
      <c r="L762" t="n">
        <v>0</v>
      </c>
      <c r="M762" t="n">
        <v>0</v>
      </c>
      <c r="N762" t="n">
        <v>0</v>
      </c>
      <c r="O762" t="n">
        <v>0</v>
      </c>
      <c r="P762" t="n">
        <v>0</v>
      </c>
      <c r="Q762" t="n">
        <v>0</v>
      </c>
      <c r="R762" s="2" t="inlineStr"/>
    </row>
    <row r="763" ht="15" customHeight="1">
      <c r="A763" t="inlineStr">
        <is>
          <t>A 35984-2025</t>
        </is>
      </c>
      <c r="B763" s="1" t="n">
        <v>45863.45355324074</v>
      </c>
      <c r="C763" s="1" t="n">
        <v>46138</v>
      </c>
      <c r="D763" t="inlineStr">
        <is>
          <t>UPPSALA LÄN</t>
        </is>
      </c>
      <c r="E763" t="inlineStr">
        <is>
          <t>UPPSALA</t>
        </is>
      </c>
      <c r="G763" t="n">
        <v>6.1</v>
      </c>
      <c r="H763" t="n">
        <v>0</v>
      </c>
      <c r="I763" t="n">
        <v>0</v>
      </c>
      <c r="J763" t="n">
        <v>0</v>
      </c>
      <c r="K763" t="n">
        <v>0</v>
      </c>
      <c r="L763" t="n">
        <v>0</v>
      </c>
      <c r="M763" t="n">
        <v>0</v>
      </c>
      <c r="N763" t="n">
        <v>0</v>
      </c>
      <c r="O763" t="n">
        <v>0</v>
      </c>
      <c r="P763" t="n">
        <v>0</v>
      </c>
      <c r="Q763" t="n">
        <v>0</v>
      </c>
      <c r="R763" s="2" t="inlineStr"/>
    </row>
    <row r="764" ht="15" customHeight="1">
      <c r="A764" t="inlineStr">
        <is>
          <t>A 24091-2024</t>
        </is>
      </c>
      <c r="B764" s="1" t="n">
        <v>45456.58491898148</v>
      </c>
      <c r="C764" s="1" t="n">
        <v>46138</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59207-2025</t>
        </is>
      </c>
      <c r="B765" s="1" t="n">
        <v>45988.61304398148</v>
      </c>
      <c r="C765" s="1" t="n">
        <v>46138</v>
      </c>
      <c r="D765" t="inlineStr">
        <is>
          <t>UPPSALA LÄN</t>
        </is>
      </c>
      <c r="E765" t="inlineStr">
        <is>
          <t>UPPSALA</t>
        </is>
      </c>
      <c r="F765" t="inlineStr">
        <is>
          <t>Kyrkan</t>
        </is>
      </c>
      <c r="G765" t="n">
        <v>1.5</v>
      </c>
      <c r="H765" t="n">
        <v>0</v>
      </c>
      <c r="I765" t="n">
        <v>0</v>
      </c>
      <c r="J765" t="n">
        <v>0</v>
      </c>
      <c r="K765" t="n">
        <v>0</v>
      </c>
      <c r="L765" t="n">
        <v>0</v>
      </c>
      <c r="M765" t="n">
        <v>0</v>
      </c>
      <c r="N765" t="n">
        <v>0</v>
      </c>
      <c r="O765" t="n">
        <v>0</v>
      </c>
      <c r="P765" t="n">
        <v>0</v>
      </c>
      <c r="Q765" t="n">
        <v>0</v>
      </c>
      <c r="R765" s="2" t="inlineStr"/>
    </row>
    <row r="766" ht="15" customHeight="1">
      <c r="A766" t="inlineStr">
        <is>
          <t>A 7727-2024</t>
        </is>
      </c>
      <c r="B766" s="1" t="n">
        <v>45349</v>
      </c>
      <c r="C766" s="1" t="n">
        <v>46138</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36253-2025</t>
        </is>
      </c>
      <c r="B767" s="1" t="n">
        <v>45867.58056712963</v>
      </c>
      <c r="C767" s="1" t="n">
        <v>46138</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60781-2023</t>
        </is>
      </c>
      <c r="B768" s="1" t="n">
        <v>45259</v>
      </c>
      <c r="C768" s="1" t="n">
        <v>46138</v>
      </c>
      <c r="D768" t="inlineStr">
        <is>
          <t>UPPSALA LÄN</t>
        </is>
      </c>
      <c r="E768" t="inlineStr">
        <is>
          <t>UPPSALA</t>
        </is>
      </c>
      <c r="G768" t="n">
        <v>4.1</v>
      </c>
      <c r="H768" t="n">
        <v>0</v>
      </c>
      <c r="I768" t="n">
        <v>0</v>
      </c>
      <c r="J768" t="n">
        <v>0</v>
      </c>
      <c r="K768" t="n">
        <v>0</v>
      </c>
      <c r="L768" t="n">
        <v>0</v>
      </c>
      <c r="M768" t="n">
        <v>0</v>
      </c>
      <c r="N768" t="n">
        <v>0</v>
      </c>
      <c r="O768" t="n">
        <v>0</v>
      </c>
      <c r="P768" t="n">
        <v>0</v>
      </c>
      <c r="Q768" t="n">
        <v>0</v>
      </c>
      <c r="R768" s="2" t="inlineStr"/>
    </row>
    <row r="769" ht="15" customHeight="1">
      <c r="A769" t="inlineStr">
        <is>
          <t>A 24787-2024</t>
        </is>
      </c>
      <c r="B769" s="1" t="n">
        <v>45460</v>
      </c>
      <c r="C769" s="1" t="n">
        <v>46138</v>
      </c>
      <c r="D769" t="inlineStr">
        <is>
          <t>UPPSALA LÄN</t>
        </is>
      </c>
      <c r="E769" t="inlineStr">
        <is>
          <t>UPPSALA</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60167-2024</t>
        </is>
      </c>
      <c r="B770" s="1" t="n">
        <v>45642.63524305556</v>
      </c>
      <c r="C770" s="1" t="n">
        <v>46138</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18717-2025</t>
        </is>
      </c>
      <c r="B771" s="1" t="n">
        <v>45763.6503125</v>
      </c>
      <c r="C771" s="1" t="n">
        <v>46138</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49938-2025</t>
        </is>
      </c>
      <c r="B772" s="1" t="n">
        <v>45940</v>
      </c>
      <c r="C772" s="1" t="n">
        <v>46138</v>
      </c>
      <c r="D772" t="inlineStr">
        <is>
          <t>UPPSALA LÄN</t>
        </is>
      </c>
      <c r="E772" t="inlineStr">
        <is>
          <t>UPPSALA</t>
        </is>
      </c>
      <c r="G772" t="n">
        <v>1.6</v>
      </c>
      <c r="H772" t="n">
        <v>0</v>
      </c>
      <c r="I772" t="n">
        <v>0</v>
      </c>
      <c r="J772" t="n">
        <v>0</v>
      </c>
      <c r="K772" t="n">
        <v>0</v>
      </c>
      <c r="L772" t="n">
        <v>0</v>
      </c>
      <c r="M772" t="n">
        <v>0</v>
      </c>
      <c r="N772" t="n">
        <v>0</v>
      </c>
      <c r="O772" t="n">
        <v>0</v>
      </c>
      <c r="P772" t="n">
        <v>0</v>
      </c>
      <c r="Q772" t="n">
        <v>0</v>
      </c>
      <c r="R772" s="2" t="inlineStr"/>
    </row>
    <row r="773" ht="15" customHeight="1">
      <c r="A773" t="inlineStr">
        <is>
          <t>A 59779-2025</t>
        </is>
      </c>
      <c r="B773" s="1" t="n">
        <v>45992.60832175926</v>
      </c>
      <c r="C773" s="1" t="n">
        <v>46138</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59688-2025</t>
        </is>
      </c>
      <c r="B774" s="1" t="n">
        <v>45992.47825231482</v>
      </c>
      <c r="C774" s="1" t="n">
        <v>46138</v>
      </c>
      <c r="D774" t="inlineStr">
        <is>
          <t>UPPSALA LÄN</t>
        </is>
      </c>
      <c r="E774" t="inlineStr">
        <is>
          <t>UPPSALA</t>
        </is>
      </c>
      <c r="G774" t="n">
        <v>2.8</v>
      </c>
      <c r="H774" t="n">
        <v>0</v>
      </c>
      <c r="I774" t="n">
        <v>0</v>
      </c>
      <c r="J774" t="n">
        <v>0</v>
      </c>
      <c r="K774" t="n">
        <v>0</v>
      </c>
      <c r="L774" t="n">
        <v>0</v>
      </c>
      <c r="M774" t="n">
        <v>0</v>
      </c>
      <c r="N774" t="n">
        <v>0</v>
      </c>
      <c r="O774" t="n">
        <v>0</v>
      </c>
      <c r="P774" t="n">
        <v>0</v>
      </c>
      <c r="Q774" t="n">
        <v>0</v>
      </c>
      <c r="R774" s="2" t="inlineStr"/>
    </row>
    <row r="775" ht="15" customHeight="1">
      <c r="A775" t="inlineStr">
        <is>
          <t>A 60512-2025</t>
        </is>
      </c>
      <c r="B775" s="1" t="n">
        <v>45995.63483796296</v>
      </c>
      <c r="C775" s="1" t="n">
        <v>46138</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38865-2022</t>
        </is>
      </c>
      <c r="B776" s="1" t="n">
        <v>44816</v>
      </c>
      <c r="C776" s="1" t="n">
        <v>46138</v>
      </c>
      <c r="D776" t="inlineStr">
        <is>
          <t>UPPSALA LÄN</t>
        </is>
      </c>
      <c r="E776" t="inlineStr">
        <is>
          <t>UPPSALA</t>
        </is>
      </c>
      <c r="G776" t="n">
        <v>14.6</v>
      </c>
      <c r="H776" t="n">
        <v>0</v>
      </c>
      <c r="I776" t="n">
        <v>0</v>
      </c>
      <c r="J776" t="n">
        <v>0</v>
      </c>
      <c r="K776" t="n">
        <v>0</v>
      </c>
      <c r="L776" t="n">
        <v>0</v>
      </c>
      <c r="M776" t="n">
        <v>0</v>
      </c>
      <c r="N776" t="n">
        <v>0</v>
      </c>
      <c r="O776" t="n">
        <v>0</v>
      </c>
      <c r="P776" t="n">
        <v>0</v>
      </c>
      <c r="Q776" t="n">
        <v>0</v>
      </c>
      <c r="R776" s="2" t="inlineStr"/>
    </row>
    <row r="777" ht="15" customHeight="1">
      <c r="A777" t="inlineStr">
        <is>
          <t>A 1994-2024</t>
        </is>
      </c>
      <c r="B777" s="1" t="n">
        <v>45308.63298611111</v>
      </c>
      <c r="C777" s="1" t="n">
        <v>46138</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60357-2025</t>
        </is>
      </c>
      <c r="B778" s="1" t="n">
        <v>45995.31793981481</v>
      </c>
      <c r="C778" s="1" t="n">
        <v>46138</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30616-2025</t>
        </is>
      </c>
      <c r="B779" s="1" t="n">
        <v>45831.46731481481</v>
      </c>
      <c r="C779" s="1" t="n">
        <v>46138</v>
      </c>
      <c r="D779" t="inlineStr">
        <is>
          <t>UPPSALA LÄN</t>
        </is>
      </c>
      <c r="E779" t="inlineStr">
        <is>
          <t>UPPSALA</t>
        </is>
      </c>
      <c r="G779" t="n">
        <v>2.1</v>
      </c>
      <c r="H779" t="n">
        <v>0</v>
      </c>
      <c r="I779" t="n">
        <v>0</v>
      </c>
      <c r="J779" t="n">
        <v>0</v>
      </c>
      <c r="K779" t="n">
        <v>0</v>
      </c>
      <c r="L779" t="n">
        <v>0</v>
      </c>
      <c r="M779" t="n">
        <v>0</v>
      </c>
      <c r="N779" t="n">
        <v>0</v>
      </c>
      <c r="O779" t="n">
        <v>0</v>
      </c>
      <c r="P779" t="n">
        <v>0</v>
      </c>
      <c r="Q779" t="n">
        <v>0</v>
      </c>
      <c r="R779" s="2" t="inlineStr"/>
    </row>
    <row r="780" ht="15" customHeight="1">
      <c r="A780" t="inlineStr">
        <is>
          <t>A 60356-2025</t>
        </is>
      </c>
      <c r="B780" s="1" t="n">
        <v>45995.31737268518</v>
      </c>
      <c r="C780" s="1" t="n">
        <v>46138</v>
      </c>
      <c r="D780" t="inlineStr">
        <is>
          <t>UPPSALA LÄN</t>
        </is>
      </c>
      <c r="E780" t="inlineStr">
        <is>
          <t>UPPSALA</t>
        </is>
      </c>
      <c r="G780" t="n">
        <v>1</v>
      </c>
      <c r="H780" t="n">
        <v>0</v>
      </c>
      <c r="I780" t="n">
        <v>0</v>
      </c>
      <c r="J780" t="n">
        <v>0</v>
      </c>
      <c r="K780" t="n">
        <v>0</v>
      </c>
      <c r="L780" t="n">
        <v>0</v>
      </c>
      <c r="M780" t="n">
        <v>0</v>
      </c>
      <c r="N780" t="n">
        <v>0</v>
      </c>
      <c r="O780" t="n">
        <v>0</v>
      </c>
      <c r="P780" t="n">
        <v>0</v>
      </c>
      <c r="Q780" t="n">
        <v>0</v>
      </c>
      <c r="R780" s="2" t="inlineStr"/>
    </row>
    <row r="781" ht="15" customHeight="1">
      <c r="A781" t="inlineStr">
        <is>
          <t>A 29927-2023</t>
        </is>
      </c>
      <c r="B781" s="1" t="n">
        <v>45107</v>
      </c>
      <c r="C781" s="1" t="n">
        <v>46138</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46202-2024</t>
        </is>
      </c>
      <c r="B782" s="1" t="n">
        <v>45581</v>
      </c>
      <c r="C782" s="1" t="n">
        <v>46138</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70228-2021</t>
        </is>
      </c>
      <c r="B783" s="1" t="n">
        <v>44535</v>
      </c>
      <c r="C783" s="1" t="n">
        <v>46138</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36913-2025</t>
        </is>
      </c>
      <c r="B784" s="1" t="n">
        <v>45874</v>
      </c>
      <c r="C784" s="1" t="n">
        <v>46138</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58965-2025</t>
        </is>
      </c>
      <c r="B785" s="1" t="n">
        <v>45987</v>
      </c>
      <c r="C785" s="1" t="n">
        <v>46138</v>
      </c>
      <c r="D785" t="inlineStr">
        <is>
          <t>UPPSALA LÄN</t>
        </is>
      </c>
      <c r="E785" t="inlineStr">
        <is>
          <t>UPPSALA</t>
        </is>
      </c>
      <c r="G785" t="n">
        <v>7.7</v>
      </c>
      <c r="H785" t="n">
        <v>0</v>
      </c>
      <c r="I785" t="n">
        <v>0</v>
      </c>
      <c r="J785" t="n">
        <v>0</v>
      </c>
      <c r="K785" t="n">
        <v>0</v>
      </c>
      <c r="L785" t="n">
        <v>0</v>
      </c>
      <c r="M785" t="n">
        <v>0</v>
      </c>
      <c r="N785" t="n">
        <v>0</v>
      </c>
      <c r="O785" t="n">
        <v>0</v>
      </c>
      <c r="P785" t="n">
        <v>0</v>
      </c>
      <c r="Q785" t="n">
        <v>0</v>
      </c>
      <c r="R785" s="2" t="inlineStr"/>
    </row>
    <row r="786" ht="15" customHeight="1">
      <c r="A786" t="inlineStr">
        <is>
          <t>A 37010-2025</t>
        </is>
      </c>
      <c r="B786" s="1" t="n">
        <v>45874.705</v>
      </c>
      <c r="C786" s="1" t="n">
        <v>46138</v>
      </c>
      <c r="D786" t="inlineStr">
        <is>
          <t>UPPSALA LÄN</t>
        </is>
      </c>
      <c r="E786" t="inlineStr">
        <is>
          <t>UPPSALA</t>
        </is>
      </c>
      <c r="G786" t="n">
        <v>0.8</v>
      </c>
      <c r="H786" t="n">
        <v>0</v>
      </c>
      <c r="I786" t="n">
        <v>0</v>
      </c>
      <c r="J786" t="n">
        <v>0</v>
      </c>
      <c r="K786" t="n">
        <v>0</v>
      </c>
      <c r="L786" t="n">
        <v>0</v>
      </c>
      <c r="M786" t="n">
        <v>0</v>
      </c>
      <c r="N786" t="n">
        <v>0</v>
      </c>
      <c r="O786" t="n">
        <v>0</v>
      </c>
      <c r="P786" t="n">
        <v>0</v>
      </c>
      <c r="Q786" t="n">
        <v>0</v>
      </c>
      <c r="R786" s="2" t="inlineStr"/>
    </row>
    <row r="787" ht="15" customHeight="1">
      <c r="A787" t="inlineStr">
        <is>
          <t>A 11224-2022</t>
        </is>
      </c>
      <c r="B787" s="1" t="n">
        <v>44629.57741898148</v>
      </c>
      <c r="C787" s="1" t="n">
        <v>46138</v>
      </c>
      <c r="D787" t="inlineStr">
        <is>
          <t>UPPSALA LÄN</t>
        </is>
      </c>
      <c r="E787" t="inlineStr">
        <is>
          <t>UPPSALA</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7899-2022</t>
        </is>
      </c>
      <c r="B788" s="1" t="n">
        <v>44608</v>
      </c>
      <c r="C788" s="1" t="n">
        <v>46138</v>
      </c>
      <c r="D788" t="inlineStr">
        <is>
          <t>UPPSALA LÄN</t>
        </is>
      </c>
      <c r="E788" t="inlineStr">
        <is>
          <t>UPPSALA</t>
        </is>
      </c>
      <c r="F788" t="inlineStr">
        <is>
          <t>Övriga Aktiebolag</t>
        </is>
      </c>
      <c r="G788" t="n">
        <v>7.1</v>
      </c>
      <c r="H788" t="n">
        <v>0</v>
      </c>
      <c r="I788" t="n">
        <v>0</v>
      </c>
      <c r="J788" t="n">
        <v>0</v>
      </c>
      <c r="K788" t="n">
        <v>0</v>
      </c>
      <c r="L788" t="n">
        <v>0</v>
      </c>
      <c r="M788" t="n">
        <v>0</v>
      </c>
      <c r="N788" t="n">
        <v>0</v>
      </c>
      <c r="O788" t="n">
        <v>0</v>
      </c>
      <c r="P788" t="n">
        <v>0</v>
      </c>
      <c r="Q788" t="n">
        <v>0</v>
      </c>
      <c r="R788" s="2" t="inlineStr"/>
    </row>
    <row r="789" ht="15" customHeight="1">
      <c r="A789" t="inlineStr">
        <is>
          <t>A 61245-2025</t>
        </is>
      </c>
      <c r="B789" s="1" t="n">
        <v>45999</v>
      </c>
      <c r="C789" s="1" t="n">
        <v>46138</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8164-2025</t>
        </is>
      </c>
      <c r="B790" s="1" t="n">
        <v>45707</v>
      </c>
      <c r="C790" s="1" t="n">
        <v>46138</v>
      </c>
      <c r="D790" t="inlineStr">
        <is>
          <t>UPPSALA LÄN</t>
        </is>
      </c>
      <c r="E790" t="inlineStr">
        <is>
          <t>UPPSALA</t>
        </is>
      </c>
      <c r="F790" t="inlineStr">
        <is>
          <t>Övriga Aktiebolag</t>
        </is>
      </c>
      <c r="G790" t="n">
        <v>12.2</v>
      </c>
      <c r="H790" t="n">
        <v>0</v>
      </c>
      <c r="I790" t="n">
        <v>0</v>
      </c>
      <c r="J790" t="n">
        <v>0</v>
      </c>
      <c r="K790" t="n">
        <v>0</v>
      </c>
      <c r="L790" t="n">
        <v>0</v>
      </c>
      <c r="M790" t="n">
        <v>0</v>
      </c>
      <c r="N790" t="n">
        <v>0</v>
      </c>
      <c r="O790" t="n">
        <v>0</v>
      </c>
      <c r="P790" t="n">
        <v>0</v>
      </c>
      <c r="Q790" t="n">
        <v>0</v>
      </c>
      <c r="R790" s="2" t="inlineStr"/>
    </row>
    <row r="791" ht="15" customHeight="1">
      <c r="A791" t="inlineStr">
        <is>
          <t>A 37486-2025</t>
        </is>
      </c>
      <c r="B791" s="1" t="n">
        <v>45877.62969907407</v>
      </c>
      <c r="C791" s="1" t="n">
        <v>46138</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60729-2024</t>
        </is>
      </c>
      <c r="B792" s="1" t="n">
        <v>45644</v>
      </c>
      <c r="C792" s="1" t="n">
        <v>46138</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60925-2021</t>
        </is>
      </c>
      <c r="B793" s="1" t="n">
        <v>44497.4666087963</v>
      </c>
      <c r="C793" s="1" t="n">
        <v>46138</v>
      </c>
      <c r="D793" t="inlineStr">
        <is>
          <t>UPPSALA LÄN</t>
        </is>
      </c>
      <c r="E793" t="inlineStr">
        <is>
          <t>UPPSALA</t>
        </is>
      </c>
      <c r="G793" t="n">
        <v>3.7</v>
      </c>
      <c r="H793" t="n">
        <v>0</v>
      </c>
      <c r="I793" t="n">
        <v>0</v>
      </c>
      <c r="J793" t="n">
        <v>0</v>
      </c>
      <c r="K793" t="n">
        <v>0</v>
      </c>
      <c r="L793" t="n">
        <v>0</v>
      </c>
      <c r="M793" t="n">
        <v>0</v>
      </c>
      <c r="N793" t="n">
        <v>0</v>
      </c>
      <c r="O793" t="n">
        <v>0</v>
      </c>
      <c r="P793" t="n">
        <v>0</v>
      </c>
      <c r="Q793" t="n">
        <v>0</v>
      </c>
      <c r="R793" s="2" t="inlineStr"/>
    </row>
    <row r="794" ht="15" customHeight="1">
      <c r="A794" t="inlineStr">
        <is>
          <t>A 3086-2023</t>
        </is>
      </c>
      <c r="B794" s="1" t="n">
        <v>44946.43564814814</v>
      </c>
      <c r="C794" s="1" t="n">
        <v>46138</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37351-2025</t>
        </is>
      </c>
      <c r="B795" s="1" t="n">
        <v>45876</v>
      </c>
      <c r="C795" s="1" t="n">
        <v>46138</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35016-2025</t>
        </is>
      </c>
      <c r="B796" s="1" t="n">
        <v>45851.62179398148</v>
      </c>
      <c r="C796" s="1" t="n">
        <v>46138</v>
      </c>
      <c r="D796" t="inlineStr">
        <is>
          <t>UPPSALA LÄN</t>
        </is>
      </c>
      <c r="E796" t="inlineStr">
        <is>
          <t>UPPSALA</t>
        </is>
      </c>
      <c r="F796" t="inlineStr">
        <is>
          <t>Bergvik skog öst AB</t>
        </is>
      </c>
      <c r="G796" t="n">
        <v>7</v>
      </c>
      <c r="H796" t="n">
        <v>0</v>
      </c>
      <c r="I796" t="n">
        <v>0</v>
      </c>
      <c r="J796" t="n">
        <v>0</v>
      </c>
      <c r="K796" t="n">
        <v>0</v>
      </c>
      <c r="L796" t="n">
        <v>0</v>
      </c>
      <c r="M796" t="n">
        <v>0</v>
      </c>
      <c r="N796" t="n">
        <v>0</v>
      </c>
      <c r="O796" t="n">
        <v>0</v>
      </c>
      <c r="P796" t="n">
        <v>0</v>
      </c>
      <c r="Q796" t="n">
        <v>0</v>
      </c>
      <c r="R796" s="2" t="inlineStr"/>
    </row>
    <row r="797" ht="15" customHeight="1">
      <c r="A797" t="inlineStr">
        <is>
          <t>A 6422-2023</t>
        </is>
      </c>
      <c r="B797" s="1" t="n">
        <v>44965</v>
      </c>
      <c r="C797" s="1" t="n">
        <v>46138</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6423-2023</t>
        </is>
      </c>
      <c r="B798" s="1" t="n">
        <v>44965</v>
      </c>
      <c r="C798" s="1" t="n">
        <v>46138</v>
      </c>
      <c r="D798" t="inlineStr">
        <is>
          <t>UPPSALA LÄN</t>
        </is>
      </c>
      <c r="E798" t="inlineStr">
        <is>
          <t>UPPSALA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37352-2025</t>
        </is>
      </c>
      <c r="B799" s="1" t="n">
        <v>45876</v>
      </c>
      <c r="C799" s="1" t="n">
        <v>46138</v>
      </c>
      <c r="D799" t="inlineStr">
        <is>
          <t>UPPSALA LÄN</t>
        </is>
      </c>
      <c r="E799" t="inlineStr">
        <is>
          <t>UPPSALA</t>
        </is>
      </c>
      <c r="G799" t="n">
        <v>2.6</v>
      </c>
      <c r="H799" t="n">
        <v>0</v>
      </c>
      <c r="I799" t="n">
        <v>0</v>
      </c>
      <c r="J799" t="n">
        <v>0</v>
      </c>
      <c r="K799" t="n">
        <v>0</v>
      </c>
      <c r="L799" t="n">
        <v>0</v>
      </c>
      <c r="M799" t="n">
        <v>0</v>
      </c>
      <c r="N799" t="n">
        <v>0</v>
      </c>
      <c r="O799" t="n">
        <v>0</v>
      </c>
      <c r="P799" t="n">
        <v>0</v>
      </c>
      <c r="Q799" t="n">
        <v>0</v>
      </c>
      <c r="R799" s="2" t="inlineStr"/>
    </row>
    <row r="800" ht="15" customHeight="1">
      <c r="A800" t="inlineStr">
        <is>
          <t>A 37468-2025</t>
        </is>
      </c>
      <c r="B800" s="1" t="n">
        <v>45877.57847222222</v>
      </c>
      <c r="C800" s="1" t="n">
        <v>46138</v>
      </c>
      <c r="D800" t="inlineStr">
        <is>
          <t>UPPSALA LÄN</t>
        </is>
      </c>
      <c r="E800" t="inlineStr">
        <is>
          <t>UPPSALA</t>
        </is>
      </c>
      <c r="G800" t="n">
        <v>2.9</v>
      </c>
      <c r="H800" t="n">
        <v>0</v>
      </c>
      <c r="I800" t="n">
        <v>0</v>
      </c>
      <c r="J800" t="n">
        <v>0</v>
      </c>
      <c r="K800" t="n">
        <v>0</v>
      </c>
      <c r="L800" t="n">
        <v>0</v>
      </c>
      <c r="M800" t="n">
        <v>0</v>
      </c>
      <c r="N800" t="n">
        <v>0</v>
      </c>
      <c r="O800" t="n">
        <v>0</v>
      </c>
      <c r="P800" t="n">
        <v>0</v>
      </c>
      <c r="Q800" t="n">
        <v>0</v>
      </c>
      <c r="R800" s="2" t="inlineStr"/>
    </row>
    <row r="801" ht="15" customHeight="1">
      <c r="A801" t="inlineStr">
        <is>
          <t>A 37561-2025</t>
        </is>
      </c>
      <c r="B801" s="1" t="n">
        <v>45880.34064814815</v>
      </c>
      <c r="C801" s="1" t="n">
        <v>46138</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56084-2024</t>
        </is>
      </c>
      <c r="B802" s="1" t="n">
        <v>45624</v>
      </c>
      <c r="C802" s="1" t="n">
        <v>46138</v>
      </c>
      <c r="D802" t="inlineStr">
        <is>
          <t>UPPSALA LÄN</t>
        </is>
      </c>
      <c r="E802" t="inlineStr">
        <is>
          <t>UPPSALA</t>
        </is>
      </c>
      <c r="G802" t="n">
        <v>3.8</v>
      </c>
      <c r="H802" t="n">
        <v>0</v>
      </c>
      <c r="I802" t="n">
        <v>0</v>
      </c>
      <c r="J802" t="n">
        <v>0</v>
      </c>
      <c r="K802" t="n">
        <v>0</v>
      </c>
      <c r="L802" t="n">
        <v>0</v>
      </c>
      <c r="M802" t="n">
        <v>0</v>
      </c>
      <c r="N802" t="n">
        <v>0</v>
      </c>
      <c r="O802" t="n">
        <v>0</v>
      </c>
      <c r="P802" t="n">
        <v>0</v>
      </c>
      <c r="Q802" t="n">
        <v>0</v>
      </c>
      <c r="R802" s="2" t="inlineStr"/>
    </row>
    <row r="803" ht="15" customHeight="1">
      <c r="A803" t="inlineStr">
        <is>
          <t>A 37611-2025</t>
        </is>
      </c>
      <c r="B803" s="1" t="n">
        <v>45880</v>
      </c>
      <c r="C803" s="1" t="n">
        <v>46138</v>
      </c>
      <c r="D803" t="inlineStr">
        <is>
          <t>UPPSALA LÄN</t>
        </is>
      </c>
      <c r="E803" t="inlineStr">
        <is>
          <t>UPPSALA</t>
        </is>
      </c>
      <c r="G803" t="n">
        <v>2.9</v>
      </c>
      <c r="H803" t="n">
        <v>0</v>
      </c>
      <c r="I803" t="n">
        <v>0</v>
      </c>
      <c r="J803" t="n">
        <v>0</v>
      </c>
      <c r="K803" t="n">
        <v>0</v>
      </c>
      <c r="L803" t="n">
        <v>0</v>
      </c>
      <c r="M803" t="n">
        <v>0</v>
      </c>
      <c r="N803" t="n">
        <v>0</v>
      </c>
      <c r="O803" t="n">
        <v>0</v>
      </c>
      <c r="P803" t="n">
        <v>0</v>
      </c>
      <c r="Q803" t="n">
        <v>0</v>
      </c>
      <c r="R803" s="2" t="inlineStr"/>
    </row>
    <row r="804" ht="15" customHeight="1">
      <c r="A804" t="inlineStr">
        <is>
          <t>A 17448-2022</t>
        </is>
      </c>
      <c r="B804" s="1" t="n">
        <v>44679</v>
      </c>
      <c r="C804" s="1" t="n">
        <v>46138</v>
      </c>
      <c r="D804" t="inlineStr">
        <is>
          <t>UPPSALA LÄN</t>
        </is>
      </c>
      <c r="E804" t="inlineStr">
        <is>
          <t>UPPSALA</t>
        </is>
      </c>
      <c r="G804" t="n">
        <v>2.7</v>
      </c>
      <c r="H804" t="n">
        <v>0</v>
      </c>
      <c r="I804" t="n">
        <v>0</v>
      </c>
      <c r="J804" t="n">
        <v>0</v>
      </c>
      <c r="K804" t="n">
        <v>0</v>
      </c>
      <c r="L804" t="n">
        <v>0</v>
      </c>
      <c r="M804" t="n">
        <v>0</v>
      </c>
      <c r="N804" t="n">
        <v>0</v>
      </c>
      <c r="O804" t="n">
        <v>0</v>
      </c>
      <c r="P804" t="n">
        <v>0</v>
      </c>
      <c r="Q804" t="n">
        <v>0</v>
      </c>
      <c r="R804" s="2" t="inlineStr"/>
    </row>
    <row r="805" ht="15" customHeight="1">
      <c r="A805" t="inlineStr">
        <is>
          <t>A 37759-2025</t>
        </is>
      </c>
      <c r="B805" s="1" t="n">
        <v>45880.68200231482</v>
      </c>
      <c r="C805" s="1" t="n">
        <v>46138</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37851-2025</t>
        </is>
      </c>
      <c r="B806" s="1" t="n">
        <v>45881.44938657407</v>
      </c>
      <c r="C806" s="1" t="n">
        <v>46138</v>
      </c>
      <c r="D806" t="inlineStr">
        <is>
          <t>UPPSALA LÄN</t>
        </is>
      </c>
      <c r="E806" t="inlineStr">
        <is>
          <t>UPPSALA</t>
        </is>
      </c>
      <c r="G806" t="n">
        <v>2.3</v>
      </c>
      <c r="H806" t="n">
        <v>0</v>
      </c>
      <c r="I806" t="n">
        <v>0</v>
      </c>
      <c r="J806" t="n">
        <v>0</v>
      </c>
      <c r="K806" t="n">
        <v>0</v>
      </c>
      <c r="L806" t="n">
        <v>0</v>
      </c>
      <c r="M806" t="n">
        <v>0</v>
      </c>
      <c r="N806" t="n">
        <v>0</v>
      </c>
      <c r="O806" t="n">
        <v>0</v>
      </c>
      <c r="P806" t="n">
        <v>0</v>
      </c>
      <c r="Q806" t="n">
        <v>0</v>
      </c>
      <c r="R806" s="2" t="inlineStr"/>
    </row>
    <row r="807" ht="15" customHeight="1">
      <c r="A807" t="inlineStr">
        <is>
          <t>A 37557-2025</t>
        </is>
      </c>
      <c r="B807" s="1" t="n">
        <v>45880.32907407408</v>
      </c>
      <c r="C807" s="1" t="n">
        <v>46138</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5974-2024</t>
        </is>
      </c>
      <c r="B808" s="1" t="n">
        <v>45336.53908564815</v>
      </c>
      <c r="C808" s="1" t="n">
        <v>46138</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37856-2025</t>
        </is>
      </c>
      <c r="B809" s="1" t="n">
        <v>45881.45898148148</v>
      </c>
      <c r="C809" s="1" t="n">
        <v>46138</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3287-2025</t>
        </is>
      </c>
      <c r="B810" s="1" t="n">
        <v>45679</v>
      </c>
      <c r="C810" s="1" t="n">
        <v>46138</v>
      </c>
      <c r="D810" t="inlineStr">
        <is>
          <t>UPPSALA LÄN</t>
        </is>
      </c>
      <c r="E810" t="inlineStr">
        <is>
          <t>UPPSALA</t>
        </is>
      </c>
      <c r="F810" t="inlineStr">
        <is>
          <t>Kyrkan</t>
        </is>
      </c>
      <c r="G810" t="n">
        <v>6.7</v>
      </c>
      <c r="H810" t="n">
        <v>0</v>
      </c>
      <c r="I810" t="n">
        <v>0</v>
      </c>
      <c r="J810" t="n">
        <v>0</v>
      </c>
      <c r="K810" t="n">
        <v>0</v>
      </c>
      <c r="L810" t="n">
        <v>0</v>
      </c>
      <c r="M810" t="n">
        <v>0</v>
      </c>
      <c r="N810" t="n">
        <v>0</v>
      </c>
      <c r="O810" t="n">
        <v>0</v>
      </c>
      <c r="P810" t="n">
        <v>0</v>
      </c>
      <c r="Q810" t="n">
        <v>0</v>
      </c>
      <c r="R810" s="2" t="inlineStr"/>
    </row>
    <row r="811" ht="15" customHeight="1">
      <c r="A811" t="inlineStr">
        <is>
          <t>A 5975-2024</t>
        </is>
      </c>
      <c r="B811" s="1" t="n">
        <v>45336.54270833333</v>
      </c>
      <c r="C811" s="1" t="n">
        <v>46138</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38034-2025</t>
        </is>
      </c>
      <c r="B812" s="1" t="n">
        <v>45882.37202546297</v>
      </c>
      <c r="C812" s="1" t="n">
        <v>46138</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4993-2025</t>
        </is>
      </c>
      <c r="B813" s="1" t="n">
        <v>45691</v>
      </c>
      <c r="C813" s="1" t="n">
        <v>46138</v>
      </c>
      <c r="D813" t="inlineStr">
        <is>
          <t>UPPSALA LÄN</t>
        </is>
      </c>
      <c r="E813" t="inlineStr">
        <is>
          <t>UPPSALA</t>
        </is>
      </c>
      <c r="F813" t="inlineStr">
        <is>
          <t>Kyrkan</t>
        </is>
      </c>
      <c r="G813" t="n">
        <v>6.7</v>
      </c>
      <c r="H813" t="n">
        <v>0</v>
      </c>
      <c r="I813" t="n">
        <v>0</v>
      </c>
      <c r="J813" t="n">
        <v>0</v>
      </c>
      <c r="K813" t="n">
        <v>0</v>
      </c>
      <c r="L813" t="n">
        <v>0</v>
      </c>
      <c r="M813" t="n">
        <v>0</v>
      </c>
      <c r="N813" t="n">
        <v>0</v>
      </c>
      <c r="O813" t="n">
        <v>0</v>
      </c>
      <c r="P813" t="n">
        <v>0</v>
      </c>
      <c r="Q813" t="n">
        <v>0</v>
      </c>
      <c r="R813" s="2" t="inlineStr"/>
    </row>
    <row r="814" ht="15" customHeight="1">
      <c r="A814" t="inlineStr">
        <is>
          <t>A 38113-2025</t>
        </is>
      </c>
      <c r="B814" s="1" t="n">
        <v>45882.52290509259</v>
      </c>
      <c r="C814" s="1" t="n">
        <v>46138</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57770-2025</t>
        </is>
      </c>
      <c r="B815" s="1" t="n">
        <v>45981</v>
      </c>
      <c r="C815" s="1" t="n">
        <v>46138</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63059-2025</t>
        </is>
      </c>
      <c r="B816" s="1" t="n">
        <v>46009.63920138889</v>
      </c>
      <c r="C816" s="1" t="n">
        <v>46138</v>
      </c>
      <c r="D816" t="inlineStr">
        <is>
          <t>UPPSALA LÄN</t>
        </is>
      </c>
      <c r="E816" t="inlineStr">
        <is>
          <t>UPPSALA</t>
        </is>
      </c>
      <c r="G816" t="n">
        <v>15.4</v>
      </c>
      <c r="H816" t="n">
        <v>0</v>
      </c>
      <c r="I816" t="n">
        <v>0</v>
      </c>
      <c r="J816" t="n">
        <v>0</v>
      </c>
      <c r="K816" t="n">
        <v>0</v>
      </c>
      <c r="L816" t="n">
        <v>0</v>
      </c>
      <c r="M816" t="n">
        <v>0</v>
      </c>
      <c r="N816" t="n">
        <v>0</v>
      </c>
      <c r="O816" t="n">
        <v>0</v>
      </c>
      <c r="P816" t="n">
        <v>0</v>
      </c>
      <c r="Q816" t="n">
        <v>0</v>
      </c>
      <c r="R816" s="2" t="inlineStr"/>
    </row>
    <row r="817" ht="15" customHeight="1">
      <c r="A817" t="inlineStr">
        <is>
          <t>A 60954-2024</t>
        </is>
      </c>
      <c r="B817" s="1" t="n">
        <v>45645</v>
      </c>
      <c r="C817" s="1" t="n">
        <v>46138</v>
      </c>
      <c r="D817" t="inlineStr">
        <is>
          <t>UPPSALA LÄN</t>
        </is>
      </c>
      <c r="E817" t="inlineStr">
        <is>
          <t>UPPSALA</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8933-2022</t>
        </is>
      </c>
      <c r="B818" s="1" t="n">
        <v>44614.69730324074</v>
      </c>
      <c r="C818" s="1" t="n">
        <v>46138</v>
      </c>
      <c r="D818" t="inlineStr">
        <is>
          <t>UPPSALA LÄN</t>
        </is>
      </c>
      <c r="E818" t="inlineStr">
        <is>
          <t>UPPSALA</t>
        </is>
      </c>
      <c r="F818" t="inlineStr">
        <is>
          <t>Holmen skog AB</t>
        </is>
      </c>
      <c r="G818" t="n">
        <v>3.6</v>
      </c>
      <c r="H818" t="n">
        <v>0</v>
      </c>
      <c r="I818" t="n">
        <v>0</v>
      </c>
      <c r="J818" t="n">
        <v>0</v>
      </c>
      <c r="K818" t="n">
        <v>0</v>
      </c>
      <c r="L818" t="n">
        <v>0</v>
      </c>
      <c r="M818" t="n">
        <v>0</v>
      </c>
      <c r="N818" t="n">
        <v>0</v>
      </c>
      <c r="O818" t="n">
        <v>0</v>
      </c>
      <c r="P818" t="n">
        <v>0</v>
      </c>
      <c r="Q818" t="n">
        <v>0</v>
      </c>
      <c r="R818" s="2" t="inlineStr"/>
    </row>
    <row r="819" ht="15" customHeight="1">
      <c r="A819" t="inlineStr">
        <is>
          <t>A 60714-2023</t>
        </is>
      </c>
      <c r="B819" s="1" t="n">
        <v>45259</v>
      </c>
      <c r="C819" s="1" t="n">
        <v>46138</v>
      </c>
      <c r="D819" t="inlineStr">
        <is>
          <t>UPPSALA LÄN</t>
        </is>
      </c>
      <c r="E819" t="inlineStr">
        <is>
          <t>UPPSALA</t>
        </is>
      </c>
      <c r="G819" t="n">
        <v>3.3</v>
      </c>
      <c r="H819" t="n">
        <v>0</v>
      </c>
      <c r="I819" t="n">
        <v>0</v>
      </c>
      <c r="J819" t="n">
        <v>0</v>
      </c>
      <c r="K819" t="n">
        <v>0</v>
      </c>
      <c r="L819" t="n">
        <v>0</v>
      </c>
      <c r="M819" t="n">
        <v>0</v>
      </c>
      <c r="N819" t="n">
        <v>0</v>
      </c>
      <c r="O819" t="n">
        <v>0</v>
      </c>
      <c r="P819" t="n">
        <v>0</v>
      </c>
      <c r="Q819" t="n">
        <v>0</v>
      </c>
      <c r="R819" s="2" t="inlineStr"/>
    </row>
    <row r="820" ht="15" customHeight="1">
      <c r="A820" t="inlineStr">
        <is>
          <t>A 63527-2025</t>
        </is>
      </c>
      <c r="B820" s="1" t="n">
        <v>46013.55923611111</v>
      </c>
      <c r="C820" s="1" t="n">
        <v>46138</v>
      </c>
      <c r="D820" t="inlineStr">
        <is>
          <t>UPPSALA LÄN</t>
        </is>
      </c>
      <c r="E820" t="inlineStr">
        <is>
          <t>UPPSALA</t>
        </is>
      </c>
      <c r="G820" t="n">
        <v>6.3</v>
      </c>
      <c r="H820" t="n">
        <v>0</v>
      </c>
      <c r="I820" t="n">
        <v>0</v>
      </c>
      <c r="J820" t="n">
        <v>0</v>
      </c>
      <c r="K820" t="n">
        <v>0</v>
      </c>
      <c r="L820" t="n">
        <v>0</v>
      </c>
      <c r="M820" t="n">
        <v>0</v>
      </c>
      <c r="N820" t="n">
        <v>0</v>
      </c>
      <c r="O820" t="n">
        <v>0</v>
      </c>
      <c r="P820" t="n">
        <v>0</v>
      </c>
      <c r="Q820" t="n">
        <v>0</v>
      </c>
      <c r="R820" s="2" t="inlineStr"/>
    </row>
    <row r="821" ht="15" customHeight="1">
      <c r="A821" t="inlineStr">
        <is>
          <t>A 63534-2025</t>
        </is>
      </c>
      <c r="B821" s="1" t="n">
        <v>46013.57037037037</v>
      </c>
      <c r="C821" s="1" t="n">
        <v>46138</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63530-2025</t>
        </is>
      </c>
      <c r="B822" s="1" t="n">
        <v>46013.56292824074</v>
      </c>
      <c r="C822" s="1" t="n">
        <v>46138</v>
      </c>
      <c r="D822" t="inlineStr">
        <is>
          <t>UPPSALA LÄN</t>
        </is>
      </c>
      <c r="E822" t="inlineStr">
        <is>
          <t>UPPSALA</t>
        </is>
      </c>
      <c r="G822" t="n">
        <v>1.9</v>
      </c>
      <c r="H822" t="n">
        <v>0</v>
      </c>
      <c r="I822" t="n">
        <v>0</v>
      </c>
      <c r="J822" t="n">
        <v>0</v>
      </c>
      <c r="K822" t="n">
        <v>0</v>
      </c>
      <c r="L822" t="n">
        <v>0</v>
      </c>
      <c r="M822" t="n">
        <v>0</v>
      </c>
      <c r="N822" t="n">
        <v>0</v>
      </c>
      <c r="O822" t="n">
        <v>0</v>
      </c>
      <c r="P822" t="n">
        <v>0</v>
      </c>
      <c r="Q822" t="n">
        <v>0</v>
      </c>
      <c r="R822" s="2" t="inlineStr"/>
    </row>
    <row r="823" ht="15" customHeight="1">
      <c r="A823" t="inlineStr">
        <is>
          <t>A 48153-2024</t>
        </is>
      </c>
      <c r="B823" s="1" t="n">
        <v>45589</v>
      </c>
      <c r="C823" s="1" t="n">
        <v>46138</v>
      </c>
      <c r="D823" t="inlineStr">
        <is>
          <t>UPPSALA LÄN</t>
        </is>
      </c>
      <c r="E823" t="inlineStr">
        <is>
          <t>UPPSALA</t>
        </is>
      </c>
      <c r="G823" t="n">
        <v>3.4</v>
      </c>
      <c r="H823" t="n">
        <v>0</v>
      </c>
      <c r="I823" t="n">
        <v>0</v>
      </c>
      <c r="J823" t="n">
        <v>0</v>
      </c>
      <c r="K823" t="n">
        <v>0</v>
      </c>
      <c r="L823" t="n">
        <v>0</v>
      </c>
      <c r="M823" t="n">
        <v>0</v>
      </c>
      <c r="N823" t="n">
        <v>0</v>
      </c>
      <c r="O823" t="n">
        <v>0</v>
      </c>
      <c r="P823" t="n">
        <v>0</v>
      </c>
      <c r="Q823" t="n">
        <v>0</v>
      </c>
      <c r="R823" s="2" t="inlineStr"/>
    </row>
    <row r="824" ht="15" customHeight="1">
      <c r="A824" t="inlineStr">
        <is>
          <t>A 48154-2024</t>
        </is>
      </c>
      <c r="B824" s="1" t="n">
        <v>45589</v>
      </c>
      <c r="C824" s="1" t="n">
        <v>46138</v>
      </c>
      <c r="D824" t="inlineStr">
        <is>
          <t>UPPSALA LÄN</t>
        </is>
      </c>
      <c r="E824" t="inlineStr">
        <is>
          <t>UPPSALA</t>
        </is>
      </c>
      <c r="G824" t="n">
        <v>5.1</v>
      </c>
      <c r="H824" t="n">
        <v>0</v>
      </c>
      <c r="I824" t="n">
        <v>0</v>
      </c>
      <c r="J824" t="n">
        <v>0</v>
      </c>
      <c r="K824" t="n">
        <v>0</v>
      </c>
      <c r="L824" t="n">
        <v>0</v>
      </c>
      <c r="M824" t="n">
        <v>0</v>
      </c>
      <c r="N824" t="n">
        <v>0</v>
      </c>
      <c r="O824" t="n">
        <v>0</v>
      </c>
      <c r="P824" t="n">
        <v>0</v>
      </c>
      <c r="Q824" t="n">
        <v>0</v>
      </c>
      <c r="R824" s="2" t="inlineStr"/>
    </row>
    <row r="825" ht="15" customHeight="1">
      <c r="A825" t="inlineStr">
        <is>
          <t>A 63389-2025</t>
        </is>
      </c>
      <c r="B825" s="1" t="n">
        <v>46011.70635416666</v>
      </c>
      <c r="C825" s="1" t="n">
        <v>46138</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6060-2025</t>
        </is>
      </c>
      <c r="B826" s="1" t="n">
        <v>45695.84078703704</v>
      </c>
      <c r="C826" s="1" t="n">
        <v>46138</v>
      </c>
      <c r="D826" t="inlineStr">
        <is>
          <t>UPPSALA LÄN</t>
        </is>
      </c>
      <c r="E826" t="inlineStr">
        <is>
          <t>UPPSALA</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63532-2025</t>
        </is>
      </c>
      <c r="B827" s="1" t="n">
        <v>46013.56641203703</v>
      </c>
      <c r="C827" s="1" t="n">
        <v>46138</v>
      </c>
      <c r="D827" t="inlineStr">
        <is>
          <t>UPPSALA LÄN</t>
        </is>
      </c>
      <c r="E827" t="inlineStr">
        <is>
          <t>UPPSALA</t>
        </is>
      </c>
      <c r="G827" t="n">
        <v>2.6</v>
      </c>
      <c r="H827" t="n">
        <v>0</v>
      </c>
      <c r="I827" t="n">
        <v>0</v>
      </c>
      <c r="J827" t="n">
        <v>0</v>
      </c>
      <c r="K827" t="n">
        <v>0</v>
      </c>
      <c r="L827" t="n">
        <v>0</v>
      </c>
      <c r="M827" t="n">
        <v>0</v>
      </c>
      <c r="N827" t="n">
        <v>0</v>
      </c>
      <c r="O827" t="n">
        <v>0</v>
      </c>
      <c r="P827" t="n">
        <v>0</v>
      </c>
      <c r="Q827" t="n">
        <v>0</v>
      </c>
      <c r="R827" s="2" t="inlineStr"/>
    </row>
    <row r="828" ht="15" customHeight="1">
      <c r="A828" t="inlineStr">
        <is>
          <t>A 6006-2025</t>
        </is>
      </c>
      <c r="B828" s="1" t="n">
        <v>45695.59197916667</v>
      </c>
      <c r="C828" s="1" t="n">
        <v>46138</v>
      </c>
      <c r="D828" t="inlineStr">
        <is>
          <t>UPPSALA LÄN</t>
        </is>
      </c>
      <c r="E828" t="inlineStr">
        <is>
          <t>UPPSALA</t>
        </is>
      </c>
      <c r="F828" t="inlineStr">
        <is>
          <t>Övriga Aktiebolag</t>
        </is>
      </c>
      <c r="G828" t="n">
        <v>13.8</v>
      </c>
      <c r="H828" t="n">
        <v>0</v>
      </c>
      <c r="I828" t="n">
        <v>0</v>
      </c>
      <c r="J828" t="n">
        <v>0</v>
      </c>
      <c r="K828" t="n">
        <v>0</v>
      </c>
      <c r="L828" t="n">
        <v>0</v>
      </c>
      <c r="M828" t="n">
        <v>0</v>
      </c>
      <c r="N828" t="n">
        <v>0</v>
      </c>
      <c r="O828" t="n">
        <v>0</v>
      </c>
      <c r="P828" t="n">
        <v>0</v>
      </c>
      <c r="Q828" t="n">
        <v>0</v>
      </c>
      <c r="R828" s="2" t="inlineStr"/>
    </row>
    <row r="829" ht="15" customHeight="1">
      <c r="A829" t="inlineStr">
        <is>
          <t>A 28825-2024</t>
        </is>
      </c>
      <c r="B829" s="1" t="n">
        <v>45478</v>
      </c>
      <c r="C829" s="1" t="n">
        <v>46138</v>
      </c>
      <c r="D829" t="inlineStr">
        <is>
          <t>UPPSALA LÄN</t>
        </is>
      </c>
      <c r="E829" t="inlineStr">
        <is>
          <t>UPPSALA</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45592-2023</t>
        </is>
      </c>
      <c r="B830" s="1" t="n">
        <v>45194.63479166666</v>
      </c>
      <c r="C830" s="1" t="n">
        <v>46138</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45575-2023</t>
        </is>
      </c>
      <c r="B831" s="1" t="n">
        <v>45194.60876157408</v>
      </c>
      <c r="C831" s="1" t="n">
        <v>46138</v>
      </c>
      <c r="D831" t="inlineStr">
        <is>
          <t>UPPSALA LÄN</t>
        </is>
      </c>
      <c r="E831" t="inlineStr">
        <is>
          <t>UPPSALA</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50037-2024</t>
        </is>
      </c>
      <c r="B832" s="1" t="n">
        <v>45599</v>
      </c>
      <c r="C832" s="1" t="n">
        <v>46138</v>
      </c>
      <c r="D832" t="inlineStr">
        <is>
          <t>UPPSALA LÄN</t>
        </is>
      </c>
      <c r="E832" t="inlineStr">
        <is>
          <t>UPPSALA</t>
        </is>
      </c>
      <c r="G832" t="n">
        <v>13.7</v>
      </c>
      <c r="H832" t="n">
        <v>0</v>
      </c>
      <c r="I832" t="n">
        <v>0</v>
      </c>
      <c r="J832" t="n">
        <v>0</v>
      </c>
      <c r="K832" t="n">
        <v>0</v>
      </c>
      <c r="L832" t="n">
        <v>0</v>
      </c>
      <c r="M832" t="n">
        <v>0</v>
      </c>
      <c r="N832" t="n">
        <v>0</v>
      </c>
      <c r="O832" t="n">
        <v>0</v>
      </c>
      <c r="P832" t="n">
        <v>0</v>
      </c>
      <c r="Q832" t="n">
        <v>0</v>
      </c>
      <c r="R832" s="2" t="inlineStr"/>
    </row>
    <row r="833" ht="15" customHeight="1">
      <c r="A833" t="inlineStr">
        <is>
          <t>A 63669-2025</t>
        </is>
      </c>
      <c r="B833" s="1" t="n">
        <v>46014.45854166667</v>
      </c>
      <c r="C833" s="1" t="n">
        <v>46138</v>
      </c>
      <c r="D833" t="inlineStr">
        <is>
          <t>UPPSALA LÄN</t>
        </is>
      </c>
      <c r="E833" t="inlineStr">
        <is>
          <t>UPPSALA</t>
        </is>
      </c>
      <c r="G833" t="n">
        <v>5.4</v>
      </c>
      <c r="H833" t="n">
        <v>0</v>
      </c>
      <c r="I833" t="n">
        <v>0</v>
      </c>
      <c r="J833" t="n">
        <v>0</v>
      </c>
      <c r="K833" t="n">
        <v>0</v>
      </c>
      <c r="L833" t="n">
        <v>0</v>
      </c>
      <c r="M833" t="n">
        <v>0</v>
      </c>
      <c r="N833" t="n">
        <v>0</v>
      </c>
      <c r="O833" t="n">
        <v>0</v>
      </c>
      <c r="P833" t="n">
        <v>0</v>
      </c>
      <c r="Q833" t="n">
        <v>0</v>
      </c>
      <c r="R833" s="2" t="inlineStr"/>
    </row>
    <row r="834" ht="15" customHeight="1">
      <c r="A834" t="inlineStr">
        <is>
          <t>A 63621-2025</t>
        </is>
      </c>
      <c r="B834" s="1" t="n">
        <v>46014.35287037037</v>
      </c>
      <c r="C834" s="1" t="n">
        <v>46138</v>
      </c>
      <c r="D834" t="inlineStr">
        <is>
          <t>UPPSALA LÄN</t>
        </is>
      </c>
      <c r="E834" t="inlineStr">
        <is>
          <t>UPPSALA</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50535-2024</t>
        </is>
      </c>
      <c r="B835" s="1" t="n">
        <v>45600</v>
      </c>
      <c r="C835" s="1" t="n">
        <v>46138</v>
      </c>
      <c r="D835" t="inlineStr">
        <is>
          <t>UPPSALA LÄN</t>
        </is>
      </c>
      <c r="E835" t="inlineStr">
        <is>
          <t>UPPSALA</t>
        </is>
      </c>
      <c r="F835" t="inlineStr">
        <is>
          <t>Övriga statliga verk och myndigheter</t>
        </is>
      </c>
      <c r="G835" t="n">
        <v>3.2</v>
      </c>
      <c r="H835" t="n">
        <v>0</v>
      </c>
      <c r="I835" t="n">
        <v>0</v>
      </c>
      <c r="J835" t="n">
        <v>0</v>
      </c>
      <c r="K835" t="n">
        <v>0</v>
      </c>
      <c r="L835" t="n">
        <v>0</v>
      </c>
      <c r="M835" t="n">
        <v>0</v>
      </c>
      <c r="N835" t="n">
        <v>0</v>
      </c>
      <c r="O835" t="n">
        <v>0</v>
      </c>
      <c r="P835" t="n">
        <v>0</v>
      </c>
      <c r="Q835" t="n">
        <v>0</v>
      </c>
      <c r="R835" s="2" t="inlineStr"/>
    </row>
    <row r="836" ht="15" customHeight="1">
      <c r="A836" t="inlineStr">
        <is>
          <t>A 16126-2022</t>
        </is>
      </c>
      <c r="B836" s="1" t="n">
        <v>44665</v>
      </c>
      <c r="C836" s="1" t="n">
        <v>46138</v>
      </c>
      <c r="D836" t="inlineStr">
        <is>
          <t>UPPSALA LÄN</t>
        </is>
      </c>
      <c r="E836" t="inlineStr">
        <is>
          <t>UPPSALA</t>
        </is>
      </c>
      <c r="F836" t="inlineStr">
        <is>
          <t>Bergvik skog öst AB</t>
        </is>
      </c>
      <c r="G836" t="n">
        <v>4.4</v>
      </c>
      <c r="H836" t="n">
        <v>0</v>
      </c>
      <c r="I836" t="n">
        <v>0</v>
      </c>
      <c r="J836" t="n">
        <v>0</v>
      </c>
      <c r="K836" t="n">
        <v>0</v>
      </c>
      <c r="L836" t="n">
        <v>0</v>
      </c>
      <c r="M836" t="n">
        <v>0</v>
      </c>
      <c r="N836" t="n">
        <v>0</v>
      </c>
      <c r="O836" t="n">
        <v>0</v>
      </c>
      <c r="P836" t="n">
        <v>0</v>
      </c>
      <c r="Q836" t="n">
        <v>0</v>
      </c>
      <c r="R836" s="2" t="inlineStr"/>
    </row>
    <row r="837" ht="15" customHeight="1">
      <c r="A837" t="inlineStr">
        <is>
          <t>A 7388-2024</t>
        </is>
      </c>
      <c r="B837" s="1" t="n">
        <v>45345.56</v>
      </c>
      <c r="C837" s="1" t="n">
        <v>46138</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55275-2025</t>
        </is>
      </c>
      <c r="B838" s="1" t="n">
        <v>45968.76021990741</v>
      </c>
      <c r="C838" s="1" t="n">
        <v>46138</v>
      </c>
      <c r="D838" t="inlineStr">
        <is>
          <t>UPPSALA LÄN</t>
        </is>
      </c>
      <c r="E838" t="inlineStr">
        <is>
          <t>UPPSALA</t>
        </is>
      </c>
      <c r="F838" t="inlineStr">
        <is>
          <t>Allmännings- och besparingsskogar</t>
        </is>
      </c>
      <c r="G838" t="n">
        <v>13.2</v>
      </c>
      <c r="H838" t="n">
        <v>0</v>
      </c>
      <c r="I838" t="n">
        <v>0</v>
      </c>
      <c r="J838" t="n">
        <v>0</v>
      </c>
      <c r="K838" t="n">
        <v>0</v>
      </c>
      <c r="L838" t="n">
        <v>0</v>
      </c>
      <c r="M838" t="n">
        <v>0</v>
      </c>
      <c r="N838" t="n">
        <v>0</v>
      </c>
      <c r="O838" t="n">
        <v>0</v>
      </c>
      <c r="P838" t="n">
        <v>0</v>
      </c>
      <c r="Q838" t="n">
        <v>0</v>
      </c>
      <c r="R838" s="2" t="inlineStr"/>
    </row>
    <row r="839" ht="15" customHeight="1">
      <c r="A839" t="inlineStr">
        <is>
          <t>A 14400-2025</t>
        </is>
      </c>
      <c r="B839" s="1" t="n">
        <v>45741.45114583334</v>
      </c>
      <c r="C839" s="1" t="n">
        <v>46138</v>
      </c>
      <c r="D839" t="inlineStr">
        <is>
          <t>UPPSALA LÄN</t>
        </is>
      </c>
      <c r="E839" t="inlineStr">
        <is>
          <t>UPPSALA</t>
        </is>
      </c>
      <c r="G839" t="n">
        <v>6.6</v>
      </c>
      <c r="H839" t="n">
        <v>0</v>
      </c>
      <c r="I839" t="n">
        <v>0</v>
      </c>
      <c r="J839" t="n">
        <v>0</v>
      </c>
      <c r="K839" t="n">
        <v>0</v>
      </c>
      <c r="L839" t="n">
        <v>0</v>
      </c>
      <c r="M839" t="n">
        <v>0</v>
      </c>
      <c r="N839" t="n">
        <v>0</v>
      </c>
      <c r="O839" t="n">
        <v>0</v>
      </c>
      <c r="P839" t="n">
        <v>0</v>
      </c>
      <c r="Q839" t="n">
        <v>0</v>
      </c>
      <c r="R839" s="2" t="inlineStr"/>
    </row>
    <row r="840" ht="15" customHeight="1">
      <c r="A840" t="inlineStr">
        <is>
          <t>A 36781-2023</t>
        </is>
      </c>
      <c r="B840" s="1" t="n">
        <v>45154.34931712963</v>
      </c>
      <c r="C840" s="1" t="n">
        <v>46138</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21859-2024</t>
        </is>
      </c>
      <c r="B841" s="1" t="n">
        <v>45443</v>
      </c>
      <c r="C841" s="1" t="n">
        <v>46138</v>
      </c>
      <c r="D841" t="inlineStr">
        <is>
          <t>UPPSALA LÄN</t>
        </is>
      </c>
      <c r="E841" t="inlineStr">
        <is>
          <t>UPPSALA</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6009-2022</t>
        </is>
      </c>
      <c r="B842" s="1" t="n">
        <v>44599.44832175926</v>
      </c>
      <c r="C842" s="1" t="n">
        <v>46138</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2357-2024</t>
        </is>
      </c>
      <c r="B843" s="1" t="n">
        <v>45310</v>
      </c>
      <c r="C843" s="1" t="n">
        <v>46138</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4503-2024</t>
        </is>
      </c>
      <c r="B844" s="1" t="n">
        <v>45327.61831018519</v>
      </c>
      <c r="C844" s="1" t="n">
        <v>46138</v>
      </c>
      <c r="D844" t="inlineStr">
        <is>
          <t>UPPSALA LÄN</t>
        </is>
      </c>
      <c r="E844" t="inlineStr">
        <is>
          <t>UPPSALA</t>
        </is>
      </c>
      <c r="G844" t="n">
        <v>1.9</v>
      </c>
      <c r="H844" t="n">
        <v>0</v>
      </c>
      <c r="I844" t="n">
        <v>0</v>
      </c>
      <c r="J844" t="n">
        <v>0</v>
      </c>
      <c r="K844" t="n">
        <v>0</v>
      </c>
      <c r="L844" t="n">
        <v>0</v>
      </c>
      <c r="M844" t="n">
        <v>0</v>
      </c>
      <c r="N844" t="n">
        <v>0</v>
      </c>
      <c r="O844" t="n">
        <v>0</v>
      </c>
      <c r="P844" t="n">
        <v>0</v>
      </c>
      <c r="Q844" t="n">
        <v>0</v>
      </c>
      <c r="R844" s="2" t="inlineStr"/>
    </row>
    <row r="845" ht="15" customHeight="1">
      <c r="A845" t="inlineStr">
        <is>
          <t>A 44315-2021</t>
        </is>
      </c>
      <c r="B845" s="1" t="n">
        <v>44435.38657407407</v>
      </c>
      <c r="C845" s="1" t="n">
        <v>46138</v>
      </c>
      <c r="D845" t="inlineStr">
        <is>
          <t>UPPSALA LÄN</t>
        </is>
      </c>
      <c r="E845" t="inlineStr">
        <is>
          <t>UPPSALA</t>
        </is>
      </c>
      <c r="G845" t="n">
        <v>5.2</v>
      </c>
      <c r="H845" t="n">
        <v>0</v>
      </c>
      <c r="I845" t="n">
        <v>0</v>
      </c>
      <c r="J845" t="n">
        <v>0</v>
      </c>
      <c r="K845" t="n">
        <v>0</v>
      </c>
      <c r="L845" t="n">
        <v>0</v>
      </c>
      <c r="M845" t="n">
        <v>0</v>
      </c>
      <c r="N845" t="n">
        <v>0</v>
      </c>
      <c r="O845" t="n">
        <v>0</v>
      </c>
      <c r="P845" t="n">
        <v>0</v>
      </c>
      <c r="Q845" t="n">
        <v>0</v>
      </c>
      <c r="R845" s="2" t="inlineStr"/>
    </row>
    <row r="846" ht="15" customHeight="1">
      <c r="A846" t="inlineStr">
        <is>
          <t>A 482-2026</t>
        </is>
      </c>
      <c r="B846" s="1" t="n">
        <v>46029.40886574074</v>
      </c>
      <c r="C846" s="1" t="n">
        <v>46138</v>
      </c>
      <c r="D846" t="inlineStr">
        <is>
          <t>UPPSALA LÄN</t>
        </is>
      </c>
      <c r="E846" t="inlineStr">
        <is>
          <t>UPPSALA</t>
        </is>
      </c>
      <c r="G846" t="n">
        <v>3.4</v>
      </c>
      <c r="H846" t="n">
        <v>0</v>
      </c>
      <c r="I846" t="n">
        <v>0</v>
      </c>
      <c r="J846" t="n">
        <v>0</v>
      </c>
      <c r="K846" t="n">
        <v>0</v>
      </c>
      <c r="L846" t="n">
        <v>0</v>
      </c>
      <c r="M846" t="n">
        <v>0</v>
      </c>
      <c r="N846" t="n">
        <v>0</v>
      </c>
      <c r="O846" t="n">
        <v>0</v>
      </c>
      <c r="P846" t="n">
        <v>0</v>
      </c>
      <c r="Q846" t="n">
        <v>0</v>
      </c>
      <c r="R846" s="2" t="inlineStr"/>
    </row>
    <row r="847" ht="15" customHeight="1">
      <c r="A847" t="inlineStr">
        <is>
          <t>A 4461-2024</t>
        </is>
      </c>
      <c r="B847" s="1" t="n">
        <v>45327</v>
      </c>
      <c r="C847" s="1" t="n">
        <v>46138</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968-2026</t>
        </is>
      </c>
      <c r="B848" s="1" t="n">
        <v>46030.56152777778</v>
      </c>
      <c r="C848" s="1" t="n">
        <v>46138</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1390-2026</t>
        </is>
      </c>
      <c r="B849" s="1" t="n">
        <v>46031.63210648148</v>
      </c>
      <c r="C849" s="1" t="n">
        <v>46138</v>
      </c>
      <c r="D849" t="inlineStr">
        <is>
          <t>UPPSALA LÄN</t>
        </is>
      </c>
      <c r="E849" t="inlineStr">
        <is>
          <t>UPPSALA</t>
        </is>
      </c>
      <c r="G849" t="n">
        <v>7.9</v>
      </c>
      <c r="H849" t="n">
        <v>0</v>
      </c>
      <c r="I849" t="n">
        <v>0</v>
      </c>
      <c r="J849" t="n">
        <v>0</v>
      </c>
      <c r="K849" t="n">
        <v>0</v>
      </c>
      <c r="L849" t="n">
        <v>0</v>
      </c>
      <c r="M849" t="n">
        <v>0</v>
      </c>
      <c r="N849" t="n">
        <v>0</v>
      </c>
      <c r="O849" t="n">
        <v>0</v>
      </c>
      <c r="P849" t="n">
        <v>0</v>
      </c>
      <c r="Q849" t="n">
        <v>0</v>
      </c>
      <c r="R849" s="2" t="inlineStr"/>
    </row>
    <row r="850" ht="15" customHeight="1">
      <c r="A850" t="inlineStr">
        <is>
          <t>A 918-2026</t>
        </is>
      </c>
      <c r="B850" s="1" t="n">
        <v>46030</v>
      </c>
      <c r="C850" s="1" t="n">
        <v>46138</v>
      </c>
      <c r="D850" t="inlineStr">
        <is>
          <t>UPPSALA LÄN</t>
        </is>
      </c>
      <c r="E850" t="inlineStr">
        <is>
          <t>UPPSALA</t>
        </is>
      </c>
      <c r="F850" t="inlineStr">
        <is>
          <t>Övriga statliga verk och myndigheter</t>
        </is>
      </c>
      <c r="G850" t="n">
        <v>15.1</v>
      </c>
      <c r="H850" t="n">
        <v>0</v>
      </c>
      <c r="I850" t="n">
        <v>0</v>
      </c>
      <c r="J850" t="n">
        <v>0</v>
      </c>
      <c r="K850" t="n">
        <v>0</v>
      </c>
      <c r="L850" t="n">
        <v>0</v>
      </c>
      <c r="M850" t="n">
        <v>0</v>
      </c>
      <c r="N850" t="n">
        <v>0</v>
      </c>
      <c r="O850" t="n">
        <v>0</v>
      </c>
      <c r="P850" t="n">
        <v>0</v>
      </c>
      <c r="Q850" t="n">
        <v>0</v>
      </c>
      <c r="R850" s="2" t="inlineStr"/>
    </row>
    <row r="851" ht="15" customHeight="1">
      <c r="A851" t="inlineStr">
        <is>
          <t>A 12209-2025</t>
        </is>
      </c>
      <c r="B851" s="1" t="n">
        <v>45729</v>
      </c>
      <c r="C851" s="1" t="n">
        <v>46138</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3813-2024</t>
        </is>
      </c>
      <c r="B852" s="1" t="n">
        <v>45321</v>
      </c>
      <c r="C852" s="1" t="n">
        <v>46138</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37820-2021</t>
        </is>
      </c>
      <c r="B853" s="1" t="n">
        <v>44403.3119212963</v>
      </c>
      <c r="C853" s="1" t="n">
        <v>46138</v>
      </c>
      <c r="D853" t="inlineStr">
        <is>
          <t>UPPSALA LÄN</t>
        </is>
      </c>
      <c r="E853" t="inlineStr">
        <is>
          <t>UPPSALA</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40507-2021</t>
        </is>
      </c>
      <c r="B854" s="1" t="n">
        <v>44420</v>
      </c>
      <c r="C854" s="1" t="n">
        <v>46138</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40111-2024</t>
        </is>
      </c>
      <c r="B855" s="1" t="n">
        <v>45554</v>
      </c>
      <c r="C855" s="1" t="n">
        <v>46138</v>
      </c>
      <c r="D855" t="inlineStr">
        <is>
          <t>UPPSALA LÄN</t>
        </is>
      </c>
      <c r="E855" t="inlineStr">
        <is>
          <t>UPPSALA</t>
        </is>
      </c>
      <c r="G855" t="n">
        <v>3.7</v>
      </c>
      <c r="H855" t="n">
        <v>0</v>
      </c>
      <c r="I855" t="n">
        <v>0</v>
      </c>
      <c r="J855" t="n">
        <v>0</v>
      </c>
      <c r="K855" t="n">
        <v>0</v>
      </c>
      <c r="L855" t="n">
        <v>0</v>
      </c>
      <c r="M855" t="n">
        <v>0</v>
      </c>
      <c r="N855" t="n">
        <v>0</v>
      </c>
      <c r="O855" t="n">
        <v>0</v>
      </c>
      <c r="P855" t="n">
        <v>0</v>
      </c>
      <c r="Q855" t="n">
        <v>0</v>
      </c>
      <c r="R855" s="2" t="inlineStr"/>
    </row>
    <row r="856" ht="15" customHeight="1">
      <c r="A856" t="inlineStr">
        <is>
          <t>A 2790-2025</t>
        </is>
      </c>
      <c r="B856" s="1" t="n">
        <v>45677</v>
      </c>
      <c r="C856" s="1" t="n">
        <v>46138</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12414-2025</t>
        </is>
      </c>
      <c r="B857" s="1" t="n">
        <v>45730.43966435185</v>
      </c>
      <c r="C857" s="1" t="n">
        <v>46138</v>
      </c>
      <c r="D857" t="inlineStr">
        <is>
          <t>UPPSALA LÄN</t>
        </is>
      </c>
      <c r="E857" t="inlineStr">
        <is>
          <t>UPPSALA</t>
        </is>
      </c>
      <c r="F857" t="inlineStr">
        <is>
          <t>Övriga statliga verk och myndigheter</t>
        </is>
      </c>
      <c r="G857" t="n">
        <v>6.8</v>
      </c>
      <c r="H857" t="n">
        <v>0</v>
      </c>
      <c r="I857" t="n">
        <v>0</v>
      </c>
      <c r="J857" t="n">
        <v>0</v>
      </c>
      <c r="K857" t="n">
        <v>0</v>
      </c>
      <c r="L857" t="n">
        <v>0</v>
      </c>
      <c r="M857" t="n">
        <v>0</v>
      </c>
      <c r="N857" t="n">
        <v>0</v>
      </c>
      <c r="O857" t="n">
        <v>0</v>
      </c>
      <c r="P857" t="n">
        <v>0</v>
      </c>
      <c r="Q857" t="n">
        <v>0</v>
      </c>
      <c r="R857" s="2" t="inlineStr"/>
    </row>
    <row r="858" ht="15" customHeight="1">
      <c r="A858" t="inlineStr">
        <is>
          <t>A 4929-2022</t>
        </is>
      </c>
      <c r="B858" s="1" t="n">
        <v>44593</v>
      </c>
      <c r="C858" s="1" t="n">
        <v>46138</v>
      </c>
      <c r="D858" t="inlineStr">
        <is>
          <t>UPPSALA LÄN</t>
        </is>
      </c>
      <c r="E858" t="inlineStr">
        <is>
          <t>UPPSALA</t>
        </is>
      </c>
      <c r="G858" t="n">
        <v>2.4</v>
      </c>
      <c r="H858" t="n">
        <v>0</v>
      </c>
      <c r="I858" t="n">
        <v>0</v>
      </c>
      <c r="J858" t="n">
        <v>0</v>
      </c>
      <c r="K858" t="n">
        <v>0</v>
      </c>
      <c r="L858" t="n">
        <v>0</v>
      </c>
      <c r="M858" t="n">
        <v>0</v>
      </c>
      <c r="N858" t="n">
        <v>0</v>
      </c>
      <c r="O858" t="n">
        <v>0</v>
      </c>
      <c r="P858" t="n">
        <v>0</v>
      </c>
      <c r="Q858" t="n">
        <v>0</v>
      </c>
      <c r="R858" s="2" t="inlineStr"/>
    </row>
    <row r="859" ht="15" customHeight="1">
      <c r="A859" t="inlineStr">
        <is>
          <t>A 33622-2024</t>
        </is>
      </c>
      <c r="B859" s="1" t="n">
        <v>45520</v>
      </c>
      <c r="C859" s="1" t="n">
        <v>46138</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41545-2023</t>
        </is>
      </c>
      <c r="B860" s="1" t="n">
        <v>45175.57060185185</v>
      </c>
      <c r="C860" s="1" t="n">
        <v>46138</v>
      </c>
      <c r="D860" t="inlineStr">
        <is>
          <t>UPPSALA LÄN</t>
        </is>
      </c>
      <c r="E860" t="inlineStr">
        <is>
          <t>UPPSALA</t>
        </is>
      </c>
      <c r="G860" t="n">
        <v>6.6</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44909.51885416666</v>
      </c>
      <c r="C861" s="1" t="n">
        <v>46138</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12284-2025</t>
        </is>
      </c>
      <c r="B862" s="1" t="n">
        <v>45729</v>
      </c>
      <c r="C862" s="1" t="n">
        <v>46138</v>
      </c>
      <c r="D862" t="inlineStr">
        <is>
          <t>UPPSALA LÄN</t>
        </is>
      </c>
      <c r="E862" t="inlineStr">
        <is>
          <t>UPPSALA</t>
        </is>
      </c>
      <c r="G862" t="n">
        <v>6.7</v>
      </c>
      <c r="H862" t="n">
        <v>0</v>
      </c>
      <c r="I862" t="n">
        <v>0</v>
      </c>
      <c r="J862" t="n">
        <v>0</v>
      </c>
      <c r="K862" t="n">
        <v>0</v>
      </c>
      <c r="L862" t="n">
        <v>0</v>
      </c>
      <c r="M862" t="n">
        <v>0</v>
      </c>
      <c r="N862" t="n">
        <v>0</v>
      </c>
      <c r="O862" t="n">
        <v>0</v>
      </c>
      <c r="P862" t="n">
        <v>0</v>
      </c>
      <c r="Q862" t="n">
        <v>0</v>
      </c>
      <c r="R862" s="2" t="inlineStr"/>
    </row>
    <row r="863" ht="15" customHeight="1">
      <c r="A863" t="inlineStr">
        <is>
          <t>A 12287-2025</t>
        </is>
      </c>
      <c r="B863" s="1" t="n">
        <v>45729</v>
      </c>
      <c r="C863" s="1" t="n">
        <v>46138</v>
      </c>
      <c r="D863" t="inlineStr">
        <is>
          <t>UPPSALA LÄN</t>
        </is>
      </c>
      <c r="E863" t="inlineStr">
        <is>
          <t>UPPSALA</t>
        </is>
      </c>
      <c r="G863" t="n">
        <v>4.6</v>
      </c>
      <c r="H863" t="n">
        <v>0</v>
      </c>
      <c r="I863" t="n">
        <v>0</v>
      </c>
      <c r="J863" t="n">
        <v>0</v>
      </c>
      <c r="K863" t="n">
        <v>0</v>
      </c>
      <c r="L863" t="n">
        <v>0</v>
      </c>
      <c r="M863" t="n">
        <v>0</v>
      </c>
      <c r="N863" t="n">
        <v>0</v>
      </c>
      <c r="O863" t="n">
        <v>0</v>
      </c>
      <c r="P863" t="n">
        <v>0</v>
      </c>
      <c r="Q863" t="n">
        <v>0</v>
      </c>
      <c r="R863" s="2" t="inlineStr"/>
    </row>
    <row r="864" ht="15" customHeight="1">
      <c r="A864" t="inlineStr">
        <is>
          <t>A 42543-2023</t>
        </is>
      </c>
      <c r="B864" s="1" t="n">
        <v>45181.36815972222</v>
      </c>
      <c r="C864" s="1" t="n">
        <v>46138</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8931-2025</t>
        </is>
      </c>
      <c r="B865" s="1" t="n">
        <v>45713.44519675926</v>
      </c>
      <c r="C865" s="1" t="n">
        <v>46138</v>
      </c>
      <c r="D865" t="inlineStr">
        <is>
          <t>UPPSALA LÄN</t>
        </is>
      </c>
      <c r="E865" t="inlineStr">
        <is>
          <t>UPPSALA</t>
        </is>
      </c>
      <c r="G865" t="n">
        <v>1.2</v>
      </c>
      <c r="H865" t="n">
        <v>0</v>
      </c>
      <c r="I865" t="n">
        <v>0</v>
      </c>
      <c r="J865" t="n">
        <v>0</v>
      </c>
      <c r="K865" t="n">
        <v>0</v>
      </c>
      <c r="L865" t="n">
        <v>0</v>
      </c>
      <c r="M865" t="n">
        <v>0</v>
      </c>
      <c r="N865" t="n">
        <v>0</v>
      </c>
      <c r="O865" t="n">
        <v>0</v>
      </c>
      <c r="P865" t="n">
        <v>0</v>
      </c>
      <c r="Q865" t="n">
        <v>0</v>
      </c>
      <c r="R865" s="2" t="inlineStr"/>
    </row>
    <row r="866" ht="15" customHeight="1">
      <c r="A866" t="inlineStr">
        <is>
          <t>A 74023-2021</t>
        </is>
      </c>
      <c r="B866" s="1" t="n">
        <v>44553</v>
      </c>
      <c r="C866" s="1" t="n">
        <v>46138</v>
      </c>
      <c r="D866" t="inlineStr">
        <is>
          <t>UPPSALA LÄN</t>
        </is>
      </c>
      <c r="E866" t="inlineStr">
        <is>
          <t>UPPSALA</t>
        </is>
      </c>
      <c r="G866" t="n">
        <v>5.4</v>
      </c>
      <c r="H866" t="n">
        <v>0</v>
      </c>
      <c r="I866" t="n">
        <v>0</v>
      </c>
      <c r="J866" t="n">
        <v>0</v>
      </c>
      <c r="K866" t="n">
        <v>0</v>
      </c>
      <c r="L866" t="n">
        <v>0</v>
      </c>
      <c r="M866" t="n">
        <v>0</v>
      </c>
      <c r="N866" t="n">
        <v>0</v>
      </c>
      <c r="O866" t="n">
        <v>0</v>
      </c>
      <c r="P866" t="n">
        <v>0</v>
      </c>
      <c r="Q866" t="n">
        <v>0</v>
      </c>
      <c r="R866" s="2" t="inlineStr"/>
    </row>
    <row r="867" ht="15" customHeight="1">
      <c r="A867" t="inlineStr">
        <is>
          <t>A 4866-2026</t>
        </is>
      </c>
      <c r="B867" s="1" t="n">
        <v>46045</v>
      </c>
      <c r="C867" s="1" t="n">
        <v>46138</v>
      </c>
      <c r="D867" t="inlineStr">
        <is>
          <t>UPPSALA LÄN</t>
        </is>
      </c>
      <c r="E867" t="inlineStr">
        <is>
          <t>UPPSALA</t>
        </is>
      </c>
      <c r="G867" t="n">
        <v>1.5</v>
      </c>
      <c r="H867" t="n">
        <v>0</v>
      </c>
      <c r="I867" t="n">
        <v>0</v>
      </c>
      <c r="J867" t="n">
        <v>0</v>
      </c>
      <c r="K867" t="n">
        <v>0</v>
      </c>
      <c r="L867" t="n">
        <v>0</v>
      </c>
      <c r="M867" t="n">
        <v>0</v>
      </c>
      <c r="N867" t="n">
        <v>0</v>
      </c>
      <c r="O867" t="n">
        <v>0</v>
      </c>
      <c r="P867" t="n">
        <v>0</v>
      </c>
      <c r="Q867" t="n">
        <v>0</v>
      </c>
      <c r="R867" s="2" t="inlineStr"/>
    </row>
    <row r="868" ht="15" customHeight="1">
      <c r="A868" t="inlineStr">
        <is>
          <t>A 44830-2023</t>
        </is>
      </c>
      <c r="B868" s="1" t="n">
        <v>45190</v>
      </c>
      <c r="C868" s="1" t="n">
        <v>46138</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73044-2021</t>
        </is>
      </c>
      <c r="B869" s="1" t="n">
        <v>44550.37994212963</v>
      </c>
      <c r="C869" s="1" t="n">
        <v>46138</v>
      </c>
      <c r="D869" t="inlineStr">
        <is>
          <t>UPPSALA LÄN</t>
        </is>
      </c>
      <c r="E869" t="inlineStr">
        <is>
          <t>UPPSALA</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19139-2023</t>
        </is>
      </c>
      <c r="B870" s="1" t="n">
        <v>45048.55349537037</v>
      </c>
      <c r="C870" s="1" t="n">
        <v>46138</v>
      </c>
      <c r="D870" t="inlineStr">
        <is>
          <t>UPPSALA LÄN</t>
        </is>
      </c>
      <c r="E870" t="inlineStr">
        <is>
          <t>UPPSALA</t>
        </is>
      </c>
      <c r="G870" t="n">
        <v>3</v>
      </c>
      <c r="H870" t="n">
        <v>0</v>
      </c>
      <c r="I870" t="n">
        <v>0</v>
      </c>
      <c r="J870" t="n">
        <v>0</v>
      </c>
      <c r="K870" t="n">
        <v>0</v>
      </c>
      <c r="L870" t="n">
        <v>0</v>
      </c>
      <c r="M870" t="n">
        <v>0</v>
      </c>
      <c r="N870" t="n">
        <v>0</v>
      </c>
      <c r="O870" t="n">
        <v>0</v>
      </c>
      <c r="P870" t="n">
        <v>0</v>
      </c>
      <c r="Q870" t="n">
        <v>0</v>
      </c>
      <c r="R870" s="2" t="inlineStr"/>
    </row>
    <row r="871" ht="15" customHeight="1">
      <c r="A871" t="inlineStr">
        <is>
          <t>A 29799-2023</t>
        </is>
      </c>
      <c r="B871" s="1" t="n">
        <v>45107.53688657407</v>
      </c>
      <c r="C871" s="1" t="n">
        <v>46138</v>
      </c>
      <c r="D871" t="inlineStr">
        <is>
          <t>UPPSALA LÄN</t>
        </is>
      </c>
      <c r="E871" t="inlineStr">
        <is>
          <t>UPPSALA</t>
        </is>
      </c>
      <c r="G871" t="n">
        <v>1.7</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46138</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21052-2023</t>
        </is>
      </c>
      <c r="B873" s="1" t="n">
        <v>45061</v>
      </c>
      <c r="C873" s="1" t="n">
        <v>46138</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62054-2024</t>
        </is>
      </c>
      <c r="B874" s="1" t="n">
        <v>45656</v>
      </c>
      <c r="C874" s="1" t="n">
        <v>46138</v>
      </c>
      <c r="D874" t="inlineStr">
        <is>
          <t>UPPSALA LÄN</t>
        </is>
      </c>
      <c r="E874" t="inlineStr">
        <is>
          <t>UPPSALA</t>
        </is>
      </c>
      <c r="F874" t="inlineStr">
        <is>
          <t>Övriga statliga verk och myndigheter</t>
        </is>
      </c>
      <c r="G874" t="n">
        <v>29.3</v>
      </c>
      <c r="H874" t="n">
        <v>0</v>
      </c>
      <c r="I874" t="n">
        <v>0</v>
      </c>
      <c r="J874" t="n">
        <v>0</v>
      </c>
      <c r="K874" t="n">
        <v>0</v>
      </c>
      <c r="L874" t="n">
        <v>0</v>
      </c>
      <c r="M874" t="n">
        <v>0</v>
      </c>
      <c r="N874" t="n">
        <v>0</v>
      </c>
      <c r="O874" t="n">
        <v>0</v>
      </c>
      <c r="P874" t="n">
        <v>0</v>
      </c>
      <c r="Q874" t="n">
        <v>0</v>
      </c>
      <c r="R874" s="2" t="inlineStr"/>
    </row>
    <row r="875" ht="15" customHeight="1">
      <c r="A875" t="inlineStr">
        <is>
          <t>A 9398-2023</t>
        </is>
      </c>
      <c r="B875" s="1" t="n">
        <v>44977</v>
      </c>
      <c r="C875" s="1" t="n">
        <v>46138</v>
      </c>
      <c r="D875" t="inlineStr">
        <is>
          <t>UPPSALA LÄN</t>
        </is>
      </c>
      <c r="E875" t="inlineStr">
        <is>
          <t>UPPSALA</t>
        </is>
      </c>
      <c r="G875" t="n">
        <v>5.1</v>
      </c>
      <c r="H875" t="n">
        <v>0</v>
      </c>
      <c r="I875" t="n">
        <v>0</v>
      </c>
      <c r="J875" t="n">
        <v>0</v>
      </c>
      <c r="K875" t="n">
        <v>0</v>
      </c>
      <c r="L875" t="n">
        <v>0</v>
      </c>
      <c r="M875" t="n">
        <v>0</v>
      </c>
      <c r="N875" t="n">
        <v>0</v>
      </c>
      <c r="O875" t="n">
        <v>0</v>
      </c>
      <c r="P875" t="n">
        <v>0</v>
      </c>
      <c r="Q875" t="n">
        <v>0</v>
      </c>
      <c r="R875" s="2" t="inlineStr"/>
    </row>
    <row r="876" ht="15" customHeight="1">
      <c r="A876" t="inlineStr">
        <is>
          <t>A 39548-2023</t>
        </is>
      </c>
      <c r="B876" s="1" t="n">
        <v>45167.3721412037</v>
      </c>
      <c r="C876" s="1" t="n">
        <v>46138</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26099-2024</t>
        </is>
      </c>
      <c r="B877" s="1" t="n">
        <v>45468</v>
      </c>
      <c r="C877" s="1" t="n">
        <v>46138</v>
      </c>
      <c r="D877" t="inlineStr">
        <is>
          <t>UPPSALA LÄN</t>
        </is>
      </c>
      <c r="E877" t="inlineStr">
        <is>
          <t>UPPSALA</t>
        </is>
      </c>
      <c r="G877" t="n">
        <v>0.3</v>
      </c>
      <c r="H877" t="n">
        <v>0</v>
      </c>
      <c r="I877" t="n">
        <v>0</v>
      </c>
      <c r="J877" t="n">
        <v>0</v>
      </c>
      <c r="K877" t="n">
        <v>0</v>
      </c>
      <c r="L877" t="n">
        <v>0</v>
      </c>
      <c r="M877" t="n">
        <v>0</v>
      </c>
      <c r="N877" t="n">
        <v>0</v>
      </c>
      <c r="O877" t="n">
        <v>0</v>
      </c>
      <c r="P877" t="n">
        <v>0</v>
      </c>
      <c r="Q877" t="n">
        <v>0</v>
      </c>
      <c r="R877" s="2" t="inlineStr"/>
    </row>
    <row r="878" ht="15" customHeight="1">
      <c r="A878" t="inlineStr">
        <is>
          <t>A 17558-2022</t>
        </is>
      </c>
      <c r="B878" s="1" t="n">
        <v>44679.66694444444</v>
      </c>
      <c r="C878" s="1" t="n">
        <v>46138</v>
      </c>
      <c r="D878" t="inlineStr">
        <is>
          <t>UPPSALA LÄN</t>
        </is>
      </c>
      <c r="E878" t="inlineStr">
        <is>
          <t>UPPSALA</t>
        </is>
      </c>
      <c r="F878" t="inlineStr">
        <is>
          <t>Bergvik skog öst AB</t>
        </is>
      </c>
      <c r="G878" t="n">
        <v>0.9</v>
      </c>
      <c r="H878" t="n">
        <v>0</v>
      </c>
      <c r="I878" t="n">
        <v>0</v>
      </c>
      <c r="J878" t="n">
        <v>0</v>
      </c>
      <c r="K878" t="n">
        <v>0</v>
      </c>
      <c r="L878" t="n">
        <v>0</v>
      </c>
      <c r="M878" t="n">
        <v>0</v>
      </c>
      <c r="N878" t="n">
        <v>0</v>
      </c>
      <c r="O878" t="n">
        <v>0</v>
      </c>
      <c r="P878" t="n">
        <v>0</v>
      </c>
      <c r="Q878" t="n">
        <v>0</v>
      </c>
      <c r="R878" s="2" t="inlineStr"/>
    </row>
    <row r="879" ht="15" customHeight="1">
      <c r="A879" t="inlineStr">
        <is>
          <t>A 5687-2026</t>
        </is>
      </c>
      <c r="B879" s="1" t="n">
        <v>46051.48957175926</v>
      </c>
      <c r="C879" s="1" t="n">
        <v>46138</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33689-2023</t>
        </is>
      </c>
      <c r="B880" s="1" t="n">
        <v>45119</v>
      </c>
      <c r="C880" s="1" t="n">
        <v>46138</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18626-2025</t>
        </is>
      </c>
      <c r="B881" s="1" t="n">
        <v>45763.52995370371</v>
      </c>
      <c r="C881" s="1" t="n">
        <v>46138</v>
      </c>
      <c r="D881" t="inlineStr">
        <is>
          <t>UPPSALA LÄN</t>
        </is>
      </c>
      <c r="E881" t="inlineStr">
        <is>
          <t>UPPSALA</t>
        </is>
      </c>
      <c r="G881" t="n">
        <v>1.8</v>
      </c>
      <c r="H881" t="n">
        <v>0</v>
      </c>
      <c r="I881" t="n">
        <v>0</v>
      </c>
      <c r="J881" t="n">
        <v>0</v>
      </c>
      <c r="K881" t="n">
        <v>0</v>
      </c>
      <c r="L881" t="n">
        <v>0</v>
      </c>
      <c r="M881" t="n">
        <v>0</v>
      </c>
      <c r="N881" t="n">
        <v>0</v>
      </c>
      <c r="O881" t="n">
        <v>0</v>
      </c>
      <c r="P881" t="n">
        <v>0</v>
      </c>
      <c r="Q881" t="n">
        <v>0</v>
      </c>
      <c r="R881" s="2" t="inlineStr"/>
    </row>
    <row r="882" ht="15" customHeight="1">
      <c r="A882" t="inlineStr">
        <is>
          <t>A 3183-2024</t>
        </is>
      </c>
      <c r="B882" s="1" t="n">
        <v>45316</v>
      </c>
      <c r="C882" s="1" t="n">
        <v>46138</v>
      </c>
      <c r="D882" t="inlineStr">
        <is>
          <t>UPPSALA LÄN</t>
        </is>
      </c>
      <c r="E882" t="inlineStr">
        <is>
          <t>UPPSALA</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5629-2026</t>
        </is>
      </c>
      <c r="B883" s="1" t="n">
        <v>46051</v>
      </c>
      <c r="C883" s="1" t="n">
        <v>46138</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53569-2024</t>
        </is>
      </c>
      <c r="B884" s="1" t="n">
        <v>45614.65928240741</v>
      </c>
      <c r="C884" s="1" t="n">
        <v>46138</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69436-2021</t>
        </is>
      </c>
      <c r="B885" s="1" t="n">
        <v>44531</v>
      </c>
      <c r="C885" s="1" t="n">
        <v>46138</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7253-2024</t>
        </is>
      </c>
      <c r="B886" s="1" t="n">
        <v>45344.69567129629</v>
      </c>
      <c r="C886" s="1" t="n">
        <v>46138</v>
      </c>
      <c r="D886" t="inlineStr">
        <is>
          <t>UPPSALA LÄN</t>
        </is>
      </c>
      <c r="E886" t="inlineStr">
        <is>
          <t>UPPSALA</t>
        </is>
      </c>
      <c r="F886" t="inlineStr">
        <is>
          <t>Kyrkan</t>
        </is>
      </c>
      <c r="G886" t="n">
        <v>2.5</v>
      </c>
      <c r="H886" t="n">
        <v>0</v>
      </c>
      <c r="I886" t="n">
        <v>0</v>
      </c>
      <c r="J886" t="n">
        <v>0</v>
      </c>
      <c r="K886" t="n">
        <v>0</v>
      </c>
      <c r="L886" t="n">
        <v>0</v>
      </c>
      <c r="M886" t="n">
        <v>0</v>
      </c>
      <c r="N886" t="n">
        <v>0</v>
      </c>
      <c r="O886" t="n">
        <v>0</v>
      </c>
      <c r="P886" t="n">
        <v>0</v>
      </c>
      <c r="Q886" t="n">
        <v>0</v>
      </c>
      <c r="R886" s="2" t="inlineStr"/>
    </row>
    <row r="887" ht="15" customHeight="1">
      <c r="A887" t="inlineStr">
        <is>
          <t>A 6187-2026</t>
        </is>
      </c>
      <c r="B887" s="1" t="n">
        <v>46055.36872685186</v>
      </c>
      <c r="C887" s="1" t="n">
        <v>46138</v>
      </c>
      <c r="D887" t="inlineStr">
        <is>
          <t>UPPSALA LÄN</t>
        </is>
      </c>
      <c r="E887" t="inlineStr">
        <is>
          <t>UPPSALA</t>
        </is>
      </c>
      <c r="F887" t="inlineStr">
        <is>
          <t>Allmännings- och besparingsskogar</t>
        </is>
      </c>
      <c r="G887" t="n">
        <v>10.6</v>
      </c>
      <c r="H887" t="n">
        <v>0</v>
      </c>
      <c r="I887" t="n">
        <v>0</v>
      </c>
      <c r="J887" t="n">
        <v>0</v>
      </c>
      <c r="K887" t="n">
        <v>0</v>
      </c>
      <c r="L887" t="n">
        <v>0</v>
      </c>
      <c r="M887" t="n">
        <v>0</v>
      </c>
      <c r="N887" t="n">
        <v>0</v>
      </c>
      <c r="O887" t="n">
        <v>0</v>
      </c>
      <c r="P887" t="n">
        <v>0</v>
      </c>
      <c r="Q887" t="n">
        <v>0</v>
      </c>
      <c r="R887" s="2" t="inlineStr"/>
    </row>
    <row r="888" ht="15" customHeight="1">
      <c r="A888" t="inlineStr">
        <is>
          <t>A 5764-2025</t>
        </is>
      </c>
      <c r="B888" s="1" t="n">
        <v>45694</v>
      </c>
      <c r="C888" s="1" t="n">
        <v>46138</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6360-2026</t>
        </is>
      </c>
      <c r="B889" s="1" t="n">
        <v>46055.61907407407</v>
      </c>
      <c r="C889" s="1" t="n">
        <v>46138</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13607-2026</t>
        </is>
      </c>
      <c r="B890" s="1" t="n">
        <v>46097.33173611111</v>
      </c>
      <c r="C890" s="1" t="n">
        <v>46138</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5814-2026</t>
        </is>
      </c>
      <c r="B891" s="1" t="n">
        <v>46051.88001157407</v>
      </c>
      <c r="C891" s="1" t="n">
        <v>46138</v>
      </c>
      <c r="D891" t="inlineStr">
        <is>
          <t>UPPSALA LÄN</t>
        </is>
      </c>
      <c r="E891" t="inlineStr">
        <is>
          <t>UPPSALA</t>
        </is>
      </c>
      <c r="F891" t="inlineStr">
        <is>
          <t>Kommuner</t>
        </is>
      </c>
      <c r="G891" t="n">
        <v>3.4</v>
      </c>
      <c r="H891" t="n">
        <v>0</v>
      </c>
      <c r="I891" t="n">
        <v>0</v>
      </c>
      <c r="J891" t="n">
        <v>0</v>
      </c>
      <c r="K891" t="n">
        <v>0</v>
      </c>
      <c r="L891" t="n">
        <v>0</v>
      </c>
      <c r="M891" t="n">
        <v>0</v>
      </c>
      <c r="N891" t="n">
        <v>0</v>
      </c>
      <c r="O891" t="n">
        <v>0</v>
      </c>
      <c r="P891" t="n">
        <v>0</v>
      </c>
      <c r="Q891" t="n">
        <v>0</v>
      </c>
      <c r="R891" s="2" t="inlineStr"/>
    </row>
    <row r="892" ht="15" customHeight="1">
      <c r="A892" t="inlineStr">
        <is>
          <t>A 63307-2021</t>
        </is>
      </c>
      <c r="B892" s="1" t="n">
        <v>44508.44033564815</v>
      </c>
      <c r="C892" s="1" t="n">
        <v>46138</v>
      </c>
      <c r="D892" t="inlineStr">
        <is>
          <t>UPPSALA LÄN</t>
        </is>
      </c>
      <c r="E892" t="inlineStr">
        <is>
          <t>UPPSALA</t>
        </is>
      </c>
      <c r="F892" t="inlineStr">
        <is>
          <t>Bergvik skog öst AB</t>
        </is>
      </c>
      <c r="G892" t="n">
        <v>2.8</v>
      </c>
      <c r="H892" t="n">
        <v>0</v>
      </c>
      <c r="I892" t="n">
        <v>0</v>
      </c>
      <c r="J892" t="n">
        <v>0</v>
      </c>
      <c r="K892" t="n">
        <v>0</v>
      </c>
      <c r="L892" t="n">
        <v>0</v>
      </c>
      <c r="M892" t="n">
        <v>0</v>
      </c>
      <c r="N892" t="n">
        <v>0</v>
      </c>
      <c r="O892" t="n">
        <v>0</v>
      </c>
      <c r="P892" t="n">
        <v>0</v>
      </c>
      <c r="Q892" t="n">
        <v>0</v>
      </c>
      <c r="R892" s="2" t="inlineStr"/>
    </row>
    <row r="893" ht="15" customHeight="1">
      <c r="A893" t="inlineStr">
        <is>
          <t>A 13128-2022</t>
        </is>
      </c>
      <c r="B893" s="1" t="n">
        <v>44644.37548611111</v>
      </c>
      <c r="C893" s="1" t="n">
        <v>46138</v>
      </c>
      <c r="D893" t="inlineStr">
        <is>
          <t>UPPSALA LÄN</t>
        </is>
      </c>
      <c r="E893" t="inlineStr">
        <is>
          <t>UPPSALA</t>
        </is>
      </c>
      <c r="F893" t="inlineStr">
        <is>
          <t>Övriga Aktiebolag</t>
        </is>
      </c>
      <c r="G893" t="n">
        <v>3.7</v>
      </c>
      <c r="H893" t="n">
        <v>0</v>
      </c>
      <c r="I893" t="n">
        <v>0</v>
      </c>
      <c r="J893" t="n">
        <v>0</v>
      </c>
      <c r="K893" t="n">
        <v>0</v>
      </c>
      <c r="L893" t="n">
        <v>0</v>
      </c>
      <c r="M893" t="n">
        <v>0</v>
      </c>
      <c r="N893" t="n">
        <v>0</v>
      </c>
      <c r="O893" t="n">
        <v>0</v>
      </c>
      <c r="P893" t="n">
        <v>0</v>
      </c>
      <c r="Q893" t="n">
        <v>0</v>
      </c>
      <c r="R893" s="2" t="inlineStr"/>
    </row>
    <row r="894" ht="15" customHeight="1">
      <c r="A894" t="inlineStr">
        <is>
          <t>A 18808-2024</t>
        </is>
      </c>
      <c r="B894" s="1" t="n">
        <v>45426.61569444444</v>
      </c>
      <c r="C894" s="1" t="n">
        <v>46138</v>
      </c>
      <c r="D894" t="inlineStr">
        <is>
          <t>UPPSALA LÄN</t>
        </is>
      </c>
      <c r="E894" t="inlineStr">
        <is>
          <t>UPPSALA</t>
        </is>
      </c>
      <c r="G894" t="n">
        <v>11.5</v>
      </c>
      <c r="H894" t="n">
        <v>0</v>
      </c>
      <c r="I894" t="n">
        <v>0</v>
      </c>
      <c r="J894" t="n">
        <v>0</v>
      </c>
      <c r="K894" t="n">
        <v>0</v>
      </c>
      <c r="L894" t="n">
        <v>0</v>
      </c>
      <c r="M894" t="n">
        <v>0</v>
      </c>
      <c r="N894" t="n">
        <v>0</v>
      </c>
      <c r="O894" t="n">
        <v>0</v>
      </c>
      <c r="P894" t="n">
        <v>0</v>
      </c>
      <c r="Q894" t="n">
        <v>0</v>
      </c>
      <c r="R894" s="2" t="inlineStr"/>
    </row>
    <row r="895" ht="15" customHeight="1">
      <c r="A895" t="inlineStr">
        <is>
          <t>A 43855-2023</t>
        </is>
      </c>
      <c r="B895" s="1" t="n">
        <v>45187.61136574074</v>
      </c>
      <c r="C895" s="1" t="n">
        <v>46138</v>
      </c>
      <c r="D895" t="inlineStr">
        <is>
          <t>UPPSALA LÄN</t>
        </is>
      </c>
      <c r="E895" t="inlineStr">
        <is>
          <t>UPPSALA</t>
        </is>
      </c>
      <c r="F895" t="inlineStr">
        <is>
          <t>Bergvik skog öst AB</t>
        </is>
      </c>
      <c r="G895" t="n">
        <v>2</v>
      </c>
      <c r="H895" t="n">
        <v>0</v>
      </c>
      <c r="I895" t="n">
        <v>0</v>
      </c>
      <c r="J895" t="n">
        <v>0</v>
      </c>
      <c r="K895" t="n">
        <v>0</v>
      </c>
      <c r="L895" t="n">
        <v>0</v>
      </c>
      <c r="M895" t="n">
        <v>0</v>
      </c>
      <c r="N895" t="n">
        <v>0</v>
      </c>
      <c r="O895" t="n">
        <v>0</v>
      </c>
      <c r="P895" t="n">
        <v>0</v>
      </c>
      <c r="Q895" t="n">
        <v>0</v>
      </c>
      <c r="R895" s="2" t="inlineStr"/>
    </row>
    <row r="896" ht="15" customHeight="1">
      <c r="A896" t="inlineStr">
        <is>
          <t>A 69432-2021</t>
        </is>
      </c>
      <c r="B896" s="1" t="n">
        <v>44531</v>
      </c>
      <c r="C896" s="1" t="n">
        <v>46138</v>
      </c>
      <c r="D896" t="inlineStr">
        <is>
          <t>UPPSALA LÄN</t>
        </is>
      </c>
      <c r="E896" t="inlineStr">
        <is>
          <t>UPPSALA</t>
        </is>
      </c>
      <c r="G896" t="n">
        <v>1.7</v>
      </c>
      <c r="H896" t="n">
        <v>0</v>
      </c>
      <c r="I896" t="n">
        <v>0</v>
      </c>
      <c r="J896" t="n">
        <v>0</v>
      </c>
      <c r="K896" t="n">
        <v>0</v>
      </c>
      <c r="L896" t="n">
        <v>0</v>
      </c>
      <c r="M896" t="n">
        <v>0</v>
      </c>
      <c r="N896" t="n">
        <v>0</v>
      </c>
      <c r="O896" t="n">
        <v>0</v>
      </c>
      <c r="P896" t="n">
        <v>0</v>
      </c>
      <c r="Q896" t="n">
        <v>0</v>
      </c>
      <c r="R896" s="2" t="inlineStr"/>
    </row>
    <row r="897" ht="15" customHeight="1">
      <c r="A897" t="inlineStr">
        <is>
          <t>A 37763-2021</t>
        </is>
      </c>
      <c r="B897" s="1" t="n">
        <v>44400.6750925926</v>
      </c>
      <c r="C897" s="1" t="n">
        <v>46138</v>
      </c>
      <c r="D897" t="inlineStr">
        <is>
          <t>UPPSALA LÄN</t>
        </is>
      </c>
      <c r="E897" t="inlineStr">
        <is>
          <t>UPPSALA</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69595-2021</t>
        </is>
      </c>
      <c r="B898" s="1" t="n">
        <v>44532</v>
      </c>
      <c r="C898" s="1" t="n">
        <v>46138</v>
      </c>
      <c r="D898" t="inlineStr">
        <is>
          <t>UPPSALA LÄN</t>
        </is>
      </c>
      <c r="E898" t="inlineStr">
        <is>
          <t>UPPSALA</t>
        </is>
      </c>
      <c r="G898" t="n">
        <v>3.9</v>
      </c>
      <c r="H898" t="n">
        <v>0</v>
      </c>
      <c r="I898" t="n">
        <v>0</v>
      </c>
      <c r="J898" t="n">
        <v>0</v>
      </c>
      <c r="K898" t="n">
        <v>0</v>
      </c>
      <c r="L898" t="n">
        <v>0</v>
      </c>
      <c r="M898" t="n">
        <v>0</v>
      </c>
      <c r="N898" t="n">
        <v>0</v>
      </c>
      <c r="O898" t="n">
        <v>0</v>
      </c>
      <c r="P898" t="n">
        <v>0</v>
      </c>
      <c r="Q898" t="n">
        <v>0</v>
      </c>
      <c r="R898" s="2" t="inlineStr"/>
    </row>
    <row r="899" ht="15" customHeight="1">
      <c r="A899" t="inlineStr">
        <is>
          <t>A 7002-2026</t>
        </is>
      </c>
      <c r="B899" s="1" t="n">
        <v>46057.6280787037</v>
      </c>
      <c r="C899" s="1" t="n">
        <v>46138</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46138</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13934-2026</t>
        </is>
      </c>
      <c r="B901" s="1" t="n">
        <v>46098.51678240741</v>
      </c>
      <c r="C901" s="1" t="n">
        <v>46138</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38190-2023</t>
        </is>
      </c>
      <c r="B902" s="1" t="n">
        <v>45161</v>
      </c>
      <c r="C902" s="1" t="n">
        <v>46138</v>
      </c>
      <c r="D902" t="inlineStr">
        <is>
          <t>UPPSALA LÄN</t>
        </is>
      </c>
      <c r="E902" t="inlineStr">
        <is>
          <t>UPPSALA</t>
        </is>
      </c>
      <c r="G902" t="n">
        <v>0.4</v>
      </c>
      <c r="H902" t="n">
        <v>0</v>
      </c>
      <c r="I902" t="n">
        <v>0</v>
      </c>
      <c r="J902" t="n">
        <v>0</v>
      </c>
      <c r="K902" t="n">
        <v>0</v>
      </c>
      <c r="L902" t="n">
        <v>0</v>
      </c>
      <c r="M902" t="n">
        <v>0</v>
      </c>
      <c r="N902" t="n">
        <v>0</v>
      </c>
      <c r="O902" t="n">
        <v>0</v>
      </c>
      <c r="P902" t="n">
        <v>0</v>
      </c>
      <c r="Q902" t="n">
        <v>0</v>
      </c>
      <c r="R902" s="2" t="inlineStr"/>
    </row>
    <row r="903" ht="15" customHeight="1">
      <c r="A903" t="inlineStr">
        <is>
          <t>A 6991-2026</t>
        </is>
      </c>
      <c r="B903" s="1" t="n">
        <v>46057.60431712963</v>
      </c>
      <c r="C903" s="1" t="n">
        <v>46138</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54924-2024</t>
        </is>
      </c>
      <c r="B904" s="1" t="n">
        <v>45618.71140046296</v>
      </c>
      <c r="C904" s="1" t="n">
        <v>46138</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39007-2024</t>
        </is>
      </c>
      <c r="B905" s="1" t="n">
        <v>45548.42854166667</v>
      </c>
      <c r="C905" s="1" t="n">
        <v>46138</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27543-2022</t>
        </is>
      </c>
      <c r="B906" s="1" t="n">
        <v>44742</v>
      </c>
      <c r="C906" s="1" t="n">
        <v>46138</v>
      </c>
      <c r="D906" t="inlineStr">
        <is>
          <t>UPPSALA LÄN</t>
        </is>
      </c>
      <c r="E906" t="inlineStr">
        <is>
          <t>UPPSALA</t>
        </is>
      </c>
      <c r="F906" t="inlineStr">
        <is>
          <t>Kyrkan</t>
        </is>
      </c>
      <c r="G906" t="n">
        <v>2.6</v>
      </c>
      <c r="H906" t="n">
        <v>0</v>
      </c>
      <c r="I906" t="n">
        <v>0</v>
      </c>
      <c r="J906" t="n">
        <v>0</v>
      </c>
      <c r="K906" t="n">
        <v>0</v>
      </c>
      <c r="L906" t="n">
        <v>0</v>
      </c>
      <c r="M906" t="n">
        <v>0</v>
      </c>
      <c r="N906" t="n">
        <v>0</v>
      </c>
      <c r="O906" t="n">
        <v>0</v>
      </c>
      <c r="P906" t="n">
        <v>0</v>
      </c>
      <c r="Q906" t="n">
        <v>0</v>
      </c>
      <c r="R906" s="2" t="inlineStr"/>
    </row>
    <row r="907" ht="15" customHeight="1">
      <c r="A907" t="inlineStr">
        <is>
          <t>A 46743-2024</t>
        </is>
      </c>
      <c r="B907" s="1" t="n">
        <v>45583.47836805556</v>
      </c>
      <c r="C907" s="1" t="n">
        <v>46138</v>
      </c>
      <c r="D907" t="inlineStr">
        <is>
          <t>UPPSALA LÄN</t>
        </is>
      </c>
      <c r="E907" t="inlineStr">
        <is>
          <t>UPPSALA</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66690-2021</t>
        </is>
      </c>
      <c r="B908" s="1" t="n">
        <v>44519.64902777778</v>
      </c>
      <c r="C908" s="1" t="n">
        <v>46138</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13602-2025</t>
        </is>
      </c>
      <c r="B909" s="1" t="n">
        <v>45736.60863425926</v>
      </c>
      <c r="C909" s="1" t="n">
        <v>46138</v>
      </c>
      <c r="D909" t="inlineStr">
        <is>
          <t>UPPSALA LÄN</t>
        </is>
      </c>
      <c r="E909" t="inlineStr">
        <is>
          <t>UPPSALA</t>
        </is>
      </c>
      <c r="F909" t="inlineStr">
        <is>
          <t>Allmännings- och besparingsskogar</t>
        </is>
      </c>
      <c r="G909" t="n">
        <v>9.5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46138</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7429-2026</t>
        </is>
      </c>
      <c r="B911" s="1" t="n">
        <v>46059.43493055556</v>
      </c>
      <c r="C911" s="1" t="n">
        <v>46138</v>
      </c>
      <c r="D911" t="inlineStr">
        <is>
          <t>UPPSALA LÄN</t>
        </is>
      </c>
      <c r="E911" t="inlineStr">
        <is>
          <t>UPPSALA</t>
        </is>
      </c>
      <c r="F911" t="inlineStr">
        <is>
          <t>Bergvik skog öst AB</t>
        </is>
      </c>
      <c r="G911" t="n">
        <v>2.4</v>
      </c>
      <c r="H911" t="n">
        <v>0</v>
      </c>
      <c r="I911" t="n">
        <v>0</v>
      </c>
      <c r="J911" t="n">
        <v>0</v>
      </c>
      <c r="K911" t="n">
        <v>0</v>
      </c>
      <c r="L911" t="n">
        <v>0</v>
      </c>
      <c r="M911" t="n">
        <v>0</v>
      </c>
      <c r="N911" t="n">
        <v>0</v>
      </c>
      <c r="O911" t="n">
        <v>0</v>
      </c>
      <c r="P911" t="n">
        <v>0</v>
      </c>
      <c r="Q911" t="n">
        <v>0</v>
      </c>
      <c r="R911" s="2" t="inlineStr"/>
    </row>
    <row r="912" ht="15" customHeight="1">
      <c r="A912" t="inlineStr">
        <is>
          <t>A 7436-2026</t>
        </is>
      </c>
      <c r="B912" s="1" t="n">
        <v>46059.4413425926</v>
      </c>
      <c r="C912" s="1" t="n">
        <v>46138</v>
      </c>
      <c r="D912" t="inlineStr">
        <is>
          <t>UPPSALA LÄN</t>
        </is>
      </c>
      <c r="E912" t="inlineStr">
        <is>
          <t>UPPSALA</t>
        </is>
      </c>
      <c r="F912" t="inlineStr">
        <is>
          <t>Bergvik skog öst AB</t>
        </is>
      </c>
      <c r="G912" t="n">
        <v>2.9</v>
      </c>
      <c r="H912" t="n">
        <v>0</v>
      </c>
      <c r="I912" t="n">
        <v>0</v>
      </c>
      <c r="J912" t="n">
        <v>0</v>
      </c>
      <c r="K912" t="n">
        <v>0</v>
      </c>
      <c r="L912" t="n">
        <v>0</v>
      </c>
      <c r="M912" t="n">
        <v>0</v>
      </c>
      <c r="N912" t="n">
        <v>0</v>
      </c>
      <c r="O912" t="n">
        <v>0</v>
      </c>
      <c r="P912" t="n">
        <v>0</v>
      </c>
      <c r="Q912" t="n">
        <v>0</v>
      </c>
      <c r="R912" s="2" t="inlineStr"/>
    </row>
    <row r="913" ht="15" customHeight="1">
      <c r="A913" t="inlineStr">
        <is>
          <t>A 7867-2026</t>
        </is>
      </c>
      <c r="B913" s="1" t="n">
        <v>46062.74180555555</v>
      </c>
      <c r="C913" s="1" t="n">
        <v>46138</v>
      </c>
      <c r="D913" t="inlineStr">
        <is>
          <t>UPPSALA LÄN</t>
        </is>
      </c>
      <c r="E913" t="inlineStr">
        <is>
          <t>UPPSALA</t>
        </is>
      </c>
      <c r="F913" t="inlineStr">
        <is>
          <t>Bergvik skog öst AB</t>
        </is>
      </c>
      <c r="G913" t="n">
        <v>0.3</v>
      </c>
      <c r="H913" t="n">
        <v>0</v>
      </c>
      <c r="I913" t="n">
        <v>0</v>
      </c>
      <c r="J913" t="n">
        <v>0</v>
      </c>
      <c r="K913" t="n">
        <v>0</v>
      </c>
      <c r="L913" t="n">
        <v>0</v>
      </c>
      <c r="M913" t="n">
        <v>0</v>
      </c>
      <c r="N913" t="n">
        <v>0</v>
      </c>
      <c r="O913" t="n">
        <v>0</v>
      </c>
      <c r="P913" t="n">
        <v>0</v>
      </c>
      <c r="Q913" t="n">
        <v>0</v>
      </c>
      <c r="R913" s="2" t="inlineStr"/>
    </row>
    <row r="914" ht="15" customHeight="1">
      <c r="A914" t="inlineStr">
        <is>
          <t>A 733-2022</t>
        </is>
      </c>
      <c r="B914" s="1" t="n">
        <v>44568.67040509259</v>
      </c>
      <c r="C914" s="1" t="n">
        <v>46138</v>
      </c>
      <c r="D914" t="inlineStr">
        <is>
          <t>UPPSALA LÄN</t>
        </is>
      </c>
      <c r="E914" t="inlineStr">
        <is>
          <t>UPPSALA</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20087-2023</t>
        </is>
      </c>
      <c r="B915" s="1" t="n">
        <v>45054.9271875</v>
      </c>
      <c r="C915" s="1" t="n">
        <v>46138</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48588-2022</t>
        </is>
      </c>
      <c r="B916" s="1" t="n">
        <v>44859.36896990741</v>
      </c>
      <c r="C916" s="1" t="n">
        <v>46138</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7865-2026</t>
        </is>
      </c>
      <c r="B917" s="1" t="n">
        <v>46062.73762731482</v>
      </c>
      <c r="C917" s="1" t="n">
        <v>46138</v>
      </c>
      <c r="D917" t="inlineStr">
        <is>
          <t>UPPSALA LÄN</t>
        </is>
      </c>
      <c r="E917" t="inlineStr">
        <is>
          <t>UPPSALA</t>
        </is>
      </c>
      <c r="F917" t="inlineStr">
        <is>
          <t>Bergvik skog öst AB</t>
        </is>
      </c>
      <c r="G917" t="n">
        <v>4.4</v>
      </c>
      <c r="H917" t="n">
        <v>0</v>
      </c>
      <c r="I917" t="n">
        <v>0</v>
      </c>
      <c r="J917" t="n">
        <v>0</v>
      </c>
      <c r="K917" t="n">
        <v>0</v>
      </c>
      <c r="L917" t="n">
        <v>0</v>
      </c>
      <c r="M917" t="n">
        <v>0</v>
      </c>
      <c r="N917" t="n">
        <v>0</v>
      </c>
      <c r="O917" t="n">
        <v>0</v>
      </c>
      <c r="P917" t="n">
        <v>0</v>
      </c>
      <c r="Q917" t="n">
        <v>0</v>
      </c>
      <c r="R917" s="2" t="inlineStr"/>
    </row>
    <row r="918" ht="15" customHeight="1">
      <c r="A918" t="inlineStr">
        <is>
          <t>A 6971-2025</t>
        </is>
      </c>
      <c r="B918" s="1" t="n">
        <v>45693</v>
      </c>
      <c r="C918" s="1" t="n">
        <v>46138</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43032-2022</t>
        </is>
      </c>
      <c r="B919" s="1" t="n">
        <v>44832</v>
      </c>
      <c r="C919" s="1" t="n">
        <v>46138</v>
      </c>
      <c r="D919" t="inlineStr">
        <is>
          <t>UPPSALA LÄN</t>
        </is>
      </c>
      <c r="E919" t="inlineStr">
        <is>
          <t>UPPSALA</t>
        </is>
      </c>
      <c r="G919" t="n">
        <v>1.5</v>
      </c>
      <c r="H919" t="n">
        <v>0</v>
      </c>
      <c r="I919" t="n">
        <v>0</v>
      </c>
      <c r="J919" t="n">
        <v>0</v>
      </c>
      <c r="K919" t="n">
        <v>0</v>
      </c>
      <c r="L919" t="n">
        <v>0</v>
      </c>
      <c r="M919" t="n">
        <v>0</v>
      </c>
      <c r="N919" t="n">
        <v>0</v>
      </c>
      <c r="O919" t="n">
        <v>0</v>
      </c>
      <c r="P919" t="n">
        <v>0</v>
      </c>
      <c r="Q919" t="n">
        <v>0</v>
      </c>
      <c r="R919" s="2" t="inlineStr"/>
    </row>
    <row r="920" ht="15" customHeight="1">
      <c r="A920" t="inlineStr">
        <is>
          <t>A 7866-2026</t>
        </is>
      </c>
      <c r="B920" s="1" t="n">
        <v>46062.73936342593</v>
      </c>
      <c r="C920" s="1" t="n">
        <v>46138</v>
      </c>
      <c r="D920" t="inlineStr">
        <is>
          <t>UPPSALA LÄN</t>
        </is>
      </c>
      <c r="E920" t="inlineStr">
        <is>
          <t>UPPSALA</t>
        </is>
      </c>
      <c r="F920" t="inlineStr">
        <is>
          <t>Bergvik skog öst AB</t>
        </is>
      </c>
      <c r="G920" t="n">
        <v>1.4</v>
      </c>
      <c r="H920" t="n">
        <v>0</v>
      </c>
      <c r="I920" t="n">
        <v>0</v>
      </c>
      <c r="J920" t="n">
        <v>0</v>
      </c>
      <c r="K920" t="n">
        <v>0</v>
      </c>
      <c r="L920" t="n">
        <v>0</v>
      </c>
      <c r="M920" t="n">
        <v>0</v>
      </c>
      <c r="N920" t="n">
        <v>0</v>
      </c>
      <c r="O920" t="n">
        <v>0</v>
      </c>
      <c r="P920" t="n">
        <v>0</v>
      </c>
      <c r="Q920" t="n">
        <v>0</v>
      </c>
      <c r="R920" s="2" t="inlineStr"/>
    </row>
    <row r="921" ht="15" customHeight="1">
      <c r="A921" t="inlineStr">
        <is>
          <t>A 50669-2024</t>
        </is>
      </c>
      <c r="B921" s="1" t="n">
        <v>45601</v>
      </c>
      <c r="C921" s="1" t="n">
        <v>46138</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7739-2026</t>
        </is>
      </c>
      <c r="B922" s="1" t="n">
        <v>46062.53357638889</v>
      </c>
      <c r="C922" s="1" t="n">
        <v>46138</v>
      </c>
      <c r="D922" t="inlineStr">
        <is>
          <t>UPPSALA LÄN</t>
        </is>
      </c>
      <c r="E922" t="inlineStr">
        <is>
          <t>UPPSALA</t>
        </is>
      </c>
      <c r="G922" t="n">
        <v>7.2</v>
      </c>
      <c r="H922" t="n">
        <v>0</v>
      </c>
      <c r="I922" t="n">
        <v>0</v>
      </c>
      <c r="J922" t="n">
        <v>0</v>
      </c>
      <c r="K922" t="n">
        <v>0</v>
      </c>
      <c r="L922" t="n">
        <v>0</v>
      </c>
      <c r="M922" t="n">
        <v>0</v>
      </c>
      <c r="N922" t="n">
        <v>0</v>
      </c>
      <c r="O922" t="n">
        <v>0</v>
      </c>
      <c r="P922" t="n">
        <v>0</v>
      </c>
      <c r="Q922" t="n">
        <v>0</v>
      </c>
      <c r="R922" s="2" t="inlineStr"/>
    </row>
    <row r="923" ht="15" customHeight="1">
      <c r="A923" t="inlineStr">
        <is>
          <t>A 34509-2023</t>
        </is>
      </c>
      <c r="B923" s="1" t="n">
        <v>45133</v>
      </c>
      <c r="C923" s="1" t="n">
        <v>46138</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7555-2026</t>
        </is>
      </c>
      <c r="B924" s="1" t="n">
        <v>46059.76059027778</v>
      </c>
      <c r="C924" s="1" t="n">
        <v>46138</v>
      </c>
      <c r="D924" t="inlineStr">
        <is>
          <t>UPPSALA LÄN</t>
        </is>
      </c>
      <c r="E924" t="inlineStr">
        <is>
          <t>UPPSALA</t>
        </is>
      </c>
      <c r="F924" t="inlineStr">
        <is>
          <t>Bergvik skog öst AB</t>
        </is>
      </c>
      <c r="G924" t="n">
        <v>4.4</v>
      </c>
      <c r="H924" t="n">
        <v>0</v>
      </c>
      <c r="I924" t="n">
        <v>0</v>
      </c>
      <c r="J924" t="n">
        <v>0</v>
      </c>
      <c r="K924" t="n">
        <v>0</v>
      </c>
      <c r="L924" t="n">
        <v>0</v>
      </c>
      <c r="M924" t="n">
        <v>0</v>
      </c>
      <c r="N924" t="n">
        <v>0</v>
      </c>
      <c r="O924" t="n">
        <v>0</v>
      </c>
      <c r="P924" t="n">
        <v>0</v>
      </c>
      <c r="Q924" t="n">
        <v>0</v>
      </c>
      <c r="R924" s="2" t="inlineStr"/>
    </row>
    <row r="925" ht="15" customHeight="1">
      <c r="A925" t="inlineStr">
        <is>
          <t>A 33939-2024</t>
        </is>
      </c>
      <c r="B925" s="1" t="n">
        <v>45523</v>
      </c>
      <c r="C925" s="1" t="n">
        <v>46138</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13343-2022</t>
        </is>
      </c>
      <c r="B926" s="1" t="n">
        <v>44645.39157407408</v>
      </c>
      <c r="C926" s="1" t="n">
        <v>46138</v>
      </c>
      <c r="D926" t="inlineStr">
        <is>
          <t>UPPSALA LÄN</t>
        </is>
      </c>
      <c r="E926" t="inlineStr">
        <is>
          <t>UPPSALA</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11173-2024</t>
        </is>
      </c>
      <c r="B927" s="1" t="n">
        <v>45371.50738425926</v>
      </c>
      <c r="C927" s="1" t="n">
        <v>46138</v>
      </c>
      <c r="D927" t="inlineStr">
        <is>
          <t>UPPSALA LÄN</t>
        </is>
      </c>
      <c r="E927" t="inlineStr">
        <is>
          <t>UPPSALA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15753-2026</t>
        </is>
      </c>
      <c r="B928" s="1" t="n">
        <v>46107.42894675926</v>
      </c>
      <c r="C928" s="1" t="n">
        <v>46138</v>
      </c>
      <c r="D928" t="inlineStr">
        <is>
          <t>UPPSALA LÄN</t>
        </is>
      </c>
      <c r="E928" t="inlineStr">
        <is>
          <t>UPPSALA</t>
        </is>
      </c>
      <c r="F928" t="inlineStr">
        <is>
          <t>Allmännings- och besparingsskogar</t>
        </is>
      </c>
      <c r="G928" t="n">
        <v>2.7</v>
      </c>
      <c r="H928" t="n">
        <v>0</v>
      </c>
      <c r="I928" t="n">
        <v>0</v>
      </c>
      <c r="J928" t="n">
        <v>0</v>
      </c>
      <c r="K928" t="n">
        <v>0</v>
      </c>
      <c r="L928" t="n">
        <v>0</v>
      </c>
      <c r="M928" t="n">
        <v>0</v>
      </c>
      <c r="N928" t="n">
        <v>0</v>
      </c>
      <c r="O928" t="n">
        <v>0</v>
      </c>
      <c r="P928" t="n">
        <v>0</v>
      </c>
      <c r="Q928" t="n">
        <v>0</v>
      </c>
      <c r="R928" s="2" t="inlineStr"/>
      <c r="U928">
        <f>HYPERLINK("https://klasma.github.io/Logging_0380/knärot/A 15753-2026 karta knärot.png", "A 15753-2026")</f>
        <v/>
      </c>
      <c r="V928">
        <f>HYPERLINK("https://klasma.github.io/Logging_0380/klagomål/A 15753-2026 FSC-klagomål.docx", "A 15753-2026")</f>
        <v/>
      </c>
      <c r="W928">
        <f>HYPERLINK("https://klasma.github.io/Logging_0380/klagomålsmail/A 15753-2026 FSC-klagomål mail.docx", "A 15753-2026")</f>
        <v/>
      </c>
      <c r="X928">
        <f>HYPERLINK("https://klasma.github.io/Logging_0380/tillsyn/A 15753-2026 tillsynsbegäran.docx", "A 15753-2026")</f>
        <v/>
      </c>
      <c r="Y928">
        <f>HYPERLINK("https://klasma.github.io/Logging_0380/tillsynsmail/A 15753-2026 tillsynsbegäran mail.docx", "A 15753-2026")</f>
        <v/>
      </c>
    </row>
    <row r="929" ht="15" customHeight="1">
      <c r="A929" t="inlineStr">
        <is>
          <t>A 8582-2026</t>
        </is>
      </c>
      <c r="B929" s="1" t="n">
        <v>46065.72112268519</v>
      </c>
      <c r="C929" s="1" t="n">
        <v>46138</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9242-2022</t>
        </is>
      </c>
      <c r="B930" s="1" t="n">
        <v>44616</v>
      </c>
      <c r="C930" s="1" t="n">
        <v>46138</v>
      </c>
      <c r="D930" t="inlineStr">
        <is>
          <t>UPPSALA LÄN</t>
        </is>
      </c>
      <c r="E930" t="inlineStr">
        <is>
          <t>UPPSALA</t>
        </is>
      </c>
      <c r="F930" t="inlineStr">
        <is>
          <t>Övriga Aktiebolag</t>
        </is>
      </c>
      <c r="G930" t="n">
        <v>5.9</v>
      </c>
      <c r="H930" t="n">
        <v>0</v>
      </c>
      <c r="I930" t="n">
        <v>0</v>
      </c>
      <c r="J930" t="n">
        <v>0</v>
      </c>
      <c r="K930" t="n">
        <v>0</v>
      </c>
      <c r="L930" t="n">
        <v>0</v>
      </c>
      <c r="M930" t="n">
        <v>0</v>
      </c>
      <c r="N930" t="n">
        <v>0</v>
      </c>
      <c r="O930" t="n">
        <v>0</v>
      </c>
      <c r="P930" t="n">
        <v>0</v>
      </c>
      <c r="Q930" t="n">
        <v>0</v>
      </c>
      <c r="R930" s="2" t="inlineStr"/>
    </row>
    <row r="931" ht="15" customHeight="1">
      <c r="A931" t="inlineStr">
        <is>
          <t>A 14907-2025</t>
        </is>
      </c>
      <c r="B931" s="1" t="n">
        <v>45743.50744212963</v>
      </c>
      <c r="C931" s="1" t="n">
        <v>46138</v>
      </c>
      <c r="D931" t="inlineStr">
        <is>
          <t>UPPSALA LÄN</t>
        </is>
      </c>
      <c r="E931" t="inlineStr">
        <is>
          <t>UPPSALA</t>
        </is>
      </c>
      <c r="G931" t="n">
        <v>7</v>
      </c>
      <c r="H931" t="n">
        <v>0</v>
      </c>
      <c r="I931" t="n">
        <v>0</v>
      </c>
      <c r="J931" t="n">
        <v>0</v>
      </c>
      <c r="K931" t="n">
        <v>0</v>
      </c>
      <c r="L931" t="n">
        <v>0</v>
      </c>
      <c r="M931" t="n">
        <v>0</v>
      </c>
      <c r="N931" t="n">
        <v>0</v>
      </c>
      <c r="O931" t="n">
        <v>0</v>
      </c>
      <c r="P931" t="n">
        <v>0</v>
      </c>
      <c r="Q931" t="n">
        <v>0</v>
      </c>
      <c r="R931" s="2" t="inlineStr"/>
    </row>
    <row r="932" ht="15" customHeight="1">
      <c r="A932" t="inlineStr">
        <is>
          <t>A 8500-2026</t>
        </is>
      </c>
      <c r="B932" s="1" t="n">
        <v>46065.50152777778</v>
      </c>
      <c r="C932" s="1" t="n">
        <v>46138</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15603-2026</t>
        </is>
      </c>
      <c r="B933" s="1" t="n">
        <v>46106.59421296296</v>
      </c>
      <c r="C933" s="1" t="n">
        <v>46138</v>
      </c>
      <c r="D933" t="inlineStr">
        <is>
          <t>UPPSALA LÄN</t>
        </is>
      </c>
      <c r="E933" t="inlineStr">
        <is>
          <t>UPPSALA</t>
        </is>
      </c>
      <c r="G933" t="n">
        <v>3.4</v>
      </c>
      <c r="H933" t="n">
        <v>0</v>
      </c>
      <c r="I933" t="n">
        <v>0</v>
      </c>
      <c r="J933" t="n">
        <v>0</v>
      </c>
      <c r="K933" t="n">
        <v>0</v>
      </c>
      <c r="L933" t="n">
        <v>0</v>
      </c>
      <c r="M933" t="n">
        <v>0</v>
      </c>
      <c r="N933" t="n">
        <v>0</v>
      </c>
      <c r="O933" t="n">
        <v>0</v>
      </c>
      <c r="P933" t="n">
        <v>0</v>
      </c>
      <c r="Q933" t="n">
        <v>0</v>
      </c>
      <c r="R933" s="2" t="inlineStr"/>
    </row>
    <row r="934" ht="15" customHeight="1">
      <c r="A934" t="inlineStr">
        <is>
          <t>A 18443-2023</t>
        </is>
      </c>
      <c r="B934" s="1" t="n">
        <v>45042</v>
      </c>
      <c r="C934" s="1" t="n">
        <v>46138</v>
      </c>
      <c r="D934" t="inlineStr">
        <is>
          <t>UPPSALA LÄN</t>
        </is>
      </c>
      <c r="E934" t="inlineStr">
        <is>
          <t>UPPSALA</t>
        </is>
      </c>
      <c r="G934" t="n">
        <v>0.4</v>
      </c>
      <c r="H934" t="n">
        <v>0</v>
      </c>
      <c r="I934" t="n">
        <v>0</v>
      </c>
      <c r="J934" t="n">
        <v>0</v>
      </c>
      <c r="K934" t="n">
        <v>0</v>
      </c>
      <c r="L934" t="n">
        <v>0</v>
      </c>
      <c r="M934" t="n">
        <v>0</v>
      </c>
      <c r="N934" t="n">
        <v>0</v>
      </c>
      <c r="O934" t="n">
        <v>0</v>
      </c>
      <c r="P934" t="n">
        <v>0</v>
      </c>
      <c r="Q934" t="n">
        <v>0</v>
      </c>
      <c r="R934" s="2" t="inlineStr"/>
    </row>
    <row r="935" ht="15" customHeight="1">
      <c r="A935" t="inlineStr">
        <is>
          <t>A 15935-2026</t>
        </is>
      </c>
      <c r="B935" s="1" t="n">
        <v>46107.67354166666</v>
      </c>
      <c r="C935" s="1" t="n">
        <v>46138</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19017-2023</t>
        </is>
      </c>
      <c r="B936" s="1" t="n">
        <v>45047.31793981481</v>
      </c>
      <c r="C936" s="1" t="n">
        <v>46138</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10674-2022</t>
        </is>
      </c>
      <c r="B937" s="1" t="n">
        <v>44624.64538194444</v>
      </c>
      <c r="C937" s="1" t="n">
        <v>46138</v>
      </c>
      <c r="D937" t="inlineStr">
        <is>
          <t>UPPSALA LÄN</t>
        </is>
      </c>
      <c r="E937" t="inlineStr">
        <is>
          <t>UPPSALA</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15940-2026</t>
        </is>
      </c>
      <c r="B938" s="1" t="n">
        <v>46107.690625</v>
      </c>
      <c r="C938" s="1" t="n">
        <v>46138</v>
      </c>
      <c r="D938" t="inlineStr">
        <is>
          <t>UPPSALA LÄN</t>
        </is>
      </c>
      <c r="E938" t="inlineStr">
        <is>
          <t>UPPSALA</t>
        </is>
      </c>
      <c r="G938" t="n">
        <v>19.9</v>
      </c>
      <c r="H938" t="n">
        <v>0</v>
      </c>
      <c r="I938" t="n">
        <v>0</v>
      </c>
      <c r="J938" t="n">
        <v>0</v>
      </c>
      <c r="K938" t="n">
        <v>0</v>
      </c>
      <c r="L938" t="n">
        <v>0</v>
      </c>
      <c r="M938" t="n">
        <v>0</v>
      </c>
      <c r="N938" t="n">
        <v>0</v>
      </c>
      <c r="O938" t="n">
        <v>0</v>
      </c>
      <c r="P938" t="n">
        <v>0</v>
      </c>
      <c r="Q938" t="n">
        <v>0</v>
      </c>
      <c r="R938" s="2" t="inlineStr"/>
    </row>
    <row r="939" ht="15" customHeight="1">
      <c r="A939" t="inlineStr">
        <is>
          <t>A 8364-2026</t>
        </is>
      </c>
      <c r="B939" s="1" t="n">
        <v>46064</v>
      </c>
      <c r="C939" s="1" t="n">
        <v>46138</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8377-2026</t>
        </is>
      </c>
      <c r="B940" s="1" t="n">
        <v>46064.78336805556</v>
      </c>
      <c r="C940" s="1" t="n">
        <v>46138</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9069-2026</t>
        </is>
      </c>
      <c r="B941" s="1" t="n">
        <v>46069.57407407407</v>
      </c>
      <c r="C941" s="1" t="n">
        <v>46138</v>
      </c>
      <c r="D941" t="inlineStr">
        <is>
          <t>UPPSALA LÄN</t>
        </is>
      </c>
      <c r="E941" t="inlineStr">
        <is>
          <t>UPPSALA</t>
        </is>
      </c>
      <c r="F941" t="inlineStr">
        <is>
          <t>Holmen skog AB</t>
        </is>
      </c>
      <c r="G941" t="n">
        <v>4.9</v>
      </c>
      <c r="H941" t="n">
        <v>0</v>
      </c>
      <c r="I941" t="n">
        <v>0</v>
      </c>
      <c r="J941" t="n">
        <v>0</v>
      </c>
      <c r="K941" t="n">
        <v>0</v>
      </c>
      <c r="L941" t="n">
        <v>0</v>
      </c>
      <c r="M941" t="n">
        <v>0</v>
      </c>
      <c r="N941" t="n">
        <v>0</v>
      </c>
      <c r="O941" t="n">
        <v>0</v>
      </c>
      <c r="P941" t="n">
        <v>0</v>
      </c>
      <c r="Q941" t="n">
        <v>0</v>
      </c>
      <c r="R941" s="2" t="inlineStr"/>
    </row>
    <row r="942" ht="15" customHeight="1">
      <c r="A942" t="inlineStr">
        <is>
          <t>A 16396-2026</t>
        </is>
      </c>
      <c r="B942" s="1" t="n">
        <v>46111.63601851852</v>
      </c>
      <c r="C942" s="1" t="n">
        <v>46138</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16403-2026</t>
        </is>
      </c>
      <c r="B943" s="1" t="n">
        <v>46111.64125</v>
      </c>
      <c r="C943" s="1" t="n">
        <v>46138</v>
      </c>
      <c r="D943" t="inlineStr">
        <is>
          <t>UPPSALA LÄN</t>
        </is>
      </c>
      <c r="E943" t="inlineStr">
        <is>
          <t>UPPSALA</t>
        </is>
      </c>
      <c r="G943" t="n">
        <v>4.5</v>
      </c>
      <c r="H943" t="n">
        <v>0</v>
      </c>
      <c r="I943" t="n">
        <v>0</v>
      </c>
      <c r="J943" t="n">
        <v>0</v>
      </c>
      <c r="K943" t="n">
        <v>0</v>
      </c>
      <c r="L943" t="n">
        <v>0</v>
      </c>
      <c r="M943" t="n">
        <v>0</v>
      </c>
      <c r="N943" t="n">
        <v>0</v>
      </c>
      <c r="O943" t="n">
        <v>0</v>
      </c>
      <c r="P943" t="n">
        <v>0</v>
      </c>
      <c r="Q943" t="n">
        <v>0</v>
      </c>
      <c r="R943" s="2" t="inlineStr"/>
    </row>
    <row r="944" ht="15" customHeight="1">
      <c r="A944" t="inlineStr">
        <is>
          <t>A 16139-2026</t>
        </is>
      </c>
      <c r="B944" s="1" t="n">
        <v>46108.65554398148</v>
      </c>
      <c r="C944" s="1" t="n">
        <v>46138</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4509-2024</t>
        </is>
      </c>
      <c r="B945" s="1" t="n">
        <v>45327</v>
      </c>
      <c r="C945" s="1" t="n">
        <v>46138</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19513-2023</t>
        </is>
      </c>
      <c r="B946" s="1" t="n">
        <v>45050.49392361111</v>
      </c>
      <c r="C946" s="1" t="n">
        <v>46138</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46138</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787-2024</t>
        </is>
      </c>
      <c r="B948" s="1" t="n">
        <v>45300</v>
      </c>
      <c r="C948" s="1" t="n">
        <v>46138</v>
      </c>
      <c r="D948" t="inlineStr">
        <is>
          <t>UPPSALA LÄN</t>
        </is>
      </c>
      <c r="E948" t="inlineStr">
        <is>
          <t>UPPSALA</t>
        </is>
      </c>
      <c r="G948" t="n">
        <v>3</v>
      </c>
      <c r="H948" t="n">
        <v>0</v>
      </c>
      <c r="I948" t="n">
        <v>0</v>
      </c>
      <c r="J948" t="n">
        <v>0</v>
      </c>
      <c r="K948" t="n">
        <v>0</v>
      </c>
      <c r="L948" t="n">
        <v>0</v>
      </c>
      <c r="M948" t="n">
        <v>0</v>
      </c>
      <c r="N948" t="n">
        <v>0</v>
      </c>
      <c r="O948" t="n">
        <v>0</v>
      </c>
      <c r="P948" t="n">
        <v>0</v>
      </c>
      <c r="Q948" t="n">
        <v>0</v>
      </c>
      <c r="R948" s="2" t="inlineStr"/>
    </row>
    <row r="949" ht="15" customHeight="1">
      <c r="A949" t="inlineStr">
        <is>
          <t>A 70031-2021</t>
        </is>
      </c>
      <c r="B949" s="1" t="n">
        <v>44533.46665509259</v>
      </c>
      <c r="C949" s="1" t="n">
        <v>46138</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16673-2026</t>
        </is>
      </c>
      <c r="B950" s="1" t="n">
        <v>46112.67483796296</v>
      </c>
      <c r="C950" s="1" t="n">
        <v>46138</v>
      </c>
      <c r="D950" t="inlineStr">
        <is>
          <t>UPPSALA LÄN</t>
        </is>
      </c>
      <c r="E950" t="inlineStr">
        <is>
          <t>UPPSALA</t>
        </is>
      </c>
      <c r="G950" t="n">
        <v>1.3</v>
      </c>
      <c r="H950" t="n">
        <v>0</v>
      </c>
      <c r="I950" t="n">
        <v>0</v>
      </c>
      <c r="J950" t="n">
        <v>0</v>
      </c>
      <c r="K950" t="n">
        <v>0</v>
      </c>
      <c r="L950" t="n">
        <v>0</v>
      </c>
      <c r="M950" t="n">
        <v>0</v>
      </c>
      <c r="N950" t="n">
        <v>0</v>
      </c>
      <c r="O950" t="n">
        <v>0</v>
      </c>
      <c r="P950" t="n">
        <v>0</v>
      </c>
      <c r="Q950" t="n">
        <v>0</v>
      </c>
      <c r="R950" s="2" t="inlineStr"/>
    </row>
    <row r="951" ht="15" customHeight="1">
      <c r="A951" t="inlineStr">
        <is>
          <t>A 16676-2026</t>
        </is>
      </c>
      <c r="B951" s="1" t="n">
        <v>46112.6831712963</v>
      </c>
      <c r="C951" s="1" t="n">
        <v>46138</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38493-2023</t>
        </is>
      </c>
      <c r="B952" s="1" t="n">
        <v>45162</v>
      </c>
      <c r="C952" s="1" t="n">
        <v>46138</v>
      </c>
      <c r="D952" t="inlineStr">
        <is>
          <t>UPPSALA LÄN</t>
        </is>
      </c>
      <c r="E952" t="inlineStr">
        <is>
          <t>UPPSALA</t>
        </is>
      </c>
      <c r="F952" t="inlineStr">
        <is>
          <t>Allmännings- och besparingsskogar</t>
        </is>
      </c>
      <c r="G952" t="n">
        <v>3.5</v>
      </c>
      <c r="H952" t="n">
        <v>0</v>
      </c>
      <c r="I952" t="n">
        <v>0</v>
      </c>
      <c r="J952" t="n">
        <v>0</v>
      </c>
      <c r="K952" t="n">
        <v>0</v>
      </c>
      <c r="L952" t="n">
        <v>0</v>
      </c>
      <c r="M952" t="n">
        <v>0</v>
      </c>
      <c r="N952" t="n">
        <v>0</v>
      </c>
      <c r="O952" t="n">
        <v>0</v>
      </c>
      <c r="P952" t="n">
        <v>0</v>
      </c>
      <c r="Q952" t="n">
        <v>0</v>
      </c>
      <c r="R952" s="2" t="inlineStr"/>
    </row>
    <row r="953" ht="15" customHeight="1">
      <c r="A953" t="inlineStr">
        <is>
          <t>A 36782-2023</t>
        </is>
      </c>
      <c r="B953" s="1" t="n">
        <v>45154.35092592592</v>
      </c>
      <c r="C953" s="1" t="n">
        <v>46138</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6970-2025</t>
        </is>
      </c>
      <c r="B954" s="1" t="n">
        <v>45693</v>
      </c>
      <c r="C954" s="1" t="n">
        <v>46138</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5068-2025</t>
        </is>
      </c>
      <c r="B955" s="1" t="n">
        <v>45691</v>
      </c>
      <c r="C955" s="1" t="n">
        <v>46138</v>
      </c>
      <c r="D955" t="inlineStr">
        <is>
          <t>UPPSALA LÄN</t>
        </is>
      </c>
      <c r="E955" t="inlineStr">
        <is>
          <t>UPPSALA</t>
        </is>
      </c>
      <c r="G955" t="n">
        <v>5.9</v>
      </c>
      <c r="H955" t="n">
        <v>0</v>
      </c>
      <c r="I955" t="n">
        <v>0</v>
      </c>
      <c r="J955" t="n">
        <v>0</v>
      </c>
      <c r="K955" t="n">
        <v>0</v>
      </c>
      <c r="L955" t="n">
        <v>0</v>
      </c>
      <c r="M955" t="n">
        <v>0</v>
      </c>
      <c r="N955" t="n">
        <v>0</v>
      </c>
      <c r="O955" t="n">
        <v>0</v>
      </c>
      <c r="P955" t="n">
        <v>0</v>
      </c>
      <c r="Q955" t="n">
        <v>0</v>
      </c>
      <c r="R955" s="2" t="inlineStr"/>
    </row>
    <row r="956" ht="15" customHeight="1">
      <c r="A956" t="inlineStr">
        <is>
          <t>A 46635-2022</t>
        </is>
      </c>
      <c r="B956" s="1" t="n">
        <v>44849</v>
      </c>
      <c r="C956" s="1" t="n">
        <v>46138</v>
      </c>
      <c r="D956" t="inlineStr">
        <is>
          <t>UPPSALA LÄN</t>
        </is>
      </c>
      <c r="E956" t="inlineStr">
        <is>
          <t>UPPSALA</t>
        </is>
      </c>
      <c r="G956" t="n">
        <v>3.4</v>
      </c>
      <c r="H956" t="n">
        <v>0</v>
      </c>
      <c r="I956" t="n">
        <v>0</v>
      </c>
      <c r="J956" t="n">
        <v>0</v>
      </c>
      <c r="K956" t="n">
        <v>0</v>
      </c>
      <c r="L956" t="n">
        <v>0</v>
      </c>
      <c r="M956" t="n">
        <v>0</v>
      </c>
      <c r="N956" t="n">
        <v>0</v>
      </c>
      <c r="O956" t="n">
        <v>0</v>
      </c>
      <c r="P956" t="n">
        <v>0</v>
      </c>
      <c r="Q956" t="n">
        <v>0</v>
      </c>
      <c r="R956" s="2" t="inlineStr"/>
    </row>
    <row r="957" ht="15" customHeight="1">
      <c r="A957" t="inlineStr">
        <is>
          <t>A 2897-2025</t>
        </is>
      </c>
      <c r="B957" s="1" t="n">
        <v>45677</v>
      </c>
      <c r="C957" s="1" t="n">
        <v>46138</v>
      </c>
      <c r="D957" t="inlineStr">
        <is>
          <t>UPPSALA LÄN</t>
        </is>
      </c>
      <c r="E957" t="inlineStr">
        <is>
          <t>UPPSALA</t>
        </is>
      </c>
      <c r="G957" t="n">
        <v>2.7</v>
      </c>
      <c r="H957" t="n">
        <v>0</v>
      </c>
      <c r="I957" t="n">
        <v>0</v>
      </c>
      <c r="J957" t="n">
        <v>0</v>
      </c>
      <c r="K957" t="n">
        <v>0</v>
      </c>
      <c r="L957" t="n">
        <v>0</v>
      </c>
      <c r="M957" t="n">
        <v>0</v>
      </c>
      <c r="N957" t="n">
        <v>0</v>
      </c>
      <c r="O957" t="n">
        <v>0</v>
      </c>
      <c r="P957" t="n">
        <v>0</v>
      </c>
      <c r="Q957" t="n">
        <v>0</v>
      </c>
      <c r="R957" s="2" t="inlineStr"/>
    </row>
    <row r="958" ht="15" customHeight="1">
      <c r="A958" t="inlineStr">
        <is>
          <t>A 17593-2025</t>
        </is>
      </c>
      <c r="B958" s="1" t="n">
        <v>45757.6997337963</v>
      </c>
      <c r="C958" s="1" t="n">
        <v>46138</v>
      </c>
      <c r="D958" t="inlineStr">
        <is>
          <t>UPPSALA LÄN</t>
        </is>
      </c>
      <c r="E958" t="inlineStr">
        <is>
          <t>UPPSALA</t>
        </is>
      </c>
      <c r="G958" t="n">
        <v>3.6</v>
      </c>
      <c r="H958" t="n">
        <v>0</v>
      </c>
      <c r="I958" t="n">
        <v>0</v>
      </c>
      <c r="J958" t="n">
        <v>0</v>
      </c>
      <c r="K958" t="n">
        <v>0</v>
      </c>
      <c r="L958" t="n">
        <v>0</v>
      </c>
      <c r="M958" t="n">
        <v>0</v>
      </c>
      <c r="N958" t="n">
        <v>0</v>
      </c>
      <c r="O958" t="n">
        <v>0</v>
      </c>
      <c r="P958" t="n">
        <v>0</v>
      </c>
      <c r="Q958" t="n">
        <v>0</v>
      </c>
      <c r="R958" s="2" t="inlineStr"/>
    </row>
    <row r="959" ht="15" customHeight="1">
      <c r="A959" t="inlineStr">
        <is>
          <t>A 17596-2025</t>
        </is>
      </c>
      <c r="B959" s="1" t="n">
        <v>45757</v>
      </c>
      <c r="C959" s="1" t="n">
        <v>46138</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54512-2024</t>
        </is>
      </c>
      <c r="B960" s="1" t="n">
        <v>45617.59006944444</v>
      </c>
      <c r="C960" s="1" t="n">
        <v>46138</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8473-2023</t>
        </is>
      </c>
      <c r="B961" s="1" t="n">
        <v>44977</v>
      </c>
      <c r="C961" s="1" t="n">
        <v>46138</v>
      </c>
      <c r="D961" t="inlineStr">
        <is>
          <t>UPPSALA LÄN</t>
        </is>
      </c>
      <c r="E961" t="inlineStr">
        <is>
          <t>UPPSALA</t>
        </is>
      </c>
      <c r="F961" t="inlineStr">
        <is>
          <t>Holmen skog AB</t>
        </is>
      </c>
      <c r="G961" t="n">
        <v>3.6</v>
      </c>
      <c r="H961" t="n">
        <v>0</v>
      </c>
      <c r="I961" t="n">
        <v>0</v>
      </c>
      <c r="J961" t="n">
        <v>0</v>
      </c>
      <c r="K961" t="n">
        <v>0</v>
      </c>
      <c r="L961" t="n">
        <v>0</v>
      </c>
      <c r="M961" t="n">
        <v>0</v>
      </c>
      <c r="N961" t="n">
        <v>0</v>
      </c>
      <c r="O961" t="n">
        <v>0</v>
      </c>
      <c r="P961" t="n">
        <v>0</v>
      </c>
      <c r="Q961" t="n">
        <v>0</v>
      </c>
      <c r="R961" s="2" t="inlineStr"/>
    </row>
    <row r="962" ht="15" customHeight="1">
      <c r="A962" t="inlineStr">
        <is>
          <t>A 17127-2026</t>
        </is>
      </c>
      <c r="B962" s="1" t="n">
        <v>46114.67155092592</v>
      </c>
      <c r="C962" s="1" t="n">
        <v>46138</v>
      </c>
      <c r="D962" t="inlineStr">
        <is>
          <t>UPPSALA LÄN</t>
        </is>
      </c>
      <c r="E962" t="inlineStr">
        <is>
          <t>UPPSALA</t>
        </is>
      </c>
      <c r="F962" t="inlineStr">
        <is>
          <t>Bergvik skog öst AB</t>
        </is>
      </c>
      <c r="G962" t="n">
        <v>2.6</v>
      </c>
      <c r="H962" t="n">
        <v>0</v>
      </c>
      <c r="I962" t="n">
        <v>0</v>
      </c>
      <c r="J962" t="n">
        <v>0</v>
      </c>
      <c r="K962" t="n">
        <v>0</v>
      </c>
      <c r="L962" t="n">
        <v>0</v>
      </c>
      <c r="M962" t="n">
        <v>0</v>
      </c>
      <c r="N962" t="n">
        <v>0</v>
      </c>
      <c r="O962" t="n">
        <v>0</v>
      </c>
      <c r="P962" t="n">
        <v>0</v>
      </c>
      <c r="Q962" t="n">
        <v>0</v>
      </c>
      <c r="R962" s="2" t="inlineStr"/>
    </row>
    <row r="963" ht="15" customHeight="1">
      <c r="A963" t="inlineStr">
        <is>
          <t>A 17133-2026</t>
        </is>
      </c>
      <c r="B963" s="1" t="n">
        <v>46114.67729166667</v>
      </c>
      <c r="C963" s="1" t="n">
        <v>46138</v>
      </c>
      <c r="D963" t="inlineStr">
        <is>
          <t>UPPSALA LÄN</t>
        </is>
      </c>
      <c r="E963" t="inlineStr">
        <is>
          <t>UPPSALA</t>
        </is>
      </c>
      <c r="F963" t="inlineStr">
        <is>
          <t>Bergvik skog öst AB</t>
        </is>
      </c>
      <c r="G963" t="n">
        <v>1</v>
      </c>
      <c r="H963" t="n">
        <v>0</v>
      </c>
      <c r="I963" t="n">
        <v>0</v>
      </c>
      <c r="J963" t="n">
        <v>0</v>
      </c>
      <c r="K963" t="n">
        <v>0</v>
      </c>
      <c r="L963" t="n">
        <v>0</v>
      </c>
      <c r="M963" t="n">
        <v>0</v>
      </c>
      <c r="N963" t="n">
        <v>0</v>
      </c>
      <c r="O963" t="n">
        <v>0</v>
      </c>
      <c r="P963" t="n">
        <v>0</v>
      </c>
      <c r="Q963" t="n">
        <v>0</v>
      </c>
      <c r="R963" s="2" t="inlineStr"/>
    </row>
    <row r="964" ht="15" customHeight="1">
      <c r="A964" t="inlineStr">
        <is>
          <t>A 17080-2026</t>
        </is>
      </c>
      <c r="B964" s="1" t="n">
        <v>46114.55930555556</v>
      </c>
      <c r="C964" s="1" t="n">
        <v>46138</v>
      </c>
      <c r="D964" t="inlineStr">
        <is>
          <t>UPPSALA LÄN</t>
        </is>
      </c>
      <c r="E964" t="inlineStr">
        <is>
          <t>UPPSALA</t>
        </is>
      </c>
      <c r="G964" t="n">
        <v>1.4</v>
      </c>
      <c r="H964" t="n">
        <v>0</v>
      </c>
      <c r="I964" t="n">
        <v>0</v>
      </c>
      <c r="J964" t="n">
        <v>0</v>
      </c>
      <c r="K964" t="n">
        <v>0</v>
      </c>
      <c r="L964" t="n">
        <v>0</v>
      </c>
      <c r="M964" t="n">
        <v>0</v>
      </c>
      <c r="N964" t="n">
        <v>0</v>
      </c>
      <c r="O964" t="n">
        <v>0</v>
      </c>
      <c r="P964" t="n">
        <v>0</v>
      </c>
      <c r="Q964" t="n">
        <v>0</v>
      </c>
      <c r="R964" s="2" t="inlineStr"/>
    </row>
    <row r="965" ht="15" customHeight="1">
      <c r="A965" t="inlineStr">
        <is>
          <t>A 17125-2026</t>
        </is>
      </c>
      <c r="B965" s="1" t="n">
        <v>46114.66987268518</v>
      </c>
      <c r="C965" s="1" t="n">
        <v>46138</v>
      </c>
      <c r="D965" t="inlineStr">
        <is>
          <t>UPPSALA LÄN</t>
        </is>
      </c>
      <c r="E965" t="inlineStr">
        <is>
          <t>UPPSALA</t>
        </is>
      </c>
      <c r="F965" t="inlineStr">
        <is>
          <t>Bergvik skog öst AB</t>
        </is>
      </c>
      <c r="G965" t="n">
        <v>1.5</v>
      </c>
      <c r="H965" t="n">
        <v>0</v>
      </c>
      <c r="I965" t="n">
        <v>0</v>
      </c>
      <c r="J965" t="n">
        <v>0</v>
      </c>
      <c r="K965" t="n">
        <v>0</v>
      </c>
      <c r="L965" t="n">
        <v>0</v>
      </c>
      <c r="M965" t="n">
        <v>0</v>
      </c>
      <c r="N965" t="n">
        <v>0</v>
      </c>
      <c r="O965" t="n">
        <v>0</v>
      </c>
      <c r="P965" t="n">
        <v>0</v>
      </c>
      <c r="Q965" t="n">
        <v>0</v>
      </c>
      <c r="R965" s="2" t="inlineStr"/>
    </row>
    <row r="966" ht="15" customHeight="1">
      <c r="A966" t="inlineStr">
        <is>
          <t>A 17131-2026</t>
        </is>
      </c>
      <c r="B966" s="1" t="n">
        <v>46114.67606481481</v>
      </c>
      <c r="C966" s="1" t="n">
        <v>46138</v>
      </c>
      <c r="D966" t="inlineStr">
        <is>
          <t>UPPSALA LÄN</t>
        </is>
      </c>
      <c r="E966" t="inlineStr">
        <is>
          <t>UPPSALA</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11739-2023</t>
        </is>
      </c>
      <c r="B967" s="1" t="n">
        <v>44993</v>
      </c>
      <c r="C967" s="1" t="n">
        <v>46138</v>
      </c>
      <c r="D967" t="inlineStr">
        <is>
          <t>UPPSALA LÄN</t>
        </is>
      </c>
      <c r="E967" t="inlineStr">
        <is>
          <t>UPPSALA</t>
        </is>
      </c>
      <c r="G967" t="n">
        <v>1.1</v>
      </c>
      <c r="H967" t="n">
        <v>0</v>
      </c>
      <c r="I967" t="n">
        <v>0</v>
      </c>
      <c r="J967" t="n">
        <v>0</v>
      </c>
      <c r="K967" t="n">
        <v>0</v>
      </c>
      <c r="L967" t="n">
        <v>0</v>
      </c>
      <c r="M967" t="n">
        <v>0</v>
      </c>
      <c r="N967" t="n">
        <v>0</v>
      </c>
      <c r="O967" t="n">
        <v>0</v>
      </c>
      <c r="P967" t="n">
        <v>0</v>
      </c>
      <c r="Q967" t="n">
        <v>0</v>
      </c>
      <c r="R967" s="2" t="inlineStr"/>
    </row>
    <row r="968" ht="15" customHeight="1">
      <c r="A968" t="inlineStr">
        <is>
          <t>A 10587-2026</t>
        </is>
      </c>
      <c r="B968" s="1" t="n">
        <v>46077.68528935185</v>
      </c>
      <c r="C968" s="1" t="n">
        <v>46138</v>
      </c>
      <c r="D968" t="inlineStr">
        <is>
          <t>UPPSALA LÄN</t>
        </is>
      </c>
      <c r="E968" t="inlineStr">
        <is>
          <t>UPPSALA</t>
        </is>
      </c>
      <c r="F968" t="inlineStr">
        <is>
          <t>Bergvik skog öst AB</t>
        </is>
      </c>
      <c r="G968" t="n">
        <v>5.8</v>
      </c>
      <c r="H968" t="n">
        <v>0</v>
      </c>
      <c r="I968" t="n">
        <v>0</v>
      </c>
      <c r="J968" t="n">
        <v>0</v>
      </c>
      <c r="K968" t="n">
        <v>0</v>
      </c>
      <c r="L968" t="n">
        <v>0</v>
      </c>
      <c r="M968" t="n">
        <v>0</v>
      </c>
      <c r="N968" t="n">
        <v>0</v>
      </c>
      <c r="O968" t="n">
        <v>0</v>
      </c>
      <c r="P968" t="n">
        <v>0</v>
      </c>
      <c r="Q968" t="n">
        <v>0</v>
      </c>
      <c r="R968" s="2" t="inlineStr"/>
    </row>
    <row r="969" ht="15" customHeight="1">
      <c r="A969" t="inlineStr">
        <is>
          <t>A 10223-2026</t>
        </is>
      </c>
      <c r="B969" s="1" t="n">
        <v>46076.50559027777</v>
      </c>
      <c r="C969" s="1" t="n">
        <v>46138</v>
      </c>
      <c r="D969" t="inlineStr">
        <is>
          <t>UPPSALA LÄN</t>
        </is>
      </c>
      <c r="E969" t="inlineStr">
        <is>
          <t>UPPSALA</t>
        </is>
      </c>
      <c r="F969" t="inlineStr">
        <is>
          <t>Holmen skog AB</t>
        </is>
      </c>
      <c r="G969" t="n">
        <v>3.5</v>
      </c>
      <c r="H969" t="n">
        <v>0</v>
      </c>
      <c r="I969" t="n">
        <v>0</v>
      </c>
      <c r="J969" t="n">
        <v>0</v>
      </c>
      <c r="K969" t="n">
        <v>0</v>
      </c>
      <c r="L969" t="n">
        <v>0</v>
      </c>
      <c r="M969" t="n">
        <v>0</v>
      </c>
      <c r="N969" t="n">
        <v>0</v>
      </c>
      <c r="O969" t="n">
        <v>0</v>
      </c>
      <c r="P969" t="n">
        <v>0</v>
      </c>
      <c r="Q969" t="n">
        <v>0</v>
      </c>
      <c r="R969" s="2" t="inlineStr"/>
    </row>
    <row r="970" ht="15" customHeight="1">
      <c r="A970" t="inlineStr">
        <is>
          <t>A 21935-2023</t>
        </is>
      </c>
      <c r="B970" s="1" t="n">
        <v>45068.58563657408</v>
      </c>
      <c r="C970" s="1" t="n">
        <v>46138</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367-2023</t>
        </is>
      </c>
      <c r="B971" s="1" t="n">
        <v>44929</v>
      </c>
      <c r="C971" s="1" t="n">
        <v>46138</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10584-2026</t>
        </is>
      </c>
      <c r="B972" s="1" t="n">
        <v>46077.67903935185</v>
      </c>
      <c r="C972" s="1" t="n">
        <v>46138</v>
      </c>
      <c r="D972" t="inlineStr">
        <is>
          <t>UPPSALA LÄN</t>
        </is>
      </c>
      <c r="E972" t="inlineStr">
        <is>
          <t>UPPSALA</t>
        </is>
      </c>
      <c r="F972" t="inlineStr">
        <is>
          <t>Bergvik skog öst AB</t>
        </is>
      </c>
      <c r="G972" t="n">
        <v>3.9</v>
      </c>
      <c r="H972" t="n">
        <v>0</v>
      </c>
      <c r="I972" t="n">
        <v>0</v>
      </c>
      <c r="J972" t="n">
        <v>0</v>
      </c>
      <c r="K972" t="n">
        <v>0</v>
      </c>
      <c r="L972" t="n">
        <v>0</v>
      </c>
      <c r="M972" t="n">
        <v>0</v>
      </c>
      <c r="N972" t="n">
        <v>0</v>
      </c>
      <c r="O972" t="n">
        <v>0</v>
      </c>
      <c r="P972" t="n">
        <v>0</v>
      </c>
      <c r="Q972" t="n">
        <v>0</v>
      </c>
      <c r="R972" s="2" t="inlineStr"/>
    </row>
    <row r="973" ht="15" customHeight="1">
      <c r="A973" t="inlineStr">
        <is>
          <t>A 10585-2026</t>
        </is>
      </c>
      <c r="B973" s="1" t="n">
        <v>46077.68155092592</v>
      </c>
      <c r="C973" s="1" t="n">
        <v>46138</v>
      </c>
      <c r="D973" t="inlineStr">
        <is>
          <t>UPPSALA LÄN</t>
        </is>
      </c>
      <c r="E973" t="inlineStr">
        <is>
          <t>UPPSALA</t>
        </is>
      </c>
      <c r="F973" t="inlineStr">
        <is>
          <t>Bergvik skog öst AB</t>
        </is>
      </c>
      <c r="G973" t="n">
        <v>3.9</v>
      </c>
      <c r="H973" t="n">
        <v>0</v>
      </c>
      <c r="I973" t="n">
        <v>0</v>
      </c>
      <c r="J973" t="n">
        <v>0</v>
      </c>
      <c r="K973" t="n">
        <v>0</v>
      </c>
      <c r="L973" t="n">
        <v>0</v>
      </c>
      <c r="M973" t="n">
        <v>0</v>
      </c>
      <c r="N973" t="n">
        <v>0</v>
      </c>
      <c r="O973" t="n">
        <v>0</v>
      </c>
      <c r="P973" t="n">
        <v>0</v>
      </c>
      <c r="Q973" t="n">
        <v>0</v>
      </c>
      <c r="R973" s="2" t="inlineStr"/>
    </row>
    <row r="974" ht="15" customHeight="1">
      <c r="A974" t="inlineStr">
        <is>
          <t>A 17217-2026</t>
        </is>
      </c>
      <c r="B974" s="1" t="n">
        <v>46119.3684375</v>
      </c>
      <c r="C974" s="1" t="n">
        <v>46138</v>
      </c>
      <c r="D974" t="inlineStr">
        <is>
          <t>UPPSALA LÄN</t>
        </is>
      </c>
      <c r="E974" t="inlineStr">
        <is>
          <t>UPPSALA</t>
        </is>
      </c>
      <c r="G974" t="n">
        <v>2.5</v>
      </c>
      <c r="H974" t="n">
        <v>0</v>
      </c>
      <c r="I974" t="n">
        <v>0</v>
      </c>
      <c r="J974" t="n">
        <v>0</v>
      </c>
      <c r="K974" t="n">
        <v>0</v>
      </c>
      <c r="L974" t="n">
        <v>0</v>
      </c>
      <c r="M974" t="n">
        <v>0</v>
      </c>
      <c r="N974" t="n">
        <v>0</v>
      </c>
      <c r="O974" t="n">
        <v>0</v>
      </c>
      <c r="P974" t="n">
        <v>0</v>
      </c>
      <c r="Q974" t="n">
        <v>0</v>
      </c>
      <c r="R974" s="2" t="inlineStr"/>
    </row>
    <row r="975" ht="15" customHeight="1">
      <c r="A975" t="inlineStr">
        <is>
          <t>A 46069-2022</t>
        </is>
      </c>
      <c r="B975" s="1" t="n">
        <v>44847</v>
      </c>
      <c r="C975" s="1" t="n">
        <v>46138</v>
      </c>
      <c r="D975" t="inlineStr">
        <is>
          <t>UPPSALA LÄN</t>
        </is>
      </c>
      <c r="E975" t="inlineStr">
        <is>
          <t>UPPSALA</t>
        </is>
      </c>
      <c r="G975" t="n">
        <v>2.2</v>
      </c>
      <c r="H975" t="n">
        <v>0</v>
      </c>
      <c r="I975" t="n">
        <v>0</v>
      </c>
      <c r="J975" t="n">
        <v>0</v>
      </c>
      <c r="K975" t="n">
        <v>0</v>
      </c>
      <c r="L975" t="n">
        <v>0</v>
      </c>
      <c r="M975" t="n">
        <v>0</v>
      </c>
      <c r="N975" t="n">
        <v>0</v>
      </c>
      <c r="O975" t="n">
        <v>0</v>
      </c>
      <c r="P975" t="n">
        <v>0</v>
      </c>
      <c r="Q975" t="n">
        <v>0</v>
      </c>
      <c r="R975" s="2" t="inlineStr"/>
    </row>
    <row r="976" ht="15" customHeight="1">
      <c r="A976" t="inlineStr">
        <is>
          <t>A 17218-2026</t>
        </is>
      </c>
      <c r="B976" s="1" t="n">
        <v>46119.37065972222</v>
      </c>
      <c r="C976" s="1" t="n">
        <v>46138</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50463-2024</t>
        </is>
      </c>
      <c r="B977" s="1" t="n">
        <v>45601</v>
      </c>
      <c r="C977" s="1" t="n">
        <v>46138</v>
      </c>
      <c r="D977" t="inlineStr">
        <is>
          <t>UPPSALA LÄN</t>
        </is>
      </c>
      <c r="E977" t="inlineStr">
        <is>
          <t>UPPSALA</t>
        </is>
      </c>
      <c r="F977" t="inlineStr">
        <is>
          <t>Allmännings- och besparingsskogar</t>
        </is>
      </c>
      <c r="G977" t="n">
        <v>12.6</v>
      </c>
      <c r="H977" t="n">
        <v>0</v>
      </c>
      <c r="I977" t="n">
        <v>0</v>
      </c>
      <c r="J977" t="n">
        <v>0</v>
      </c>
      <c r="K977" t="n">
        <v>0</v>
      </c>
      <c r="L977" t="n">
        <v>0</v>
      </c>
      <c r="M977" t="n">
        <v>0</v>
      </c>
      <c r="N977" t="n">
        <v>0</v>
      </c>
      <c r="O977" t="n">
        <v>0</v>
      </c>
      <c r="P977" t="n">
        <v>0</v>
      </c>
      <c r="Q977" t="n">
        <v>0</v>
      </c>
      <c r="R977" s="2" t="inlineStr"/>
    </row>
    <row r="978" ht="15" customHeight="1">
      <c r="A978" t="inlineStr">
        <is>
          <t>A 72224-2021</t>
        </is>
      </c>
      <c r="B978" s="1" t="n">
        <v>44544</v>
      </c>
      <c r="C978" s="1" t="n">
        <v>46138</v>
      </c>
      <c r="D978" t="inlineStr">
        <is>
          <t>UPPSALA LÄN</t>
        </is>
      </c>
      <c r="E978" t="inlineStr">
        <is>
          <t>UPPSALA</t>
        </is>
      </c>
      <c r="G978" t="n">
        <v>2.5</v>
      </c>
      <c r="H978" t="n">
        <v>0</v>
      </c>
      <c r="I978" t="n">
        <v>0</v>
      </c>
      <c r="J978" t="n">
        <v>0</v>
      </c>
      <c r="K978" t="n">
        <v>0</v>
      </c>
      <c r="L978" t="n">
        <v>0</v>
      </c>
      <c r="M978" t="n">
        <v>0</v>
      </c>
      <c r="N978" t="n">
        <v>0</v>
      </c>
      <c r="O978" t="n">
        <v>0</v>
      </c>
      <c r="P978" t="n">
        <v>0</v>
      </c>
      <c r="Q978" t="n">
        <v>0</v>
      </c>
      <c r="R978" s="2" t="inlineStr"/>
    </row>
    <row r="979" ht="15" customHeight="1">
      <c r="A979" t="inlineStr">
        <is>
          <t>A 37626-2023</t>
        </is>
      </c>
      <c r="B979" s="1" t="n">
        <v>45159.45748842593</v>
      </c>
      <c r="C979" s="1" t="n">
        <v>46138</v>
      </c>
      <c r="D979" t="inlineStr">
        <is>
          <t>UPPSALA LÄN</t>
        </is>
      </c>
      <c r="E979" t="inlineStr">
        <is>
          <t>UPPSALA</t>
        </is>
      </c>
      <c r="G979" t="n">
        <v>0.6</v>
      </c>
      <c r="H979" t="n">
        <v>0</v>
      </c>
      <c r="I979" t="n">
        <v>0</v>
      </c>
      <c r="J979" t="n">
        <v>0</v>
      </c>
      <c r="K979" t="n">
        <v>0</v>
      </c>
      <c r="L979" t="n">
        <v>0</v>
      </c>
      <c r="M979" t="n">
        <v>0</v>
      </c>
      <c r="N979" t="n">
        <v>0</v>
      </c>
      <c r="O979" t="n">
        <v>0</v>
      </c>
      <c r="P979" t="n">
        <v>0</v>
      </c>
      <c r="Q979" t="n">
        <v>0</v>
      </c>
      <c r="R979" s="2" t="inlineStr"/>
    </row>
    <row r="980" ht="15" customHeight="1">
      <c r="A980" t="inlineStr">
        <is>
          <t>A 56067-2024</t>
        </is>
      </c>
      <c r="B980" s="1" t="n">
        <v>45624</v>
      </c>
      <c r="C980" s="1" t="n">
        <v>46138</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11276-2026</t>
        </is>
      </c>
      <c r="B981" s="1" t="n">
        <v>46080.58021990741</v>
      </c>
      <c r="C981" s="1" t="n">
        <v>46138</v>
      </c>
      <c r="D981" t="inlineStr">
        <is>
          <t>UPPSALA LÄN</t>
        </is>
      </c>
      <c r="E981" t="inlineStr">
        <is>
          <t>UPPSALA</t>
        </is>
      </c>
      <c r="G981" t="n">
        <v>2.3</v>
      </c>
      <c r="H981" t="n">
        <v>0</v>
      </c>
      <c r="I981" t="n">
        <v>0</v>
      </c>
      <c r="J981" t="n">
        <v>0</v>
      </c>
      <c r="K981" t="n">
        <v>0</v>
      </c>
      <c r="L981" t="n">
        <v>0</v>
      </c>
      <c r="M981" t="n">
        <v>0</v>
      </c>
      <c r="N981" t="n">
        <v>0</v>
      </c>
      <c r="O981" t="n">
        <v>0</v>
      </c>
      <c r="P981" t="n">
        <v>0</v>
      </c>
      <c r="Q981" t="n">
        <v>0</v>
      </c>
      <c r="R981" s="2" t="inlineStr"/>
    </row>
    <row r="982" ht="15" customHeight="1">
      <c r="A982" t="inlineStr">
        <is>
          <t>A 17737-2026</t>
        </is>
      </c>
      <c r="B982" s="1" t="n">
        <v>46122.2915625</v>
      </c>
      <c r="C982" s="1" t="n">
        <v>46138</v>
      </c>
      <c r="D982" t="inlineStr">
        <is>
          <t>UPPSALA LÄN</t>
        </is>
      </c>
      <c r="E982" t="inlineStr">
        <is>
          <t>UPPSALA</t>
        </is>
      </c>
      <c r="F982" t="inlineStr">
        <is>
          <t>Bergvik skog öst AB</t>
        </is>
      </c>
      <c r="G982" t="n">
        <v>2.9</v>
      </c>
      <c r="H982" t="n">
        <v>0</v>
      </c>
      <c r="I982" t="n">
        <v>0</v>
      </c>
      <c r="J982" t="n">
        <v>0</v>
      </c>
      <c r="K982" t="n">
        <v>0</v>
      </c>
      <c r="L982" t="n">
        <v>0</v>
      </c>
      <c r="M982" t="n">
        <v>0</v>
      </c>
      <c r="N982" t="n">
        <v>0</v>
      </c>
      <c r="O982" t="n">
        <v>0</v>
      </c>
      <c r="P982" t="n">
        <v>0</v>
      </c>
      <c r="Q982" t="n">
        <v>0</v>
      </c>
      <c r="R982" s="2" t="inlineStr"/>
    </row>
    <row r="983" ht="15" customHeight="1">
      <c r="A983" t="inlineStr">
        <is>
          <t>A 17898-2026</t>
        </is>
      </c>
      <c r="B983" s="1" t="n">
        <v>46122.58079861111</v>
      </c>
      <c r="C983" s="1" t="n">
        <v>46138</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17899-2026</t>
        </is>
      </c>
      <c r="B984" s="1" t="n">
        <v>46122.5830787037</v>
      </c>
      <c r="C984" s="1" t="n">
        <v>46138</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17786-2026</t>
        </is>
      </c>
      <c r="B985" s="1" t="n">
        <v>46122.38054398148</v>
      </c>
      <c r="C985" s="1" t="n">
        <v>46138</v>
      </c>
      <c r="D985" t="inlineStr">
        <is>
          <t>UPPSALA LÄN</t>
        </is>
      </c>
      <c r="E985" t="inlineStr">
        <is>
          <t>UPPSALA</t>
        </is>
      </c>
      <c r="F985" t="inlineStr">
        <is>
          <t>Bergvik skog öst AB</t>
        </is>
      </c>
      <c r="G985" t="n">
        <v>4.3</v>
      </c>
      <c r="H985" t="n">
        <v>0</v>
      </c>
      <c r="I985" t="n">
        <v>0</v>
      </c>
      <c r="J985" t="n">
        <v>0</v>
      </c>
      <c r="K985" t="n">
        <v>0</v>
      </c>
      <c r="L985" t="n">
        <v>0</v>
      </c>
      <c r="M985" t="n">
        <v>0</v>
      </c>
      <c r="N985" t="n">
        <v>0</v>
      </c>
      <c r="O985" t="n">
        <v>0</v>
      </c>
      <c r="P985" t="n">
        <v>0</v>
      </c>
      <c r="Q985" t="n">
        <v>0</v>
      </c>
      <c r="R985" s="2" t="inlineStr"/>
    </row>
    <row r="986" ht="15" customHeight="1">
      <c r="A986" t="inlineStr">
        <is>
          <t>A 33191-2023</t>
        </is>
      </c>
      <c r="B986" s="1" t="n">
        <v>45127</v>
      </c>
      <c r="C986" s="1" t="n">
        <v>46138</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50473-2023</t>
        </is>
      </c>
      <c r="B987" s="1" t="n">
        <v>45216</v>
      </c>
      <c r="C987" s="1" t="n">
        <v>46138</v>
      </c>
      <c r="D987" t="inlineStr">
        <is>
          <t>UPPSALA LÄN</t>
        </is>
      </c>
      <c r="E987" t="inlineStr">
        <is>
          <t>UPPSALA</t>
        </is>
      </c>
      <c r="F987" t="inlineStr">
        <is>
          <t>Allmännings- och besparingsskogar</t>
        </is>
      </c>
      <c r="G987" t="n">
        <v>7.6</v>
      </c>
      <c r="H987" t="n">
        <v>0</v>
      </c>
      <c r="I987" t="n">
        <v>0</v>
      </c>
      <c r="J987" t="n">
        <v>0</v>
      </c>
      <c r="K987" t="n">
        <v>0</v>
      </c>
      <c r="L987" t="n">
        <v>0</v>
      </c>
      <c r="M987" t="n">
        <v>0</v>
      </c>
      <c r="N987" t="n">
        <v>0</v>
      </c>
      <c r="O987" t="n">
        <v>0</v>
      </c>
      <c r="P987" t="n">
        <v>0</v>
      </c>
      <c r="Q987" t="n">
        <v>0</v>
      </c>
      <c r="R987" s="2" t="inlineStr"/>
    </row>
    <row r="988" ht="15" customHeight="1">
      <c r="A988" t="inlineStr">
        <is>
          <t>A 60056-2022</t>
        </is>
      </c>
      <c r="B988" s="1" t="n">
        <v>44909</v>
      </c>
      <c r="C988" s="1" t="n">
        <v>46138</v>
      </c>
      <c r="D988" t="inlineStr">
        <is>
          <t>UPPSALA LÄN</t>
        </is>
      </c>
      <c r="E988" t="inlineStr">
        <is>
          <t>UPPSALA</t>
        </is>
      </c>
      <c r="G988" t="n">
        <v>1.2</v>
      </c>
      <c r="H988" t="n">
        <v>0</v>
      </c>
      <c r="I988" t="n">
        <v>0</v>
      </c>
      <c r="J988" t="n">
        <v>0</v>
      </c>
      <c r="K988" t="n">
        <v>0</v>
      </c>
      <c r="L988" t="n">
        <v>0</v>
      </c>
      <c r="M988" t="n">
        <v>0</v>
      </c>
      <c r="N988" t="n">
        <v>0</v>
      </c>
      <c r="O988" t="n">
        <v>0</v>
      </c>
      <c r="P988" t="n">
        <v>0</v>
      </c>
      <c r="Q988" t="n">
        <v>0</v>
      </c>
      <c r="R988" s="2" t="inlineStr"/>
    </row>
    <row r="989" ht="15" customHeight="1">
      <c r="A989" t="inlineStr">
        <is>
          <t>A 8498-2026</t>
        </is>
      </c>
      <c r="B989" s="1" t="n">
        <v>46065.49472222223</v>
      </c>
      <c r="C989" s="1" t="n">
        <v>46138</v>
      </c>
      <c r="D989" t="inlineStr">
        <is>
          <t>UPPSALA LÄN</t>
        </is>
      </c>
      <c r="E989" t="inlineStr">
        <is>
          <t>UPPSALA</t>
        </is>
      </c>
      <c r="G989" t="n">
        <v>1.9</v>
      </c>
      <c r="H989" t="n">
        <v>0</v>
      </c>
      <c r="I989" t="n">
        <v>0</v>
      </c>
      <c r="J989" t="n">
        <v>0</v>
      </c>
      <c r="K989" t="n">
        <v>0</v>
      </c>
      <c r="L989" t="n">
        <v>0</v>
      </c>
      <c r="M989" t="n">
        <v>0</v>
      </c>
      <c r="N989" t="n">
        <v>0</v>
      </c>
      <c r="O989" t="n">
        <v>0</v>
      </c>
      <c r="P989" t="n">
        <v>0</v>
      </c>
      <c r="Q989" t="n">
        <v>0</v>
      </c>
      <c r="R989" s="2" t="inlineStr"/>
    </row>
    <row r="990" ht="15" customHeight="1">
      <c r="A990" t="inlineStr">
        <is>
          <t>A 5129-2026</t>
        </is>
      </c>
      <c r="B990" s="1" t="n">
        <v>46049.58660879629</v>
      </c>
      <c r="C990" s="1" t="n">
        <v>46138</v>
      </c>
      <c r="D990" t="inlineStr">
        <is>
          <t>UPPSALA LÄN</t>
        </is>
      </c>
      <c r="E990" t="inlineStr">
        <is>
          <t>UPPSALA</t>
        </is>
      </c>
      <c r="G990" t="n">
        <v>4.4</v>
      </c>
      <c r="H990" t="n">
        <v>0</v>
      </c>
      <c r="I990" t="n">
        <v>0</v>
      </c>
      <c r="J990" t="n">
        <v>0</v>
      </c>
      <c r="K990" t="n">
        <v>0</v>
      </c>
      <c r="L990" t="n">
        <v>0</v>
      </c>
      <c r="M990" t="n">
        <v>0</v>
      </c>
      <c r="N990" t="n">
        <v>0</v>
      </c>
      <c r="O990" t="n">
        <v>0</v>
      </c>
      <c r="P990" t="n">
        <v>0</v>
      </c>
      <c r="Q990" t="n">
        <v>0</v>
      </c>
      <c r="R990" s="2" t="inlineStr"/>
    </row>
    <row r="991" ht="15" customHeight="1">
      <c r="A991" t="inlineStr">
        <is>
          <t>A 53365-2024</t>
        </is>
      </c>
      <c r="B991" s="1" t="n">
        <v>45614</v>
      </c>
      <c r="C991" s="1" t="n">
        <v>46138</v>
      </c>
      <c r="D991" t="inlineStr">
        <is>
          <t>UPPSALA LÄN</t>
        </is>
      </c>
      <c r="E991" t="inlineStr">
        <is>
          <t>UPPSALA</t>
        </is>
      </c>
      <c r="F991" t="inlineStr">
        <is>
          <t>Allmännings- och besparingsskogar</t>
        </is>
      </c>
      <c r="G991" t="n">
        <v>6.6</v>
      </c>
      <c r="H991" t="n">
        <v>0</v>
      </c>
      <c r="I991" t="n">
        <v>0</v>
      </c>
      <c r="J991" t="n">
        <v>0</v>
      </c>
      <c r="K991" t="n">
        <v>0</v>
      </c>
      <c r="L991" t="n">
        <v>0</v>
      </c>
      <c r="M991" t="n">
        <v>0</v>
      </c>
      <c r="N991" t="n">
        <v>0</v>
      </c>
      <c r="O991" t="n">
        <v>0</v>
      </c>
      <c r="P991" t="n">
        <v>0</v>
      </c>
      <c r="Q991" t="n">
        <v>0</v>
      </c>
      <c r="R991" s="2" t="inlineStr"/>
    </row>
    <row r="992" ht="15" customHeight="1">
      <c r="A992" t="inlineStr">
        <is>
          <t>A 35142-2023</t>
        </is>
      </c>
      <c r="B992" s="1" t="n">
        <v>45145</v>
      </c>
      <c r="C992" s="1" t="n">
        <v>46138</v>
      </c>
      <c r="D992" t="inlineStr">
        <is>
          <t>UPPSALA LÄN</t>
        </is>
      </c>
      <c r="E992" t="inlineStr">
        <is>
          <t>UPPSALA</t>
        </is>
      </c>
      <c r="G992" t="n">
        <v>2</v>
      </c>
      <c r="H992" t="n">
        <v>0</v>
      </c>
      <c r="I992" t="n">
        <v>0</v>
      </c>
      <c r="J992" t="n">
        <v>0</v>
      </c>
      <c r="K992" t="n">
        <v>0</v>
      </c>
      <c r="L992" t="n">
        <v>0</v>
      </c>
      <c r="M992" t="n">
        <v>0</v>
      </c>
      <c r="N992" t="n">
        <v>0</v>
      </c>
      <c r="O992" t="n">
        <v>0</v>
      </c>
      <c r="P992" t="n">
        <v>0</v>
      </c>
      <c r="Q992" t="n">
        <v>0</v>
      </c>
      <c r="R992" s="2" t="inlineStr"/>
    </row>
    <row r="993" ht="15" customHeight="1">
      <c r="A993" t="inlineStr">
        <is>
          <t>A 73531-2021</t>
        </is>
      </c>
      <c r="B993" s="1" t="n">
        <v>44551.76711805556</v>
      </c>
      <c r="C993" s="1" t="n">
        <v>46138</v>
      </c>
      <c r="D993" t="inlineStr">
        <is>
          <t>UPPSALA LÄN</t>
        </is>
      </c>
      <c r="E993" t="inlineStr">
        <is>
          <t>UPPSALA</t>
        </is>
      </c>
      <c r="F993" t="inlineStr">
        <is>
          <t>Holmen skog AB</t>
        </is>
      </c>
      <c r="G993" t="n">
        <v>1.9</v>
      </c>
      <c r="H993" t="n">
        <v>0</v>
      </c>
      <c r="I993" t="n">
        <v>0</v>
      </c>
      <c r="J993" t="n">
        <v>0</v>
      </c>
      <c r="K993" t="n">
        <v>0</v>
      </c>
      <c r="L993" t="n">
        <v>0</v>
      </c>
      <c r="M993" t="n">
        <v>0</v>
      </c>
      <c r="N993" t="n">
        <v>0</v>
      </c>
      <c r="O993" t="n">
        <v>0</v>
      </c>
      <c r="P993" t="n">
        <v>0</v>
      </c>
      <c r="Q993" t="n">
        <v>0</v>
      </c>
      <c r="R993" s="2" t="inlineStr"/>
    </row>
    <row r="994" ht="15" customHeight="1">
      <c r="A994" t="inlineStr">
        <is>
          <t>A 54783-2023</t>
        </is>
      </c>
      <c r="B994" s="1" t="n">
        <v>45236.47697916667</v>
      </c>
      <c r="C994" s="1" t="n">
        <v>46138</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6677-2024</t>
        </is>
      </c>
      <c r="B995" s="1" t="n">
        <v>45341</v>
      </c>
      <c r="C995" s="1" t="n">
        <v>46138</v>
      </c>
      <c r="D995" t="inlineStr">
        <is>
          <t>UPPSALA LÄN</t>
        </is>
      </c>
      <c r="E995" t="inlineStr">
        <is>
          <t>UPPSALA</t>
        </is>
      </c>
      <c r="F995" t="inlineStr">
        <is>
          <t>Bergvik skog öst AB</t>
        </is>
      </c>
      <c r="G995" t="n">
        <v>0.5</v>
      </c>
      <c r="H995" t="n">
        <v>0</v>
      </c>
      <c r="I995" t="n">
        <v>0</v>
      </c>
      <c r="J995" t="n">
        <v>0</v>
      </c>
      <c r="K995" t="n">
        <v>0</v>
      </c>
      <c r="L995" t="n">
        <v>0</v>
      </c>
      <c r="M995" t="n">
        <v>0</v>
      </c>
      <c r="N995" t="n">
        <v>0</v>
      </c>
      <c r="O995" t="n">
        <v>0</v>
      </c>
      <c r="P995" t="n">
        <v>0</v>
      </c>
      <c r="Q995" t="n">
        <v>0</v>
      </c>
      <c r="R995" s="2" t="inlineStr"/>
    </row>
    <row r="996" ht="15" customHeight="1">
      <c r="A996" t="inlineStr">
        <is>
          <t>A 11915-2026</t>
        </is>
      </c>
      <c r="B996" s="1" t="n">
        <v>46085.55482638889</v>
      </c>
      <c r="C996" s="1" t="n">
        <v>46138</v>
      </c>
      <c r="D996" t="inlineStr">
        <is>
          <t>UPPSALA LÄN</t>
        </is>
      </c>
      <c r="E996" t="inlineStr">
        <is>
          <t>UPPSALA</t>
        </is>
      </c>
      <c r="G996" t="n">
        <v>7.3</v>
      </c>
      <c r="H996" t="n">
        <v>0</v>
      </c>
      <c r="I996" t="n">
        <v>0</v>
      </c>
      <c r="J996" t="n">
        <v>0</v>
      </c>
      <c r="K996" t="n">
        <v>0</v>
      </c>
      <c r="L996" t="n">
        <v>0</v>
      </c>
      <c r="M996" t="n">
        <v>0</v>
      </c>
      <c r="N996" t="n">
        <v>0</v>
      </c>
      <c r="O996" t="n">
        <v>0</v>
      </c>
      <c r="P996" t="n">
        <v>0</v>
      </c>
      <c r="Q996" t="n">
        <v>0</v>
      </c>
      <c r="R996" s="2" t="inlineStr"/>
    </row>
    <row r="997" ht="15" customHeight="1">
      <c r="A997" t="inlineStr">
        <is>
          <t>A 13526-2023</t>
        </is>
      </c>
      <c r="B997" s="1" t="n">
        <v>45006</v>
      </c>
      <c r="C997" s="1" t="n">
        <v>46138</v>
      </c>
      <c r="D997" t="inlineStr">
        <is>
          <t>UPPSALA LÄN</t>
        </is>
      </c>
      <c r="E997" t="inlineStr">
        <is>
          <t>UPPSALA</t>
        </is>
      </c>
      <c r="G997" t="n">
        <v>0.7</v>
      </c>
      <c r="H997" t="n">
        <v>0</v>
      </c>
      <c r="I997" t="n">
        <v>0</v>
      </c>
      <c r="J997" t="n">
        <v>0</v>
      </c>
      <c r="K997" t="n">
        <v>0</v>
      </c>
      <c r="L997" t="n">
        <v>0</v>
      </c>
      <c r="M997" t="n">
        <v>0</v>
      </c>
      <c r="N997" t="n">
        <v>0</v>
      </c>
      <c r="O997" t="n">
        <v>0</v>
      </c>
      <c r="P997" t="n">
        <v>0</v>
      </c>
      <c r="Q997" t="n">
        <v>0</v>
      </c>
      <c r="R997" s="2" t="inlineStr"/>
    </row>
    <row r="998" ht="15" customHeight="1">
      <c r="A998" t="inlineStr">
        <is>
          <t>A 47221-2023</t>
        </is>
      </c>
      <c r="B998" s="1" t="n">
        <v>45202</v>
      </c>
      <c r="C998" s="1" t="n">
        <v>46138</v>
      </c>
      <c r="D998" t="inlineStr">
        <is>
          <t>UPPSALA LÄN</t>
        </is>
      </c>
      <c r="E998" t="inlineStr">
        <is>
          <t>UPPSALA</t>
        </is>
      </c>
      <c r="G998" t="n">
        <v>8.6</v>
      </c>
      <c r="H998" t="n">
        <v>0</v>
      </c>
      <c r="I998" t="n">
        <v>0</v>
      </c>
      <c r="J998" t="n">
        <v>0</v>
      </c>
      <c r="K998" t="n">
        <v>0</v>
      </c>
      <c r="L998" t="n">
        <v>0</v>
      </c>
      <c r="M998" t="n">
        <v>0</v>
      </c>
      <c r="N998" t="n">
        <v>0</v>
      </c>
      <c r="O998" t="n">
        <v>0</v>
      </c>
      <c r="P998" t="n">
        <v>0</v>
      </c>
      <c r="Q998" t="n">
        <v>0</v>
      </c>
      <c r="R998" s="2" t="inlineStr"/>
    </row>
    <row r="999" ht="15" customHeight="1">
      <c r="A999" t="inlineStr">
        <is>
          <t>A 27442-2024</t>
        </is>
      </c>
      <c r="B999" s="1" t="n">
        <v>45474.41729166666</v>
      </c>
      <c r="C999" s="1" t="n">
        <v>46138</v>
      </c>
      <c r="D999" t="inlineStr">
        <is>
          <t>UPPSALA LÄN</t>
        </is>
      </c>
      <c r="E999" t="inlineStr">
        <is>
          <t>UPPSALA</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12409-2026</t>
        </is>
      </c>
      <c r="B1000" s="1" t="n">
        <v>46090.42486111111</v>
      </c>
      <c r="C1000" s="1" t="n">
        <v>46138</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19264-2026</t>
        </is>
      </c>
      <c r="B1001" s="1" t="n">
        <v>46132.84394675926</v>
      </c>
      <c r="C1001" s="1" t="n">
        <v>46138</v>
      </c>
      <c r="D1001" t="inlineStr">
        <is>
          <t>UPPSALA LÄN</t>
        </is>
      </c>
      <c r="E1001" t="inlineStr">
        <is>
          <t>UPPSALA</t>
        </is>
      </c>
      <c r="F1001" t="inlineStr">
        <is>
          <t>Bergvik skog öst AB</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16390-2026</t>
        </is>
      </c>
      <c r="B1002" s="1" t="n">
        <v>46111.63358796296</v>
      </c>
      <c r="C1002" s="1" t="n">
        <v>46138</v>
      </c>
      <c r="D1002" t="inlineStr">
        <is>
          <t>UPPSALA LÄN</t>
        </is>
      </c>
      <c r="E1002" t="inlineStr">
        <is>
          <t>UPPSALA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3040-2023</t>
        </is>
      </c>
      <c r="B1003" s="1" t="n">
        <v>44946</v>
      </c>
      <c r="C1003" s="1" t="n">
        <v>46138</v>
      </c>
      <c r="D1003" t="inlineStr">
        <is>
          <t>UPPSALA LÄN</t>
        </is>
      </c>
      <c r="E1003" t="inlineStr">
        <is>
          <t>UPPSALA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66983-2021</t>
        </is>
      </c>
      <c r="B1004" s="1" t="n">
        <v>44522</v>
      </c>
      <c r="C1004" s="1" t="n">
        <v>46138</v>
      </c>
      <c r="D1004" t="inlineStr">
        <is>
          <t>UPPSALA LÄN</t>
        </is>
      </c>
      <c r="E1004" t="inlineStr">
        <is>
          <t>UPPSALA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19265-2026</t>
        </is>
      </c>
      <c r="B1005" s="1" t="n">
        <v>46132.84594907407</v>
      </c>
      <c r="C1005" s="1" t="n">
        <v>46138</v>
      </c>
      <c r="D1005" t="inlineStr">
        <is>
          <t>UPPSALA LÄN</t>
        </is>
      </c>
      <c r="E1005" t="inlineStr">
        <is>
          <t>UPPSALA</t>
        </is>
      </c>
      <c r="F1005" t="inlineStr">
        <is>
          <t>Bergvik skog öst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12416-2026</t>
        </is>
      </c>
      <c r="B1006" s="1" t="n">
        <v>46090.43864583333</v>
      </c>
      <c r="C1006" s="1" t="n">
        <v>46138</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5028-2022</t>
        </is>
      </c>
      <c r="B1007" s="1" t="n">
        <v>44593.64863425926</v>
      </c>
      <c r="C1007" s="1" t="n">
        <v>46138</v>
      </c>
      <c r="D1007" t="inlineStr">
        <is>
          <t>UPPSALA LÄN</t>
        </is>
      </c>
      <c r="E1007" t="inlineStr">
        <is>
          <t>UPPSALA</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7556-2026</t>
        </is>
      </c>
      <c r="B1008" s="1" t="n">
        <v>46059.76631944445</v>
      </c>
      <c r="C1008" s="1" t="n">
        <v>46138</v>
      </c>
      <c r="D1008" t="inlineStr">
        <is>
          <t>UPPSALA LÄN</t>
        </is>
      </c>
      <c r="E1008" t="inlineStr">
        <is>
          <t>UPPSALA</t>
        </is>
      </c>
      <c r="F1008" t="inlineStr">
        <is>
          <t>Bergvik skog öst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19263-2026</t>
        </is>
      </c>
      <c r="B1009" s="1" t="n">
        <v>46132.84266203704</v>
      </c>
      <c r="C1009" s="1" t="n">
        <v>46138</v>
      </c>
      <c r="D1009" t="inlineStr">
        <is>
          <t>UPPSALA LÄN</t>
        </is>
      </c>
      <c r="E1009" t="inlineStr">
        <is>
          <t>UPPSALA</t>
        </is>
      </c>
      <c r="F1009" t="inlineStr">
        <is>
          <t>Bergvik skog öst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19257-2026</t>
        </is>
      </c>
      <c r="B1010" s="1" t="n">
        <v>46132.7003587963</v>
      </c>
      <c r="C1010" s="1" t="n">
        <v>46138</v>
      </c>
      <c r="D1010" t="inlineStr">
        <is>
          <t>UPPSALA LÄN</t>
        </is>
      </c>
      <c r="E1010" t="inlineStr">
        <is>
          <t>UPPSALA</t>
        </is>
      </c>
      <c r="F1010" t="inlineStr">
        <is>
          <t>Bergvik skog öst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36479-2023</t>
        </is>
      </c>
      <c r="B1011" s="1" t="n">
        <v>45152</v>
      </c>
      <c r="C1011" s="1" t="n">
        <v>46138</v>
      </c>
      <c r="D1011" t="inlineStr">
        <is>
          <t>UPPSALA LÄN</t>
        </is>
      </c>
      <c r="E1011" t="inlineStr">
        <is>
          <t>UPPSALA</t>
        </is>
      </c>
      <c r="F1011" t="inlineStr">
        <is>
          <t>Allmännings- och besparingsskogar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600-2024</t>
        </is>
      </c>
      <c r="B1012" s="1" t="n">
        <v>45299</v>
      </c>
      <c r="C1012" s="1" t="n">
        <v>46138</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37819-2021</t>
        </is>
      </c>
      <c r="B1013" s="1" t="n">
        <v>44403.29719907408</v>
      </c>
      <c r="C1013" s="1" t="n">
        <v>46138</v>
      </c>
      <c r="D1013" t="inlineStr">
        <is>
          <t>UPPSALA LÄN</t>
        </is>
      </c>
      <c r="E1013" t="inlineStr">
        <is>
          <t>UPPSALA</t>
        </is>
      </c>
      <c r="F1013" t="inlineStr">
        <is>
          <t>Bergvik skog öst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60003-2024</t>
        </is>
      </c>
      <c r="B1014" s="1" t="n">
        <v>45642</v>
      </c>
      <c r="C1014" s="1" t="n">
        <v>46138</v>
      </c>
      <c r="D1014" t="inlineStr">
        <is>
          <t>UPPSALA LÄN</t>
        </is>
      </c>
      <c r="E1014" t="inlineStr">
        <is>
          <t>UPPSALA</t>
        </is>
      </c>
      <c r="F1014" t="inlineStr">
        <is>
          <t>Bergvik skog väst AB</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1838-2024</t>
        </is>
      </c>
      <c r="B1015" s="1" t="n">
        <v>45307</v>
      </c>
      <c r="C1015" s="1" t="n">
        <v>46138</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8109-2024</t>
        </is>
      </c>
      <c r="B1016" s="1" t="n">
        <v>45351.48662037037</v>
      </c>
      <c r="C1016" s="1" t="n">
        <v>46138</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12770-2026</t>
        </is>
      </c>
      <c r="B1017" s="1" t="n">
        <v>46091.68695601852</v>
      </c>
      <c r="C1017" s="1" t="n">
        <v>46138</v>
      </c>
      <c r="D1017" t="inlineStr">
        <is>
          <t>UPPSALA LÄN</t>
        </is>
      </c>
      <c r="E1017" t="inlineStr">
        <is>
          <t>UPPSALA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12772-2026</t>
        </is>
      </c>
      <c r="B1018" s="1" t="n">
        <v>46091.69060185185</v>
      </c>
      <c r="C1018" s="1" t="n">
        <v>46138</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11201-2024</t>
        </is>
      </c>
      <c r="B1019" s="1" t="n">
        <v>45371</v>
      </c>
      <c r="C1019" s="1" t="n">
        <v>46138</v>
      </c>
      <c r="D1019" t="inlineStr">
        <is>
          <t>UPPSALA LÄN</t>
        </is>
      </c>
      <c r="E1019" t="inlineStr">
        <is>
          <t>UPPSALA</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12702-2026</t>
        </is>
      </c>
      <c r="B1020" s="1" t="n">
        <v>46091.58174768519</v>
      </c>
      <c r="C1020" s="1" t="n">
        <v>46138</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29145-2021</t>
        </is>
      </c>
      <c r="B1021" s="1" t="n">
        <v>44358.63490740741</v>
      </c>
      <c r="C1021" s="1" t="n">
        <v>46138</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59719-2022</t>
        </is>
      </c>
      <c r="B1022" s="1" t="n">
        <v>44908.425625</v>
      </c>
      <c r="C1022" s="1" t="n">
        <v>46138</v>
      </c>
      <c r="D1022" t="inlineStr">
        <is>
          <t>UPPSALA LÄN</t>
        </is>
      </c>
      <c r="E1022" t="inlineStr">
        <is>
          <t>UPPSALA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38934-2023</t>
        </is>
      </c>
      <c r="B1023" s="1" t="n">
        <v>45163.59913194444</v>
      </c>
      <c r="C1023" s="1" t="n">
        <v>46138</v>
      </c>
      <c r="D1023" t="inlineStr">
        <is>
          <t>UPPSALA LÄN</t>
        </is>
      </c>
      <c r="E1023" t="inlineStr">
        <is>
          <t>UPPSALA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42681-2023</t>
        </is>
      </c>
      <c r="B1024" s="1" t="n">
        <v>45181.58055555556</v>
      </c>
      <c r="C1024" s="1" t="n">
        <v>46138</v>
      </c>
      <c r="D1024" t="inlineStr">
        <is>
          <t>UPPSALA LÄN</t>
        </is>
      </c>
      <c r="E1024" t="inlineStr">
        <is>
          <t>UPPSALA</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33941-2023</t>
        </is>
      </c>
      <c r="B1025" s="1" t="n">
        <v>45134.57021990741</v>
      </c>
      <c r="C1025" s="1" t="n">
        <v>46138</v>
      </c>
      <c r="D1025" t="inlineStr">
        <is>
          <t>UPPSALA LÄN</t>
        </is>
      </c>
      <c r="E1025" t="inlineStr">
        <is>
          <t>UPPSALA</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50954-2022</t>
        </is>
      </c>
      <c r="B1026" s="1" t="n">
        <v>44866</v>
      </c>
      <c r="C1026" s="1" t="n">
        <v>46138</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19229-2026</t>
        </is>
      </c>
      <c r="B1027" s="1" t="n">
        <v>46132.6503125</v>
      </c>
      <c r="C1027" s="1" t="n">
        <v>46138</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36392-2023</t>
        </is>
      </c>
      <c r="B1028" s="1" t="n">
        <v>45152</v>
      </c>
      <c r="C1028" s="1" t="n">
        <v>46138</v>
      </c>
      <c r="D1028" t="inlineStr">
        <is>
          <t>UPPSALA LÄN</t>
        </is>
      </c>
      <c r="E1028" t="inlineStr">
        <is>
          <t>UPPSALA</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19342-2026</t>
        </is>
      </c>
      <c r="B1029" s="1" t="n">
        <v>46133.43844907408</v>
      </c>
      <c r="C1029" s="1" t="n">
        <v>46138</v>
      </c>
      <c r="D1029" t="inlineStr">
        <is>
          <t>UPPSALA LÄN</t>
        </is>
      </c>
      <c r="E1029" t="inlineStr">
        <is>
          <t>UPPSALA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12697-2026</t>
        </is>
      </c>
      <c r="B1030" s="1" t="n">
        <v>46091.58021990741</v>
      </c>
      <c r="C1030" s="1" t="n">
        <v>46138</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19329-2026</t>
        </is>
      </c>
      <c r="B1031" s="1" t="n">
        <v>46133.41142361111</v>
      </c>
      <c r="C1031" s="1" t="n">
        <v>46138</v>
      </c>
      <c r="D1031" t="inlineStr">
        <is>
          <t>UPPSALA LÄN</t>
        </is>
      </c>
      <c r="E1031" t="inlineStr">
        <is>
          <t>UPPSALA</t>
        </is>
      </c>
      <c r="F1031" t="inlineStr">
        <is>
          <t>Bergvik skog öst AB</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12769-2026</t>
        </is>
      </c>
      <c r="B1032" s="1" t="n">
        <v>46091.68390046297</v>
      </c>
      <c r="C1032" s="1" t="n">
        <v>46138</v>
      </c>
      <c r="D1032" t="inlineStr">
        <is>
          <t>UPPSALA LÄN</t>
        </is>
      </c>
      <c r="E1032" t="inlineStr">
        <is>
          <t>UPPSALA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12771-2026</t>
        </is>
      </c>
      <c r="B1033" s="1" t="n">
        <v>46091.68879629629</v>
      </c>
      <c r="C1033" s="1" t="n">
        <v>46138</v>
      </c>
      <c r="D1033" t="inlineStr">
        <is>
          <t>UPPSALA LÄN</t>
        </is>
      </c>
      <c r="E1033" t="inlineStr">
        <is>
          <t>UPPSALA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6630-2024</t>
        </is>
      </c>
      <c r="B1034" s="1" t="n">
        <v>45341.63811342593</v>
      </c>
      <c r="C1034" s="1" t="n">
        <v>46138</v>
      </c>
      <c r="D1034" t="inlineStr">
        <is>
          <t>UPPSALA LÄN</t>
        </is>
      </c>
      <c r="E1034" t="inlineStr">
        <is>
          <t>UPPSALA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17073-2026</t>
        </is>
      </c>
      <c r="B1035" s="1" t="n">
        <v>46114</v>
      </c>
      <c r="C1035" s="1" t="n">
        <v>46138</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22431-2024</t>
        </is>
      </c>
      <c r="B1036" s="1" t="n">
        <v>45446.78256944445</v>
      </c>
      <c r="C1036" s="1" t="n">
        <v>46138</v>
      </c>
      <c r="D1036" t="inlineStr">
        <is>
          <t>UPPSALA LÄN</t>
        </is>
      </c>
      <c r="E1036" t="inlineStr">
        <is>
          <t>UPPSALA</t>
        </is>
      </c>
      <c r="F1036" t="inlineStr">
        <is>
          <t>Bergvik skog öst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34114-2024</t>
        </is>
      </c>
      <c r="B1037" s="1" t="n">
        <v>45524</v>
      </c>
      <c r="C1037" s="1" t="n">
        <v>46138</v>
      </c>
      <c r="D1037" t="inlineStr">
        <is>
          <t>UPPSALA LÄN</t>
        </is>
      </c>
      <c r="E1037" t="inlineStr">
        <is>
          <t>UPPSALA</t>
        </is>
      </c>
      <c r="F1037" t="inlineStr">
        <is>
          <t>Allmännings- och besparingsskogar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13433-2026</t>
        </is>
      </c>
      <c r="B1038" s="1" t="n">
        <v>46094.48731481482</v>
      </c>
      <c r="C1038" s="1" t="n">
        <v>46138</v>
      </c>
      <c r="D1038" t="inlineStr">
        <is>
          <t>UPPSALA LÄN</t>
        </is>
      </c>
      <c r="E1038" t="inlineStr">
        <is>
          <t>UPPSALA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13404-2026</t>
        </is>
      </c>
      <c r="B1039" s="1" t="n">
        <v>46094.45079861111</v>
      </c>
      <c r="C1039" s="1" t="n">
        <v>46138</v>
      </c>
      <c r="D1039" t="inlineStr">
        <is>
          <t>UPPSALA LÄN</t>
        </is>
      </c>
      <c r="E1039" t="inlineStr">
        <is>
          <t>UPPSALA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19885-2026</t>
        </is>
      </c>
      <c r="B1040" s="1" t="n">
        <v>46135.6677199074</v>
      </c>
      <c r="C1040" s="1" t="n">
        <v>46138</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13536-2026</t>
        </is>
      </c>
      <c r="B1041" s="1" t="n">
        <v>46094.66190972222</v>
      </c>
      <c r="C1041" s="1" t="n">
        <v>46138</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13434-2026</t>
        </is>
      </c>
      <c r="B1042" s="1" t="n">
        <v>46094.48894675926</v>
      </c>
      <c r="C1042" s="1" t="n">
        <v>46138</v>
      </c>
      <c r="D1042" t="inlineStr">
        <is>
          <t>UPPSALA LÄN</t>
        </is>
      </c>
      <c r="E1042" t="inlineStr">
        <is>
          <t>UPPSALA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13075-2026</t>
        </is>
      </c>
      <c r="B1043" s="1" t="n">
        <v>46093.37692129629</v>
      </c>
      <c r="C1043" s="1" t="n">
        <v>46138</v>
      </c>
      <c r="D1043" t="inlineStr">
        <is>
          <t>UPPSALA LÄN</t>
        </is>
      </c>
      <c r="E1043" t="inlineStr">
        <is>
          <t>UPPSALA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20137-2026</t>
        </is>
      </c>
      <c r="B1044" s="1" t="n">
        <v>46136.83414351852</v>
      </c>
      <c r="C1044" s="1" t="n">
        <v>46138</v>
      </c>
      <c r="D1044" t="inlineStr">
        <is>
          <t>UPPSALA LÄN</t>
        </is>
      </c>
      <c r="E1044" t="inlineStr">
        <is>
          <t>UPPSALA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13485-2026</t>
        </is>
      </c>
      <c r="B1045" s="1" t="n">
        <v>46094.58113425926</v>
      </c>
      <c r="C1045" s="1" t="n">
        <v>46138</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13337-2026</t>
        </is>
      </c>
      <c r="B1046" s="1" t="n">
        <v>46094</v>
      </c>
      <c r="C1046" s="1" t="n">
        <v>46138</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7276-2024</t>
        </is>
      </c>
      <c r="B1047" s="1" t="n">
        <v>45344</v>
      </c>
      <c r="C1047" s="1" t="n">
        <v>46138</v>
      </c>
      <c r="D1047" t="inlineStr">
        <is>
          <t>UPPSALA LÄN</t>
        </is>
      </c>
      <c r="E1047" t="inlineStr">
        <is>
          <t>UPPSALA</t>
        </is>
      </c>
      <c r="F1047" t="inlineStr">
        <is>
          <t>Bergvik skog öst AB</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39608-2022</t>
        </is>
      </c>
      <c r="B1048" s="1" t="n">
        <v>44817</v>
      </c>
      <c r="C1048" s="1" t="n">
        <v>46138</v>
      </c>
      <c r="D1048" t="inlineStr">
        <is>
          <t>UPPSALA LÄN</t>
        </is>
      </c>
      <c r="E1048" t="inlineStr">
        <is>
          <t>UPPSALA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11162-2022</t>
        </is>
      </c>
      <c r="B1049" s="1" t="n">
        <v>44629.42423611111</v>
      </c>
      <c r="C1049" s="1" t="n">
        <v>46138</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1731-2022</t>
        </is>
      </c>
      <c r="B1050" s="1" t="n">
        <v>44574</v>
      </c>
      <c r="C1050" s="1" t="n">
        <v>46138</v>
      </c>
      <c r="D1050" t="inlineStr">
        <is>
          <t>UPPSALA LÄN</t>
        </is>
      </c>
      <c r="E1050" t="inlineStr">
        <is>
          <t>UPPSALA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46138</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45878-2024</t>
        </is>
      </c>
      <c r="B1052" s="1" t="n">
        <v>45580</v>
      </c>
      <c r="C1052" s="1" t="n">
        <v>46138</v>
      </c>
      <c r="D1052" t="inlineStr">
        <is>
          <t>UPPSALA LÄN</t>
        </is>
      </c>
      <c r="E1052" t="inlineStr">
        <is>
          <t>UPPSALA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43-2024</t>
        </is>
      </c>
      <c r="B1053" s="1" t="n">
        <v>45293</v>
      </c>
      <c r="C1053" s="1" t="n">
        <v>46138</v>
      </c>
      <c r="D1053" t="inlineStr">
        <is>
          <t>UPPSALA LÄN</t>
        </is>
      </c>
      <c r="E1053" t="inlineStr">
        <is>
          <t>UPPSALA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62044-2024</t>
        </is>
      </c>
      <c r="B1054" s="1" t="n">
        <v>45656</v>
      </c>
      <c r="C1054" s="1" t="n">
        <v>46138</v>
      </c>
      <c r="D1054" t="inlineStr">
        <is>
          <t>UPPSALA LÄN</t>
        </is>
      </c>
      <c r="E1054" t="inlineStr">
        <is>
          <t>UPPSALA</t>
        </is>
      </c>
      <c r="F1054" t="inlineStr">
        <is>
          <t>Övriga statliga verk och myndigheter</t>
        </is>
      </c>
      <c r="G1054" t="n">
        <v>11.6</v>
      </c>
      <c r="H1054" t="n">
        <v>0</v>
      </c>
      <c r="I1054" t="n">
        <v>0</v>
      </c>
      <c r="J1054" t="n">
        <v>0</v>
      </c>
      <c r="K1054" t="n">
        <v>0</v>
      </c>
      <c r="L1054" t="n">
        <v>0</v>
      </c>
      <c r="M1054" t="n">
        <v>0</v>
      </c>
      <c r="N1054" t="n">
        <v>0</v>
      </c>
      <c r="O1054" t="n">
        <v>0</v>
      </c>
      <c r="P1054" t="n">
        <v>0</v>
      </c>
      <c r="Q1054" t="n">
        <v>0</v>
      </c>
      <c r="R1054" s="2" t="inlineStr"/>
    </row>
    <row r="1055" ht="15" customHeight="1">
      <c r="A1055" t="inlineStr">
        <is>
          <t>A 17587-2025</t>
        </is>
      </c>
      <c r="B1055" s="1" t="n">
        <v>45757.67611111111</v>
      </c>
      <c r="C1055" s="1" t="n">
        <v>46138</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74495-2021</t>
        </is>
      </c>
      <c r="B1056" s="1" t="n">
        <v>44560</v>
      </c>
      <c r="C1056" s="1" t="n">
        <v>46138</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46920-2021</t>
        </is>
      </c>
      <c r="B1057" s="1" t="n">
        <v>44446</v>
      </c>
      <c r="C1057" s="1" t="n">
        <v>46138</v>
      </c>
      <c r="D1057" t="inlineStr">
        <is>
          <t>UPPSALA LÄN</t>
        </is>
      </c>
      <c r="E1057" t="inlineStr">
        <is>
          <t>UPPSALA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5189-2022</t>
        </is>
      </c>
      <c r="B1058" s="1" t="n">
        <v>44594</v>
      </c>
      <c r="C1058" s="1" t="n">
        <v>46138</v>
      </c>
      <c r="D1058" t="inlineStr">
        <is>
          <t>UPPSALA LÄN</t>
        </is>
      </c>
      <c r="E1058" t="inlineStr">
        <is>
          <t>UPPSALA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39812-2024</t>
        </is>
      </c>
      <c r="B1059" s="1" t="n">
        <v>45552</v>
      </c>
      <c r="C1059" s="1" t="n">
        <v>46138</v>
      </c>
      <c r="D1059" t="inlineStr">
        <is>
          <t>UPPSALA LÄN</t>
        </is>
      </c>
      <c r="E1059" t="inlineStr">
        <is>
          <t>UPPSALA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18677-2024</t>
        </is>
      </c>
      <c r="B1060" s="1" t="n">
        <v>45426</v>
      </c>
      <c r="C1060" s="1" t="n">
        <v>46138</v>
      </c>
      <c r="D1060" t="inlineStr">
        <is>
          <t>UPPSALA LÄN</t>
        </is>
      </c>
      <c r="E1060" t="inlineStr">
        <is>
          <t>UPPSALA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60702-2022</t>
        </is>
      </c>
      <c r="B1061" s="1" t="n">
        <v>44912.29869212963</v>
      </c>
      <c r="C1061" s="1" t="n">
        <v>46138</v>
      </c>
      <c r="D1061" t="inlineStr">
        <is>
          <t>UPPSALA LÄN</t>
        </is>
      </c>
      <c r="E1061" t="inlineStr">
        <is>
          <t>UPPSALA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6930-2023</t>
        </is>
      </c>
      <c r="B1062" s="1" t="n">
        <v>44967.55960648148</v>
      </c>
      <c r="C1062" s="1" t="n">
        <v>46138</v>
      </c>
      <c r="D1062" t="inlineStr">
        <is>
          <t>UPPSALA LÄN</t>
        </is>
      </c>
      <c r="E1062" t="inlineStr">
        <is>
          <t>UPPSALA</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8877-2022</t>
        </is>
      </c>
      <c r="B1063" s="1" t="n">
        <v>44614.59027777778</v>
      </c>
      <c r="C1063" s="1" t="n">
        <v>46138</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554-2023</t>
        </is>
      </c>
      <c r="B1064" s="1" t="n">
        <v>44930</v>
      </c>
      <c r="C1064" s="1" t="n">
        <v>46138</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45098.62966435185</v>
      </c>
      <c r="C1065" s="1" t="n">
        <v>46138</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17250-2025</t>
        </is>
      </c>
      <c r="B1066" s="1" t="n">
        <v>45756.50738425926</v>
      </c>
      <c r="C1066" s="1" t="n">
        <v>46138</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14784-2023</t>
        </is>
      </c>
      <c r="B1067" s="1" t="n">
        <v>45014</v>
      </c>
      <c r="C1067" s="1" t="n">
        <v>46138</v>
      </c>
      <c r="D1067" t="inlineStr">
        <is>
          <t>UPPSALA LÄN</t>
        </is>
      </c>
      <c r="E1067" t="inlineStr">
        <is>
          <t>UPPSALA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41422-2023</t>
        </is>
      </c>
      <c r="B1068" s="1" t="n">
        <v>45175</v>
      </c>
      <c r="C1068" s="1" t="n">
        <v>46138</v>
      </c>
      <c r="D1068" t="inlineStr">
        <is>
          <t>UPPSALA LÄN</t>
        </is>
      </c>
      <c r="E1068" t="inlineStr">
        <is>
          <t>UPPSALA</t>
        </is>
      </c>
      <c r="F1068" t="inlineStr">
        <is>
          <t>Kyrkan</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27473-2024</t>
        </is>
      </c>
      <c r="B1069" s="1" t="n">
        <v>45474</v>
      </c>
      <c r="C1069" s="1" t="n">
        <v>46138</v>
      </c>
      <c r="D1069" t="inlineStr">
        <is>
          <t>UPPSALA LÄN</t>
        </is>
      </c>
      <c r="E1069" t="inlineStr">
        <is>
          <t>UPPSALA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45662-2023</t>
        </is>
      </c>
      <c r="B1070" s="1" t="n">
        <v>45194</v>
      </c>
      <c r="C1070" s="1" t="n">
        <v>46138</v>
      </c>
      <c r="D1070" t="inlineStr">
        <is>
          <t>UPPSALA LÄN</t>
        </is>
      </c>
      <c r="E1070" t="inlineStr">
        <is>
          <t>UPPSALA</t>
        </is>
      </c>
      <c r="F1070" t="inlineStr">
        <is>
          <t>Bergvik skog öst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39865-2022</t>
        </is>
      </c>
      <c r="B1071" s="1" t="n">
        <v>44819.62</v>
      </c>
      <c r="C1071" s="1" t="n">
        <v>46138</v>
      </c>
      <c r="D1071" t="inlineStr">
        <is>
          <t>UPPSALA LÄN</t>
        </is>
      </c>
      <c r="E1071" t="inlineStr">
        <is>
          <t>UPPSALA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5899-2024</t>
        </is>
      </c>
      <c r="B1072" s="1" t="n">
        <v>45335</v>
      </c>
      <c r="C1072" s="1" t="n">
        <v>46138</v>
      </c>
      <c r="D1072" t="inlineStr">
        <is>
          <t>UPPSALA LÄN</t>
        </is>
      </c>
      <c r="E1072" t="inlineStr">
        <is>
          <t>UPPSALA</t>
        </is>
      </c>
      <c r="F1072" t="inlineStr">
        <is>
          <t>Allmännings- och besparingsskogar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6679-2024</t>
        </is>
      </c>
      <c r="B1073" s="1" t="n">
        <v>45341</v>
      </c>
      <c r="C1073" s="1" t="n">
        <v>46138</v>
      </c>
      <c r="D1073" t="inlineStr">
        <is>
          <t>UPPSALA LÄN</t>
        </is>
      </c>
      <c r="E1073" t="inlineStr">
        <is>
          <t>UPPSALA</t>
        </is>
      </c>
      <c r="F1073" t="inlineStr">
        <is>
          <t>Bergvik skog öst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9235-2025</t>
        </is>
      </c>
      <c r="B1074" s="1" t="n">
        <v>45714.55368055555</v>
      </c>
      <c r="C1074" s="1" t="n">
        <v>46138</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9984-2025</t>
        </is>
      </c>
      <c r="B1075" s="1" t="n">
        <v>45719.42197916667</v>
      </c>
      <c r="C1075" s="1" t="n">
        <v>46138</v>
      </c>
      <c r="D1075" t="inlineStr">
        <is>
          <t>UPPSALA LÄN</t>
        </is>
      </c>
      <c r="E1075" t="inlineStr">
        <is>
          <t>UPPSALA</t>
        </is>
      </c>
      <c r="F1075" t="inlineStr">
        <is>
          <t>Kyrkan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9991-2025</t>
        </is>
      </c>
      <c r="B1076" s="1" t="n">
        <v>45719.43646990741</v>
      </c>
      <c r="C1076" s="1" t="n">
        <v>46138</v>
      </c>
      <c r="D1076" t="inlineStr">
        <is>
          <t>UPPSALA LÄN</t>
        </is>
      </c>
      <c r="E1076" t="inlineStr">
        <is>
          <t>UPPSALA</t>
        </is>
      </c>
      <c r="F1076" t="inlineStr">
        <is>
          <t>Kyrkan</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60984-2022</t>
        </is>
      </c>
      <c r="B1077" s="1" t="n">
        <v>44914.67600694444</v>
      </c>
      <c r="C1077" s="1" t="n">
        <v>46138</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9820-2023</t>
        </is>
      </c>
      <c r="B1078" s="1" t="n">
        <v>44984.69216435185</v>
      </c>
      <c r="C1078" s="1" t="n">
        <v>46138</v>
      </c>
      <c r="D1078" t="inlineStr">
        <is>
          <t>UPPSALA LÄN</t>
        </is>
      </c>
      <c r="E1078" t="inlineStr">
        <is>
          <t>UPPSALA</t>
        </is>
      </c>
      <c r="F1078" t="inlineStr">
        <is>
          <t>Kyrkan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34265-2021</t>
        </is>
      </c>
      <c r="B1079" s="1" t="n">
        <v>44379.5745949074</v>
      </c>
      <c r="C1079" s="1" t="n">
        <v>46138</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34147-2024</t>
        </is>
      </c>
      <c r="B1080" s="1" t="n">
        <v>45524</v>
      </c>
      <c r="C1080" s="1" t="n">
        <v>46138</v>
      </c>
      <c r="D1080" t="inlineStr">
        <is>
          <t>UPPSALA LÄN</t>
        </is>
      </c>
      <c r="E1080" t="inlineStr">
        <is>
          <t>UPPSALA</t>
        </is>
      </c>
      <c r="F1080" t="inlineStr">
        <is>
          <t>Allmännings- och besparingsskogar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10456-2022</t>
        </is>
      </c>
      <c r="B1081" s="1" t="n">
        <v>44623.5571875</v>
      </c>
      <c r="C1081" s="1" t="n">
        <v>46138</v>
      </c>
      <c r="D1081" t="inlineStr">
        <is>
          <t>UPPSALA LÄN</t>
        </is>
      </c>
      <c r="E1081" t="inlineStr">
        <is>
          <t>UPPSALA</t>
        </is>
      </c>
      <c r="F1081" t="inlineStr">
        <is>
          <t>Övriga Aktiebolag</t>
        </is>
      </c>
      <c r="G1081" t="n">
        <v>12.6</v>
      </c>
      <c r="H1081" t="n">
        <v>0</v>
      </c>
      <c r="I1081" t="n">
        <v>0</v>
      </c>
      <c r="J1081" t="n">
        <v>0</v>
      </c>
      <c r="K1081" t="n">
        <v>0</v>
      </c>
      <c r="L1081" t="n">
        <v>0</v>
      </c>
      <c r="M1081" t="n">
        <v>0</v>
      </c>
      <c r="N1081" t="n">
        <v>0</v>
      </c>
      <c r="O1081" t="n">
        <v>0</v>
      </c>
      <c r="P1081" t="n">
        <v>0</v>
      </c>
      <c r="Q1081" t="n">
        <v>0</v>
      </c>
      <c r="R1081" s="2" t="inlineStr"/>
    </row>
    <row r="1082" ht="15" customHeight="1">
      <c r="A1082" t="inlineStr">
        <is>
          <t>A 5663-2023</t>
        </is>
      </c>
      <c r="B1082" s="1" t="n">
        <v>44960</v>
      </c>
      <c r="C1082" s="1" t="n">
        <v>46138</v>
      </c>
      <c r="D1082" t="inlineStr">
        <is>
          <t>UPPSALA LÄN</t>
        </is>
      </c>
      <c r="E1082" t="inlineStr">
        <is>
          <t>UPPSALA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5675-2023</t>
        </is>
      </c>
      <c r="B1083" s="1" t="n">
        <v>44960.66233796296</v>
      </c>
      <c r="C1083" s="1" t="n">
        <v>46138</v>
      </c>
      <c r="D1083" t="inlineStr">
        <is>
          <t>UPPSALA LÄN</t>
        </is>
      </c>
      <c r="E1083" t="inlineStr">
        <is>
          <t>UPPSALA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69698-2021</t>
        </is>
      </c>
      <c r="B1084" s="1" t="n">
        <v>44532</v>
      </c>
      <c r="C1084" s="1" t="n">
        <v>46138</v>
      </c>
      <c r="D1084" t="inlineStr">
        <is>
          <t>UPPSALA LÄN</t>
        </is>
      </c>
      <c r="E1084" t="inlineStr">
        <is>
          <t>UPPSALA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40100-2022</t>
        </is>
      </c>
      <c r="B1085" s="1" t="n">
        <v>44820.47935185185</v>
      </c>
      <c r="C1085" s="1" t="n">
        <v>46138</v>
      </c>
      <c r="D1085" t="inlineStr">
        <is>
          <t>UPPSALA LÄN</t>
        </is>
      </c>
      <c r="E1085" t="inlineStr">
        <is>
          <t>UPPSALA</t>
        </is>
      </c>
      <c r="F1085" t="inlineStr">
        <is>
          <t>Övriga Aktiebolag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8672-2024</t>
        </is>
      </c>
      <c r="B1086" s="1" t="n">
        <v>45352</v>
      </c>
      <c r="C1086" s="1" t="n">
        <v>46138</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42528-2023</t>
        </is>
      </c>
      <c r="B1087" s="1" t="n">
        <v>45181.33571759259</v>
      </c>
      <c r="C1087" s="1" t="n">
        <v>46138</v>
      </c>
      <c r="D1087" t="inlineStr">
        <is>
          <t>UPPSALA LÄN</t>
        </is>
      </c>
      <c r="E1087" t="inlineStr">
        <is>
          <t>UPPSALA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9255-2024</t>
        </is>
      </c>
      <c r="B1088" s="1" t="n">
        <v>45358</v>
      </c>
      <c r="C1088" s="1" t="n">
        <v>46138</v>
      </c>
      <c r="D1088" t="inlineStr">
        <is>
          <t>UPPSALA LÄN</t>
        </is>
      </c>
      <c r="E1088" t="inlineStr">
        <is>
          <t>UPPSALA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56889-2022</t>
        </is>
      </c>
      <c r="B1089" s="1" t="n">
        <v>44894.57065972222</v>
      </c>
      <c r="C1089" s="1" t="n">
        <v>46138</v>
      </c>
      <c r="D1089" t="inlineStr">
        <is>
          <t>UPPSALA LÄN</t>
        </is>
      </c>
      <c r="E1089" t="inlineStr">
        <is>
          <t>UPPSALA</t>
        </is>
      </c>
      <c r="F1089" t="inlineStr">
        <is>
          <t>Övriga Aktiebolag</t>
        </is>
      </c>
      <c r="G1089" t="n">
        <v>21.6</v>
      </c>
      <c r="H1089" t="n">
        <v>0</v>
      </c>
      <c r="I1089" t="n">
        <v>0</v>
      </c>
      <c r="J1089" t="n">
        <v>0</v>
      </c>
      <c r="K1089" t="n">
        <v>0</v>
      </c>
      <c r="L1089" t="n">
        <v>0</v>
      </c>
      <c r="M1089" t="n">
        <v>0</v>
      </c>
      <c r="N1089" t="n">
        <v>0</v>
      </c>
      <c r="O1089" t="n">
        <v>0</v>
      </c>
      <c r="P1089" t="n">
        <v>0</v>
      </c>
      <c r="Q1089" t="n">
        <v>0</v>
      </c>
      <c r="R1089" s="2" t="inlineStr"/>
    </row>
    <row r="1090" ht="15" customHeight="1">
      <c r="A1090" t="inlineStr">
        <is>
          <t>A 33797-2021</t>
        </is>
      </c>
      <c r="B1090" s="1" t="n">
        <v>44378.56137731481</v>
      </c>
      <c r="C1090" s="1" t="n">
        <v>46138</v>
      </c>
      <c r="D1090" t="inlineStr">
        <is>
          <t>UPPSALA LÄN</t>
        </is>
      </c>
      <c r="E1090" t="inlineStr">
        <is>
          <t>UPPSALA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5374-2023</t>
        </is>
      </c>
      <c r="B1091" s="1" t="n">
        <v>44944</v>
      </c>
      <c r="C1091" s="1" t="n">
        <v>46138</v>
      </c>
      <c r="D1091" t="inlineStr">
        <is>
          <t>UPPSALA LÄN</t>
        </is>
      </c>
      <c r="E1091" t="inlineStr">
        <is>
          <t>UPPSALA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63011-2021</t>
        </is>
      </c>
      <c r="B1092" s="1" t="n">
        <v>44504</v>
      </c>
      <c r="C1092" s="1" t="n">
        <v>46138</v>
      </c>
      <c r="D1092" t="inlineStr">
        <is>
          <t>UPPSALA LÄN</t>
        </is>
      </c>
      <c r="E1092" t="inlineStr">
        <is>
          <t>UPPSALA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52503-2023</t>
        </is>
      </c>
      <c r="B1093" s="1" t="n">
        <v>45225.46480324074</v>
      </c>
      <c r="C1093" s="1" t="n">
        <v>46138</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59585-2023</t>
        </is>
      </c>
      <c r="B1094" s="1" t="n">
        <v>45254</v>
      </c>
      <c r="C1094" s="1" t="n">
        <v>46138</v>
      </c>
      <c r="D1094" t="inlineStr">
        <is>
          <t>UPPSALA LÄN</t>
        </is>
      </c>
      <c r="E1094" t="inlineStr">
        <is>
          <t>UPPSALA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6989-2022</t>
        </is>
      </c>
      <c r="B1095" s="1" t="n">
        <v>44603</v>
      </c>
      <c r="C1095" s="1" t="n">
        <v>46138</v>
      </c>
      <c r="D1095" t="inlineStr">
        <is>
          <t>UPPSALA LÄN</t>
        </is>
      </c>
      <c r="E1095" t="inlineStr">
        <is>
          <t>UPPSALA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32553-2024</t>
        </is>
      </c>
      <c r="B1096" s="1" t="n">
        <v>45513.51815972223</v>
      </c>
      <c r="C1096" s="1" t="n">
        <v>46138</v>
      </c>
      <c r="D1096" t="inlineStr">
        <is>
          <t>UPPSALA LÄN</t>
        </is>
      </c>
      <c r="E1096" t="inlineStr">
        <is>
          <t>UPPSALA</t>
        </is>
      </c>
      <c r="F1096" t="inlineStr">
        <is>
          <t>Bergvik skog öst AB</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46807-2022</t>
        </is>
      </c>
      <c r="B1097" s="1" t="n">
        <v>44848</v>
      </c>
      <c r="C1097" s="1" t="n">
        <v>46138</v>
      </c>
      <c r="D1097" t="inlineStr">
        <is>
          <t>UPPSALA LÄN</t>
        </is>
      </c>
      <c r="E1097" t="inlineStr">
        <is>
          <t>UPPSALA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44781-2021</t>
        </is>
      </c>
      <c r="B1098" s="1" t="n">
        <v>44438</v>
      </c>
      <c r="C1098" s="1" t="n">
        <v>46138</v>
      </c>
      <c r="D1098" t="inlineStr">
        <is>
          <t>UPPSALA LÄN</t>
        </is>
      </c>
      <c r="E1098" t="inlineStr">
        <is>
          <t>UPPSALA</t>
        </is>
      </c>
      <c r="F1098" t="inlineStr">
        <is>
          <t>Sveaskog</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5605-2025</t>
        </is>
      </c>
      <c r="B1099" s="1" t="n">
        <v>45693</v>
      </c>
      <c r="C1099" s="1" t="n">
        <v>46138</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12507-2024</t>
        </is>
      </c>
      <c r="B1100" s="1" t="n">
        <v>45379</v>
      </c>
      <c r="C1100" s="1" t="n">
        <v>46138</v>
      </c>
      <c r="D1100" t="inlineStr">
        <is>
          <t>UPPSALA LÄN</t>
        </is>
      </c>
      <c r="E1100" t="inlineStr">
        <is>
          <t>UPPSALA</t>
        </is>
      </c>
      <c r="G1100" t="n">
        <v>4.6</v>
      </c>
      <c r="H1100" t="n">
        <v>0</v>
      </c>
      <c r="I1100" t="n">
        <v>0</v>
      </c>
      <c r="J1100" t="n">
        <v>0</v>
      </c>
      <c r="K1100" t="n">
        <v>0</v>
      </c>
      <c r="L1100" t="n">
        <v>0</v>
      </c>
      <c r="M1100" t="n">
        <v>0</v>
      </c>
      <c r="N1100" t="n">
        <v>0</v>
      </c>
      <c r="O1100" t="n">
        <v>0</v>
      </c>
      <c r="P1100" t="n">
        <v>0</v>
      </c>
      <c r="Q1100" t="n">
        <v>0</v>
      </c>
      <c r="R1100" s="2" t="inlineStr"/>
    </row>
    <row r="1101">
      <c r="A1101" t="inlineStr">
        <is>
          <t>A 4065-2024</t>
        </is>
      </c>
      <c r="B1101" s="1" t="n">
        <v>45323.55914351852</v>
      </c>
      <c r="C1101" s="1" t="n">
        <v>46138</v>
      </c>
      <c r="D1101" t="inlineStr">
        <is>
          <t>UPPSALA LÄN</t>
        </is>
      </c>
      <c r="E1101" t="inlineStr">
        <is>
          <t>UPPSALA</t>
        </is>
      </c>
      <c r="F1101" t="inlineStr">
        <is>
          <t>Holmen skog AB</t>
        </is>
      </c>
      <c r="G1101" t="n">
        <v>1.7</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2026-04-26T10:57:50Z</dcterms:created>
  <dcterms:modified xmlns:dcterms="http://purl.org/dc/terms/" xmlns:xsi="http://www.w3.org/2001/XMLSchema-instance" xsi:type="dcterms:W3CDTF">2026-04-26T10:57:51Z</dcterms:modified>
</cp:coreProperties>
</file>