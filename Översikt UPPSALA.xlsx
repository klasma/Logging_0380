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45910</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45910</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45910</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45910</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45910</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45910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45910</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11833-2025</t>
        </is>
      </c>
      <c r="B11" s="1" t="n">
        <v>45728</v>
      </c>
      <c r="C11" s="1" t="n">
        <v>45910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45910</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45910</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45910</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45910</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45910</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45910</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45910</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45910</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45910</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45910</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45910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45910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45910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45910</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45910</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45910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45910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45910</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45910</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45910</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45910</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33636-2025</t>
        </is>
      </c>
      <c r="B34" s="1" t="n">
        <v>45841.64539351852</v>
      </c>
      <c r="C34" s="1" t="n">
        <v>45910</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61388-2021</t>
        </is>
      </c>
      <c r="B35" s="1" t="n">
        <v>44500</v>
      </c>
      <c r="C35" s="1" t="n">
        <v>45910</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3100-2024</t>
        </is>
      </c>
      <c r="B36" s="1" t="n">
        <v>45316</v>
      </c>
      <c r="C36" s="1" t="n">
        <v>45910</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45910</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45910</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29803-2023</t>
        </is>
      </c>
      <c r="B39" s="1" t="n">
        <v>45107</v>
      </c>
      <c r="C39" s="1" t="n">
        <v>45910</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1725-2022</t>
        </is>
      </c>
      <c r="B40" s="1" t="n">
        <v>44574</v>
      </c>
      <c r="C40" s="1" t="n">
        <v>45910</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27389-2021</t>
        </is>
      </c>
      <c r="B41" s="1" t="n">
        <v>44351</v>
      </c>
      <c r="C41" s="1" t="n">
        <v>45910</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23153-2022</t>
        </is>
      </c>
      <c r="B42" s="1" t="n">
        <v>44719</v>
      </c>
      <c r="C42" s="1" t="n">
        <v>45910</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45910</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45910</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45910</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45910</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45910</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15297-2022</t>
        </is>
      </c>
      <c r="B48" s="1" t="n">
        <v>44659</v>
      </c>
      <c r="C48" s="1" t="n">
        <v>45910</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34147-2022</t>
        </is>
      </c>
      <c r="B49" s="1" t="n">
        <v>44791</v>
      </c>
      <c r="C49" s="1" t="n">
        <v>45910</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45910</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45910</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36471-2022</t>
        </is>
      </c>
      <c r="B52" s="1" t="n">
        <v>44804</v>
      </c>
      <c r="C52" s="1" t="n">
        <v>45910</v>
      </c>
      <c r="D52" t="inlineStr">
        <is>
          <t>UPPSALA LÄN</t>
        </is>
      </c>
      <c r="E52" t="inlineStr">
        <is>
          <t>UPPSALA</t>
        </is>
      </c>
      <c r="G52" t="n">
        <v>4.2</v>
      </c>
      <c r="H52" t="n">
        <v>0</v>
      </c>
      <c r="I52" t="n">
        <v>3</v>
      </c>
      <c r="J52" t="n">
        <v>0</v>
      </c>
      <c r="K52" t="n">
        <v>0</v>
      </c>
      <c r="L52" t="n">
        <v>0</v>
      </c>
      <c r="M52" t="n">
        <v>0</v>
      </c>
      <c r="N52" t="n">
        <v>0</v>
      </c>
      <c r="O52" t="n">
        <v>0</v>
      </c>
      <c r="P52" t="n">
        <v>0</v>
      </c>
      <c r="Q52" t="n">
        <v>3</v>
      </c>
      <c r="R52" s="2" t="inlineStr">
        <is>
          <t>Bronshjon
Spindelbock
Stor aspticka</t>
        </is>
      </c>
      <c r="S52">
        <f>HYPERLINK("https://klasma.github.io/Logging_0380/artfynd/A 36471-2022 artfynd.xlsx", "A 36471-2022")</f>
        <v/>
      </c>
      <c r="T52">
        <f>HYPERLINK("https://klasma.github.io/Logging_0380/kartor/A 36471-2022 karta.png", "A 36471-2022")</f>
        <v/>
      </c>
      <c r="V52">
        <f>HYPERLINK("https://klasma.github.io/Logging_0380/klagomål/A 36471-2022 FSC-klagomål.docx", "A 36471-2022")</f>
        <v/>
      </c>
      <c r="W52">
        <f>HYPERLINK("https://klasma.github.io/Logging_0380/klagomålsmail/A 36471-2022 FSC-klagomål mail.docx", "A 36471-2022")</f>
        <v/>
      </c>
      <c r="X52">
        <f>HYPERLINK("https://klasma.github.io/Logging_0380/tillsyn/A 36471-2022 tillsynsbegäran.docx", "A 36471-2022")</f>
        <v/>
      </c>
      <c r="Y52">
        <f>HYPERLINK("https://klasma.github.io/Logging_0380/tillsynsmail/A 36471-2022 tillsynsbegäran mail.docx", "A 36471-2022")</f>
        <v/>
      </c>
    </row>
    <row r="53" ht="15" customHeight="1">
      <c r="A53" t="inlineStr">
        <is>
          <t>A 60038-2021</t>
        </is>
      </c>
      <c r="B53" s="1" t="n">
        <v>44495</v>
      </c>
      <c r="C53" s="1" t="n">
        <v>45910</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30716-2025</t>
        </is>
      </c>
      <c r="B54" s="1" t="n">
        <v>45831.55982638889</v>
      </c>
      <c r="C54" s="1" t="n">
        <v>45910</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45910</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45910</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45910</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45910</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25660-2025</t>
        </is>
      </c>
      <c r="B59" s="1" t="n">
        <v>45803.61554398148</v>
      </c>
      <c r="C59" s="1" t="n">
        <v>45910</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5755-2025</t>
        </is>
      </c>
      <c r="B60" s="1" t="n">
        <v>45694.55559027778</v>
      </c>
      <c r="C60" s="1" t="n">
        <v>45910</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9401-2025</t>
        </is>
      </c>
      <c r="B61" s="1" t="n">
        <v>45715.38105324074</v>
      </c>
      <c r="C61" s="1" t="n">
        <v>45910</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39933-2023</t>
        </is>
      </c>
      <c r="B62" s="1" t="n">
        <v>45168.50667824074</v>
      </c>
      <c r="C62" s="1" t="n">
        <v>45910</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58906-2021</t>
        </is>
      </c>
      <c r="B63" s="1" t="n">
        <v>44489</v>
      </c>
      <c r="C63" s="1" t="n">
        <v>45910</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45910</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88-2024</t>
        </is>
      </c>
      <c r="B65" s="1" t="n">
        <v>45293</v>
      </c>
      <c r="C65" s="1" t="n">
        <v>45910</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44675-2023</t>
        </is>
      </c>
      <c r="B66" s="1" t="n">
        <v>45189</v>
      </c>
      <c r="C66" s="1" t="n">
        <v>45910</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27502-2024</t>
        </is>
      </c>
      <c r="B67" s="1" t="n">
        <v>45474</v>
      </c>
      <c r="C67" s="1" t="n">
        <v>45910</v>
      </c>
      <c r="D67" t="inlineStr">
        <is>
          <t>UPPSALA LÄN</t>
        </is>
      </c>
      <c r="E67" t="inlineStr">
        <is>
          <t>UPPSALA</t>
        </is>
      </c>
      <c r="G67" t="n">
        <v>13.6</v>
      </c>
      <c r="H67" t="n">
        <v>2</v>
      </c>
      <c r="I67" t="n">
        <v>0</v>
      </c>
      <c r="J67" t="n">
        <v>1</v>
      </c>
      <c r="K67" t="n">
        <v>1</v>
      </c>
      <c r="L67" t="n">
        <v>0</v>
      </c>
      <c r="M67" t="n">
        <v>0</v>
      </c>
      <c r="N67" t="n">
        <v>0</v>
      </c>
      <c r="O67" t="n">
        <v>2</v>
      </c>
      <c r="P67" t="n">
        <v>1</v>
      </c>
      <c r="Q67" t="n">
        <v>2</v>
      </c>
      <c r="R67" s="2" t="inlineStr">
        <is>
          <t>Knärot
Talltita</t>
        </is>
      </c>
      <c r="S67">
        <f>HYPERLINK("https://klasma.github.io/Logging_0380/artfynd/A 27502-2024 artfynd.xlsx", "A 27502-2024")</f>
        <v/>
      </c>
      <c r="T67">
        <f>HYPERLINK("https://klasma.github.io/Logging_0380/kartor/A 27502-2024 karta.png", "A 27502-2024")</f>
        <v/>
      </c>
      <c r="U67">
        <f>HYPERLINK("https://klasma.github.io/Logging_0380/knärot/A 27502-2024 karta knärot.png", "A 27502-2024")</f>
        <v/>
      </c>
      <c r="V67">
        <f>HYPERLINK("https://klasma.github.io/Logging_0380/klagomål/A 27502-2024 FSC-klagomål.docx", "A 27502-2024")</f>
        <v/>
      </c>
      <c r="W67">
        <f>HYPERLINK("https://klasma.github.io/Logging_0380/klagomålsmail/A 27502-2024 FSC-klagomål mail.docx", "A 27502-2024")</f>
        <v/>
      </c>
      <c r="X67">
        <f>HYPERLINK("https://klasma.github.io/Logging_0380/tillsyn/A 27502-2024 tillsynsbegäran.docx", "A 27502-2024")</f>
        <v/>
      </c>
      <c r="Y67">
        <f>HYPERLINK("https://klasma.github.io/Logging_0380/tillsynsmail/A 27502-2024 tillsynsbegäran mail.docx", "A 27502-2024")</f>
        <v/>
      </c>
      <c r="Z67">
        <f>HYPERLINK("https://klasma.github.io/Logging_0380/fåglar/A 27502-2024 prioriterade fågelarter.docx", "A 27502-2024")</f>
        <v/>
      </c>
    </row>
    <row r="68" ht="15" customHeight="1">
      <c r="A68" t="inlineStr">
        <is>
          <t>A 41921-2025</t>
        </is>
      </c>
      <c r="B68" s="1" t="n">
        <v>45903</v>
      </c>
      <c r="C68" s="1" t="n">
        <v>45910</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17277-2023</t>
        </is>
      </c>
      <c r="B69" s="1" t="n">
        <v>45035.44672453704</v>
      </c>
      <c r="C69" s="1" t="n">
        <v>45910</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8865-2022</t>
        </is>
      </c>
      <c r="B70" s="1" t="n">
        <v>44614</v>
      </c>
      <c r="C70" s="1" t="n">
        <v>45910</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45910</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45910</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58050-2021</t>
        </is>
      </c>
      <c r="B73" s="1" t="n">
        <v>44487</v>
      </c>
      <c r="C73" s="1" t="n">
        <v>45910</v>
      </c>
      <c r="D73" t="inlineStr">
        <is>
          <t>UPPSALA LÄN</t>
        </is>
      </c>
      <c r="E73" t="inlineStr">
        <is>
          <t>UPPSALA</t>
        </is>
      </c>
      <c r="G73" t="n">
        <v>4.4</v>
      </c>
      <c r="H73" t="n">
        <v>0</v>
      </c>
      <c r="I73" t="n">
        <v>0</v>
      </c>
      <c r="J73" t="n">
        <v>1</v>
      </c>
      <c r="K73" t="n">
        <v>0</v>
      </c>
      <c r="L73" t="n">
        <v>0</v>
      </c>
      <c r="M73" t="n">
        <v>0</v>
      </c>
      <c r="N73" t="n">
        <v>0</v>
      </c>
      <c r="O73" t="n">
        <v>1</v>
      </c>
      <c r="P73" t="n">
        <v>0</v>
      </c>
      <c r="Q73" t="n">
        <v>1</v>
      </c>
      <c r="R73" s="2" t="inlineStr">
        <is>
          <t>Ullticka</t>
        </is>
      </c>
      <c r="S73">
        <f>HYPERLINK("https://klasma.github.io/Logging_0380/artfynd/A 58050-2021 artfynd.xlsx", "A 58050-2021")</f>
        <v/>
      </c>
      <c r="T73">
        <f>HYPERLINK("https://klasma.github.io/Logging_0380/kartor/A 58050-2021 karta.png", "A 58050-2021")</f>
        <v/>
      </c>
      <c r="V73">
        <f>HYPERLINK("https://klasma.github.io/Logging_0380/klagomål/A 58050-2021 FSC-klagomål.docx", "A 58050-2021")</f>
        <v/>
      </c>
      <c r="W73">
        <f>HYPERLINK("https://klasma.github.io/Logging_0380/klagomålsmail/A 58050-2021 FSC-klagomål mail.docx", "A 58050-2021")</f>
        <v/>
      </c>
      <c r="X73">
        <f>HYPERLINK("https://klasma.github.io/Logging_0380/tillsyn/A 58050-2021 tillsynsbegäran.docx", "A 58050-2021")</f>
        <v/>
      </c>
      <c r="Y73">
        <f>HYPERLINK("https://klasma.github.io/Logging_0380/tillsynsmail/A 58050-2021 tillsynsbegäran mail.docx", "A 58050-2021")</f>
        <v/>
      </c>
    </row>
    <row r="74" ht="15" customHeight="1">
      <c r="A74" t="inlineStr">
        <is>
          <t>A 18624-2025</t>
        </is>
      </c>
      <c r="B74" s="1" t="n">
        <v>45763.52524305556</v>
      </c>
      <c r="C74" s="1" t="n">
        <v>45910</v>
      </c>
      <c r="D74" t="inlineStr">
        <is>
          <t>UPPSALA LÄN</t>
        </is>
      </c>
      <c r="E74" t="inlineStr">
        <is>
          <t>UPPSALA</t>
        </is>
      </c>
      <c r="G74" t="n">
        <v>5</v>
      </c>
      <c r="H74" t="n">
        <v>0</v>
      </c>
      <c r="I74" t="n">
        <v>1</v>
      </c>
      <c r="J74" t="n">
        <v>0</v>
      </c>
      <c r="K74" t="n">
        <v>0</v>
      </c>
      <c r="L74" t="n">
        <v>0</v>
      </c>
      <c r="M74" t="n">
        <v>0</v>
      </c>
      <c r="N74" t="n">
        <v>0</v>
      </c>
      <c r="O74" t="n">
        <v>0</v>
      </c>
      <c r="P74" t="n">
        <v>0</v>
      </c>
      <c r="Q74" t="n">
        <v>1</v>
      </c>
      <c r="R74" s="2" t="inlineStr">
        <is>
          <t>Blåmossa</t>
        </is>
      </c>
      <c r="S74">
        <f>HYPERLINK("https://klasma.github.io/Logging_0380/artfynd/A 18624-2025 artfynd.xlsx", "A 18624-2025")</f>
        <v/>
      </c>
      <c r="T74">
        <f>HYPERLINK("https://klasma.github.io/Logging_0380/kartor/A 18624-2025 karta.png", "A 18624-2025")</f>
        <v/>
      </c>
      <c r="V74">
        <f>HYPERLINK("https://klasma.github.io/Logging_0380/klagomål/A 18624-2025 FSC-klagomål.docx", "A 18624-2025")</f>
        <v/>
      </c>
      <c r="W74">
        <f>HYPERLINK("https://klasma.github.io/Logging_0380/klagomålsmail/A 18624-2025 FSC-klagomål mail.docx", "A 18624-2025")</f>
        <v/>
      </c>
      <c r="X74">
        <f>HYPERLINK("https://klasma.github.io/Logging_0380/tillsyn/A 18624-2025 tillsynsbegäran.docx", "A 18624-2025")</f>
        <v/>
      </c>
      <c r="Y74">
        <f>HYPERLINK("https://klasma.github.io/Logging_0380/tillsynsmail/A 18624-2025 tillsynsbegäran mail.docx", "A 18624-2025")</f>
        <v/>
      </c>
    </row>
    <row r="75" ht="15" customHeight="1">
      <c r="A75" t="inlineStr">
        <is>
          <t>A 9206-2024</t>
        </is>
      </c>
      <c r="B75" s="1" t="n">
        <v>45358</v>
      </c>
      <c r="C75" s="1" t="n">
        <v>45910</v>
      </c>
      <c r="D75" t="inlineStr">
        <is>
          <t>UPPSALA LÄN</t>
        </is>
      </c>
      <c r="E75" t="inlineStr">
        <is>
          <t>UPPSALA</t>
        </is>
      </c>
      <c r="F75" t="inlineStr">
        <is>
          <t>Allmännings- och besparingsskogar</t>
        </is>
      </c>
      <c r="G75" t="n">
        <v>22.2</v>
      </c>
      <c r="H75" t="n">
        <v>1</v>
      </c>
      <c r="I75" t="n">
        <v>0</v>
      </c>
      <c r="J75" t="n">
        <v>0</v>
      </c>
      <c r="K75" t="n">
        <v>1</v>
      </c>
      <c r="L75" t="n">
        <v>0</v>
      </c>
      <c r="M75" t="n">
        <v>0</v>
      </c>
      <c r="N75" t="n">
        <v>0</v>
      </c>
      <c r="O75" t="n">
        <v>1</v>
      </c>
      <c r="P75" t="n">
        <v>1</v>
      </c>
      <c r="Q75" t="n">
        <v>1</v>
      </c>
      <c r="R75" s="2" t="inlineStr">
        <is>
          <t>Knärot</t>
        </is>
      </c>
      <c r="S75">
        <f>HYPERLINK("https://klasma.github.io/Logging_0380/artfynd/A 9206-2024 artfynd.xlsx", "A 9206-2024")</f>
        <v/>
      </c>
      <c r="T75">
        <f>HYPERLINK("https://klasma.github.io/Logging_0380/kartor/A 9206-2024 karta.png", "A 9206-2024")</f>
        <v/>
      </c>
      <c r="U75">
        <f>HYPERLINK("https://klasma.github.io/Logging_0380/knärot/A 9206-2024 karta knärot.png", "A 9206-2024")</f>
        <v/>
      </c>
      <c r="V75">
        <f>HYPERLINK("https://klasma.github.io/Logging_0380/klagomål/A 9206-2024 FSC-klagomål.docx", "A 9206-2024")</f>
        <v/>
      </c>
      <c r="W75">
        <f>HYPERLINK("https://klasma.github.io/Logging_0380/klagomålsmail/A 9206-2024 FSC-klagomål mail.docx", "A 9206-2024")</f>
        <v/>
      </c>
      <c r="X75">
        <f>HYPERLINK("https://klasma.github.io/Logging_0380/tillsyn/A 9206-2024 tillsynsbegäran.docx", "A 9206-2024")</f>
        <v/>
      </c>
      <c r="Y75">
        <f>HYPERLINK("https://klasma.github.io/Logging_0380/tillsynsmail/A 9206-2024 tillsynsbegäran mail.docx", "A 9206-2024")</f>
        <v/>
      </c>
    </row>
    <row r="76" ht="15" customHeight="1">
      <c r="A76" t="inlineStr">
        <is>
          <t>A 21801-2025</t>
        </is>
      </c>
      <c r="B76" s="1" t="n">
        <v>45783</v>
      </c>
      <c r="C76" s="1" t="n">
        <v>45910</v>
      </c>
      <c r="D76" t="inlineStr">
        <is>
          <t>UPPSALA LÄN</t>
        </is>
      </c>
      <c r="E76" t="inlineStr">
        <is>
          <t>UPPSALA</t>
        </is>
      </c>
      <c r="G76" t="n">
        <v>7.9</v>
      </c>
      <c r="H76" t="n">
        <v>1</v>
      </c>
      <c r="I76" t="n">
        <v>0</v>
      </c>
      <c r="J76" t="n">
        <v>0</v>
      </c>
      <c r="K76" t="n">
        <v>0</v>
      </c>
      <c r="L76" t="n">
        <v>0</v>
      </c>
      <c r="M76" t="n">
        <v>0</v>
      </c>
      <c r="N76" t="n">
        <v>0</v>
      </c>
      <c r="O76" t="n">
        <v>0</v>
      </c>
      <c r="P76" t="n">
        <v>0</v>
      </c>
      <c r="Q76" t="n">
        <v>1</v>
      </c>
      <c r="R76" s="2" t="inlineStr">
        <is>
          <t>Mattlummer</t>
        </is>
      </c>
      <c r="S76">
        <f>HYPERLINK("https://klasma.github.io/Logging_0380/artfynd/A 21801-2025 artfynd.xlsx", "A 21801-2025")</f>
        <v/>
      </c>
      <c r="T76">
        <f>HYPERLINK("https://klasma.github.io/Logging_0380/kartor/A 21801-2025 karta.png", "A 21801-2025")</f>
        <v/>
      </c>
      <c r="V76">
        <f>HYPERLINK("https://klasma.github.io/Logging_0380/klagomål/A 21801-2025 FSC-klagomål.docx", "A 21801-2025")</f>
        <v/>
      </c>
      <c r="W76">
        <f>HYPERLINK("https://klasma.github.io/Logging_0380/klagomålsmail/A 21801-2025 FSC-klagomål mail.docx", "A 21801-2025")</f>
        <v/>
      </c>
      <c r="X76">
        <f>HYPERLINK("https://klasma.github.io/Logging_0380/tillsyn/A 21801-2025 tillsynsbegäran.docx", "A 21801-2025")</f>
        <v/>
      </c>
      <c r="Y76">
        <f>HYPERLINK("https://klasma.github.io/Logging_0380/tillsynsmail/A 21801-2025 tillsynsbegäran mail.docx", "A 21801-2025")</f>
        <v/>
      </c>
    </row>
    <row r="77" ht="15" customHeight="1">
      <c r="A77" t="inlineStr">
        <is>
          <t>A 13363-2022</t>
        </is>
      </c>
      <c r="B77" s="1" t="n">
        <v>44645</v>
      </c>
      <c r="C77" s="1" t="n">
        <v>45910</v>
      </c>
      <c r="D77" t="inlineStr">
        <is>
          <t>UPPSALA LÄN</t>
        </is>
      </c>
      <c r="E77" t="inlineStr">
        <is>
          <t>UPPSALA</t>
        </is>
      </c>
      <c r="F77" t="inlineStr">
        <is>
          <t>Övriga Aktiebolag</t>
        </is>
      </c>
      <c r="G77" t="n">
        <v>9.4</v>
      </c>
      <c r="H77" t="n">
        <v>1</v>
      </c>
      <c r="I77" t="n">
        <v>0</v>
      </c>
      <c r="J77" t="n">
        <v>0</v>
      </c>
      <c r="K77" t="n">
        <v>0</v>
      </c>
      <c r="L77" t="n">
        <v>0</v>
      </c>
      <c r="M77" t="n">
        <v>0</v>
      </c>
      <c r="N77" t="n">
        <v>0</v>
      </c>
      <c r="O77" t="n">
        <v>0</v>
      </c>
      <c r="P77" t="n">
        <v>0</v>
      </c>
      <c r="Q77" t="n">
        <v>1</v>
      </c>
      <c r="R77" s="2" t="inlineStr">
        <is>
          <t>Huggorm</t>
        </is>
      </c>
      <c r="S77">
        <f>HYPERLINK("https://klasma.github.io/Logging_0380/artfynd/A 13363-2022 artfynd.xlsx", "A 13363-2022")</f>
        <v/>
      </c>
      <c r="T77">
        <f>HYPERLINK("https://klasma.github.io/Logging_0380/kartor/A 13363-2022 karta.png", "A 13363-2022")</f>
        <v/>
      </c>
      <c r="V77">
        <f>HYPERLINK("https://klasma.github.io/Logging_0380/klagomål/A 13363-2022 FSC-klagomål.docx", "A 13363-2022")</f>
        <v/>
      </c>
      <c r="W77">
        <f>HYPERLINK("https://klasma.github.io/Logging_0380/klagomålsmail/A 13363-2022 FSC-klagomål mail.docx", "A 13363-2022")</f>
        <v/>
      </c>
      <c r="X77">
        <f>HYPERLINK("https://klasma.github.io/Logging_0380/tillsyn/A 13363-2022 tillsynsbegäran.docx", "A 13363-2022")</f>
        <v/>
      </c>
      <c r="Y77">
        <f>HYPERLINK("https://klasma.github.io/Logging_0380/tillsynsmail/A 13363-2022 tillsynsbegäran mail.docx", "A 13363-2022")</f>
        <v/>
      </c>
    </row>
    <row r="78" ht="15" customHeight="1">
      <c r="A78" t="inlineStr">
        <is>
          <t>A 29906-2023</t>
        </is>
      </c>
      <c r="B78" s="1" t="n">
        <v>45107</v>
      </c>
      <c r="C78" s="1" t="n">
        <v>45910</v>
      </c>
      <c r="D78" t="inlineStr">
        <is>
          <t>UPPSALA LÄN</t>
        </is>
      </c>
      <c r="E78" t="inlineStr">
        <is>
          <t>UPPSALA</t>
        </is>
      </c>
      <c r="F78" t="inlineStr">
        <is>
          <t>Kyrkan</t>
        </is>
      </c>
      <c r="G78" t="n">
        <v>0.5</v>
      </c>
      <c r="H78" t="n">
        <v>0</v>
      </c>
      <c r="I78" t="n">
        <v>1</v>
      </c>
      <c r="J78" t="n">
        <v>0</v>
      </c>
      <c r="K78" t="n">
        <v>0</v>
      </c>
      <c r="L78" t="n">
        <v>0</v>
      </c>
      <c r="M78" t="n">
        <v>0</v>
      </c>
      <c r="N78" t="n">
        <v>0</v>
      </c>
      <c r="O78" t="n">
        <v>0</v>
      </c>
      <c r="P78" t="n">
        <v>0</v>
      </c>
      <c r="Q78" t="n">
        <v>1</v>
      </c>
      <c r="R78" s="2" t="inlineStr">
        <is>
          <t>Sotriska</t>
        </is>
      </c>
      <c r="S78">
        <f>HYPERLINK("https://klasma.github.io/Logging_0380/artfynd/A 29906-2023 artfynd.xlsx", "A 29906-2023")</f>
        <v/>
      </c>
      <c r="T78">
        <f>HYPERLINK("https://klasma.github.io/Logging_0380/kartor/A 29906-2023 karta.png", "A 29906-2023")</f>
        <v/>
      </c>
      <c r="V78">
        <f>HYPERLINK("https://klasma.github.io/Logging_0380/klagomål/A 29906-2023 FSC-klagomål.docx", "A 29906-2023")</f>
        <v/>
      </c>
      <c r="W78">
        <f>HYPERLINK("https://klasma.github.io/Logging_0380/klagomålsmail/A 29906-2023 FSC-klagomål mail.docx", "A 29906-2023")</f>
        <v/>
      </c>
      <c r="X78">
        <f>HYPERLINK("https://klasma.github.io/Logging_0380/tillsyn/A 29906-2023 tillsynsbegäran.docx", "A 29906-2023")</f>
        <v/>
      </c>
      <c r="Y78">
        <f>HYPERLINK("https://klasma.github.io/Logging_0380/tillsynsmail/A 29906-2023 tillsynsbegäran mail.docx", "A 29906-2023")</f>
        <v/>
      </c>
    </row>
    <row r="79" ht="15" customHeight="1">
      <c r="A79" t="inlineStr">
        <is>
          <t>A 6044-2024</t>
        </is>
      </c>
      <c r="B79" s="1" t="n">
        <v>45336</v>
      </c>
      <c r="C79" s="1" t="n">
        <v>45910</v>
      </c>
      <c r="D79" t="inlineStr">
        <is>
          <t>UPPSALA LÄN</t>
        </is>
      </c>
      <c r="E79" t="inlineStr">
        <is>
          <t>UPPSALA</t>
        </is>
      </c>
      <c r="F79" t="inlineStr">
        <is>
          <t>Holmen skog AB</t>
        </is>
      </c>
      <c r="G79" t="n">
        <v>7.4</v>
      </c>
      <c r="H79" t="n">
        <v>0</v>
      </c>
      <c r="I79" t="n">
        <v>0</v>
      </c>
      <c r="J79" t="n">
        <v>1</v>
      </c>
      <c r="K79" t="n">
        <v>0</v>
      </c>
      <c r="L79" t="n">
        <v>0</v>
      </c>
      <c r="M79" t="n">
        <v>0</v>
      </c>
      <c r="N79" t="n">
        <v>0</v>
      </c>
      <c r="O79" t="n">
        <v>1</v>
      </c>
      <c r="P79" t="n">
        <v>0</v>
      </c>
      <c r="Q79" t="n">
        <v>1</v>
      </c>
      <c r="R79" s="2" t="inlineStr">
        <is>
          <t>Gul dropplav</t>
        </is>
      </c>
      <c r="S79">
        <f>HYPERLINK("https://klasma.github.io/Logging_0380/artfynd/A 6044-2024 artfynd.xlsx", "A 6044-2024")</f>
        <v/>
      </c>
      <c r="T79">
        <f>HYPERLINK("https://klasma.github.io/Logging_0380/kartor/A 6044-2024 karta.png", "A 6044-2024")</f>
        <v/>
      </c>
      <c r="V79">
        <f>HYPERLINK("https://klasma.github.io/Logging_0380/klagomål/A 6044-2024 FSC-klagomål.docx", "A 6044-2024")</f>
        <v/>
      </c>
      <c r="W79">
        <f>HYPERLINK("https://klasma.github.io/Logging_0380/klagomålsmail/A 6044-2024 FSC-klagomål mail.docx", "A 6044-2024")</f>
        <v/>
      </c>
      <c r="X79">
        <f>HYPERLINK("https://klasma.github.io/Logging_0380/tillsyn/A 6044-2024 tillsynsbegäran.docx", "A 6044-2024")</f>
        <v/>
      </c>
      <c r="Y79">
        <f>HYPERLINK("https://klasma.github.io/Logging_0380/tillsynsmail/A 6044-2024 tillsynsbegäran mail.docx", "A 6044-2024")</f>
        <v/>
      </c>
    </row>
    <row r="80" ht="15" customHeight="1">
      <c r="A80" t="inlineStr">
        <is>
          <t>A 4657-2025</t>
        </is>
      </c>
      <c r="B80" s="1" t="n">
        <v>45687</v>
      </c>
      <c r="C80" s="1" t="n">
        <v>45910</v>
      </c>
      <c r="D80" t="inlineStr">
        <is>
          <t>UPPSALA LÄN</t>
        </is>
      </c>
      <c r="E80" t="inlineStr">
        <is>
          <t>UPPSALA</t>
        </is>
      </c>
      <c r="G80" t="n">
        <v>2.9</v>
      </c>
      <c r="H80" t="n">
        <v>1</v>
      </c>
      <c r="I80" t="n">
        <v>0</v>
      </c>
      <c r="J80" t="n">
        <v>1</v>
      </c>
      <c r="K80" t="n">
        <v>0</v>
      </c>
      <c r="L80" t="n">
        <v>0</v>
      </c>
      <c r="M80" t="n">
        <v>0</v>
      </c>
      <c r="N80" t="n">
        <v>0</v>
      </c>
      <c r="O80" t="n">
        <v>1</v>
      </c>
      <c r="P80" t="n">
        <v>0</v>
      </c>
      <c r="Q80" t="n">
        <v>1</v>
      </c>
      <c r="R80" s="2" t="inlineStr">
        <is>
          <t>Grönsångare</t>
        </is>
      </c>
      <c r="S80">
        <f>HYPERLINK("https://klasma.github.io/Logging_0380/artfynd/A 4657-2025 artfynd.xlsx", "A 4657-2025")</f>
        <v/>
      </c>
      <c r="T80">
        <f>HYPERLINK("https://klasma.github.io/Logging_0380/kartor/A 4657-2025 karta.png", "A 4657-2025")</f>
        <v/>
      </c>
      <c r="V80">
        <f>HYPERLINK("https://klasma.github.io/Logging_0380/klagomål/A 4657-2025 FSC-klagomål.docx", "A 4657-2025")</f>
        <v/>
      </c>
      <c r="W80">
        <f>HYPERLINK("https://klasma.github.io/Logging_0380/klagomålsmail/A 4657-2025 FSC-klagomål mail.docx", "A 4657-2025")</f>
        <v/>
      </c>
      <c r="X80">
        <f>HYPERLINK("https://klasma.github.io/Logging_0380/tillsyn/A 4657-2025 tillsynsbegäran.docx", "A 4657-2025")</f>
        <v/>
      </c>
      <c r="Y80">
        <f>HYPERLINK("https://klasma.github.io/Logging_0380/tillsynsmail/A 4657-2025 tillsynsbegäran mail.docx", "A 4657-2025")</f>
        <v/>
      </c>
      <c r="Z80">
        <f>HYPERLINK("https://klasma.github.io/Logging_0380/fåglar/A 4657-2025 prioriterade fågelarter.docx", "A 4657-2025")</f>
        <v/>
      </c>
    </row>
    <row r="81" ht="15" customHeight="1">
      <c r="A81" t="inlineStr">
        <is>
          <t>A 844-2025</t>
        </is>
      </c>
      <c r="B81" s="1" t="n">
        <v>45665</v>
      </c>
      <c r="C81" s="1" t="n">
        <v>45910</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5732-2025</t>
        </is>
      </c>
      <c r="B82" s="1" t="n">
        <v>45694.49650462963</v>
      </c>
      <c r="C82" s="1" t="n">
        <v>45910</v>
      </c>
      <c r="D82" t="inlineStr">
        <is>
          <t>UPPSALA LÄN</t>
        </is>
      </c>
      <c r="E82" t="inlineStr">
        <is>
          <t>UPPSALA</t>
        </is>
      </c>
      <c r="G82" t="n">
        <v>1.9</v>
      </c>
      <c r="H82" t="n">
        <v>0</v>
      </c>
      <c r="I82" t="n">
        <v>1</v>
      </c>
      <c r="J82" t="n">
        <v>0</v>
      </c>
      <c r="K82" t="n">
        <v>0</v>
      </c>
      <c r="L82" t="n">
        <v>0</v>
      </c>
      <c r="M82" t="n">
        <v>0</v>
      </c>
      <c r="N82" t="n">
        <v>0</v>
      </c>
      <c r="O82" t="n">
        <v>0</v>
      </c>
      <c r="P82" t="n">
        <v>0</v>
      </c>
      <c r="Q82" t="n">
        <v>1</v>
      </c>
      <c r="R82" s="2" t="inlineStr">
        <is>
          <t>Fällmossa</t>
        </is>
      </c>
      <c r="S82">
        <f>HYPERLINK("https://klasma.github.io/Logging_0380/artfynd/A 5732-2025 artfynd.xlsx", "A 5732-2025")</f>
        <v/>
      </c>
      <c r="T82">
        <f>HYPERLINK("https://klasma.github.io/Logging_0380/kartor/A 5732-2025 karta.png", "A 5732-2025")</f>
        <v/>
      </c>
      <c r="V82">
        <f>HYPERLINK("https://klasma.github.io/Logging_0380/klagomål/A 5732-2025 FSC-klagomål.docx", "A 5732-2025")</f>
        <v/>
      </c>
      <c r="W82">
        <f>HYPERLINK("https://klasma.github.io/Logging_0380/klagomålsmail/A 5732-2025 FSC-klagomål mail.docx", "A 5732-2025")</f>
        <v/>
      </c>
      <c r="X82">
        <f>HYPERLINK("https://klasma.github.io/Logging_0380/tillsyn/A 5732-2025 tillsynsbegäran.docx", "A 5732-2025")</f>
        <v/>
      </c>
      <c r="Y82">
        <f>HYPERLINK("https://klasma.github.io/Logging_0380/tillsynsmail/A 5732-2025 tillsynsbegäran mail.docx", "A 5732-2025")</f>
        <v/>
      </c>
    </row>
    <row r="83" ht="15" customHeight="1">
      <c r="A83" t="inlineStr">
        <is>
          <t>A 26135-2025</t>
        </is>
      </c>
      <c r="B83" s="1" t="n">
        <v>45805.41232638889</v>
      </c>
      <c r="C83" s="1" t="n">
        <v>45910</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26923-2025</t>
        </is>
      </c>
      <c r="B84" s="1" t="n">
        <v>45811.38710648148</v>
      </c>
      <c r="C84" s="1" t="n">
        <v>45910</v>
      </c>
      <c r="D84" t="inlineStr">
        <is>
          <t>UPPSALA LÄN</t>
        </is>
      </c>
      <c r="E84" t="inlineStr">
        <is>
          <t>UPPSALA</t>
        </is>
      </c>
      <c r="F84" t="inlineStr">
        <is>
          <t>Kyrkan</t>
        </is>
      </c>
      <c r="G84" t="n">
        <v>9.800000000000001</v>
      </c>
      <c r="H84" t="n">
        <v>1</v>
      </c>
      <c r="I84" t="n">
        <v>0</v>
      </c>
      <c r="J84" t="n">
        <v>0</v>
      </c>
      <c r="K84" t="n">
        <v>0</v>
      </c>
      <c r="L84" t="n">
        <v>0</v>
      </c>
      <c r="M84" t="n">
        <v>0</v>
      </c>
      <c r="N84" t="n">
        <v>0</v>
      </c>
      <c r="O84" t="n">
        <v>0</v>
      </c>
      <c r="P84" t="n">
        <v>0</v>
      </c>
      <c r="Q84" t="n">
        <v>1</v>
      </c>
      <c r="R84" s="2" t="inlineStr">
        <is>
          <t>Fläcknycklar</t>
        </is>
      </c>
      <c r="S84">
        <f>HYPERLINK("https://klasma.github.io/Logging_0380/artfynd/A 26923-2025 artfynd.xlsx", "A 26923-2025")</f>
        <v/>
      </c>
      <c r="T84">
        <f>HYPERLINK("https://klasma.github.io/Logging_0380/kartor/A 26923-2025 karta.png", "A 26923-2025")</f>
        <v/>
      </c>
      <c r="V84">
        <f>HYPERLINK("https://klasma.github.io/Logging_0380/klagomål/A 26923-2025 FSC-klagomål.docx", "A 26923-2025")</f>
        <v/>
      </c>
      <c r="W84">
        <f>HYPERLINK("https://klasma.github.io/Logging_0380/klagomålsmail/A 26923-2025 FSC-klagomål mail.docx", "A 26923-2025")</f>
        <v/>
      </c>
      <c r="X84">
        <f>HYPERLINK("https://klasma.github.io/Logging_0380/tillsyn/A 26923-2025 tillsynsbegäran.docx", "A 26923-2025")</f>
        <v/>
      </c>
      <c r="Y84">
        <f>HYPERLINK("https://klasma.github.io/Logging_0380/tillsynsmail/A 26923-2025 tillsynsbegäran mail.docx", "A 26923-2025")</f>
        <v/>
      </c>
    </row>
    <row r="85" ht="15" customHeight="1">
      <c r="A85" t="inlineStr">
        <is>
          <t>A 27848-2023</t>
        </is>
      </c>
      <c r="B85" s="1" t="n">
        <v>45098</v>
      </c>
      <c r="C85" s="1" t="n">
        <v>45910</v>
      </c>
      <c r="D85" t="inlineStr">
        <is>
          <t>UPPSALA LÄN</t>
        </is>
      </c>
      <c r="E85" t="inlineStr">
        <is>
          <t>UPPSALA</t>
        </is>
      </c>
      <c r="G85" t="n">
        <v>14.3</v>
      </c>
      <c r="H85" t="n">
        <v>0</v>
      </c>
      <c r="I85" t="n">
        <v>1</v>
      </c>
      <c r="J85" t="n">
        <v>0</v>
      </c>
      <c r="K85" t="n">
        <v>0</v>
      </c>
      <c r="L85" t="n">
        <v>0</v>
      </c>
      <c r="M85" t="n">
        <v>0</v>
      </c>
      <c r="N85" t="n">
        <v>0</v>
      </c>
      <c r="O85" t="n">
        <v>0</v>
      </c>
      <c r="P85" t="n">
        <v>0</v>
      </c>
      <c r="Q85" t="n">
        <v>1</v>
      </c>
      <c r="R85" s="2" t="inlineStr">
        <is>
          <t>Blåmossa</t>
        </is>
      </c>
      <c r="S85">
        <f>HYPERLINK("https://klasma.github.io/Logging_0380/artfynd/A 27848-2023 artfynd.xlsx", "A 27848-2023")</f>
        <v/>
      </c>
      <c r="T85">
        <f>HYPERLINK("https://klasma.github.io/Logging_0380/kartor/A 27848-2023 karta.png", "A 27848-2023")</f>
        <v/>
      </c>
      <c r="V85">
        <f>HYPERLINK("https://klasma.github.io/Logging_0380/klagomål/A 27848-2023 FSC-klagomål.docx", "A 27848-2023")</f>
        <v/>
      </c>
      <c r="W85">
        <f>HYPERLINK("https://klasma.github.io/Logging_0380/klagomålsmail/A 27848-2023 FSC-klagomål mail.docx", "A 27848-2023")</f>
        <v/>
      </c>
      <c r="X85">
        <f>HYPERLINK("https://klasma.github.io/Logging_0380/tillsyn/A 27848-2023 tillsynsbegäran.docx", "A 27848-2023")</f>
        <v/>
      </c>
      <c r="Y85">
        <f>HYPERLINK("https://klasma.github.io/Logging_0380/tillsynsmail/A 27848-2023 tillsynsbegäran mail.docx", "A 27848-2023")</f>
        <v/>
      </c>
    </row>
    <row r="86" ht="15" customHeight="1">
      <c r="A86" t="inlineStr">
        <is>
          <t>A 3304-2025</t>
        </is>
      </c>
      <c r="B86" s="1" t="n">
        <v>45679</v>
      </c>
      <c r="C86" s="1" t="n">
        <v>45910</v>
      </c>
      <c r="D86" t="inlineStr">
        <is>
          <t>UPPSALA LÄN</t>
        </is>
      </c>
      <c r="E86" t="inlineStr">
        <is>
          <t>UPPSALA</t>
        </is>
      </c>
      <c r="F86" t="inlineStr">
        <is>
          <t>Övriga statliga verk och myndigheter</t>
        </is>
      </c>
      <c r="G86" t="n">
        <v>3.8</v>
      </c>
      <c r="H86" t="n">
        <v>1</v>
      </c>
      <c r="I86" t="n">
        <v>0</v>
      </c>
      <c r="J86" t="n">
        <v>0</v>
      </c>
      <c r="K86" t="n">
        <v>0</v>
      </c>
      <c r="L86" t="n">
        <v>0</v>
      </c>
      <c r="M86" t="n">
        <v>0</v>
      </c>
      <c r="N86" t="n">
        <v>0</v>
      </c>
      <c r="O86" t="n">
        <v>0</v>
      </c>
      <c r="P86" t="n">
        <v>0</v>
      </c>
      <c r="Q86" t="n">
        <v>1</v>
      </c>
      <c r="R86" s="2" t="inlineStr">
        <is>
          <t>Blåsippa</t>
        </is>
      </c>
      <c r="S86">
        <f>HYPERLINK("https://klasma.github.io/Logging_0380/artfynd/A 3304-2025 artfynd.xlsx", "A 3304-2025")</f>
        <v/>
      </c>
      <c r="T86">
        <f>HYPERLINK("https://klasma.github.io/Logging_0380/kartor/A 3304-2025 karta.png", "A 3304-2025")</f>
        <v/>
      </c>
      <c r="V86">
        <f>HYPERLINK("https://klasma.github.io/Logging_0380/klagomål/A 3304-2025 FSC-klagomål.docx", "A 3304-2025")</f>
        <v/>
      </c>
      <c r="W86">
        <f>HYPERLINK("https://klasma.github.io/Logging_0380/klagomålsmail/A 3304-2025 FSC-klagomål mail.docx", "A 3304-2025")</f>
        <v/>
      </c>
      <c r="X86">
        <f>HYPERLINK("https://klasma.github.io/Logging_0380/tillsyn/A 3304-2025 tillsynsbegäran.docx", "A 3304-2025")</f>
        <v/>
      </c>
      <c r="Y86">
        <f>HYPERLINK("https://klasma.github.io/Logging_0380/tillsynsmail/A 3304-2025 tillsynsbegäran mail.docx", "A 3304-2025")</f>
        <v/>
      </c>
    </row>
    <row r="87" ht="15" customHeight="1">
      <c r="A87" t="inlineStr">
        <is>
          <t>A 28056-2025</t>
        </is>
      </c>
      <c r="B87" s="1" t="n">
        <v>45817</v>
      </c>
      <c r="C87" s="1" t="n">
        <v>45910</v>
      </c>
      <c r="D87" t="inlineStr">
        <is>
          <t>UPPSALA LÄN</t>
        </is>
      </c>
      <c r="E87" t="inlineStr">
        <is>
          <t>UPPSALA</t>
        </is>
      </c>
      <c r="G87" t="n">
        <v>19.3</v>
      </c>
      <c r="H87" t="n">
        <v>1</v>
      </c>
      <c r="I87" t="n">
        <v>0</v>
      </c>
      <c r="J87" t="n">
        <v>0</v>
      </c>
      <c r="K87" t="n">
        <v>1</v>
      </c>
      <c r="L87" t="n">
        <v>0</v>
      </c>
      <c r="M87" t="n">
        <v>0</v>
      </c>
      <c r="N87" t="n">
        <v>0</v>
      </c>
      <c r="O87" t="n">
        <v>1</v>
      </c>
      <c r="P87" t="n">
        <v>1</v>
      </c>
      <c r="Q87" t="n">
        <v>1</v>
      </c>
      <c r="R87" s="2" t="inlineStr">
        <is>
          <t>Knärot</t>
        </is>
      </c>
      <c r="S87">
        <f>HYPERLINK("https://klasma.github.io/Logging_0380/artfynd/A 28056-2025 artfynd.xlsx", "A 28056-2025")</f>
        <v/>
      </c>
      <c r="T87">
        <f>HYPERLINK("https://klasma.github.io/Logging_0380/kartor/A 28056-2025 karta.png", "A 28056-2025")</f>
        <v/>
      </c>
      <c r="U87">
        <f>HYPERLINK("https://klasma.github.io/Logging_0380/knärot/A 28056-2025 karta knärot.png", "A 28056-2025")</f>
        <v/>
      </c>
      <c r="V87">
        <f>HYPERLINK("https://klasma.github.io/Logging_0380/klagomål/A 28056-2025 FSC-klagomål.docx", "A 28056-2025")</f>
        <v/>
      </c>
      <c r="W87">
        <f>HYPERLINK("https://klasma.github.io/Logging_0380/klagomålsmail/A 28056-2025 FSC-klagomål mail.docx", "A 28056-2025")</f>
        <v/>
      </c>
      <c r="X87">
        <f>HYPERLINK("https://klasma.github.io/Logging_0380/tillsyn/A 28056-2025 tillsynsbegäran.docx", "A 28056-2025")</f>
        <v/>
      </c>
      <c r="Y87">
        <f>HYPERLINK("https://klasma.github.io/Logging_0380/tillsynsmail/A 28056-2025 tillsynsbegäran mail.docx", "A 28056-2025")</f>
        <v/>
      </c>
    </row>
    <row r="88" ht="15" customHeight="1">
      <c r="A88" t="inlineStr">
        <is>
          <t>A 27824-2025</t>
        </is>
      </c>
      <c r="B88" s="1" t="n">
        <v>45817.34614583333</v>
      </c>
      <c r="C88" s="1" t="n">
        <v>45910</v>
      </c>
      <c r="D88" t="inlineStr">
        <is>
          <t>UPPSALA LÄN</t>
        </is>
      </c>
      <c r="E88" t="inlineStr">
        <is>
          <t>UPPSALA</t>
        </is>
      </c>
      <c r="F88" t="inlineStr">
        <is>
          <t>Kyrkan</t>
        </is>
      </c>
      <c r="G88" t="n">
        <v>3.3</v>
      </c>
      <c r="H88" t="n">
        <v>0</v>
      </c>
      <c r="I88" t="n">
        <v>1</v>
      </c>
      <c r="J88" t="n">
        <v>0</v>
      </c>
      <c r="K88" t="n">
        <v>0</v>
      </c>
      <c r="L88" t="n">
        <v>0</v>
      </c>
      <c r="M88" t="n">
        <v>0</v>
      </c>
      <c r="N88" t="n">
        <v>0</v>
      </c>
      <c r="O88" t="n">
        <v>0</v>
      </c>
      <c r="P88" t="n">
        <v>0</v>
      </c>
      <c r="Q88" t="n">
        <v>1</v>
      </c>
      <c r="R88" s="2" t="inlineStr">
        <is>
          <t>Sårläka</t>
        </is>
      </c>
      <c r="S88">
        <f>HYPERLINK("https://klasma.github.io/Logging_0380/artfynd/A 27824-2025 artfynd.xlsx", "A 27824-2025")</f>
        <v/>
      </c>
      <c r="T88">
        <f>HYPERLINK("https://klasma.github.io/Logging_0380/kartor/A 27824-2025 karta.png", "A 27824-2025")</f>
        <v/>
      </c>
      <c r="V88">
        <f>HYPERLINK("https://klasma.github.io/Logging_0380/klagomål/A 27824-2025 FSC-klagomål.docx", "A 27824-2025")</f>
        <v/>
      </c>
      <c r="W88">
        <f>HYPERLINK("https://klasma.github.io/Logging_0380/klagomålsmail/A 27824-2025 FSC-klagomål mail.docx", "A 27824-2025")</f>
        <v/>
      </c>
      <c r="X88">
        <f>HYPERLINK("https://klasma.github.io/Logging_0380/tillsyn/A 27824-2025 tillsynsbegäran.docx", "A 27824-2025")</f>
        <v/>
      </c>
      <c r="Y88">
        <f>HYPERLINK("https://klasma.github.io/Logging_0380/tillsynsmail/A 27824-2025 tillsynsbegäran mail.docx", "A 27824-2025")</f>
        <v/>
      </c>
    </row>
    <row r="89" ht="15" customHeight="1">
      <c r="A89" t="inlineStr">
        <is>
          <t>A 28299-2025</t>
        </is>
      </c>
      <c r="B89" s="1" t="n">
        <v>45818.60254629629</v>
      </c>
      <c r="C89" s="1" t="n">
        <v>45910</v>
      </c>
      <c r="D89" t="inlineStr">
        <is>
          <t>UPPSALA LÄN</t>
        </is>
      </c>
      <c r="E89" t="inlineStr">
        <is>
          <t>UPPSALA</t>
        </is>
      </c>
      <c r="F89" t="inlineStr">
        <is>
          <t>Holmen skog AB</t>
        </is>
      </c>
      <c r="G89" t="n">
        <v>12</v>
      </c>
      <c r="H89" t="n">
        <v>0</v>
      </c>
      <c r="I89" t="n">
        <v>0</v>
      </c>
      <c r="J89" t="n">
        <v>1</v>
      </c>
      <c r="K89" t="n">
        <v>0</v>
      </c>
      <c r="L89" t="n">
        <v>0</v>
      </c>
      <c r="M89" t="n">
        <v>0</v>
      </c>
      <c r="N89" t="n">
        <v>0</v>
      </c>
      <c r="O89" t="n">
        <v>1</v>
      </c>
      <c r="P89" t="n">
        <v>0</v>
      </c>
      <c r="Q89" t="n">
        <v>1</v>
      </c>
      <c r="R89" s="2" t="inlineStr">
        <is>
          <t>Slåtterfibbla</t>
        </is>
      </c>
      <c r="S89">
        <f>HYPERLINK("https://klasma.github.io/Logging_0380/artfynd/A 28299-2025 artfynd.xlsx", "A 28299-2025")</f>
        <v/>
      </c>
      <c r="T89">
        <f>HYPERLINK("https://klasma.github.io/Logging_0380/kartor/A 28299-2025 karta.png", "A 28299-2025")</f>
        <v/>
      </c>
      <c r="V89">
        <f>HYPERLINK("https://klasma.github.io/Logging_0380/klagomål/A 28299-2025 FSC-klagomål.docx", "A 28299-2025")</f>
        <v/>
      </c>
      <c r="W89">
        <f>HYPERLINK("https://klasma.github.io/Logging_0380/klagomålsmail/A 28299-2025 FSC-klagomål mail.docx", "A 28299-2025")</f>
        <v/>
      </c>
      <c r="X89">
        <f>HYPERLINK("https://klasma.github.io/Logging_0380/tillsyn/A 28299-2025 tillsynsbegäran.docx", "A 28299-2025")</f>
        <v/>
      </c>
      <c r="Y89">
        <f>HYPERLINK("https://klasma.github.io/Logging_0380/tillsynsmail/A 28299-2025 tillsynsbegäran mail.docx", "A 28299-2025")</f>
        <v/>
      </c>
    </row>
    <row r="90" ht="15" customHeight="1">
      <c r="A90" t="inlineStr">
        <is>
          <t>A 13526-2025</t>
        </is>
      </c>
      <c r="B90" s="1" t="n">
        <v>45736.49902777778</v>
      </c>
      <c r="C90" s="1" t="n">
        <v>45910</v>
      </c>
      <c r="D90" t="inlineStr">
        <is>
          <t>UPPSALA LÄN</t>
        </is>
      </c>
      <c r="E90" t="inlineStr">
        <is>
          <t>UPPSALA</t>
        </is>
      </c>
      <c r="F90" t="inlineStr">
        <is>
          <t>Allmännings- och besparingsskogar</t>
        </is>
      </c>
      <c r="G90" t="n">
        <v>3</v>
      </c>
      <c r="H90" t="n">
        <v>0</v>
      </c>
      <c r="I90" t="n">
        <v>0</v>
      </c>
      <c r="J90" t="n">
        <v>1</v>
      </c>
      <c r="K90" t="n">
        <v>0</v>
      </c>
      <c r="L90" t="n">
        <v>0</v>
      </c>
      <c r="M90" t="n">
        <v>0</v>
      </c>
      <c r="N90" t="n">
        <v>0</v>
      </c>
      <c r="O90" t="n">
        <v>1</v>
      </c>
      <c r="P90" t="n">
        <v>0</v>
      </c>
      <c r="Q90" t="n">
        <v>1</v>
      </c>
      <c r="R90" s="2" t="inlineStr">
        <is>
          <t>Vedtrappmossa</t>
        </is>
      </c>
      <c r="S90">
        <f>HYPERLINK("https://klasma.github.io/Logging_0380/artfynd/A 13526-2025 artfynd.xlsx", "A 13526-2025")</f>
        <v/>
      </c>
      <c r="T90">
        <f>HYPERLINK("https://klasma.github.io/Logging_0380/kartor/A 13526-2025 karta.png", "A 13526-2025")</f>
        <v/>
      </c>
      <c r="V90">
        <f>HYPERLINK("https://klasma.github.io/Logging_0380/klagomål/A 13526-2025 FSC-klagomål.docx", "A 13526-2025")</f>
        <v/>
      </c>
      <c r="W90">
        <f>HYPERLINK("https://klasma.github.io/Logging_0380/klagomålsmail/A 13526-2025 FSC-klagomål mail.docx", "A 13526-2025")</f>
        <v/>
      </c>
      <c r="X90">
        <f>HYPERLINK("https://klasma.github.io/Logging_0380/tillsyn/A 13526-2025 tillsynsbegäran.docx", "A 13526-2025")</f>
        <v/>
      </c>
      <c r="Y90">
        <f>HYPERLINK("https://klasma.github.io/Logging_0380/tillsynsmail/A 13526-2025 tillsynsbegäran mail.docx", "A 13526-2025")</f>
        <v/>
      </c>
    </row>
    <row r="91" ht="15" customHeight="1">
      <c r="A91" t="inlineStr">
        <is>
          <t>A 61818-2022</t>
        </is>
      </c>
      <c r="B91" s="1" t="n">
        <v>44917</v>
      </c>
      <c r="C91" s="1" t="n">
        <v>45910</v>
      </c>
      <c r="D91" t="inlineStr">
        <is>
          <t>UPPSALA LÄN</t>
        </is>
      </c>
      <c r="E91" t="inlineStr">
        <is>
          <t>UPPSALA</t>
        </is>
      </c>
      <c r="F91" t="inlineStr">
        <is>
          <t>Holmen skog AB</t>
        </is>
      </c>
      <c r="G91" t="n">
        <v>0.8</v>
      </c>
      <c r="H91" t="n">
        <v>0</v>
      </c>
      <c r="I91" t="n">
        <v>0</v>
      </c>
      <c r="J91" t="n">
        <v>1</v>
      </c>
      <c r="K91" t="n">
        <v>0</v>
      </c>
      <c r="L91" t="n">
        <v>0</v>
      </c>
      <c r="M91" t="n">
        <v>0</v>
      </c>
      <c r="N91" t="n">
        <v>0</v>
      </c>
      <c r="O91" t="n">
        <v>1</v>
      </c>
      <c r="P91" t="n">
        <v>0</v>
      </c>
      <c r="Q91" t="n">
        <v>1</v>
      </c>
      <c r="R91" s="2" t="inlineStr">
        <is>
          <t>Blekticka</t>
        </is>
      </c>
      <c r="S91">
        <f>HYPERLINK("https://klasma.github.io/Logging_0380/artfynd/A 61818-2022 artfynd.xlsx", "A 61818-2022")</f>
        <v/>
      </c>
      <c r="T91">
        <f>HYPERLINK("https://klasma.github.io/Logging_0380/kartor/A 61818-2022 karta.png", "A 61818-2022")</f>
        <v/>
      </c>
      <c r="V91">
        <f>HYPERLINK("https://klasma.github.io/Logging_0380/klagomål/A 61818-2022 FSC-klagomål.docx", "A 61818-2022")</f>
        <v/>
      </c>
      <c r="W91">
        <f>HYPERLINK("https://klasma.github.io/Logging_0380/klagomålsmail/A 61818-2022 FSC-klagomål mail.docx", "A 61818-2022")</f>
        <v/>
      </c>
      <c r="X91">
        <f>HYPERLINK("https://klasma.github.io/Logging_0380/tillsyn/A 61818-2022 tillsynsbegäran.docx", "A 61818-2022")</f>
        <v/>
      </c>
      <c r="Y91">
        <f>HYPERLINK("https://klasma.github.io/Logging_0380/tillsynsmail/A 61818-2022 tillsynsbegäran mail.docx", "A 61818-2022")</f>
        <v/>
      </c>
    </row>
    <row r="92" ht="15" customHeight="1">
      <c r="A92" t="inlineStr">
        <is>
          <t>A 28950-2025</t>
        </is>
      </c>
      <c r="B92" s="1" t="n">
        <v>45820.84516203704</v>
      </c>
      <c r="C92" s="1" t="n">
        <v>45910</v>
      </c>
      <c r="D92" t="inlineStr">
        <is>
          <t>UPPSALA LÄN</t>
        </is>
      </c>
      <c r="E92" t="inlineStr">
        <is>
          <t>UPPSALA</t>
        </is>
      </c>
      <c r="F92" t="inlineStr">
        <is>
          <t>Bergvik skog öst AB</t>
        </is>
      </c>
      <c r="G92" t="n">
        <v>6</v>
      </c>
      <c r="H92" t="n">
        <v>0</v>
      </c>
      <c r="I92" t="n">
        <v>0</v>
      </c>
      <c r="J92" t="n">
        <v>0</v>
      </c>
      <c r="K92" t="n">
        <v>0</v>
      </c>
      <c r="L92" t="n">
        <v>1</v>
      </c>
      <c r="M92" t="n">
        <v>0</v>
      </c>
      <c r="N92" t="n">
        <v>0</v>
      </c>
      <c r="O92" t="n">
        <v>1</v>
      </c>
      <c r="P92" t="n">
        <v>1</v>
      </c>
      <c r="Q92" t="n">
        <v>1</v>
      </c>
      <c r="R92" s="2" t="inlineStr">
        <is>
          <t>Fältgentiana</t>
        </is>
      </c>
      <c r="S92">
        <f>HYPERLINK("https://klasma.github.io/Logging_0380/artfynd/A 28950-2025 artfynd.xlsx", "A 28950-2025")</f>
        <v/>
      </c>
      <c r="T92">
        <f>HYPERLINK("https://klasma.github.io/Logging_0380/kartor/A 28950-2025 karta.png", "A 28950-2025")</f>
        <v/>
      </c>
      <c r="V92">
        <f>HYPERLINK("https://klasma.github.io/Logging_0380/klagomål/A 28950-2025 FSC-klagomål.docx", "A 28950-2025")</f>
        <v/>
      </c>
      <c r="W92">
        <f>HYPERLINK("https://klasma.github.io/Logging_0380/klagomålsmail/A 28950-2025 FSC-klagomål mail.docx", "A 28950-2025")</f>
        <v/>
      </c>
      <c r="X92">
        <f>HYPERLINK("https://klasma.github.io/Logging_0380/tillsyn/A 28950-2025 tillsynsbegäran.docx", "A 28950-2025")</f>
        <v/>
      </c>
      <c r="Y92">
        <f>HYPERLINK("https://klasma.github.io/Logging_0380/tillsynsmail/A 28950-2025 tillsynsbegäran mail.docx", "A 28950-2025")</f>
        <v/>
      </c>
    </row>
    <row r="93" ht="15" customHeight="1">
      <c r="A93" t="inlineStr">
        <is>
          <t>A 2729-2024</t>
        </is>
      </c>
      <c r="B93" s="1" t="n">
        <v>45314.55579861111</v>
      </c>
      <c r="C93" s="1" t="n">
        <v>45910</v>
      </c>
      <c r="D93" t="inlineStr">
        <is>
          <t>UPPSALA LÄN</t>
        </is>
      </c>
      <c r="E93" t="inlineStr">
        <is>
          <t>UPPSALA</t>
        </is>
      </c>
      <c r="G93" t="n">
        <v>3.3</v>
      </c>
      <c r="H93" t="n">
        <v>1</v>
      </c>
      <c r="I93" t="n">
        <v>0</v>
      </c>
      <c r="J93" t="n">
        <v>0</v>
      </c>
      <c r="K93" t="n">
        <v>0</v>
      </c>
      <c r="L93" t="n">
        <v>0</v>
      </c>
      <c r="M93" t="n">
        <v>0</v>
      </c>
      <c r="N93" t="n">
        <v>0</v>
      </c>
      <c r="O93" t="n">
        <v>0</v>
      </c>
      <c r="P93" t="n">
        <v>0</v>
      </c>
      <c r="Q93" t="n">
        <v>1</v>
      </c>
      <c r="R93" s="2" t="inlineStr">
        <is>
          <t>Revlummer</t>
        </is>
      </c>
      <c r="S93">
        <f>HYPERLINK("https://klasma.github.io/Logging_0380/artfynd/A 2729-2024 artfynd.xlsx", "A 2729-2024")</f>
        <v/>
      </c>
      <c r="T93">
        <f>HYPERLINK("https://klasma.github.io/Logging_0380/kartor/A 2729-2024 karta.png", "A 2729-2024")</f>
        <v/>
      </c>
      <c r="V93">
        <f>HYPERLINK("https://klasma.github.io/Logging_0380/klagomål/A 2729-2024 FSC-klagomål.docx", "A 2729-2024")</f>
        <v/>
      </c>
      <c r="W93">
        <f>HYPERLINK("https://klasma.github.io/Logging_0380/klagomålsmail/A 2729-2024 FSC-klagomål mail.docx", "A 2729-2024")</f>
        <v/>
      </c>
      <c r="X93">
        <f>HYPERLINK("https://klasma.github.io/Logging_0380/tillsyn/A 2729-2024 tillsynsbegäran.docx", "A 2729-2024")</f>
        <v/>
      </c>
      <c r="Y93">
        <f>HYPERLINK("https://klasma.github.io/Logging_0380/tillsynsmail/A 2729-2024 tillsynsbegäran mail.docx", "A 2729-2024")</f>
        <v/>
      </c>
    </row>
    <row r="94" ht="15" customHeight="1">
      <c r="A94" t="inlineStr">
        <is>
          <t>A 49015-2022</t>
        </is>
      </c>
      <c r="B94" s="1" t="n">
        <v>44855</v>
      </c>
      <c r="C94" s="1" t="n">
        <v>45910</v>
      </c>
      <c r="D94" t="inlineStr">
        <is>
          <t>UPPSALA LÄN</t>
        </is>
      </c>
      <c r="E94" t="inlineStr">
        <is>
          <t>UPPSALA</t>
        </is>
      </c>
      <c r="F94" t="inlineStr">
        <is>
          <t>Kommuner</t>
        </is>
      </c>
      <c r="G94" t="n">
        <v>4.5</v>
      </c>
      <c r="H94" t="n">
        <v>0</v>
      </c>
      <c r="I94" t="n">
        <v>0</v>
      </c>
      <c r="J94" t="n">
        <v>1</v>
      </c>
      <c r="K94" t="n">
        <v>0</v>
      </c>
      <c r="L94" t="n">
        <v>0</v>
      </c>
      <c r="M94" t="n">
        <v>0</v>
      </c>
      <c r="N94" t="n">
        <v>0</v>
      </c>
      <c r="O94" t="n">
        <v>1</v>
      </c>
      <c r="P94" t="n">
        <v>0</v>
      </c>
      <c r="Q94" t="n">
        <v>1</v>
      </c>
      <c r="R94" s="2" t="inlineStr">
        <is>
          <t>Harticka</t>
        </is>
      </c>
      <c r="S94">
        <f>HYPERLINK("https://klasma.github.io/Logging_0380/artfynd/A 49015-2022 artfynd.xlsx", "A 49015-2022")</f>
        <v/>
      </c>
      <c r="T94">
        <f>HYPERLINK("https://klasma.github.io/Logging_0380/kartor/A 49015-2022 karta.png", "A 49015-2022")</f>
        <v/>
      </c>
      <c r="V94">
        <f>HYPERLINK("https://klasma.github.io/Logging_0380/klagomål/A 49015-2022 FSC-klagomål.docx", "A 49015-2022")</f>
        <v/>
      </c>
      <c r="W94">
        <f>HYPERLINK("https://klasma.github.io/Logging_0380/klagomålsmail/A 49015-2022 FSC-klagomål mail.docx", "A 49015-2022")</f>
        <v/>
      </c>
      <c r="X94">
        <f>HYPERLINK("https://klasma.github.io/Logging_0380/tillsyn/A 49015-2022 tillsynsbegäran.docx", "A 49015-2022")</f>
        <v/>
      </c>
      <c r="Y94">
        <f>HYPERLINK("https://klasma.github.io/Logging_0380/tillsynsmail/A 49015-2022 tillsynsbegäran mail.docx", "A 49015-2022")</f>
        <v/>
      </c>
    </row>
    <row r="95" ht="15" customHeight="1">
      <c r="A95" t="inlineStr">
        <is>
          <t>A 36842-2025</t>
        </is>
      </c>
      <c r="B95" s="1" t="n">
        <v>45874</v>
      </c>
      <c r="C95" s="1" t="n">
        <v>45910</v>
      </c>
      <c r="D95" t="inlineStr">
        <is>
          <t>UPPSALA LÄN</t>
        </is>
      </c>
      <c r="E95" t="inlineStr">
        <is>
          <t>UPPSALA</t>
        </is>
      </c>
      <c r="G95" t="n">
        <v>9.9</v>
      </c>
      <c r="H95" t="n">
        <v>0</v>
      </c>
      <c r="I95" t="n">
        <v>1</v>
      </c>
      <c r="J95" t="n">
        <v>0</v>
      </c>
      <c r="K95" t="n">
        <v>0</v>
      </c>
      <c r="L95" t="n">
        <v>0</v>
      </c>
      <c r="M95" t="n">
        <v>0</v>
      </c>
      <c r="N95" t="n">
        <v>0</v>
      </c>
      <c r="O95" t="n">
        <v>0</v>
      </c>
      <c r="P95" t="n">
        <v>0</v>
      </c>
      <c r="Q95" t="n">
        <v>1</v>
      </c>
      <c r="R95" s="2" t="inlineStr">
        <is>
          <t>Vedticka</t>
        </is>
      </c>
      <c r="S95">
        <f>HYPERLINK("https://klasma.github.io/Logging_0380/artfynd/A 36842-2025 artfynd.xlsx", "A 36842-2025")</f>
        <v/>
      </c>
      <c r="T95">
        <f>HYPERLINK("https://klasma.github.io/Logging_0380/kartor/A 36842-2025 karta.png", "A 36842-2025")</f>
        <v/>
      </c>
      <c r="V95">
        <f>HYPERLINK("https://klasma.github.io/Logging_0380/klagomål/A 36842-2025 FSC-klagomål.docx", "A 36842-2025")</f>
        <v/>
      </c>
      <c r="W95">
        <f>HYPERLINK("https://klasma.github.io/Logging_0380/klagomålsmail/A 36842-2025 FSC-klagomål mail.docx", "A 36842-2025")</f>
        <v/>
      </c>
      <c r="X95">
        <f>HYPERLINK("https://klasma.github.io/Logging_0380/tillsyn/A 36842-2025 tillsynsbegäran.docx", "A 36842-2025")</f>
        <v/>
      </c>
      <c r="Y95">
        <f>HYPERLINK("https://klasma.github.io/Logging_0380/tillsynsmail/A 36842-2025 tillsynsbegäran mail.docx", "A 36842-2025")</f>
        <v/>
      </c>
    </row>
    <row r="96" ht="15" customHeight="1">
      <c r="A96" t="inlineStr">
        <is>
          <t>A 37004-2025</t>
        </is>
      </c>
      <c r="B96" s="1" t="n">
        <v>45874.69282407407</v>
      </c>
      <c r="C96" s="1" t="n">
        <v>45910</v>
      </c>
      <c r="D96" t="inlineStr">
        <is>
          <t>UPPSALA LÄN</t>
        </is>
      </c>
      <c r="E96" t="inlineStr">
        <is>
          <t>UPPSALA</t>
        </is>
      </c>
      <c r="G96" t="n">
        <v>15.8</v>
      </c>
      <c r="H96" t="n">
        <v>1</v>
      </c>
      <c r="I96" t="n">
        <v>0</v>
      </c>
      <c r="J96" t="n">
        <v>0</v>
      </c>
      <c r="K96" t="n">
        <v>0</v>
      </c>
      <c r="L96" t="n">
        <v>0</v>
      </c>
      <c r="M96" t="n">
        <v>0</v>
      </c>
      <c r="N96" t="n">
        <v>0</v>
      </c>
      <c r="O96" t="n">
        <v>0</v>
      </c>
      <c r="P96" t="n">
        <v>0</v>
      </c>
      <c r="Q96" t="n">
        <v>1</v>
      </c>
      <c r="R96" s="2" t="inlineStr">
        <is>
          <t>Vanlig padda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row>
    <row r="97" ht="15" customHeight="1">
      <c r="A97" t="inlineStr">
        <is>
          <t>A 5009-2023</t>
        </is>
      </c>
      <c r="B97" s="1" t="n">
        <v>44958</v>
      </c>
      <c r="C97" s="1" t="n">
        <v>45910</v>
      </c>
      <c r="D97" t="inlineStr">
        <is>
          <t>UPPSALA LÄN</t>
        </is>
      </c>
      <c r="E97" t="inlineStr">
        <is>
          <t>UPPSALA</t>
        </is>
      </c>
      <c r="G97" t="n">
        <v>4.7</v>
      </c>
      <c r="H97" t="n">
        <v>1</v>
      </c>
      <c r="I97" t="n">
        <v>0</v>
      </c>
      <c r="J97" t="n">
        <v>0</v>
      </c>
      <c r="K97" t="n">
        <v>0</v>
      </c>
      <c r="L97" t="n">
        <v>0</v>
      </c>
      <c r="M97" t="n">
        <v>0</v>
      </c>
      <c r="N97" t="n">
        <v>0</v>
      </c>
      <c r="O97" t="n">
        <v>0</v>
      </c>
      <c r="P97" t="n">
        <v>0</v>
      </c>
      <c r="Q97" t="n">
        <v>1</v>
      </c>
      <c r="R97" s="2" t="inlineStr">
        <is>
          <t>Blåsippa</t>
        </is>
      </c>
      <c r="S97">
        <f>HYPERLINK("https://klasma.github.io/Logging_0380/artfynd/A 5009-2023 artfynd.xlsx", "A 5009-2023")</f>
        <v/>
      </c>
      <c r="T97">
        <f>HYPERLINK("https://klasma.github.io/Logging_0380/kartor/A 5009-2023 karta.png", "A 5009-2023")</f>
        <v/>
      </c>
      <c r="V97">
        <f>HYPERLINK("https://klasma.github.io/Logging_0380/klagomål/A 5009-2023 FSC-klagomål.docx", "A 5009-2023")</f>
        <v/>
      </c>
      <c r="W97">
        <f>HYPERLINK("https://klasma.github.io/Logging_0380/klagomålsmail/A 5009-2023 FSC-klagomål mail.docx", "A 5009-2023")</f>
        <v/>
      </c>
      <c r="X97">
        <f>HYPERLINK("https://klasma.github.io/Logging_0380/tillsyn/A 5009-2023 tillsynsbegäran.docx", "A 5009-2023")</f>
        <v/>
      </c>
      <c r="Y97">
        <f>HYPERLINK("https://klasma.github.io/Logging_0380/tillsynsmail/A 5009-2023 tillsynsbegäran mail.docx", "A 5009-2023")</f>
        <v/>
      </c>
    </row>
    <row r="98" ht="15" customHeight="1">
      <c r="A98" t="inlineStr">
        <is>
          <t>A 25729-2024</t>
        </is>
      </c>
      <c r="B98" s="1" t="n">
        <v>45464</v>
      </c>
      <c r="C98" s="1" t="n">
        <v>45910</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16761-2022</t>
        </is>
      </c>
      <c r="B99" s="1" t="n">
        <v>44673.47858796296</v>
      </c>
      <c r="C99" s="1" t="n">
        <v>45910</v>
      </c>
      <c r="D99" t="inlineStr">
        <is>
          <t>UPPSALA LÄN</t>
        </is>
      </c>
      <c r="E99" t="inlineStr">
        <is>
          <t>UPPSALA</t>
        </is>
      </c>
      <c r="G99" t="n">
        <v>0.6</v>
      </c>
      <c r="H99" t="n">
        <v>1</v>
      </c>
      <c r="I99" t="n">
        <v>0</v>
      </c>
      <c r="J99" t="n">
        <v>0</v>
      </c>
      <c r="K99" t="n">
        <v>0</v>
      </c>
      <c r="L99" t="n">
        <v>0</v>
      </c>
      <c r="M99" t="n">
        <v>0</v>
      </c>
      <c r="N99" t="n">
        <v>0</v>
      </c>
      <c r="O99" t="n">
        <v>0</v>
      </c>
      <c r="P99" t="n">
        <v>0</v>
      </c>
      <c r="Q99" t="n">
        <v>1</v>
      </c>
      <c r="R99" s="2" t="inlineStr">
        <is>
          <t>Trädlärka</t>
        </is>
      </c>
      <c r="S99">
        <f>HYPERLINK("https://klasma.github.io/Logging_0380/artfynd/A 16761-2022 artfynd.xlsx", "A 16761-2022")</f>
        <v/>
      </c>
      <c r="T99">
        <f>HYPERLINK("https://klasma.github.io/Logging_0380/kartor/A 16761-2022 karta.png", "A 16761-2022")</f>
        <v/>
      </c>
      <c r="V99">
        <f>HYPERLINK("https://klasma.github.io/Logging_0380/klagomål/A 16761-2022 FSC-klagomål.docx", "A 16761-2022")</f>
        <v/>
      </c>
      <c r="W99">
        <f>HYPERLINK("https://klasma.github.io/Logging_0380/klagomålsmail/A 16761-2022 FSC-klagomål mail.docx", "A 16761-2022")</f>
        <v/>
      </c>
      <c r="X99">
        <f>HYPERLINK("https://klasma.github.io/Logging_0380/tillsyn/A 16761-2022 tillsynsbegäran.docx", "A 16761-2022")</f>
        <v/>
      </c>
      <c r="Y99">
        <f>HYPERLINK("https://klasma.github.io/Logging_0380/tillsynsmail/A 16761-2022 tillsynsbegäran mail.docx", "A 16761-2022")</f>
        <v/>
      </c>
      <c r="Z99">
        <f>HYPERLINK("https://klasma.github.io/Logging_0380/fåglar/A 16761-2022 prioriterade fågelarter.docx", "A 16761-2022")</f>
        <v/>
      </c>
    </row>
    <row r="100" ht="15" customHeight="1">
      <c r="A100" t="inlineStr">
        <is>
          <t>A 52849-2021</t>
        </is>
      </c>
      <c r="B100" s="1" t="n">
        <v>44467</v>
      </c>
      <c r="C100" s="1" t="n">
        <v>45910</v>
      </c>
      <c r="D100" t="inlineStr">
        <is>
          <t>UPPSALA LÄN</t>
        </is>
      </c>
      <c r="E100" t="inlineStr">
        <is>
          <t>UPPSALA</t>
        </is>
      </c>
      <c r="F100" t="inlineStr">
        <is>
          <t>Övriga Aktiebolag</t>
        </is>
      </c>
      <c r="G100" t="n">
        <v>3.3</v>
      </c>
      <c r="H100" t="n">
        <v>0</v>
      </c>
      <c r="I100" t="n">
        <v>0</v>
      </c>
      <c r="J100" t="n">
        <v>1</v>
      </c>
      <c r="K100" t="n">
        <v>0</v>
      </c>
      <c r="L100" t="n">
        <v>0</v>
      </c>
      <c r="M100" t="n">
        <v>0</v>
      </c>
      <c r="N100" t="n">
        <v>0</v>
      </c>
      <c r="O100" t="n">
        <v>1</v>
      </c>
      <c r="P100" t="n">
        <v>0</v>
      </c>
      <c r="Q100" t="n">
        <v>1</v>
      </c>
      <c r="R100" s="2" t="inlineStr">
        <is>
          <t>Skogshare</t>
        </is>
      </c>
      <c r="S100">
        <f>HYPERLINK("https://klasma.github.io/Logging_0380/artfynd/A 52849-2021 artfynd.xlsx", "A 52849-2021")</f>
        <v/>
      </c>
      <c r="T100">
        <f>HYPERLINK("https://klasma.github.io/Logging_0380/kartor/A 52849-2021 karta.png", "A 52849-2021")</f>
        <v/>
      </c>
      <c r="V100">
        <f>HYPERLINK("https://klasma.github.io/Logging_0380/klagomål/A 52849-2021 FSC-klagomål.docx", "A 52849-2021")</f>
        <v/>
      </c>
      <c r="W100">
        <f>HYPERLINK("https://klasma.github.io/Logging_0380/klagomålsmail/A 52849-2021 FSC-klagomål mail.docx", "A 52849-2021")</f>
        <v/>
      </c>
      <c r="X100">
        <f>HYPERLINK("https://klasma.github.io/Logging_0380/tillsyn/A 52849-2021 tillsynsbegäran.docx", "A 52849-2021")</f>
        <v/>
      </c>
      <c r="Y100">
        <f>HYPERLINK("https://klasma.github.io/Logging_0380/tillsynsmail/A 52849-2021 tillsynsbegäran mail.docx", "A 52849-2021")</f>
        <v/>
      </c>
    </row>
    <row r="101" ht="15" customHeight="1">
      <c r="A101" t="inlineStr">
        <is>
          <t>A 33708-2025</t>
        </is>
      </c>
      <c r="B101" s="1" t="n">
        <v>45841.81555555556</v>
      </c>
      <c r="C101" s="1" t="n">
        <v>45910</v>
      </c>
      <c r="D101" t="inlineStr">
        <is>
          <t>UPPSALA LÄN</t>
        </is>
      </c>
      <c r="E101" t="inlineStr">
        <is>
          <t>UPPSALA</t>
        </is>
      </c>
      <c r="F101" t="inlineStr">
        <is>
          <t>Holmen skog AB</t>
        </is>
      </c>
      <c r="G101" t="n">
        <v>2</v>
      </c>
      <c r="H101" t="n">
        <v>0</v>
      </c>
      <c r="I101" t="n">
        <v>1</v>
      </c>
      <c r="J101" t="n">
        <v>0</v>
      </c>
      <c r="K101" t="n">
        <v>0</v>
      </c>
      <c r="L101" t="n">
        <v>0</v>
      </c>
      <c r="M101" t="n">
        <v>0</v>
      </c>
      <c r="N101" t="n">
        <v>0</v>
      </c>
      <c r="O101" t="n">
        <v>0</v>
      </c>
      <c r="P101" t="n">
        <v>0</v>
      </c>
      <c r="Q101" t="n">
        <v>1</v>
      </c>
      <c r="R101" s="2" t="inlineStr">
        <is>
          <t>Svavelriska</t>
        </is>
      </c>
      <c r="S101">
        <f>HYPERLINK("https://klasma.github.io/Logging_0380/artfynd/A 33708-2025 artfynd.xlsx", "A 33708-2025")</f>
        <v/>
      </c>
      <c r="T101">
        <f>HYPERLINK("https://klasma.github.io/Logging_0380/kartor/A 33708-2025 karta.png", "A 33708-2025")</f>
        <v/>
      </c>
      <c r="V101">
        <f>HYPERLINK("https://klasma.github.io/Logging_0380/klagomål/A 33708-2025 FSC-klagomål.docx", "A 33708-2025")</f>
        <v/>
      </c>
      <c r="W101">
        <f>HYPERLINK("https://klasma.github.io/Logging_0380/klagomålsmail/A 33708-2025 FSC-klagomål mail.docx", "A 33708-2025")</f>
        <v/>
      </c>
      <c r="X101">
        <f>HYPERLINK("https://klasma.github.io/Logging_0380/tillsyn/A 33708-2025 tillsynsbegäran.docx", "A 33708-2025")</f>
        <v/>
      </c>
      <c r="Y101">
        <f>HYPERLINK("https://klasma.github.io/Logging_0380/tillsynsmail/A 33708-2025 tillsynsbegäran mail.docx", "A 33708-2025")</f>
        <v/>
      </c>
    </row>
    <row r="102" ht="15" customHeight="1">
      <c r="A102" t="inlineStr">
        <is>
          <t>A 18373-2025</t>
        </is>
      </c>
      <c r="B102" s="1" t="n">
        <v>45762.57244212963</v>
      </c>
      <c r="C102" s="1" t="n">
        <v>45910</v>
      </c>
      <c r="D102" t="inlineStr">
        <is>
          <t>UPPSALA LÄN</t>
        </is>
      </c>
      <c r="E102" t="inlineStr">
        <is>
          <t>UPPSALA</t>
        </is>
      </c>
      <c r="G102" t="n">
        <v>9.5</v>
      </c>
      <c r="H102" t="n">
        <v>0</v>
      </c>
      <c r="I102" t="n">
        <v>0</v>
      </c>
      <c r="J102" t="n">
        <v>1</v>
      </c>
      <c r="K102" t="n">
        <v>0</v>
      </c>
      <c r="L102" t="n">
        <v>0</v>
      </c>
      <c r="M102" t="n">
        <v>0</v>
      </c>
      <c r="N102" t="n">
        <v>0</v>
      </c>
      <c r="O102" t="n">
        <v>1</v>
      </c>
      <c r="P102" t="n">
        <v>0</v>
      </c>
      <c r="Q102" t="n">
        <v>1</v>
      </c>
      <c r="R102" s="2" t="inlineStr">
        <is>
          <t>Ullticka</t>
        </is>
      </c>
      <c r="S102">
        <f>HYPERLINK("https://klasma.github.io/Logging_0380/artfynd/A 18373-2025 artfynd.xlsx", "A 18373-2025")</f>
        <v/>
      </c>
      <c r="T102">
        <f>HYPERLINK("https://klasma.github.io/Logging_0380/kartor/A 18373-2025 karta.png", "A 18373-2025")</f>
        <v/>
      </c>
      <c r="V102">
        <f>HYPERLINK("https://klasma.github.io/Logging_0380/klagomål/A 18373-2025 FSC-klagomål.docx", "A 18373-2025")</f>
        <v/>
      </c>
      <c r="W102">
        <f>HYPERLINK("https://klasma.github.io/Logging_0380/klagomålsmail/A 18373-2025 FSC-klagomål mail.docx", "A 18373-2025")</f>
        <v/>
      </c>
      <c r="X102">
        <f>HYPERLINK("https://klasma.github.io/Logging_0380/tillsyn/A 18373-2025 tillsynsbegäran.docx", "A 18373-2025")</f>
        <v/>
      </c>
      <c r="Y102">
        <f>HYPERLINK("https://klasma.github.io/Logging_0380/tillsynsmail/A 18373-2025 tillsynsbegäran mail.docx", "A 18373-2025")</f>
        <v/>
      </c>
    </row>
    <row r="103" ht="15" customHeight="1">
      <c r="A103" t="inlineStr">
        <is>
          <t>A 39741-2023</t>
        </is>
      </c>
      <c r="B103" s="1" t="n">
        <v>45167</v>
      </c>
      <c r="C103" s="1" t="n">
        <v>45910</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35260-2025</t>
        </is>
      </c>
      <c r="B104" s="1" t="n">
        <v>45853.76976851852</v>
      </c>
      <c r="C104" s="1" t="n">
        <v>45910</v>
      </c>
      <c r="D104" t="inlineStr">
        <is>
          <t>UPPSALA LÄN</t>
        </is>
      </c>
      <c r="E104" t="inlineStr">
        <is>
          <t>UPPSALA</t>
        </is>
      </c>
      <c r="G104" t="n">
        <v>7.3</v>
      </c>
      <c r="H104" t="n">
        <v>0</v>
      </c>
      <c r="I104" t="n">
        <v>1</v>
      </c>
      <c r="J104" t="n">
        <v>0</v>
      </c>
      <c r="K104" t="n">
        <v>0</v>
      </c>
      <c r="L104" t="n">
        <v>0</v>
      </c>
      <c r="M104" t="n">
        <v>0</v>
      </c>
      <c r="N104" t="n">
        <v>0</v>
      </c>
      <c r="O104" t="n">
        <v>0</v>
      </c>
      <c r="P104" t="n">
        <v>0</v>
      </c>
      <c r="Q104" t="n">
        <v>1</v>
      </c>
      <c r="R104" s="2" t="inlineStr">
        <is>
          <t>Svavelriska</t>
        </is>
      </c>
      <c r="S104">
        <f>HYPERLINK("https://klasma.github.io/Logging_0380/artfynd/A 35260-2025 artfynd.xlsx", "A 35260-2025")</f>
        <v/>
      </c>
      <c r="T104">
        <f>HYPERLINK("https://klasma.github.io/Logging_0380/kartor/A 35260-2025 karta.png", "A 35260-2025")</f>
        <v/>
      </c>
      <c r="V104">
        <f>HYPERLINK("https://klasma.github.io/Logging_0380/klagomål/A 35260-2025 FSC-klagomål.docx", "A 35260-2025")</f>
        <v/>
      </c>
      <c r="W104">
        <f>HYPERLINK("https://klasma.github.io/Logging_0380/klagomålsmail/A 35260-2025 FSC-klagomål mail.docx", "A 35260-2025")</f>
        <v/>
      </c>
      <c r="X104">
        <f>HYPERLINK("https://klasma.github.io/Logging_0380/tillsyn/A 35260-2025 tillsynsbegäran.docx", "A 35260-2025")</f>
        <v/>
      </c>
      <c r="Y104">
        <f>HYPERLINK("https://klasma.github.io/Logging_0380/tillsynsmail/A 35260-2025 tillsynsbegäran mail.docx", "A 35260-2025")</f>
        <v/>
      </c>
    </row>
    <row r="105" ht="15" customHeight="1">
      <c r="A105" t="inlineStr">
        <is>
          <t>A 40568-2025</t>
        </is>
      </c>
      <c r="B105" s="1" t="n">
        <v>45896.47487268518</v>
      </c>
      <c r="C105" s="1" t="n">
        <v>45910</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41606-2025</t>
        </is>
      </c>
      <c r="B106" s="1" t="n">
        <v>45901.66702546296</v>
      </c>
      <c r="C106" s="1" t="n">
        <v>45910</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29902-2023</t>
        </is>
      </c>
      <c r="B107" s="1" t="n">
        <v>45107</v>
      </c>
      <c r="C107" s="1" t="n">
        <v>45910</v>
      </c>
      <c r="D107" t="inlineStr">
        <is>
          <t>UPPSALA LÄN</t>
        </is>
      </c>
      <c r="E107" t="inlineStr">
        <is>
          <t>UPPSALA</t>
        </is>
      </c>
      <c r="F107" t="inlineStr">
        <is>
          <t>Kyrkan</t>
        </is>
      </c>
      <c r="G107" t="n">
        <v>10.6</v>
      </c>
      <c r="H107" t="n">
        <v>1</v>
      </c>
      <c r="I107" t="n">
        <v>0</v>
      </c>
      <c r="J107" t="n">
        <v>1</v>
      </c>
      <c r="K107" t="n">
        <v>0</v>
      </c>
      <c r="L107" t="n">
        <v>0</v>
      </c>
      <c r="M107" t="n">
        <v>0</v>
      </c>
      <c r="N107" t="n">
        <v>0</v>
      </c>
      <c r="O107" t="n">
        <v>1</v>
      </c>
      <c r="P107" t="n">
        <v>0</v>
      </c>
      <c r="Q107" t="n">
        <v>1</v>
      </c>
      <c r="R107" s="2" t="inlineStr">
        <is>
          <t>Järpe</t>
        </is>
      </c>
      <c r="S107">
        <f>HYPERLINK("https://klasma.github.io/Logging_0380/artfynd/A 29902-2023 artfynd.xlsx", "A 29902-2023")</f>
        <v/>
      </c>
      <c r="T107">
        <f>HYPERLINK("https://klasma.github.io/Logging_0380/kartor/A 29902-2023 karta.png", "A 29902-2023")</f>
        <v/>
      </c>
      <c r="V107">
        <f>HYPERLINK("https://klasma.github.io/Logging_0380/klagomål/A 29902-2023 FSC-klagomål.docx", "A 29902-2023")</f>
        <v/>
      </c>
      <c r="W107">
        <f>HYPERLINK("https://klasma.github.io/Logging_0380/klagomålsmail/A 29902-2023 FSC-klagomål mail.docx", "A 29902-2023")</f>
        <v/>
      </c>
      <c r="X107">
        <f>HYPERLINK("https://klasma.github.io/Logging_0380/tillsyn/A 29902-2023 tillsynsbegäran.docx", "A 29902-2023")</f>
        <v/>
      </c>
      <c r="Y107">
        <f>HYPERLINK("https://klasma.github.io/Logging_0380/tillsynsmail/A 29902-2023 tillsynsbegäran mail.docx", "A 29902-2023")</f>
        <v/>
      </c>
      <c r="Z107">
        <f>HYPERLINK("https://klasma.github.io/Logging_0380/fåglar/A 29902-2023 prioriterade fågelarter.docx", "A 29902-2023")</f>
        <v/>
      </c>
    </row>
    <row r="108" ht="15" customHeight="1">
      <c r="A108" t="inlineStr">
        <is>
          <t>A 60055-2022</t>
        </is>
      </c>
      <c r="B108" s="1" t="n">
        <v>44909</v>
      </c>
      <c r="C108" s="1" t="n">
        <v>45910</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57793-2022</t>
        </is>
      </c>
      <c r="B109" s="1" t="n">
        <v>44897</v>
      </c>
      <c r="C109" s="1" t="n">
        <v>45910</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45910</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45910</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63172-2023</t>
        </is>
      </c>
      <c r="B112" s="1" t="n">
        <v>45273</v>
      </c>
      <c r="C112" s="1" t="n">
        <v>45910</v>
      </c>
      <c r="D112" t="inlineStr">
        <is>
          <t>UPPSALA LÄN</t>
        </is>
      </c>
      <c r="E112" t="inlineStr">
        <is>
          <t>UPPSALA</t>
        </is>
      </c>
      <c r="G112" t="n">
        <v>1.8</v>
      </c>
      <c r="H112" t="n">
        <v>0</v>
      </c>
      <c r="I112" t="n">
        <v>1</v>
      </c>
      <c r="J112" t="n">
        <v>0</v>
      </c>
      <c r="K112" t="n">
        <v>0</v>
      </c>
      <c r="L112" t="n">
        <v>0</v>
      </c>
      <c r="M112" t="n">
        <v>0</v>
      </c>
      <c r="N112" t="n">
        <v>0</v>
      </c>
      <c r="O112" t="n">
        <v>0</v>
      </c>
      <c r="P112" t="n">
        <v>0</v>
      </c>
      <c r="Q112" t="n">
        <v>1</v>
      </c>
      <c r="R112" s="2" t="inlineStr">
        <is>
          <t>Ögonpyrola</t>
        </is>
      </c>
      <c r="S112">
        <f>HYPERLINK("https://klasma.github.io/Logging_0380/artfynd/A 63172-2023 artfynd.xlsx", "A 63172-2023")</f>
        <v/>
      </c>
      <c r="T112">
        <f>HYPERLINK("https://klasma.github.io/Logging_0380/kartor/A 63172-2023 karta.png", "A 63172-2023")</f>
        <v/>
      </c>
      <c r="V112">
        <f>HYPERLINK("https://klasma.github.io/Logging_0380/klagomål/A 63172-2023 FSC-klagomål.docx", "A 63172-2023")</f>
        <v/>
      </c>
      <c r="W112">
        <f>HYPERLINK("https://klasma.github.io/Logging_0380/klagomålsmail/A 63172-2023 FSC-klagomål mail.docx", "A 63172-2023")</f>
        <v/>
      </c>
      <c r="X112">
        <f>HYPERLINK("https://klasma.github.io/Logging_0380/tillsyn/A 63172-2023 tillsynsbegäran.docx", "A 63172-2023")</f>
        <v/>
      </c>
      <c r="Y112">
        <f>HYPERLINK("https://klasma.github.io/Logging_0380/tillsynsmail/A 63172-2023 tillsynsbegäran mail.docx", "A 63172-2023")</f>
        <v/>
      </c>
    </row>
    <row r="113" ht="15" customHeight="1">
      <c r="A113" t="inlineStr">
        <is>
          <t>A 17484-2025</t>
        </is>
      </c>
      <c r="B113" s="1" t="n">
        <v>45757.49934027778</v>
      </c>
      <c r="C113" s="1" t="n">
        <v>45910</v>
      </c>
      <c r="D113" t="inlineStr">
        <is>
          <t>UPPSALA LÄN</t>
        </is>
      </c>
      <c r="E113" t="inlineStr">
        <is>
          <t>UPPSALA</t>
        </is>
      </c>
      <c r="G113" t="n">
        <v>13.1</v>
      </c>
      <c r="H113" t="n">
        <v>1</v>
      </c>
      <c r="I113" t="n">
        <v>0</v>
      </c>
      <c r="J113" t="n">
        <v>0</v>
      </c>
      <c r="K113" t="n">
        <v>0</v>
      </c>
      <c r="L113" t="n">
        <v>0</v>
      </c>
      <c r="M113" t="n">
        <v>0</v>
      </c>
      <c r="N113" t="n">
        <v>0</v>
      </c>
      <c r="O113" t="n">
        <v>0</v>
      </c>
      <c r="P113" t="n">
        <v>0</v>
      </c>
      <c r="Q113" t="n">
        <v>1</v>
      </c>
      <c r="R113" s="2" t="inlineStr">
        <is>
          <t>Fläcknycklar</t>
        </is>
      </c>
      <c r="S113">
        <f>HYPERLINK("https://klasma.github.io/Logging_0380/artfynd/A 17484-2025 artfynd.xlsx", "A 17484-2025")</f>
        <v/>
      </c>
      <c r="T113">
        <f>HYPERLINK("https://klasma.github.io/Logging_0380/kartor/A 17484-2025 karta.png", "A 17484-2025")</f>
        <v/>
      </c>
      <c r="V113">
        <f>HYPERLINK("https://klasma.github.io/Logging_0380/klagomål/A 17484-2025 FSC-klagomål.docx", "A 17484-2025")</f>
        <v/>
      </c>
      <c r="W113">
        <f>HYPERLINK("https://klasma.github.io/Logging_0380/klagomålsmail/A 17484-2025 FSC-klagomål mail.docx", "A 17484-2025")</f>
        <v/>
      </c>
      <c r="X113">
        <f>HYPERLINK("https://klasma.github.io/Logging_0380/tillsyn/A 17484-2025 tillsynsbegäran.docx", "A 17484-2025")</f>
        <v/>
      </c>
      <c r="Y113">
        <f>HYPERLINK("https://klasma.github.io/Logging_0380/tillsynsmail/A 17484-2025 tillsynsbegäran mail.docx", "A 17484-2025")</f>
        <v/>
      </c>
    </row>
    <row r="114" ht="15" customHeight="1">
      <c r="A114" t="inlineStr">
        <is>
          <t>A 13093-2024</t>
        </is>
      </c>
      <c r="B114" s="1" t="n">
        <v>45385</v>
      </c>
      <c r="C114" s="1" t="n">
        <v>45910</v>
      </c>
      <c r="D114" t="inlineStr">
        <is>
          <t>UPPSALA LÄN</t>
        </is>
      </c>
      <c r="E114" t="inlineStr">
        <is>
          <t>UPPSALA</t>
        </is>
      </c>
      <c r="G114" t="n">
        <v>1.1</v>
      </c>
      <c r="H114" t="n">
        <v>1</v>
      </c>
      <c r="I114" t="n">
        <v>1</v>
      </c>
      <c r="J114" t="n">
        <v>0</v>
      </c>
      <c r="K114" t="n">
        <v>0</v>
      </c>
      <c r="L114" t="n">
        <v>0</v>
      </c>
      <c r="M114" t="n">
        <v>0</v>
      </c>
      <c r="N114" t="n">
        <v>0</v>
      </c>
      <c r="O114" t="n">
        <v>0</v>
      </c>
      <c r="P114" t="n">
        <v>0</v>
      </c>
      <c r="Q114" t="n">
        <v>1</v>
      </c>
      <c r="R114" s="2" t="inlineStr">
        <is>
          <t>Skogsknipprot</t>
        </is>
      </c>
      <c r="S114">
        <f>HYPERLINK("https://klasma.github.io/Logging_0380/artfynd/A 13093-2024 artfynd.xlsx", "A 13093-2024")</f>
        <v/>
      </c>
      <c r="T114">
        <f>HYPERLINK("https://klasma.github.io/Logging_0380/kartor/A 13093-2024 karta.png", "A 13093-2024")</f>
        <v/>
      </c>
      <c r="V114">
        <f>HYPERLINK("https://klasma.github.io/Logging_0380/klagomål/A 13093-2024 FSC-klagomål.docx", "A 13093-2024")</f>
        <v/>
      </c>
      <c r="W114">
        <f>HYPERLINK("https://klasma.github.io/Logging_0380/klagomålsmail/A 13093-2024 FSC-klagomål mail.docx", "A 13093-2024")</f>
        <v/>
      </c>
      <c r="X114">
        <f>HYPERLINK("https://klasma.github.io/Logging_0380/tillsyn/A 13093-2024 tillsynsbegäran.docx", "A 13093-2024")</f>
        <v/>
      </c>
      <c r="Y114">
        <f>HYPERLINK("https://klasma.github.io/Logging_0380/tillsynsmail/A 13093-2024 tillsynsbegäran mail.docx", "A 13093-2024")</f>
        <v/>
      </c>
    </row>
    <row r="115" ht="15" customHeight="1">
      <c r="A115" t="inlineStr">
        <is>
          <t>A 61830-2022</t>
        </is>
      </c>
      <c r="B115" s="1" t="n">
        <v>44917.59298611111</v>
      </c>
      <c r="C115" s="1" t="n">
        <v>45910</v>
      </c>
      <c r="D115" t="inlineStr">
        <is>
          <t>UPPSALA LÄN</t>
        </is>
      </c>
      <c r="E115" t="inlineStr">
        <is>
          <t>UPPSALA</t>
        </is>
      </c>
      <c r="F115" t="inlineStr">
        <is>
          <t>Holmen skog AB</t>
        </is>
      </c>
      <c r="G115" t="n">
        <v>1.1</v>
      </c>
      <c r="H115" t="n">
        <v>0</v>
      </c>
      <c r="I115" t="n">
        <v>0</v>
      </c>
      <c r="J115" t="n">
        <v>1</v>
      </c>
      <c r="K115" t="n">
        <v>0</v>
      </c>
      <c r="L115" t="n">
        <v>0</v>
      </c>
      <c r="M115" t="n">
        <v>0</v>
      </c>
      <c r="N115" t="n">
        <v>0</v>
      </c>
      <c r="O115" t="n">
        <v>1</v>
      </c>
      <c r="P115" t="n">
        <v>0</v>
      </c>
      <c r="Q115" t="n">
        <v>1</v>
      </c>
      <c r="R115" s="2" t="inlineStr">
        <is>
          <t>Rödbrun blekspik</t>
        </is>
      </c>
      <c r="S115">
        <f>HYPERLINK("https://klasma.github.io/Logging_0380/artfynd/A 61830-2022 artfynd.xlsx", "A 61830-2022")</f>
        <v/>
      </c>
      <c r="T115">
        <f>HYPERLINK("https://klasma.github.io/Logging_0380/kartor/A 61830-2022 karta.png", "A 61830-2022")</f>
        <v/>
      </c>
      <c r="V115">
        <f>HYPERLINK("https://klasma.github.io/Logging_0380/klagomål/A 61830-2022 FSC-klagomål.docx", "A 61830-2022")</f>
        <v/>
      </c>
      <c r="W115">
        <f>HYPERLINK("https://klasma.github.io/Logging_0380/klagomålsmail/A 61830-2022 FSC-klagomål mail.docx", "A 61830-2022")</f>
        <v/>
      </c>
      <c r="X115">
        <f>HYPERLINK("https://klasma.github.io/Logging_0380/tillsyn/A 61830-2022 tillsynsbegäran.docx", "A 61830-2022")</f>
        <v/>
      </c>
      <c r="Y115">
        <f>HYPERLINK("https://klasma.github.io/Logging_0380/tillsynsmail/A 61830-2022 tillsynsbegäran mail.docx", "A 61830-2022")</f>
        <v/>
      </c>
    </row>
    <row r="116" ht="15" customHeight="1">
      <c r="A116" t="inlineStr">
        <is>
          <t>A 58288-2020</t>
        </is>
      </c>
      <c r="B116" s="1" t="n">
        <v>44144</v>
      </c>
      <c r="C116" s="1" t="n">
        <v>45910</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52717-2020</t>
        </is>
      </c>
      <c r="B117" s="1" t="n">
        <v>44119</v>
      </c>
      <c r="C117" s="1" t="n">
        <v>45910</v>
      </c>
      <c r="D117" t="inlineStr">
        <is>
          <t>UPPSALA LÄN</t>
        </is>
      </c>
      <c r="E117" t="inlineStr">
        <is>
          <t>UPPSALA</t>
        </is>
      </c>
      <c r="G117" t="n">
        <v>2.8</v>
      </c>
      <c r="H117" t="n">
        <v>0</v>
      </c>
      <c r="I117" t="n">
        <v>0</v>
      </c>
      <c r="J117" t="n">
        <v>0</v>
      </c>
      <c r="K117" t="n">
        <v>0</v>
      </c>
      <c r="L117" t="n">
        <v>0</v>
      </c>
      <c r="M117" t="n">
        <v>0</v>
      </c>
      <c r="N117" t="n">
        <v>0</v>
      </c>
      <c r="O117" t="n">
        <v>0</v>
      </c>
      <c r="P117" t="n">
        <v>0</v>
      </c>
      <c r="Q117" t="n">
        <v>0</v>
      </c>
      <c r="R117" s="2" t="inlineStr"/>
    </row>
    <row r="118" ht="15" customHeight="1">
      <c r="A118" t="inlineStr">
        <is>
          <t>A 6853-2022</t>
        </is>
      </c>
      <c r="B118" s="1" t="n">
        <v>44602</v>
      </c>
      <c r="C118" s="1" t="n">
        <v>45910</v>
      </c>
      <c r="D118" t="inlineStr">
        <is>
          <t>UPPSALA LÄN</t>
        </is>
      </c>
      <c r="E118" t="inlineStr">
        <is>
          <t>UPPSALA</t>
        </is>
      </c>
      <c r="G118" t="n">
        <v>12</v>
      </c>
      <c r="H118" t="n">
        <v>0</v>
      </c>
      <c r="I118" t="n">
        <v>0</v>
      </c>
      <c r="J118" t="n">
        <v>0</v>
      </c>
      <c r="K118" t="n">
        <v>0</v>
      </c>
      <c r="L118" t="n">
        <v>0</v>
      </c>
      <c r="M118" t="n">
        <v>0</v>
      </c>
      <c r="N118" t="n">
        <v>0</v>
      </c>
      <c r="O118" t="n">
        <v>0</v>
      </c>
      <c r="P118" t="n">
        <v>0</v>
      </c>
      <c r="Q118" t="n">
        <v>0</v>
      </c>
      <c r="R118" s="2" t="inlineStr"/>
    </row>
    <row r="119" ht="15" customHeight="1">
      <c r="A119" t="inlineStr">
        <is>
          <t>A 6863-2022</t>
        </is>
      </c>
      <c r="B119" s="1" t="n">
        <v>44602</v>
      </c>
      <c r="C119" s="1" t="n">
        <v>45910</v>
      </c>
      <c r="D119" t="inlineStr">
        <is>
          <t>UPPSALA LÄN</t>
        </is>
      </c>
      <c r="E119" t="inlineStr">
        <is>
          <t>UPPSALA</t>
        </is>
      </c>
      <c r="G119" t="n">
        <v>1.5</v>
      </c>
      <c r="H119" t="n">
        <v>0</v>
      </c>
      <c r="I119" t="n">
        <v>0</v>
      </c>
      <c r="J119" t="n">
        <v>0</v>
      </c>
      <c r="K119" t="n">
        <v>0</v>
      </c>
      <c r="L119" t="n">
        <v>0</v>
      </c>
      <c r="M119" t="n">
        <v>0</v>
      </c>
      <c r="N119" t="n">
        <v>0</v>
      </c>
      <c r="O119" t="n">
        <v>0</v>
      </c>
      <c r="P119" t="n">
        <v>0</v>
      </c>
      <c r="Q119" t="n">
        <v>0</v>
      </c>
      <c r="R119" s="2" t="inlineStr"/>
    </row>
    <row r="120" ht="15" customHeight="1">
      <c r="A120" t="inlineStr">
        <is>
          <t>A 3260-2022</t>
        </is>
      </c>
      <c r="B120" s="1" t="n">
        <v>44583.61803240741</v>
      </c>
      <c r="C120" s="1" t="n">
        <v>45910</v>
      </c>
      <c r="D120" t="inlineStr">
        <is>
          <t>UPPSALA LÄN</t>
        </is>
      </c>
      <c r="E120" t="inlineStr">
        <is>
          <t>UPPSALA</t>
        </is>
      </c>
      <c r="F120" t="inlineStr">
        <is>
          <t>Holmen skog AB</t>
        </is>
      </c>
      <c r="G120" t="n">
        <v>0.5</v>
      </c>
      <c r="H120" t="n">
        <v>0</v>
      </c>
      <c r="I120" t="n">
        <v>0</v>
      </c>
      <c r="J120" t="n">
        <v>0</v>
      </c>
      <c r="K120" t="n">
        <v>0</v>
      </c>
      <c r="L120" t="n">
        <v>0</v>
      </c>
      <c r="M120" t="n">
        <v>0</v>
      </c>
      <c r="N120" t="n">
        <v>0</v>
      </c>
      <c r="O120" t="n">
        <v>0</v>
      </c>
      <c r="P120" t="n">
        <v>0</v>
      </c>
      <c r="Q120" t="n">
        <v>0</v>
      </c>
      <c r="R120" s="2" t="inlineStr"/>
    </row>
    <row r="121" ht="15" customHeight="1">
      <c r="A121" t="inlineStr">
        <is>
          <t>A 612-2022</t>
        </is>
      </c>
      <c r="B121" s="1" t="n">
        <v>44567.81241898148</v>
      </c>
      <c r="C121" s="1" t="n">
        <v>45910</v>
      </c>
      <c r="D121" t="inlineStr">
        <is>
          <t>UPPSALA LÄN</t>
        </is>
      </c>
      <c r="E121" t="inlineStr">
        <is>
          <t>UPPSALA</t>
        </is>
      </c>
      <c r="F121" t="inlineStr">
        <is>
          <t>Holmen skog AB</t>
        </is>
      </c>
      <c r="G121" t="n">
        <v>6.6</v>
      </c>
      <c r="H121" t="n">
        <v>0</v>
      </c>
      <c r="I121" t="n">
        <v>0</v>
      </c>
      <c r="J121" t="n">
        <v>0</v>
      </c>
      <c r="K121" t="n">
        <v>0</v>
      </c>
      <c r="L121" t="n">
        <v>0</v>
      </c>
      <c r="M121" t="n">
        <v>0</v>
      </c>
      <c r="N121" t="n">
        <v>0</v>
      </c>
      <c r="O121" t="n">
        <v>0</v>
      </c>
      <c r="P121" t="n">
        <v>0</v>
      </c>
      <c r="Q121" t="n">
        <v>0</v>
      </c>
      <c r="R121" s="2" t="inlineStr"/>
    </row>
    <row r="122" ht="15" customHeight="1">
      <c r="A122" t="inlineStr">
        <is>
          <t>A 65811-2021</t>
        </is>
      </c>
      <c r="B122" s="1" t="n">
        <v>44517</v>
      </c>
      <c r="C122" s="1" t="n">
        <v>45910</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38469-2021</t>
        </is>
      </c>
      <c r="B123" s="1" t="n">
        <v>44407</v>
      </c>
      <c r="C123" s="1" t="n">
        <v>45910</v>
      </c>
      <c r="D123" t="inlineStr">
        <is>
          <t>UPPSALA LÄN</t>
        </is>
      </c>
      <c r="E123" t="inlineStr">
        <is>
          <t>UPPSALA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45910</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45910</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58897-2021</t>
        </is>
      </c>
      <c r="B126" s="1" t="n">
        <v>44489</v>
      </c>
      <c r="C126" s="1" t="n">
        <v>45910</v>
      </c>
      <c r="D126" t="inlineStr">
        <is>
          <t>UPPSALA LÄN</t>
        </is>
      </c>
      <c r="E126" t="inlineStr">
        <is>
          <t>UPPSALA</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8139-2022</t>
        </is>
      </c>
      <c r="B127" s="1" t="n">
        <v>44609.61430555556</v>
      </c>
      <c r="C127" s="1" t="n">
        <v>45910</v>
      </c>
      <c r="D127" t="inlineStr">
        <is>
          <t>UPPSALA LÄN</t>
        </is>
      </c>
      <c r="E127" t="inlineStr">
        <is>
          <t>UPPSALA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45910</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45910</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45910</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45910</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45910</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45910</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45910</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45910</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45910</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45910</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45910</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45910</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5663-2021</t>
        </is>
      </c>
      <c r="B140" s="1" t="n">
        <v>44230</v>
      </c>
      <c r="C140" s="1" t="n">
        <v>45910</v>
      </c>
      <c r="D140" t="inlineStr">
        <is>
          <t>UPPSALA LÄN</t>
        </is>
      </c>
      <c r="E140" t="inlineStr">
        <is>
          <t>UPPSALA</t>
        </is>
      </c>
      <c r="G140" t="n">
        <v>0.9</v>
      </c>
      <c r="H140" t="n">
        <v>0</v>
      </c>
      <c r="I140" t="n">
        <v>0</v>
      </c>
      <c r="J140" t="n">
        <v>0</v>
      </c>
      <c r="K140" t="n">
        <v>0</v>
      </c>
      <c r="L140" t="n">
        <v>0</v>
      </c>
      <c r="M140" t="n">
        <v>0</v>
      </c>
      <c r="N140" t="n">
        <v>0</v>
      </c>
      <c r="O140" t="n">
        <v>0</v>
      </c>
      <c r="P140" t="n">
        <v>0</v>
      </c>
      <c r="Q140" t="n">
        <v>0</v>
      </c>
      <c r="R140" s="2" t="inlineStr"/>
    </row>
    <row r="141" ht="15" customHeight="1">
      <c r="A141" t="inlineStr">
        <is>
          <t>A 59881-2021</t>
        </is>
      </c>
      <c r="B141" s="1" t="n">
        <v>44494</v>
      </c>
      <c r="C141" s="1" t="n">
        <v>45910</v>
      </c>
      <c r="D141" t="inlineStr">
        <is>
          <t>UPPSALA LÄN</t>
        </is>
      </c>
      <c r="E141" t="inlineStr">
        <is>
          <t>UPPSALA</t>
        </is>
      </c>
      <c r="F141" t="inlineStr">
        <is>
          <t>Allmännings- och besparingsskogar</t>
        </is>
      </c>
      <c r="G141" t="n">
        <v>1.6</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45910</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45910</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45910</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45910</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45910</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45910</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45910</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45910</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45910</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45910</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45910</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45910</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45910</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45910</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45910</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45910</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45910</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45910</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45910</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45910</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45910</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45910</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45910</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45910</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45910</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45910</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45910</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45930-2020</t>
        </is>
      </c>
      <c r="B169" s="1" t="n">
        <v>44091</v>
      </c>
      <c r="C169" s="1" t="n">
        <v>45910</v>
      </c>
      <c r="D169" t="inlineStr">
        <is>
          <t>UPPSALA LÄN</t>
        </is>
      </c>
      <c r="E169" t="inlineStr">
        <is>
          <t>UPPSALA</t>
        </is>
      </c>
      <c r="F169" t="inlineStr">
        <is>
          <t>Holmen skog AB</t>
        </is>
      </c>
      <c r="G169" t="n">
        <v>1.8</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45910</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45910</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45910</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45910</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45910</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45910</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45910</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45910</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45910</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5996-2022</t>
        </is>
      </c>
      <c r="B179" s="1" t="n">
        <v>44599.43265046296</v>
      </c>
      <c r="C179" s="1" t="n">
        <v>45910</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18330-2022</t>
        </is>
      </c>
      <c r="B180" s="1" t="n">
        <v>44685.6212037037</v>
      </c>
      <c r="C180" s="1" t="n">
        <v>45910</v>
      </c>
      <c r="D180" t="inlineStr">
        <is>
          <t>UPPSALA LÄN</t>
        </is>
      </c>
      <c r="E180" t="inlineStr">
        <is>
          <t>UPPSALA</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71675-2021</t>
        </is>
      </c>
      <c r="B181" s="1" t="n">
        <v>44543</v>
      </c>
      <c r="C181" s="1" t="n">
        <v>45910</v>
      </c>
      <c r="D181" t="inlineStr">
        <is>
          <t>UPPSALA LÄN</t>
        </is>
      </c>
      <c r="E181" t="inlineStr">
        <is>
          <t>UPPSALA</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51821-2021</t>
        </is>
      </c>
      <c r="B182" s="1" t="n">
        <v>44461</v>
      </c>
      <c r="C182" s="1" t="n">
        <v>45910</v>
      </c>
      <c r="D182" t="inlineStr">
        <is>
          <t>UPPSALA LÄN</t>
        </is>
      </c>
      <c r="E182" t="inlineStr">
        <is>
          <t>UPPSALA</t>
        </is>
      </c>
      <c r="F182" t="inlineStr">
        <is>
          <t>Övriga Aktiebolag</t>
        </is>
      </c>
      <c r="G182" t="n">
        <v>5.3</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45910</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45910</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50092-2022</t>
        </is>
      </c>
      <c r="B185" s="1" t="n">
        <v>44865</v>
      </c>
      <c r="C185" s="1" t="n">
        <v>45910</v>
      </c>
      <c r="D185" t="inlineStr">
        <is>
          <t>UPPSALA LÄN</t>
        </is>
      </c>
      <c r="E185" t="inlineStr">
        <is>
          <t>UPPSALA</t>
        </is>
      </c>
      <c r="G185" t="n">
        <v>1.1</v>
      </c>
      <c r="H185" t="n">
        <v>0</v>
      </c>
      <c r="I185" t="n">
        <v>0</v>
      </c>
      <c r="J185" t="n">
        <v>0</v>
      </c>
      <c r="K185" t="n">
        <v>0</v>
      </c>
      <c r="L185" t="n">
        <v>0</v>
      </c>
      <c r="M185" t="n">
        <v>0</v>
      </c>
      <c r="N185" t="n">
        <v>0</v>
      </c>
      <c r="O185" t="n">
        <v>0</v>
      </c>
      <c r="P185" t="n">
        <v>0</v>
      </c>
      <c r="Q185" t="n">
        <v>0</v>
      </c>
      <c r="R185" s="2" t="inlineStr"/>
    </row>
    <row r="186" ht="15" customHeight="1">
      <c r="A186" t="inlineStr">
        <is>
          <t>A 20980-2022</t>
        </is>
      </c>
      <c r="B186" s="1" t="n">
        <v>44702.70721064815</v>
      </c>
      <c r="C186" s="1" t="n">
        <v>45910</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51396-2021</t>
        </is>
      </c>
      <c r="B187" s="1" t="n">
        <v>44461.73350694445</v>
      </c>
      <c r="C187" s="1" t="n">
        <v>45910</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46097-2021</t>
        </is>
      </c>
      <c r="B188" s="1" t="n">
        <v>44442.35195601852</v>
      </c>
      <c r="C188" s="1" t="n">
        <v>45910</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46099-2021</t>
        </is>
      </c>
      <c r="B189" s="1" t="n">
        <v>44442</v>
      </c>
      <c r="C189" s="1" t="n">
        <v>45910</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45910</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25745-2022</t>
        </is>
      </c>
      <c r="B191" s="1" t="n">
        <v>44733.43420138889</v>
      </c>
      <c r="C191" s="1" t="n">
        <v>45910</v>
      </c>
      <c r="D191" t="inlineStr">
        <is>
          <t>UPPSALA LÄN</t>
        </is>
      </c>
      <c r="E191" t="inlineStr">
        <is>
          <t>UPPSALA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22021-2022</t>
        </is>
      </c>
      <c r="B192" s="1" t="n">
        <v>44711</v>
      </c>
      <c r="C192" s="1" t="n">
        <v>45910</v>
      </c>
      <c r="D192" t="inlineStr">
        <is>
          <t>UPPSALA LÄN</t>
        </is>
      </c>
      <c r="E192" t="inlineStr">
        <is>
          <t>UPPSALA</t>
        </is>
      </c>
      <c r="F192" t="inlineStr">
        <is>
          <t>Allmännings- och besparingsskogar</t>
        </is>
      </c>
      <c r="G192" t="n">
        <v>2.1</v>
      </c>
      <c r="H192" t="n">
        <v>0</v>
      </c>
      <c r="I192" t="n">
        <v>0</v>
      </c>
      <c r="J192" t="n">
        <v>0</v>
      </c>
      <c r="K192" t="n">
        <v>0</v>
      </c>
      <c r="L192" t="n">
        <v>0</v>
      </c>
      <c r="M192" t="n">
        <v>0</v>
      </c>
      <c r="N192" t="n">
        <v>0</v>
      </c>
      <c r="O192" t="n">
        <v>0</v>
      </c>
      <c r="P192" t="n">
        <v>0</v>
      </c>
      <c r="Q192" t="n">
        <v>0</v>
      </c>
      <c r="R192" s="2" t="inlineStr"/>
    </row>
    <row r="193" ht="15" customHeight="1">
      <c r="A193" t="inlineStr">
        <is>
          <t>A 13009-2022</t>
        </is>
      </c>
      <c r="B193" s="1" t="n">
        <v>44643.51446759259</v>
      </c>
      <c r="C193" s="1" t="n">
        <v>45910</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29134-2022</t>
        </is>
      </c>
      <c r="B194" s="1" t="n">
        <v>44750.45800925926</v>
      </c>
      <c r="C194" s="1" t="n">
        <v>45910</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5081-2022</t>
        </is>
      </c>
      <c r="B195" s="1" t="n">
        <v>44593</v>
      </c>
      <c r="C195" s="1" t="n">
        <v>45910</v>
      </c>
      <c r="D195" t="inlineStr">
        <is>
          <t>UPPSALA LÄN</t>
        </is>
      </c>
      <c r="E195" t="inlineStr">
        <is>
          <t>UPPSALA</t>
        </is>
      </c>
      <c r="G195" t="n">
        <v>3</v>
      </c>
      <c r="H195" t="n">
        <v>0</v>
      </c>
      <c r="I195" t="n">
        <v>0</v>
      </c>
      <c r="J195" t="n">
        <v>0</v>
      </c>
      <c r="K195" t="n">
        <v>0</v>
      </c>
      <c r="L195" t="n">
        <v>0</v>
      </c>
      <c r="M195" t="n">
        <v>0</v>
      </c>
      <c r="N195" t="n">
        <v>0</v>
      </c>
      <c r="O195" t="n">
        <v>0</v>
      </c>
      <c r="P195" t="n">
        <v>0</v>
      </c>
      <c r="Q195" t="n">
        <v>0</v>
      </c>
      <c r="R195" s="2" t="inlineStr"/>
    </row>
    <row r="196" ht="15" customHeight="1">
      <c r="A196" t="inlineStr">
        <is>
          <t>A 46647-2020</t>
        </is>
      </c>
      <c r="B196" s="1" t="n">
        <v>44095</v>
      </c>
      <c r="C196" s="1" t="n">
        <v>45910</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27763-2022</t>
        </is>
      </c>
      <c r="B197" s="1" t="n">
        <v>44743</v>
      </c>
      <c r="C197" s="1" t="n">
        <v>45910</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45910</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45910</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56466-2020</t>
        </is>
      </c>
      <c r="B200" s="1" t="n">
        <v>44134</v>
      </c>
      <c r="C200" s="1" t="n">
        <v>45910</v>
      </c>
      <c r="D200" t="inlineStr">
        <is>
          <t>UPPSALA LÄN</t>
        </is>
      </c>
      <c r="E200" t="inlineStr">
        <is>
          <t>UPPSALA</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10411-2022</t>
        </is>
      </c>
      <c r="B201" s="1" t="n">
        <v>44623.4572337963</v>
      </c>
      <c r="C201" s="1" t="n">
        <v>45910</v>
      </c>
      <c r="D201" t="inlineStr">
        <is>
          <t>UPPSALA LÄN</t>
        </is>
      </c>
      <c r="E201" t="inlineStr">
        <is>
          <t>UPPSALA</t>
        </is>
      </c>
      <c r="F201" t="inlineStr">
        <is>
          <t>Övriga Aktiebolag</t>
        </is>
      </c>
      <c r="G201" t="n">
        <v>4.2</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45910</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874-2022</t>
        </is>
      </c>
      <c r="B203" s="1" t="n">
        <v>44571.44563657408</v>
      </c>
      <c r="C203" s="1" t="n">
        <v>45910</v>
      </c>
      <c r="D203" t="inlineStr">
        <is>
          <t>UPPSALA LÄN</t>
        </is>
      </c>
      <c r="E203" t="inlineStr">
        <is>
          <t>UPPSALA</t>
        </is>
      </c>
      <c r="G203" t="n">
        <v>7.2</v>
      </c>
      <c r="H203" t="n">
        <v>0</v>
      </c>
      <c r="I203" t="n">
        <v>0</v>
      </c>
      <c r="J203" t="n">
        <v>0</v>
      </c>
      <c r="K203" t="n">
        <v>0</v>
      </c>
      <c r="L203" t="n">
        <v>0</v>
      </c>
      <c r="M203" t="n">
        <v>0</v>
      </c>
      <c r="N203" t="n">
        <v>0</v>
      </c>
      <c r="O203" t="n">
        <v>0</v>
      </c>
      <c r="P203" t="n">
        <v>0</v>
      </c>
      <c r="Q203" t="n">
        <v>0</v>
      </c>
      <c r="R203" s="2" t="inlineStr"/>
    </row>
    <row r="204" ht="15" customHeight="1">
      <c r="A204" t="inlineStr">
        <is>
          <t>A 48786-2020</t>
        </is>
      </c>
      <c r="B204" s="1" t="n">
        <v>44103</v>
      </c>
      <c r="C204" s="1" t="n">
        <v>45910</v>
      </c>
      <c r="D204" t="inlineStr">
        <is>
          <t>UPPSALA LÄN</t>
        </is>
      </c>
      <c r="E204" t="inlineStr">
        <is>
          <t>UPPSALA</t>
        </is>
      </c>
      <c r="G204" t="n">
        <v>0.4</v>
      </c>
      <c r="H204" t="n">
        <v>0</v>
      </c>
      <c r="I204" t="n">
        <v>0</v>
      </c>
      <c r="J204" t="n">
        <v>0</v>
      </c>
      <c r="K204" t="n">
        <v>0</v>
      </c>
      <c r="L204" t="n">
        <v>0</v>
      </c>
      <c r="M204" t="n">
        <v>0</v>
      </c>
      <c r="N204" t="n">
        <v>0</v>
      </c>
      <c r="O204" t="n">
        <v>0</v>
      </c>
      <c r="P204" t="n">
        <v>0</v>
      </c>
      <c r="Q204" t="n">
        <v>0</v>
      </c>
      <c r="R204" s="2" t="inlineStr"/>
    </row>
    <row r="205" ht="15" customHeight="1">
      <c r="A205" t="inlineStr">
        <is>
          <t>A 43850-2022</t>
        </is>
      </c>
      <c r="B205" s="1" t="n">
        <v>44838.40635416667</v>
      </c>
      <c r="C205" s="1" t="n">
        <v>45910</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51050-2021</t>
        </is>
      </c>
      <c r="B206" s="1" t="n">
        <v>44459</v>
      </c>
      <c r="C206" s="1" t="n">
        <v>45910</v>
      </c>
      <c r="D206" t="inlineStr">
        <is>
          <t>UPPSALA LÄN</t>
        </is>
      </c>
      <c r="E206" t="inlineStr">
        <is>
          <t>UPPSALA</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45910</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45910</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56463-2021</t>
        </is>
      </c>
      <c r="B209" s="1" t="n">
        <v>44479</v>
      </c>
      <c r="C209" s="1" t="n">
        <v>45910</v>
      </c>
      <c r="D209" t="inlineStr">
        <is>
          <t>UPPSALA LÄN</t>
        </is>
      </c>
      <c r="E209" t="inlineStr">
        <is>
          <t>UPPSALA</t>
        </is>
      </c>
      <c r="G209" t="n">
        <v>6.4</v>
      </c>
      <c r="H209" t="n">
        <v>0</v>
      </c>
      <c r="I209" t="n">
        <v>0</v>
      </c>
      <c r="J209" t="n">
        <v>0</v>
      </c>
      <c r="K209" t="n">
        <v>0</v>
      </c>
      <c r="L209" t="n">
        <v>0</v>
      </c>
      <c r="M209" t="n">
        <v>0</v>
      </c>
      <c r="N209" t="n">
        <v>0</v>
      </c>
      <c r="O209" t="n">
        <v>0</v>
      </c>
      <c r="P209" t="n">
        <v>0</v>
      </c>
      <c r="Q209" t="n">
        <v>0</v>
      </c>
      <c r="R209" s="2" t="inlineStr"/>
    </row>
    <row r="210" ht="15" customHeight="1">
      <c r="A210" t="inlineStr">
        <is>
          <t>A 25120-2022</t>
        </is>
      </c>
      <c r="B210" s="1" t="n">
        <v>44729</v>
      </c>
      <c r="C210" s="1" t="n">
        <v>45910</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55823-2021</t>
        </is>
      </c>
      <c r="B211" s="1" t="n">
        <v>44476.61263888889</v>
      </c>
      <c r="C211" s="1" t="n">
        <v>45910</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58767-2021</t>
        </is>
      </c>
      <c r="B212" s="1" t="n">
        <v>44489</v>
      </c>
      <c r="C212" s="1" t="n">
        <v>45910</v>
      </c>
      <c r="D212" t="inlineStr">
        <is>
          <t>UPPSALA LÄN</t>
        </is>
      </c>
      <c r="E212" t="inlineStr">
        <is>
          <t>UPPSALA</t>
        </is>
      </c>
      <c r="G212" t="n">
        <v>4.8</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45910</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45910</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71643-2021</t>
        </is>
      </c>
      <c r="B215" s="1" t="n">
        <v>44543.34697916666</v>
      </c>
      <c r="C215" s="1" t="n">
        <v>45910</v>
      </c>
      <c r="D215" t="inlineStr">
        <is>
          <t>UPPSALA LÄN</t>
        </is>
      </c>
      <c r="E215" t="inlineStr">
        <is>
          <t>UPPSALA</t>
        </is>
      </c>
      <c r="G215" t="n">
        <v>3</v>
      </c>
      <c r="H215" t="n">
        <v>0</v>
      </c>
      <c r="I215" t="n">
        <v>0</v>
      </c>
      <c r="J215" t="n">
        <v>0</v>
      </c>
      <c r="K215" t="n">
        <v>0</v>
      </c>
      <c r="L215" t="n">
        <v>0</v>
      </c>
      <c r="M215" t="n">
        <v>0</v>
      </c>
      <c r="N215" t="n">
        <v>0</v>
      </c>
      <c r="O215" t="n">
        <v>0</v>
      </c>
      <c r="P215" t="n">
        <v>0</v>
      </c>
      <c r="Q215" t="n">
        <v>0</v>
      </c>
      <c r="R215" s="2" t="inlineStr"/>
    </row>
    <row r="216" ht="15" customHeight="1">
      <c r="A216" t="inlineStr">
        <is>
          <t>A 62504-2020</t>
        </is>
      </c>
      <c r="B216" s="1" t="n">
        <v>44160</v>
      </c>
      <c r="C216" s="1" t="n">
        <v>45910</v>
      </c>
      <c r="D216" t="inlineStr">
        <is>
          <t>UPPSALA LÄN</t>
        </is>
      </c>
      <c r="E216" t="inlineStr">
        <is>
          <t>UPPSALA</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58056-2020</t>
        </is>
      </c>
      <c r="B217" s="1" t="n">
        <v>44144</v>
      </c>
      <c r="C217" s="1" t="n">
        <v>45910</v>
      </c>
      <c r="D217" t="inlineStr">
        <is>
          <t>UPPSALA LÄN</t>
        </is>
      </c>
      <c r="E217" t="inlineStr">
        <is>
          <t>UPPSALA</t>
        </is>
      </c>
      <c r="G217" t="n">
        <v>5.5</v>
      </c>
      <c r="H217" t="n">
        <v>0</v>
      </c>
      <c r="I217" t="n">
        <v>0</v>
      </c>
      <c r="J217" t="n">
        <v>0</v>
      </c>
      <c r="K217" t="n">
        <v>0</v>
      </c>
      <c r="L217" t="n">
        <v>0</v>
      </c>
      <c r="M217" t="n">
        <v>0</v>
      </c>
      <c r="N217" t="n">
        <v>0</v>
      </c>
      <c r="O217" t="n">
        <v>0</v>
      </c>
      <c r="P217" t="n">
        <v>0</v>
      </c>
      <c r="Q217" t="n">
        <v>0</v>
      </c>
      <c r="R217" s="2" t="inlineStr"/>
    </row>
    <row r="218" ht="15" customHeight="1">
      <c r="A218" t="inlineStr">
        <is>
          <t>A 65964-2021</t>
        </is>
      </c>
      <c r="B218" s="1" t="n">
        <v>44517</v>
      </c>
      <c r="C218" s="1" t="n">
        <v>45910</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12152-2021</t>
        </is>
      </c>
      <c r="B219" s="1" t="n">
        <v>44266.57917824074</v>
      </c>
      <c r="C219" s="1" t="n">
        <v>45910</v>
      </c>
      <c r="D219" t="inlineStr">
        <is>
          <t>UPPSALA LÄN</t>
        </is>
      </c>
      <c r="E219" t="inlineStr">
        <is>
          <t>UPPSALA</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45910</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11693-2022</t>
        </is>
      </c>
      <c r="B221" s="1" t="n">
        <v>44634</v>
      </c>
      <c r="C221" s="1" t="n">
        <v>45910</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16615-2021</t>
        </is>
      </c>
      <c r="B222" s="1" t="n">
        <v>44294.37555555555</v>
      </c>
      <c r="C222" s="1" t="n">
        <v>45910</v>
      </c>
      <c r="D222" t="inlineStr">
        <is>
          <t>UPPSALA LÄN</t>
        </is>
      </c>
      <c r="E222" t="inlineStr">
        <is>
          <t>UPPSALA</t>
        </is>
      </c>
      <c r="F222" t="inlineStr">
        <is>
          <t>Övriga Aktiebolag</t>
        </is>
      </c>
      <c r="G222" t="n">
        <v>1.5</v>
      </c>
      <c r="H222" t="n">
        <v>0</v>
      </c>
      <c r="I222" t="n">
        <v>0</v>
      </c>
      <c r="J222" t="n">
        <v>0</v>
      </c>
      <c r="K222" t="n">
        <v>0</v>
      </c>
      <c r="L222" t="n">
        <v>0</v>
      </c>
      <c r="M222" t="n">
        <v>0</v>
      </c>
      <c r="N222" t="n">
        <v>0</v>
      </c>
      <c r="O222" t="n">
        <v>0</v>
      </c>
      <c r="P222" t="n">
        <v>0</v>
      </c>
      <c r="Q222" t="n">
        <v>0</v>
      </c>
      <c r="R222" s="2" t="inlineStr"/>
    </row>
    <row r="223" ht="15" customHeight="1">
      <c r="A223" t="inlineStr">
        <is>
          <t>A 15377-2022</t>
        </is>
      </c>
      <c r="B223" s="1" t="n">
        <v>44659.57912037037</v>
      </c>
      <c r="C223" s="1" t="n">
        <v>45910</v>
      </c>
      <c r="D223" t="inlineStr">
        <is>
          <t>UPPSALA LÄN</t>
        </is>
      </c>
      <c r="E223" t="inlineStr">
        <is>
          <t>UPPSALA</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55066-2022</t>
        </is>
      </c>
      <c r="B224" s="1" t="n">
        <v>44886.58890046296</v>
      </c>
      <c r="C224" s="1" t="n">
        <v>45910</v>
      </c>
      <c r="D224" t="inlineStr">
        <is>
          <t>UPPSALA LÄN</t>
        </is>
      </c>
      <c r="E224" t="inlineStr">
        <is>
          <t>UPPSALA</t>
        </is>
      </c>
      <c r="G224" t="n">
        <v>0.4</v>
      </c>
      <c r="H224" t="n">
        <v>0</v>
      </c>
      <c r="I224" t="n">
        <v>0</v>
      </c>
      <c r="J224" t="n">
        <v>0</v>
      </c>
      <c r="K224" t="n">
        <v>0</v>
      </c>
      <c r="L224" t="n">
        <v>0</v>
      </c>
      <c r="M224" t="n">
        <v>0</v>
      </c>
      <c r="N224" t="n">
        <v>0</v>
      </c>
      <c r="O224" t="n">
        <v>0</v>
      </c>
      <c r="P224" t="n">
        <v>0</v>
      </c>
      <c r="Q224" t="n">
        <v>0</v>
      </c>
      <c r="R224" s="2" t="inlineStr"/>
    </row>
    <row r="225" ht="15" customHeight="1">
      <c r="A225" t="inlineStr">
        <is>
          <t>A 34061-2022</t>
        </is>
      </c>
      <c r="B225" s="1" t="n">
        <v>44791.38336805555</v>
      </c>
      <c r="C225" s="1" t="n">
        <v>45910</v>
      </c>
      <c r="D225" t="inlineStr">
        <is>
          <t>UPPSALA LÄN</t>
        </is>
      </c>
      <c r="E225" t="inlineStr">
        <is>
          <t>UPPSALA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66927-2021</t>
        </is>
      </c>
      <c r="B226" s="1" t="n">
        <v>44522.55518518519</v>
      </c>
      <c r="C226" s="1" t="n">
        <v>45910</v>
      </c>
      <c r="D226" t="inlineStr">
        <is>
          <t>UPPSALA LÄN</t>
        </is>
      </c>
      <c r="E226" t="inlineStr">
        <is>
          <t>UPPSALA</t>
        </is>
      </c>
      <c r="G226" t="n">
        <v>2.9</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45910</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30580-2022</t>
        </is>
      </c>
      <c r="B228" s="1" t="n">
        <v>44762</v>
      </c>
      <c r="C228" s="1" t="n">
        <v>45910</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35411-2022</t>
        </is>
      </c>
      <c r="B229" s="1" t="n">
        <v>44798</v>
      </c>
      <c r="C229" s="1" t="n">
        <v>45910</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58058-2020</t>
        </is>
      </c>
      <c r="B230" s="1" t="n">
        <v>44144</v>
      </c>
      <c r="C230" s="1" t="n">
        <v>45910</v>
      </c>
      <c r="D230" t="inlineStr">
        <is>
          <t>UPPSALA LÄN</t>
        </is>
      </c>
      <c r="E230" t="inlineStr">
        <is>
          <t>UPPSALA</t>
        </is>
      </c>
      <c r="G230" t="n">
        <v>4.4</v>
      </c>
      <c r="H230" t="n">
        <v>0</v>
      </c>
      <c r="I230" t="n">
        <v>0</v>
      </c>
      <c r="J230" t="n">
        <v>0</v>
      </c>
      <c r="K230" t="n">
        <v>0</v>
      </c>
      <c r="L230" t="n">
        <v>0</v>
      </c>
      <c r="M230" t="n">
        <v>0</v>
      </c>
      <c r="N230" t="n">
        <v>0</v>
      </c>
      <c r="O230" t="n">
        <v>0</v>
      </c>
      <c r="P230" t="n">
        <v>0</v>
      </c>
      <c r="Q230" t="n">
        <v>0</v>
      </c>
      <c r="R230" s="2" t="inlineStr"/>
    </row>
    <row r="231" ht="15" customHeight="1">
      <c r="A231" t="inlineStr">
        <is>
          <t>A 35539-2022</t>
        </is>
      </c>
      <c r="B231" s="1" t="n">
        <v>44799.36359953704</v>
      </c>
      <c r="C231" s="1" t="n">
        <v>45910</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45910</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15310-2022</t>
        </is>
      </c>
      <c r="B233" s="1" t="n">
        <v>44659</v>
      </c>
      <c r="C233" s="1" t="n">
        <v>45910</v>
      </c>
      <c r="D233" t="inlineStr">
        <is>
          <t>UPPSALA LÄN</t>
        </is>
      </c>
      <c r="E233" t="inlineStr">
        <is>
          <t>UPPSALA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14022-2021</t>
        </is>
      </c>
      <c r="B234" s="1" t="n">
        <v>44277.65263888889</v>
      </c>
      <c r="C234" s="1" t="n">
        <v>45910</v>
      </c>
      <c r="D234" t="inlineStr">
        <is>
          <t>UPPSALA LÄN</t>
        </is>
      </c>
      <c r="E234" t="inlineStr">
        <is>
          <t>UPPSALA</t>
        </is>
      </c>
      <c r="G234" t="n">
        <v>11.1</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45910</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5006-2022</t>
        </is>
      </c>
      <c r="B236" s="1" t="n">
        <v>44593</v>
      </c>
      <c r="C236" s="1" t="n">
        <v>45910</v>
      </c>
      <c r="D236" t="inlineStr">
        <is>
          <t>UPPSALA LÄN</t>
        </is>
      </c>
      <c r="E236" t="inlineStr">
        <is>
          <t>UPPSALA</t>
        </is>
      </c>
      <c r="F236" t="inlineStr">
        <is>
          <t>BillerudKorsnäs AB</t>
        </is>
      </c>
      <c r="G236" t="n">
        <v>1.4</v>
      </c>
      <c r="H236" t="n">
        <v>0</v>
      </c>
      <c r="I236" t="n">
        <v>0</v>
      </c>
      <c r="J236" t="n">
        <v>0</v>
      </c>
      <c r="K236" t="n">
        <v>0</v>
      </c>
      <c r="L236" t="n">
        <v>0</v>
      </c>
      <c r="M236" t="n">
        <v>0</v>
      </c>
      <c r="N236" t="n">
        <v>0</v>
      </c>
      <c r="O236" t="n">
        <v>0</v>
      </c>
      <c r="P236" t="n">
        <v>0</v>
      </c>
      <c r="Q236" t="n">
        <v>0</v>
      </c>
      <c r="R236" s="2" t="inlineStr"/>
    </row>
    <row r="237" ht="15" customHeight="1">
      <c r="A237" t="inlineStr">
        <is>
          <t>A 5007-2022</t>
        </is>
      </c>
      <c r="B237" s="1" t="n">
        <v>44593.61355324074</v>
      </c>
      <c r="C237" s="1" t="n">
        <v>45910</v>
      </c>
      <c r="D237" t="inlineStr">
        <is>
          <t>UPPSALA LÄN</t>
        </is>
      </c>
      <c r="E237" t="inlineStr">
        <is>
          <t>UPPSALA</t>
        </is>
      </c>
      <c r="F237" t="inlineStr">
        <is>
          <t>BillerudKorsnäs AB</t>
        </is>
      </c>
      <c r="G237" t="n">
        <v>3.6</v>
      </c>
      <c r="H237" t="n">
        <v>0</v>
      </c>
      <c r="I237" t="n">
        <v>0</v>
      </c>
      <c r="J237" t="n">
        <v>0</v>
      </c>
      <c r="K237" t="n">
        <v>0</v>
      </c>
      <c r="L237" t="n">
        <v>0</v>
      </c>
      <c r="M237" t="n">
        <v>0</v>
      </c>
      <c r="N237" t="n">
        <v>0</v>
      </c>
      <c r="O237" t="n">
        <v>0</v>
      </c>
      <c r="P237" t="n">
        <v>0</v>
      </c>
      <c r="Q237" t="n">
        <v>0</v>
      </c>
      <c r="R237" s="2" t="inlineStr"/>
    </row>
    <row r="238" ht="15" customHeight="1">
      <c r="A238" t="inlineStr">
        <is>
          <t>A 3259-2022</t>
        </is>
      </c>
      <c r="B238" s="1" t="n">
        <v>44583.61555555555</v>
      </c>
      <c r="C238" s="1" t="n">
        <v>45910</v>
      </c>
      <c r="D238" t="inlineStr">
        <is>
          <t>UPPSALA LÄN</t>
        </is>
      </c>
      <c r="E238" t="inlineStr">
        <is>
          <t>UPPSALA</t>
        </is>
      </c>
      <c r="F238" t="inlineStr">
        <is>
          <t>Holmen skog AB</t>
        </is>
      </c>
      <c r="G238" t="n">
        <v>2.4</v>
      </c>
      <c r="H238" t="n">
        <v>0</v>
      </c>
      <c r="I238" t="n">
        <v>0</v>
      </c>
      <c r="J238" t="n">
        <v>0</v>
      </c>
      <c r="K238" t="n">
        <v>0</v>
      </c>
      <c r="L238" t="n">
        <v>0</v>
      </c>
      <c r="M238" t="n">
        <v>0</v>
      </c>
      <c r="N238" t="n">
        <v>0</v>
      </c>
      <c r="O238" t="n">
        <v>0</v>
      </c>
      <c r="P238" t="n">
        <v>0</v>
      </c>
      <c r="Q238" t="n">
        <v>0</v>
      </c>
      <c r="R238" s="2" t="inlineStr"/>
    </row>
    <row r="239" ht="15" customHeight="1">
      <c r="A239" t="inlineStr">
        <is>
          <t>A 2017-2022</t>
        </is>
      </c>
      <c r="B239" s="1" t="n">
        <v>44575</v>
      </c>
      <c r="C239" s="1" t="n">
        <v>45910</v>
      </c>
      <c r="D239" t="inlineStr">
        <is>
          <t>UPPSALA LÄN</t>
        </is>
      </c>
      <c r="E239" t="inlineStr">
        <is>
          <t>UPPSALA</t>
        </is>
      </c>
      <c r="G239" t="n">
        <v>1.1</v>
      </c>
      <c r="H239" t="n">
        <v>0</v>
      </c>
      <c r="I239" t="n">
        <v>0</v>
      </c>
      <c r="J239" t="n">
        <v>0</v>
      </c>
      <c r="K239" t="n">
        <v>0</v>
      </c>
      <c r="L239" t="n">
        <v>0</v>
      </c>
      <c r="M239" t="n">
        <v>0</v>
      </c>
      <c r="N239" t="n">
        <v>0</v>
      </c>
      <c r="O239" t="n">
        <v>0</v>
      </c>
      <c r="P239" t="n">
        <v>0</v>
      </c>
      <c r="Q239" t="n">
        <v>0</v>
      </c>
      <c r="R239" s="2" t="inlineStr"/>
    </row>
    <row r="240" ht="15" customHeight="1">
      <c r="A240" t="inlineStr">
        <is>
          <t>A 9201-2024</t>
        </is>
      </c>
      <c r="B240" s="1" t="n">
        <v>45358</v>
      </c>
      <c r="C240" s="1" t="n">
        <v>45910</v>
      </c>
      <c r="D240" t="inlineStr">
        <is>
          <t>UPPSALA LÄN</t>
        </is>
      </c>
      <c r="E240" t="inlineStr">
        <is>
          <t>UPPSALA</t>
        </is>
      </c>
      <c r="F240" t="inlineStr">
        <is>
          <t>Allmännings- och besparingsskogar</t>
        </is>
      </c>
      <c r="G240" t="n">
        <v>6.5</v>
      </c>
      <c r="H240" t="n">
        <v>0</v>
      </c>
      <c r="I240" t="n">
        <v>0</v>
      </c>
      <c r="J240" t="n">
        <v>0</v>
      </c>
      <c r="K240" t="n">
        <v>0</v>
      </c>
      <c r="L240" t="n">
        <v>0</v>
      </c>
      <c r="M240" t="n">
        <v>0</v>
      </c>
      <c r="N240" t="n">
        <v>0</v>
      </c>
      <c r="O240" t="n">
        <v>0</v>
      </c>
      <c r="P240" t="n">
        <v>0</v>
      </c>
      <c r="Q240" t="n">
        <v>0</v>
      </c>
      <c r="R240" s="2" t="inlineStr"/>
    </row>
    <row r="241" ht="15" customHeight="1">
      <c r="A241" t="inlineStr">
        <is>
          <t>A 46293-2022</t>
        </is>
      </c>
      <c r="B241" s="1" t="n">
        <v>44847</v>
      </c>
      <c r="C241" s="1" t="n">
        <v>45910</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2980-2025</t>
        </is>
      </c>
      <c r="B242" s="1" t="n">
        <v>45678</v>
      </c>
      <c r="C242" s="1" t="n">
        <v>45910</v>
      </c>
      <c r="D242" t="inlineStr">
        <is>
          <t>UPPSALA LÄN</t>
        </is>
      </c>
      <c r="E242" t="inlineStr">
        <is>
          <t>UPPSALA</t>
        </is>
      </c>
      <c r="G242" t="n">
        <v>5</v>
      </c>
      <c r="H242" t="n">
        <v>0</v>
      </c>
      <c r="I242" t="n">
        <v>0</v>
      </c>
      <c r="J242" t="n">
        <v>0</v>
      </c>
      <c r="K242" t="n">
        <v>0</v>
      </c>
      <c r="L242" t="n">
        <v>0</v>
      </c>
      <c r="M242" t="n">
        <v>0</v>
      </c>
      <c r="N242" t="n">
        <v>0</v>
      </c>
      <c r="O242" t="n">
        <v>0</v>
      </c>
      <c r="P242" t="n">
        <v>0</v>
      </c>
      <c r="Q242" t="n">
        <v>0</v>
      </c>
      <c r="R242" s="2" t="inlineStr"/>
    </row>
    <row r="243" ht="15" customHeight="1">
      <c r="A243" t="inlineStr">
        <is>
          <t>A 56679-2022</t>
        </is>
      </c>
      <c r="B243" s="1" t="n">
        <v>44893</v>
      </c>
      <c r="C243" s="1" t="n">
        <v>45910</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8494-2021</t>
        </is>
      </c>
      <c r="B244" s="1" t="n">
        <v>44245</v>
      </c>
      <c r="C244" s="1" t="n">
        <v>45910</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1936-2022</t>
        </is>
      </c>
      <c r="B245" s="1" t="n">
        <v>44575.4366087963</v>
      </c>
      <c r="C245" s="1" t="n">
        <v>45910</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6997-2023</t>
        </is>
      </c>
      <c r="B246" s="1" t="n">
        <v>44967.78984953704</v>
      </c>
      <c r="C246" s="1" t="n">
        <v>45910</v>
      </c>
      <c r="D246" t="inlineStr">
        <is>
          <t>UPPSALA LÄN</t>
        </is>
      </c>
      <c r="E246" t="inlineStr">
        <is>
          <t>UPPSALA</t>
        </is>
      </c>
      <c r="G246" t="n">
        <v>3.9</v>
      </c>
      <c r="H246" t="n">
        <v>0</v>
      </c>
      <c r="I246" t="n">
        <v>0</v>
      </c>
      <c r="J246" t="n">
        <v>0</v>
      </c>
      <c r="K246" t="n">
        <v>0</v>
      </c>
      <c r="L246" t="n">
        <v>0</v>
      </c>
      <c r="M246" t="n">
        <v>0</v>
      </c>
      <c r="N246" t="n">
        <v>0</v>
      </c>
      <c r="O246" t="n">
        <v>0</v>
      </c>
      <c r="P246" t="n">
        <v>0</v>
      </c>
      <c r="Q246" t="n">
        <v>0</v>
      </c>
      <c r="R246" s="2" t="inlineStr"/>
    </row>
    <row r="247" ht="15" customHeight="1">
      <c r="A247" t="inlineStr">
        <is>
          <t>A 12221-2022</t>
        </is>
      </c>
      <c r="B247" s="1" t="n">
        <v>44637.35744212963</v>
      </c>
      <c r="C247" s="1" t="n">
        <v>45910</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53921-2024</t>
        </is>
      </c>
      <c r="B248" s="1" t="n">
        <v>45615</v>
      </c>
      <c r="C248" s="1" t="n">
        <v>45910</v>
      </c>
      <c r="D248" t="inlineStr">
        <is>
          <t>UPPSALA LÄN</t>
        </is>
      </c>
      <c r="E248" t="inlineStr">
        <is>
          <t>UPPSALA</t>
        </is>
      </c>
      <c r="G248" t="n">
        <v>8.1</v>
      </c>
      <c r="H248" t="n">
        <v>0</v>
      </c>
      <c r="I248" t="n">
        <v>0</v>
      </c>
      <c r="J248" t="n">
        <v>0</v>
      </c>
      <c r="K248" t="n">
        <v>0</v>
      </c>
      <c r="L248" t="n">
        <v>0</v>
      </c>
      <c r="M248" t="n">
        <v>0</v>
      </c>
      <c r="N248" t="n">
        <v>0</v>
      </c>
      <c r="O248" t="n">
        <v>0</v>
      </c>
      <c r="P248" t="n">
        <v>0</v>
      </c>
      <c r="Q248" t="n">
        <v>0</v>
      </c>
      <c r="R248" s="2" t="inlineStr"/>
    </row>
    <row r="249" ht="15" customHeight="1">
      <c r="A249" t="inlineStr">
        <is>
          <t>A 22946-2021</t>
        </is>
      </c>
      <c r="B249" s="1" t="n">
        <v>44328.57100694445</v>
      </c>
      <c r="C249" s="1" t="n">
        <v>45910</v>
      </c>
      <c r="D249" t="inlineStr">
        <is>
          <t>UPPSALA LÄN</t>
        </is>
      </c>
      <c r="E249" t="inlineStr">
        <is>
          <t>UPPSALA</t>
        </is>
      </c>
      <c r="G249" t="n">
        <v>2.3</v>
      </c>
      <c r="H249" t="n">
        <v>0</v>
      </c>
      <c r="I249" t="n">
        <v>0</v>
      </c>
      <c r="J249" t="n">
        <v>0</v>
      </c>
      <c r="K249" t="n">
        <v>0</v>
      </c>
      <c r="L249" t="n">
        <v>0</v>
      </c>
      <c r="M249" t="n">
        <v>0</v>
      </c>
      <c r="N249" t="n">
        <v>0</v>
      </c>
      <c r="O249" t="n">
        <v>0</v>
      </c>
      <c r="P249" t="n">
        <v>0</v>
      </c>
      <c r="Q249" t="n">
        <v>0</v>
      </c>
      <c r="R249" s="2" t="inlineStr"/>
    </row>
    <row r="250" ht="15" customHeight="1">
      <c r="A250" t="inlineStr">
        <is>
          <t>A 12293-2022</t>
        </is>
      </c>
      <c r="B250" s="1" t="n">
        <v>44637.56178240741</v>
      </c>
      <c r="C250" s="1" t="n">
        <v>45910</v>
      </c>
      <c r="D250" t="inlineStr">
        <is>
          <t>UPPSALA LÄN</t>
        </is>
      </c>
      <c r="E250" t="inlineStr">
        <is>
          <t>UPPSALA</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29277-2022</t>
        </is>
      </c>
      <c r="B251" s="1" t="n">
        <v>44750.678125</v>
      </c>
      <c r="C251" s="1" t="n">
        <v>45910</v>
      </c>
      <c r="D251" t="inlineStr">
        <is>
          <t>UPPSALA LÄN</t>
        </is>
      </c>
      <c r="E251" t="inlineStr">
        <is>
          <t>UPPSALA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6012-2025</t>
        </is>
      </c>
      <c r="B252" s="1" t="n">
        <v>45695.59805555556</v>
      </c>
      <c r="C252" s="1" t="n">
        <v>45910</v>
      </c>
      <c r="D252" t="inlineStr">
        <is>
          <t>UPPSALA LÄN</t>
        </is>
      </c>
      <c r="E252" t="inlineStr">
        <is>
          <t>UPPSALA</t>
        </is>
      </c>
      <c r="F252" t="inlineStr">
        <is>
          <t>Övriga Aktiebolag</t>
        </is>
      </c>
      <c r="G252" t="n">
        <v>14.3</v>
      </c>
      <c r="H252" t="n">
        <v>0</v>
      </c>
      <c r="I252" t="n">
        <v>0</v>
      </c>
      <c r="J252" t="n">
        <v>0</v>
      </c>
      <c r="K252" t="n">
        <v>0</v>
      </c>
      <c r="L252" t="n">
        <v>0</v>
      </c>
      <c r="M252" t="n">
        <v>0</v>
      </c>
      <c r="N252" t="n">
        <v>0</v>
      </c>
      <c r="O252" t="n">
        <v>0</v>
      </c>
      <c r="P252" t="n">
        <v>0</v>
      </c>
      <c r="Q252" t="n">
        <v>0</v>
      </c>
      <c r="R252" s="2" t="inlineStr"/>
    </row>
    <row r="253" ht="15" customHeight="1">
      <c r="A253" t="inlineStr">
        <is>
          <t>A 31646-2021</t>
        </is>
      </c>
      <c r="B253" s="1" t="n">
        <v>44369</v>
      </c>
      <c r="C253" s="1" t="n">
        <v>45910</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45-2024</t>
        </is>
      </c>
      <c r="B254" s="1" t="n">
        <v>45293</v>
      </c>
      <c r="C254" s="1" t="n">
        <v>45910</v>
      </c>
      <c r="D254" t="inlineStr">
        <is>
          <t>UPPSALA LÄN</t>
        </is>
      </c>
      <c r="E254" t="inlineStr">
        <is>
          <t>UPPSALA</t>
        </is>
      </c>
      <c r="G254" t="n">
        <v>12.5</v>
      </c>
      <c r="H254" t="n">
        <v>0</v>
      </c>
      <c r="I254" t="n">
        <v>0</v>
      </c>
      <c r="J254" t="n">
        <v>0</v>
      </c>
      <c r="K254" t="n">
        <v>0</v>
      </c>
      <c r="L254" t="n">
        <v>0</v>
      </c>
      <c r="M254" t="n">
        <v>0</v>
      </c>
      <c r="N254" t="n">
        <v>0</v>
      </c>
      <c r="O254" t="n">
        <v>0</v>
      </c>
      <c r="P254" t="n">
        <v>0</v>
      </c>
      <c r="Q254" t="n">
        <v>0</v>
      </c>
      <c r="R254" s="2" t="inlineStr"/>
    </row>
    <row r="255" ht="15" customHeight="1">
      <c r="A255" t="inlineStr">
        <is>
          <t>A 66686-2021</t>
        </is>
      </c>
      <c r="B255" s="1" t="n">
        <v>44519</v>
      </c>
      <c r="C255" s="1" t="n">
        <v>45910</v>
      </c>
      <c r="D255" t="inlineStr">
        <is>
          <t>UPPSALA LÄN</t>
        </is>
      </c>
      <c r="E255" t="inlineStr">
        <is>
          <t>UPPSALA</t>
        </is>
      </c>
      <c r="G255" t="n">
        <v>6.4</v>
      </c>
      <c r="H255" t="n">
        <v>0</v>
      </c>
      <c r="I255" t="n">
        <v>0</v>
      </c>
      <c r="J255" t="n">
        <v>0</v>
      </c>
      <c r="K255" t="n">
        <v>0</v>
      </c>
      <c r="L255" t="n">
        <v>0</v>
      </c>
      <c r="M255" t="n">
        <v>0</v>
      </c>
      <c r="N255" t="n">
        <v>0</v>
      </c>
      <c r="O255" t="n">
        <v>0</v>
      </c>
      <c r="P255" t="n">
        <v>0</v>
      </c>
      <c r="Q255" t="n">
        <v>0</v>
      </c>
      <c r="R255" s="2" t="inlineStr"/>
    </row>
    <row r="256" ht="15" customHeight="1">
      <c r="A256" t="inlineStr">
        <is>
          <t>A 1617-2021</t>
        </is>
      </c>
      <c r="B256" s="1" t="n">
        <v>44209</v>
      </c>
      <c r="C256" s="1" t="n">
        <v>45910</v>
      </c>
      <c r="D256" t="inlineStr">
        <is>
          <t>UPPSALA LÄN</t>
        </is>
      </c>
      <c r="E256" t="inlineStr">
        <is>
          <t>UPPSALA</t>
        </is>
      </c>
      <c r="G256" t="n">
        <v>2.5</v>
      </c>
      <c r="H256" t="n">
        <v>0</v>
      </c>
      <c r="I256" t="n">
        <v>0</v>
      </c>
      <c r="J256" t="n">
        <v>0</v>
      </c>
      <c r="K256" t="n">
        <v>0</v>
      </c>
      <c r="L256" t="n">
        <v>0</v>
      </c>
      <c r="M256" t="n">
        <v>0</v>
      </c>
      <c r="N256" t="n">
        <v>0</v>
      </c>
      <c r="O256" t="n">
        <v>0</v>
      </c>
      <c r="P256" t="n">
        <v>0</v>
      </c>
      <c r="Q256" t="n">
        <v>0</v>
      </c>
      <c r="R256" s="2" t="inlineStr"/>
    </row>
    <row r="257" ht="15" customHeight="1">
      <c r="A257" t="inlineStr">
        <is>
          <t>A 29799-2023</t>
        </is>
      </c>
      <c r="B257" s="1" t="n">
        <v>45107.53688657407</v>
      </c>
      <c r="C257" s="1" t="n">
        <v>45910</v>
      </c>
      <c r="D257" t="inlineStr">
        <is>
          <t>UPPSALA LÄN</t>
        </is>
      </c>
      <c r="E257" t="inlineStr">
        <is>
          <t>UPPSALA</t>
        </is>
      </c>
      <c r="G257" t="n">
        <v>1.7</v>
      </c>
      <c r="H257" t="n">
        <v>0</v>
      </c>
      <c r="I257" t="n">
        <v>0</v>
      </c>
      <c r="J257" t="n">
        <v>0</v>
      </c>
      <c r="K257" t="n">
        <v>0</v>
      </c>
      <c r="L257" t="n">
        <v>0</v>
      </c>
      <c r="M257" t="n">
        <v>0</v>
      </c>
      <c r="N257" t="n">
        <v>0</v>
      </c>
      <c r="O257" t="n">
        <v>0</v>
      </c>
      <c r="P257" t="n">
        <v>0</v>
      </c>
      <c r="Q257" t="n">
        <v>0</v>
      </c>
      <c r="R257" s="2" t="inlineStr"/>
    </row>
    <row r="258" ht="15" customHeight="1">
      <c r="A258" t="inlineStr">
        <is>
          <t>A 179-2023</t>
        </is>
      </c>
      <c r="B258" s="1" t="n">
        <v>44928</v>
      </c>
      <c r="C258" s="1" t="n">
        <v>45910</v>
      </c>
      <c r="D258" t="inlineStr">
        <is>
          <t>UPPSALA LÄN</t>
        </is>
      </c>
      <c r="E258" t="inlineStr">
        <is>
          <t>UPPSALA</t>
        </is>
      </c>
      <c r="F258" t="inlineStr">
        <is>
          <t>Kommuner</t>
        </is>
      </c>
      <c r="G258" t="n">
        <v>1.4</v>
      </c>
      <c r="H258" t="n">
        <v>0</v>
      </c>
      <c r="I258" t="n">
        <v>0</v>
      </c>
      <c r="J258" t="n">
        <v>0</v>
      </c>
      <c r="K258" t="n">
        <v>0</v>
      </c>
      <c r="L258" t="n">
        <v>0</v>
      </c>
      <c r="M258" t="n">
        <v>0</v>
      </c>
      <c r="N258" t="n">
        <v>0</v>
      </c>
      <c r="O258" t="n">
        <v>0</v>
      </c>
      <c r="P258" t="n">
        <v>0</v>
      </c>
      <c r="Q258" t="n">
        <v>0</v>
      </c>
      <c r="R258" s="2" t="inlineStr"/>
    </row>
    <row r="259" ht="15" customHeight="1">
      <c r="A259" t="inlineStr">
        <is>
          <t>A 20418-2025</t>
        </is>
      </c>
      <c r="B259" s="1" t="n">
        <v>45775.46377314815</v>
      </c>
      <c r="C259" s="1" t="n">
        <v>45910</v>
      </c>
      <c r="D259" t="inlineStr">
        <is>
          <t>UPPSALA LÄN</t>
        </is>
      </c>
      <c r="E259" t="inlineStr">
        <is>
          <t>UPPSALA</t>
        </is>
      </c>
      <c r="F259" t="inlineStr">
        <is>
          <t>Allmännings- och besparingsskogar</t>
        </is>
      </c>
      <c r="G259" t="n">
        <v>5.2</v>
      </c>
      <c r="H259" t="n">
        <v>0</v>
      </c>
      <c r="I259" t="n">
        <v>0</v>
      </c>
      <c r="J259" t="n">
        <v>0</v>
      </c>
      <c r="K259" t="n">
        <v>0</v>
      </c>
      <c r="L259" t="n">
        <v>0</v>
      </c>
      <c r="M259" t="n">
        <v>0</v>
      </c>
      <c r="N259" t="n">
        <v>0</v>
      </c>
      <c r="O259" t="n">
        <v>0</v>
      </c>
      <c r="P259" t="n">
        <v>0</v>
      </c>
      <c r="Q259" t="n">
        <v>0</v>
      </c>
      <c r="R259" s="2" t="inlineStr"/>
    </row>
    <row r="260" ht="15" customHeight="1">
      <c r="A260" t="inlineStr">
        <is>
          <t>A 21052-2023</t>
        </is>
      </c>
      <c r="B260" s="1" t="n">
        <v>45061</v>
      </c>
      <c r="C260" s="1" t="n">
        <v>45910</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179-2024</t>
        </is>
      </c>
      <c r="B261" s="1" t="n">
        <v>45294.5666550926</v>
      </c>
      <c r="C261" s="1" t="n">
        <v>45910</v>
      </c>
      <c r="D261" t="inlineStr">
        <is>
          <t>UPPSALA LÄN</t>
        </is>
      </c>
      <c r="E261" t="inlineStr">
        <is>
          <t>UPPSALA</t>
        </is>
      </c>
      <c r="F261" t="inlineStr">
        <is>
          <t>Bergvik skog öst AB</t>
        </is>
      </c>
      <c r="G261" t="n">
        <v>12.7</v>
      </c>
      <c r="H261" t="n">
        <v>0</v>
      </c>
      <c r="I261" t="n">
        <v>0</v>
      </c>
      <c r="J261" t="n">
        <v>0</v>
      </c>
      <c r="K261" t="n">
        <v>0</v>
      </c>
      <c r="L261" t="n">
        <v>0</v>
      </c>
      <c r="M261" t="n">
        <v>0</v>
      </c>
      <c r="N261" t="n">
        <v>0</v>
      </c>
      <c r="O261" t="n">
        <v>0</v>
      </c>
      <c r="P261" t="n">
        <v>0</v>
      </c>
      <c r="Q261" t="n">
        <v>0</v>
      </c>
      <c r="R261" s="2" t="inlineStr"/>
    </row>
    <row r="262" ht="15" customHeight="1">
      <c r="A262" t="inlineStr">
        <is>
          <t>A 15937-2025</t>
        </is>
      </c>
      <c r="B262" s="1" t="n">
        <v>45749.4737962963</v>
      </c>
      <c r="C262" s="1" t="n">
        <v>45910</v>
      </c>
      <c r="D262" t="inlineStr">
        <is>
          <t>UPPSALA LÄN</t>
        </is>
      </c>
      <c r="E262" t="inlineStr">
        <is>
          <t>UPPSALA</t>
        </is>
      </c>
      <c r="G262" t="n">
        <v>7.6</v>
      </c>
      <c r="H262" t="n">
        <v>0</v>
      </c>
      <c r="I262" t="n">
        <v>0</v>
      </c>
      <c r="J262" t="n">
        <v>0</v>
      </c>
      <c r="K262" t="n">
        <v>0</v>
      </c>
      <c r="L262" t="n">
        <v>0</v>
      </c>
      <c r="M262" t="n">
        <v>0</v>
      </c>
      <c r="N262" t="n">
        <v>0</v>
      </c>
      <c r="O262" t="n">
        <v>0</v>
      </c>
      <c r="P262" t="n">
        <v>0</v>
      </c>
      <c r="Q262" t="n">
        <v>0</v>
      </c>
      <c r="R262" s="2" t="inlineStr"/>
    </row>
    <row r="263" ht="15" customHeight="1">
      <c r="A263" t="inlineStr">
        <is>
          <t>A 23291-2024</t>
        </is>
      </c>
      <c r="B263" s="1" t="n">
        <v>45453</v>
      </c>
      <c r="C263" s="1" t="n">
        <v>45910</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59562-2024</t>
        </is>
      </c>
      <c r="B264" s="1" t="n">
        <v>45638</v>
      </c>
      <c r="C264" s="1" t="n">
        <v>45910</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51935-2023</t>
        </is>
      </c>
      <c r="B265" s="1" t="n">
        <v>45223</v>
      </c>
      <c r="C265" s="1" t="n">
        <v>45910</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20797-2025</t>
        </is>
      </c>
      <c r="B266" s="1" t="n">
        <v>45776.6415162037</v>
      </c>
      <c r="C266" s="1" t="n">
        <v>45910</v>
      </c>
      <c r="D266" t="inlineStr">
        <is>
          <t>UPPSALA LÄN</t>
        </is>
      </c>
      <c r="E266" t="inlineStr">
        <is>
          <t>UPPSALA</t>
        </is>
      </c>
      <c r="F266" t="inlineStr">
        <is>
          <t>Kommuner</t>
        </is>
      </c>
      <c r="G266" t="n">
        <v>4.6</v>
      </c>
      <c r="H266" t="n">
        <v>0</v>
      </c>
      <c r="I266" t="n">
        <v>0</v>
      </c>
      <c r="J266" t="n">
        <v>0</v>
      </c>
      <c r="K266" t="n">
        <v>0</v>
      </c>
      <c r="L266" t="n">
        <v>0</v>
      </c>
      <c r="M266" t="n">
        <v>0</v>
      </c>
      <c r="N266" t="n">
        <v>0</v>
      </c>
      <c r="O266" t="n">
        <v>0</v>
      </c>
      <c r="P266" t="n">
        <v>0</v>
      </c>
      <c r="Q266" t="n">
        <v>0</v>
      </c>
      <c r="R266" s="2" t="inlineStr"/>
    </row>
    <row r="267" ht="15" customHeight="1">
      <c r="A267" t="inlineStr">
        <is>
          <t>A 62054-2024</t>
        </is>
      </c>
      <c r="B267" s="1" t="n">
        <v>45656</v>
      </c>
      <c r="C267" s="1" t="n">
        <v>45910</v>
      </c>
      <c r="D267" t="inlineStr">
        <is>
          <t>UPPSALA LÄN</t>
        </is>
      </c>
      <c r="E267" t="inlineStr">
        <is>
          <t>UPPSALA</t>
        </is>
      </c>
      <c r="F267" t="inlineStr">
        <is>
          <t>Övriga statliga verk och myndigheter</t>
        </is>
      </c>
      <c r="G267" t="n">
        <v>29.3</v>
      </c>
      <c r="H267" t="n">
        <v>0</v>
      </c>
      <c r="I267" t="n">
        <v>0</v>
      </c>
      <c r="J267" t="n">
        <v>0</v>
      </c>
      <c r="K267" t="n">
        <v>0</v>
      </c>
      <c r="L267" t="n">
        <v>0</v>
      </c>
      <c r="M267" t="n">
        <v>0</v>
      </c>
      <c r="N267" t="n">
        <v>0</v>
      </c>
      <c r="O267" t="n">
        <v>0</v>
      </c>
      <c r="P267" t="n">
        <v>0</v>
      </c>
      <c r="Q267" t="n">
        <v>0</v>
      </c>
      <c r="R267" s="2" t="inlineStr"/>
    </row>
    <row r="268" ht="15" customHeight="1">
      <c r="A268" t="inlineStr">
        <is>
          <t>A 9398-2023</t>
        </is>
      </c>
      <c r="B268" s="1" t="n">
        <v>44977</v>
      </c>
      <c r="C268" s="1" t="n">
        <v>45910</v>
      </c>
      <c r="D268" t="inlineStr">
        <is>
          <t>UPPSALA LÄN</t>
        </is>
      </c>
      <c r="E268" t="inlineStr">
        <is>
          <t>UPPSALA</t>
        </is>
      </c>
      <c r="G268" t="n">
        <v>5.1</v>
      </c>
      <c r="H268" t="n">
        <v>0</v>
      </c>
      <c r="I268" t="n">
        <v>0</v>
      </c>
      <c r="J268" t="n">
        <v>0</v>
      </c>
      <c r="K268" t="n">
        <v>0</v>
      </c>
      <c r="L268" t="n">
        <v>0</v>
      </c>
      <c r="M268" t="n">
        <v>0</v>
      </c>
      <c r="N268" t="n">
        <v>0</v>
      </c>
      <c r="O268" t="n">
        <v>0</v>
      </c>
      <c r="P268" t="n">
        <v>0</v>
      </c>
      <c r="Q268" t="n">
        <v>0</v>
      </c>
      <c r="R268" s="2" t="inlineStr"/>
    </row>
    <row r="269" ht="15" customHeight="1">
      <c r="A269" t="inlineStr">
        <is>
          <t>A 17211-2025</t>
        </is>
      </c>
      <c r="B269" s="1" t="n">
        <v>45756.44024305556</v>
      </c>
      <c r="C269" s="1" t="n">
        <v>45910</v>
      </c>
      <c r="D269" t="inlineStr">
        <is>
          <t>UPPSALA LÄN</t>
        </is>
      </c>
      <c r="E269" t="inlineStr">
        <is>
          <t>UPPSALA</t>
        </is>
      </c>
      <c r="G269" t="n">
        <v>1.2</v>
      </c>
      <c r="H269" t="n">
        <v>0</v>
      </c>
      <c r="I269" t="n">
        <v>0</v>
      </c>
      <c r="J269" t="n">
        <v>0</v>
      </c>
      <c r="K269" t="n">
        <v>0</v>
      </c>
      <c r="L269" t="n">
        <v>0</v>
      </c>
      <c r="M269" t="n">
        <v>0</v>
      </c>
      <c r="N269" t="n">
        <v>0</v>
      </c>
      <c r="O269" t="n">
        <v>0</v>
      </c>
      <c r="P269" t="n">
        <v>0</v>
      </c>
      <c r="Q269" t="n">
        <v>0</v>
      </c>
      <c r="R269" s="2" t="inlineStr"/>
    </row>
    <row r="270" ht="15" customHeight="1">
      <c r="A270" t="inlineStr">
        <is>
          <t>A 39548-2023</t>
        </is>
      </c>
      <c r="B270" s="1" t="n">
        <v>45167.3721412037</v>
      </c>
      <c r="C270" s="1" t="n">
        <v>45910</v>
      </c>
      <c r="D270" t="inlineStr">
        <is>
          <t>UPPSALA LÄN</t>
        </is>
      </c>
      <c r="E270" t="inlineStr">
        <is>
          <t>UPPSALA</t>
        </is>
      </c>
      <c r="G270" t="n">
        <v>3.4</v>
      </c>
      <c r="H270" t="n">
        <v>0</v>
      </c>
      <c r="I270" t="n">
        <v>0</v>
      </c>
      <c r="J270" t="n">
        <v>0</v>
      </c>
      <c r="K270" t="n">
        <v>0</v>
      </c>
      <c r="L270" t="n">
        <v>0</v>
      </c>
      <c r="M270" t="n">
        <v>0</v>
      </c>
      <c r="N270" t="n">
        <v>0</v>
      </c>
      <c r="O270" t="n">
        <v>0</v>
      </c>
      <c r="P270" t="n">
        <v>0</v>
      </c>
      <c r="Q270" t="n">
        <v>0</v>
      </c>
      <c r="R270" s="2" t="inlineStr"/>
    </row>
    <row r="271" ht="15" customHeight="1">
      <c r="A271" t="inlineStr">
        <is>
          <t>A 33667-2024</t>
        </is>
      </c>
      <c r="B271" s="1" t="n">
        <v>45520</v>
      </c>
      <c r="C271" s="1" t="n">
        <v>45910</v>
      </c>
      <c r="D271" t="inlineStr">
        <is>
          <t>UPPSALA LÄN</t>
        </is>
      </c>
      <c r="E271" t="inlineStr">
        <is>
          <t>UPPSALA</t>
        </is>
      </c>
      <c r="G271" t="n">
        <v>0.8</v>
      </c>
      <c r="H271" t="n">
        <v>0</v>
      </c>
      <c r="I271" t="n">
        <v>0</v>
      </c>
      <c r="J271" t="n">
        <v>0</v>
      </c>
      <c r="K271" t="n">
        <v>0</v>
      </c>
      <c r="L271" t="n">
        <v>0</v>
      </c>
      <c r="M271" t="n">
        <v>0</v>
      </c>
      <c r="N271" t="n">
        <v>0</v>
      </c>
      <c r="O271" t="n">
        <v>0</v>
      </c>
      <c r="P271" t="n">
        <v>0</v>
      </c>
      <c r="Q271" t="n">
        <v>0</v>
      </c>
      <c r="R271" s="2" t="inlineStr"/>
    </row>
    <row r="272" ht="15" customHeight="1">
      <c r="A272" t="inlineStr">
        <is>
          <t>A 20888-2025</t>
        </is>
      </c>
      <c r="B272" s="1" t="n">
        <v>45777.37119212963</v>
      </c>
      <c r="C272" s="1" t="n">
        <v>45910</v>
      </c>
      <c r="D272" t="inlineStr">
        <is>
          <t>UPPSALA LÄN</t>
        </is>
      </c>
      <c r="E272" t="inlineStr">
        <is>
          <t>UPPSALA</t>
        </is>
      </c>
      <c r="F272" t="inlineStr">
        <is>
          <t>Övriga statliga verk och myndigheter</t>
        </is>
      </c>
      <c r="G272" t="n">
        <v>5.1</v>
      </c>
      <c r="H272" t="n">
        <v>0</v>
      </c>
      <c r="I272" t="n">
        <v>0</v>
      </c>
      <c r="J272" t="n">
        <v>0</v>
      </c>
      <c r="K272" t="n">
        <v>0</v>
      </c>
      <c r="L272" t="n">
        <v>0</v>
      </c>
      <c r="M272" t="n">
        <v>0</v>
      </c>
      <c r="N272" t="n">
        <v>0</v>
      </c>
      <c r="O272" t="n">
        <v>0</v>
      </c>
      <c r="P272" t="n">
        <v>0</v>
      </c>
      <c r="Q272" t="n">
        <v>0</v>
      </c>
      <c r="R272" s="2" t="inlineStr"/>
    </row>
    <row r="273" ht="15" customHeight="1">
      <c r="A273" t="inlineStr">
        <is>
          <t>A 26099-2024</t>
        </is>
      </c>
      <c r="B273" s="1" t="n">
        <v>45468</v>
      </c>
      <c r="C273" s="1" t="n">
        <v>45910</v>
      </c>
      <c r="D273" t="inlineStr">
        <is>
          <t>UPPSALA LÄN</t>
        </is>
      </c>
      <c r="E273" t="inlineStr">
        <is>
          <t>UPPSALA</t>
        </is>
      </c>
      <c r="G273" t="n">
        <v>0.3</v>
      </c>
      <c r="H273" t="n">
        <v>0</v>
      </c>
      <c r="I273" t="n">
        <v>0</v>
      </c>
      <c r="J273" t="n">
        <v>0</v>
      </c>
      <c r="K273" t="n">
        <v>0</v>
      </c>
      <c r="L273" t="n">
        <v>0</v>
      </c>
      <c r="M273" t="n">
        <v>0</v>
      </c>
      <c r="N273" t="n">
        <v>0</v>
      </c>
      <c r="O273" t="n">
        <v>0</v>
      </c>
      <c r="P273" t="n">
        <v>0</v>
      </c>
      <c r="Q273" t="n">
        <v>0</v>
      </c>
      <c r="R273" s="2" t="inlineStr"/>
    </row>
    <row r="274" ht="15" customHeight="1">
      <c r="A274" t="inlineStr">
        <is>
          <t>A 20928-2025</t>
        </is>
      </c>
      <c r="B274" s="1" t="n">
        <v>45777</v>
      </c>
      <c r="C274" s="1" t="n">
        <v>45910</v>
      </c>
      <c r="D274" t="inlineStr">
        <is>
          <t>UPPSALA LÄN</t>
        </is>
      </c>
      <c r="E274" t="inlineStr">
        <is>
          <t>UPPSALA</t>
        </is>
      </c>
      <c r="G274" t="n">
        <v>11.9</v>
      </c>
      <c r="H274" t="n">
        <v>0</v>
      </c>
      <c r="I274" t="n">
        <v>0</v>
      </c>
      <c r="J274" t="n">
        <v>0</v>
      </c>
      <c r="K274" t="n">
        <v>0</v>
      </c>
      <c r="L274" t="n">
        <v>0</v>
      </c>
      <c r="M274" t="n">
        <v>0</v>
      </c>
      <c r="N274" t="n">
        <v>0</v>
      </c>
      <c r="O274" t="n">
        <v>0</v>
      </c>
      <c r="P274" t="n">
        <v>0</v>
      </c>
      <c r="Q274" t="n">
        <v>0</v>
      </c>
      <c r="R274" s="2" t="inlineStr"/>
    </row>
    <row r="275" ht="15" customHeight="1">
      <c r="A275" t="inlineStr">
        <is>
          <t>A 29815-2023</t>
        </is>
      </c>
      <c r="B275" s="1" t="n">
        <v>45107.55574074074</v>
      </c>
      <c r="C275" s="1" t="n">
        <v>45910</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17558-2022</t>
        </is>
      </c>
      <c r="B276" s="1" t="n">
        <v>44679.66694444444</v>
      </c>
      <c r="C276" s="1" t="n">
        <v>45910</v>
      </c>
      <c r="D276" t="inlineStr">
        <is>
          <t>UPPSALA LÄN</t>
        </is>
      </c>
      <c r="E276" t="inlineStr">
        <is>
          <t>UPPSALA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20686-2025</t>
        </is>
      </c>
      <c r="B277" s="1" t="n">
        <v>45776.45263888889</v>
      </c>
      <c r="C277" s="1" t="n">
        <v>45910</v>
      </c>
      <c r="D277" t="inlineStr">
        <is>
          <t>UPPSALA LÄN</t>
        </is>
      </c>
      <c r="E277" t="inlineStr">
        <is>
          <t>UPPSALA</t>
        </is>
      </c>
      <c r="F277" t="inlineStr">
        <is>
          <t>Holmen skog AB</t>
        </is>
      </c>
      <c r="G277" t="n">
        <v>1.8</v>
      </c>
      <c r="H277" t="n">
        <v>0</v>
      </c>
      <c r="I277" t="n">
        <v>0</v>
      </c>
      <c r="J277" t="n">
        <v>0</v>
      </c>
      <c r="K277" t="n">
        <v>0</v>
      </c>
      <c r="L277" t="n">
        <v>0</v>
      </c>
      <c r="M277" t="n">
        <v>0</v>
      </c>
      <c r="N277" t="n">
        <v>0</v>
      </c>
      <c r="O277" t="n">
        <v>0</v>
      </c>
      <c r="P277" t="n">
        <v>0</v>
      </c>
      <c r="Q277" t="n">
        <v>0</v>
      </c>
      <c r="R277" s="2" t="inlineStr"/>
    </row>
    <row r="278" ht="15" customHeight="1">
      <c r="A278" t="inlineStr">
        <is>
          <t>A 8090-2022</t>
        </is>
      </c>
      <c r="B278" s="1" t="n">
        <v>44608</v>
      </c>
      <c r="C278" s="1" t="n">
        <v>45910</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33689-2023</t>
        </is>
      </c>
      <c r="B279" s="1" t="n">
        <v>45119</v>
      </c>
      <c r="C279" s="1" t="n">
        <v>45910</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18626-2025</t>
        </is>
      </c>
      <c r="B280" s="1" t="n">
        <v>45763.52995370371</v>
      </c>
      <c r="C280" s="1" t="n">
        <v>45910</v>
      </c>
      <c r="D280" t="inlineStr">
        <is>
          <t>UPPSALA LÄN</t>
        </is>
      </c>
      <c r="E280" t="inlineStr">
        <is>
          <t>UPPSALA</t>
        </is>
      </c>
      <c r="G280" t="n">
        <v>1.8</v>
      </c>
      <c r="H280" t="n">
        <v>0</v>
      </c>
      <c r="I280" t="n">
        <v>0</v>
      </c>
      <c r="J280" t="n">
        <v>0</v>
      </c>
      <c r="K280" t="n">
        <v>0</v>
      </c>
      <c r="L280" t="n">
        <v>0</v>
      </c>
      <c r="M280" t="n">
        <v>0</v>
      </c>
      <c r="N280" t="n">
        <v>0</v>
      </c>
      <c r="O280" t="n">
        <v>0</v>
      </c>
      <c r="P280" t="n">
        <v>0</v>
      </c>
      <c r="Q280" t="n">
        <v>0</v>
      </c>
      <c r="R280" s="2" t="inlineStr"/>
    </row>
    <row r="281" ht="15" customHeight="1">
      <c r="A281" t="inlineStr">
        <is>
          <t>A 21033-2025</t>
        </is>
      </c>
      <c r="B281" s="1" t="n">
        <v>45777.52655092593</v>
      </c>
      <c r="C281" s="1" t="n">
        <v>45910</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57271-2020</t>
        </is>
      </c>
      <c r="B282" s="1" t="n">
        <v>44139</v>
      </c>
      <c r="C282" s="1" t="n">
        <v>45910</v>
      </c>
      <c r="D282" t="inlineStr">
        <is>
          <t>UPPSALA LÄN</t>
        </is>
      </c>
      <c r="E282" t="inlineStr">
        <is>
          <t>UPPSALA</t>
        </is>
      </c>
      <c r="G282" t="n">
        <v>3.8</v>
      </c>
      <c r="H282" t="n">
        <v>0</v>
      </c>
      <c r="I282" t="n">
        <v>0</v>
      </c>
      <c r="J282" t="n">
        <v>0</v>
      </c>
      <c r="K282" t="n">
        <v>0</v>
      </c>
      <c r="L282" t="n">
        <v>0</v>
      </c>
      <c r="M282" t="n">
        <v>0</v>
      </c>
      <c r="N282" t="n">
        <v>0</v>
      </c>
      <c r="O282" t="n">
        <v>0</v>
      </c>
      <c r="P282" t="n">
        <v>0</v>
      </c>
      <c r="Q282" t="n">
        <v>0</v>
      </c>
      <c r="R282" s="2" t="inlineStr"/>
    </row>
    <row r="283" ht="15" customHeight="1">
      <c r="A283" t="inlineStr">
        <is>
          <t>A 3183-2024</t>
        </is>
      </c>
      <c r="B283" s="1" t="n">
        <v>45316</v>
      </c>
      <c r="C283" s="1" t="n">
        <v>45910</v>
      </c>
      <c r="D283" t="inlineStr">
        <is>
          <t>UPPSALA LÄN</t>
        </is>
      </c>
      <c r="E283" t="inlineStr">
        <is>
          <t>UPPSALA</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20874-2025</t>
        </is>
      </c>
      <c r="B284" s="1" t="n">
        <v>45777.34894675926</v>
      </c>
      <c r="C284" s="1" t="n">
        <v>45910</v>
      </c>
      <c r="D284" t="inlineStr">
        <is>
          <t>UPPSALA LÄN</t>
        </is>
      </c>
      <c r="E284" t="inlineStr">
        <is>
          <t>UPPSALA</t>
        </is>
      </c>
      <c r="F284" t="inlineStr">
        <is>
          <t>Övriga Aktiebolag</t>
        </is>
      </c>
      <c r="G284" t="n">
        <v>3.9</v>
      </c>
      <c r="H284" t="n">
        <v>0</v>
      </c>
      <c r="I284" t="n">
        <v>0</v>
      </c>
      <c r="J284" t="n">
        <v>0</v>
      </c>
      <c r="K284" t="n">
        <v>0</v>
      </c>
      <c r="L284" t="n">
        <v>0</v>
      </c>
      <c r="M284" t="n">
        <v>0</v>
      </c>
      <c r="N284" t="n">
        <v>0</v>
      </c>
      <c r="O284" t="n">
        <v>0</v>
      </c>
      <c r="P284" t="n">
        <v>0</v>
      </c>
      <c r="Q284" t="n">
        <v>0</v>
      </c>
      <c r="R284" s="2" t="inlineStr"/>
    </row>
    <row r="285" ht="15" customHeight="1">
      <c r="A285" t="inlineStr">
        <is>
          <t>A 53569-2024</t>
        </is>
      </c>
      <c r="B285" s="1" t="n">
        <v>45614.65928240741</v>
      </c>
      <c r="C285" s="1" t="n">
        <v>45910</v>
      </c>
      <c r="D285" t="inlineStr">
        <is>
          <t>UPPSALA LÄN</t>
        </is>
      </c>
      <c r="E285" t="inlineStr">
        <is>
          <t>UPPSALA</t>
        </is>
      </c>
      <c r="G285" t="n">
        <v>2.7</v>
      </c>
      <c r="H285" t="n">
        <v>0</v>
      </c>
      <c r="I285" t="n">
        <v>0</v>
      </c>
      <c r="J285" t="n">
        <v>0</v>
      </c>
      <c r="K285" t="n">
        <v>0</v>
      </c>
      <c r="L285" t="n">
        <v>0</v>
      </c>
      <c r="M285" t="n">
        <v>0</v>
      </c>
      <c r="N285" t="n">
        <v>0</v>
      </c>
      <c r="O285" t="n">
        <v>0</v>
      </c>
      <c r="P285" t="n">
        <v>0</v>
      </c>
      <c r="Q285" t="n">
        <v>0</v>
      </c>
      <c r="R285" s="2" t="inlineStr"/>
    </row>
    <row r="286" ht="15" customHeight="1">
      <c r="A286" t="inlineStr">
        <is>
          <t>A 44847-2024</t>
        </is>
      </c>
      <c r="B286" s="1" t="n">
        <v>45574</v>
      </c>
      <c r="C286" s="1" t="n">
        <v>45910</v>
      </c>
      <c r="D286" t="inlineStr">
        <is>
          <t>UPPSALA LÄN</t>
        </is>
      </c>
      <c r="E286" t="inlineStr">
        <is>
          <t>UPPSALA</t>
        </is>
      </c>
      <c r="G286" t="n">
        <v>6.3</v>
      </c>
      <c r="H286" t="n">
        <v>0</v>
      </c>
      <c r="I286" t="n">
        <v>0</v>
      </c>
      <c r="J286" t="n">
        <v>0</v>
      </c>
      <c r="K286" t="n">
        <v>0</v>
      </c>
      <c r="L286" t="n">
        <v>0</v>
      </c>
      <c r="M286" t="n">
        <v>0</v>
      </c>
      <c r="N286" t="n">
        <v>0</v>
      </c>
      <c r="O286" t="n">
        <v>0</v>
      </c>
      <c r="P286" t="n">
        <v>0</v>
      </c>
      <c r="Q286" t="n">
        <v>0</v>
      </c>
      <c r="R286" s="2" t="inlineStr"/>
    </row>
    <row r="287" ht="15" customHeight="1">
      <c r="A287" t="inlineStr">
        <is>
          <t>A 69436-2021</t>
        </is>
      </c>
      <c r="B287" s="1" t="n">
        <v>44531</v>
      </c>
      <c r="C287" s="1" t="n">
        <v>45910</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39148-2022</t>
        </is>
      </c>
      <c r="B288" s="1" t="n">
        <v>44816</v>
      </c>
      <c r="C288" s="1" t="n">
        <v>45910</v>
      </c>
      <c r="D288" t="inlineStr">
        <is>
          <t>UPPSALA LÄN</t>
        </is>
      </c>
      <c r="E288" t="inlineStr">
        <is>
          <t>UPPSALA</t>
        </is>
      </c>
      <c r="F288" t="inlineStr">
        <is>
          <t>Övriga statliga verk och myndigheter</t>
        </is>
      </c>
      <c r="G288" t="n">
        <v>1.7</v>
      </c>
      <c r="H288" t="n">
        <v>0</v>
      </c>
      <c r="I288" t="n">
        <v>0</v>
      </c>
      <c r="J288" t="n">
        <v>0</v>
      </c>
      <c r="K288" t="n">
        <v>0</v>
      </c>
      <c r="L288" t="n">
        <v>0</v>
      </c>
      <c r="M288" t="n">
        <v>0</v>
      </c>
      <c r="N288" t="n">
        <v>0</v>
      </c>
      <c r="O288" t="n">
        <v>0</v>
      </c>
      <c r="P288" t="n">
        <v>0</v>
      </c>
      <c r="Q288" t="n">
        <v>0</v>
      </c>
      <c r="R288" s="2" t="inlineStr"/>
    </row>
    <row r="289" ht="15" customHeight="1">
      <c r="A289" t="inlineStr">
        <is>
          <t>A 6059-2025</t>
        </is>
      </c>
      <c r="B289" s="1" t="n">
        <v>45695.8391550926</v>
      </c>
      <c r="C289" s="1" t="n">
        <v>45910</v>
      </c>
      <c r="D289" t="inlineStr">
        <is>
          <t>UPPSALA LÄN</t>
        </is>
      </c>
      <c r="E289" t="inlineStr">
        <is>
          <t>UPPSALA</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20703-2025</t>
        </is>
      </c>
      <c r="B290" s="1" t="n">
        <v>45776.48275462963</v>
      </c>
      <c r="C290" s="1" t="n">
        <v>45910</v>
      </c>
      <c r="D290" t="inlineStr">
        <is>
          <t>UPPSALA LÄN</t>
        </is>
      </c>
      <c r="E290" t="inlineStr">
        <is>
          <t>UPPSALA</t>
        </is>
      </c>
      <c r="F290" t="inlineStr">
        <is>
          <t>Holmen skog AB</t>
        </is>
      </c>
      <c r="G290" t="n">
        <v>3.5</v>
      </c>
      <c r="H290" t="n">
        <v>0</v>
      </c>
      <c r="I290" t="n">
        <v>0</v>
      </c>
      <c r="J290" t="n">
        <v>0</v>
      </c>
      <c r="K290" t="n">
        <v>0</v>
      </c>
      <c r="L290" t="n">
        <v>0</v>
      </c>
      <c r="M290" t="n">
        <v>0</v>
      </c>
      <c r="N290" t="n">
        <v>0</v>
      </c>
      <c r="O290" t="n">
        <v>0</v>
      </c>
      <c r="P290" t="n">
        <v>0</v>
      </c>
      <c r="Q290" t="n">
        <v>0</v>
      </c>
      <c r="R290" s="2" t="inlineStr"/>
    </row>
    <row r="291" ht="15" customHeight="1">
      <c r="A291" t="inlineStr">
        <is>
          <t>A 20712-2025</t>
        </is>
      </c>
      <c r="B291" s="1" t="n">
        <v>45776</v>
      </c>
      <c r="C291" s="1" t="n">
        <v>45910</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5729-2025</t>
        </is>
      </c>
      <c r="B292" s="1" t="n">
        <v>45694.49037037037</v>
      </c>
      <c r="C292" s="1" t="n">
        <v>45910</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20858-2025</t>
        </is>
      </c>
      <c r="B293" s="1" t="n">
        <v>45777.32731481481</v>
      </c>
      <c r="C293" s="1" t="n">
        <v>45910</v>
      </c>
      <c r="D293" t="inlineStr">
        <is>
          <t>UPPSALA LÄN</t>
        </is>
      </c>
      <c r="E293" t="inlineStr">
        <is>
          <t>UPPSALA</t>
        </is>
      </c>
      <c r="F293" t="inlineStr">
        <is>
          <t>Övriga Aktiebolag</t>
        </is>
      </c>
      <c r="G293" t="n">
        <v>4.1</v>
      </c>
      <c r="H293" t="n">
        <v>0</v>
      </c>
      <c r="I293" t="n">
        <v>0</v>
      </c>
      <c r="J293" t="n">
        <v>0</v>
      </c>
      <c r="K293" t="n">
        <v>0</v>
      </c>
      <c r="L293" t="n">
        <v>0</v>
      </c>
      <c r="M293" t="n">
        <v>0</v>
      </c>
      <c r="N293" t="n">
        <v>0</v>
      </c>
      <c r="O293" t="n">
        <v>0</v>
      </c>
      <c r="P293" t="n">
        <v>0</v>
      </c>
      <c r="Q293" t="n">
        <v>0</v>
      </c>
      <c r="R293" s="2" t="inlineStr"/>
    </row>
    <row r="294" ht="15" customHeight="1">
      <c r="A294" t="inlineStr">
        <is>
          <t>A 21217-2025</t>
        </is>
      </c>
      <c r="B294" s="1" t="n">
        <v>45779.49085648148</v>
      </c>
      <c r="C294" s="1" t="n">
        <v>45910</v>
      </c>
      <c r="D294" t="inlineStr">
        <is>
          <t>UPPSALA LÄN</t>
        </is>
      </c>
      <c r="E294" t="inlineStr">
        <is>
          <t>UPPSALA</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49931-2020</t>
        </is>
      </c>
      <c r="B295" s="1" t="n">
        <v>44109</v>
      </c>
      <c r="C295" s="1" t="n">
        <v>45910</v>
      </c>
      <c r="D295" t="inlineStr">
        <is>
          <t>UPPSALA LÄN</t>
        </is>
      </c>
      <c r="E295" t="inlineStr">
        <is>
          <t>UPPSALA</t>
        </is>
      </c>
      <c r="G295" t="n">
        <v>3.4</v>
      </c>
      <c r="H295" t="n">
        <v>0</v>
      </c>
      <c r="I295" t="n">
        <v>0</v>
      </c>
      <c r="J295" t="n">
        <v>0</v>
      </c>
      <c r="K295" t="n">
        <v>0</v>
      </c>
      <c r="L295" t="n">
        <v>0</v>
      </c>
      <c r="M295" t="n">
        <v>0</v>
      </c>
      <c r="N295" t="n">
        <v>0</v>
      </c>
      <c r="O295" t="n">
        <v>0</v>
      </c>
      <c r="P295" t="n">
        <v>0</v>
      </c>
      <c r="Q295" t="n">
        <v>0</v>
      </c>
      <c r="R295" s="2" t="inlineStr"/>
    </row>
    <row r="296" ht="15" customHeight="1">
      <c r="A296" t="inlineStr">
        <is>
          <t>A 26323-2023</t>
        </is>
      </c>
      <c r="B296" s="1" t="n">
        <v>45091.69766203704</v>
      </c>
      <c r="C296" s="1" t="n">
        <v>45910</v>
      </c>
      <c r="D296" t="inlineStr">
        <is>
          <t>UPPSALA LÄN</t>
        </is>
      </c>
      <c r="E296" t="inlineStr">
        <is>
          <t>UPPSALA</t>
        </is>
      </c>
      <c r="G296" t="n">
        <v>3.1</v>
      </c>
      <c r="H296" t="n">
        <v>0</v>
      </c>
      <c r="I296" t="n">
        <v>0</v>
      </c>
      <c r="J296" t="n">
        <v>0</v>
      </c>
      <c r="K296" t="n">
        <v>0</v>
      </c>
      <c r="L296" t="n">
        <v>0</v>
      </c>
      <c r="M296" t="n">
        <v>0</v>
      </c>
      <c r="N296" t="n">
        <v>0</v>
      </c>
      <c r="O296" t="n">
        <v>0</v>
      </c>
      <c r="P296" t="n">
        <v>0</v>
      </c>
      <c r="Q296" t="n">
        <v>0</v>
      </c>
      <c r="R296" s="2" t="inlineStr"/>
    </row>
    <row r="297" ht="15" customHeight="1">
      <c r="A297" t="inlineStr">
        <is>
          <t>A 2927-2022</t>
        </is>
      </c>
      <c r="B297" s="1" t="n">
        <v>44581.60254629629</v>
      </c>
      <c r="C297" s="1" t="n">
        <v>45910</v>
      </c>
      <c r="D297" t="inlineStr">
        <is>
          <t>UPPSALA LÄN</t>
        </is>
      </c>
      <c r="E297" t="inlineStr">
        <is>
          <t>UPPSALA</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21281-2025</t>
        </is>
      </c>
      <c r="B298" s="1" t="n">
        <v>45779.6665162037</v>
      </c>
      <c r="C298" s="1" t="n">
        <v>45910</v>
      </c>
      <c r="D298" t="inlineStr">
        <is>
          <t>UPPSALA LÄN</t>
        </is>
      </c>
      <c r="E298" t="inlineStr">
        <is>
          <t>UPPSALA</t>
        </is>
      </c>
      <c r="F298" t="inlineStr">
        <is>
          <t>Övriga Aktiebolag</t>
        </is>
      </c>
      <c r="G298" t="n">
        <v>5.9</v>
      </c>
      <c r="H298" t="n">
        <v>0</v>
      </c>
      <c r="I298" t="n">
        <v>0</v>
      </c>
      <c r="J298" t="n">
        <v>0</v>
      </c>
      <c r="K298" t="n">
        <v>0</v>
      </c>
      <c r="L298" t="n">
        <v>0</v>
      </c>
      <c r="M298" t="n">
        <v>0</v>
      </c>
      <c r="N298" t="n">
        <v>0</v>
      </c>
      <c r="O298" t="n">
        <v>0</v>
      </c>
      <c r="P298" t="n">
        <v>0</v>
      </c>
      <c r="Q298" t="n">
        <v>0</v>
      </c>
      <c r="R298" s="2" t="inlineStr"/>
    </row>
    <row r="299" ht="15" customHeight="1">
      <c r="A299" t="inlineStr">
        <is>
          <t>A 21279-2025</t>
        </is>
      </c>
      <c r="B299" s="1" t="n">
        <v>45779.65787037037</v>
      </c>
      <c r="C299" s="1" t="n">
        <v>45910</v>
      </c>
      <c r="D299" t="inlineStr">
        <is>
          <t>UPPSALA LÄN</t>
        </is>
      </c>
      <c r="E299" t="inlineStr">
        <is>
          <t>UPPSALA</t>
        </is>
      </c>
      <c r="F299" t="inlineStr">
        <is>
          <t>Övriga Aktiebolag</t>
        </is>
      </c>
      <c r="G299" t="n">
        <v>0.8</v>
      </c>
      <c r="H299" t="n">
        <v>0</v>
      </c>
      <c r="I299" t="n">
        <v>0</v>
      </c>
      <c r="J299" t="n">
        <v>0</v>
      </c>
      <c r="K299" t="n">
        <v>0</v>
      </c>
      <c r="L299" t="n">
        <v>0</v>
      </c>
      <c r="M299" t="n">
        <v>0</v>
      </c>
      <c r="N299" t="n">
        <v>0</v>
      </c>
      <c r="O299" t="n">
        <v>0</v>
      </c>
      <c r="P299" t="n">
        <v>0</v>
      </c>
      <c r="Q299" t="n">
        <v>0</v>
      </c>
      <c r="R299" s="2" t="inlineStr"/>
    </row>
    <row r="300" ht="15" customHeight="1">
      <c r="A300" t="inlineStr">
        <is>
          <t>A 5989-2022</t>
        </is>
      </c>
      <c r="B300" s="1" t="n">
        <v>44599.42277777778</v>
      </c>
      <c r="C300" s="1" t="n">
        <v>45910</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7253-2024</t>
        </is>
      </c>
      <c r="B301" s="1" t="n">
        <v>45344.69567129629</v>
      </c>
      <c r="C301" s="1" t="n">
        <v>45910</v>
      </c>
      <c r="D301" t="inlineStr">
        <is>
          <t>UPPSALA LÄN</t>
        </is>
      </c>
      <c r="E301" t="inlineStr">
        <is>
          <t>UPPSALA</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11744-2023</t>
        </is>
      </c>
      <c r="B302" s="1" t="n">
        <v>44993</v>
      </c>
      <c r="C302" s="1" t="n">
        <v>45910</v>
      </c>
      <c r="D302" t="inlineStr">
        <is>
          <t>UPPSALA LÄN</t>
        </is>
      </c>
      <c r="E302" t="inlineStr">
        <is>
          <t>UPPSALA</t>
        </is>
      </c>
      <c r="G302" t="n">
        <v>1.4</v>
      </c>
      <c r="H302" t="n">
        <v>0</v>
      </c>
      <c r="I302" t="n">
        <v>0</v>
      </c>
      <c r="J302" t="n">
        <v>0</v>
      </c>
      <c r="K302" t="n">
        <v>0</v>
      </c>
      <c r="L302" t="n">
        <v>0</v>
      </c>
      <c r="M302" t="n">
        <v>0</v>
      </c>
      <c r="N302" t="n">
        <v>0</v>
      </c>
      <c r="O302" t="n">
        <v>0</v>
      </c>
      <c r="P302" t="n">
        <v>0</v>
      </c>
      <c r="Q302" t="n">
        <v>0</v>
      </c>
      <c r="R302" s="2" t="inlineStr"/>
    </row>
    <row r="303" ht="15" customHeight="1">
      <c r="A303" t="inlineStr">
        <is>
          <t>A 5764-2025</t>
        </is>
      </c>
      <c r="B303" s="1" t="n">
        <v>45694</v>
      </c>
      <c r="C303" s="1" t="n">
        <v>45910</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8132-2024</t>
        </is>
      </c>
      <c r="B304" s="1" t="n">
        <v>45351.54596064815</v>
      </c>
      <c r="C304" s="1" t="n">
        <v>45910</v>
      </c>
      <c r="D304" t="inlineStr">
        <is>
          <t>UPPSALA LÄN</t>
        </is>
      </c>
      <c r="E304" t="inlineStr">
        <is>
          <t>UPPSALA</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21748-2025</t>
        </is>
      </c>
      <c r="B305" s="1" t="n">
        <v>45783.61053240741</v>
      </c>
      <c r="C305" s="1" t="n">
        <v>45910</v>
      </c>
      <c r="D305" t="inlineStr">
        <is>
          <t>UPPSALA LÄN</t>
        </is>
      </c>
      <c r="E305" t="inlineStr">
        <is>
          <t>UPPSALA</t>
        </is>
      </c>
      <c r="G305" t="n">
        <v>1.3</v>
      </c>
      <c r="H305" t="n">
        <v>0</v>
      </c>
      <c r="I305" t="n">
        <v>0</v>
      </c>
      <c r="J305" t="n">
        <v>0</v>
      </c>
      <c r="K305" t="n">
        <v>0</v>
      </c>
      <c r="L305" t="n">
        <v>0</v>
      </c>
      <c r="M305" t="n">
        <v>0</v>
      </c>
      <c r="N305" t="n">
        <v>0</v>
      </c>
      <c r="O305" t="n">
        <v>0</v>
      </c>
      <c r="P305" t="n">
        <v>0</v>
      </c>
      <c r="Q305" t="n">
        <v>0</v>
      </c>
      <c r="R305" s="2" t="inlineStr"/>
    </row>
    <row r="306" ht="15" customHeight="1">
      <c r="A306" t="inlineStr">
        <is>
          <t>A 58023-2022</t>
        </is>
      </c>
      <c r="B306" s="1" t="n">
        <v>44900.54711805555</v>
      </c>
      <c r="C306" s="1" t="n">
        <v>45910</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63307-2021</t>
        </is>
      </c>
      <c r="B307" s="1" t="n">
        <v>44508.44033564815</v>
      </c>
      <c r="C307" s="1" t="n">
        <v>45910</v>
      </c>
      <c r="D307" t="inlineStr">
        <is>
          <t>UPPSALA LÄN</t>
        </is>
      </c>
      <c r="E307" t="inlineStr">
        <is>
          <t>UPPSALA</t>
        </is>
      </c>
      <c r="F307" t="inlineStr">
        <is>
          <t>Bergvik skog öst AB</t>
        </is>
      </c>
      <c r="G307" t="n">
        <v>2.8</v>
      </c>
      <c r="H307" t="n">
        <v>0</v>
      </c>
      <c r="I307" t="n">
        <v>0</v>
      </c>
      <c r="J307" t="n">
        <v>0</v>
      </c>
      <c r="K307" t="n">
        <v>0</v>
      </c>
      <c r="L307" t="n">
        <v>0</v>
      </c>
      <c r="M307" t="n">
        <v>0</v>
      </c>
      <c r="N307" t="n">
        <v>0</v>
      </c>
      <c r="O307" t="n">
        <v>0</v>
      </c>
      <c r="P307" t="n">
        <v>0</v>
      </c>
      <c r="Q307" t="n">
        <v>0</v>
      </c>
      <c r="R307" s="2" t="inlineStr"/>
    </row>
    <row r="308" ht="15" customHeight="1">
      <c r="A308" t="inlineStr">
        <is>
          <t>A 51661-2022</t>
        </is>
      </c>
      <c r="B308" s="1" t="n">
        <v>44872</v>
      </c>
      <c r="C308" s="1" t="n">
        <v>45910</v>
      </c>
      <c r="D308" t="inlineStr">
        <is>
          <t>UPPSALA LÄN</t>
        </is>
      </c>
      <c r="E308" t="inlineStr">
        <is>
          <t>UPPSALA</t>
        </is>
      </c>
      <c r="G308" t="n">
        <v>8.9</v>
      </c>
      <c r="H308" t="n">
        <v>0</v>
      </c>
      <c r="I308" t="n">
        <v>0</v>
      </c>
      <c r="J308" t="n">
        <v>0</v>
      </c>
      <c r="K308" t="n">
        <v>0</v>
      </c>
      <c r="L308" t="n">
        <v>0</v>
      </c>
      <c r="M308" t="n">
        <v>0</v>
      </c>
      <c r="N308" t="n">
        <v>0</v>
      </c>
      <c r="O308" t="n">
        <v>0</v>
      </c>
      <c r="P308" t="n">
        <v>0</v>
      </c>
      <c r="Q308" t="n">
        <v>0</v>
      </c>
      <c r="R308" s="2" t="inlineStr"/>
    </row>
    <row r="309" ht="15" customHeight="1">
      <c r="A309" t="inlineStr">
        <is>
          <t>A 13128-2022</t>
        </is>
      </c>
      <c r="B309" s="1" t="n">
        <v>44644.37548611111</v>
      </c>
      <c r="C309" s="1" t="n">
        <v>45910</v>
      </c>
      <c r="D309" t="inlineStr">
        <is>
          <t>UPPSALA LÄN</t>
        </is>
      </c>
      <c r="E309" t="inlineStr">
        <is>
          <t>UPPSALA</t>
        </is>
      </c>
      <c r="F309" t="inlineStr">
        <is>
          <t>Övriga Aktiebolag</t>
        </is>
      </c>
      <c r="G309" t="n">
        <v>3.7</v>
      </c>
      <c r="H309" t="n">
        <v>0</v>
      </c>
      <c r="I309" t="n">
        <v>0</v>
      </c>
      <c r="J309" t="n">
        <v>0</v>
      </c>
      <c r="K309" t="n">
        <v>0</v>
      </c>
      <c r="L309" t="n">
        <v>0</v>
      </c>
      <c r="M309" t="n">
        <v>0</v>
      </c>
      <c r="N309" t="n">
        <v>0</v>
      </c>
      <c r="O309" t="n">
        <v>0</v>
      </c>
      <c r="P309" t="n">
        <v>0</v>
      </c>
      <c r="Q309" t="n">
        <v>0</v>
      </c>
      <c r="R309" s="2" t="inlineStr"/>
    </row>
    <row r="310" ht="15" customHeight="1">
      <c r="A310" t="inlineStr">
        <is>
          <t>A 18808-2024</t>
        </is>
      </c>
      <c r="B310" s="1" t="n">
        <v>45426.61569444444</v>
      </c>
      <c r="C310" s="1" t="n">
        <v>45910</v>
      </c>
      <c r="D310" t="inlineStr">
        <is>
          <t>UPPSALA LÄN</t>
        </is>
      </c>
      <c r="E310" t="inlineStr">
        <is>
          <t>UPPSALA</t>
        </is>
      </c>
      <c r="G310" t="n">
        <v>11.5</v>
      </c>
      <c r="H310" t="n">
        <v>0</v>
      </c>
      <c r="I310" t="n">
        <v>0</v>
      </c>
      <c r="J310" t="n">
        <v>0</v>
      </c>
      <c r="K310" t="n">
        <v>0</v>
      </c>
      <c r="L310" t="n">
        <v>0</v>
      </c>
      <c r="M310" t="n">
        <v>0</v>
      </c>
      <c r="N310" t="n">
        <v>0</v>
      </c>
      <c r="O310" t="n">
        <v>0</v>
      </c>
      <c r="P310" t="n">
        <v>0</v>
      </c>
      <c r="Q310" t="n">
        <v>0</v>
      </c>
      <c r="R310" s="2" t="inlineStr"/>
    </row>
    <row r="311" ht="15" customHeight="1">
      <c r="A311" t="inlineStr">
        <is>
          <t>A 22018-2025</t>
        </is>
      </c>
      <c r="B311" s="1" t="n">
        <v>45784.80497685185</v>
      </c>
      <c r="C311" s="1" t="n">
        <v>45910</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34243-2021</t>
        </is>
      </c>
      <c r="B312" s="1" t="n">
        <v>44379.56163194445</v>
      </c>
      <c r="C312" s="1" t="n">
        <v>45910</v>
      </c>
      <c r="D312" t="inlineStr">
        <is>
          <t>UPPSALA LÄN</t>
        </is>
      </c>
      <c r="E312" t="inlineStr">
        <is>
          <t>UPPSALA</t>
        </is>
      </c>
      <c r="G312" t="n">
        <v>1.9</v>
      </c>
      <c r="H312" t="n">
        <v>0</v>
      </c>
      <c r="I312" t="n">
        <v>0</v>
      </c>
      <c r="J312" t="n">
        <v>0</v>
      </c>
      <c r="K312" t="n">
        <v>0</v>
      </c>
      <c r="L312" t="n">
        <v>0</v>
      </c>
      <c r="M312" t="n">
        <v>0</v>
      </c>
      <c r="N312" t="n">
        <v>0</v>
      </c>
      <c r="O312" t="n">
        <v>0</v>
      </c>
      <c r="P312" t="n">
        <v>0</v>
      </c>
      <c r="Q312" t="n">
        <v>0</v>
      </c>
      <c r="R312" s="2" t="inlineStr"/>
    </row>
    <row r="313" ht="15" customHeight="1">
      <c r="A313" t="inlineStr">
        <is>
          <t>A 21936-2025</t>
        </is>
      </c>
      <c r="B313" s="1" t="n">
        <v>45784.57266203704</v>
      </c>
      <c r="C313" s="1" t="n">
        <v>45910</v>
      </c>
      <c r="D313" t="inlineStr">
        <is>
          <t>UPPSALA LÄN</t>
        </is>
      </c>
      <c r="E313" t="inlineStr">
        <is>
          <t>UPPSALA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49682-2023</t>
        </is>
      </c>
      <c r="B314" s="1" t="n">
        <v>45212.34997685185</v>
      </c>
      <c r="C314" s="1" t="n">
        <v>45910</v>
      </c>
      <c r="D314" t="inlineStr">
        <is>
          <t>UPPSALA LÄN</t>
        </is>
      </c>
      <c r="E314" t="inlineStr">
        <is>
          <t>UPPSALA</t>
        </is>
      </c>
      <c r="G314" t="n">
        <v>2.2</v>
      </c>
      <c r="H314" t="n">
        <v>0</v>
      </c>
      <c r="I314" t="n">
        <v>0</v>
      </c>
      <c r="J314" t="n">
        <v>0</v>
      </c>
      <c r="K314" t="n">
        <v>0</v>
      </c>
      <c r="L314" t="n">
        <v>0</v>
      </c>
      <c r="M314" t="n">
        <v>0</v>
      </c>
      <c r="N314" t="n">
        <v>0</v>
      </c>
      <c r="O314" t="n">
        <v>0</v>
      </c>
      <c r="P314" t="n">
        <v>0</v>
      </c>
      <c r="Q314" t="n">
        <v>0</v>
      </c>
      <c r="R314" s="2" t="inlineStr"/>
    </row>
    <row r="315" ht="15" customHeight="1">
      <c r="A315" t="inlineStr">
        <is>
          <t>A 69691-2021</t>
        </is>
      </c>
      <c r="B315" s="1" t="n">
        <v>44532</v>
      </c>
      <c r="C315" s="1" t="n">
        <v>45910</v>
      </c>
      <c r="D315" t="inlineStr">
        <is>
          <t>UPPSALA LÄN</t>
        </is>
      </c>
      <c r="E315" t="inlineStr">
        <is>
          <t>UPPSALA</t>
        </is>
      </c>
      <c r="G315" t="n">
        <v>2.3</v>
      </c>
      <c r="H315" t="n">
        <v>0</v>
      </c>
      <c r="I315" t="n">
        <v>0</v>
      </c>
      <c r="J315" t="n">
        <v>0</v>
      </c>
      <c r="K315" t="n">
        <v>0</v>
      </c>
      <c r="L315" t="n">
        <v>0</v>
      </c>
      <c r="M315" t="n">
        <v>0</v>
      </c>
      <c r="N315" t="n">
        <v>0</v>
      </c>
      <c r="O315" t="n">
        <v>0</v>
      </c>
      <c r="P315" t="n">
        <v>0</v>
      </c>
      <c r="Q315" t="n">
        <v>0</v>
      </c>
      <c r="R315" s="2" t="inlineStr"/>
    </row>
    <row r="316" ht="15" customHeight="1">
      <c r="A316" t="inlineStr">
        <is>
          <t>A 43855-2023</t>
        </is>
      </c>
      <c r="B316" s="1" t="n">
        <v>45187.61136574074</v>
      </c>
      <c r="C316" s="1" t="n">
        <v>45910</v>
      </c>
      <c r="D316" t="inlineStr">
        <is>
          <t>UPPSALA LÄN</t>
        </is>
      </c>
      <c r="E316" t="inlineStr">
        <is>
          <t>UPPSALA</t>
        </is>
      </c>
      <c r="F316" t="inlineStr">
        <is>
          <t>Bergvik skog öst AB</t>
        </is>
      </c>
      <c r="G316" t="n">
        <v>2</v>
      </c>
      <c r="H316" t="n">
        <v>0</v>
      </c>
      <c r="I316" t="n">
        <v>0</v>
      </c>
      <c r="J316" t="n">
        <v>0</v>
      </c>
      <c r="K316" t="n">
        <v>0</v>
      </c>
      <c r="L316" t="n">
        <v>0</v>
      </c>
      <c r="M316" t="n">
        <v>0</v>
      </c>
      <c r="N316" t="n">
        <v>0</v>
      </c>
      <c r="O316" t="n">
        <v>0</v>
      </c>
      <c r="P316" t="n">
        <v>0</v>
      </c>
      <c r="Q316" t="n">
        <v>0</v>
      </c>
      <c r="R316" s="2" t="inlineStr"/>
    </row>
    <row r="317" ht="15" customHeight="1">
      <c r="A317" t="inlineStr">
        <is>
          <t>A 5362-2023</t>
        </is>
      </c>
      <c r="B317" s="1" t="n">
        <v>44944</v>
      </c>
      <c r="C317" s="1" t="n">
        <v>45910</v>
      </c>
      <c r="D317" t="inlineStr">
        <is>
          <t>UPPSALA LÄN</t>
        </is>
      </c>
      <c r="E317" t="inlineStr">
        <is>
          <t>UPPSALA</t>
        </is>
      </c>
      <c r="G317" t="n">
        <v>2.3</v>
      </c>
      <c r="H317" t="n">
        <v>0</v>
      </c>
      <c r="I317" t="n">
        <v>0</v>
      </c>
      <c r="J317" t="n">
        <v>0</v>
      </c>
      <c r="K317" t="n">
        <v>0</v>
      </c>
      <c r="L317" t="n">
        <v>0</v>
      </c>
      <c r="M317" t="n">
        <v>0</v>
      </c>
      <c r="N317" t="n">
        <v>0</v>
      </c>
      <c r="O317" t="n">
        <v>0</v>
      </c>
      <c r="P317" t="n">
        <v>0</v>
      </c>
      <c r="Q317" t="n">
        <v>0</v>
      </c>
      <c r="R317" s="2" t="inlineStr"/>
    </row>
    <row r="318" ht="15" customHeight="1">
      <c r="A318" t="inlineStr">
        <is>
          <t>A 40701-2024</t>
        </is>
      </c>
      <c r="B318" s="1" t="n">
        <v>45558.42498842593</v>
      </c>
      <c r="C318" s="1" t="n">
        <v>45910</v>
      </c>
      <c r="D318" t="inlineStr">
        <is>
          <t>UPPSALA LÄN</t>
        </is>
      </c>
      <c r="E318" t="inlineStr">
        <is>
          <t>UPPSALA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758-2022</t>
        </is>
      </c>
      <c r="B319" s="1" t="n">
        <v>44569.69358796296</v>
      </c>
      <c r="C319" s="1" t="n">
        <v>45910</v>
      </c>
      <c r="D319" t="inlineStr">
        <is>
          <t>UPPSALA LÄN</t>
        </is>
      </c>
      <c r="E319" t="inlineStr">
        <is>
          <t>UPPSALA</t>
        </is>
      </c>
      <c r="F319" t="inlineStr">
        <is>
          <t>Holmen skog AB</t>
        </is>
      </c>
      <c r="G319" t="n">
        <v>5.2</v>
      </c>
      <c r="H319" t="n">
        <v>0</v>
      </c>
      <c r="I319" t="n">
        <v>0</v>
      </c>
      <c r="J319" t="n">
        <v>0</v>
      </c>
      <c r="K319" t="n">
        <v>0</v>
      </c>
      <c r="L319" t="n">
        <v>0</v>
      </c>
      <c r="M319" t="n">
        <v>0</v>
      </c>
      <c r="N319" t="n">
        <v>0</v>
      </c>
      <c r="O319" t="n">
        <v>0</v>
      </c>
      <c r="P319" t="n">
        <v>0</v>
      </c>
      <c r="Q319" t="n">
        <v>0</v>
      </c>
      <c r="R319" s="2" t="inlineStr"/>
    </row>
    <row r="320" ht="15" customHeight="1">
      <c r="A320" t="inlineStr">
        <is>
          <t>A 59570-2023</t>
        </is>
      </c>
      <c r="B320" s="1" t="n">
        <v>45254</v>
      </c>
      <c r="C320" s="1" t="n">
        <v>45910</v>
      </c>
      <c r="D320" t="inlineStr">
        <is>
          <t>UPPSALA LÄN</t>
        </is>
      </c>
      <c r="E320" t="inlineStr">
        <is>
          <t>UPPSALA</t>
        </is>
      </c>
      <c r="G320" t="n">
        <v>6.7</v>
      </c>
      <c r="H320" t="n">
        <v>0</v>
      </c>
      <c r="I320" t="n">
        <v>0</v>
      </c>
      <c r="J320" t="n">
        <v>0</v>
      </c>
      <c r="K320" t="n">
        <v>0</v>
      </c>
      <c r="L320" t="n">
        <v>0</v>
      </c>
      <c r="M320" t="n">
        <v>0</v>
      </c>
      <c r="N320" t="n">
        <v>0</v>
      </c>
      <c r="O320" t="n">
        <v>0</v>
      </c>
      <c r="P320" t="n">
        <v>0</v>
      </c>
      <c r="Q320" t="n">
        <v>0</v>
      </c>
      <c r="R320" s="2" t="inlineStr"/>
    </row>
    <row r="321" ht="15" customHeight="1">
      <c r="A321" t="inlineStr">
        <is>
          <t>A 10650-2024</t>
        </is>
      </c>
      <c r="B321" s="1" t="n">
        <v>45368.64787037037</v>
      </c>
      <c r="C321" s="1" t="n">
        <v>45910</v>
      </c>
      <c r="D321" t="inlineStr">
        <is>
          <t>UPPSALA LÄN</t>
        </is>
      </c>
      <c r="E321" t="inlineStr">
        <is>
          <t>UPPSALA</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26762-2023</t>
        </is>
      </c>
      <c r="B322" s="1" t="n">
        <v>45093.46706018518</v>
      </c>
      <c r="C322" s="1" t="n">
        <v>45910</v>
      </c>
      <c r="D322" t="inlineStr">
        <is>
          <t>UPPSALA LÄN</t>
        </is>
      </c>
      <c r="E322" t="inlineStr">
        <is>
          <t>UPPSALA</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69432-2021</t>
        </is>
      </c>
      <c r="B323" s="1" t="n">
        <v>44531</v>
      </c>
      <c r="C323" s="1" t="n">
        <v>45910</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37763-2021</t>
        </is>
      </c>
      <c r="B324" s="1" t="n">
        <v>44400.6750925926</v>
      </c>
      <c r="C324" s="1" t="n">
        <v>45910</v>
      </c>
      <c r="D324" t="inlineStr">
        <is>
          <t>UPPSALA LÄN</t>
        </is>
      </c>
      <c r="E324" t="inlineStr">
        <is>
          <t>UPPSALA</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69595-2021</t>
        </is>
      </c>
      <c r="B325" s="1" t="n">
        <v>44532</v>
      </c>
      <c r="C325" s="1" t="n">
        <v>45910</v>
      </c>
      <c r="D325" t="inlineStr">
        <is>
          <t>UPPSALA LÄN</t>
        </is>
      </c>
      <c r="E325" t="inlineStr">
        <is>
          <t>UPPSALA</t>
        </is>
      </c>
      <c r="G325" t="n">
        <v>3.9</v>
      </c>
      <c r="H325" t="n">
        <v>0</v>
      </c>
      <c r="I325" t="n">
        <v>0</v>
      </c>
      <c r="J325" t="n">
        <v>0</v>
      </c>
      <c r="K325" t="n">
        <v>0</v>
      </c>
      <c r="L325" t="n">
        <v>0</v>
      </c>
      <c r="M325" t="n">
        <v>0</v>
      </c>
      <c r="N325" t="n">
        <v>0</v>
      </c>
      <c r="O325" t="n">
        <v>0</v>
      </c>
      <c r="P325" t="n">
        <v>0</v>
      </c>
      <c r="Q325" t="n">
        <v>0</v>
      </c>
      <c r="R325" s="2" t="inlineStr"/>
    </row>
    <row r="326" ht="15" customHeight="1">
      <c r="A326" t="inlineStr">
        <is>
          <t>A 46925-2024</t>
        </is>
      </c>
      <c r="B326" s="1" t="n">
        <v>45584.60038194444</v>
      </c>
      <c r="C326" s="1" t="n">
        <v>45910</v>
      </c>
      <c r="D326" t="inlineStr">
        <is>
          <t>UPPSALA LÄN</t>
        </is>
      </c>
      <c r="E326" t="inlineStr">
        <is>
          <t>UPPSALA</t>
        </is>
      </c>
      <c r="G326" t="n">
        <v>0.7</v>
      </c>
      <c r="H326" t="n">
        <v>0</v>
      </c>
      <c r="I326" t="n">
        <v>0</v>
      </c>
      <c r="J326" t="n">
        <v>0</v>
      </c>
      <c r="K326" t="n">
        <v>0</v>
      </c>
      <c r="L326" t="n">
        <v>0</v>
      </c>
      <c r="M326" t="n">
        <v>0</v>
      </c>
      <c r="N326" t="n">
        <v>0</v>
      </c>
      <c r="O326" t="n">
        <v>0</v>
      </c>
      <c r="P326" t="n">
        <v>0</v>
      </c>
      <c r="Q326" t="n">
        <v>0</v>
      </c>
      <c r="R326" s="2" t="inlineStr"/>
    </row>
    <row r="327" ht="15" customHeight="1">
      <c r="A327" t="inlineStr">
        <is>
          <t>A 7058-2023</t>
        </is>
      </c>
      <c r="B327" s="1" t="n">
        <v>44969</v>
      </c>
      <c r="C327" s="1" t="n">
        <v>45910</v>
      </c>
      <c r="D327" t="inlineStr">
        <is>
          <t>UPPSALA LÄN</t>
        </is>
      </c>
      <c r="E327" t="inlineStr">
        <is>
          <t>UPPSALA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16811-2023</t>
        </is>
      </c>
      <c r="B328" s="1" t="n">
        <v>45033</v>
      </c>
      <c r="C328" s="1" t="n">
        <v>45910</v>
      </c>
      <c r="D328" t="inlineStr">
        <is>
          <t>UPPSALA LÄN</t>
        </is>
      </c>
      <c r="E328" t="inlineStr">
        <is>
          <t>UPPSALA</t>
        </is>
      </c>
      <c r="G328" t="n">
        <v>10.1</v>
      </c>
      <c r="H328" t="n">
        <v>0</v>
      </c>
      <c r="I328" t="n">
        <v>0</v>
      </c>
      <c r="J328" t="n">
        <v>0</v>
      </c>
      <c r="K328" t="n">
        <v>0</v>
      </c>
      <c r="L328" t="n">
        <v>0</v>
      </c>
      <c r="M328" t="n">
        <v>0</v>
      </c>
      <c r="N328" t="n">
        <v>0</v>
      </c>
      <c r="O328" t="n">
        <v>0</v>
      </c>
      <c r="P328" t="n">
        <v>0</v>
      </c>
      <c r="Q328" t="n">
        <v>0</v>
      </c>
      <c r="R328" s="2" t="inlineStr"/>
    </row>
    <row r="329" ht="15" customHeight="1">
      <c r="A329" t="inlineStr">
        <is>
          <t>A 26208-2023</t>
        </is>
      </c>
      <c r="B329" s="1" t="n">
        <v>45091</v>
      </c>
      <c r="C329" s="1" t="n">
        <v>45910</v>
      </c>
      <c r="D329" t="inlineStr">
        <is>
          <t>UPPSALA LÄN</t>
        </is>
      </c>
      <c r="E329" t="inlineStr">
        <is>
          <t>UPPSALA</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11260-2024</t>
        </is>
      </c>
      <c r="B330" s="1" t="n">
        <v>45371.67368055556</v>
      </c>
      <c r="C330" s="1" t="n">
        <v>45910</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62352-2020</t>
        </is>
      </c>
      <c r="B331" s="1" t="n">
        <v>44159</v>
      </c>
      <c r="C331" s="1" t="n">
        <v>45910</v>
      </c>
      <c r="D331" t="inlineStr">
        <is>
          <t>UPPSALA LÄN</t>
        </is>
      </c>
      <c r="E331" t="inlineStr">
        <is>
          <t>UPPSALA</t>
        </is>
      </c>
      <c r="F331" t="inlineStr">
        <is>
          <t>Allmännings- och besparingsskogar</t>
        </is>
      </c>
      <c r="G331" t="n">
        <v>12.9</v>
      </c>
      <c r="H331" t="n">
        <v>0</v>
      </c>
      <c r="I331" t="n">
        <v>0</v>
      </c>
      <c r="J331" t="n">
        <v>0</v>
      </c>
      <c r="K331" t="n">
        <v>0</v>
      </c>
      <c r="L331" t="n">
        <v>0</v>
      </c>
      <c r="M331" t="n">
        <v>0</v>
      </c>
      <c r="N331" t="n">
        <v>0</v>
      </c>
      <c r="O331" t="n">
        <v>0</v>
      </c>
      <c r="P331" t="n">
        <v>0</v>
      </c>
      <c r="Q331" t="n">
        <v>0</v>
      </c>
      <c r="R331" s="2" t="inlineStr"/>
    </row>
    <row r="332" ht="15" customHeight="1">
      <c r="A332" t="inlineStr">
        <is>
          <t>A 3973-2025</t>
        </is>
      </c>
      <c r="B332" s="1" t="n">
        <v>45684</v>
      </c>
      <c r="C332" s="1" t="n">
        <v>45910</v>
      </c>
      <c r="D332" t="inlineStr">
        <is>
          <t>UPPSALA LÄN</t>
        </is>
      </c>
      <c r="E332" t="inlineStr">
        <is>
          <t>UPPSALA</t>
        </is>
      </c>
      <c r="G332" t="n">
        <v>8</v>
      </c>
      <c r="H332" t="n">
        <v>0</v>
      </c>
      <c r="I332" t="n">
        <v>0</v>
      </c>
      <c r="J332" t="n">
        <v>0</v>
      </c>
      <c r="K332" t="n">
        <v>0</v>
      </c>
      <c r="L332" t="n">
        <v>0</v>
      </c>
      <c r="M332" t="n">
        <v>0</v>
      </c>
      <c r="N332" t="n">
        <v>0</v>
      </c>
      <c r="O332" t="n">
        <v>0</v>
      </c>
      <c r="P332" t="n">
        <v>0</v>
      </c>
      <c r="Q332" t="n">
        <v>0</v>
      </c>
      <c r="R332" s="2" t="inlineStr"/>
    </row>
    <row r="333" ht="15" customHeight="1">
      <c r="A333" t="inlineStr">
        <is>
          <t>A 3214-2023</t>
        </is>
      </c>
      <c r="B333" s="1" t="n">
        <v>44944</v>
      </c>
      <c r="C333" s="1" t="n">
        <v>45910</v>
      </c>
      <c r="D333" t="inlineStr">
        <is>
          <t>UPPSALA LÄN</t>
        </is>
      </c>
      <c r="E333" t="inlineStr">
        <is>
          <t>UPPSALA</t>
        </is>
      </c>
      <c r="G333" t="n">
        <v>4.1</v>
      </c>
      <c r="H333" t="n">
        <v>0</v>
      </c>
      <c r="I333" t="n">
        <v>0</v>
      </c>
      <c r="J333" t="n">
        <v>0</v>
      </c>
      <c r="K333" t="n">
        <v>0</v>
      </c>
      <c r="L333" t="n">
        <v>0</v>
      </c>
      <c r="M333" t="n">
        <v>0</v>
      </c>
      <c r="N333" t="n">
        <v>0</v>
      </c>
      <c r="O333" t="n">
        <v>0</v>
      </c>
      <c r="P333" t="n">
        <v>0</v>
      </c>
      <c r="Q333" t="n">
        <v>0</v>
      </c>
      <c r="R333" s="2" t="inlineStr"/>
    </row>
    <row r="334" ht="15" customHeight="1">
      <c r="A334" t="inlineStr">
        <is>
          <t>A 16324-2024</t>
        </is>
      </c>
      <c r="B334" s="1" t="n">
        <v>45407.49721064815</v>
      </c>
      <c r="C334" s="1" t="n">
        <v>45910</v>
      </c>
      <c r="D334" t="inlineStr">
        <is>
          <t>UPPSALA LÄN</t>
        </is>
      </c>
      <c r="E334" t="inlineStr">
        <is>
          <t>UPPSALA</t>
        </is>
      </c>
      <c r="G334" t="n">
        <v>2.3</v>
      </c>
      <c r="H334" t="n">
        <v>0</v>
      </c>
      <c r="I334" t="n">
        <v>0</v>
      </c>
      <c r="J334" t="n">
        <v>0</v>
      </c>
      <c r="K334" t="n">
        <v>0</v>
      </c>
      <c r="L334" t="n">
        <v>0</v>
      </c>
      <c r="M334" t="n">
        <v>0</v>
      </c>
      <c r="N334" t="n">
        <v>0</v>
      </c>
      <c r="O334" t="n">
        <v>0</v>
      </c>
      <c r="P334" t="n">
        <v>0</v>
      </c>
      <c r="Q334" t="n">
        <v>0</v>
      </c>
      <c r="R334" s="2" t="inlineStr"/>
    </row>
    <row r="335" ht="15" customHeight="1">
      <c r="A335" t="inlineStr">
        <is>
          <t>A 42276-2024</t>
        </is>
      </c>
      <c r="B335" s="1" t="n">
        <v>45562</v>
      </c>
      <c r="C335" s="1" t="n">
        <v>45910</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42131-2023</t>
        </is>
      </c>
      <c r="B336" s="1" t="n">
        <v>45177.79766203704</v>
      </c>
      <c r="C336" s="1" t="n">
        <v>45910</v>
      </c>
      <c r="D336" t="inlineStr">
        <is>
          <t>UPPSALA LÄN</t>
        </is>
      </c>
      <c r="E336" t="inlineStr">
        <is>
          <t>UPPSALA</t>
        </is>
      </c>
      <c r="F336" t="inlineStr">
        <is>
          <t>Allmännings- och besparingsskogar</t>
        </is>
      </c>
      <c r="G336" t="n">
        <v>6.3</v>
      </c>
      <c r="H336" t="n">
        <v>0</v>
      </c>
      <c r="I336" t="n">
        <v>0</v>
      </c>
      <c r="J336" t="n">
        <v>0</v>
      </c>
      <c r="K336" t="n">
        <v>0</v>
      </c>
      <c r="L336" t="n">
        <v>0</v>
      </c>
      <c r="M336" t="n">
        <v>0</v>
      </c>
      <c r="N336" t="n">
        <v>0</v>
      </c>
      <c r="O336" t="n">
        <v>0</v>
      </c>
      <c r="P336" t="n">
        <v>0</v>
      </c>
      <c r="Q336" t="n">
        <v>0</v>
      </c>
      <c r="R336" s="2" t="inlineStr"/>
    </row>
    <row r="337" ht="15" customHeight="1">
      <c r="A337" t="inlineStr">
        <is>
          <t>A 38190-2023</t>
        </is>
      </c>
      <c r="B337" s="1" t="n">
        <v>45161</v>
      </c>
      <c r="C337" s="1" t="n">
        <v>45910</v>
      </c>
      <c r="D337" t="inlineStr">
        <is>
          <t>UPPSALA LÄN</t>
        </is>
      </c>
      <c r="E337" t="inlineStr">
        <is>
          <t>UPPSALA</t>
        </is>
      </c>
      <c r="G337" t="n">
        <v>0.4</v>
      </c>
      <c r="H337" t="n">
        <v>0</v>
      </c>
      <c r="I337" t="n">
        <v>0</v>
      </c>
      <c r="J337" t="n">
        <v>0</v>
      </c>
      <c r="K337" t="n">
        <v>0</v>
      </c>
      <c r="L337" t="n">
        <v>0</v>
      </c>
      <c r="M337" t="n">
        <v>0</v>
      </c>
      <c r="N337" t="n">
        <v>0</v>
      </c>
      <c r="O337" t="n">
        <v>0</v>
      </c>
      <c r="P337" t="n">
        <v>0</v>
      </c>
      <c r="Q337" t="n">
        <v>0</v>
      </c>
      <c r="R337" s="2" t="inlineStr"/>
    </row>
    <row r="338" ht="15" customHeight="1">
      <c r="A338" t="inlineStr">
        <is>
          <t>A 53893-2023</t>
        </is>
      </c>
      <c r="B338" s="1" t="n">
        <v>45231</v>
      </c>
      <c r="C338" s="1" t="n">
        <v>45910</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54924-2024</t>
        </is>
      </c>
      <c r="B339" s="1" t="n">
        <v>45618.71140046296</v>
      </c>
      <c r="C339" s="1" t="n">
        <v>45910</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39007-2024</t>
        </is>
      </c>
      <c r="B340" s="1" t="n">
        <v>45548.42854166667</v>
      </c>
      <c r="C340" s="1" t="n">
        <v>45910</v>
      </c>
      <c r="D340" t="inlineStr">
        <is>
          <t>UPPSALA LÄN</t>
        </is>
      </c>
      <c r="E340" t="inlineStr">
        <is>
          <t>UPPSALA</t>
        </is>
      </c>
      <c r="G340" t="n">
        <v>3.1</v>
      </c>
      <c r="H340" t="n">
        <v>0</v>
      </c>
      <c r="I340" t="n">
        <v>0</v>
      </c>
      <c r="J340" t="n">
        <v>0</v>
      </c>
      <c r="K340" t="n">
        <v>0</v>
      </c>
      <c r="L340" t="n">
        <v>0</v>
      </c>
      <c r="M340" t="n">
        <v>0</v>
      </c>
      <c r="N340" t="n">
        <v>0</v>
      </c>
      <c r="O340" t="n">
        <v>0</v>
      </c>
      <c r="P340" t="n">
        <v>0</v>
      </c>
      <c r="Q340" t="n">
        <v>0</v>
      </c>
      <c r="R340" s="2" t="inlineStr"/>
    </row>
    <row r="341" ht="15" customHeight="1">
      <c r="A341" t="inlineStr">
        <is>
          <t>A 40325-2023</t>
        </is>
      </c>
      <c r="B341" s="1" t="n">
        <v>45169</v>
      </c>
      <c r="C341" s="1" t="n">
        <v>45910</v>
      </c>
      <c r="D341" t="inlineStr">
        <is>
          <t>UPPSALA LÄN</t>
        </is>
      </c>
      <c r="E341" t="inlineStr">
        <is>
          <t>UPPSALA</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27543-2022</t>
        </is>
      </c>
      <c r="B342" s="1" t="n">
        <v>44742</v>
      </c>
      <c r="C342" s="1" t="n">
        <v>45910</v>
      </c>
      <c r="D342" t="inlineStr">
        <is>
          <t>UPPSALA LÄN</t>
        </is>
      </c>
      <c r="E342" t="inlineStr">
        <is>
          <t>UPPSALA</t>
        </is>
      </c>
      <c r="F342" t="inlineStr">
        <is>
          <t>Kyrkan</t>
        </is>
      </c>
      <c r="G342" t="n">
        <v>2.6</v>
      </c>
      <c r="H342" t="n">
        <v>0</v>
      </c>
      <c r="I342" t="n">
        <v>0</v>
      </c>
      <c r="J342" t="n">
        <v>0</v>
      </c>
      <c r="K342" t="n">
        <v>0</v>
      </c>
      <c r="L342" t="n">
        <v>0</v>
      </c>
      <c r="M342" t="n">
        <v>0</v>
      </c>
      <c r="N342" t="n">
        <v>0</v>
      </c>
      <c r="O342" t="n">
        <v>0</v>
      </c>
      <c r="P342" t="n">
        <v>0</v>
      </c>
      <c r="Q342" t="n">
        <v>0</v>
      </c>
      <c r="R342" s="2" t="inlineStr"/>
    </row>
    <row r="343" ht="15" customHeight="1">
      <c r="A343" t="inlineStr">
        <is>
          <t>A 56564-2024</t>
        </is>
      </c>
      <c r="B343" s="1" t="n">
        <v>45625.58501157408</v>
      </c>
      <c r="C343" s="1" t="n">
        <v>45910</v>
      </c>
      <c r="D343" t="inlineStr">
        <is>
          <t>UPPSALA LÄN</t>
        </is>
      </c>
      <c r="E343" t="inlineStr">
        <is>
          <t>UPPSALA</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50395-2023</t>
        </is>
      </c>
      <c r="B344" s="1" t="n">
        <v>45216</v>
      </c>
      <c r="C344" s="1" t="n">
        <v>45910</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46743-2024</t>
        </is>
      </c>
      <c r="B345" s="1" t="n">
        <v>45583.47836805556</v>
      </c>
      <c r="C345" s="1" t="n">
        <v>45910</v>
      </c>
      <c r="D345" t="inlineStr">
        <is>
          <t>UPPSALA LÄN</t>
        </is>
      </c>
      <c r="E345" t="inlineStr">
        <is>
          <t>UPPSALA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66690-2021</t>
        </is>
      </c>
      <c r="B346" s="1" t="n">
        <v>44519.64902777778</v>
      </c>
      <c r="C346" s="1" t="n">
        <v>45910</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13602-2025</t>
        </is>
      </c>
      <c r="B347" s="1" t="n">
        <v>45736.60863425926</v>
      </c>
      <c r="C347" s="1" t="n">
        <v>45910</v>
      </c>
      <c r="D347" t="inlineStr">
        <is>
          <t>UPPSALA LÄN</t>
        </is>
      </c>
      <c r="E347" t="inlineStr">
        <is>
          <t>UPPSALA</t>
        </is>
      </c>
      <c r="F347" t="inlineStr">
        <is>
          <t>Allmännings- och besparingsskogar</t>
        </is>
      </c>
      <c r="G347" t="n">
        <v>9.5</v>
      </c>
      <c r="H347" t="n">
        <v>0</v>
      </c>
      <c r="I347" t="n">
        <v>0</v>
      </c>
      <c r="J347" t="n">
        <v>0</v>
      </c>
      <c r="K347" t="n">
        <v>0</v>
      </c>
      <c r="L347" t="n">
        <v>0</v>
      </c>
      <c r="M347" t="n">
        <v>0</v>
      </c>
      <c r="N347" t="n">
        <v>0</v>
      </c>
      <c r="O347" t="n">
        <v>0</v>
      </c>
      <c r="P347" t="n">
        <v>0</v>
      </c>
      <c r="Q347" t="n">
        <v>0</v>
      </c>
      <c r="R347" s="2" t="inlineStr"/>
    </row>
    <row r="348" ht="15" customHeight="1">
      <c r="A348" t="inlineStr">
        <is>
          <t>A 53379-2020</t>
        </is>
      </c>
      <c r="B348" s="1" t="n">
        <v>44123</v>
      </c>
      <c r="C348" s="1" t="n">
        <v>45910</v>
      </c>
      <c r="D348" t="inlineStr">
        <is>
          <t>UPPSALA LÄN</t>
        </is>
      </c>
      <c r="E348" t="inlineStr">
        <is>
          <t>UPPSALA</t>
        </is>
      </c>
      <c r="G348" t="n">
        <v>2.6</v>
      </c>
      <c r="H348" t="n">
        <v>0</v>
      </c>
      <c r="I348" t="n">
        <v>0</v>
      </c>
      <c r="J348" t="n">
        <v>0</v>
      </c>
      <c r="K348" t="n">
        <v>0</v>
      </c>
      <c r="L348" t="n">
        <v>0</v>
      </c>
      <c r="M348" t="n">
        <v>0</v>
      </c>
      <c r="N348" t="n">
        <v>0</v>
      </c>
      <c r="O348" t="n">
        <v>0</v>
      </c>
      <c r="P348" t="n">
        <v>0</v>
      </c>
      <c r="Q348" t="n">
        <v>0</v>
      </c>
      <c r="R348" s="2" t="inlineStr"/>
    </row>
    <row r="349" ht="15" customHeight="1">
      <c r="A349" t="inlineStr">
        <is>
          <t>A 4980-2024</t>
        </is>
      </c>
      <c r="B349" s="1" t="n">
        <v>45329</v>
      </c>
      <c r="C349" s="1" t="n">
        <v>45910</v>
      </c>
      <c r="D349" t="inlineStr">
        <is>
          <t>UPPSALA LÄN</t>
        </is>
      </c>
      <c r="E349" t="inlineStr">
        <is>
          <t>UPPSALA</t>
        </is>
      </c>
      <c r="G349" t="n">
        <v>10.8</v>
      </c>
      <c r="H349" t="n">
        <v>0</v>
      </c>
      <c r="I349" t="n">
        <v>0</v>
      </c>
      <c r="J349" t="n">
        <v>0</v>
      </c>
      <c r="K349" t="n">
        <v>0</v>
      </c>
      <c r="L349" t="n">
        <v>0</v>
      </c>
      <c r="M349" t="n">
        <v>0</v>
      </c>
      <c r="N349" t="n">
        <v>0</v>
      </c>
      <c r="O349" t="n">
        <v>0</v>
      </c>
      <c r="P349" t="n">
        <v>0</v>
      </c>
      <c r="Q349" t="n">
        <v>0</v>
      </c>
      <c r="R349" s="2" t="inlineStr"/>
    </row>
    <row r="350" ht="15" customHeight="1">
      <c r="A350" t="inlineStr">
        <is>
          <t>A 7611-2023</t>
        </is>
      </c>
      <c r="B350" s="1" t="n">
        <v>44967</v>
      </c>
      <c r="C350" s="1" t="n">
        <v>45910</v>
      </c>
      <c r="D350" t="inlineStr">
        <is>
          <t>UPPSALA LÄN</t>
        </is>
      </c>
      <c r="E350" t="inlineStr">
        <is>
          <t>UPPSALA</t>
        </is>
      </c>
      <c r="G350" t="n">
        <v>3.5</v>
      </c>
      <c r="H350" t="n">
        <v>0</v>
      </c>
      <c r="I350" t="n">
        <v>0</v>
      </c>
      <c r="J350" t="n">
        <v>0</v>
      </c>
      <c r="K350" t="n">
        <v>0</v>
      </c>
      <c r="L350" t="n">
        <v>0</v>
      </c>
      <c r="M350" t="n">
        <v>0</v>
      </c>
      <c r="N350" t="n">
        <v>0</v>
      </c>
      <c r="O350" t="n">
        <v>0</v>
      </c>
      <c r="P350" t="n">
        <v>0</v>
      </c>
      <c r="Q350" t="n">
        <v>0</v>
      </c>
      <c r="R350" s="2" t="inlineStr"/>
    </row>
    <row r="351" ht="15" customHeight="1">
      <c r="A351" t="inlineStr">
        <is>
          <t>A 750-2022</t>
        </is>
      </c>
      <c r="B351" s="1" t="n">
        <v>44569.49344907407</v>
      </c>
      <c r="C351" s="1" t="n">
        <v>45910</v>
      </c>
      <c r="D351" t="inlineStr">
        <is>
          <t>UPPSALA LÄN</t>
        </is>
      </c>
      <c r="E351" t="inlineStr">
        <is>
          <t>UPPSALA</t>
        </is>
      </c>
      <c r="F351" t="inlineStr">
        <is>
          <t>Holmen skog AB</t>
        </is>
      </c>
      <c r="G351" t="n">
        <v>6</v>
      </c>
      <c r="H351" t="n">
        <v>0</v>
      </c>
      <c r="I351" t="n">
        <v>0</v>
      </c>
      <c r="J351" t="n">
        <v>0</v>
      </c>
      <c r="K351" t="n">
        <v>0</v>
      </c>
      <c r="L351" t="n">
        <v>0</v>
      </c>
      <c r="M351" t="n">
        <v>0</v>
      </c>
      <c r="N351" t="n">
        <v>0</v>
      </c>
      <c r="O351" t="n">
        <v>0</v>
      </c>
      <c r="P351" t="n">
        <v>0</v>
      </c>
      <c r="Q351" t="n">
        <v>0</v>
      </c>
      <c r="R351" s="2" t="inlineStr"/>
    </row>
    <row r="352" ht="15" customHeight="1">
      <c r="A352" t="inlineStr">
        <is>
          <t>A 4412-2024</t>
        </is>
      </c>
      <c r="B352" s="1" t="n">
        <v>45327</v>
      </c>
      <c r="C352" s="1" t="n">
        <v>45910</v>
      </c>
      <c r="D352" t="inlineStr">
        <is>
          <t>UPPSALA LÄN</t>
        </is>
      </c>
      <c r="E352" t="inlineStr">
        <is>
          <t>UPPSALA</t>
        </is>
      </c>
      <c r="G352" t="n">
        <v>5.4</v>
      </c>
      <c r="H352" t="n">
        <v>0</v>
      </c>
      <c r="I352" t="n">
        <v>0</v>
      </c>
      <c r="J352" t="n">
        <v>0</v>
      </c>
      <c r="K352" t="n">
        <v>0</v>
      </c>
      <c r="L352" t="n">
        <v>0</v>
      </c>
      <c r="M352" t="n">
        <v>0</v>
      </c>
      <c r="N352" t="n">
        <v>0</v>
      </c>
      <c r="O352" t="n">
        <v>0</v>
      </c>
      <c r="P352" t="n">
        <v>0</v>
      </c>
      <c r="Q352" t="n">
        <v>0</v>
      </c>
      <c r="R352" s="2" t="inlineStr"/>
    </row>
    <row r="353" ht="15" customHeight="1">
      <c r="A353" t="inlineStr">
        <is>
          <t>A 46751-2024</t>
        </is>
      </c>
      <c r="B353" s="1" t="n">
        <v>45583.48449074074</v>
      </c>
      <c r="C353" s="1" t="n">
        <v>45910</v>
      </c>
      <c r="D353" t="inlineStr">
        <is>
          <t>UPPSALA LÄN</t>
        </is>
      </c>
      <c r="E353" t="inlineStr">
        <is>
          <t>UPPSALA</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9313-2023</t>
        </is>
      </c>
      <c r="B354" s="1" t="n">
        <v>44980</v>
      </c>
      <c r="C354" s="1" t="n">
        <v>45910</v>
      </c>
      <c r="D354" t="inlineStr">
        <is>
          <t>UPPSALA LÄN</t>
        </is>
      </c>
      <c r="E354" t="inlineStr">
        <is>
          <t>UPPSALA</t>
        </is>
      </c>
      <c r="G354" t="n">
        <v>2.6</v>
      </c>
      <c r="H354" t="n">
        <v>0</v>
      </c>
      <c r="I354" t="n">
        <v>0</v>
      </c>
      <c r="J354" t="n">
        <v>0</v>
      </c>
      <c r="K354" t="n">
        <v>0</v>
      </c>
      <c r="L354" t="n">
        <v>0</v>
      </c>
      <c r="M354" t="n">
        <v>0</v>
      </c>
      <c r="N354" t="n">
        <v>0</v>
      </c>
      <c r="O354" t="n">
        <v>0</v>
      </c>
      <c r="P354" t="n">
        <v>0</v>
      </c>
      <c r="Q354" t="n">
        <v>0</v>
      </c>
      <c r="R354" s="2" t="inlineStr"/>
    </row>
    <row r="355" ht="15" customHeight="1">
      <c r="A355" t="inlineStr">
        <is>
          <t>A 39818-2024</t>
        </is>
      </c>
      <c r="B355" s="1" t="n">
        <v>45552</v>
      </c>
      <c r="C355" s="1" t="n">
        <v>45910</v>
      </c>
      <c r="D355" t="inlineStr">
        <is>
          <t>UPPSALA LÄN</t>
        </is>
      </c>
      <c r="E355" t="inlineStr">
        <is>
          <t>UPPSALA</t>
        </is>
      </c>
      <c r="G355" t="n">
        <v>1.9</v>
      </c>
      <c r="H355" t="n">
        <v>0</v>
      </c>
      <c r="I355" t="n">
        <v>0</v>
      </c>
      <c r="J355" t="n">
        <v>0</v>
      </c>
      <c r="K355" t="n">
        <v>0</v>
      </c>
      <c r="L355" t="n">
        <v>0</v>
      </c>
      <c r="M355" t="n">
        <v>0</v>
      </c>
      <c r="N355" t="n">
        <v>0</v>
      </c>
      <c r="O355" t="n">
        <v>0</v>
      </c>
      <c r="P355" t="n">
        <v>0</v>
      </c>
      <c r="Q355" t="n">
        <v>0</v>
      </c>
      <c r="R355" s="2" t="inlineStr"/>
    </row>
    <row r="356" ht="15" customHeight="1">
      <c r="A356" t="inlineStr">
        <is>
          <t>A 22930-2025</t>
        </is>
      </c>
      <c r="B356" s="1" t="n">
        <v>45790.44972222222</v>
      </c>
      <c r="C356" s="1" t="n">
        <v>45910</v>
      </c>
      <c r="D356" t="inlineStr">
        <is>
          <t>UPPSALA LÄN</t>
        </is>
      </c>
      <c r="E356" t="inlineStr">
        <is>
          <t>UPPSALA</t>
        </is>
      </c>
      <c r="G356" t="n">
        <v>7.7</v>
      </c>
      <c r="H356" t="n">
        <v>0</v>
      </c>
      <c r="I356" t="n">
        <v>0</v>
      </c>
      <c r="J356" t="n">
        <v>0</v>
      </c>
      <c r="K356" t="n">
        <v>0</v>
      </c>
      <c r="L356" t="n">
        <v>0</v>
      </c>
      <c r="M356" t="n">
        <v>0</v>
      </c>
      <c r="N356" t="n">
        <v>0</v>
      </c>
      <c r="O356" t="n">
        <v>0</v>
      </c>
      <c r="P356" t="n">
        <v>0</v>
      </c>
      <c r="Q356" t="n">
        <v>0</v>
      </c>
      <c r="R356" s="2" t="inlineStr"/>
    </row>
    <row r="357" ht="15" customHeight="1">
      <c r="A357" t="inlineStr">
        <is>
          <t>A 18607-2024</t>
        </is>
      </c>
      <c r="B357" s="1" t="n">
        <v>45425.94947916667</v>
      </c>
      <c r="C357" s="1" t="n">
        <v>45910</v>
      </c>
      <c r="D357" t="inlineStr">
        <is>
          <t>UPPSALA LÄN</t>
        </is>
      </c>
      <c r="E357" t="inlineStr">
        <is>
          <t>UPPSALA</t>
        </is>
      </c>
      <c r="G357" t="n">
        <v>4.3</v>
      </c>
      <c r="H357" t="n">
        <v>0</v>
      </c>
      <c r="I357" t="n">
        <v>0</v>
      </c>
      <c r="J357" t="n">
        <v>0</v>
      </c>
      <c r="K357" t="n">
        <v>0</v>
      </c>
      <c r="L357" t="n">
        <v>0</v>
      </c>
      <c r="M357" t="n">
        <v>0</v>
      </c>
      <c r="N357" t="n">
        <v>0</v>
      </c>
      <c r="O357" t="n">
        <v>0</v>
      </c>
      <c r="P357" t="n">
        <v>0</v>
      </c>
      <c r="Q357" t="n">
        <v>0</v>
      </c>
      <c r="R357" s="2" t="inlineStr"/>
    </row>
    <row r="358" ht="15" customHeight="1">
      <c r="A358" t="inlineStr">
        <is>
          <t>A 733-2022</t>
        </is>
      </c>
      <c r="B358" s="1" t="n">
        <v>44568.67040509259</v>
      </c>
      <c r="C358" s="1" t="n">
        <v>45910</v>
      </c>
      <c r="D358" t="inlineStr">
        <is>
          <t>UPPSALA LÄN</t>
        </is>
      </c>
      <c r="E358" t="inlineStr">
        <is>
          <t>UPPSALA</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11339-2025</t>
        </is>
      </c>
      <c r="B359" s="1" t="n">
        <v>45726</v>
      </c>
      <c r="C359" s="1" t="n">
        <v>45910</v>
      </c>
      <c r="D359" t="inlineStr">
        <is>
          <t>UPPSALA LÄN</t>
        </is>
      </c>
      <c r="E359" t="inlineStr">
        <is>
          <t>UPPSALA</t>
        </is>
      </c>
      <c r="G359" t="n">
        <v>13.4</v>
      </c>
      <c r="H359" t="n">
        <v>0</v>
      </c>
      <c r="I359" t="n">
        <v>0</v>
      </c>
      <c r="J359" t="n">
        <v>0</v>
      </c>
      <c r="K359" t="n">
        <v>0</v>
      </c>
      <c r="L359" t="n">
        <v>0</v>
      </c>
      <c r="M359" t="n">
        <v>0</v>
      </c>
      <c r="N359" t="n">
        <v>0</v>
      </c>
      <c r="O359" t="n">
        <v>0</v>
      </c>
      <c r="P359" t="n">
        <v>0</v>
      </c>
      <c r="Q359" t="n">
        <v>0</v>
      </c>
      <c r="R359" s="2" t="inlineStr"/>
    </row>
    <row r="360" ht="15" customHeight="1">
      <c r="A360" t="inlineStr">
        <is>
          <t>A 20087-2023</t>
        </is>
      </c>
      <c r="B360" s="1" t="n">
        <v>45054.9271875</v>
      </c>
      <c r="C360" s="1" t="n">
        <v>45910</v>
      </c>
      <c r="D360" t="inlineStr">
        <is>
          <t>UPPSALA LÄN</t>
        </is>
      </c>
      <c r="E360" t="inlineStr">
        <is>
          <t>UPPSALA</t>
        </is>
      </c>
      <c r="G360" t="n">
        <v>1</v>
      </c>
      <c r="H360" t="n">
        <v>0</v>
      </c>
      <c r="I360" t="n">
        <v>0</v>
      </c>
      <c r="J360" t="n">
        <v>0</v>
      </c>
      <c r="K360" t="n">
        <v>0</v>
      </c>
      <c r="L360" t="n">
        <v>0</v>
      </c>
      <c r="M360" t="n">
        <v>0</v>
      </c>
      <c r="N360" t="n">
        <v>0</v>
      </c>
      <c r="O360" t="n">
        <v>0</v>
      </c>
      <c r="P360" t="n">
        <v>0</v>
      </c>
      <c r="Q360" t="n">
        <v>0</v>
      </c>
      <c r="R360" s="2" t="inlineStr"/>
    </row>
    <row r="361" ht="15" customHeight="1">
      <c r="A361" t="inlineStr">
        <is>
          <t>A 22953-2025</t>
        </is>
      </c>
      <c r="B361" s="1" t="n">
        <v>45790.51186342593</v>
      </c>
      <c r="C361" s="1" t="n">
        <v>45910</v>
      </c>
      <c r="D361" t="inlineStr">
        <is>
          <t>UPPSALA LÄN</t>
        </is>
      </c>
      <c r="E361" t="inlineStr">
        <is>
          <t>UPPSALA</t>
        </is>
      </c>
      <c r="G361" t="n">
        <v>1.1</v>
      </c>
      <c r="H361" t="n">
        <v>0</v>
      </c>
      <c r="I361" t="n">
        <v>0</v>
      </c>
      <c r="J361" t="n">
        <v>0</v>
      </c>
      <c r="K361" t="n">
        <v>0</v>
      </c>
      <c r="L361" t="n">
        <v>0</v>
      </c>
      <c r="M361" t="n">
        <v>0</v>
      </c>
      <c r="N361" t="n">
        <v>0</v>
      </c>
      <c r="O361" t="n">
        <v>0</v>
      </c>
      <c r="P361" t="n">
        <v>0</v>
      </c>
      <c r="Q361" t="n">
        <v>0</v>
      </c>
      <c r="R361" s="2" t="inlineStr"/>
    </row>
    <row r="362" ht="15" customHeight="1">
      <c r="A362" t="inlineStr">
        <is>
          <t>A 56872-2023</t>
        </is>
      </c>
      <c r="B362" s="1" t="n">
        <v>45244.52202546296</v>
      </c>
      <c r="C362" s="1" t="n">
        <v>45910</v>
      </c>
      <c r="D362" t="inlineStr">
        <is>
          <t>UPPSALA LÄN</t>
        </is>
      </c>
      <c r="E362" t="inlineStr">
        <is>
          <t>UPPSALA</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22951-2025</t>
        </is>
      </c>
      <c r="B363" s="1" t="n">
        <v>45790.51040509259</v>
      </c>
      <c r="C363" s="1" t="n">
        <v>45910</v>
      </c>
      <c r="D363" t="inlineStr">
        <is>
          <t>UPPSALA LÄN</t>
        </is>
      </c>
      <c r="E363" t="inlineStr">
        <is>
          <t>UPPSALA</t>
        </is>
      </c>
      <c r="G363" t="n">
        <v>0.9</v>
      </c>
      <c r="H363" t="n">
        <v>0</v>
      </c>
      <c r="I363" t="n">
        <v>0</v>
      </c>
      <c r="J363" t="n">
        <v>0</v>
      </c>
      <c r="K363" t="n">
        <v>0</v>
      </c>
      <c r="L363" t="n">
        <v>0</v>
      </c>
      <c r="M363" t="n">
        <v>0</v>
      </c>
      <c r="N363" t="n">
        <v>0</v>
      </c>
      <c r="O363" t="n">
        <v>0</v>
      </c>
      <c r="P363" t="n">
        <v>0</v>
      </c>
      <c r="Q363" t="n">
        <v>0</v>
      </c>
      <c r="R363" s="2" t="inlineStr"/>
    </row>
    <row r="364" ht="15" customHeight="1">
      <c r="A364" t="inlineStr">
        <is>
          <t>A 48588-2022</t>
        </is>
      </c>
      <c r="B364" s="1" t="n">
        <v>44859.36896990741</v>
      </c>
      <c r="C364" s="1" t="n">
        <v>45910</v>
      </c>
      <c r="D364" t="inlineStr">
        <is>
          <t>UPPSALA LÄN</t>
        </is>
      </c>
      <c r="E364" t="inlineStr">
        <is>
          <t>UPPSALA</t>
        </is>
      </c>
      <c r="G364" t="n">
        <v>2</v>
      </c>
      <c r="H364" t="n">
        <v>0</v>
      </c>
      <c r="I364" t="n">
        <v>0</v>
      </c>
      <c r="J364" t="n">
        <v>0</v>
      </c>
      <c r="K364" t="n">
        <v>0</v>
      </c>
      <c r="L364" t="n">
        <v>0</v>
      </c>
      <c r="M364" t="n">
        <v>0</v>
      </c>
      <c r="N364" t="n">
        <v>0</v>
      </c>
      <c r="O364" t="n">
        <v>0</v>
      </c>
      <c r="P364" t="n">
        <v>0</v>
      </c>
      <c r="Q364" t="n">
        <v>0</v>
      </c>
      <c r="R364" s="2" t="inlineStr"/>
    </row>
    <row r="365" ht="15" customHeight="1">
      <c r="A365" t="inlineStr">
        <is>
          <t>A 46633-2020</t>
        </is>
      </c>
      <c r="B365" s="1" t="n">
        <v>44095</v>
      </c>
      <c r="C365" s="1" t="n">
        <v>45910</v>
      </c>
      <c r="D365" t="inlineStr">
        <is>
          <t>UPPSALA LÄN</t>
        </is>
      </c>
      <c r="E365" t="inlineStr">
        <is>
          <t>UPPSALA</t>
        </is>
      </c>
      <c r="G365" t="n">
        <v>4.2</v>
      </c>
      <c r="H365" t="n">
        <v>0</v>
      </c>
      <c r="I365" t="n">
        <v>0</v>
      </c>
      <c r="J365" t="n">
        <v>0</v>
      </c>
      <c r="K365" t="n">
        <v>0</v>
      </c>
      <c r="L365" t="n">
        <v>0</v>
      </c>
      <c r="M365" t="n">
        <v>0</v>
      </c>
      <c r="N365" t="n">
        <v>0</v>
      </c>
      <c r="O365" t="n">
        <v>0</v>
      </c>
      <c r="P365" t="n">
        <v>0</v>
      </c>
      <c r="Q365" t="n">
        <v>0</v>
      </c>
      <c r="R365" s="2" t="inlineStr"/>
    </row>
    <row r="366" ht="15" customHeight="1">
      <c r="A366" t="inlineStr">
        <is>
          <t>A 5204-2025</t>
        </is>
      </c>
      <c r="B366" s="1" t="n">
        <v>45691</v>
      </c>
      <c r="C366" s="1" t="n">
        <v>45910</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53384-2024</t>
        </is>
      </c>
      <c r="B367" s="1" t="n">
        <v>45614</v>
      </c>
      <c r="C367" s="1" t="n">
        <v>45910</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6971-2025</t>
        </is>
      </c>
      <c r="B368" s="1" t="n">
        <v>45693</v>
      </c>
      <c r="C368" s="1" t="n">
        <v>45910</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43032-2022</t>
        </is>
      </c>
      <c r="B369" s="1" t="n">
        <v>44832</v>
      </c>
      <c r="C369" s="1" t="n">
        <v>45910</v>
      </c>
      <c r="D369" t="inlineStr">
        <is>
          <t>UPPSALA LÄN</t>
        </is>
      </c>
      <c r="E369" t="inlineStr">
        <is>
          <t>UPPSALA</t>
        </is>
      </c>
      <c r="G369" t="n">
        <v>1.5</v>
      </c>
      <c r="H369" t="n">
        <v>0</v>
      </c>
      <c r="I369" t="n">
        <v>0</v>
      </c>
      <c r="J369" t="n">
        <v>0</v>
      </c>
      <c r="K369" t="n">
        <v>0</v>
      </c>
      <c r="L369" t="n">
        <v>0</v>
      </c>
      <c r="M369" t="n">
        <v>0</v>
      </c>
      <c r="N369" t="n">
        <v>0</v>
      </c>
      <c r="O369" t="n">
        <v>0</v>
      </c>
      <c r="P369" t="n">
        <v>0</v>
      </c>
      <c r="Q369" t="n">
        <v>0</v>
      </c>
      <c r="R369" s="2" t="inlineStr"/>
    </row>
    <row r="370" ht="15" customHeight="1">
      <c r="A370" t="inlineStr">
        <is>
          <t>A 5669-2023</t>
        </is>
      </c>
      <c r="B370" s="1" t="n">
        <v>44960.65061342593</v>
      </c>
      <c r="C370" s="1" t="n">
        <v>45910</v>
      </c>
      <c r="D370" t="inlineStr">
        <is>
          <t>UPPSALA LÄN</t>
        </is>
      </c>
      <c r="E370" t="inlineStr">
        <is>
          <t>UPPSALA</t>
        </is>
      </c>
      <c r="G370" t="n">
        <v>1.4</v>
      </c>
      <c r="H370" t="n">
        <v>0</v>
      </c>
      <c r="I370" t="n">
        <v>0</v>
      </c>
      <c r="J370" t="n">
        <v>0</v>
      </c>
      <c r="K370" t="n">
        <v>0</v>
      </c>
      <c r="L370" t="n">
        <v>0</v>
      </c>
      <c r="M370" t="n">
        <v>0</v>
      </c>
      <c r="N370" t="n">
        <v>0</v>
      </c>
      <c r="O370" t="n">
        <v>0</v>
      </c>
      <c r="P370" t="n">
        <v>0</v>
      </c>
      <c r="Q370" t="n">
        <v>0</v>
      </c>
      <c r="R370" s="2" t="inlineStr"/>
    </row>
    <row r="371" ht="15" customHeight="1">
      <c r="A371" t="inlineStr">
        <is>
          <t>A 5678-2023</t>
        </is>
      </c>
      <c r="B371" s="1" t="n">
        <v>44960</v>
      </c>
      <c r="C371" s="1" t="n">
        <v>45910</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46796-2024</t>
        </is>
      </c>
      <c r="B372" s="1" t="n">
        <v>45583</v>
      </c>
      <c r="C372" s="1" t="n">
        <v>45910</v>
      </c>
      <c r="D372" t="inlineStr">
        <is>
          <t>UPPSALA LÄN</t>
        </is>
      </c>
      <c r="E372" t="inlineStr">
        <is>
          <t>UPPSALA</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341-2024</t>
        </is>
      </c>
      <c r="B373" s="1" t="n">
        <v>45295</v>
      </c>
      <c r="C373" s="1" t="n">
        <v>45910</v>
      </c>
      <c r="D373" t="inlineStr">
        <is>
          <t>UPPSALA LÄN</t>
        </is>
      </c>
      <c r="E373" t="inlineStr">
        <is>
          <t>UPPSALA</t>
        </is>
      </c>
      <c r="F373" t="inlineStr">
        <is>
          <t>Allmännings- och besparingsskogar</t>
        </is>
      </c>
      <c r="G373" t="n">
        <v>1.8</v>
      </c>
      <c r="H373" t="n">
        <v>0</v>
      </c>
      <c r="I373" t="n">
        <v>0</v>
      </c>
      <c r="J373" t="n">
        <v>0</v>
      </c>
      <c r="K373" t="n">
        <v>0</v>
      </c>
      <c r="L373" t="n">
        <v>0</v>
      </c>
      <c r="M373" t="n">
        <v>0</v>
      </c>
      <c r="N373" t="n">
        <v>0</v>
      </c>
      <c r="O373" t="n">
        <v>0</v>
      </c>
      <c r="P373" t="n">
        <v>0</v>
      </c>
      <c r="Q373" t="n">
        <v>0</v>
      </c>
      <c r="R373" s="2" t="inlineStr"/>
    </row>
    <row r="374" ht="15" customHeight="1">
      <c r="A374" t="inlineStr">
        <is>
          <t>A 50669-2024</t>
        </is>
      </c>
      <c r="B374" s="1" t="n">
        <v>45601</v>
      </c>
      <c r="C374" s="1" t="n">
        <v>45910</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10827-2024</t>
        </is>
      </c>
      <c r="B375" s="1" t="n">
        <v>45369</v>
      </c>
      <c r="C375" s="1" t="n">
        <v>45910</v>
      </c>
      <c r="D375" t="inlineStr">
        <is>
          <t>UPPSALA LÄN</t>
        </is>
      </c>
      <c r="E375" t="inlineStr">
        <is>
          <t>UPPSALA</t>
        </is>
      </c>
      <c r="G375" t="n">
        <v>2</v>
      </c>
      <c r="H375" t="n">
        <v>0</v>
      </c>
      <c r="I375" t="n">
        <v>0</v>
      </c>
      <c r="J375" t="n">
        <v>0</v>
      </c>
      <c r="K375" t="n">
        <v>0</v>
      </c>
      <c r="L375" t="n">
        <v>0</v>
      </c>
      <c r="M375" t="n">
        <v>0</v>
      </c>
      <c r="N375" t="n">
        <v>0</v>
      </c>
      <c r="O375" t="n">
        <v>0</v>
      </c>
      <c r="P375" t="n">
        <v>0</v>
      </c>
      <c r="Q375" t="n">
        <v>0</v>
      </c>
      <c r="R375" s="2" t="inlineStr"/>
    </row>
    <row r="376" ht="15" customHeight="1">
      <c r="A376" t="inlineStr">
        <is>
          <t>A 12830-2025</t>
        </is>
      </c>
      <c r="B376" s="1" t="n">
        <v>45733.63099537037</v>
      </c>
      <c r="C376" s="1" t="n">
        <v>45910</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9914-2024</t>
        </is>
      </c>
      <c r="B377" s="1" t="n">
        <v>45363.54878472222</v>
      </c>
      <c r="C377" s="1" t="n">
        <v>45910</v>
      </c>
      <c r="D377" t="inlineStr">
        <is>
          <t>UPPSALA LÄN</t>
        </is>
      </c>
      <c r="E377" t="inlineStr">
        <is>
          <t>UPPSALA</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34509-2023</t>
        </is>
      </c>
      <c r="B378" s="1" t="n">
        <v>45133</v>
      </c>
      <c r="C378" s="1" t="n">
        <v>45910</v>
      </c>
      <c r="D378" t="inlineStr">
        <is>
          <t>UPPSALA LÄN</t>
        </is>
      </c>
      <c r="E378" t="inlineStr">
        <is>
          <t>UPPSALA</t>
        </is>
      </c>
      <c r="G378" t="n">
        <v>2.6</v>
      </c>
      <c r="H378" t="n">
        <v>0</v>
      </c>
      <c r="I378" t="n">
        <v>0</v>
      </c>
      <c r="J378" t="n">
        <v>0</v>
      </c>
      <c r="K378" t="n">
        <v>0</v>
      </c>
      <c r="L378" t="n">
        <v>0</v>
      </c>
      <c r="M378" t="n">
        <v>0</v>
      </c>
      <c r="N378" t="n">
        <v>0</v>
      </c>
      <c r="O378" t="n">
        <v>0</v>
      </c>
      <c r="P378" t="n">
        <v>0</v>
      </c>
      <c r="Q378" t="n">
        <v>0</v>
      </c>
      <c r="R378" s="2" t="inlineStr"/>
    </row>
    <row r="379" ht="15" customHeight="1">
      <c r="A379" t="inlineStr">
        <is>
          <t>A 33939-2024</t>
        </is>
      </c>
      <c r="B379" s="1" t="n">
        <v>45523</v>
      </c>
      <c r="C379" s="1" t="n">
        <v>45910</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13343-2022</t>
        </is>
      </c>
      <c r="B380" s="1" t="n">
        <v>44645.39157407408</v>
      </c>
      <c r="C380" s="1" t="n">
        <v>45910</v>
      </c>
      <c r="D380" t="inlineStr">
        <is>
          <t>UPPSALA LÄN</t>
        </is>
      </c>
      <c r="E380" t="inlineStr">
        <is>
          <t>UPPSALA</t>
        </is>
      </c>
      <c r="F380" t="inlineStr">
        <is>
          <t>Övriga Aktiebolag</t>
        </is>
      </c>
      <c r="G380" t="n">
        <v>1.9</v>
      </c>
      <c r="H380" t="n">
        <v>0</v>
      </c>
      <c r="I380" t="n">
        <v>0</v>
      </c>
      <c r="J380" t="n">
        <v>0</v>
      </c>
      <c r="K380" t="n">
        <v>0</v>
      </c>
      <c r="L380" t="n">
        <v>0</v>
      </c>
      <c r="M380" t="n">
        <v>0</v>
      </c>
      <c r="N380" t="n">
        <v>0</v>
      </c>
      <c r="O380" t="n">
        <v>0</v>
      </c>
      <c r="P380" t="n">
        <v>0</v>
      </c>
      <c r="Q380" t="n">
        <v>0</v>
      </c>
      <c r="R380" s="2" t="inlineStr"/>
    </row>
    <row r="381" ht="15" customHeight="1">
      <c r="A381" t="inlineStr">
        <is>
          <t>A 11173-2024</t>
        </is>
      </c>
      <c r="B381" s="1" t="n">
        <v>45371.50738425926</v>
      </c>
      <c r="C381" s="1" t="n">
        <v>45910</v>
      </c>
      <c r="D381" t="inlineStr">
        <is>
          <t>UPPSALA LÄN</t>
        </is>
      </c>
      <c r="E381" t="inlineStr">
        <is>
          <t>UPPSALA</t>
        </is>
      </c>
      <c r="F381" t="inlineStr">
        <is>
          <t>Bergvik skog öst AB</t>
        </is>
      </c>
      <c r="G381" t="n">
        <v>0.9</v>
      </c>
      <c r="H381" t="n">
        <v>0</v>
      </c>
      <c r="I381" t="n">
        <v>0</v>
      </c>
      <c r="J381" t="n">
        <v>0</v>
      </c>
      <c r="K381" t="n">
        <v>0</v>
      </c>
      <c r="L381" t="n">
        <v>0</v>
      </c>
      <c r="M381" t="n">
        <v>0</v>
      </c>
      <c r="N381" t="n">
        <v>0</v>
      </c>
      <c r="O381" t="n">
        <v>0</v>
      </c>
      <c r="P381" t="n">
        <v>0</v>
      </c>
      <c r="Q381" t="n">
        <v>0</v>
      </c>
      <c r="R381" s="2" t="inlineStr"/>
    </row>
    <row r="382" ht="15" customHeight="1">
      <c r="A382" t="inlineStr">
        <is>
          <t>A 37588-2022</t>
        </is>
      </c>
      <c r="B382" s="1" t="n">
        <v>44809.92752314815</v>
      </c>
      <c r="C382" s="1" t="n">
        <v>45910</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59549-2024</t>
        </is>
      </c>
      <c r="B383" s="1" t="n">
        <v>45638</v>
      </c>
      <c r="C383" s="1" t="n">
        <v>45910</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30319-2024</t>
        </is>
      </c>
      <c r="B384" s="1" t="n">
        <v>45490</v>
      </c>
      <c r="C384" s="1" t="n">
        <v>45910</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9242-2022</t>
        </is>
      </c>
      <c r="B385" s="1" t="n">
        <v>44616</v>
      </c>
      <c r="C385" s="1" t="n">
        <v>45910</v>
      </c>
      <c r="D385" t="inlineStr">
        <is>
          <t>UPPSALA LÄN</t>
        </is>
      </c>
      <c r="E385" t="inlineStr">
        <is>
          <t>UPPSALA</t>
        </is>
      </c>
      <c r="F385" t="inlineStr">
        <is>
          <t>Övriga Aktiebolag</t>
        </is>
      </c>
      <c r="G385" t="n">
        <v>5.9</v>
      </c>
      <c r="H385" t="n">
        <v>0</v>
      </c>
      <c r="I385" t="n">
        <v>0</v>
      </c>
      <c r="J385" t="n">
        <v>0</v>
      </c>
      <c r="K385" t="n">
        <v>0</v>
      </c>
      <c r="L385" t="n">
        <v>0</v>
      </c>
      <c r="M385" t="n">
        <v>0</v>
      </c>
      <c r="N385" t="n">
        <v>0</v>
      </c>
      <c r="O385" t="n">
        <v>0</v>
      </c>
      <c r="P385" t="n">
        <v>0</v>
      </c>
      <c r="Q385" t="n">
        <v>0</v>
      </c>
      <c r="R385" s="2" t="inlineStr"/>
    </row>
    <row r="386" ht="15" customHeight="1">
      <c r="A386" t="inlineStr">
        <is>
          <t>A 14907-2025</t>
        </is>
      </c>
      <c r="B386" s="1" t="n">
        <v>45743.50744212963</v>
      </c>
      <c r="C386" s="1" t="n">
        <v>45910</v>
      </c>
      <c r="D386" t="inlineStr">
        <is>
          <t>UPPSALA LÄN</t>
        </is>
      </c>
      <c r="E386" t="inlineStr">
        <is>
          <t>UPPSALA</t>
        </is>
      </c>
      <c r="G386" t="n">
        <v>7</v>
      </c>
      <c r="H386" t="n">
        <v>0</v>
      </c>
      <c r="I386" t="n">
        <v>0</v>
      </c>
      <c r="J386" t="n">
        <v>0</v>
      </c>
      <c r="K386" t="n">
        <v>0</v>
      </c>
      <c r="L386" t="n">
        <v>0</v>
      </c>
      <c r="M386" t="n">
        <v>0</v>
      </c>
      <c r="N386" t="n">
        <v>0</v>
      </c>
      <c r="O386" t="n">
        <v>0</v>
      </c>
      <c r="P386" t="n">
        <v>0</v>
      </c>
      <c r="Q386" t="n">
        <v>0</v>
      </c>
      <c r="R386" s="2" t="inlineStr"/>
    </row>
    <row r="387" ht="15" customHeight="1">
      <c r="A387" t="inlineStr">
        <is>
          <t>A 45885-2023</t>
        </is>
      </c>
      <c r="B387" s="1" t="n">
        <v>45195.64807870371</v>
      </c>
      <c r="C387" s="1" t="n">
        <v>45910</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56084-2024</t>
        </is>
      </c>
      <c r="B388" s="1" t="n">
        <v>45624</v>
      </c>
      <c r="C388" s="1" t="n">
        <v>45910</v>
      </c>
      <c r="D388" t="inlineStr">
        <is>
          <t>UPPSALA LÄN</t>
        </is>
      </c>
      <c r="E388" t="inlineStr">
        <is>
          <t>UPPSALA</t>
        </is>
      </c>
      <c r="G388" t="n">
        <v>3.8</v>
      </c>
      <c r="H388" t="n">
        <v>0</v>
      </c>
      <c r="I388" t="n">
        <v>0</v>
      </c>
      <c r="J388" t="n">
        <v>0</v>
      </c>
      <c r="K388" t="n">
        <v>0</v>
      </c>
      <c r="L388" t="n">
        <v>0</v>
      </c>
      <c r="M388" t="n">
        <v>0</v>
      </c>
      <c r="N388" t="n">
        <v>0</v>
      </c>
      <c r="O388" t="n">
        <v>0</v>
      </c>
      <c r="P388" t="n">
        <v>0</v>
      </c>
      <c r="Q388" t="n">
        <v>0</v>
      </c>
      <c r="R388" s="2" t="inlineStr"/>
    </row>
    <row r="389" ht="15" customHeight="1">
      <c r="A389" t="inlineStr">
        <is>
          <t>A 18443-2023</t>
        </is>
      </c>
      <c r="B389" s="1" t="n">
        <v>45042</v>
      </c>
      <c r="C389" s="1" t="n">
        <v>45910</v>
      </c>
      <c r="D389" t="inlineStr">
        <is>
          <t>UPPSALA LÄN</t>
        </is>
      </c>
      <c r="E389" t="inlineStr">
        <is>
          <t>UPPSALA</t>
        </is>
      </c>
      <c r="G389" t="n">
        <v>0.4</v>
      </c>
      <c r="H389" t="n">
        <v>0</v>
      </c>
      <c r="I389" t="n">
        <v>0</v>
      </c>
      <c r="J389" t="n">
        <v>0</v>
      </c>
      <c r="K389" t="n">
        <v>0</v>
      </c>
      <c r="L389" t="n">
        <v>0</v>
      </c>
      <c r="M389" t="n">
        <v>0</v>
      </c>
      <c r="N389" t="n">
        <v>0</v>
      </c>
      <c r="O389" t="n">
        <v>0</v>
      </c>
      <c r="P389" t="n">
        <v>0</v>
      </c>
      <c r="Q389" t="n">
        <v>0</v>
      </c>
      <c r="R389" s="2" t="inlineStr"/>
    </row>
    <row r="390" ht="15" customHeight="1">
      <c r="A390" t="inlineStr">
        <is>
          <t>A 781-2024</t>
        </is>
      </c>
      <c r="B390" s="1" t="n">
        <v>45300.55028935185</v>
      </c>
      <c r="C390" s="1" t="n">
        <v>45910</v>
      </c>
      <c r="D390" t="inlineStr">
        <is>
          <t>UPPSALA LÄN</t>
        </is>
      </c>
      <c r="E390" t="inlineStr">
        <is>
          <t>UPPSALA</t>
        </is>
      </c>
      <c r="G390" t="n">
        <v>6.3</v>
      </c>
      <c r="H390" t="n">
        <v>0</v>
      </c>
      <c r="I390" t="n">
        <v>0</v>
      </c>
      <c r="J390" t="n">
        <v>0</v>
      </c>
      <c r="K390" t="n">
        <v>0</v>
      </c>
      <c r="L390" t="n">
        <v>0</v>
      </c>
      <c r="M390" t="n">
        <v>0</v>
      </c>
      <c r="N390" t="n">
        <v>0</v>
      </c>
      <c r="O390" t="n">
        <v>0</v>
      </c>
      <c r="P390" t="n">
        <v>0</v>
      </c>
      <c r="Q390" t="n">
        <v>0</v>
      </c>
      <c r="R390" s="2" t="inlineStr"/>
    </row>
    <row r="391" ht="15" customHeight="1">
      <c r="A391" t="inlineStr">
        <is>
          <t>A 19017-2023</t>
        </is>
      </c>
      <c r="B391" s="1" t="n">
        <v>45047.31793981481</v>
      </c>
      <c r="C391" s="1" t="n">
        <v>45910</v>
      </c>
      <c r="D391" t="inlineStr">
        <is>
          <t>UPPSALA LÄN</t>
        </is>
      </c>
      <c r="E391" t="inlineStr">
        <is>
          <t>UPPSALA</t>
        </is>
      </c>
      <c r="G391" t="n">
        <v>0.6</v>
      </c>
      <c r="H391" t="n">
        <v>0</v>
      </c>
      <c r="I391" t="n">
        <v>0</v>
      </c>
      <c r="J391" t="n">
        <v>0</v>
      </c>
      <c r="K391" t="n">
        <v>0</v>
      </c>
      <c r="L391" t="n">
        <v>0</v>
      </c>
      <c r="M391" t="n">
        <v>0</v>
      </c>
      <c r="N391" t="n">
        <v>0</v>
      </c>
      <c r="O391" t="n">
        <v>0</v>
      </c>
      <c r="P391" t="n">
        <v>0</v>
      </c>
      <c r="Q391" t="n">
        <v>0</v>
      </c>
      <c r="R391" s="2" t="inlineStr"/>
    </row>
    <row r="392" ht="15" customHeight="1">
      <c r="A392" t="inlineStr">
        <is>
          <t>A 10674-2022</t>
        </is>
      </c>
      <c r="B392" s="1" t="n">
        <v>44624.64538194444</v>
      </c>
      <c r="C392" s="1" t="n">
        <v>45910</v>
      </c>
      <c r="D392" t="inlineStr">
        <is>
          <t>UPPSALA LÄN</t>
        </is>
      </c>
      <c r="E392" t="inlineStr">
        <is>
          <t>UPPSALA</t>
        </is>
      </c>
      <c r="F392" t="inlineStr">
        <is>
          <t>Bergvik skog öst AB</t>
        </is>
      </c>
      <c r="G392" t="n">
        <v>0.5</v>
      </c>
      <c r="H392" t="n">
        <v>0</v>
      </c>
      <c r="I392" t="n">
        <v>0</v>
      </c>
      <c r="J392" t="n">
        <v>0</v>
      </c>
      <c r="K392" t="n">
        <v>0</v>
      </c>
      <c r="L392" t="n">
        <v>0</v>
      </c>
      <c r="M392" t="n">
        <v>0</v>
      </c>
      <c r="N392" t="n">
        <v>0</v>
      </c>
      <c r="O392" t="n">
        <v>0</v>
      </c>
      <c r="P392" t="n">
        <v>0</v>
      </c>
      <c r="Q392" t="n">
        <v>0</v>
      </c>
      <c r="R392" s="2" t="inlineStr"/>
    </row>
    <row r="393" ht="15" customHeight="1">
      <c r="A393" t="inlineStr">
        <is>
          <t>A 9592-2022</t>
        </is>
      </c>
      <c r="B393" s="1" t="n">
        <v>44617.48311342593</v>
      </c>
      <c r="C393" s="1" t="n">
        <v>45910</v>
      </c>
      <c r="D393" t="inlineStr">
        <is>
          <t>UPPSALA LÄN</t>
        </is>
      </c>
      <c r="E393" t="inlineStr">
        <is>
          <t>UPPSALA</t>
        </is>
      </c>
      <c r="G393" t="n">
        <v>7.5</v>
      </c>
      <c r="H393" t="n">
        <v>0</v>
      </c>
      <c r="I393" t="n">
        <v>0</v>
      </c>
      <c r="J393" t="n">
        <v>0</v>
      </c>
      <c r="K393" t="n">
        <v>0</v>
      </c>
      <c r="L393" t="n">
        <v>0</v>
      </c>
      <c r="M393" t="n">
        <v>0</v>
      </c>
      <c r="N393" t="n">
        <v>0</v>
      </c>
      <c r="O393" t="n">
        <v>0</v>
      </c>
      <c r="P393" t="n">
        <v>0</v>
      </c>
      <c r="Q393" t="n">
        <v>0</v>
      </c>
      <c r="R393" s="2" t="inlineStr"/>
    </row>
    <row r="394" ht="15" customHeight="1">
      <c r="A394" t="inlineStr">
        <is>
          <t>A 20903-2024</t>
        </is>
      </c>
      <c r="B394" s="1" t="n">
        <v>45439</v>
      </c>
      <c r="C394" s="1" t="n">
        <v>45910</v>
      </c>
      <c r="D394" t="inlineStr">
        <is>
          <t>UPPSALA LÄN</t>
        </is>
      </c>
      <c r="E394" t="inlineStr">
        <is>
          <t>UPPSALA</t>
        </is>
      </c>
      <c r="F394" t="inlineStr">
        <is>
          <t>Holmen skog AB</t>
        </is>
      </c>
      <c r="G394" t="n">
        <v>2.7</v>
      </c>
      <c r="H394" t="n">
        <v>0</v>
      </c>
      <c r="I394" t="n">
        <v>0</v>
      </c>
      <c r="J394" t="n">
        <v>0</v>
      </c>
      <c r="K394" t="n">
        <v>0</v>
      </c>
      <c r="L394" t="n">
        <v>0</v>
      </c>
      <c r="M394" t="n">
        <v>0</v>
      </c>
      <c r="N394" t="n">
        <v>0</v>
      </c>
      <c r="O394" t="n">
        <v>0</v>
      </c>
      <c r="P394" t="n">
        <v>0</v>
      </c>
      <c r="Q394" t="n">
        <v>0</v>
      </c>
      <c r="R394" s="2" t="inlineStr"/>
    </row>
    <row r="395" ht="15" customHeight="1">
      <c r="A395" t="inlineStr">
        <is>
          <t>A 5876-2024</t>
        </is>
      </c>
      <c r="B395" s="1" t="n">
        <v>45335.66331018518</v>
      </c>
      <c r="C395" s="1" t="n">
        <v>45910</v>
      </c>
      <c r="D395" t="inlineStr">
        <is>
          <t>UPPSALA LÄN</t>
        </is>
      </c>
      <c r="E395" t="inlineStr">
        <is>
          <t>UPPSALA</t>
        </is>
      </c>
      <c r="F395" t="inlineStr">
        <is>
          <t>Kyrkan</t>
        </is>
      </c>
      <c r="G395" t="n">
        <v>1.7</v>
      </c>
      <c r="H395" t="n">
        <v>0</v>
      </c>
      <c r="I395" t="n">
        <v>0</v>
      </c>
      <c r="J395" t="n">
        <v>0</v>
      </c>
      <c r="K395" t="n">
        <v>0</v>
      </c>
      <c r="L395" t="n">
        <v>0</v>
      </c>
      <c r="M395" t="n">
        <v>0</v>
      </c>
      <c r="N395" t="n">
        <v>0</v>
      </c>
      <c r="O395" t="n">
        <v>0</v>
      </c>
      <c r="P395" t="n">
        <v>0</v>
      </c>
      <c r="Q395" t="n">
        <v>0</v>
      </c>
      <c r="R395" s="2" t="inlineStr"/>
    </row>
    <row r="396" ht="15" customHeight="1">
      <c r="A396" t="inlineStr">
        <is>
          <t>A 29901-2023</t>
        </is>
      </c>
      <c r="B396" s="1" t="n">
        <v>45107</v>
      </c>
      <c r="C396" s="1" t="n">
        <v>45910</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29926-2023</t>
        </is>
      </c>
      <c r="B397" s="1" t="n">
        <v>45107</v>
      </c>
      <c r="C397" s="1" t="n">
        <v>45910</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59098-2024</t>
        </is>
      </c>
      <c r="B398" s="1" t="n">
        <v>45636</v>
      </c>
      <c r="C398" s="1" t="n">
        <v>45910</v>
      </c>
      <c r="D398" t="inlineStr">
        <is>
          <t>UPPSALA LÄN</t>
        </is>
      </c>
      <c r="E398" t="inlineStr">
        <is>
          <t>UPPSALA</t>
        </is>
      </c>
      <c r="G398" t="n">
        <v>2.2</v>
      </c>
      <c r="H398" t="n">
        <v>0</v>
      </c>
      <c r="I398" t="n">
        <v>0</v>
      </c>
      <c r="J398" t="n">
        <v>0</v>
      </c>
      <c r="K398" t="n">
        <v>0</v>
      </c>
      <c r="L398" t="n">
        <v>0</v>
      </c>
      <c r="M398" t="n">
        <v>0</v>
      </c>
      <c r="N398" t="n">
        <v>0</v>
      </c>
      <c r="O398" t="n">
        <v>0</v>
      </c>
      <c r="P398" t="n">
        <v>0</v>
      </c>
      <c r="Q398" t="n">
        <v>0</v>
      </c>
      <c r="R398" s="2" t="inlineStr"/>
    </row>
    <row r="399" ht="15" customHeight="1">
      <c r="A399" t="inlineStr">
        <is>
          <t>A 24268-2025</t>
        </is>
      </c>
      <c r="B399" s="1" t="n">
        <v>45797.42777777778</v>
      </c>
      <c r="C399" s="1" t="n">
        <v>45910</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14026-2021</t>
        </is>
      </c>
      <c r="B400" s="1" t="n">
        <v>44277.65650462963</v>
      </c>
      <c r="C400" s="1" t="n">
        <v>45910</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4509-2024</t>
        </is>
      </c>
      <c r="B401" s="1" t="n">
        <v>45327</v>
      </c>
      <c r="C401" s="1" t="n">
        <v>45910</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24284-2025</t>
        </is>
      </c>
      <c r="B402" s="1" t="n">
        <v>45797.45900462963</v>
      </c>
      <c r="C402" s="1" t="n">
        <v>45910</v>
      </c>
      <c r="D402" t="inlineStr">
        <is>
          <t>UPPSALA LÄN</t>
        </is>
      </c>
      <c r="E402" t="inlineStr">
        <is>
          <t>UPPSALA</t>
        </is>
      </c>
      <c r="F402" t="inlineStr">
        <is>
          <t>Holmen skog AB</t>
        </is>
      </c>
      <c r="G402" t="n">
        <v>12.7</v>
      </c>
      <c r="H402" t="n">
        <v>0</v>
      </c>
      <c r="I402" t="n">
        <v>0</v>
      </c>
      <c r="J402" t="n">
        <v>0</v>
      </c>
      <c r="K402" t="n">
        <v>0</v>
      </c>
      <c r="L402" t="n">
        <v>0</v>
      </c>
      <c r="M402" t="n">
        <v>0</v>
      </c>
      <c r="N402" t="n">
        <v>0</v>
      </c>
      <c r="O402" t="n">
        <v>0</v>
      </c>
      <c r="P402" t="n">
        <v>0</v>
      </c>
      <c r="Q402" t="n">
        <v>0</v>
      </c>
      <c r="R402" s="2" t="inlineStr"/>
    </row>
    <row r="403" ht="15" customHeight="1">
      <c r="A403" t="inlineStr">
        <is>
          <t>A 19513-2023</t>
        </is>
      </c>
      <c r="B403" s="1" t="n">
        <v>45050.49392361111</v>
      </c>
      <c r="C403" s="1" t="n">
        <v>45910</v>
      </c>
      <c r="D403" t="inlineStr">
        <is>
          <t>UPPSALA LÄN</t>
        </is>
      </c>
      <c r="E403" t="inlineStr">
        <is>
          <t>UPPSALA</t>
        </is>
      </c>
      <c r="G403" t="n">
        <v>6.6</v>
      </c>
      <c r="H403" t="n">
        <v>0</v>
      </c>
      <c r="I403" t="n">
        <v>0</v>
      </c>
      <c r="J403" t="n">
        <v>0</v>
      </c>
      <c r="K403" t="n">
        <v>0</v>
      </c>
      <c r="L403" t="n">
        <v>0</v>
      </c>
      <c r="M403" t="n">
        <v>0</v>
      </c>
      <c r="N403" t="n">
        <v>0</v>
      </c>
      <c r="O403" t="n">
        <v>0</v>
      </c>
      <c r="P403" t="n">
        <v>0</v>
      </c>
      <c r="Q403" t="n">
        <v>0</v>
      </c>
      <c r="R403" s="2" t="inlineStr"/>
    </row>
    <row r="404" ht="15" customHeight="1">
      <c r="A404" t="inlineStr">
        <is>
          <t>A 34520-2024</t>
        </is>
      </c>
      <c r="B404" s="1" t="n">
        <v>45525</v>
      </c>
      <c r="C404" s="1" t="n">
        <v>45910</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19539-2024</t>
        </is>
      </c>
      <c r="B405" s="1" t="n">
        <v>45429</v>
      </c>
      <c r="C405" s="1" t="n">
        <v>45910</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17788-2023</t>
        </is>
      </c>
      <c r="B406" s="1" t="n">
        <v>45037</v>
      </c>
      <c r="C406" s="1" t="n">
        <v>45910</v>
      </c>
      <c r="D406" t="inlineStr">
        <is>
          <t>UPPSALA LÄN</t>
        </is>
      </c>
      <c r="E406" t="inlineStr">
        <is>
          <t>UPPSALA</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24912-2025</t>
        </is>
      </c>
      <c r="B407" s="1" t="n">
        <v>45799.53803240741</v>
      </c>
      <c r="C407" s="1" t="n">
        <v>45910</v>
      </c>
      <c r="D407" t="inlineStr">
        <is>
          <t>UPPSALA LÄN</t>
        </is>
      </c>
      <c r="E407" t="inlineStr">
        <is>
          <t>UPPSALA</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3353-2023</t>
        </is>
      </c>
      <c r="B408" s="1" t="n">
        <v>44949.4708912037</v>
      </c>
      <c r="C408" s="1" t="n">
        <v>45910</v>
      </c>
      <c r="D408" t="inlineStr">
        <is>
          <t>UPPSALA LÄN</t>
        </is>
      </c>
      <c r="E408" t="inlineStr">
        <is>
          <t>UPPSALA</t>
        </is>
      </c>
      <c r="G408" t="n">
        <v>3</v>
      </c>
      <c r="H408" t="n">
        <v>0</v>
      </c>
      <c r="I408" t="n">
        <v>0</v>
      </c>
      <c r="J408" t="n">
        <v>0</v>
      </c>
      <c r="K408" t="n">
        <v>0</v>
      </c>
      <c r="L408" t="n">
        <v>0</v>
      </c>
      <c r="M408" t="n">
        <v>0</v>
      </c>
      <c r="N408" t="n">
        <v>0</v>
      </c>
      <c r="O408" t="n">
        <v>0</v>
      </c>
      <c r="P408" t="n">
        <v>0</v>
      </c>
      <c r="Q408" t="n">
        <v>0</v>
      </c>
      <c r="R408" s="2" t="inlineStr"/>
    </row>
    <row r="409" ht="15" customHeight="1">
      <c r="A409" t="inlineStr">
        <is>
          <t>A 24909-2025</t>
        </is>
      </c>
      <c r="B409" s="1" t="n">
        <v>45799.53348379629</v>
      </c>
      <c r="C409" s="1" t="n">
        <v>45910</v>
      </c>
      <c r="D409" t="inlineStr">
        <is>
          <t>UPPSALA LÄN</t>
        </is>
      </c>
      <c r="E409" t="inlineStr">
        <is>
          <t>UPPSALA</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787-2024</t>
        </is>
      </c>
      <c r="B410" s="1" t="n">
        <v>45300</v>
      </c>
      <c r="C410" s="1" t="n">
        <v>45910</v>
      </c>
      <c r="D410" t="inlineStr">
        <is>
          <t>UPPSALA LÄN</t>
        </is>
      </c>
      <c r="E410" t="inlineStr">
        <is>
          <t>UPPSALA</t>
        </is>
      </c>
      <c r="G410" t="n">
        <v>3</v>
      </c>
      <c r="H410" t="n">
        <v>0</v>
      </c>
      <c r="I410" t="n">
        <v>0</v>
      </c>
      <c r="J410" t="n">
        <v>0</v>
      </c>
      <c r="K410" t="n">
        <v>0</v>
      </c>
      <c r="L410" t="n">
        <v>0</v>
      </c>
      <c r="M410" t="n">
        <v>0</v>
      </c>
      <c r="N410" t="n">
        <v>0</v>
      </c>
      <c r="O410" t="n">
        <v>0</v>
      </c>
      <c r="P410" t="n">
        <v>0</v>
      </c>
      <c r="Q410" t="n">
        <v>0</v>
      </c>
      <c r="R410" s="2" t="inlineStr"/>
    </row>
    <row r="411" ht="15" customHeight="1">
      <c r="A411" t="inlineStr">
        <is>
          <t>A 25056-2025</t>
        </is>
      </c>
      <c r="B411" s="1" t="n">
        <v>45799.68190972223</v>
      </c>
      <c r="C411" s="1" t="n">
        <v>45910</v>
      </c>
      <c r="D411" t="inlineStr">
        <is>
          <t>UPPSALA LÄN</t>
        </is>
      </c>
      <c r="E411" t="inlineStr">
        <is>
          <t>UPPSALA</t>
        </is>
      </c>
      <c r="F411" t="inlineStr">
        <is>
          <t>Bergvik skog öst AB</t>
        </is>
      </c>
      <c r="G411" t="n">
        <v>20.9</v>
      </c>
      <c r="H411" t="n">
        <v>0</v>
      </c>
      <c r="I411" t="n">
        <v>0</v>
      </c>
      <c r="J411" t="n">
        <v>0</v>
      </c>
      <c r="K411" t="n">
        <v>0</v>
      </c>
      <c r="L411" t="n">
        <v>0</v>
      </c>
      <c r="M411" t="n">
        <v>0</v>
      </c>
      <c r="N411" t="n">
        <v>0</v>
      </c>
      <c r="O411" t="n">
        <v>0</v>
      </c>
      <c r="P411" t="n">
        <v>0</v>
      </c>
      <c r="Q411" t="n">
        <v>0</v>
      </c>
      <c r="R411" s="2" t="inlineStr"/>
    </row>
    <row r="412" ht="15" customHeight="1">
      <c r="A412" t="inlineStr">
        <is>
          <t>A 70031-2021</t>
        </is>
      </c>
      <c r="B412" s="1" t="n">
        <v>44533.46665509259</v>
      </c>
      <c r="C412" s="1" t="n">
        <v>45910</v>
      </c>
      <c r="D412" t="inlineStr">
        <is>
          <t>UPPSALA LÄN</t>
        </is>
      </c>
      <c r="E412" t="inlineStr">
        <is>
          <t>UPPSALA</t>
        </is>
      </c>
      <c r="G412" t="n">
        <v>1.4</v>
      </c>
      <c r="H412" t="n">
        <v>0</v>
      </c>
      <c r="I412" t="n">
        <v>0</v>
      </c>
      <c r="J412" t="n">
        <v>0</v>
      </c>
      <c r="K412" t="n">
        <v>0</v>
      </c>
      <c r="L412" t="n">
        <v>0</v>
      </c>
      <c r="M412" t="n">
        <v>0</v>
      </c>
      <c r="N412" t="n">
        <v>0</v>
      </c>
      <c r="O412" t="n">
        <v>0</v>
      </c>
      <c r="P412" t="n">
        <v>0</v>
      </c>
      <c r="Q412" t="n">
        <v>0</v>
      </c>
      <c r="R412" s="2" t="inlineStr"/>
    </row>
    <row r="413" ht="15" customHeight="1">
      <c r="A413" t="inlineStr">
        <is>
          <t>A 25055-2025</t>
        </is>
      </c>
      <c r="B413" s="1" t="n">
        <v>45799.67806712963</v>
      </c>
      <c r="C413" s="1" t="n">
        <v>45910</v>
      </c>
      <c r="D413" t="inlineStr">
        <is>
          <t>UPPSALA LÄN</t>
        </is>
      </c>
      <c r="E413" t="inlineStr">
        <is>
          <t>UPPSALA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24521-2025</t>
        </is>
      </c>
      <c r="B414" s="1" t="n">
        <v>45798.41734953703</v>
      </c>
      <c r="C414" s="1" t="n">
        <v>45910</v>
      </c>
      <c r="D414" t="inlineStr">
        <is>
          <t>UPPSALA LÄN</t>
        </is>
      </c>
      <c r="E414" t="inlineStr">
        <is>
          <t>UPPSALA</t>
        </is>
      </c>
      <c r="G414" t="n">
        <v>2</v>
      </c>
      <c r="H414" t="n">
        <v>0</v>
      </c>
      <c r="I414" t="n">
        <v>0</v>
      </c>
      <c r="J414" t="n">
        <v>0</v>
      </c>
      <c r="K414" t="n">
        <v>0</v>
      </c>
      <c r="L414" t="n">
        <v>0</v>
      </c>
      <c r="M414" t="n">
        <v>0</v>
      </c>
      <c r="N414" t="n">
        <v>0</v>
      </c>
      <c r="O414" t="n">
        <v>0</v>
      </c>
      <c r="P414" t="n">
        <v>0</v>
      </c>
      <c r="Q414" t="n">
        <v>0</v>
      </c>
      <c r="R414" s="2" t="inlineStr"/>
    </row>
    <row r="415" ht="15" customHeight="1">
      <c r="A415" t="inlineStr">
        <is>
          <t>A 24961-2025</t>
        </is>
      </c>
      <c r="B415" s="1" t="n">
        <v>45799.57714120371</v>
      </c>
      <c r="C415" s="1" t="n">
        <v>45910</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265-2021</t>
        </is>
      </c>
      <c r="B416" s="1" t="n">
        <v>44200</v>
      </c>
      <c r="C416" s="1" t="n">
        <v>45910</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38493-2023</t>
        </is>
      </c>
      <c r="B417" s="1" t="n">
        <v>45162</v>
      </c>
      <c r="C417" s="1" t="n">
        <v>45910</v>
      </c>
      <c r="D417" t="inlineStr">
        <is>
          <t>UPPSALA LÄN</t>
        </is>
      </c>
      <c r="E417" t="inlineStr">
        <is>
          <t>UPPSALA</t>
        </is>
      </c>
      <c r="F417" t="inlineStr">
        <is>
          <t>Allmännings- och besparingsskogar</t>
        </is>
      </c>
      <c r="G417" t="n">
        <v>3.5</v>
      </c>
      <c r="H417" t="n">
        <v>0</v>
      </c>
      <c r="I417" t="n">
        <v>0</v>
      </c>
      <c r="J417" t="n">
        <v>0</v>
      </c>
      <c r="K417" t="n">
        <v>0</v>
      </c>
      <c r="L417" t="n">
        <v>0</v>
      </c>
      <c r="M417" t="n">
        <v>0</v>
      </c>
      <c r="N417" t="n">
        <v>0</v>
      </c>
      <c r="O417" t="n">
        <v>0</v>
      </c>
      <c r="P417" t="n">
        <v>0</v>
      </c>
      <c r="Q417" t="n">
        <v>0</v>
      </c>
      <c r="R417" s="2" t="inlineStr"/>
    </row>
    <row r="418" ht="15" customHeight="1">
      <c r="A418" t="inlineStr">
        <is>
          <t>A 12828-2025</t>
        </is>
      </c>
      <c r="B418" s="1" t="n">
        <v>45733.62903935185</v>
      </c>
      <c r="C418" s="1" t="n">
        <v>45910</v>
      </c>
      <c r="D418" t="inlineStr">
        <is>
          <t>UPPSALA LÄN</t>
        </is>
      </c>
      <c r="E418" t="inlineStr">
        <is>
          <t>UPPSALA</t>
        </is>
      </c>
      <c r="G418" t="n">
        <v>5.3</v>
      </c>
      <c r="H418" t="n">
        <v>0</v>
      </c>
      <c r="I418" t="n">
        <v>0</v>
      </c>
      <c r="J418" t="n">
        <v>0</v>
      </c>
      <c r="K418" t="n">
        <v>0</v>
      </c>
      <c r="L418" t="n">
        <v>0</v>
      </c>
      <c r="M418" t="n">
        <v>0</v>
      </c>
      <c r="N418" t="n">
        <v>0</v>
      </c>
      <c r="O418" t="n">
        <v>0</v>
      </c>
      <c r="P418" t="n">
        <v>0</v>
      </c>
      <c r="Q418" t="n">
        <v>0</v>
      </c>
      <c r="R418" s="2" t="inlineStr"/>
    </row>
    <row r="419" ht="15" customHeight="1">
      <c r="A419" t="inlineStr">
        <is>
          <t>A 36782-2023</t>
        </is>
      </c>
      <c r="B419" s="1" t="n">
        <v>45154.35092592592</v>
      </c>
      <c r="C419" s="1" t="n">
        <v>45910</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25026-2025</t>
        </is>
      </c>
      <c r="B420" s="1" t="n">
        <v>45799.65021990741</v>
      </c>
      <c r="C420" s="1" t="n">
        <v>45910</v>
      </c>
      <c r="D420" t="inlineStr">
        <is>
          <t>UPPSALA LÄN</t>
        </is>
      </c>
      <c r="E420" t="inlineStr">
        <is>
          <t>UPPSALA</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25030-2025</t>
        </is>
      </c>
      <c r="B421" s="1" t="n">
        <v>45799.6527199074</v>
      </c>
      <c r="C421" s="1" t="n">
        <v>45910</v>
      </c>
      <c r="D421" t="inlineStr">
        <is>
          <t>UPPSALA LÄN</t>
        </is>
      </c>
      <c r="E421" t="inlineStr">
        <is>
          <t>UPPSALA</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6970-2025</t>
        </is>
      </c>
      <c r="B422" s="1" t="n">
        <v>45693</v>
      </c>
      <c r="C422" s="1" t="n">
        <v>45910</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13742-2025</t>
        </is>
      </c>
      <c r="B423" s="1" t="n">
        <v>45737.40503472222</v>
      </c>
      <c r="C423" s="1" t="n">
        <v>45910</v>
      </c>
      <c r="D423" t="inlineStr">
        <is>
          <t>UPPSALA LÄN</t>
        </is>
      </c>
      <c r="E423" t="inlineStr">
        <is>
          <t>UPPSALA</t>
        </is>
      </c>
      <c r="G423" t="n">
        <v>5.1</v>
      </c>
      <c r="H423" t="n">
        <v>0</v>
      </c>
      <c r="I423" t="n">
        <v>0</v>
      </c>
      <c r="J423" t="n">
        <v>0</v>
      </c>
      <c r="K423" t="n">
        <v>0</v>
      </c>
      <c r="L423" t="n">
        <v>0</v>
      </c>
      <c r="M423" t="n">
        <v>0</v>
      </c>
      <c r="N423" t="n">
        <v>0</v>
      </c>
      <c r="O423" t="n">
        <v>0</v>
      </c>
      <c r="P423" t="n">
        <v>0</v>
      </c>
      <c r="Q423" t="n">
        <v>0</v>
      </c>
      <c r="R423" s="2" t="inlineStr"/>
    </row>
    <row r="424" ht="15" customHeight="1">
      <c r="A424" t="inlineStr">
        <is>
          <t>A 36123-2023</t>
        </is>
      </c>
      <c r="B424" s="1" t="n">
        <v>45149.56928240741</v>
      </c>
      <c r="C424" s="1" t="n">
        <v>45910</v>
      </c>
      <c r="D424" t="inlineStr">
        <is>
          <t>UPPSALA LÄN</t>
        </is>
      </c>
      <c r="E424" t="inlineStr">
        <is>
          <t>UPPSALA</t>
        </is>
      </c>
      <c r="F424" t="inlineStr">
        <is>
          <t>Allmännings- och besparingsskogar</t>
        </is>
      </c>
      <c r="G424" t="n">
        <v>4.2</v>
      </c>
      <c r="H424" t="n">
        <v>0</v>
      </c>
      <c r="I424" t="n">
        <v>0</v>
      </c>
      <c r="J424" t="n">
        <v>0</v>
      </c>
      <c r="K424" t="n">
        <v>0</v>
      </c>
      <c r="L424" t="n">
        <v>0</v>
      </c>
      <c r="M424" t="n">
        <v>0</v>
      </c>
      <c r="N424" t="n">
        <v>0</v>
      </c>
      <c r="O424" t="n">
        <v>0</v>
      </c>
      <c r="P424" t="n">
        <v>0</v>
      </c>
      <c r="Q424" t="n">
        <v>0</v>
      </c>
      <c r="R424" s="2" t="inlineStr"/>
    </row>
    <row r="425" ht="15" customHeight="1">
      <c r="A425" t="inlineStr">
        <is>
          <t>A 24913-2025</t>
        </is>
      </c>
      <c r="B425" s="1" t="n">
        <v>45799.53947916667</v>
      </c>
      <c r="C425" s="1" t="n">
        <v>45910</v>
      </c>
      <c r="D425" t="inlineStr">
        <is>
          <t>UPPSALA LÄN</t>
        </is>
      </c>
      <c r="E425" t="inlineStr">
        <is>
          <t>UPPSALA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24915-2025</t>
        </is>
      </c>
      <c r="B426" s="1" t="n">
        <v>45799.54104166666</v>
      </c>
      <c r="C426" s="1" t="n">
        <v>45910</v>
      </c>
      <c r="D426" t="inlineStr">
        <is>
          <t>UPPSALA LÄN</t>
        </is>
      </c>
      <c r="E426" t="inlineStr">
        <is>
          <t>UPPSALA</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5068-2025</t>
        </is>
      </c>
      <c r="B427" s="1" t="n">
        <v>45691</v>
      </c>
      <c r="C427" s="1" t="n">
        <v>45910</v>
      </c>
      <c r="D427" t="inlineStr">
        <is>
          <t>UPPSALA LÄN</t>
        </is>
      </c>
      <c r="E427" t="inlineStr">
        <is>
          <t>UPPSALA</t>
        </is>
      </c>
      <c r="G427" t="n">
        <v>5.9</v>
      </c>
      <c r="H427" t="n">
        <v>0</v>
      </c>
      <c r="I427" t="n">
        <v>0</v>
      </c>
      <c r="J427" t="n">
        <v>0</v>
      </c>
      <c r="K427" t="n">
        <v>0</v>
      </c>
      <c r="L427" t="n">
        <v>0</v>
      </c>
      <c r="M427" t="n">
        <v>0</v>
      </c>
      <c r="N427" t="n">
        <v>0</v>
      </c>
      <c r="O427" t="n">
        <v>0</v>
      </c>
      <c r="P427" t="n">
        <v>0</v>
      </c>
      <c r="Q427" t="n">
        <v>0</v>
      </c>
      <c r="R427" s="2" t="inlineStr"/>
    </row>
    <row r="428" ht="15" customHeight="1">
      <c r="A428" t="inlineStr">
        <is>
          <t>A 37162-2021</t>
        </is>
      </c>
      <c r="B428" s="1" t="n">
        <v>44395</v>
      </c>
      <c r="C428" s="1" t="n">
        <v>45910</v>
      </c>
      <c r="D428" t="inlineStr">
        <is>
          <t>UPPSALA LÄN</t>
        </is>
      </c>
      <c r="E428" t="inlineStr">
        <is>
          <t>UPPSALA</t>
        </is>
      </c>
      <c r="G428" t="n">
        <v>3.5</v>
      </c>
      <c r="H428" t="n">
        <v>0</v>
      </c>
      <c r="I428" t="n">
        <v>0</v>
      </c>
      <c r="J428" t="n">
        <v>0</v>
      </c>
      <c r="K428" t="n">
        <v>0</v>
      </c>
      <c r="L428" t="n">
        <v>0</v>
      </c>
      <c r="M428" t="n">
        <v>0</v>
      </c>
      <c r="N428" t="n">
        <v>0</v>
      </c>
      <c r="O428" t="n">
        <v>0</v>
      </c>
      <c r="P428" t="n">
        <v>0</v>
      </c>
      <c r="Q428" t="n">
        <v>0</v>
      </c>
      <c r="R428" s="2" t="inlineStr"/>
    </row>
    <row r="429" ht="15" customHeight="1">
      <c r="A429" t="inlineStr">
        <is>
          <t>A 6988-2025</t>
        </is>
      </c>
      <c r="B429" s="1" t="n">
        <v>45693</v>
      </c>
      <c r="C429" s="1" t="n">
        <v>45910</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24794-2025</t>
        </is>
      </c>
      <c r="B430" s="1" t="n">
        <v>45799.43496527777</v>
      </c>
      <c r="C430" s="1" t="n">
        <v>45910</v>
      </c>
      <c r="D430" t="inlineStr">
        <is>
          <t>UPPSALA LÄN</t>
        </is>
      </c>
      <c r="E430" t="inlineStr">
        <is>
          <t>UPPSALA</t>
        </is>
      </c>
      <c r="F430" t="inlineStr">
        <is>
          <t>BillerudKorsnäs AB</t>
        </is>
      </c>
      <c r="G430" t="n">
        <v>1.4</v>
      </c>
      <c r="H430" t="n">
        <v>0</v>
      </c>
      <c r="I430" t="n">
        <v>0</v>
      </c>
      <c r="J430" t="n">
        <v>0</v>
      </c>
      <c r="K430" t="n">
        <v>0</v>
      </c>
      <c r="L430" t="n">
        <v>0</v>
      </c>
      <c r="M430" t="n">
        <v>0</v>
      </c>
      <c r="N430" t="n">
        <v>0</v>
      </c>
      <c r="O430" t="n">
        <v>0</v>
      </c>
      <c r="P430" t="n">
        <v>0</v>
      </c>
      <c r="Q430" t="n">
        <v>0</v>
      </c>
      <c r="R430" s="2" t="inlineStr"/>
    </row>
    <row r="431" ht="15" customHeight="1">
      <c r="A431" t="inlineStr">
        <is>
          <t>A 24916-2025</t>
        </is>
      </c>
      <c r="B431" s="1" t="n">
        <v>45799.5421875</v>
      </c>
      <c r="C431" s="1" t="n">
        <v>45910</v>
      </c>
      <c r="D431" t="inlineStr">
        <is>
          <t>UPPSALA LÄN</t>
        </is>
      </c>
      <c r="E431" t="inlineStr">
        <is>
          <t>UPPSALA</t>
        </is>
      </c>
      <c r="F431" t="inlineStr">
        <is>
          <t>Sveaskog</t>
        </is>
      </c>
      <c r="G431" t="n">
        <v>3.4</v>
      </c>
      <c r="H431" t="n">
        <v>0</v>
      </c>
      <c r="I431" t="n">
        <v>0</v>
      </c>
      <c r="J431" t="n">
        <v>0</v>
      </c>
      <c r="K431" t="n">
        <v>0</v>
      </c>
      <c r="L431" t="n">
        <v>0</v>
      </c>
      <c r="M431" t="n">
        <v>0</v>
      </c>
      <c r="N431" t="n">
        <v>0</v>
      </c>
      <c r="O431" t="n">
        <v>0</v>
      </c>
      <c r="P431" t="n">
        <v>0</v>
      </c>
      <c r="Q431" t="n">
        <v>0</v>
      </c>
      <c r="R431" s="2" t="inlineStr"/>
    </row>
    <row r="432" ht="15" customHeight="1">
      <c r="A432" t="inlineStr">
        <is>
          <t>A 46635-2022</t>
        </is>
      </c>
      <c r="B432" s="1" t="n">
        <v>44849</v>
      </c>
      <c r="C432" s="1" t="n">
        <v>45910</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25025-2025</t>
        </is>
      </c>
      <c r="B433" s="1" t="n">
        <v>45799.64877314815</v>
      </c>
      <c r="C433" s="1" t="n">
        <v>45910</v>
      </c>
      <c r="D433" t="inlineStr">
        <is>
          <t>UPPSALA LÄN</t>
        </is>
      </c>
      <c r="E433" t="inlineStr">
        <is>
          <t>UPPSALA</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24525-2025</t>
        </is>
      </c>
      <c r="B434" s="1" t="n">
        <v>45798.42252314815</v>
      </c>
      <c r="C434" s="1" t="n">
        <v>45910</v>
      </c>
      <c r="D434" t="inlineStr">
        <is>
          <t>UPPSALA LÄN</t>
        </is>
      </c>
      <c r="E434" t="inlineStr">
        <is>
          <t>UPPSALA</t>
        </is>
      </c>
      <c r="G434" t="n">
        <v>3.2</v>
      </c>
      <c r="H434" t="n">
        <v>0</v>
      </c>
      <c r="I434" t="n">
        <v>0</v>
      </c>
      <c r="J434" t="n">
        <v>0</v>
      </c>
      <c r="K434" t="n">
        <v>0</v>
      </c>
      <c r="L434" t="n">
        <v>0</v>
      </c>
      <c r="M434" t="n">
        <v>0</v>
      </c>
      <c r="N434" t="n">
        <v>0</v>
      </c>
      <c r="O434" t="n">
        <v>0</v>
      </c>
      <c r="P434" t="n">
        <v>0</v>
      </c>
      <c r="Q434" t="n">
        <v>0</v>
      </c>
      <c r="R434" s="2" t="inlineStr"/>
    </row>
    <row r="435" ht="15" customHeight="1">
      <c r="A435" t="inlineStr">
        <is>
          <t>A 73326-2021</t>
        </is>
      </c>
      <c r="B435" s="1" t="n">
        <v>44548</v>
      </c>
      <c r="C435" s="1" t="n">
        <v>45910</v>
      </c>
      <c r="D435" t="inlineStr">
        <is>
          <t>UPPSALA LÄN</t>
        </is>
      </c>
      <c r="E435" t="inlineStr">
        <is>
          <t>UPPSALA</t>
        </is>
      </c>
      <c r="G435" t="n">
        <v>4</v>
      </c>
      <c r="H435" t="n">
        <v>0</v>
      </c>
      <c r="I435" t="n">
        <v>0</v>
      </c>
      <c r="J435" t="n">
        <v>0</v>
      </c>
      <c r="K435" t="n">
        <v>0</v>
      </c>
      <c r="L435" t="n">
        <v>0</v>
      </c>
      <c r="M435" t="n">
        <v>0</v>
      </c>
      <c r="N435" t="n">
        <v>0</v>
      </c>
      <c r="O435" t="n">
        <v>0</v>
      </c>
      <c r="P435" t="n">
        <v>0</v>
      </c>
      <c r="Q435" t="n">
        <v>0</v>
      </c>
      <c r="R435" s="2" t="inlineStr"/>
    </row>
    <row r="436" ht="15" customHeight="1">
      <c r="A436" t="inlineStr">
        <is>
          <t>A 2897-2025</t>
        </is>
      </c>
      <c r="B436" s="1" t="n">
        <v>45677</v>
      </c>
      <c r="C436" s="1" t="n">
        <v>45910</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17593-2025</t>
        </is>
      </c>
      <c r="B437" s="1" t="n">
        <v>45757.6997337963</v>
      </c>
      <c r="C437" s="1" t="n">
        <v>45910</v>
      </c>
      <c r="D437" t="inlineStr">
        <is>
          <t>UPPSALA LÄN</t>
        </is>
      </c>
      <c r="E437" t="inlineStr">
        <is>
          <t>UPPSALA</t>
        </is>
      </c>
      <c r="G437" t="n">
        <v>3.6</v>
      </c>
      <c r="H437" t="n">
        <v>0</v>
      </c>
      <c r="I437" t="n">
        <v>0</v>
      </c>
      <c r="J437" t="n">
        <v>0</v>
      </c>
      <c r="K437" t="n">
        <v>0</v>
      </c>
      <c r="L437" t="n">
        <v>0</v>
      </c>
      <c r="M437" t="n">
        <v>0</v>
      </c>
      <c r="N437" t="n">
        <v>0</v>
      </c>
      <c r="O437" t="n">
        <v>0</v>
      </c>
      <c r="P437" t="n">
        <v>0</v>
      </c>
      <c r="Q437" t="n">
        <v>0</v>
      </c>
      <c r="R437" s="2" t="inlineStr"/>
    </row>
    <row r="438" ht="15" customHeight="1">
      <c r="A438" t="inlineStr">
        <is>
          <t>A 17596-2025</t>
        </is>
      </c>
      <c r="B438" s="1" t="n">
        <v>45757</v>
      </c>
      <c r="C438" s="1" t="n">
        <v>45910</v>
      </c>
      <c r="D438" t="inlineStr">
        <is>
          <t>UPPSALA LÄN</t>
        </is>
      </c>
      <c r="E438" t="inlineStr">
        <is>
          <t>UPPSALA</t>
        </is>
      </c>
      <c r="G438" t="n">
        <v>4.8</v>
      </c>
      <c r="H438" t="n">
        <v>0</v>
      </c>
      <c r="I438" t="n">
        <v>0</v>
      </c>
      <c r="J438" t="n">
        <v>0</v>
      </c>
      <c r="K438" t="n">
        <v>0</v>
      </c>
      <c r="L438" t="n">
        <v>0</v>
      </c>
      <c r="M438" t="n">
        <v>0</v>
      </c>
      <c r="N438" t="n">
        <v>0</v>
      </c>
      <c r="O438" t="n">
        <v>0</v>
      </c>
      <c r="P438" t="n">
        <v>0</v>
      </c>
      <c r="Q438" t="n">
        <v>0</v>
      </c>
      <c r="R438" s="2" t="inlineStr"/>
    </row>
    <row r="439" ht="15" customHeight="1">
      <c r="A439" t="inlineStr">
        <is>
          <t>A 54512-2024</t>
        </is>
      </c>
      <c r="B439" s="1" t="n">
        <v>45617.59006944444</v>
      </c>
      <c r="C439" s="1" t="n">
        <v>45910</v>
      </c>
      <c r="D439" t="inlineStr">
        <is>
          <t>UPPSALA LÄN</t>
        </is>
      </c>
      <c r="E439" t="inlineStr">
        <is>
          <t>UPPSALA</t>
        </is>
      </c>
      <c r="G439" t="n">
        <v>3.2</v>
      </c>
      <c r="H439" t="n">
        <v>0</v>
      </c>
      <c r="I439" t="n">
        <v>0</v>
      </c>
      <c r="J439" t="n">
        <v>0</v>
      </c>
      <c r="K439" t="n">
        <v>0</v>
      </c>
      <c r="L439" t="n">
        <v>0</v>
      </c>
      <c r="M439" t="n">
        <v>0</v>
      </c>
      <c r="N439" t="n">
        <v>0</v>
      </c>
      <c r="O439" t="n">
        <v>0</v>
      </c>
      <c r="P439" t="n">
        <v>0</v>
      </c>
      <c r="Q439" t="n">
        <v>0</v>
      </c>
      <c r="R439" s="2" t="inlineStr"/>
    </row>
    <row r="440" ht="15" customHeight="1">
      <c r="A440" t="inlineStr">
        <is>
          <t>A 5309-2022</t>
        </is>
      </c>
      <c r="B440" s="1" t="n">
        <v>44594</v>
      </c>
      <c r="C440" s="1" t="n">
        <v>45910</v>
      </c>
      <c r="D440" t="inlineStr">
        <is>
          <t>UPPSALA LÄN</t>
        </is>
      </c>
      <c r="E440" t="inlineStr">
        <is>
          <t>UPPSALA</t>
        </is>
      </c>
      <c r="G440" t="n">
        <v>4.8</v>
      </c>
      <c r="H440" t="n">
        <v>0</v>
      </c>
      <c r="I440" t="n">
        <v>0</v>
      </c>
      <c r="J440" t="n">
        <v>0</v>
      </c>
      <c r="K440" t="n">
        <v>0</v>
      </c>
      <c r="L440" t="n">
        <v>0</v>
      </c>
      <c r="M440" t="n">
        <v>0</v>
      </c>
      <c r="N440" t="n">
        <v>0</v>
      </c>
      <c r="O440" t="n">
        <v>0</v>
      </c>
      <c r="P440" t="n">
        <v>0</v>
      </c>
      <c r="Q440" t="n">
        <v>0</v>
      </c>
      <c r="R440" s="2" t="inlineStr"/>
    </row>
    <row r="441" ht="15" customHeight="1">
      <c r="A441" t="inlineStr">
        <is>
          <t>A 8473-2023</t>
        </is>
      </c>
      <c r="B441" s="1" t="n">
        <v>44977</v>
      </c>
      <c r="C441" s="1" t="n">
        <v>45910</v>
      </c>
      <c r="D441" t="inlineStr">
        <is>
          <t>UPPSALA LÄN</t>
        </is>
      </c>
      <c r="E441" t="inlineStr">
        <is>
          <t>UPPSALA</t>
        </is>
      </c>
      <c r="F441" t="inlineStr">
        <is>
          <t>Holmen skog AB</t>
        </is>
      </c>
      <c r="G441" t="n">
        <v>3.6</v>
      </c>
      <c r="H441" t="n">
        <v>0</v>
      </c>
      <c r="I441" t="n">
        <v>0</v>
      </c>
      <c r="J441" t="n">
        <v>0</v>
      </c>
      <c r="K441" t="n">
        <v>0</v>
      </c>
      <c r="L441" t="n">
        <v>0</v>
      </c>
      <c r="M441" t="n">
        <v>0</v>
      </c>
      <c r="N441" t="n">
        <v>0</v>
      </c>
      <c r="O441" t="n">
        <v>0</v>
      </c>
      <c r="P441" t="n">
        <v>0</v>
      </c>
      <c r="Q441" t="n">
        <v>0</v>
      </c>
      <c r="R441" s="2" t="inlineStr"/>
    </row>
    <row r="442" ht="15" customHeight="1">
      <c r="A442" t="inlineStr">
        <is>
          <t>A 25513-2025</t>
        </is>
      </c>
      <c r="B442" s="1" t="n">
        <v>45803.36384259259</v>
      </c>
      <c r="C442" s="1" t="n">
        <v>45910</v>
      </c>
      <c r="D442" t="inlineStr">
        <is>
          <t>UPPSALA LÄN</t>
        </is>
      </c>
      <c r="E442" t="inlineStr">
        <is>
          <t>UPPSALA</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25280-2023</t>
        </is>
      </c>
      <c r="B443" s="1" t="n">
        <v>45086.7037037037</v>
      </c>
      <c r="C443" s="1" t="n">
        <v>45910</v>
      </c>
      <c r="D443" t="inlineStr">
        <is>
          <t>UPPSALA LÄN</t>
        </is>
      </c>
      <c r="E443" t="inlineStr">
        <is>
          <t>UPPSALA</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24012-2023</t>
        </is>
      </c>
      <c r="B444" s="1" t="n">
        <v>45078</v>
      </c>
      <c r="C444" s="1" t="n">
        <v>45910</v>
      </c>
      <c r="D444" t="inlineStr">
        <is>
          <t>UPPSALA LÄN</t>
        </is>
      </c>
      <c r="E444" t="inlineStr">
        <is>
          <t>UPPSALA</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10612-2025</t>
        </is>
      </c>
      <c r="B445" s="1" t="n">
        <v>45721.60894675926</v>
      </c>
      <c r="C445" s="1" t="n">
        <v>45910</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25674-2025</t>
        </is>
      </c>
      <c r="B446" s="1" t="n">
        <v>45803.63395833333</v>
      </c>
      <c r="C446" s="1" t="n">
        <v>45910</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52197-2024</t>
        </is>
      </c>
      <c r="B447" s="1" t="n">
        <v>45608</v>
      </c>
      <c r="C447" s="1" t="n">
        <v>45910</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6628-2024</t>
        </is>
      </c>
      <c r="B448" s="1" t="n">
        <v>45341</v>
      </c>
      <c r="C448" s="1" t="n">
        <v>45910</v>
      </c>
      <c r="D448" t="inlineStr">
        <is>
          <t>UPPSALA LÄN</t>
        </is>
      </c>
      <c r="E448" t="inlineStr">
        <is>
          <t>UPPSALA</t>
        </is>
      </c>
      <c r="G448" t="n">
        <v>4.3</v>
      </c>
      <c r="H448" t="n">
        <v>0</v>
      </c>
      <c r="I448" t="n">
        <v>0</v>
      </c>
      <c r="J448" t="n">
        <v>0</v>
      </c>
      <c r="K448" t="n">
        <v>0</v>
      </c>
      <c r="L448" t="n">
        <v>0</v>
      </c>
      <c r="M448" t="n">
        <v>0</v>
      </c>
      <c r="N448" t="n">
        <v>0</v>
      </c>
      <c r="O448" t="n">
        <v>0</v>
      </c>
      <c r="P448" t="n">
        <v>0</v>
      </c>
      <c r="Q448" t="n">
        <v>0</v>
      </c>
      <c r="R448" s="2" t="inlineStr"/>
    </row>
    <row r="449" ht="15" customHeight="1">
      <c r="A449" t="inlineStr">
        <is>
          <t>A 18330-2025</t>
        </is>
      </c>
      <c r="B449" s="1" t="n">
        <v>45762.49243055555</v>
      </c>
      <c r="C449" s="1" t="n">
        <v>45910</v>
      </c>
      <c r="D449" t="inlineStr">
        <is>
          <t>UPPSALA LÄN</t>
        </is>
      </c>
      <c r="E449" t="inlineStr">
        <is>
          <t>UPPSALA</t>
        </is>
      </c>
      <c r="G449" t="n">
        <v>1.6</v>
      </c>
      <c r="H449" t="n">
        <v>0</v>
      </c>
      <c r="I449" t="n">
        <v>0</v>
      </c>
      <c r="J449" t="n">
        <v>0</v>
      </c>
      <c r="K449" t="n">
        <v>0</v>
      </c>
      <c r="L449" t="n">
        <v>0</v>
      </c>
      <c r="M449" t="n">
        <v>0</v>
      </c>
      <c r="N449" t="n">
        <v>0</v>
      </c>
      <c r="O449" t="n">
        <v>0</v>
      </c>
      <c r="P449" t="n">
        <v>0</v>
      </c>
      <c r="Q449" t="n">
        <v>0</v>
      </c>
      <c r="R449" s="2" t="inlineStr"/>
    </row>
    <row r="450" ht="15" customHeight="1">
      <c r="A450" t="inlineStr">
        <is>
          <t>A 15264-2025</t>
        </is>
      </c>
      <c r="B450" s="1" t="n">
        <v>45744</v>
      </c>
      <c r="C450" s="1" t="n">
        <v>45910</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40503-2024</t>
        </is>
      </c>
      <c r="B451" s="1" t="n">
        <v>45555.5727662037</v>
      </c>
      <c r="C451" s="1" t="n">
        <v>45910</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26130-2025</t>
        </is>
      </c>
      <c r="B452" s="1" t="n">
        <v>45805.4094675926</v>
      </c>
      <c r="C452" s="1" t="n">
        <v>45910</v>
      </c>
      <c r="D452" t="inlineStr">
        <is>
          <t>UPPSALA LÄN</t>
        </is>
      </c>
      <c r="E452" t="inlineStr">
        <is>
          <t>UPPSALA</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43795-2023</t>
        </is>
      </c>
      <c r="B453" s="1" t="n">
        <v>45182</v>
      </c>
      <c r="C453" s="1" t="n">
        <v>45910</v>
      </c>
      <c r="D453" t="inlineStr">
        <is>
          <t>UPPSALA LÄN</t>
        </is>
      </c>
      <c r="E453" t="inlineStr">
        <is>
          <t>UPPSALA</t>
        </is>
      </c>
      <c r="G453" t="n">
        <v>4.7</v>
      </c>
      <c r="H453" t="n">
        <v>0</v>
      </c>
      <c r="I453" t="n">
        <v>0</v>
      </c>
      <c r="J453" t="n">
        <v>0</v>
      </c>
      <c r="K453" t="n">
        <v>0</v>
      </c>
      <c r="L453" t="n">
        <v>0</v>
      </c>
      <c r="M453" t="n">
        <v>0</v>
      </c>
      <c r="N453" t="n">
        <v>0</v>
      </c>
      <c r="O453" t="n">
        <v>0</v>
      </c>
      <c r="P453" t="n">
        <v>0</v>
      </c>
      <c r="Q453" t="n">
        <v>0</v>
      </c>
      <c r="R453" s="2" t="inlineStr"/>
    </row>
    <row r="454" ht="15" customHeight="1">
      <c r="A454" t="inlineStr">
        <is>
          <t>A 43818-2023</t>
        </is>
      </c>
      <c r="B454" s="1" t="n">
        <v>45182</v>
      </c>
      <c r="C454" s="1" t="n">
        <v>45910</v>
      </c>
      <c r="D454" t="inlineStr">
        <is>
          <t>UPPSALA LÄN</t>
        </is>
      </c>
      <c r="E454" t="inlineStr">
        <is>
          <t>UPPSALA</t>
        </is>
      </c>
      <c r="G454" t="n">
        <v>10.8</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45910</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26139-2025</t>
        </is>
      </c>
      <c r="B456" s="1" t="n">
        <v>45805.41813657407</v>
      </c>
      <c r="C456" s="1" t="n">
        <v>45910</v>
      </c>
      <c r="D456" t="inlineStr">
        <is>
          <t>UPPSALA LÄN</t>
        </is>
      </c>
      <c r="E456" t="inlineStr">
        <is>
          <t>UPPSALA</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26141-2025</t>
        </is>
      </c>
      <c r="B457" s="1" t="n">
        <v>45805.4255787037</v>
      </c>
      <c r="C457" s="1" t="n">
        <v>45910</v>
      </c>
      <c r="D457" t="inlineStr">
        <is>
          <t>UPPSALA LÄN</t>
        </is>
      </c>
      <c r="E457" t="inlineStr">
        <is>
          <t>UPPSALA</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11739-2023</t>
        </is>
      </c>
      <c r="B458" s="1" t="n">
        <v>44993</v>
      </c>
      <c r="C458" s="1" t="n">
        <v>45910</v>
      </c>
      <c r="D458" t="inlineStr">
        <is>
          <t>UPPSALA LÄN</t>
        </is>
      </c>
      <c r="E458" t="inlineStr">
        <is>
          <t>UPPSALA</t>
        </is>
      </c>
      <c r="G458" t="n">
        <v>1.1</v>
      </c>
      <c r="H458" t="n">
        <v>0</v>
      </c>
      <c r="I458" t="n">
        <v>0</v>
      </c>
      <c r="J458" t="n">
        <v>0</v>
      </c>
      <c r="K458" t="n">
        <v>0</v>
      </c>
      <c r="L458" t="n">
        <v>0</v>
      </c>
      <c r="M458" t="n">
        <v>0</v>
      </c>
      <c r="N458" t="n">
        <v>0</v>
      </c>
      <c r="O458" t="n">
        <v>0</v>
      </c>
      <c r="P458" t="n">
        <v>0</v>
      </c>
      <c r="Q458" t="n">
        <v>0</v>
      </c>
      <c r="R458" s="2" t="inlineStr"/>
    </row>
    <row r="459" ht="15" customHeight="1">
      <c r="A459" t="inlineStr">
        <is>
          <t>A 9206-2022</t>
        </is>
      </c>
      <c r="B459" s="1" t="n">
        <v>44616</v>
      </c>
      <c r="C459" s="1" t="n">
        <v>45910</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26155-2025</t>
        </is>
      </c>
      <c r="B460" s="1" t="n">
        <v>45805.43402777778</v>
      </c>
      <c r="C460" s="1" t="n">
        <v>45910</v>
      </c>
      <c r="D460" t="inlineStr">
        <is>
          <t>UPPSALA LÄN</t>
        </is>
      </c>
      <c r="E460" t="inlineStr">
        <is>
          <t>UPPSALA</t>
        </is>
      </c>
      <c r="F460" t="inlineStr">
        <is>
          <t>Holmen skog AB</t>
        </is>
      </c>
      <c r="G460" t="n">
        <v>1.4</v>
      </c>
      <c r="H460" t="n">
        <v>0</v>
      </c>
      <c r="I460" t="n">
        <v>0</v>
      </c>
      <c r="J460" t="n">
        <v>0</v>
      </c>
      <c r="K460" t="n">
        <v>0</v>
      </c>
      <c r="L460" t="n">
        <v>0</v>
      </c>
      <c r="M460" t="n">
        <v>0</v>
      </c>
      <c r="N460" t="n">
        <v>0</v>
      </c>
      <c r="O460" t="n">
        <v>0</v>
      </c>
      <c r="P460" t="n">
        <v>0</v>
      </c>
      <c r="Q460" t="n">
        <v>0</v>
      </c>
      <c r="R460" s="2" t="inlineStr"/>
    </row>
    <row r="461" ht="15" customHeight="1">
      <c r="A461" t="inlineStr">
        <is>
          <t>A 9981-2025</t>
        </is>
      </c>
      <c r="B461" s="1" t="n">
        <v>45719.40723379629</v>
      </c>
      <c r="C461" s="1" t="n">
        <v>45910</v>
      </c>
      <c r="D461" t="inlineStr">
        <is>
          <t>UPPSALA LÄN</t>
        </is>
      </c>
      <c r="E461" t="inlineStr">
        <is>
          <t>UPPSALA</t>
        </is>
      </c>
      <c r="F461" t="inlineStr">
        <is>
          <t>Kyrkan</t>
        </is>
      </c>
      <c r="G461" t="n">
        <v>2.9</v>
      </c>
      <c r="H461" t="n">
        <v>0</v>
      </c>
      <c r="I461" t="n">
        <v>0</v>
      </c>
      <c r="J461" t="n">
        <v>0</v>
      </c>
      <c r="K461" t="n">
        <v>0</v>
      </c>
      <c r="L461" t="n">
        <v>0</v>
      </c>
      <c r="M461" t="n">
        <v>0</v>
      </c>
      <c r="N461" t="n">
        <v>0</v>
      </c>
      <c r="O461" t="n">
        <v>0</v>
      </c>
      <c r="P461" t="n">
        <v>0</v>
      </c>
      <c r="Q461" t="n">
        <v>0</v>
      </c>
      <c r="R461" s="2" t="inlineStr"/>
    </row>
    <row r="462" ht="15" customHeight="1">
      <c r="A462" t="inlineStr">
        <is>
          <t>A 60698-2024</t>
        </is>
      </c>
      <c r="B462" s="1" t="n">
        <v>45644</v>
      </c>
      <c r="C462" s="1" t="n">
        <v>45910</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60735-2024</t>
        </is>
      </c>
      <c r="B463" s="1" t="n">
        <v>45644</v>
      </c>
      <c r="C463" s="1" t="n">
        <v>45910</v>
      </c>
      <c r="D463" t="inlineStr">
        <is>
          <t>UPPSALA LÄN</t>
        </is>
      </c>
      <c r="E463" t="inlineStr">
        <is>
          <t>UPPSALA</t>
        </is>
      </c>
      <c r="G463" t="n">
        <v>1.4</v>
      </c>
      <c r="H463" t="n">
        <v>0</v>
      </c>
      <c r="I463" t="n">
        <v>0</v>
      </c>
      <c r="J463" t="n">
        <v>0</v>
      </c>
      <c r="K463" t="n">
        <v>0</v>
      </c>
      <c r="L463" t="n">
        <v>0</v>
      </c>
      <c r="M463" t="n">
        <v>0</v>
      </c>
      <c r="N463" t="n">
        <v>0</v>
      </c>
      <c r="O463" t="n">
        <v>0</v>
      </c>
      <c r="P463" t="n">
        <v>0</v>
      </c>
      <c r="Q463" t="n">
        <v>0</v>
      </c>
      <c r="R463" s="2" t="inlineStr"/>
    </row>
    <row r="464" ht="15" customHeight="1">
      <c r="A464" t="inlineStr">
        <is>
          <t>A 61463-2024</t>
        </is>
      </c>
      <c r="B464" s="1" t="n">
        <v>45646.50211805556</v>
      </c>
      <c r="C464" s="1" t="n">
        <v>45910</v>
      </c>
      <c r="D464" t="inlineStr">
        <is>
          <t>UPPSALA LÄN</t>
        </is>
      </c>
      <c r="E464" t="inlineStr">
        <is>
          <t>UPPSALA</t>
        </is>
      </c>
      <c r="G464" t="n">
        <v>0.8</v>
      </c>
      <c r="H464" t="n">
        <v>0</v>
      </c>
      <c r="I464" t="n">
        <v>0</v>
      </c>
      <c r="J464" t="n">
        <v>0</v>
      </c>
      <c r="K464" t="n">
        <v>0</v>
      </c>
      <c r="L464" t="n">
        <v>0</v>
      </c>
      <c r="M464" t="n">
        <v>0</v>
      </c>
      <c r="N464" t="n">
        <v>0</v>
      </c>
      <c r="O464" t="n">
        <v>0</v>
      </c>
      <c r="P464" t="n">
        <v>0</v>
      </c>
      <c r="Q464" t="n">
        <v>0</v>
      </c>
      <c r="R464" s="2" t="inlineStr"/>
    </row>
    <row r="465" ht="15" customHeight="1">
      <c r="A465" t="inlineStr">
        <is>
          <t>A 26131-2025</t>
        </is>
      </c>
      <c r="B465" s="1" t="n">
        <v>45805.41010416667</v>
      </c>
      <c r="C465" s="1" t="n">
        <v>45910</v>
      </c>
      <c r="D465" t="inlineStr">
        <is>
          <t>UPPSALA LÄN</t>
        </is>
      </c>
      <c r="E465" t="inlineStr">
        <is>
          <t>UPPSALA</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20206-2023</t>
        </is>
      </c>
      <c r="B466" s="1" t="n">
        <v>45055</v>
      </c>
      <c r="C466" s="1" t="n">
        <v>45910</v>
      </c>
      <c r="D466" t="inlineStr">
        <is>
          <t>UPPSALA LÄN</t>
        </is>
      </c>
      <c r="E466" t="inlineStr">
        <is>
          <t>UPPSALA</t>
        </is>
      </c>
      <c r="G466" t="n">
        <v>5.7</v>
      </c>
      <c r="H466" t="n">
        <v>0</v>
      </c>
      <c r="I466" t="n">
        <v>0</v>
      </c>
      <c r="J466" t="n">
        <v>0</v>
      </c>
      <c r="K466" t="n">
        <v>0</v>
      </c>
      <c r="L466" t="n">
        <v>0</v>
      </c>
      <c r="M466" t="n">
        <v>0</v>
      </c>
      <c r="N466" t="n">
        <v>0</v>
      </c>
      <c r="O466" t="n">
        <v>0</v>
      </c>
      <c r="P466" t="n">
        <v>0</v>
      </c>
      <c r="Q466" t="n">
        <v>0</v>
      </c>
      <c r="R466" s="2" t="inlineStr"/>
    </row>
    <row r="467" ht="15" customHeight="1">
      <c r="A467" t="inlineStr">
        <is>
          <t>A 49821-2020</t>
        </is>
      </c>
      <c r="B467" s="1" t="n">
        <v>44106</v>
      </c>
      <c r="C467" s="1" t="n">
        <v>45910</v>
      </c>
      <c r="D467" t="inlineStr">
        <is>
          <t>UPPSALA LÄN</t>
        </is>
      </c>
      <c r="E467" t="inlineStr">
        <is>
          <t>UPPSALA</t>
        </is>
      </c>
      <c r="G467" t="n">
        <v>2</v>
      </c>
      <c r="H467" t="n">
        <v>0</v>
      </c>
      <c r="I467" t="n">
        <v>0</v>
      </c>
      <c r="J467" t="n">
        <v>0</v>
      </c>
      <c r="K467" t="n">
        <v>0</v>
      </c>
      <c r="L467" t="n">
        <v>0</v>
      </c>
      <c r="M467" t="n">
        <v>0</v>
      </c>
      <c r="N467" t="n">
        <v>0</v>
      </c>
      <c r="O467" t="n">
        <v>0</v>
      </c>
      <c r="P467" t="n">
        <v>0</v>
      </c>
      <c r="Q467" t="n">
        <v>0</v>
      </c>
      <c r="R467" s="2" t="inlineStr"/>
    </row>
    <row r="468" ht="15" customHeight="1">
      <c r="A468" t="inlineStr">
        <is>
          <t>A 21935-2023</t>
        </is>
      </c>
      <c r="B468" s="1" t="n">
        <v>45068.58563657408</v>
      </c>
      <c r="C468" s="1" t="n">
        <v>45910</v>
      </c>
      <c r="D468" t="inlineStr">
        <is>
          <t>UPPSALA LÄN</t>
        </is>
      </c>
      <c r="E468" t="inlineStr">
        <is>
          <t>UPPSALA</t>
        </is>
      </c>
      <c r="G468" t="n">
        <v>2.6</v>
      </c>
      <c r="H468" t="n">
        <v>0</v>
      </c>
      <c r="I468" t="n">
        <v>0</v>
      </c>
      <c r="J468" t="n">
        <v>0</v>
      </c>
      <c r="K468" t="n">
        <v>0</v>
      </c>
      <c r="L468" t="n">
        <v>0</v>
      </c>
      <c r="M468" t="n">
        <v>0</v>
      </c>
      <c r="N468" t="n">
        <v>0</v>
      </c>
      <c r="O468" t="n">
        <v>0</v>
      </c>
      <c r="P468" t="n">
        <v>0</v>
      </c>
      <c r="Q468" t="n">
        <v>0</v>
      </c>
      <c r="R468" s="2" t="inlineStr"/>
    </row>
    <row r="469" ht="15" customHeight="1">
      <c r="A469" t="inlineStr">
        <is>
          <t>A 60701-2022</t>
        </is>
      </c>
      <c r="B469" s="1" t="n">
        <v>44912</v>
      </c>
      <c r="C469" s="1" t="n">
        <v>45910</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367-2023</t>
        </is>
      </c>
      <c r="B470" s="1" t="n">
        <v>44929</v>
      </c>
      <c r="C470" s="1" t="n">
        <v>45910</v>
      </c>
      <c r="D470" t="inlineStr">
        <is>
          <t>UPPSALA LÄN</t>
        </is>
      </c>
      <c r="E470" t="inlineStr">
        <is>
          <t>UPPSALA</t>
        </is>
      </c>
      <c r="G470" t="n">
        <v>2.4</v>
      </c>
      <c r="H470" t="n">
        <v>0</v>
      </c>
      <c r="I470" t="n">
        <v>0</v>
      </c>
      <c r="J470" t="n">
        <v>0</v>
      </c>
      <c r="K470" t="n">
        <v>0</v>
      </c>
      <c r="L470" t="n">
        <v>0</v>
      </c>
      <c r="M470" t="n">
        <v>0</v>
      </c>
      <c r="N470" t="n">
        <v>0</v>
      </c>
      <c r="O470" t="n">
        <v>0</v>
      </c>
      <c r="P470" t="n">
        <v>0</v>
      </c>
      <c r="Q470" t="n">
        <v>0</v>
      </c>
      <c r="R470" s="2" t="inlineStr"/>
    </row>
    <row r="471" ht="15" customHeight="1">
      <c r="A471" t="inlineStr">
        <is>
          <t>A 49409-2020</t>
        </is>
      </c>
      <c r="B471" s="1" t="n">
        <v>44105</v>
      </c>
      <c r="C471" s="1" t="n">
        <v>45910</v>
      </c>
      <c r="D471" t="inlineStr">
        <is>
          <t>UPPSALA LÄN</t>
        </is>
      </c>
      <c r="E471" t="inlineStr">
        <is>
          <t>UPPSALA</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53614-2024</t>
        </is>
      </c>
      <c r="B472" s="1" t="n">
        <v>45611</v>
      </c>
      <c r="C472" s="1" t="n">
        <v>45910</v>
      </c>
      <c r="D472" t="inlineStr">
        <is>
          <t>UPPSALA LÄN</t>
        </is>
      </c>
      <c r="E472" t="inlineStr">
        <is>
          <t>UPPSALA</t>
        </is>
      </c>
      <c r="G472" t="n">
        <v>2.1</v>
      </c>
      <c r="H472" t="n">
        <v>0</v>
      </c>
      <c r="I472" t="n">
        <v>0</v>
      </c>
      <c r="J472" t="n">
        <v>0</v>
      </c>
      <c r="K472" t="n">
        <v>0</v>
      </c>
      <c r="L472" t="n">
        <v>0</v>
      </c>
      <c r="M472" t="n">
        <v>0</v>
      </c>
      <c r="N472" t="n">
        <v>0</v>
      </c>
      <c r="O472" t="n">
        <v>0</v>
      </c>
      <c r="P472" t="n">
        <v>0</v>
      </c>
      <c r="Q472" t="n">
        <v>0</v>
      </c>
      <c r="R472" s="2" t="inlineStr"/>
    </row>
    <row r="473" ht="15" customHeight="1">
      <c r="A473" t="inlineStr">
        <is>
          <t>A 6290-2025</t>
        </is>
      </c>
      <c r="B473" s="1" t="n">
        <v>45698.65606481482</v>
      </c>
      <c r="C473" s="1" t="n">
        <v>45910</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16434-2024</t>
        </is>
      </c>
      <c r="B474" s="1" t="n">
        <v>45407.69575231482</v>
      </c>
      <c r="C474" s="1" t="n">
        <v>45910</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1825-2024</t>
        </is>
      </c>
      <c r="B475" s="1" t="n">
        <v>45307</v>
      </c>
      <c r="C475" s="1" t="n">
        <v>45910</v>
      </c>
      <c r="D475" t="inlineStr">
        <is>
          <t>UPPSALA LÄN</t>
        </is>
      </c>
      <c r="E475" t="inlineStr">
        <is>
          <t>UPPSALA</t>
        </is>
      </c>
      <c r="G475" t="n">
        <v>4.2</v>
      </c>
      <c r="H475" t="n">
        <v>0</v>
      </c>
      <c r="I475" t="n">
        <v>0</v>
      </c>
      <c r="J475" t="n">
        <v>0</v>
      </c>
      <c r="K475" t="n">
        <v>0</v>
      </c>
      <c r="L475" t="n">
        <v>0</v>
      </c>
      <c r="M475" t="n">
        <v>0</v>
      </c>
      <c r="N475" t="n">
        <v>0</v>
      </c>
      <c r="O475" t="n">
        <v>0</v>
      </c>
      <c r="P475" t="n">
        <v>0</v>
      </c>
      <c r="Q475" t="n">
        <v>0</v>
      </c>
      <c r="R475" s="2" t="inlineStr"/>
    </row>
    <row r="476" ht="15" customHeight="1">
      <c r="A476" t="inlineStr">
        <is>
          <t>A 46069-2022</t>
        </is>
      </c>
      <c r="B476" s="1" t="n">
        <v>44847</v>
      </c>
      <c r="C476" s="1" t="n">
        <v>45910</v>
      </c>
      <c r="D476" t="inlineStr">
        <is>
          <t>UPPSALA LÄN</t>
        </is>
      </c>
      <c r="E476" t="inlineStr">
        <is>
          <t>UPPSALA</t>
        </is>
      </c>
      <c r="G476" t="n">
        <v>2.2</v>
      </c>
      <c r="H476" t="n">
        <v>0</v>
      </c>
      <c r="I476" t="n">
        <v>0</v>
      </c>
      <c r="J476" t="n">
        <v>0</v>
      </c>
      <c r="K476" t="n">
        <v>0</v>
      </c>
      <c r="L476" t="n">
        <v>0</v>
      </c>
      <c r="M476" t="n">
        <v>0</v>
      </c>
      <c r="N476" t="n">
        <v>0</v>
      </c>
      <c r="O476" t="n">
        <v>0</v>
      </c>
      <c r="P476" t="n">
        <v>0</v>
      </c>
      <c r="Q476" t="n">
        <v>0</v>
      </c>
      <c r="R476" s="2" t="inlineStr"/>
    </row>
    <row r="477" ht="15" customHeight="1">
      <c r="A477" t="inlineStr">
        <is>
          <t>A 64855-2021</t>
        </is>
      </c>
      <c r="B477" s="1" t="n">
        <v>44512</v>
      </c>
      <c r="C477" s="1" t="n">
        <v>45910</v>
      </c>
      <c r="D477" t="inlineStr">
        <is>
          <t>UPPSALA LÄN</t>
        </is>
      </c>
      <c r="E477" t="inlineStr">
        <is>
          <t>UPPSALA</t>
        </is>
      </c>
      <c r="G477" t="n">
        <v>3.1</v>
      </c>
      <c r="H477" t="n">
        <v>0</v>
      </c>
      <c r="I477" t="n">
        <v>0</v>
      </c>
      <c r="J477" t="n">
        <v>0</v>
      </c>
      <c r="K477" t="n">
        <v>0</v>
      </c>
      <c r="L477" t="n">
        <v>0</v>
      </c>
      <c r="M477" t="n">
        <v>0</v>
      </c>
      <c r="N477" t="n">
        <v>0</v>
      </c>
      <c r="O477" t="n">
        <v>0</v>
      </c>
      <c r="P477" t="n">
        <v>0</v>
      </c>
      <c r="Q477" t="n">
        <v>0</v>
      </c>
      <c r="R477" s="2" t="inlineStr"/>
    </row>
    <row r="478" ht="15" customHeight="1">
      <c r="A478" t="inlineStr">
        <is>
          <t>A 26740-2025</t>
        </is>
      </c>
      <c r="B478" s="1" t="n">
        <v>45809</v>
      </c>
      <c r="C478" s="1" t="n">
        <v>45910</v>
      </c>
      <c r="D478" t="inlineStr">
        <is>
          <t>UPPSALA LÄN</t>
        </is>
      </c>
      <c r="E478" t="inlineStr">
        <is>
          <t>UPPSALA</t>
        </is>
      </c>
      <c r="F478" t="inlineStr">
        <is>
          <t>Övriga Aktiebolag</t>
        </is>
      </c>
      <c r="G478" t="n">
        <v>11</v>
      </c>
      <c r="H478" t="n">
        <v>0</v>
      </c>
      <c r="I478" t="n">
        <v>0</v>
      </c>
      <c r="J478" t="n">
        <v>0</v>
      </c>
      <c r="K478" t="n">
        <v>0</v>
      </c>
      <c r="L478" t="n">
        <v>0</v>
      </c>
      <c r="M478" t="n">
        <v>0</v>
      </c>
      <c r="N478" t="n">
        <v>0</v>
      </c>
      <c r="O478" t="n">
        <v>0</v>
      </c>
      <c r="P478" t="n">
        <v>0</v>
      </c>
      <c r="Q478" t="n">
        <v>0</v>
      </c>
      <c r="R478" s="2" t="inlineStr"/>
    </row>
    <row r="479" ht="15" customHeight="1">
      <c r="A479" t="inlineStr">
        <is>
          <t>A 50463-2024</t>
        </is>
      </c>
      <c r="B479" s="1" t="n">
        <v>45601</v>
      </c>
      <c r="C479" s="1" t="n">
        <v>45910</v>
      </c>
      <c r="D479" t="inlineStr">
        <is>
          <t>UPPSALA LÄN</t>
        </is>
      </c>
      <c r="E479" t="inlineStr">
        <is>
          <t>UPPSALA</t>
        </is>
      </c>
      <c r="F479" t="inlineStr">
        <is>
          <t>Allmännings- och besparingsskogar</t>
        </is>
      </c>
      <c r="G479" t="n">
        <v>12.6</v>
      </c>
      <c r="H479" t="n">
        <v>0</v>
      </c>
      <c r="I479" t="n">
        <v>0</v>
      </c>
      <c r="J479" t="n">
        <v>0</v>
      </c>
      <c r="K479" t="n">
        <v>0</v>
      </c>
      <c r="L479" t="n">
        <v>0</v>
      </c>
      <c r="M479" t="n">
        <v>0</v>
      </c>
      <c r="N479" t="n">
        <v>0</v>
      </c>
      <c r="O479" t="n">
        <v>0</v>
      </c>
      <c r="P479" t="n">
        <v>0</v>
      </c>
      <c r="Q479" t="n">
        <v>0</v>
      </c>
      <c r="R479" s="2" t="inlineStr"/>
    </row>
    <row r="480" ht="15" customHeight="1">
      <c r="A480" t="inlineStr">
        <is>
          <t>A 49996-2023</t>
        </is>
      </c>
      <c r="B480" s="1" t="n">
        <v>45215.44233796297</v>
      </c>
      <c r="C480" s="1" t="n">
        <v>45910</v>
      </c>
      <c r="D480" t="inlineStr">
        <is>
          <t>UPPSALA LÄN</t>
        </is>
      </c>
      <c r="E480" t="inlineStr">
        <is>
          <t>UPPSALA</t>
        </is>
      </c>
      <c r="G480" t="n">
        <v>2</v>
      </c>
      <c r="H480" t="n">
        <v>0</v>
      </c>
      <c r="I480" t="n">
        <v>0</v>
      </c>
      <c r="J480" t="n">
        <v>0</v>
      </c>
      <c r="K480" t="n">
        <v>0</v>
      </c>
      <c r="L480" t="n">
        <v>0</v>
      </c>
      <c r="M480" t="n">
        <v>0</v>
      </c>
      <c r="N480" t="n">
        <v>0</v>
      </c>
      <c r="O480" t="n">
        <v>0</v>
      </c>
      <c r="P480" t="n">
        <v>0</v>
      </c>
      <c r="Q480" t="n">
        <v>0</v>
      </c>
      <c r="R480" s="2" t="inlineStr"/>
    </row>
    <row r="481" ht="15" customHeight="1">
      <c r="A481" t="inlineStr">
        <is>
          <t>A 26697-2025</t>
        </is>
      </c>
      <c r="B481" s="1" t="n">
        <v>45810.44339120371</v>
      </c>
      <c r="C481" s="1" t="n">
        <v>45910</v>
      </c>
      <c r="D481" t="inlineStr">
        <is>
          <t>UPPSALA LÄN</t>
        </is>
      </c>
      <c r="E481" t="inlineStr">
        <is>
          <t>UPPSALA</t>
        </is>
      </c>
      <c r="F481" t="inlineStr">
        <is>
          <t>Bergvik skog öst AB</t>
        </is>
      </c>
      <c r="G481" t="n">
        <v>2.8</v>
      </c>
      <c r="H481" t="n">
        <v>0</v>
      </c>
      <c r="I481" t="n">
        <v>0</v>
      </c>
      <c r="J481" t="n">
        <v>0</v>
      </c>
      <c r="K481" t="n">
        <v>0</v>
      </c>
      <c r="L481" t="n">
        <v>0</v>
      </c>
      <c r="M481" t="n">
        <v>0</v>
      </c>
      <c r="N481" t="n">
        <v>0</v>
      </c>
      <c r="O481" t="n">
        <v>0</v>
      </c>
      <c r="P481" t="n">
        <v>0</v>
      </c>
      <c r="Q481" t="n">
        <v>0</v>
      </c>
      <c r="R481" s="2" t="inlineStr"/>
    </row>
    <row r="482" ht="15" customHeight="1">
      <c r="A482" t="inlineStr">
        <is>
          <t>A 26713-2025</t>
        </is>
      </c>
      <c r="B482" s="1" t="n">
        <v>45809</v>
      </c>
      <c r="C482" s="1" t="n">
        <v>45910</v>
      </c>
      <c r="D482" t="inlineStr">
        <is>
          <t>UPPSALA LÄN</t>
        </is>
      </c>
      <c r="E482" t="inlineStr">
        <is>
          <t>UPPSALA</t>
        </is>
      </c>
      <c r="G482" t="n">
        <v>3.8</v>
      </c>
      <c r="H482" t="n">
        <v>0</v>
      </c>
      <c r="I482" t="n">
        <v>0</v>
      </c>
      <c r="J482" t="n">
        <v>0</v>
      </c>
      <c r="K482" t="n">
        <v>0</v>
      </c>
      <c r="L482" t="n">
        <v>0</v>
      </c>
      <c r="M482" t="n">
        <v>0</v>
      </c>
      <c r="N482" t="n">
        <v>0</v>
      </c>
      <c r="O482" t="n">
        <v>0</v>
      </c>
      <c r="P482" t="n">
        <v>0</v>
      </c>
      <c r="Q482" t="n">
        <v>0</v>
      </c>
      <c r="R482" s="2" t="inlineStr"/>
    </row>
    <row r="483" ht="15" customHeight="1">
      <c r="A483" t="inlineStr">
        <is>
          <t>A 27622-2023</t>
        </is>
      </c>
      <c r="B483" s="1" t="n">
        <v>45097</v>
      </c>
      <c r="C483" s="1" t="n">
        <v>45910</v>
      </c>
      <c r="D483" t="inlineStr">
        <is>
          <t>UPPSALA LÄN</t>
        </is>
      </c>
      <c r="E483" t="inlineStr">
        <is>
          <t>UPPSALA</t>
        </is>
      </c>
      <c r="G483" t="n">
        <v>3.2</v>
      </c>
      <c r="H483" t="n">
        <v>0</v>
      </c>
      <c r="I483" t="n">
        <v>0</v>
      </c>
      <c r="J483" t="n">
        <v>0</v>
      </c>
      <c r="K483" t="n">
        <v>0</v>
      </c>
      <c r="L483" t="n">
        <v>0</v>
      </c>
      <c r="M483" t="n">
        <v>0</v>
      </c>
      <c r="N483" t="n">
        <v>0</v>
      </c>
      <c r="O483" t="n">
        <v>0</v>
      </c>
      <c r="P483" t="n">
        <v>0</v>
      </c>
      <c r="Q483" t="n">
        <v>0</v>
      </c>
      <c r="R483" s="2" t="inlineStr"/>
    </row>
    <row r="484" ht="15" customHeight="1">
      <c r="A484" t="inlineStr">
        <is>
          <t>A 9993-2025</t>
        </is>
      </c>
      <c r="B484" s="1" t="n">
        <v>45719.43755787037</v>
      </c>
      <c r="C484" s="1" t="n">
        <v>45910</v>
      </c>
      <c r="D484" t="inlineStr">
        <is>
          <t>UPPSALA LÄN</t>
        </is>
      </c>
      <c r="E484" t="inlineStr">
        <is>
          <t>UPPSALA</t>
        </is>
      </c>
      <c r="F484" t="inlineStr">
        <is>
          <t>Kyrkan</t>
        </is>
      </c>
      <c r="G484" t="n">
        <v>6.1</v>
      </c>
      <c r="H484" t="n">
        <v>0</v>
      </c>
      <c r="I484" t="n">
        <v>0</v>
      </c>
      <c r="J484" t="n">
        <v>0</v>
      </c>
      <c r="K484" t="n">
        <v>0</v>
      </c>
      <c r="L484" t="n">
        <v>0</v>
      </c>
      <c r="M484" t="n">
        <v>0</v>
      </c>
      <c r="N484" t="n">
        <v>0</v>
      </c>
      <c r="O484" t="n">
        <v>0</v>
      </c>
      <c r="P484" t="n">
        <v>0</v>
      </c>
      <c r="Q484" t="n">
        <v>0</v>
      </c>
      <c r="R484" s="2" t="inlineStr"/>
    </row>
    <row r="485" ht="15" customHeight="1">
      <c r="A485" t="inlineStr">
        <is>
          <t>A 72224-2021</t>
        </is>
      </c>
      <c r="B485" s="1" t="n">
        <v>44544</v>
      </c>
      <c r="C485" s="1" t="n">
        <v>45910</v>
      </c>
      <c r="D485" t="inlineStr">
        <is>
          <t>UPPSALA LÄN</t>
        </is>
      </c>
      <c r="E485" t="inlineStr">
        <is>
          <t>UPPSALA</t>
        </is>
      </c>
      <c r="G485" t="n">
        <v>2.5</v>
      </c>
      <c r="H485" t="n">
        <v>0</v>
      </c>
      <c r="I485" t="n">
        <v>0</v>
      </c>
      <c r="J485" t="n">
        <v>0</v>
      </c>
      <c r="K485" t="n">
        <v>0</v>
      </c>
      <c r="L485" t="n">
        <v>0</v>
      </c>
      <c r="M485" t="n">
        <v>0</v>
      </c>
      <c r="N485" t="n">
        <v>0</v>
      </c>
      <c r="O485" t="n">
        <v>0</v>
      </c>
      <c r="P485" t="n">
        <v>0</v>
      </c>
      <c r="Q485" t="n">
        <v>0</v>
      </c>
      <c r="R485" s="2" t="inlineStr"/>
    </row>
    <row r="486" ht="15" customHeight="1">
      <c r="A486" t="inlineStr">
        <is>
          <t>A 37626-2023</t>
        </is>
      </c>
      <c r="B486" s="1" t="n">
        <v>45159.45748842593</v>
      </c>
      <c r="C486" s="1" t="n">
        <v>45910</v>
      </c>
      <c r="D486" t="inlineStr">
        <is>
          <t>UPPSALA LÄN</t>
        </is>
      </c>
      <c r="E486" t="inlineStr">
        <is>
          <t>UPPSALA</t>
        </is>
      </c>
      <c r="G486" t="n">
        <v>0.6</v>
      </c>
      <c r="H486" t="n">
        <v>0</v>
      </c>
      <c r="I486" t="n">
        <v>0</v>
      </c>
      <c r="J486" t="n">
        <v>0</v>
      </c>
      <c r="K486" t="n">
        <v>0</v>
      </c>
      <c r="L486" t="n">
        <v>0</v>
      </c>
      <c r="M486" t="n">
        <v>0</v>
      </c>
      <c r="N486" t="n">
        <v>0</v>
      </c>
      <c r="O486" t="n">
        <v>0</v>
      </c>
      <c r="P486" t="n">
        <v>0</v>
      </c>
      <c r="Q486" t="n">
        <v>0</v>
      </c>
      <c r="R486" s="2" t="inlineStr"/>
    </row>
    <row r="487" ht="15" customHeight="1">
      <c r="A487" t="inlineStr">
        <is>
          <t>A 56067-2024</t>
        </is>
      </c>
      <c r="B487" s="1" t="n">
        <v>45624</v>
      </c>
      <c r="C487" s="1" t="n">
        <v>45910</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26709-2025</t>
        </is>
      </c>
      <c r="B488" s="1" t="n">
        <v>45810.45960648148</v>
      </c>
      <c r="C488" s="1" t="n">
        <v>45910</v>
      </c>
      <c r="D488" t="inlineStr">
        <is>
          <t>UPPSALA LÄN</t>
        </is>
      </c>
      <c r="E488" t="inlineStr">
        <is>
          <t>UPPSALA</t>
        </is>
      </c>
      <c r="F488" t="inlineStr">
        <is>
          <t>Kyrkan</t>
        </is>
      </c>
      <c r="G488" t="n">
        <v>6.7</v>
      </c>
      <c r="H488" t="n">
        <v>0</v>
      </c>
      <c r="I488" t="n">
        <v>0</v>
      </c>
      <c r="J488" t="n">
        <v>0</v>
      </c>
      <c r="K488" t="n">
        <v>0</v>
      </c>
      <c r="L488" t="n">
        <v>0</v>
      </c>
      <c r="M488" t="n">
        <v>0</v>
      </c>
      <c r="N488" t="n">
        <v>0</v>
      </c>
      <c r="O488" t="n">
        <v>0</v>
      </c>
      <c r="P488" t="n">
        <v>0</v>
      </c>
      <c r="Q488" t="n">
        <v>0</v>
      </c>
      <c r="R488" s="2" t="inlineStr"/>
    </row>
    <row r="489" ht="15" customHeight="1">
      <c r="A489" t="inlineStr">
        <is>
          <t>A 26738-2025</t>
        </is>
      </c>
      <c r="B489" s="1" t="n">
        <v>45809</v>
      </c>
      <c r="C489" s="1" t="n">
        <v>45910</v>
      </c>
      <c r="D489" t="inlineStr">
        <is>
          <t>UPPSALA LÄN</t>
        </is>
      </c>
      <c r="E489" t="inlineStr">
        <is>
          <t>UPPSALA</t>
        </is>
      </c>
      <c r="F489" t="inlineStr">
        <is>
          <t>Övriga Aktiebolag</t>
        </is>
      </c>
      <c r="G489" t="n">
        <v>2.2</v>
      </c>
      <c r="H489" t="n">
        <v>0</v>
      </c>
      <c r="I489" t="n">
        <v>0</v>
      </c>
      <c r="J489" t="n">
        <v>0</v>
      </c>
      <c r="K489" t="n">
        <v>0</v>
      </c>
      <c r="L489" t="n">
        <v>0</v>
      </c>
      <c r="M489" t="n">
        <v>0</v>
      </c>
      <c r="N489" t="n">
        <v>0</v>
      </c>
      <c r="O489" t="n">
        <v>0</v>
      </c>
      <c r="P489" t="n">
        <v>0</v>
      </c>
      <c r="Q489" t="n">
        <v>0</v>
      </c>
      <c r="R489" s="2" t="inlineStr"/>
    </row>
    <row r="490" ht="15" customHeight="1">
      <c r="A490" t="inlineStr">
        <is>
          <t>A 26739-2025</t>
        </is>
      </c>
      <c r="B490" s="1" t="n">
        <v>45809</v>
      </c>
      <c r="C490" s="1" t="n">
        <v>45910</v>
      </c>
      <c r="D490" t="inlineStr">
        <is>
          <t>UPPSALA LÄN</t>
        </is>
      </c>
      <c r="E490" t="inlineStr">
        <is>
          <t>UPPSALA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23494-2024</t>
        </is>
      </c>
      <c r="B491" s="1" t="n">
        <v>45453.69339120371</v>
      </c>
      <c r="C491" s="1" t="n">
        <v>45910</v>
      </c>
      <c r="D491" t="inlineStr">
        <is>
          <t>UPPSALA LÄN</t>
        </is>
      </c>
      <c r="E491" t="inlineStr">
        <is>
          <t>UPPSALA</t>
        </is>
      </c>
      <c r="F491" t="inlineStr">
        <is>
          <t>Kyrkan</t>
        </is>
      </c>
      <c r="G491" t="n">
        <v>0.8</v>
      </c>
      <c r="H491" t="n">
        <v>0</v>
      </c>
      <c r="I491" t="n">
        <v>0</v>
      </c>
      <c r="J491" t="n">
        <v>0</v>
      </c>
      <c r="K491" t="n">
        <v>0</v>
      </c>
      <c r="L491" t="n">
        <v>0</v>
      </c>
      <c r="M491" t="n">
        <v>0</v>
      </c>
      <c r="N491" t="n">
        <v>0</v>
      </c>
      <c r="O491" t="n">
        <v>0</v>
      </c>
      <c r="P491" t="n">
        <v>0</v>
      </c>
      <c r="Q491" t="n">
        <v>0</v>
      </c>
      <c r="R491" s="2" t="inlineStr"/>
    </row>
    <row r="492" ht="15" customHeight="1">
      <c r="A492" t="inlineStr">
        <is>
          <t>A 32127-2024</t>
        </is>
      </c>
      <c r="B492" s="1" t="n">
        <v>45511</v>
      </c>
      <c r="C492" s="1" t="n">
        <v>45910</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55953-2020</t>
        </is>
      </c>
      <c r="B493" s="1" t="n">
        <v>44131</v>
      </c>
      <c r="C493" s="1" t="n">
        <v>45910</v>
      </c>
      <c r="D493" t="inlineStr">
        <is>
          <t>UPPSALA LÄN</t>
        </is>
      </c>
      <c r="E493" t="inlineStr">
        <is>
          <t>UPPSALA</t>
        </is>
      </c>
      <c r="F493" t="inlineStr">
        <is>
          <t>Allmännings- och besparingsskogar</t>
        </is>
      </c>
      <c r="G493" t="n">
        <v>74.40000000000001</v>
      </c>
      <c r="H493" t="n">
        <v>0</v>
      </c>
      <c r="I493" t="n">
        <v>0</v>
      </c>
      <c r="J493" t="n">
        <v>0</v>
      </c>
      <c r="K493" t="n">
        <v>0</v>
      </c>
      <c r="L493" t="n">
        <v>0</v>
      </c>
      <c r="M493" t="n">
        <v>0</v>
      </c>
      <c r="N493" t="n">
        <v>0</v>
      </c>
      <c r="O493" t="n">
        <v>0</v>
      </c>
      <c r="P493" t="n">
        <v>0</v>
      </c>
      <c r="Q493" t="n">
        <v>0</v>
      </c>
      <c r="R493" s="2" t="inlineStr"/>
    </row>
    <row r="494" ht="15" customHeight="1">
      <c r="A494" t="inlineStr">
        <is>
          <t>A 43031-2023</t>
        </is>
      </c>
      <c r="B494" s="1" t="n">
        <v>45182</v>
      </c>
      <c r="C494" s="1" t="n">
        <v>45910</v>
      </c>
      <c r="D494" t="inlineStr">
        <is>
          <t>UPPSALA LÄN</t>
        </is>
      </c>
      <c r="E494" t="inlineStr">
        <is>
          <t>UPPSALA</t>
        </is>
      </c>
      <c r="G494" t="n">
        <v>2.3</v>
      </c>
      <c r="H494" t="n">
        <v>0</v>
      </c>
      <c r="I494" t="n">
        <v>0</v>
      </c>
      <c r="J494" t="n">
        <v>0</v>
      </c>
      <c r="K494" t="n">
        <v>0</v>
      </c>
      <c r="L494" t="n">
        <v>0</v>
      </c>
      <c r="M494" t="n">
        <v>0</v>
      </c>
      <c r="N494" t="n">
        <v>0</v>
      </c>
      <c r="O494" t="n">
        <v>0</v>
      </c>
      <c r="P494" t="n">
        <v>0</v>
      </c>
      <c r="Q494" t="n">
        <v>0</v>
      </c>
      <c r="R494" s="2" t="inlineStr"/>
    </row>
    <row r="495" ht="15" customHeight="1">
      <c r="A495" t="inlineStr">
        <is>
          <t>A 26696-2025</t>
        </is>
      </c>
      <c r="B495" s="1" t="n">
        <v>45810.44299768518</v>
      </c>
      <c r="C495" s="1" t="n">
        <v>45910</v>
      </c>
      <c r="D495" t="inlineStr">
        <is>
          <t>UPPSALA LÄN</t>
        </is>
      </c>
      <c r="E495" t="inlineStr">
        <is>
          <t>UPPSALA</t>
        </is>
      </c>
      <c r="F495" t="inlineStr">
        <is>
          <t>Bergvik skog öst AB</t>
        </is>
      </c>
      <c r="G495" t="n">
        <v>7.1</v>
      </c>
      <c r="H495" t="n">
        <v>0</v>
      </c>
      <c r="I495" t="n">
        <v>0</v>
      </c>
      <c r="J495" t="n">
        <v>0</v>
      </c>
      <c r="K495" t="n">
        <v>0</v>
      </c>
      <c r="L495" t="n">
        <v>0</v>
      </c>
      <c r="M495" t="n">
        <v>0</v>
      </c>
      <c r="N495" t="n">
        <v>0</v>
      </c>
      <c r="O495" t="n">
        <v>0</v>
      </c>
      <c r="P495" t="n">
        <v>0</v>
      </c>
      <c r="Q495" t="n">
        <v>0</v>
      </c>
      <c r="R495" s="2" t="inlineStr"/>
    </row>
    <row r="496" ht="15" customHeight="1">
      <c r="A496" t="inlineStr">
        <is>
          <t>A 33191-2023</t>
        </is>
      </c>
      <c r="B496" s="1" t="n">
        <v>45127</v>
      </c>
      <c r="C496" s="1" t="n">
        <v>45910</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59133-2022</t>
        </is>
      </c>
      <c r="B497" s="1" t="n">
        <v>44904</v>
      </c>
      <c r="C497" s="1" t="n">
        <v>45910</v>
      </c>
      <c r="D497" t="inlineStr">
        <is>
          <t>UPPSALA LÄN</t>
        </is>
      </c>
      <c r="E497" t="inlineStr">
        <is>
          <t>UPPSALA</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50473-2023</t>
        </is>
      </c>
      <c r="B498" s="1" t="n">
        <v>45216</v>
      </c>
      <c r="C498" s="1" t="n">
        <v>45910</v>
      </c>
      <c r="D498" t="inlineStr">
        <is>
          <t>UPPSALA LÄN</t>
        </is>
      </c>
      <c r="E498" t="inlineStr">
        <is>
          <t>UPPSALA</t>
        </is>
      </c>
      <c r="F498" t="inlineStr">
        <is>
          <t>Allmännings- och besparingsskogar</t>
        </is>
      </c>
      <c r="G498" t="n">
        <v>7.6</v>
      </c>
      <c r="H498" t="n">
        <v>0</v>
      </c>
      <c r="I498" t="n">
        <v>0</v>
      </c>
      <c r="J498" t="n">
        <v>0</v>
      </c>
      <c r="K498" t="n">
        <v>0</v>
      </c>
      <c r="L498" t="n">
        <v>0</v>
      </c>
      <c r="M498" t="n">
        <v>0</v>
      </c>
      <c r="N498" t="n">
        <v>0</v>
      </c>
      <c r="O498" t="n">
        <v>0</v>
      </c>
      <c r="P498" t="n">
        <v>0</v>
      </c>
      <c r="Q498" t="n">
        <v>0</v>
      </c>
      <c r="R498" s="2" t="inlineStr"/>
    </row>
    <row r="499" ht="15" customHeight="1">
      <c r="A499" t="inlineStr">
        <is>
          <t>A 60056-2022</t>
        </is>
      </c>
      <c r="B499" s="1" t="n">
        <v>44909</v>
      </c>
      <c r="C499" s="1" t="n">
        <v>45910</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55220-2020</t>
        </is>
      </c>
      <c r="B500" s="1" t="n">
        <v>44130</v>
      </c>
      <c r="C500" s="1" t="n">
        <v>45910</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42124-2021</t>
        </is>
      </c>
      <c r="B501" s="1" t="n">
        <v>44426</v>
      </c>
      <c r="C501" s="1" t="n">
        <v>45910</v>
      </c>
      <c r="D501" t="inlineStr">
        <is>
          <t>UPPSALA LÄN</t>
        </is>
      </c>
      <c r="E501" t="inlineStr">
        <is>
          <t>UPPSALA</t>
        </is>
      </c>
      <c r="G501" t="n">
        <v>6.3</v>
      </c>
      <c r="H501" t="n">
        <v>0</v>
      </c>
      <c r="I501" t="n">
        <v>0</v>
      </c>
      <c r="J501" t="n">
        <v>0</v>
      </c>
      <c r="K501" t="n">
        <v>0</v>
      </c>
      <c r="L501" t="n">
        <v>0</v>
      </c>
      <c r="M501" t="n">
        <v>0</v>
      </c>
      <c r="N501" t="n">
        <v>0</v>
      </c>
      <c r="O501" t="n">
        <v>0</v>
      </c>
      <c r="P501" t="n">
        <v>0</v>
      </c>
      <c r="Q501" t="n">
        <v>0</v>
      </c>
      <c r="R501" s="2" t="inlineStr"/>
    </row>
    <row r="502" ht="15" customHeight="1">
      <c r="A502" t="inlineStr">
        <is>
          <t>A 27265-2025</t>
        </is>
      </c>
      <c r="B502" s="1" t="n">
        <v>45812.48032407407</v>
      </c>
      <c r="C502" s="1" t="n">
        <v>45910</v>
      </c>
      <c r="D502" t="inlineStr">
        <is>
          <t>UPPSALA LÄN</t>
        </is>
      </c>
      <c r="E502" t="inlineStr">
        <is>
          <t>UPPSALA</t>
        </is>
      </c>
      <c r="G502" t="n">
        <v>0.5</v>
      </c>
      <c r="H502" t="n">
        <v>0</v>
      </c>
      <c r="I502" t="n">
        <v>0</v>
      </c>
      <c r="J502" t="n">
        <v>0</v>
      </c>
      <c r="K502" t="n">
        <v>0</v>
      </c>
      <c r="L502" t="n">
        <v>0</v>
      </c>
      <c r="M502" t="n">
        <v>0</v>
      </c>
      <c r="N502" t="n">
        <v>0</v>
      </c>
      <c r="O502" t="n">
        <v>0</v>
      </c>
      <c r="P502" t="n">
        <v>0</v>
      </c>
      <c r="Q502" t="n">
        <v>0</v>
      </c>
      <c r="R502" s="2" t="inlineStr"/>
    </row>
    <row r="503" ht="15" customHeight="1">
      <c r="A503" t="inlineStr">
        <is>
          <t>A 53365-2024</t>
        </is>
      </c>
      <c r="B503" s="1" t="n">
        <v>45614</v>
      </c>
      <c r="C503" s="1" t="n">
        <v>45910</v>
      </c>
      <c r="D503" t="inlineStr">
        <is>
          <t>UPPSALA LÄN</t>
        </is>
      </c>
      <c r="E503" t="inlineStr">
        <is>
          <t>UPPSALA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35142-2023</t>
        </is>
      </c>
      <c r="B504" s="1" t="n">
        <v>45145</v>
      </c>
      <c r="C504" s="1" t="n">
        <v>45910</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row>
    <row r="505" ht="15" customHeight="1">
      <c r="A505" t="inlineStr">
        <is>
          <t>A 27538-2025</t>
        </is>
      </c>
      <c r="B505" s="1" t="n">
        <v>45813.46034722222</v>
      </c>
      <c r="C505" s="1" t="n">
        <v>45910</v>
      </c>
      <c r="D505" t="inlineStr">
        <is>
          <t>UPPSALA LÄN</t>
        </is>
      </c>
      <c r="E505" t="inlineStr">
        <is>
          <t>UPPSALA</t>
        </is>
      </c>
      <c r="G505" t="n">
        <v>3.1</v>
      </c>
      <c r="H505" t="n">
        <v>0</v>
      </c>
      <c r="I505" t="n">
        <v>0</v>
      </c>
      <c r="J505" t="n">
        <v>0</v>
      </c>
      <c r="K505" t="n">
        <v>0</v>
      </c>
      <c r="L505" t="n">
        <v>0</v>
      </c>
      <c r="M505" t="n">
        <v>0</v>
      </c>
      <c r="N505" t="n">
        <v>0</v>
      </c>
      <c r="O505" t="n">
        <v>0</v>
      </c>
      <c r="P505" t="n">
        <v>0</v>
      </c>
      <c r="Q505" t="n">
        <v>0</v>
      </c>
      <c r="R505" s="2" t="inlineStr"/>
    </row>
    <row r="506" ht="15" customHeight="1">
      <c r="A506" t="inlineStr">
        <is>
          <t>A 39795-2022</t>
        </is>
      </c>
      <c r="B506" s="1" t="n">
        <v>44819.50233796296</v>
      </c>
      <c r="C506" s="1" t="n">
        <v>45910</v>
      </c>
      <c r="D506" t="inlineStr">
        <is>
          <t>UPPSALA LÄN</t>
        </is>
      </c>
      <c r="E506" t="inlineStr">
        <is>
          <t>UPPSALA</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27706-2025</t>
        </is>
      </c>
      <c r="B507" s="1" t="n">
        <v>45813</v>
      </c>
      <c r="C507" s="1" t="n">
        <v>45910</v>
      </c>
      <c r="D507" t="inlineStr">
        <is>
          <t>UPPSALA LÄN</t>
        </is>
      </c>
      <c r="E507" t="inlineStr">
        <is>
          <t>UPPSALA</t>
        </is>
      </c>
      <c r="G507" t="n">
        <v>0.8</v>
      </c>
      <c r="H507" t="n">
        <v>0</v>
      </c>
      <c r="I507" t="n">
        <v>0</v>
      </c>
      <c r="J507" t="n">
        <v>0</v>
      </c>
      <c r="K507" t="n">
        <v>0</v>
      </c>
      <c r="L507" t="n">
        <v>0</v>
      </c>
      <c r="M507" t="n">
        <v>0</v>
      </c>
      <c r="N507" t="n">
        <v>0</v>
      </c>
      <c r="O507" t="n">
        <v>0</v>
      </c>
      <c r="P507" t="n">
        <v>0</v>
      </c>
      <c r="Q507" t="n">
        <v>0</v>
      </c>
      <c r="R507" s="2" t="inlineStr"/>
    </row>
    <row r="508" ht="15" customHeight="1">
      <c r="A508" t="inlineStr">
        <is>
          <t>A 11409-2025</t>
        </is>
      </c>
      <c r="B508" s="1" t="n">
        <v>45726</v>
      </c>
      <c r="C508" s="1" t="n">
        <v>45910</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668-2025</t>
        </is>
      </c>
      <c r="B509" s="1" t="n">
        <v>45664</v>
      </c>
      <c r="C509" s="1" t="n">
        <v>45910</v>
      </c>
      <c r="D509" t="inlineStr">
        <is>
          <t>UPPSALA LÄN</t>
        </is>
      </c>
      <c r="E509" t="inlineStr">
        <is>
          <t>UPPSALA</t>
        </is>
      </c>
      <c r="F509" t="inlineStr">
        <is>
          <t>Bergvik skog öst AB</t>
        </is>
      </c>
      <c r="G509" t="n">
        <v>4.7</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45910</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10489-2025</t>
        </is>
      </c>
      <c r="B511" s="1" t="n">
        <v>45721.34715277778</v>
      </c>
      <c r="C511" s="1" t="n">
        <v>45910</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27917-2025</t>
        </is>
      </c>
      <c r="B512" s="1" t="n">
        <v>45814</v>
      </c>
      <c r="C512" s="1" t="n">
        <v>45910</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6408-2022</t>
        </is>
      </c>
      <c r="B513" s="1" t="n">
        <v>44600</v>
      </c>
      <c r="C513" s="1" t="n">
        <v>45910</v>
      </c>
      <c r="D513" t="inlineStr">
        <is>
          <t>UPPSALA LÄN</t>
        </is>
      </c>
      <c r="E513" t="inlineStr">
        <is>
          <t>UPPSALA</t>
        </is>
      </c>
      <c r="F513" t="inlineStr">
        <is>
          <t>Bergvik skog öst AB</t>
        </is>
      </c>
      <c r="G513" t="n">
        <v>1.8</v>
      </c>
      <c r="H513" t="n">
        <v>0</v>
      </c>
      <c r="I513" t="n">
        <v>0</v>
      </c>
      <c r="J513" t="n">
        <v>0</v>
      </c>
      <c r="K513" t="n">
        <v>0</v>
      </c>
      <c r="L513" t="n">
        <v>0</v>
      </c>
      <c r="M513" t="n">
        <v>0</v>
      </c>
      <c r="N513" t="n">
        <v>0</v>
      </c>
      <c r="O513" t="n">
        <v>0</v>
      </c>
      <c r="P513" t="n">
        <v>0</v>
      </c>
      <c r="Q513" t="n">
        <v>0</v>
      </c>
      <c r="R513" s="2" t="inlineStr"/>
    </row>
    <row r="514" ht="15" customHeight="1">
      <c r="A514" t="inlineStr">
        <is>
          <t>A 24098-2024</t>
        </is>
      </c>
      <c r="B514" s="1" t="n">
        <v>45456.59535879629</v>
      </c>
      <c r="C514" s="1" t="n">
        <v>45910</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5722-2025</t>
        </is>
      </c>
      <c r="B515" s="1" t="n">
        <v>45694</v>
      </c>
      <c r="C515" s="1" t="n">
        <v>45910</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37316-2022</t>
        </is>
      </c>
      <c r="B516" s="1" t="n">
        <v>44806</v>
      </c>
      <c r="C516" s="1" t="n">
        <v>45910</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73531-2021</t>
        </is>
      </c>
      <c r="B517" s="1" t="n">
        <v>44551.76711805556</v>
      </c>
      <c r="C517" s="1" t="n">
        <v>45910</v>
      </c>
      <c r="D517" t="inlineStr">
        <is>
          <t>UPPSALA LÄN</t>
        </is>
      </c>
      <c r="E517" t="inlineStr">
        <is>
          <t>UPPSALA</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6363-2024</t>
        </is>
      </c>
      <c r="B518" s="1" t="n">
        <v>45338.49412037037</v>
      </c>
      <c r="C518" s="1" t="n">
        <v>45910</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28121-2025</t>
        </is>
      </c>
      <c r="B519" s="1" t="n">
        <v>45817</v>
      </c>
      <c r="C519" s="1" t="n">
        <v>45910</v>
      </c>
      <c r="D519" t="inlineStr">
        <is>
          <t>UPPSALA LÄN</t>
        </is>
      </c>
      <c r="E519" t="inlineStr">
        <is>
          <t>UPPSALA</t>
        </is>
      </c>
      <c r="G519" t="n">
        <v>5.6</v>
      </c>
      <c r="H519" t="n">
        <v>0</v>
      </c>
      <c r="I519" t="n">
        <v>0</v>
      </c>
      <c r="J519" t="n">
        <v>0</v>
      </c>
      <c r="K519" t="n">
        <v>0</v>
      </c>
      <c r="L519" t="n">
        <v>0</v>
      </c>
      <c r="M519" t="n">
        <v>0</v>
      </c>
      <c r="N519" t="n">
        <v>0</v>
      </c>
      <c r="O519" t="n">
        <v>0</v>
      </c>
      <c r="P519" t="n">
        <v>0</v>
      </c>
      <c r="Q519" t="n">
        <v>0</v>
      </c>
      <c r="R519" s="2" t="inlineStr"/>
    </row>
    <row r="520" ht="15" customHeight="1">
      <c r="A520" t="inlineStr">
        <is>
          <t>A 54808-2023</t>
        </is>
      </c>
      <c r="B520" s="1" t="n">
        <v>45236</v>
      </c>
      <c r="C520" s="1" t="n">
        <v>45910</v>
      </c>
      <c r="D520" t="inlineStr">
        <is>
          <t>UPPSALA LÄN</t>
        </is>
      </c>
      <c r="E520" t="inlineStr">
        <is>
          <t>UPPSALA</t>
        </is>
      </c>
      <c r="G520" t="n">
        <v>4.1</v>
      </c>
      <c r="H520" t="n">
        <v>0</v>
      </c>
      <c r="I520" t="n">
        <v>0</v>
      </c>
      <c r="J520" t="n">
        <v>0</v>
      </c>
      <c r="K520" t="n">
        <v>0</v>
      </c>
      <c r="L520" t="n">
        <v>0</v>
      </c>
      <c r="M520" t="n">
        <v>0</v>
      </c>
      <c r="N520" t="n">
        <v>0</v>
      </c>
      <c r="O520" t="n">
        <v>0</v>
      </c>
      <c r="P520" t="n">
        <v>0</v>
      </c>
      <c r="Q520" t="n">
        <v>0</v>
      </c>
      <c r="R520" s="2" t="inlineStr"/>
    </row>
    <row r="521" ht="15" customHeight="1">
      <c r="A521" t="inlineStr">
        <is>
          <t>A 54783-2023</t>
        </is>
      </c>
      <c r="B521" s="1" t="n">
        <v>45236.47697916667</v>
      </c>
      <c r="C521" s="1" t="n">
        <v>45910</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6677-2024</t>
        </is>
      </c>
      <c r="B522" s="1" t="n">
        <v>45341</v>
      </c>
      <c r="C522" s="1" t="n">
        <v>45910</v>
      </c>
      <c r="D522" t="inlineStr">
        <is>
          <t>UPPSALA LÄN</t>
        </is>
      </c>
      <c r="E522" t="inlineStr">
        <is>
          <t>UPPSALA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54813-2022</t>
        </is>
      </c>
      <c r="B523" s="1" t="n">
        <v>44883</v>
      </c>
      <c r="C523" s="1" t="n">
        <v>45910</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28275-2025</t>
        </is>
      </c>
      <c r="B524" s="1" t="n">
        <v>45818.57910879629</v>
      </c>
      <c r="C524" s="1" t="n">
        <v>45910</v>
      </c>
      <c r="D524" t="inlineStr">
        <is>
          <t>UPPSALA LÄN</t>
        </is>
      </c>
      <c r="E524" t="inlineStr">
        <is>
          <t>UPPSALA</t>
        </is>
      </c>
      <c r="F524" t="inlineStr">
        <is>
          <t>Holmen skog AB</t>
        </is>
      </c>
      <c r="G524" t="n">
        <v>6.5</v>
      </c>
      <c r="H524" t="n">
        <v>0</v>
      </c>
      <c r="I524" t="n">
        <v>0</v>
      </c>
      <c r="J524" t="n">
        <v>0</v>
      </c>
      <c r="K524" t="n">
        <v>0</v>
      </c>
      <c r="L524" t="n">
        <v>0</v>
      </c>
      <c r="M524" t="n">
        <v>0</v>
      </c>
      <c r="N524" t="n">
        <v>0</v>
      </c>
      <c r="O524" t="n">
        <v>0</v>
      </c>
      <c r="P524" t="n">
        <v>0</v>
      </c>
      <c r="Q524" t="n">
        <v>0</v>
      </c>
      <c r="R524" s="2" t="inlineStr"/>
    </row>
    <row r="525" ht="15" customHeight="1">
      <c r="A525" t="inlineStr">
        <is>
          <t>A 27922-2025</t>
        </is>
      </c>
      <c r="B525" s="1" t="n">
        <v>45817</v>
      </c>
      <c r="C525" s="1" t="n">
        <v>45910</v>
      </c>
      <c r="D525" t="inlineStr">
        <is>
          <t>UPPSALA LÄN</t>
        </is>
      </c>
      <c r="E525" t="inlineStr">
        <is>
          <t>UPPSALA</t>
        </is>
      </c>
      <c r="F525" t="inlineStr">
        <is>
          <t>Övriga Aktiebolag</t>
        </is>
      </c>
      <c r="G525" t="n">
        <v>0.1</v>
      </c>
      <c r="H525" t="n">
        <v>0</v>
      </c>
      <c r="I525" t="n">
        <v>0</v>
      </c>
      <c r="J525" t="n">
        <v>0</v>
      </c>
      <c r="K525" t="n">
        <v>0</v>
      </c>
      <c r="L525" t="n">
        <v>0</v>
      </c>
      <c r="M525" t="n">
        <v>0</v>
      </c>
      <c r="N525" t="n">
        <v>0</v>
      </c>
      <c r="O525" t="n">
        <v>0</v>
      </c>
      <c r="P525" t="n">
        <v>0</v>
      </c>
      <c r="Q525" t="n">
        <v>0</v>
      </c>
      <c r="R525" s="2" t="inlineStr"/>
    </row>
    <row r="526" ht="15" customHeight="1">
      <c r="A526" t="inlineStr">
        <is>
          <t>A 35542-2022</t>
        </is>
      </c>
      <c r="B526" s="1" t="n">
        <v>44799.36695601852</v>
      </c>
      <c r="C526" s="1" t="n">
        <v>45910</v>
      </c>
      <c r="D526" t="inlineStr">
        <is>
          <t>UPPSALA LÄN</t>
        </is>
      </c>
      <c r="E526" t="inlineStr">
        <is>
          <t>UPPSALA</t>
        </is>
      </c>
      <c r="G526" t="n">
        <v>3.2</v>
      </c>
      <c r="H526" t="n">
        <v>0</v>
      </c>
      <c r="I526" t="n">
        <v>0</v>
      </c>
      <c r="J526" t="n">
        <v>0</v>
      </c>
      <c r="K526" t="n">
        <v>0</v>
      </c>
      <c r="L526" t="n">
        <v>0</v>
      </c>
      <c r="M526" t="n">
        <v>0</v>
      </c>
      <c r="N526" t="n">
        <v>0</v>
      </c>
      <c r="O526" t="n">
        <v>0</v>
      </c>
      <c r="P526" t="n">
        <v>0</v>
      </c>
      <c r="Q526" t="n">
        <v>0</v>
      </c>
      <c r="R526" s="2" t="inlineStr"/>
    </row>
    <row r="527" ht="15" customHeight="1">
      <c r="A527" t="inlineStr">
        <is>
          <t>A 13526-2023</t>
        </is>
      </c>
      <c r="B527" s="1" t="n">
        <v>45006</v>
      </c>
      <c r="C527" s="1" t="n">
        <v>45910</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47221-2023</t>
        </is>
      </c>
      <c r="B528" s="1" t="n">
        <v>45202</v>
      </c>
      <c r="C528" s="1" t="n">
        <v>45910</v>
      </c>
      <c r="D528" t="inlineStr">
        <is>
          <t>UPPSALA LÄN</t>
        </is>
      </c>
      <c r="E528" t="inlineStr">
        <is>
          <t>UPPSALA</t>
        </is>
      </c>
      <c r="G528" t="n">
        <v>8.6</v>
      </c>
      <c r="H528" t="n">
        <v>0</v>
      </c>
      <c r="I528" t="n">
        <v>0</v>
      </c>
      <c r="J528" t="n">
        <v>0</v>
      </c>
      <c r="K528" t="n">
        <v>0</v>
      </c>
      <c r="L528" t="n">
        <v>0</v>
      </c>
      <c r="M528" t="n">
        <v>0</v>
      </c>
      <c r="N528" t="n">
        <v>0</v>
      </c>
      <c r="O528" t="n">
        <v>0</v>
      </c>
      <c r="P528" t="n">
        <v>0</v>
      </c>
      <c r="Q528" t="n">
        <v>0</v>
      </c>
      <c r="R528" s="2" t="inlineStr"/>
    </row>
    <row r="529" ht="15" customHeight="1">
      <c r="A529" t="inlineStr">
        <is>
          <t>A 27442-2024</t>
        </is>
      </c>
      <c r="B529" s="1" t="n">
        <v>45474.41729166666</v>
      </c>
      <c r="C529" s="1" t="n">
        <v>45910</v>
      </c>
      <c r="D529" t="inlineStr">
        <is>
          <t>UPPSALA LÄN</t>
        </is>
      </c>
      <c r="E529" t="inlineStr">
        <is>
          <t>UPPSALA</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28876-2025</t>
        </is>
      </c>
      <c r="B530" s="1" t="n">
        <v>45820</v>
      </c>
      <c r="C530" s="1" t="n">
        <v>45910</v>
      </c>
      <c r="D530" t="inlineStr">
        <is>
          <t>UPPSALA LÄN</t>
        </is>
      </c>
      <c r="E530" t="inlineStr">
        <is>
          <t>UPPSALA</t>
        </is>
      </c>
      <c r="G530" t="n">
        <v>4</v>
      </c>
      <c r="H530" t="n">
        <v>0</v>
      </c>
      <c r="I530" t="n">
        <v>0</v>
      </c>
      <c r="J530" t="n">
        <v>0</v>
      </c>
      <c r="K530" t="n">
        <v>0</v>
      </c>
      <c r="L530" t="n">
        <v>0</v>
      </c>
      <c r="M530" t="n">
        <v>0</v>
      </c>
      <c r="N530" t="n">
        <v>0</v>
      </c>
      <c r="O530" t="n">
        <v>0</v>
      </c>
      <c r="P530" t="n">
        <v>0</v>
      </c>
      <c r="Q530" t="n">
        <v>0</v>
      </c>
      <c r="R530" s="2" t="inlineStr"/>
    </row>
    <row r="531" ht="15" customHeight="1">
      <c r="A531" t="inlineStr">
        <is>
          <t>A 3040-2023</t>
        </is>
      </c>
      <c r="B531" s="1" t="n">
        <v>44946</v>
      </c>
      <c r="C531" s="1" t="n">
        <v>45910</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47316-2023</t>
        </is>
      </c>
      <c r="B532" s="1" t="n">
        <v>45202.4997337963</v>
      </c>
      <c r="C532" s="1" t="n">
        <v>45910</v>
      </c>
      <c r="D532" t="inlineStr">
        <is>
          <t>UPPSALA LÄN</t>
        </is>
      </c>
      <c r="E532" t="inlineStr">
        <is>
          <t>UPPSALA</t>
        </is>
      </c>
      <c r="F532" t="inlineStr">
        <is>
          <t>Bergvik skog öst AB</t>
        </is>
      </c>
      <c r="G532" t="n">
        <v>0.3</v>
      </c>
      <c r="H532" t="n">
        <v>0</v>
      </c>
      <c r="I532" t="n">
        <v>0</v>
      </c>
      <c r="J532" t="n">
        <v>0</v>
      </c>
      <c r="K532" t="n">
        <v>0</v>
      </c>
      <c r="L532" t="n">
        <v>0</v>
      </c>
      <c r="M532" t="n">
        <v>0</v>
      </c>
      <c r="N532" t="n">
        <v>0</v>
      </c>
      <c r="O532" t="n">
        <v>0</v>
      </c>
      <c r="P532" t="n">
        <v>0</v>
      </c>
      <c r="Q532" t="n">
        <v>0</v>
      </c>
      <c r="R532" s="2" t="inlineStr"/>
    </row>
    <row r="533" ht="15" customHeight="1">
      <c r="A533" t="inlineStr">
        <is>
          <t>A 66983-2021</t>
        </is>
      </c>
      <c r="B533" s="1" t="n">
        <v>44522</v>
      </c>
      <c r="C533" s="1" t="n">
        <v>45910</v>
      </c>
      <c r="D533" t="inlineStr">
        <is>
          <t>UPPSALA LÄN</t>
        </is>
      </c>
      <c r="E533" t="inlineStr">
        <is>
          <t>UPPSALA</t>
        </is>
      </c>
      <c r="G533" t="n">
        <v>2.5</v>
      </c>
      <c r="H533" t="n">
        <v>0</v>
      </c>
      <c r="I533" t="n">
        <v>0</v>
      </c>
      <c r="J533" t="n">
        <v>0</v>
      </c>
      <c r="K533" t="n">
        <v>0</v>
      </c>
      <c r="L533" t="n">
        <v>0</v>
      </c>
      <c r="M533" t="n">
        <v>0</v>
      </c>
      <c r="N533" t="n">
        <v>0</v>
      </c>
      <c r="O533" t="n">
        <v>0</v>
      </c>
      <c r="P533" t="n">
        <v>0</v>
      </c>
      <c r="Q533" t="n">
        <v>0</v>
      </c>
      <c r="R533" s="2" t="inlineStr"/>
    </row>
    <row r="534" ht="15" customHeight="1">
      <c r="A534" t="inlineStr">
        <is>
          <t>A 28871-2025</t>
        </is>
      </c>
      <c r="B534" s="1" t="n">
        <v>45820</v>
      </c>
      <c r="C534" s="1" t="n">
        <v>45910</v>
      </c>
      <c r="D534" t="inlineStr">
        <is>
          <t>UPPSALA LÄN</t>
        </is>
      </c>
      <c r="E534" t="inlineStr">
        <is>
          <t>UPPSALA</t>
        </is>
      </c>
      <c r="G534" t="n">
        <v>6.5</v>
      </c>
      <c r="H534" t="n">
        <v>0</v>
      </c>
      <c r="I534" t="n">
        <v>0</v>
      </c>
      <c r="J534" t="n">
        <v>0</v>
      </c>
      <c r="K534" t="n">
        <v>0</v>
      </c>
      <c r="L534" t="n">
        <v>0</v>
      </c>
      <c r="M534" t="n">
        <v>0</v>
      </c>
      <c r="N534" t="n">
        <v>0</v>
      </c>
      <c r="O534" t="n">
        <v>0</v>
      </c>
      <c r="P534" t="n">
        <v>0</v>
      </c>
      <c r="Q534" t="n">
        <v>0</v>
      </c>
      <c r="R534" s="2" t="inlineStr"/>
    </row>
    <row r="535" ht="15" customHeight="1">
      <c r="A535" t="inlineStr">
        <is>
          <t>A 28878-2025</t>
        </is>
      </c>
      <c r="B535" s="1" t="n">
        <v>45820</v>
      </c>
      <c r="C535" s="1" t="n">
        <v>45910</v>
      </c>
      <c r="D535" t="inlineStr">
        <is>
          <t>UPPSALA LÄN</t>
        </is>
      </c>
      <c r="E535" t="inlineStr">
        <is>
          <t>UPPSALA</t>
        </is>
      </c>
      <c r="G535" t="n">
        <v>5.5</v>
      </c>
      <c r="H535" t="n">
        <v>0</v>
      </c>
      <c r="I535" t="n">
        <v>0</v>
      </c>
      <c r="J535" t="n">
        <v>0</v>
      </c>
      <c r="K535" t="n">
        <v>0</v>
      </c>
      <c r="L535" t="n">
        <v>0</v>
      </c>
      <c r="M535" t="n">
        <v>0</v>
      </c>
      <c r="N535" t="n">
        <v>0</v>
      </c>
      <c r="O535" t="n">
        <v>0</v>
      </c>
      <c r="P535" t="n">
        <v>0</v>
      </c>
      <c r="Q535" t="n">
        <v>0</v>
      </c>
      <c r="R535" s="2" t="inlineStr"/>
    </row>
    <row r="536" ht="15" customHeight="1">
      <c r="A536" t="inlineStr">
        <is>
          <t>A 6851-2022</t>
        </is>
      </c>
      <c r="B536" s="1" t="n">
        <v>44602</v>
      </c>
      <c r="C536" s="1" t="n">
        <v>45910</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29030-2025</t>
        </is>
      </c>
      <c r="B537" s="1" t="n">
        <v>45821.44101851852</v>
      </c>
      <c r="C537" s="1" t="n">
        <v>45910</v>
      </c>
      <c r="D537" t="inlineStr">
        <is>
          <t>UPPSALA LÄN</t>
        </is>
      </c>
      <c r="E537" t="inlineStr">
        <is>
          <t>UPPSALA</t>
        </is>
      </c>
      <c r="G537" t="n">
        <v>3.9</v>
      </c>
      <c r="H537" t="n">
        <v>0</v>
      </c>
      <c r="I537" t="n">
        <v>0</v>
      </c>
      <c r="J537" t="n">
        <v>0</v>
      </c>
      <c r="K537" t="n">
        <v>0</v>
      </c>
      <c r="L537" t="n">
        <v>0</v>
      </c>
      <c r="M537" t="n">
        <v>0</v>
      </c>
      <c r="N537" t="n">
        <v>0</v>
      </c>
      <c r="O537" t="n">
        <v>0</v>
      </c>
      <c r="P537" t="n">
        <v>0</v>
      </c>
      <c r="Q537" t="n">
        <v>0</v>
      </c>
      <c r="R537" s="2" t="inlineStr"/>
    </row>
    <row r="538" ht="15" customHeight="1">
      <c r="A538" t="inlineStr">
        <is>
          <t>A 5028-2022</t>
        </is>
      </c>
      <c r="B538" s="1" t="n">
        <v>44593.64863425926</v>
      </c>
      <c r="C538" s="1" t="n">
        <v>45910</v>
      </c>
      <c r="D538" t="inlineStr">
        <is>
          <t>UPPSALA LÄN</t>
        </is>
      </c>
      <c r="E538" t="inlineStr">
        <is>
          <t>UPPSALA</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39107-2023</t>
        </is>
      </c>
      <c r="B539" s="1" t="n">
        <v>45164.82913194445</v>
      </c>
      <c r="C539" s="1" t="n">
        <v>45910</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36479-2023</t>
        </is>
      </c>
      <c r="B540" s="1" t="n">
        <v>45152</v>
      </c>
      <c r="C540" s="1" t="n">
        <v>45910</v>
      </c>
      <c r="D540" t="inlineStr">
        <is>
          <t>UPPSALA LÄN</t>
        </is>
      </c>
      <c r="E540" t="inlineStr">
        <is>
          <t>UPPSALA</t>
        </is>
      </c>
      <c r="F540" t="inlineStr">
        <is>
          <t>Allmännings- och besparingsskogar</t>
        </is>
      </c>
      <c r="G540" t="n">
        <v>3.4</v>
      </c>
      <c r="H540" t="n">
        <v>0</v>
      </c>
      <c r="I540" t="n">
        <v>0</v>
      </c>
      <c r="J540" t="n">
        <v>0</v>
      </c>
      <c r="K540" t="n">
        <v>0</v>
      </c>
      <c r="L540" t="n">
        <v>0</v>
      </c>
      <c r="M540" t="n">
        <v>0</v>
      </c>
      <c r="N540" t="n">
        <v>0</v>
      </c>
      <c r="O540" t="n">
        <v>0</v>
      </c>
      <c r="P540" t="n">
        <v>0</v>
      </c>
      <c r="Q540" t="n">
        <v>0</v>
      </c>
      <c r="R540" s="2" t="inlineStr"/>
    </row>
    <row r="541" ht="15" customHeight="1">
      <c r="A541" t="inlineStr">
        <is>
          <t>A 600-2024</t>
        </is>
      </c>
      <c r="B541" s="1" t="n">
        <v>45299</v>
      </c>
      <c r="C541" s="1" t="n">
        <v>45910</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54742-2020</t>
        </is>
      </c>
      <c r="B542" s="1" t="n">
        <v>44126</v>
      </c>
      <c r="C542" s="1" t="n">
        <v>45910</v>
      </c>
      <c r="D542" t="inlineStr">
        <is>
          <t>UPPSALA LÄN</t>
        </is>
      </c>
      <c r="E542" t="inlineStr">
        <is>
          <t>UPPSALA</t>
        </is>
      </c>
      <c r="G542" t="n">
        <v>3.6</v>
      </c>
      <c r="H542" t="n">
        <v>0</v>
      </c>
      <c r="I542" t="n">
        <v>0</v>
      </c>
      <c r="J542" t="n">
        <v>0</v>
      </c>
      <c r="K542" t="n">
        <v>0</v>
      </c>
      <c r="L542" t="n">
        <v>0</v>
      </c>
      <c r="M542" t="n">
        <v>0</v>
      </c>
      <c r="N542" t="n">
        <v>0</v>
      </c>
      <c r="O542" t="n">
        <v>0</v>
      </c>
      <c r="P542" t="n">
        <v>0</v>
      </c>
      <c r="Q542" t="n">
        <v>0</v>
      </c>
      <c r="R542" s="2" t="inlineStr"/>
    </row>
    <row r="543" ht="15" customHeight="1">
      <c r="A543" t="inlineStr">
        <is>
          <t>A 37819-2021</t>
        </is>
      </c>
      <c r="B543" s="1" t="n">
        <v>44403.29719907408</v>
      </c>
      <c r="C543" s="1" t="n">
        <v>45910</v>
      </c>
      <c r="D543" t="inlineStr">
        <is>
          <t>UPPSALA LÄN</t>
        </is>
      </c>
      <c r="E543" t="inlineStr">
        <is>
          <t>UPPSALA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29287-2025</t>
        </is>
      </c>
      <c r="B544" s="1" t="n">
        <v>45824.43798611111</v>
      </c>
      <c r="C544" s="1" t="n">
        <v>45910</v>
      </c>
      <c r="D544" t="inlineStr">
        <is>
          <t>UPPSALA LÄN</t>
        </is>
      </c>
      <c r="E544" t="inlineStr">
        <is>
          <t>UPPSALA</t>
        </is>
      </c>
      <c r="F544" t="inlineStr">
        <is>
          <t>Kyrkan</t>
        </is>
      </c>
      <c r="G544" t="n">
        <v>5.2</v>
      </c>
      <c r="H544" t="n">
        <v>0</v>
      </c>
      <c r="I544" t="n">
        <v>0</v>
      </c>
      <c r="J544" t="n">
        <v>0</v>
      </c>
      <c r="K544" t="n">
        <v>0</v>
      </c>
      <c r="L544" t="n">
        <v>0</v>
      </c>
      <c r="M544" t="n">
        <v>0</v>
      </c>
      <c r="N544" t="n">
        <v>0</v>
      </c>
      <c r="O544" t="n">
        <v>0</v>
      </c>
      <c r="P544" t="n">
        <v>0</v>
      </c>
      <c r="Q544" t="n">
        <v>0</v>
      </c>
      <c r="R544" s="2" t="inlineStr"/>
    </row>
    <row r="545" ht="15" customHeight="1">
      <c r="A545" t="inlineStr">
        <is>
          <t>A 60003-2024</t>
        </is>
      </c>
      <c r="B545" s="1" t="n">
        <v>45642</v>
      </c>
      <c r="C545" s="1" t="n">
        <v>45910</v>
      </c>
      <c r="D545" t="inlineStr">
        <is>
          <t>UPPSALA LÄN</t>
        </is>
      </c>
      <c r="E545" t="inlineStr">
        <is>
          <t>UPPSALA</t>
        </is>
      </c>
      <c r="F545" t="inlineStr">
        <is>
          <t>Bergvik skog väst AB</t>
        </is>
      </c>
      <c r="G545" t="n">
        <v>14.5</v>
      </c>
      <c r="H545" t="n">
        <v>0</v>
      </c>
      <c r="I545" t="n">
        <v>0</v>
      </c>
      <c r="J545" t="n">
        <v>0</v>
      </c>
      <c r="K545" t="n">
        <v>0</v>
      </c>
      <c r="L545" t="n">
        <v>0</v>
      </c>
      <c r="M545" t="n">
        <v>0</v>
      </c>
      <c r="N545" t="n">
        <v>0</v>
      </c>
      <c r="O545" t="n">
        <v>0</v>
      </c>
      <c r="P545" t="n">
        <v>0</v>
      </c>
      <c r="Q545" t="n">
        <v>0</v>
      </c>
      <c r="R545" s="2" t="inlineStr"/>
    </row>
    <row r="546" ht="15" customHeight="1">
      <c r="A546" t="inlineStr">
        <is>
          <t>A 29664-2025</t>
        </is>
      </c>
      <c r="B546" s="1" t="n">
        <v>45825.49060185185</v>
      </c>
      <c r="C546" s="1" t="n">
        <v>45910</v>
      </c>
      <c r="D546" t="inlineStr">
        <is>
          <t>UPPSALA LÄN</t>
        </is>
      </c>
      <c r="E546" t="inlineStr">
        <is>
          <t>UPPSALA</t>
        </is>
      </c>
      <c r="F546" t="inlineStr">
        <is>
          <t>Holmen skog AB</t>
        </is>
      </c>
      <c r="G546" t="n">
        <v>16.8</v>
      </c>
      <c r="H546" t="n">
        <v>0</v>
      </c>
      <c r="I546" t="n">
        <v>0</v>
      </c>
      <c r="J546" t="n">
        <v>0</v>
      </c>
      <c r="K546" t="n">
        <v>0</v>
      </c>
      <c r="L546" t="n">
        <v>0</v>
      </c>
      <c r="M546" t="n">
        <v>0</v>
      </c>
      <c r="N546" t="n">
        <v>0</v>
      </c>
      <c r="O546" t="n">
        <v>0</v>
      </c>
      <c r="P546" t="n">
        <v>0</v>
      </c>
      <c r="Q546" t="n">
        <v>0</v>
      </c>
      <c r="R546" s="2" t="inlineStr"/>
    </row>
    <row r="547" ht="15" customHeight="1">
      <c r="A547" t="inlineStr">
        <is>
          <t>A 29627-2025</t>
        </is>
      </c>
      <c r="B547" s="1" t="n">
        <v>45825.44482638889</v>
      </c>
      <c r="C547" s="1" t="n">
        <v>45910</v>
      </c>
      <c r="D547" t="inlineStr">
        <is>
          <t>UPPSALA LÄN</t>
        </is>
      </c>
      <c r="E547" t="inlineStr">
        <is>
          <t>UPPSALA</t>
        </is>
      </c>
      <c r="F547" t="inlineStr">
        <is>
          <t>Kommuner</t>
        </is>
      </c>
      <c r="G547" t="n">
        <v>1.6</v>
      </c>
      <c r="H547" t="n">
        <v>0</v>
      </c>
      <c r="I547" t="n">
        <v>0</v>
      </c>
      <c r="J547" t="n">
        <v>0</v>
      </c>
      <c r="K547" t="n">
        <v>0</v>
      </c>
      <c r="L547" t="n">
        <v>0</v>
      </c>
      <c r="M547" t="n">
        <v>0</v>
      </c>
      <c r="N547" t="n">
        <v>0</v>
      </c>
      <c r="O547" t="n">
        <v>0</v>
      </c>
      <c r="P547" t="n">
        <v>0</v>
      </c>
      <c r="Q547" t="n">
        <v>0</v>
      </c>
      <c r="R547" s="2" t="inlineStr"/>
    </row>
    <row r="548" ht="15" customHeight="1">
      <c r="A548" t="inlineStr">
        <is>
          <t>A 29047-2025</t>
        </is>
      </c>
      <c r="B548" s="1" t="n">
        <v>45821.45905092593</v>
      </c>
      <c r="C548" s="1" t="n">
        <v>45910</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48564-2023</t>
        </is>
      </c>
      <c r="B549" s="1" t="n">
        <v>45208.4350462963</v>
      </c>
      <c r="C549" s="1" t="n">
        <v>45910</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1838-2024</t>
        </is>
      </c>
      <c r="B550" s="1" t="n">
        <v>45307</v>
      </c>
      <c r="C550" s="1" t="n">
        <v>45910</v>
      </c>
      <c r="D550" t="inlineStr">
        <is>
          <t>UPPSALA LÄN</t>
        </is>
      </c>
      <c r="E550" t="inlineStr">
        <is>
          <t>UPPSALA</t>
        </is>
      </c>
      <c r="G550" t="n">
        <v>1.8</v>
      </c>
      <c r="H550" t="n">
        <v>0</v>
      </c>
      <c r="I550" t="n">
        <v>0</v>
      </c>
      <c r="J550" t="n">
        <v>0</v>
      </c>
      <c r="K550" t="n">
        <v>0</v>
      </c>
      <c r="L550" t="n">
        <v>0</v>
      </c>
      <c r="M550" t="n">
        <v>0</v>
      </c>
      <c r="N550" t="n">
        <v>0</v>
      </c>
      <c r="O550" t="n">
        <v>0</v>
      </c>
      <c r="P550" t="n">
        <v>0</v>
      </c>
      <c r="Q550" t="n">
        <v>0</v>
      </c>
      <c r="R550" s="2" t="inlineStr"/>
    </row>
    <row r="551" ht="15" customHeight="1">
      <c r="A551" t="inlineStr">
        <is>
          <t>A 21727-2023</t>
        </is>
      </c>
      <c r="B551" s="1" t="n">
        <v>45065.43013888889</v>
      </c>
      <c r="C551" s="1" t="n">
        <v>45910</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18668-2024</t>
        </is>
      </c>
      <c r="B552" s="1" t="n">
        <v>45426.34148148148</v>
      </c>
      <c r="C552" s="1" t="n">
        <v>45910</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8109-2024</t>
        </is>
      </c>
      <c r="B553" s="1" t="n">
        <v>45351.48662037037</v>
      </c>
      <c r="C553" s="1" t="n">
        <v>45910</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30437-2025</t>
        </is>
      </c>
      <c r="B554" s="1" t="n">
        <v>45827.64092592592</v>
      </c>
      <c r="C554" s="1" t="n">
        <v>45910</v>
      </c>
      <c r="D554" t="inlineStr">
        <is>
          <t>UPPSALA LÄN</t>
        </is>
      </c>
      <c r="E554" t="inlineStr">
        <is>
          <t>UPPSALA</t>
        </is>
      </c>
      <c r="G554" t="n">
        <v>3.6</v>
      </c>
      <c r="H554" t="n">
        <v>0</v>
      </c>
      <c r="I554" t="n">
        <v>0</v>
      </c>
      <c r="J554" t="n">
        <v>0</v>
      </c>
      <c r="K554" t="n">
        <v>0</v>
      </c>
      <c r="L554" t="n">
        <v>0</v>
      </c>
      <c r="M554" t="n">
        <v>0</v>
      </c>
      <c r="N554" t="n">
        <v>0</v>
      </c>
      <c r="O554" t="n">
        <v>0</v>
      </c>
      <c r="P554" t="n">
        <v>0</v>
      </c>
      <c r="Q554" t="n">
        <v>0</v>
      </c>
      <c r="R554" s="2" t="inlineStr"/>
    </row>
    <row r="555" ht="15" customHeight="1">
      <c r="A555" t="inlineStr">
        <is>
          <t>A 30282-2025</t>
        </is>
      </c>
      <c r="B555" s="1" t="n">
        <v>45827.46288194445</v>
      </c>
      <c r="C555" s="1" t="n">
        <v>45910</v>
      </c>
      <c r="D555" t="inlineStr">
        <is>
          <t>UPPSALA LÄN</t>
        </is>
      </c>
      <c r="E555" t="inlineStr">
        <is>
          <t>UPPSALA</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11201-2024</t>
        </is>
      </c>
      <c r="B556" s="1" t="n">
        <v>45371</v>
      </c>
      <c r="C556" s="1" t="n">
        <v>45910</v>
      </c>
      <c r="D556" t="inlineStr">
        <is>
          <t>UPPSALA LÄN</t>
        </is>
      </c>
      <c r="E556" t="inlineStr">
        <is>
          <t>UPPSALA</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32276-2021</t>
        </is>
      </c>
      <c r="B557" s="1" t="n">
        <v>44371.49178240741</v>
      </c>
      <c r="C557" s="1" t="n">
        <v>45910</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11103-2025</t>
        </is>
      </c>
      <c r="B558" s="1" t="n">
        <v>45723</v>
      </c>
      <c r="C558" s="1" t="n">
        <v>45910</v>
      </c>
      <c r="D558" t="inlineStr">
        <is>
          <t>UPPSALA LÄN</t>
        </is>
      </c>
      <c r="E558" t="inlineStr">
        <is>
          <t>UPPSALA</t>
        </is>
      </c>
      <c r="G558" t="n">
        <v>7.9</v>
      </c>
      <c r="H558" t="n">
        <v>0</v>
      </c>
      <c r="I558" t="n">
        <v>0</v>
      </c>
      <c r="J558" t="n">
        <v>0</v>
      </c>
      <c r="K558" t="n">
        <v>0</v>
      </c>
      <c r="L558" t="n">
        <v>0</v>
      </c>
      <c r="M558" t="n">
        <v>0</v>
      </c>
      <c r="N558" t="n">
        <v>0</v>
      </c>
      <c r="O558" t="n">
        <v>0</v>
      </c>
      <c r="P558" t="n">
        <v>0</v>
      </c>
      <c r="Q558" t="n">
        <v>0</v>
      </c>
      <c r="R558" s="2" t="inlineStr"/>
    </row>
    <row r="559" ht="15" customHeight="1">
      <c r="A559" t="inlineStr">
        <is>
          <t>A 6549-2025</t>
        </is>
      </c>
      <c r="B559" s="1" t="n">
        <v>45699</v>
      </c>
      <c r="C559" s="1" t="n">
        <v>45910</v>
      </c>
      <c r="D559" t="inlineStr">
        <is>
          <t>UPPSALA LÄN</t>
        </is>
      </c>
      <c r="E559" t="inlineStr">
        <is>
          <t>UPPSALA</t>
        </is>
      </c>
      <c r="G559" t="n">
        <v>2.4</v>
      </c>
      <c r="H559" t="n">
        <v>0</v>
      </c>
      <c r="I559" t="n">
        <v>0</v>
      </c>
      <c r="J559" t="n">
        <v>0</v>
      </c>
      <c r="K559" t="n">
        <v>0</v>
      </c>
      <c r="L559" t="n">
        <v>0</v>
      </c>
      <c r="M559" t="n">
        <v>0</v>
      </c>
      <c r="N559" t="n">
        <v>0</v>
      </c>
      <c r="O559" t="n">
        <v>0</v>
      </c>
      <c r="P559" t="n">
        <v>0</v>
      </c>
      <c r="Q559" t="n">
        <v>0</v>
      </c>
      <c r="R559" s="2" t="inlineStr"/>
    </row>
    <row r="560" ht="15" customHeight="1">
      <c r="A560" t="inlineStr">
        <is>
          <t>A 30429-2025</t>
        </is>
      </c>
      <c r="B560" s="1" t="n">
        <v>45827.62096064815</v>
      </c>
      <c r="C560" s="1" t="n">
        <v>45910</v>
      </c>
      <c r="D560" t="inlineStr">
        <is>
          <t>UPPSALA LÄN</t>
        </is>
      </c>
      <c r="E560" t="inlineStr">
        <is>
          <t>UPPSALA</t>
        </is>
      </c>
      <c r="G560" t="n">
        <v>0.6</v>
      </c>
      <c r="H560" t="n">
        <v>0</v>
      </c>
      <c r="I560" t="n">
        <v>0</v>
      </c>
      <c r="J560" t="n">
        <v>0</v>
      </c>
      <c r="K560" t="n">
        <v>0</v>
      </c>
      <c r="L560" t="n">
        <v>0</v>
      </c>
      <c r="M560" t="n">
        <v>0</v>
      </c>
      <c r="N560" t="n">
        <v>0</v>
      </c>
      <c r="O560" t="n">
        <v>0</v>
      </c>
      <c r="P560" t="n">
        <v>0</v>
      </c>
      <c r="Q560" t="n">
        <v>0</v>
      </c>
      <c r="R560" s="2" t="inlineStr"/>
    </row>
    <row r="561" ht="15" customHeight="1">
      <c r="A561" t="inlineStr">
        <is>
          <t>A 6999-2023</t>
        </is>
      </c>
      <c r="B561" s="1" t="n">
        <v>44967.80034722222</v>
      </c>
      <c r="C561" s="1" t="n">
        <v>45910</v>
      </c>
      <c r="D561" t="inlineStr">
        <is>
          <t>UPPSALA LÄN</t>
        </is>
      </c>
      <c r="E561" t="inlineStr">
        <is>
          <t>UPPSALA</t>
        </is>
      </c>
      <c r="G561" t="n">
        <v>1</v>
      </c>
      <c r="H561" t="n">
        <v>0</v>
      </c>
      <c r="I561" t="n">
        <v>0</v>
      </c>
      <c r="J561" t="n">
        <v>0</v>
      </c>
      <c r="K561" t="n">
        <v>0</v>
      </c>
      <c r="L561" t="n">
        <v>0</v>
      </c>
      <c r="M561" t="n">
        <v>0</v>
      </c>
      <c r="N561" t="n">
        <v>0</v>
      </c>
      <c r="O561" t="n">
        <v>0</v>
      </c>
      <c r="P561" t="n">
        <v>0</v>
      </c>
      <c r="Q561" t="n">
        <v>0</v>
      </c>
      <c r="R561" s="2" t="inlineStr"/>
    </row>
    <row r="562" ht="15" customHeight="1">
      <c r="A562" t="inlineStr">
        <is>
          <t>A 7002-2023</t>
        </is>
      </c>
      <c r="B562" s="1" t="n">
        <v>44967</v>
      </c>
      <c r="C562" s="1" t="n">
        <v>45910</v>
      </c>
      <c r="D562" t="inlineStr">
        <is>
          <t>UPPSALA LÄN</t>
        </is>
      </c>
      <c r="E562" t="inlineStr">
        <is>
          <t>UPPSALA</t>
        </is>
      </c>
      <c r="G562" t="n">
        <v>5</v>
      </c>
      <c r="H562" t="n">
        <v>0</v>
      </c>
      <c r="I562" t="n">
        <v>0</v>
      </c>
      <c r="J562" t="n">
        <v>0</v>
      </c>
      <c r="K562" t="n">
        <v>0</v>
      </c>
      <c r="L562" t="n">
        <v>0</v>
      </c>
      <c r="M562" t="n">
        <v>0</v>
      </c>
      <c r="N562" t="n">
        <v>0</v>
      </c>
      <c r="O562" t="n">
        <v>0</v>
      </c>
      <c r="P562" t="n">
        <v>0</v>
      </c>
      <c r="Q562" t="n">
        <v>0</v>
      </c>
      <c r="R562" s="2" t="inlineStr"/>
    </row>
    <row r="563" ht="15" customHeight="1">
      <c r="A563" t="inlineStr">
        <is>
          <t>A 30567-2025</t>
        </is>
      </c>
      <c r="B563" s="1" t="n">
        <v>45831.40671296296</v>
      </c>
      <c r="C563" s="1" t="n">
        <v>45910</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30838-2025</t>
        </is>
      </c>
      <c r="B564" s="1" t="n">
        <v>45831.72686342592</v>
      </c>
      <c r="C564" s="1" t="n">
        <v>45910</v>
      </c>
      <c r="D564" t="inlineStr">
        <is>
          <t>UPPSALA LÄN</t>
        </is>
      </c>
      <c r="E564" t="inlineStr">
        <is>
          <t>UPPSALA</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30839-2025</t>
        </is>
      </c>
      <c r="B565" s="1" t="n">
        <v>45831.73</v>
      </c>
      <c r="C565" s="1" t="n">
        <v>45910</v>
      </c>
      <c r="D565" t="inlineStr">
        <is>
          <t>UPPSALA LÄN</t>
        </is>
      </c>
      <c r="E565" t="inlineStr">
        <is>
          <t>UPPSALA</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30583-2025</t>
        </is>
      </c>
      <c r="B566" s="1" t="n">
        <v>45831.42365740741</v>
      </c>
      <c r="C566" s="1" t="n">
        <v>45910</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30585-2025</t>
        </is>
      </c>
      <c r="B567" s="1" t="n">
        <v>45831.42616898148</v>
      </c>
      <c r="C567" s="1" t="n">
        <v>45910</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57871-2024</t>
        </is>
      </c>
      <c r="B568" s="1" t="n">
        <v>45631.44464120371</v>
      </c>
      <c r="C568" s="1" t="n">
        <v>45910</v>
      </c>
      <c r="D568" t="inlineStr">
        <is>
          <t>UPPSALA LÄN</t>
        </is>
      </c>
      <c r="E568" t="inlineStr">
        <is>
          <t>UPPSALA</t>
        </is>
      </c>
      <c r="G568" t="n">
        <v>2.9</v>
      </c>
      <c r="H568" t="n">
        <v>0</v>
      </c>
      <c r="I568" t="n">
        <v>0</v>
      </c>
      <c r="J568" t="n">
        <v>0</v>
      </c>
      <c r="K568" t="n">
        <v>0</v>
      </c>
      <c r="L568" t="n">
        <v>0</v>
      </c>
      <c r="M568" t="n">
        <v>0</v>
      </c>
      <c r="N568" t="n">
        <v>0</v>
      </c>
      <c r="O568" t="n">
        <v>0</v>
      </c>
      <c r="P568" t="n">
        <v>0</v>
      </c>
      <c r="Q568" t="n">
        <v>0</v>
      </c>
      <c r="R568" s="2" t="inlineStr"/>
    </row>
    <row r="569" ht="15" customHeight="1">
      <c r="A569" t="inlineStr">
        <is>
          <t>A 62471-2021</t>
        </is>
      </c>
      <c r="B569" s="1" t="n">
        <v>44503</v>
      </c>
      <c r="C569" s="1" t="n">
        <v>45910</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12606-2023</t>
        </is>
      </c>
      <c r="B570" s="1" t="n">
        <v>45000.44666666666</v>
      </c>
      <c r="C570" s="1" t="n">
        <v>45910</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6602-2023</t>
        </is>
      </c>
      <c r="B571" s="1" t="n">
        <v>44966</v>
      </c>
      <c r="C571" s="1" t="n">
        <v>45910</v>
      </c>
      <c r="D571" t="inlineStr">
        <is>
          <t>UPPSALA LÄN</t>
        </is>
      </c>
      <c r="E571" t="inlineStr">
        <is>
          <t>UPPSALA</t>
        </is>
      </c>
      <c r="F571" t="inlineStr">
        <is>
          <t>Allmännings- och besparingsskogar</t>
        </is>
      </c>
      <c r="G571" t="n">
        <v>20.2</v>
      </c>
      <c r="H571" t="n">
        <v>0</v>
      </c>
      <c r="I571" t="n">
        <v>0</v>
      </c>
      <c r="J571" t="n">
        <v>0</v>
      </c>
      <c r="K571" t="n">
        <v>0</v>
      </c>
      <c r="L571" t="n">
        <v>0</v>
      </c>
      <c r="M571" t="n">
        <v>0</v>
      </c>
      <c r="N571" t="n">
        <v>0</v>
      </c>
      <c r="O571" t="n">
        <v>0</v>
      </c>
      <c r="P571" t="n">
        <v>0</v>
      </c>
      <c r="Q571" t="n">
        <v>0</v>
      </c>
      <c r="R571" s="2" t="inlineStr"/>
    </row>
    <row r="572" ht="15" customHeight="1">
      <c r="A572" t="inlineStr">
        <is>
          <t>A 44115-2023</t>
        </is>
      </c>
      <c r="B572" s="1" t="n">
        <v>45188</v>
      </c>
      <c r="C572" s="1" t="n">
        <v>45910</v>
      </c>
      <c r="D572" t="inlineStr">
        <is>
          <t>UPPSALA LÄN</t>
        </is>
      </c>
      <c r="E572" t="inlineStr">
        <is>
          <t>UPPSALA</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30897-2025</t>
        </is>
      </c>
      <c r="B573" s="1" t="n">
        <v>45832.35545138889</v>
      </c>
      <c r="C573" s="1" t="n">
        <v>45910</v>
      </c>
      <c r="D573" t="inlineStr">
        <is>
          <t>UPPSALA LÄN</t>
        </is>
      </c>
      <c r="E573" t="inlineStr">
        <is>
          <t>UPPSALA</t>
        </is>
      </c>
      <c r="F573" t="inlineStr">
        <is>
          <t>Kyrkan</t>
        </is>
      </c>
      <c r="G573" t="n">
        <v>2.8</v>
      </c>
      <c r="H573" t="n">
        <v>0</v>
      </c>
      <c r="I573" t="n">
        <v>0</v>
      </c>
      <c r="J573" t="n">
        <v>0</v>
      </c>
      <c r="K573" t="n">
        <v>0</v>
      </c>
      <c r="L573" t="n">
        <v>0</v>
      </c>
      <c r="M573" t="n">
        <v>0</v>
      </c>
      <c r="N573" t="n">
        <v>0</v>
      </c>
      <c r="O573" t="n">
        <v>0</v>
      </c>
      <c r="P573" t="n">
        <v>0</v>
      </c>
      <c r="Q573" t="n">
        <v>0</v>
      </c>
      <c r="R573" s="2" t="inlineStr"/>
    </row>
    <row r="574" ht="15" customHeight="1">
      <c r="A574" t="inlineStr">
        <is>
          <t>A 29145-2021</t>
        </is>
      </c>
      <c r="B574" s="1" t="n">
        <v>44358.63490740741</v>
      </c>
      <c r="C574" s="1" t="n">
        <v>45910</v>
      </c>
      <c r="D574" t="inlineStr">
        <is>
          <t>UPPSALA LÄN</t>
        </is>
      </c>
      <c r="E574" t="inlineStr">
        <is>
          <t>UPPSALA</t>
        </is>
      </c>
      <c r="G574" t="n">
        <v>2.4</v>
      </c>
      <c r="H574" t="n">
        <v>0</v>
      </c>
      <c r="I574" t="n">
        <v>0</v>
      </c>
      <c r="J574" t="n">
        <v>0</v>
      </c>
      <c r="K574" t="n">
        <v>0</v>
      </c>
      <c r="L574" t="n">
        <v>0</v>
      </c>
      <c r="M574" t="n">
        <v>0</v>
      </c>
      <c r="N574" t="n">
        <v>0</v>
      </c>
      <c r="O574" t="n">
        <v>0</v>
      </c>
      <c r="P574" t="n">
        <v>0</v>
      </c>
      <c r="Q574" t="n">
        <v>0</v>
      </c>
      <c r="R574" s="2" t="inlineStr"/>
    </row>
    <row r="575" ht="15" customHeight="1">
      <c r="A575" t="inlineStr">
        <is>
          <t>A 42063-2023</t>
        </is>
      </c>
      <c r="B575" s="1" t="n">
        <v>45177.56940972222</v>
      </c>
      <c r="C575" s="1" t="n">
        <v>45910</v>
      </c>
      <c r="D575" t="inlineStr">
        <is>
          <t>UPPSALA LÄN</t>
        </is>
      </c>
      <c r="E575" t="inlineStr">
        <is>
          <t>UPPSALA</t>
        </is>
      </c>
      <c r="G575" t="n">
        <v>5.6</v>
      </c>
      <c r="H575" t="n">
        <v>0</v>
      </c>
      <c r="I575" t="n">
        <v>0</v>
      </c>
      <c r="J575" t="n">
        <v>0</v>
      </c>
      <c r="K575" t="n">
        <v>0</v>
      </c>
      <c r="L575" t="n">
        <v>0</v>
      </c>
      <c r="M575" t="n">
        <v>0</v>
      </c>
      <c r="N575" t="n">
        <v>0</v>
      </c>
      <c r="O575" t="n">
        <v>0</v>
      </c>
      <c r="P575" t="n">
        <v>0</v>
      </c>
      <c r="Q575" t="n">
        <v>0</v>
      </c>
      <c r="R575" s="2" t="inlineStr"/>
    </row>
    <row r="576" ht="15" customHeight="1">
      <c r="A576" t="inlineStr">
        <is>
          <t>A 74493-2021</t>
        </is>
      </c>
      <c r="B576" s="1" t="n">
        <v>44560</v>
      </c>
      <c r="C576" s="1" t="n">
        <v>45910</v>
      </c>
      <c r="D576" t="inlineStr">
        <is>
          <t>UPPSALA LÄN</t>
        </is>
      </c>
      <c r="E576" t="inlineStr">
        <is>
          <t>UPPSALA</t>
        </is>
      </c>
      <c r="G576" t="n">
        <v>1.2</v>
      </c>
      <c r="H576" t="n">
        <v>0</v>
      </c>
      <c r="I576" t="n">
        <v>0</v>
      </c>
      <c r="J576" t="n">
        <v>0</v>
      </c>
      <c r="K576" t="n">
        <v>0</v>
      </c>
      <c r="L576" t="n">
        <v>0</v>
      </c>
      <c r="M576" t="n">
        <v>0</v>
      </c>
      <c r="N576" t="n">
        <v>0</v>
      </c>
      <c r="O576" t="n">
        <v>0</v>
      </c>
      <c r="P576" t="n">
        <v>0</v>
      </c>
      <c r="Q576" t="n">
        <v>0</v>
      </c>
      <c r="R576" s="2" t="inlineStr"/>
    </row>
    <row r="577" ht="15" customHeight="1">
      <c r="A577" t="inlineStr">
        <is>
          <t>A 30898-2025</t>
        </is>
      </c>
      <c r="B577" s="1" t="n">
        <v>45832.35590277778</v>
      </c>
      <c r="C577" s="1" t="n">
        <v>45910</v>
      </c>
      <c r="D577" t="inlineStr">
        <is>
          <t>UPPSALA LÄN</t>
        </is>
      </c>
      <c r="E577" t="inlineStr">
        <is>
          <t>UPPSALA</t>
        </is>
      </c>
      <c r="F577" t="inlineStr">
        <is>
          <t>Kyrkan</t>
        </is>
      </c>
      <c r="G577" t="n">
        <v>2.8</v>
      </c>
      <c r="H577" t="n">
        <v>0</v>
      </c>
      <c r="I577" t="n">
        <v>0</v>
      </c>
      <c r="J577" t="n">
        <v>0</v>
      </c>
      <c r="K577" t="n">
        <v>0</v>
      </c>
      <c r="L577" t="n">
        <v>0</v>
      </c>
      <c r="M577" t="n">
        <v>0</v>
      </c>
      <c r="N577" t="n">
        <v>0</v>
      </c>
      <c r="O577" t="n">
        <v>0</v>
      </c>
      <c r="P577" t="n">
        <v>0</v>
      </c>
      <c r="Q577" t="n">
        <v>0</v>
      </c>
      <c r="R577" s="2" t="inlineStr"/>
    </row>
    <row r="578" ht="15" customHeight="1">
      <c r="A578" t="inlineStr">
        <is>
          <t>A 59719-2022</t>
        </is>
      </c>
      <c r="B578" s="1" t="n">
        <v>44908.425625</v>
      </c>
      <c r="C578" s="1" t="n">
        <v>45910</v>
      </c>
      <c r="D578" t="inlineStr">
        <is>
          <t>UPPSALA LÄN</t>
        </is>
      </c>
      <c r="E578" t="inlineStr">
        <is>
          <t>UPPSALA</t>
        </is>
      </c>
      <c r="G578" t="n">
        <v>3.6</v>
      </c>
      <c r="H578" t="n">
        <v>0</v>
      </c>
      <c r="I578" t="n">
        <v>0</v>
      </c>
      <c r="J578" t="n">
        <v>0</v>
      </c>
      <c r="K578" t="n">
        <v>0</v>
      </c>
      <c r="L578" t="n">
        <v>0</v>
      </c>
      <c r="M578" t="n">
        <v>0</v>
      </c>
      <c r="N578" t="n">
        <v>0</v>
      </c>
      <c r="O578" t="n">
        <v>0</v>
      </c>
      <c r="P578" t="n">
        <v>0</v>
      </c>
      <c r="Q578" t="n">
        <v>0</v>
      </c>
      <c r="R578" s="2" t="inlineStr"/>
    </row>
    <row r="579" ht="15" customHeight="1">
      <c r="A579" t="inlineStr">
        <is>
          <t>A 17481-2023</t>
        </is>
      </c>
      <c r="B579" s="1" t="n">
        <v>45036</v>
      </c>
      <c r="C579" s="1" t="n">
        <v>45910</v>
      </c>
      <c r="D579" t="inlineStr">
        <is>
          <t>UPPSALA LÄN</t>
        </is>
      </c>
      <c r="E579" t="inlineStr">
        <is>
          <t>UPPSALA</t>
        </is>
      </c>
      <c r="G579" t="n">
        <v>1.9</v>
      </c>
      <c r="H579" t="n">
        <v>0</v>
      </c>
      <c r="I579" t="n">
        <v>0</v>
      </c>
      <c r="J579" t="n">
        <v>0</v>
      </c>
      <c r="K579" t="n">
        <v>0</v>
      </c>
      <c r="L579" t="n">
        <v>0</v>
      </c>
      <c r="M579" t="n">
        <v>0</v>
      </c>
      <c r="N579" t="n">
        <v>0</v>
      </c>
      <c r="O579" t="n">
        <v>0</v>
      </c>
      <c r="P579" t="n">
        <v>0</v>
      </c>
      <c r="Q579" t="n">
        <v>0</v>
      </c>
      <c r="R579" s="2" t="inlineStr"/>
    </row>
    <row r="580" ht="15" customHeight="1">
      <c r="A580" t="inlineStr">
        <is>
          <t>A 38934-2023</t>
        </is>
      </c>
      <c r="B580" s="1" t="n">
        <v>45163.59913194444</v>
      </c>
      <c r="C580" s="1" t="n">
        <v>45910</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42681-2023</t>
        </is>
      </c>
      <c r="B581" s="1" t="n">
        <v>45181.58055555556</v>
      </c>
      <c r="C581" s="1" t="n">
        <v>45910</v>
      </c>
      <c r="D581" t="inlineStr">
        <is>
          <t>UPPSALA LÄN</t>
        </is>
      </c>
      <c r="E581" t="inlineStr">
        <is>
          <t>UPPSALA</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37010-2025</t>
        </is>
      </c>
      <c r="B582" s="1" t="n">
        <v>45874.705</v>
      </c>
      <c r="C582" s="1" t="n">
        <v>45910</v>
      </c>
      <c r="D582" t="inlineStr">
        <is>
          <t>UPPSALA LÄN</t>
        </is>
      </c>
      <c r="E582" t="inlineStr">
        <is>
          <t>UPPSALA</t>
        </is>
      </c>
      <c r="G582" t="n">
        <v>0.8</v>
      </c>
      <c r="H582" t="n">
        <v>0</v>
      </c>
      <c r="I582" t="n">
        <v>0</v>
      </c>
      <c r="J582" t="n">
        <v>0</v>
      </c>
      <c r="K582" t="n">
        <v>0</v>
      </c>
      <c r="L582" t="n">
        <v>0</v>
      </c>
      <c r="M582" t="n">
        <v>0</v>
      </c>
      <c r="N582" t="n">
        <v>0</v>
      </c>
      <c r="O582" t="n">
        <v>0</v>
      </c>
      <c r="P582" t="n">
        <v>0</v>
      </c>
      <c r="Q582" t="n">
        <v>0</v>
      </c>
      <c r="R582" s="2" t="inlineStr"/>
    </row>
    <row r="583" ht="15" customHeight="1">
      <c r="A583" t="inlineStr">
        <is>
          <t>A 33941-2023</t>
        </is>
      </c>
      <c r="B583" s="1" t="n">
        <v>45134.57021990741</v>
      </c>
      <c r="C583" s="1" t="n">
        <v>45910</v>
      </c>
      <c r="D583" t="inlineStr">
        <is>
          <t>UPPSALA LÄN</t>
        </is>
      </c>
      <c r="E583" t="inlineStr">
        <is>
          <t>UPPSALA</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2695-2025</t>
        </is>
      </c>
      <c r="B584" s="1" t="n">
        <v>45677.39440972222</v>
      </c>
      <c r="C584" s="1" t="n">
        <v>45910</v>
      </c>
      <c r="D584" t="inlineStr">
        <is>
          <t>UPPSALA LÄN</t>
        </is>
      </c>
      <c r="E584" t="inlineStr">
        <is>
          <t>UPPSALA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50954-2022</t>
        </is>
      </c>
      <c r="B585" s="1" t="n">
        <v>44866</v>
      </c>
      <c r="C585" s="1" t="n">
        <v>45910</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36913-2025</t>
        </is>
      </c>
      <c r="B586" s="1" t="n">
        <v>45874</v>
      </c>
      <c r="C586" s="1" t="n">
        <v>45910</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36392-2023</t>
        </is>
      </c>
      <c r="B587" s="1" t="n">
        <v>45152</v>
      </c>
      <c r="C587" s="1" t="n">
        <v>45910</v>
      </c>
      <c r="D587" t="inlineStr">
        <is>
          <t>UPPSALA LÄN</t>
        </is>
      </c>
      <c r="E587" t="inlineStr">
        <is>
          <t>UPPSALA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15629-2023</t>
        </is>
      </c>
      <c r="B588" s="1" t="n">
        <v>45021.29524305555</v>
      </c>
      <c r="C588" s="1" t="n">
        <v>45910</v>
      </c>
      <c r="D588" t="inlineStr">
        <is>
          <t>UPPSALA LÄN</t>
        </is>
      </c>
      <c r="E588" t="inlineStr">
        <is>
          <t>UPPSALA</t>
        </is>
      </c>
      <c r="F588" t="inlineStr">
        <is>
          <t>Övriga Aktiebolag</t>
        </is>
      </c>
      <c r="G588" t="n">
        <v>7</v>
      </c>
      <c r="H588" t="n">
        <v>0</v>
      </c>
      <c r="I588" t="n">
        <v>0</v>
      </c>
      <c r="J588" t="n">
        <v>0</v>
      </c>
      <c r="K588" t="n">
        <v>0</v>
      </c>
      <c r="L588" t="n">
        <v>0</v>
      </c>
      <c r="M588" t="n">
        <v>0</v>
      </c>
      <c r="N588" t="n">
        <v>0</v>
      </c>
      <c r="O588" t="n">
        <v>0</v>
      </c>
      <c r="P588" t="n">
        <v>0</v>
      </c>
      <c r="Q588" t="n">
        <v>0</v>
      </c>
      <c r="R588" s="2" t="inlineStr"/>
    </row>
    <row r="589" ht="15" customHeight="1">
      <c r="A589" t="inlineStr">
        <is>
          <t>A 20497-2022</t>
        </is>
      </c>
      <c r="B589" s="1" t="n">
        <v>44699</v>
      </c>
      <c r="C589" s="1" t="n">
        <v>45910</v>
      </c>
      <c r="D589" t="inlineStr">
        <is>
          <t>UPPSALA LÄN</t>
        </is>
      </c>
      <c r="E589" t="inlineStr">
        <is>
          <t>UPPSALA</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37468-2025</t>
        </is>
      </c>
      <c r="B590" s="1" t="n">
        <v>45877.57847222222</v>
      </c>
      <c r="C590" s="1" t="n">
        <v>45910</v>
      </c>
      <c r="D590" t="inlineStr">
        <is>
          <t>UPPSALA LÄN</t>
        </is>
      </c>
      <c r="E590" t="inlineStr">
        <is>
          <t>UPPSALA</t>
        </is>
      </c>
      <c r="G590" t="n">
        <v>2.9</v>
      </c>
      <c r="H590" t="n">
        <v>0</v>
      </c>
      <c r="I590" t="n">
        <v>0</v>
      </c>
      <c r="J590" t="n">
        <v>0</v>
      </c>
      <c r="K590" t="n">
        <v>0</v>
      </c>
      <c r="L590" t="n">
        <v>0</v>
      </c>
      <c r="M590" t="n">
        <v>0</v>
      </c>
      <c r="N590" t="n">
        <v>0</v>
      </c>
      <c r="O590" t="n">
        <v>0</v>
      </c>
      <c r="P590" t="n">
        <v>0</v>
      </c>
      <c r="Q590" t="n">
        <v>0</v>
      </c>
      <c r="R590" s="2" t="inlineStr"/>
    </row>
    <row r="591" ht="15" customHeight="1">
      <c r="A591" t="inlineStr">
        <is>
          <t>A 37486-2025</t>
        </is>
      </c>
      <c r="B591" s="1" t="n">
        <v>45877.62969907407</v>
      </c>
      <c r="C591" s="1" t="n">
        <v>45910</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44080-2023</t>
        </is>
      </c>
      <c r="B592" s="1" t="n">
        <v>45188.42052083334</v>
      </c>
      <c r="C592" s="1" t="n">
        <v>45910</v>
      </c>
      <c r="D592" t="inlineStr">
        <is>
          <t>UPPSALA LÄN</t>
        </is>
      </c>
      <c r="E592" t="inlineStr">
        <is>
          <t>UPPSALA</t>
        </is>
      </c>
      <c r="G592" t="n">
        <v>13.3</v>
      </c>
      <c r="H592" t="n">
        <v>0</v>
      </c>
      <c r="I592" t="n">
        <v>0</v>
      </c>
      <c r="J592" t="n">
        <v>0</v>
      </c>
      <c r="K592" t="n">
        <v>0</v>
      </c>
      <c r="L592" t="n">
        <v>0</v>
      </c>
      <c r="M592" t="n">
        <v>0</v>
      </c>
      <c r="N592" t="n">
        <v>0</v>
      </c>
      <c r="O592" t="n">
        <v>0</v>
      </c>
      <c r="P592" t="n">
        <v>0</v>
      </c>
      <c r="Q592" t="n">
        <v>0</v>
      </c>
      <c r="R592" s="2" t="inlineStr"/>
    </row>
    <row r="593" ht="15" customHeight="1">
      <c r="A593" t="inlineStr">
        <is>
          <t>A 10490-2025</t>
        </is>
      </c>
      <c r="B593" s="1" t="n">
        <v>45721.35173611111</v>
      </c>
      <c r="C593" s="1" t="n">
        <v>45910</v>
      </c>
      <c r="D593" t="inlineStr">
        <is>
          <t>UPPSALA LÄN</t>
        </is>
      </c>
      <c r="E593" t="inlineStr">
        <is>
          <t>UPPSALA</t>
        </is>
      </c>
      <c r="G593" t="n">
        <v>1.8</v>
      </c>
      <c r="H593" t="n">
        <v>0</v>
      </c>
      <c r="I593" t="n">
        <v>0</v>
      </c>
      <c r="J593" t="n">
        <v>0</v>
      </c>
      <c r="K593" t="n">
        <v>0</v>
      </c>
      <c r="L593" t="n">
        <v>0</v>
      </c>
      <c r="M593" t="n">
        <v>0</v>
      </c>
      <c r="N593" t="n">
        <v>0</v>
      </c>
      <c r="O593" t="n">
        <v>0</v>
      </c>
      <c r="P593" t="n">
        <v>0</v>
      </c>
      <c r="Q593" t="n">
        <v>0</v>
      </c>
      <c r="R593" s="2" t="inlineStr"/>
    </row>
    <row r="594" ht="15" customHeight="1">
      <c r="A594" t="inlineStr">
        <is>
          <t>A 55021-2022</t>
        </is>
      </c>
      <c r="B594" s="1" t="n">
        <v>44886</v>
      </c>
      <c r="C594" s="1" t="n">
        <v>45910</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37352-2025</t>
        </is>
      </c>
      <c r="B595" s="1" t="n">
        <v>45876</v>
      </c>
      <c r="C595" s="1" t="n">
        <v>45910</v>
      </c>
      <c r="D595" t="inlineStr">
        <is>
          <t>UPPSALA LÄN</t>
        </is>
      </c>
      <c r="E595" t="inlineStr">
        <is>
          <t>UPPSALA</t>
        </is>
      </c>
      <c r="G595" t="n">
        <v>2.6</v>
      </c>
      <c r="H595" t="n">
        <v>0</v>
      </c>
      <c r="I595" t="n">
        <v>0</v>
      </c>
      <c r="J595" t="n">
        <v>0</v>
      </c>
      <c r="K595" t="n">
        <v>0</v>
      </c>
      <c r="L595" t="n">
        <v>0</v>
      </c>
      <c r="M595" t="n">
        <v>0</v>
      </c>
      <c r="N595" t="n">
        <v>0</v>
      </c>
      <c r="O595" t="n">
        <v>0</v>
      </c>
      <c r="P595" t="n">
        <v>0</v>
      </c>
      <c r="Q595" t="n">
        <v>0</v>
      </c>
      <c r="R595" s="2" t="inlineStr"/>
    </row>
    <row r="596" ht="15" customHeight="1">
      <c r="A596" t="inlineStr">
        <is>
          <t>A 65659-2021</t>
        </is>
      </c>
      <c r="B596" s="1" t="n">
        <v>44516</v>
      </c>
      <c r="C596" s="1" t="n">
        <v>45910</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784-2024</t>
        </is>
      </c>
      <c r="B597" s="1" t="n">
        <v>45300.55680555556</v>
      </c>
      <c r="C597" s="1" t="n">
        <v>45910</v>
      </c>
      <c r="D597" t="inlineStr">
        <is>
          <t>UPPSALA LÄN</t>
        </is>
      </c>
      <c r="E597" t="inlineStr">
        <is>
          <t>UPPSALA</t>
        </is>
      </c>
      <c r="G597" t="n">
        <v>6.6</v>
      </c>
      <c r="H597" t="n">
        <v>0</v>
      </c>
      <c r="I597" t="n">
        <v>0</v>
      </c>
      <c r="J597" t="n">
        <v>0</v>
      </c>
      <c r="K597" t="n">
        <v>0</v>
      </c>
      <c r="L597" t="n">
        <v>0</v>
      </c>
      <c r="M597" t="n">
        <v>0</v>
      </c>
      <c r="N597" t="n">
        <v>0</v>
      </c>
      <c r="O597" t="n">
        <v>0</v>
      </c>
      <c r="P597" t="n">
        <v>0</v>
      </c>
      <c r="Q597" t="n">
        <v>0</v>
      </c>
      <c r="R597" s="2" t="inlineStr"/>
    </row>
    <row r="598" ht="15" customHeight="1">
      <c r="A598" t="inlineStr">
        <is>
          <t>A 61271-2020</t>
        </is>
      </c>
      <c r="B598" s="1" t="n">
        <v>44155</v>
      </c>
      <c r="C598" s="1" t="n">
        <v>45910</v>
      </c>
      <c r="D598" t="inlineStr">
        <is>
          <t>UPPSALA LÄN</t>
        </is>
      </c>
      <c r="E598" t="inlineStr">
        <is>
          <t>UPPSALA</t>
        </is>
      </c>
      <c r="G598" t="n">
        <v>3.5</v>
      </c>
      <c r="H598" t="n">
        <v>0</v>
      </c>
      <c r="I598" t="n">
        <v>0</v>
      </c>
      <c r="J598" t="n">
        <v>0</v>
      </c>
      <c r="K598" t="n">
        <v>0</v>
      </c>
      <c r="L598" t="n">
        <v>0</v>
      </c>
      <c r="M598" t="n">
        <v>0</v>
      </c>
      <c r="N598" t="n">
        <v>0</v>
      </c>
      <c r="O598" t="n">
        <v>0</v>
      </c>
      <c r="P598" t="n">
        <v>0</v>
      </c>
      <c r="Q598" t="n">
        <v>0</v>
      </c>
      <c r="R598" s="2" t="inlineStr"/>
    </row>
    <row r="599" ht="15" customHeight="1">
      <c r="A599" t="inlineStr">
        <is>
          <t>A 32252-2025</t>
        </is>
      </c>
      <c r="B599" s="1" t="n">
        <v>45835.62752314815</v>
      </c>
      <c r="C599" s="1" t="n">
        <v>45910</v>
      </c>
      <c r="D599" t="inlineStr">
        <is>
          <t>UPPSALA LÄN</t>
        </is>
      </c>
      <c r="E599" t="inlineStr">
        <is>
          <t>UPPSALA</t>
        </is>
      </c>
      <c r="F599" t="inlineStr">
        <is>
          <t>Kyrkan</t>
        </is>
      </c>
      <c r="G599" t="n">
        <v>3.8</v>
      </c>
      <c r="H599" t="n">
        <v>0</v>
      </c>
      <c r="I599" t="n">
        <v>0</v>
      </c>
      <c r="J599" t="n">
        <v>0</v>
      </c>
      <c r="K599" t="n">
        <v>0</v>
      </c>
      <c r="L599" t="n">
        <v>0</v>
      </c>
      <c r="M599" t="n">
        <v>0</v>
      </c>
      <c r="N599" t="n">
        <v>0</v>
      </c>
      <c r="O599" t="n">
        <v>0</v>
      </c>
      <c r="P599" t="n">
        <v>0</v>
      </c>
      <c r="Q599" t="n">
        <v>0</v>
      </c>
      <c r="R599" s="2" t="inlineStr"/>
    </row>
    <row r="600" ht="15" customHeight="1">
      <c r="A600" t="inlineStr">
        <is>
          <t>A 37351-2025</t>
        </is>
      </c>
      <c r="B600" s="1" t="n">
        <v>45876</v>
      </c>
      <c r="C600" s="1" t="n">
        <v>45910</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6630-2024</t>
        </is>
      </c>
      <c r="B601" s="1" t="n">
        <v>45341.63811342593</v>
      </c>
      <c r="C601" s="1" t="n">
        <v>45910</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48571-2023</t>
        </is>
      </c>
      <c r="B602" s="1" t="n">
        <v>45208.46130787037</v>
      </c>
      <c r="C602" s="1" t="n">
        <v>45910</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37759-2025</t>
        </is>
      </c>
      <c r="B603" s="1" t="n">
        <v>45880.68200231482</v>
      </c>
      <c r="C603" s="1" t="n">
        <v>45910</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22431-2024</t>
        </is>
      </c>
      <c r="B604" s="1" t="n">
        <v>45446.78256944445</v>
      </c>
      <c r="C604" s="1" t="n">
        <v>45910</v>
      </c>
      <c r="D604" t="inlineStr">
        <is>
          <t>UPPSALA LÄN</t>
        </is>
      </c>
      <c r="E604" t="inlineStr">
        <is>
          <t>UPPSALA</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37557-2025</t>
        </is>
      </c>
      <c r="B605" s="1" t="n">
        <v>45880.32907407408</v>
      </c>
      <c r="C605" s="1" t="n">
        <v>45910</v>
      </c>
      <c r="D605" t="inlineStr">
        <is>
          <t>UPPSALA LÄN</t>
        </is>
      </c>
      <c r="E605" t="inlineStr">
        <is>
          <t>UPPSALA</t>
        </is>
      </c>
      <c r="G605" t="n">
        <v>1.6</v>
      </c>
      <c r="H605" t="n">
        <v>0</v>
      </c>
      <c r="I605" t="n">
        <v>0</v>
      </c>
      <c r="J605" t="n">
        <v>0</v>
      </c>
      <c r="K605" t="n">
        <v>0</v>
      </c>
      <c r="L605" t="n">
        <v>0</v>
      </c>
      <c r="M605" t="n">
        <v>0</v>
      </c>
      <c r="N605" t="n">
        <v>0</v>
      </c>
      <c r="O605" t="n">
        <v>0</v>
      </c>
      <c r="P605" t="n">
        <v>0</v>
      </c>
      <c r="Q605" t="n">
        <v>0</v>
      </c>
      <c r="R605" s="2" t="inlineStr"/>
    </row>
    <row r="606" ht="15" customHeight="1">
      <c r="A606" t="inlineStr">
        <is>
          <t>A 1855-2021</t>
        </is>
      </c>
      <c r="B606" s="1" t="n">
        <v>44210</v>
      </c>
      <c r="C606" s="1" t="n">
        <v>45910</v>
      </c>
      <c r="D606" t="inlineStr">
        <is>
          <t>UPPSALA LÄN</t>
        </is>
      </c>
      <c r="E606" t="inlineStr">
        <is>
          <t>UPPSALA</t>
        </is>
      </c>
      <c r="G606" t="n">
        <v>0.9</v>
      </c>
      <c r="H606" t="n">
        <v>0</v>
      </c>
      <c r="I606" t="n">
        <v>0</v>
      </c>
      <c r="J606" t="n">
        <v>0</v>
      </c>
      <c r="K606" t="n">
        <v>0</v>
      </c>
      <c r="L606" t="n">
        <v>0</v>
      </c>
      <c r="M606" t="n">
        <v>0</v>
      </c>
      <c r="N606" t="n">
        <v>0</v>
      </c>
      <c r="O606" t="n">
        <v>0</v>
      </c>
      <c r="P606" t="n">
        <v>0</v>
      </c>
      <c r="Q606" t="n">
        <v>0</v>
      </c>
      <c r="R606" s="2" t="inlineStr"/>
    </row>
    <row r="607" ht="15" customHeight="1">
      <c r="A607" t="inlineStr">
        <is>
          <t>A 34114-2024</t>
        </is>
      </c>
      <c r="B607" s="1" t="n">
        <v>45524</v>
      </c>
      <c r="C607" s="1" t="n">
        <v>45910</v>
      </c>
      <c r="D607" t="inlineStr">
        <is>
          <t>UPPSALA LÄN</t>
        </is>
      </c>
      <c r="E607" t="inlineStr">
        <is>
          <t>UPPSALA</t>
        </is>
      </c>
      <c r="F607" t="inlineStr">
        <is>
          <t>Allmännings- och besparingsskogar</t>
        </is>
      </c>
      <c r="G607" t="n">
        <v>1.3</v>
      </c>
      <c r="H607" t="n">
        <v>0</v>
      </c>
      <c r="I607" t="n">
        <v>0</v>
      </c>
      <c r="J607" t="n">
        <v>0</v>
      </c>
      <c r="K607" t="n">
        <v>0</v>
      </c>
      <c r="L607" t="n">
        <v>0</v>
      </c>
      <c r="M607" t="n">
        <v>0</v>
      </c>
      <c r="N607" t="n">
        <v>0</v>
      </c>
      <c r="O607" t="n">
        <v>0</v>
      </c>
      <c r="P607" t="n">
        <v>0</v>
      </c>
      <c r="Q607" t="n">
        <v>0</v>
      </c>
      <c r="R607" s="2" t="inlineStr"/>
    </row>
    <row r="608" ht="15" customHeight="1">
      <c r="A608" t="inlineStr">
        <is>
          <t>A 41002-2023</t>
        </is>
      </c>
      <c r="B608" s="1" t="n">
        <v>45173</v>
      </c>
      <c r="C608" s="1" t="n">
        <v>45910</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28958-2025</t>
        </is>
      </c>
      <c r="B609" s="1" t="n">
        <v>45821.31292824074</v>
      </c>
      <c r="C609" s="1" t="n">
        <v>45910</v>
      </c>
      <c r="D609" t="inlineStr">
        <is>
          <t>UPPSALA LÄN</t>
        </is>
      </c>
      <c r="E609" t="inlineStr">
        <is>
          <t>UPPSALA</t>
        </is>
      </c>
      <c r="G609" t="n">
        <v>4.6</v>
      </c>
      <c r="H609" t="n">
        <v>0</v>
      </c>
      <c r="I609" t="n">
        <v>0</v>
      </c>
      <c r="J609" t="n">
        <v>0</v>
      </c>
      <c r="K609" t="n">
        <v>0</v>
      </c>
      <c r="L609" t="n">
        <v>0</v>
      </c>
      <c r="M609" t="n">
        <v>0</v>
      </c>
      <c r="N609" t="n">
        <v>0</v>
      </c>
      <c r="O609" t="n">
        <v>0</v>
      </c>
      <c r="P609" t="n">
        <v>0</v>
      </c>
      <c r="Q609" t="n">
        <v>0</v>
      </c>
      <c r="R609" s="2" t="inlineStr"/>
    </row>
    <row r="610" ht="15" customHeight="1">
      <c r="A610" t="inlineStr">
        <is>
          <t>A 32923-2025</t>
        </is>
      </c>
      <c r="B610" s="1" t="n">
        <v>45839</v>
      </c>
      <c r="C610" s="1" t="n">
        <v>45910</v>
      </c>
      <c r="D610" t="inlineStr">
        <is>
          <t>UPPSALA LÄN</t>
        </is>
      </c>
      <c r="E610" t="inlineStr">
        <is>
          <t>UPPSALA</t>
        </is>
      </c>
      <c r="G610" t="n">
        <v>5.1</v>
      </c>
      <c r="H610" t="n">
        <v>0</v>
      </c>
      <c r="I610" t="n">
        <v>0</v>
      </c>
      <c r="J610" t="n">
        <v>0</v>
      </c>
      <c r="K610" t="n">
        <v>0</v>
      </c>
      <c r="L610" t="n">
        <v>0</v>
      </c>
      <c r="M610" t="n">
        <v>0</v>
      </c>
      <c r="N610" t="n">
        <v>0</v>
      </c>
      <c r="O610" t="n">
        <v>0</v>
      </c>
      <c r="P610" t="n">
        <v>0</v>
      </c>
      <c r="Q610" t="n">
        <v>0</v>
      </c>
      <c r="R610" s="2" t="inlineStr"/>
    </row>
    <row r="611" ht="15" customHeight="1">
      <c r="A611" t="inlineStr">
        <is>
          <t>A 37851-2025</t>
        </is>
      </c>
      <c r="B611" s="1" t="n">
        <v>45881.44938657407</v>
      </c>
      <c r="C611" s="1" t="n">
        <v>45910</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37561-2025</t>
        </is>
      </c>
      <c r="B612" s="1" t="n">
        <v>45880.34064814815</v>
      </c>
      <c r="C612" s="1" t="n">
        <v>45910</v>
      </c>
      <c r="D612" t="inlineStr">
        <is>
          <t>UPPSALA LÄN</t>
        </is>
      </c>
      <c r="E612" t="inlineStr">
        <is>
          <t>UPPSALA</t>
        </is>
      </c>
      <c r="G612" t="n">
        <v>1.4</v>
      </c>
      <c r="H612" t="n">
        <v>0</v>
      </c>
      <c r="I612" t="n">
        <v>0</v>
      </c>
      <c r="J612" t="n">
        <v>0</v>
      </c>
      <c r="K612" t="n">
        <v>0</v>
      </c>
      <c r="L612" t="n">
        <v>0</v>
      </c>
      <c r="M612" t="n">
        <v>0</v>
      </c>
      <c r="N612" t="n">
        <v>0</v>
      </c>
      <c r="O612" t="n">
        <v>0</v>
      </c>
      <c r="P612" t="n">
        <v>0</v>
      </c>
      <c r="Q612" t="n">
        <v>0</v>
      </c>
      <c r="R612" s="2" t="inlineStr"/>
    </row>
    <row r="613" ht="15" customHeight="1">
      <c r="A613" t="inlineStr">
        <is>
          <t>A 32928-2025</t>
        </is>
      </c>
      <c r="B613" s="1" t="n">
        <v>45839</v>
      </c>
      <c r="C613" s="1" t="n">
        <v>45910</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37856-2025</t>
        </is>
      </c>
      <c r="B614" s="1" t="n">
        <v>45881.45898148148</v>
      </c>
      <c r="C614" s="1" t="n">
        <v>45910</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45489-2023</t>
        </is>
      </c>
      <c r="B615" s="1" t="n">
        <v>45194</v>
      </c>
      <c r="C615" s="1" t="n">
        <v>45910</v>
      </c>
      <c r="D615" t="inlineStr">
        <is>
          <t>UPPSALA LÄN</t>
        </is>
      </c>
      <c r="E615" t="inlineStr">
        <is>
          <t>UPPSALA</t>
        </is>
      </c>
      <c r="F615" t="inlineStr">
        <is>
          <t>Allmännings- och besparingsskogar</t>
        </is>
      </c>
      <c r="G615" t="n">
        <v>15.8</v>
      </c>
      <c r="H615" t="n">
        <v>0</v>
      </c>
      <c r="I615" t="n">
        <v>0</v>
      </c>
      <c r="J615" t="n">
        <v>0</v>
      </c>
      <c r="K615" t="n">
        <v>0</v>
      </c>
      <c r="L615" t="n">
        <v>0</v>
      </c>
      <c r="M615" t="n">
        <v>0</v>
      </c>
      <c r="N615" t="n">
        <v>0</v>
      </c>
      <c r="O615" t="n">
        <v>0</v>
      </c>
      <c r="P615" t="n">
        <v>0</v>
      </c>
      <c r="Q615" t="n">
        <v>0</v>
      </c>
      <c r="R615" s="2" t="inlineStr"/>
    </row>
    <row r="616" ht="15" customHeight="1">
      <c r="A616" t="inlineStr">
        <is>
          <t>A 53906-2023</t>
        </is>
      </c>
      <c r="B616" s="1" t="n">
        <v>45231</v>
      </c>
      <c r="C616" s="1" t="n">
        <v>45910</v>
      </c>
      <c r="D616" t="inlineStr">
        <is>
          <t>UPPSALA LÄN</t>
        </is>
      </c>
      <c r="E616" t="inlineStr">
        <is>
          <t>UPPSALA</t>
        </is>
      </c>
      <c r="G616" t="n">
        <v>13.2</v>
      </c>
      <c r="H616" t="n">
        <v>0</v>
      </c>
      <c r="I616" t="n">
        <v>0</v>
      </c>
      <c r="J616" t="n">
        <v>0</v>
      </c>
      <c r="K616" t="n">
        <v>0</v>
      </c>
      <c r="L616" t="n">
        <v>0</v>
      </c>
      <c r="M616" t="n">
        <v>0</v>
      </c>
      <c r="N616" t="n">
        <v>0</v>
      </c>
      <c r="O616" t="n">
        <v>0</v>
      </c>
      <c r="P616" t="n">
        <v>0</v>
      </c>
      <c r="Q616" t="n">
        <v>0</v>
      </c>
      <c r="R616" s="2" t="inlineStr"/>
    </row>
    <row r="617" ht="15" customHeight="1">
      <c r="A617" t="inlineStr">
        <is>
          <t>A 32711-2025</t>
        </is>
      </c>
      <c r="B617" s="1" t="n">
        <v>45839</v>
      </c>
      <c r="C617" s="1" t="n">
        <v>45910</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c r="U617">
        <f>HYPERLINK("https://klasma.github.io/Logging_0380/knärot/A 32711-2025 karta knärot.png", "A 32711-2025")</f>
        <v/>
      </c>
      <c r="V617">
        <f>HYPERLINK("https://klasma.github.io/Logging_0380/klagomål/A 32711-2025 FSC-klagomål.docx", "A 32711-2025")</f>
        <v/>
      </c>
      <c r="W617">
        <f>HYPERLINK("https://klasma.github.io/Logging_0380/klagomålsmail/A 32711-2025 FSC-klagomål mail.docx", "A 32711-2025")</f>
        <v/>
      </c>
      <c r="X617">
        <f>HYPERLINK("https://klasma.github.io/Logging_0380/tillsyn/A 32711-2025 tillsynsbegäran.docx", "A 32711-2025")</f>
        <v/>
      </c>
      <c r="Y617">
        <f>HYPERLINK("https://klasma.github.io/Logging_0380/tillsynsmail/A 32711-2025 tillsynsbegäran mail.docx", "A 32711-2025")</f>
        <v/>
      </c>
    </row>
    <row r="618" ht="15" customHeight="1">
      <c r="A618" t="inlineStr">
        <is>
          <t>A 10394-2025</t>
        </is>
      </c>
      <c r="B618" s="1" t="n">
        <v>45720.60410879629</v>
      </c>
      <c r="C618" s="1" t="n">
        <v>45910</v>
      </c>
      <c r="D618" t="inlineStr">
        <is>
          <t>UPPSALA LÄN</t>
        </is>
      </c>
      <c r="E618" t="inlineStr">
        <is>
          <t>UPPSALA</t>
        </is>
      </c>
      <c r="G618" t="n">
        <v>3.4</v>
      </c>
      <c r="H618" t="n">
        <v>0</v>
      </c>
      <c r="I618" t="n">
        <v>0</v>
      </c>
      <c r="J618" t="n">
        <v>0</v>
      </c>
      <c r="K618" t="n">
        <v>0</v>
      </c>
      <c r="L618" t="n">
        <v>0</v>
      </c>
      <c r="M618" t="n">
        <v>0</v>
      </c>
      <c r="N618" t="n">
        <v>0</v>
      </c>
      <c r="O618" t="n">
        <v>0</v>
      </c>
      <c r="P618" t="n">
        <v>0</v>
      </c>
      <c r="Q618" t="n">
        <v>0</v>
      </c>
      <c r="R618" s="2" t="inlineStr"/>
    </row>
    <row r="619" ht="15" customHeight="1">
      <c r="A619" t="inlineStr">
        <is>
          <t>A 55073-2022</t>
        </is>
      </c>
      <c r="B619" s="1" t="n">
        <v>44886.5928125</v>
      </c>
      <c r="C619" s="1" t="n">
        <v>45910</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33816-2024</t>
        </is>
      </c>
      <c r="B620" s="1" t="n">
        <v>45520</v>
      </c>
      <c r="C620" s="1" t="n">
        <v>45910</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33571-2025</t>
        </is>
      </c>
      <c r="B621" s="1" t="n">
        <v>45841.5847337963</v>
      </c>
      <c r="C621" s="1" t="n">
        <v>45910</v>
      </c>
      <c r="D621" t="inlineStr">
        <is>
          <t>UPPSALA LÄN</t>
        </is>
      </c>
      <c r="E621" t="inlineStr">
        <is>
          <t>UPPSALA</t>
        </is>
      </c>
      <c r="G621" t="n">
        <v>1.6</v>
      </c>
      <c r="H621" t="n">
        <v>0</v>
      </c>
      <c r="I621" t="n">
        <v>0</v>
      </c>
      <c r="J621" t="n">
        <v>0</v>
      </c>
      <c r="K621" t="n">
        <v>0</v>
      </c>
      <c r="L621" t="n">
        <v>0</v>
      </c>
      <c r="M621" t="n">
        <v>0</v>
      </c>
      <c r="N621" t="n">
        <v>0</v>
      </c>
      <c r="O621" t="n">
        <v>0</v>
      </c>
      <c r="P621" t="n">
        <v>0</v>
      </c>
      <c r="Q621" t="n">
        <v>0</v>
      </c>
      <c r="R621" s="2" t="inlineStr"/>
    </row>
    <row r="622" ht="15" customHeight="1">
      <c r="A622" t="inlineStr">
        <is>
          <t>A 7276-2024</t>
        </is>
      </c>
      <c r="B622" s="1" t="n">
        <v>45344</v>
      </c>
      <c r="C622" s="1" t="n">
        <v>45910</v>
      </c>
      <c r="D622" t="inlineStr">
        <is>
          <t>UPPSALA LÄN</t>
        </is>
      </c>
      <c r="E622" t="inlineStr">
        <is>
          <t>UPPSALA</t>
        </is>
      </c>
      <c r="F622" t="inlineStr">
        <is>
          <t>Bergvik skog öst AB</t>
        </is>
      </c>
      <c r="G622" t="n">
        <v>0.2</v>
      </c>
      <c r="H622" t="n">
        <v>0</v>
      </c>
      <c r="I622" t="n">
        <v>0</v>
      </c>
      <c r="J622" t="n">
        <v>0</v>
      </c>
      <c r="K622" t="n">
        <v>0</v>
      </c>
      <c r="L622" t="n">
        <v>0</v>
      </c>
      <c r="M622" t="n">
        <v>0</v>
      </c>
      <c r="N622" t="n">
        <v>0</v>
      </c>
      <c r="O622" t="n">
        <v>0</v>
      </c>
      <c r="P622" t="n">
        <v>0</v>
      </c>
      <c r="Q622" t="n">
        <v>0</v>
      </c>
      <c r="R622" s="2" t="inlineStr"/>
    </row>
    <row r="623" ht="15" customHeight="1">
      <c r="A623" t="inlineStr">
        <is>
          <t>A 47083-2023</t>
        </is>
      </c>
      <c r="B623" s="1" t="n">
        <v>45201.62318287037</v>
      </c>
      <c r="C623" s="1" t="n">
        <v>45910</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33261-2025</t>
        </is>
      </c>
      <c r="B624" s="1" t="n">
        <v>45840</v>
      </c>
      <c r="C624" s="1" t="n">
        <v>45910</v>
      </c>
      <c r="D624" t="inlineStr">
        <is>
          <t>UPPSALA LÄN</t>
        </is>
      </c>
      <c r="E624" t="inlineStr">
        <is>
          <t>UPPSALA</t>
        </is>
      </c>
      <c r="G624" t="n">
        <v>3.4</v>
      </c>
      <c r="H624" t="n">
        <v>0</v>
      </c>
      <c r="I624" t="n">
        <v>0</v>
      </c>
      <c r="J624" t="n">
        <v>0</v>
      </c>
      <c r="K624" t="n">
        <v>0</v>
      </c>
      <c r="L624" t="n">
        <v>0</v>
      </c>
      <c r="M624" t="n">
        <v>0</v>
      </c>
      <c r="N624" t="n">
        <v>0</v>
      </c>
      <c r="O624" t="n">
        <v>0</v>
      </c>
      <c r="P624" t="n">
        <v>0</v>
      </c>
      <c r="Q624" t="n">
        <v>0</v>
      </c>
      <c r="R624" s="2" t="inlineStr"/>
    </row>
    <row r="625" ht="15" customHeight="1">
      <c r="A625" t="inlineStr">
        <is>
          <t>A 37670-2022</t>
        </is>
      </c>
      <c r="B625" s="1" t="n">
        <v>44810</v>
      </c>
      <c r="C625" s="1" t="n">
        <v>45910</v>
      </c>
      <c r="D625" t="inlineStr">
        <is>
          <t>UPPSALA LÄN</t>
        </is>
      </c>
      <c r="E625" t="inlineStr">
        <is>
          <t>UPPSALA</t>
        </is>
      </c>
      <c r="G625" t="n">
        <v>2.4</v>
      </c>
      <c r="H625" t="n">
        <v>0</v>
      </c>
      <c r="I625" t="n">
        <v>0</v>
      </c>
      <c r="J625" t="n">
        <v>0</v>
      </c>
      <c r="K625" t="n">
        <v>0</v>
      </c>
      <c r="L625" t="n">
        <v>0</v>
      </c>
      <c r="M625" t="n">
        <v>0</v>
      </c>
      <c r="N625" t="n">
        <v>0</v>
      </c>
      <c r="O625" t="n">
        <v>0</v>
      </c>
      <c r="P625" t="n">
        <v>0</v>
      </c>
      <c r="Q625" t="n">
        <v>0</v>
      </c>
      <c r="R625" s="2" t="inlineStr"/>
    </row>
    <row r="626" ht="15" customHeight="1">
      <c r="A626" t="inlineStr">
        <is>
          <t>A 38113-2025</t>
        </is>
      </c>
      <c r="B626" s="1" t="n">
        <v>45882.52290509259</v>
      </c>
      <c r="C626" s="1" t="n">
        <v>45910</v>
      </c>
      <c r="D626" t="inlineStr">
        <is>
          <t>UPPSALA LÄN</t>
        </is>
      </c>
      <c r="E626" t="inlineStr">
        <is>
          <t>UPPSALA</t>
        </is>
      </c>
      <c r="G626" t="n">
        <v>5.8</v>
      </c>
      <c r="H626" t="n">
        <v>0</v>
      </c>
      <c r="I626" t="n">
        <v>0</v>
      </c>
      <c r="J626" t="n">
        <v>0</v>
      </c>
      <c r="K626" t="n">
        <v>0</v>
      </c>
      <c r="L626" t="n">
        <v>0</v>
      </c>
      <c r="M626" t="n">
        <v>0</v>
      </c>
      <c r="N626" t="n">
        <v>0</v>
      </c>
      <c r="O626" t="n">
        <v>0</v>
      </c>
      <c r="P626" t="n">
        <v>0</v>
      </c>
      <c r="Q626" t="n">
        <v>0</v>
      </c>
      <c r="R626" s="2" t="inlineStr"/>
    </row>
    <row r="627" ht="15" customHeight="1">
      <c r="A627" t="inlineStr">
        <is>
          <t>A 39608-2022</t>
        </is>
      </c>
      <c r="B627" s="1" t="n">
        <v>44817</v>
      </c>
      <c r="C627" s="1" t="n">
        <v>45910</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42622-2022</t>
        </is>
      </c>
      <c r="B628" s="1" t="n">
        <v>44831</v>
      </c>
      <c r="C628" s="1" t="n">
        <v>45910</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11162-2022</t>
        </is>
      </c>
      <c r="B629" s="1" t="n">
        <v>44629.42423611111</v>
      </c>
      <c r="C629" s="1" t="n">
        <v>45910</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38034-2025</t>
        </is>
      </c>
      <c r="B630" s="1" t="n">
        <v>45882.37202546297</v>
      </c>
      <c r="C630" s="1" t="n">
        <v>45910</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33272-2025</t>
        </is>
      </c>
      <c r="B631" s="1" t="n">
        <v>45840.68518518518</v>
      </c>
      <c r="C631" s="1" t="n">
        <v>45910</v>
      </c>
      <c r="D631" t="inlineStr">
        <is>
          <t>UPPSALA LÄN</t>
        </is>
      </c>
      <c r="E631" t="inlineStr">
        <is>
          <t>UPPSALA</t>
        </is>
      </c>
      <c r="G631" t="n">
        <v>4.7</v>
      </c>
      <c r="H631" t="n">
        <v>0</v>
      </c>
      <c r="I631" t="n">
        <v>0</v>
      </c>
      <c r="J631" t="n">
        <v>0</v>
      </c>
      <c r="K631" t="n">
        <v>0</v>
      </c>
      <c r="L631" t="n">
        <v>0</v>
      </c>
      <c r="M631" t="n">
        <v>0</v>
      </c>
      <c r="N631" t="n">
        <v>0</v>
      </c>
      <c r="O631" t="n">
        <v>0</v>
      </c>
      <c r="P631" t="n">
        <v>0</v>
      </c>
      <c r="Q631" t="n">
        <v>0</v>
      </c>
      <c r="R631" s="2" t="inlineStr"/>
    </row>
    <row r="632" ht="15" customHeight="1">
      <c r="A632" t="inlineStr">
        <is>
          <t>A 32688-2023</t>
        </is>
      </c>
      <c r="B632" s="1" t="n">
        <v>45121</v>
      </c>
      <c r="C632" s="1" t="n">
        <v>45910</v>
      </c>
      <c r="D632" t="inlineStr">
        <is>
          <t>UPPSALA LÄN</t>
        </is>
      </c>
      <c r="E632" t="inlineStr">
        <is>
          <t>UPPSALA</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1731-2022</t>
        </is>
      </c>
      <c r="B633" s="1" t="n">
        <v>44574</v>
      </c>
      <c r="C633" s="1" t="n">
        <v>45910</v>
      </c>
      <c r="D633" t="inlineStr">
        <is>
          <t>UPPSALA LÄN</t>
        </is>
      </c>
      <c r="E633" t="inlineStr">
        <is>
          <t>UPPSALA</t>
        </is>
      </c>
      <c r="G633" t="n">
        <v>10.1</v>
      </c>
      <c r="H633" t="n">
        <v>0</v>
      </c>
      <c r="I633" t="n">
        <v>0</v>
      </c>
      <c r="J633" t="n">
        <v>0</v>
      </c>
      <c r="K633" t="n">
        <v>0</v>
      </c>
      <c r="L633" t="n">
        <v>0</v>
      </c>
      <c r="M633" t="n">
        <v>0</v>
      </c>
      <c r="N633" t="n">
        <v>0</v>
      </c>
      <c r="O633" t="n">
        <v>0</v>
      </c>
      <c r="P633" t="n">
        <v>0</v>
      </c>
      <c r="Q633" t="n">
        <v>0</v>
      </c>
      <c r="R633" s="2" t="inlineStr"/>
    </row>
    <row r="634" ht="15" customHeight="1">
      <c r="A634" t="inlineStr">
        <is>
          <t>A 53266-2024</t>
        </is>
      </c>
      <c r="B634" s="1" t="n">
        <v>45614</v>
      </c>
      <c r="C634" s="1" t="n">
        <v>45910</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27068-2023</t>
        </is>
      </c>
      <c r="B635" s="1" t="n">
        <v>45096</v>
      </c>
      <c r="C635" s="1" t="n">
        <v>45910</v>
      </c>
      <c r="D635" t="inlineStr">
        <is>
          <t>UPPSALA LÄN</t>
        </is>
      </c>
      <c r="E635" t="inlineStr">
        <is>
          <t>UPPSALA</t>
        </is>
      </c>
      <c r="G635" t="n">
        <v>0.6</v>
      </c>
      <c r="H635" t="n">
        <v>0</v>
      </c>
      <c r="I635" t="n">
        <v>0</v>
      </c>
      <c r="J635" t="n">
        <v>0</v>
      </c>
      <c r="K635" t="n">
        <v>0</v>
      </c>
      <c r="L635" t="n">
        <v>0</v>
      </c>
      <c r="M635" t="n">
        <v>0</v>
      </c>
      <c r="N635" t="n">
        <v>0</v>
      </c>
      <c r="O635" t="n">
        <v>0</v>
      </c>
      <c r="P635" t="n">
        <v>0</v>
      </c>
      <c r="Q635" t="n">
        <v>0</v>
      </c>
      <c r="R635" s="2" t="inlineStr"/>
    </row>
    <row r="636" ht="15" customHeight="1">
      <c r="A636" t="inlineStr">
        <is>
          <t>A 33964-2025</t>
        </is>
      </c>
      <c r="B636" s="1" t="n">
        <v>45842.74049768518</v>
      </c>
      <c r="C636" s="1" t="n">
        <v>45910</v>
      </c>
      <c r="D636" t="inlineStr">
        <is>
          <t>UPPSALA LÄN</t>
        </is>
      </c>
      <c r="E636" t="inlineStr">
        <is>
          <t>UPPSALA</t>
        </is>
      </c>
      <c r="G636" t="n">
        <v>2.7</v>
      </c>
      <c r="H636" t="n">
        <v>0</v>
      </c>
      <c r="I636" t="n">
        <v>0</v>
      </c>
      <c r="J636" t="n">
        <v>0</v>
      </c>
      <c r="K636" t="n">
        <v>0</v>
      </c>
      <c r="L636" t="n">
        <v>0</v>
      </c>
      <c r="M636" t="n">
        <v>0</v>
      </c>
      <c r="N636" t="n">
        <v>0</v>
      </c>
      <c r="O636" t="n">
        <v>0</v>
      </c>
      <c r="P636" t="n">
        <v>0</v>
      </c>
      <c r="Q636" t="n">
        <v>0</v>
      </c>
      <c r="R636" s="2" t="inlineStr"/>
    </row>
    <row r="637" ht="15" customHeight="1">
      <c r="A637" t="inlineStr">
        <is>
          <t>A 36478-2023</t>
        </is>
      </c>
      <c r="B637" s="1" t="n">
        <v>45152</v>
      </c>
      <c r="C637" s="1" t="n">
        <v>45910</v>
      </c>
      <c r="D637" t="inlineStr">
        <is>
          <t>UPPSALA LÄN</t>
        </is>
      </c>
      <c r="E637" t="inlineStr">
        <is>
          <t>UPPSALA</t>
        </is>
      </c>
      <c r="F637" t="inlineStr">
        <is>
          <t>Allmännings- och besparingsskogar</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12282-2025</t>
        </is>
      </c>
      <c r="B638" s="1" t="n">
        <v>45729</v>
      </c>
      <c r="C638" s="1" t="n">
        <v>45910</v>
      </c>
      <c r="D638" t="inlineStr">
        <is>
          <t>UPPSALA LÄN</t>
        </is>
      </c>
      <c r="E638" t="inlineStr">
        <is>
          <t>UPPSALA</t>
        </is>
      </c>
      <c r="G638" t="n">
        <v>3.3</v>
      </c>
      <c r="H638" t="n">
        <v>0</v>
      </c>
      <c r="I638" t="n">
        <v>0</v>
      </c>
      <c r="J638" t="n">
        <v>0</v>
      </c>
      <c r="K638" t="n">
        <v>0</v>
      </c>
      <c r="L638" t="n">
        <v>0</v>
      </c>
      <c r="M638" t="n">
        <v>0</v>
      </c>
      <c r="N638" t="n">
        <v>0</v>
      </c>
      <c r="O638" t="n">
        <v>0</v>
      </c>
      <c r="P638" t="n">
        <v>0</v>
      </c>
      <c r="Q638" t="n">
        <v>0</v>
      </c>
      <c r="R638" s="2" t="inlineStr"/>
    </row>
    <row r="639" ht="15" customHeight="1">
      <c r="A639" t="inlineStr">
        <is>
          <t>A 45878-2024</t>
        </is>
      </c>
      <c r="B639" s="1" t="n">
        <v>45580</v>
      </c>
      <c r="C639" s="1" t="n">
        <v>45910</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3314-2025</t>
        </is>
      </c>
      <c r="B640" s="1" t="n">
        <v>45679</v>
      </c>
      <c r="C640" s="1" t="n">
        <v>45910</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43-2024</t>
        </is>
      </c>
      <c r="B641" s="1" t="n">
        <v>45293</v>
      </c>
      <c r="C641" s="1" t="n">
        <v>45910</v>
      </c>
      <c r="D641" t="inlineStr">
        <is>
          <t>UPPSALA LÄN</t>
        </is>
      </c>
      <c r="E641" t="inlineStr">
        <is>
          <t>UPPSALA</t>
        </is>
      </c>
      <c r="G641" t="n">
        <v>2.8</v>
      </c>
      <c r="H641" t="n">
        <v>0</v>
      </c>
      <c r="I641" t="n">
        <v>0</v>
      </c>
      <c r="J641" t="n">
        <v>0</v>
      </c>
      <c r="K641" t="n">
        <v>0</v>
      </c>
      <c r="L641" t="n">
        <v>0</v>
      </c>
      <c r="M641" t="n">
        <v>0</v>
      </c>
      <c r="N641" t="n">
        <v>0</v>
      </c>
      <c r="O641" t="n">
        <v>0</v>
      </c>
      <c r="P641" t="n">
        <v>0</v>
      </c>
      <c r="Q641" t="n">
        <v>0</v>
      </c>
      <c r="R641" s="2" t="inlineStr"/>
    </row>
    <row r="642" ht="15" customHeight="1">
      <c r="A642" t="inlineStr">
        <is>
          <t>A 62044-2024</t>
        </is>
      </c>
      <c r="B642" s="1" t="n">
        <v>45656</v>
      </c>
      <c r="C642" s="1" t="n">
        <v>45910</v>
      </c>
      <c r="D642" t="inlineStr">
        <is>
          <t>UPPSALA LÄN</t>
        </is>
      </c>
      <c r="E642" t="inlineStr">
        <is>
          <t>UPPSALA</t>
        </is>
      </c>
      <c r="F642" t="inlineStr">
        <is>
          <t>Övriga statliga verk och myndigheter</t>
        </is>
      </c>
      <c r="G642" t="n">
        <v>11.6</v>
      </c>
      <c r="H642" t="n">
        <v>0</v>
      </c>
      <c r="I642" t="n">
        <v>0</v>
      </c>
      <c r="J642" t="n">
        <v>0</v>
      </c>
      <c r="K642" t="n">
        <v>0</v>
      </c>
      <c r="L642" t="n">
        <v>0</v>
      </c>
      <c r="M642" t="n">
        <v>0</v>
      </c>
      <c r="N642" t="n">
        <v>0</v>
      </c>
      <c r="O642" t="n">
        <v>0</v>
      </c>
      <c r="P642" t="n">
        <v>0</v>
      </c>
      <c r="Q642" t="n">
        <v>0</v>
      </c>
      <c r="R642" s="2" t="inlineStr"/>
    </row>
    <row r="643" ht="15" customHeight="1">
      <c r="A643" t="inlineStr">
        <is>
          <t>A 17587-2025</t>
        </is>
      </c>
      <c r="B643" s="1" t="n">
        <v>45757.67611111111</v>
      </c>
      <c r="C643" s="1" t="n">
        <v>45910</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59116-2024</t>
        </is>
      </c>
      <c r="B644" s="1" t="n">
        <v>45637</v>
      </c>
      <c r="C644" s="1" t="n">
        <v>45910</v>
      </c>
      <c r="D644" t="inlineStr">
        <is>
          <t>UPPSALA LÄN</t>
        </is>
      </c>
      <c r="E644" t="inlineStr">
        <is>
          <t>UPPSALA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18625-2025</t>
        </is>
      </c>
      <c r="B645" s="1" t="n">
        <v>45763.52744212963</v>
      </c>
      <c r="C645" s="1" t="n">
        <v>45910</v>
      </c>
      <c r="D645" t="inlineStr">
        <is>
          <t>UPPSALA LÄN</t>
        </is>
      </c>
      <c r="E645" t="inlineStr">
        <is>
          <t>UPPSALA</t>
        </is>
      </c>
      <c r="G645" t="n">
        <v>1.8</v>
      </c>
      <c r="H645" t="n">
        <v>0</v>
      </c>
      <c r="I645" t="n">
        <v>0</v>
      </c>
      <c r="J645" t="n">
        <v>0</v>
      </c>
      <c r="K645" t="n">
        <v>0</v>
      </c>
      <c r="L645" t="n">
        <v>0</v>
      </c>
      <c r="M645" t="n">
        <v>0</v>
      </c>
      <c r="N645" t="n">
        <v>0</v>
      </c>
      <c r="O645" t="n">
        <v>0</v>
      </c>
      <c r="P645" t="n">
        <v>0</v>
      </c>
      <c r="Q645" t="n">
        <v>0</v>
      </c>
      <c r="R645" s="2" t="inlineStr"/>
    </row>
    <row r="646" ht="15" customHeight="1">
      <c r="A646" t="inlineStr">
        <is>
          <t>A 74495-2021</t>
        </is>
      </c>
      <c r="B646" s="1" t="n">
        <v>44560</v>
      </c>
      <c r="C646" s="1" t="n">
        <v>45910</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46920-2021</t>
        </is>
      </c>
      <c r="B647" s="1" t="n">
        <v>44446</v>
      </c>
      <c r="C647" s="1" t="n">
        <v>45910</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13799-2024</t>
        </is>
      </c>
      <c r="B648" s="1" t="n">
        <v>45391.37361111111</v>
      </c>
      <c r="C648" s="1" t="n">
        <v>45910</v>
      </c>
      <c r="D648" t="inlineStr">
        <is>
          <t>UPPSALA LÄN</t>
        </is>
      </c>
      <c r="E648" t="inlineStr">
        <is>
          <t>UPPSALA</t>
        </is>
      </c>
      <c r="G648" t="n">
        <v>1.9</v>
      </c>
      <c r="H648" t="n">
        <v>0</v>
      </c>
      <c r="I648" t="n">
        <v>0</v>
      </c>
      <c r="J648" t="n">
        <v>0</v>
      </c>
      <c r="K648" t="n">
        <v>0</v>
      </c>
      <c r="L648" t="n">
        <v>0</v>
      </c>
      <c r="M648" t="n">
        <v>0</v>
      </c>
      <c r="N648" t="n">
        <v>0</v>
      </c>
      <c r="O648" t="n">
        <v>0</v>
      </c>
      <c r="P648" t="n">
        <v>0</v>
      </c>
      <c r="Q648" t="n">
        <v>0</v>
      </c>
      <c r="R648" s="2" t="inlineStr"/>
    </row>
    <row r="649" ht="15" customHeight="1">
      <c r="A649" t="inlineStr">
        <is>
          <t>A 5189-2022</t>
        </is>
      </c>
      <c r="B649" s="1" t="n">
        <v>44594</v>
      </c>
      <c r="C649" s="1" t="n">
        <v>45910</v>
      </c>
      <c r="D649" t="inlineStr">
        <is>
          <t>UPPSALA LÄN</t>
        </is>
      </c>
      <c r="E649" t="inlineStr">
        <is>
          <t>UPPSALA</t>
        </is>
      </c>
      <c r="G649" t="n">
        <v>5.9</v>
      </c>
      <c r="H649" t="n">
        <v>0</v>
      </c>
      <c r="I649" t="n">
        <v>0</v>
      </c>
      <c r="J649" t="n">
        <v>0</v>
      </c>
      <c r="K649" t="n">
        <v>0</v>
      </c>
      <c r="L649" t="n">
        <v>0</v>
      </c>
      <c r="M649" t="n">
        <v>0</v>
      </c>
      <c r="N649" t="n">
        <v>0</v>
      </c>
      <c r="O649" t="n">
        <v>0</v>
      </c>
      <c r="P649" t="n">
        <v>0</v>
      </c>
      <c r="Q649" t="n">
        <v>0</v>
      </c>
      <c r="R649" s="2" t="inlineStr"/>
    </row>
    <row r="650" ht="15" customHeight="1">
      <c r="A650" t="inlineStr">
        <is>
          <t>A 39812-2024</t>
        </is>
      </c>
      <c r="B650" s="1" t="n">
        <v>45552</v>
      </c>
      <c r="C650" s="1" t="n">
        <v>45910</v>
      </c>
      <c r="D650" t="inlineStr">
        <is>
          <t>UPPSALA LÄN</t>
        </is>
      </c>
      <c r="E650" t="inlineStr">
        <is>
          <t>UPPSALA</t>
        </is>
      </c>
      <c r="G650" t="n">
        <v>7.9</v>
      </c>
      <c r="H650" t="n">
        <v>0</v>
      </c>
      <c r="I650" t="n">
        <v>0</v>
      </c>
      <c r="J650" t="n">
        <v>0</v>
      </c>
      <c r="K650" t="n">
        <v>0</v>
      </c>
      <c r="L650" t="n">
        <v>0</v>
      </c>
      <c r="M650" t="n">
        <v>0</v>
      </c>
      <c r="N650" t="n">
        <v>0</v>
      </c>
      <c r="O650" t="n">
        <v>0</v>
      </c>
      <c r="P650" t="n">
        <v>0</v>
      </c>
      <c r="Q650" t="n">
        <v>0</v>
      </c>
      <c r="R650" s="2" t="inlineStr"/>
    </row>
    <row r="651" ht="15" customHeight="1">
      <c r="A651" t="inlineStr">
        <is>
          <t>A 34132-2025</t>
        </is>
      </c>
      <c r="B651" s="1" t="n">
        <v>45845.53202546296</v>
      </c>
      <c r="C651" s="1" t="n">
        <v>45910</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18677-2024</t>
        </is>
      </c>
      <c r="B652" s="1" t="n">
        <v>45426</v>
      </c>
      <c r="C652" s="1" t="n">
        <v>45910</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42772-2022</t>
        </is>
      </c>
      <c r="B653" s="1" t="n">
        <v>44832.49594907407</v>
      </c>
      <c r="C653" s="1" t="n">
        <v>45910</v>
      </c>
      <c r="D653" t="inlineStr">
        <is>
          <t>UPPSALA LÄN</t>
        </is>
      </c>
      <c r="E653" t="inlineStr">
        <is>
          <t>UPPSALA</t>
        </is>
      </c>
      <c r="G653" t="n">
        <v>17.7</v>
      </c>
      <c r="H653" t="n">
        <v>0</v>
      </c>
      <c r="I653" t="n">
        <v>0</v>
      </c>
      <c r="J653" t="n">
        <v>0</v>
      </c>
      <c r="K653" t="n">
        <v>0</v>
      </c>
      <c r="L653" t="n">
        <v>0</v>
      </c>
      <c r="M653" t="n">
        <v>0</v>
      </c>
      <c r="N653" t="n">
        <v>0</v>
      </c>
      <c r="O653" t="n">
        <v>0</v>
      </c>
      <c r="P653" t="n">
        <v>0</v>
      </c>
      <c r="Q653" t="n">
        <v>0</v>
      </c>
      <c r="R653" s="2" t="inlineStr"/>
    </row>
    <row r="654" ht="15" customHeight="1">
      <c r="A654" t="inlineStr">
        <is>
          <t>A 3261-2024</t>
        </is>
      </c>
      <c r="B654" s="1" t="n">
        <v>45317</v>
      </c>
      <c r="C654" s="1" t="n">
        <v>45910</v>
      </c>
      <c r="D654" t="inlineStr">
        <is>
          <t>UPPSALA LÄN</t>
        </is>
      </c>
      <c r="E654" t="inlineStr">
        <is>
          <t>UPPSALA</t>
        </is>
      </c>
      <c r="G654" t="n">
        <v>2.8</v>
      </c>
      <c r="H654" t="n">
        <v>0</v>
      </c>
      <c r="I654" t="n">
        <v>0</v>
      </c>
      <c r="J654" t="n">
        <v>0</v>
      </c>
      <c r="K654" t="n">
        <v>0</v>
      </c>
      <c r="L654" t="n">
        <v>0</v>
      </c>
      <c r="M654" t="n">
        <v>0</v>
      </c>
      <c r="N654" t="n">
        <v>0</v>
      </c>
      <c r="O654" t="n">
        <v>0</v>
      </c>
      <c r="P654" t="n">
        <v>0</v>
      </c>
      <c r="Q654" t="n">
        <v>0</v>
      </c>
      <c r="R654" s="2" t="inlineStr"/>
    </row>
    <row r="655" ht="15" customHeight="1">
      <c r="A655" t="inlineStr">
        <is>
          <t>A 60702-2022</t>
        </is>
      </c>
      <c r="B655" s="1" t="n">
        <v>44912.29869212963</v>
      </c>
      <c r="C655" s="1" t="n">
        <v>45910</v>
      </c>
      <c r="D655" t="inlineStr">
        <is>
          <t>UPPSALA LÄN</t>
        </is>
      </c>
      <c r="E655" t="inlineStr">
        <is>
          <t>UPPSALA</t>
        </is>
      </c>
      <c r="G655" t="n">
        <v>0.9</v>
      </c>
      <c r="H655" t="n">
        <v>0</v>
      </c>
      <c r="I655" t="n">
        <v>0</v>
      </c>
      <c r="J655" t="n">
        <v>0</v>
      </c>
      <c r="K655" t="n">
        <v>0</v>
      </c>
      <c r="L655" t="n">
        <v>0</v>
      </c>
      <c r="M655" t="n">
        <v>0</v>
      </c>
      <c r="N655" t="n">
        <v>0</v>
      </c>
      <c r="O655" t="n">
        <v>0</v>
      </c>
      <c r="P655" t="n">
        <v>0</v>
      </c>
      <c r="Q655" t="n">
        <v>0</v>
      </c>
      <c r="R655" s="2" t="inlineStr"/>
    </row>
    <row r="656" ht="15" customHeight="1">
      <c r="A656" t="inlineStr">
        <is>
          <t>A 6930-2023</t>
        </is>
      </c>
      <c r="B656" s="1" t="n">
        <v>44967.55960648148</v>
      </c>
      <c r="C656" s="1" t="n">
        <v>45910</v>
      </c>
      <c r="D656" t="inlineStr">
        <is>
          <t>UPPSALA LÄN</t>
        </is>
      </c>
      <c r="E656" t="inlineStr">
        <is>
          <t>UPPSALA</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59489-2023</t>
        </is>
      </c>
      <c r="B657" s="1" t="n">
        <v>45254</v>
      </c>
      <c r="C657" s="1" t="n">
        <v>45910</v>
      </c>
      <c r="D657" t="inlineStr">
        <is>
          <t>UPPSALA LÄN</t>
        </is>
      </c>
      <c r="E657" t="inlineStr">
        <is>
          <t>UPPSALA</t>
        </is>
      </c>
      <c r="G657" t="n">
        <v>6.5</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44614.59027777778</v>
      </c>
      <c r="C658" s="1" t="n">
        <v>45910</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18805-2025</t>
        </is>
      </c>
      <c r="B659" s="1" t="n">
        <v>45763</v>
      </c>
      <c r="C659" s="1" t="n">
        <v>45910</v>
      </c>
      <c r="D659" t="inlineStr">
        <is>
          <t>UPPSALA LÄN</t>
        </is>
      </c>
      <c r="E659" t="inlineStr">
        <is>
          <t>UPPSALA</t>
        </is>
      </c>
      <c r="G659" t="n">
        <v>0.8</v>
      </c>
      <c r="H659" t="n">
        <v>0</v>
      </c>
      <c r="I659" t="n">
        <v>0</v>
      </c>
      <c r="J659" t="n">
        <v>0</v>
      </c>
      <c r="K659" t="n">
        <v>0</v>
      </c>
      <c r="L659" t="n">
        <v>0</v>
      </c>
      <c r="M659" t="n">
        <v>0</v>
      </c>
      <c r="N659" t="n">
        <v>0</v>
      </c>
      <c r="O659" t="n">
        <v>0</v>
      </c>
      <c r="P659" t="n">
        <v>0</v>
      </c>
      <c r="Q659" t="n">
        <v>0</v>
      </c>
      <c r="R659" s="2" t="inlineStr"/>
    </row>
    <row r="660" ht="15" customHeight="1">
      <c r="A660" t="inlineStr">
        <is>
          <t>A 554-2023</t>
        </is>
      </c>
      <c r="B660" s="1" t="n">
        <v>44930</v>
      </c>
      <c r="C660" s="1" t="n">
        <v>45910</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1032-2023</t>
        </is>
      </c>
      <c r="B661" s="1" t="n">
        <v>44935</v>
      </c>
      <c r="C661" s="1" t="n">
        <v>45910</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27903-2023</t>
        </is>
      </c>
      <c r="B662" s="1" t="n">
        <v>45098.62966435185</v>
      </c>
      <c r="C662" s="1" t="n">
        <v>45910</v>
      </c>
      <c r="D662" t="inlineStr">
        <is>
          <t>UPPSALA LÄN</t>
        </is>
      </c>
      <c r="E662" t="inlineStr">
        <is>
          <t>UPPSALA</t>
        </is>
      </c>
      <c r="G662" t="n">
        <v>2.4</v>
      </c>
      <c r="H662" t="n">
        <v>0</v>
      </c>
      <c r="I662" t="n">
        <v>0</v>
      </c>
      <c r="J662" t="n">
        <v>0</v>
      </c>
      <c r="K662" t="n">
        <v>0</v>
      </c>
      <c r="L662" t="n">
        <v>0</v>
      </c>
      <c r="M662" t="n">
        <v>0</v>
      </c>
      <c r="N662" t="n">
        <v>0</v>
      </c>
      <c r="O662" t="n">
        <v>0</v>
      </c>
      <c r="P662" t="n">
        <v>0</v>
      </c>
      <c r="Q662" t="n">
        <v>0</v>
      </c>
      <c r="R662" s="2" t="inlineStr"/>
    </row>
    <row r="663" ht="15" customHeight="1">
      <c r="A663" t="inlineStr">
        <is>
          <t>A 51576-2023</t>
        </is>
      </c>
      <c r="B663" s="1" t="n">
        <v>45222</v>
      </c>
      <c r="C663" s="1" t="n">
        <v>45910</v>
      </c>
      <c r="D663" t="inlineStr">
        <is>
          <t>UPPSALA LÄN</t>
        </is>
      </c>
      <c r="E663" t="inlineStr">
        <is>
          <t>UPPSALA</t>
        </is>
      </c>
      <c r="G663" t="n">
        <v>2.2</v>
      </c>
      <c r="H663" t="n">
        <v>0</v>
      </c>
      <c r="I663" t="n">
        <v>0</v>
      </c>
      <c r="J663" t="n">
        <v>0</v>
      </c>
      <c r="K663" t="n">
        <v>0</v>
      </c>
      <c r="L663" t="n">
        <v>0</v>
      </c>
      <c r="M663" t="n">
        <v>0</v>
      </c>
      <c r="N663" t="n">
        <v>0</v>
      </c>
      <c r="O663" t="n">
        <v>0</v>
      </c>
      <c r="P663" t="n">
        <v>0</v>
      </c>
      <c r="Q663" t="n">
        <v>0</v>
      </c>
      <c r="R663" s="2" t="inlineStr"/>
    </row>
    <row r="664" ht="15" customHeight="1">
      <c r="A664" t="inlineStr">
        <is>
          <t>A 17250-2025</t>
        </is>
      </c>
      <c r="B664" s="1" t="n">
        <v>45756.50738425926</v>
      </c>
      <c r="C664" s="1" t="n">
        <v>45910</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14784-2023</t>
        </is>
      </c>
      <c r="B665" s="1" t="n">
        <v>45014</v>
      </c>
      <c r="C665" s="1" t="n">
        <v>45910</v>
      </c>
      <c r="D665" t="inlineStr">
        <is>
          <t>UPPSALA LÄN</t>
        </is>
      </c>
      <c r="E665" t="inlineStr">
        <is>
          <t>UPPSALA</t>
        </is>
      </c>
      <c r="G665" t="n">
        <v>4.7</v>
      </c>
      <c r="H665" t="n">
        <v>0</v>
      </c>
      <c r="I665" t="n">
        <v>0</v>
      </c>
      <c r="J665" t="n">
        <v>0</v>
      </c>
      <c r="K665" t="n">
        <v>0</v>
      </c>
      <c r="L665" t="n">
        <v>0</v>
      </c>
      <c r="M665" t="n">
        <v>0</v>
      </c>
      <c r="N665" t="n">
        <v>0</v>
      </c>
      <c r="O665" t="n">
        <v>0</v>
      </c>
      <c r="P665" t="n">
        <v>0</v>
      </c>
      <c r="Q665" t="n">
        <v>0</v>
      </c>
      <c r="R665" s="2" t="inlineStr"/>
    </row>
    <row r="666" ht="15" customHeight="1">
      <c r="A666" t="inlineStr">
        <is>
          <t>A 50267-2023</t>
        </is>
      </c>
      <c r="B666" s="1" t="n">
        <v>45216.39040509259</v>
      </c>
      <c r="C666" s="1" t="n">
        <v>45910</v>
      </c>
      <c r="D666" t="inlineStr">
        <is>
          <t>UPPSALA LÄN</t>
        </is>
      </c>
      <c r="E666" t="inlineStr">
        <is>
          <t>UPPSALA</t>
        </is>
      </c>
      <c r="G666" t="n">
        <v>1</v>
      </c>
      <c r="H666" t="n">
        <v>0</v>
      </c>
      <c r="I666" t="n">
        <v>0</v>
      </c>
      <c r="J666" t="n">
        <v>0</v>
      </c>
      <c r="K666" t="n">
        <v>0</v>
      </c>
      <c r="L666" t="n">
        <v>0</v>
      </c>
      <c r="M666" t="n">
        <v>0</v>
      </c>
      <c r="N666" t="n">
        <v>0</v>
      </c>
      <c r="O666" t="n">
        <v>0</v>
      </c>
      <c r="P666" t="n">
        <v>0</v>
      </c>
      <c r="Q666" t="n">
        <v>0</v>
      </c>
      <c r="R666" s="2" t="inlineStr"/>
    </row>
    <row r="667" ht="15" customHeight="1">
      <c r="A667" t="inlineStr">
        <is>
          <t>A 38469-2025</t>
        </is>
      </c>
      <c r="B667" s="1" t="n">
        <v>45884</v>
      </c>
      <c r="C667" s="1" t="n">
        <v>45910</v>
      </c>
      <c r="D667" t="inlineStr">
        <is>
          <t>UPPSALA LÄN</t>
        </is>
      </c>
      <c r="E667" t="inlineStr">
        <is>
          <t>UPPSALA</t>
        </is>
      </c>
      <c r="G667" t="n">
        <v>2</v>
      </c>
      <c r="H667" t="n">
        <v>0</v>
      </c>
      <c r="I667" t="n">
        <v>0</v>
      </c>
      <c r="J667" t="n">
        <v>0</v>
      </c>
      <c r="K667" t="n">
        <v>0</v>
      </c>
      <c r="L667" t="n">
        <v>0</v>
      </c>
      <c r="M667" t="n">
        <v>0</v>
      </c>
      <c r="N667" t="n">
        <v>0</v>
      </c>
      <c r="O667" t="n">
        <v>0</v>
      </c>
      <c r="P667" t="n">
        <v>0</v>
      </c>
      <c r="Q667" t="n">
        <v>0</v>
      </c>
      <c r="R667" s="2" t="inlineStr"/>
    </row>
    <row r="668" ht="15" customHeight="1">
      <c r="A668" t="inlineStr">
        <is>
          <t>A 41422-2023</t>
        </is>
      </c>
      <c r="B668" s="1" t="n">
        <v>45175</v>
      </c>
      <c r="C668" s="1" t="n">
        <v>45910</v>
      </c>
      <c r="D668" t="inlineStr">
        <is>
          <t>UPPSALA LÄN</t>
        </is>
      </c>
      <c r="E668" t="inlineStr">
        <is>
          <t>UPPSALA</t>
        </is>
      </c>
      <c r="F668" t="inlineStr">
        <is>
          <t>Kyrkan</t>
        </is>
      </c>
      <c r="G668" t="n">
        <v>5.2</v>
      </c>
      <c r="H668" t="n">
        <v>0</v>
      </c>
      <c r="I668" t="n">
        <v>0</v>
      </c>
      <c r="J668" t="n">
        <v>0</v>
      </c>
      <c r="K668" t="n">
        <v>0</v>
      </c>
      <c r="L668" t="n">
        <v>0</v>
      </c>
      <c r="M668" t="n">
        <v>0</v>
      </c>
      <c r="N668" t="n">
        <v>0</v>
      </c>
      <c r="O668" t="n">
        <v>0</v>
      </c>
      <c r="P668" t="n">
        <v>0</v>
      </c>
      <c r="Q668" t="n">
        <v>0</v>
      </c>
      <c r="R668" s="2" t="inlineStr"/>
    </row>
    <row r="669" ht="15" customHeight="1">
      <c r="A669" t="inlineStr">
        <is>
          <t>A 27473-2024</t>
        </is>
      </c>
      <c r="B669" s="1" t="n">
        <v>45474</v>
      </c>
      <c r="C669" s="1" t="n">
        <v>45910</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6058-2025</t>
        </is>
      </c>
      <c r="B670" s="1" t="n">
        <v>45695.83655092592</v>
      </c>
      <c r="C670" s="1" t="n">
        <v>45910</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45662-2023</t>
        </is>
      </c>
      <c r="B671" s="1" t="n">
        <v>45194</v>
      </c>
      <c r="C671" s="1" t="n">
        <v>45910</v>
      </c>
      <c r="D671" t="inlineStr">
        <is>
          <t>UPPSALA LÄN</t>
        </is>
      </c>
      <c r="E671" t="inlineStr">
        <is>
          <t>UPPSALA</t>
        </is>
      </c>
      <c r="F671" t="inlineStr">
        <is>
          <t>Bergvik skog öst AB</t>
        </is>
      </c>
      <c r="G671" t="n">
        <v>2.8</v>
      </c>
      <c r="H671" t="n">
        <v>0</v>
      </c>
      <c r="I671" t="n">
        <v>0</v>
      </c>
      <c r="J671" t="n">
        <v>0</v>
      </c>
      <c r="K671" t="n">
        <v>0</v>
      </c>
      <c r="L671" t="n">
        <v>0</v>
      </c>
      <c r="M671" t="n">
        <v>0</v>
      </c>
      <c r="N671" t="n">
        <v>0</v>
      </c>
      <c r="O671" t="n">
        <v>0</v>
      </c>
      <c r="P671" t="n">
        <v>0</v>
      </c>
      <c r="Q671" t="n">
        <v>0</v>
      </c>
      <c r="R671" s="2" t="inlineStr"/>
    </row>
    <row r="672" ht="15" customHeight="1">
      <c r="A672" t="inlineStr">
        <is>
          <t>A 39529-2025</t>
        </is>
      </c>
      <c r="B672" s="1" t="n">
        <v>45890</v>
      </c>
      <c r="C672" s="1" t="n">
        <v>45910</v>
      </c>
      <c r="D672" t="inlineStr">
        <is>
          <t>UPPSALA LÄN</t>
        </is>
      </c>
      <c r="E672" t="inlineStr">
        <is>
          <t>UPPSALA</t>
        </is>
      </c>
      <c r="F672" t="inlineStr">
        <is>
          <t>Allmännings- och besparingsskogar</t>
        </is>
      </c>
      <c r="G672" t="n">
        <v>3.9</v>
      </c>
      <c r="H672" t="n">
        <v>0</v>
      </c>
      <c r="I672" t="n">
        <v>0</v>
      </c>
      <c r="J672" t="n">
        <v>0</v>
      </c>
      <c r="K672" t="n">
        <v>0</v>
      </c>
      <c r="L672" t="n">
        <v>0</v>
      </c>
      <c r="M672" t="n">
        <v>0</v>
      </c>
      <c r="N672" t="n">
        <v>0</v>
      </c>
      <c r="O672" t="n">
        <v>0</v>
      </c>
      <c r="P672" t="n">
        <v>0</v>
      </c>
      <c r="Q672" t="n">
        <v>0</v>
      </c>
      <c r="R672" s="2" t="inlineStr"/>
    </row>
    <row r="673" ht="15" customHeight="1">
      <c r="A673" t="inlineStr">
        <is>
          <t>A 21657-2024</t>
        </is>
      </c>
      <c r="B673" s="1" t="n">
        <v>45442</v>
      </c>
      <c r="C673" s="1" t="n">
        <v>45910</v>
      </c>
      <c r="D673" t="inlineStr">
        <is>
          <t>UPPSALA LÄN</t>
        </is>
      </c>
      <c r="E673" t="inlineStr">
        <is>
          <t>UPPSALA</t>
        </is>
      </c>
      <c r="G673" t="n">
        <v>5.7</v>
      </c>
      <c r="H673" t="n">
        <v>0</v>
      </c>
      <c r="I673" t="n">
        <v>0</v>
      </c>
      <c r="J673" t="n">
        <v>0</v>
      </c>
      <c r="K673" t="n">
        <v>0</v>
      </c>
      <c r="L673" t="n">
        <v>0</v>
      </c>
      <c r="M673" t="n">
        <v>0</v>
      </c>
      <c r="N673" t="n">
        <v>0</v>
      </c>
      <c r="O673" t="n">
        <v>0</v>
      </c>
      <c r="P673" t="n">
        <v>0</v>
      </c>
      <c r="Q673" t="n">
        <v>0</v>
      </c>
      <c r="R673" s="2" t="inlineStr"/>
    </row>
    <row r="674" ht="15" customHeight="1">
      <c r="A674" t="inlineStr">
        <is>
          <t>A 59358-2024</t>
        </is>
      </c>
      <c r="B674" s="1" t="n">
        <v>45638</v>
      </c>
      <c r="C674" s="1" t="n">
        <v>45910</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39865-2022</t>
        </is>
      </c>
      <c r="B675" s="1" t="n">
        <v>44819.62</v>
      </c>
      <c r="C675" s="1" t="n">
        <v>45910</v>
      </c>
      <c r="D675" t="inlineStr">
        <is>
          <t>UPPSALA LÄN</t>
        </is>
      </c>
      <c r="E675" t="inlineStr">
        <is>
          <t>UPPSALA</t>
        </is>
      </c>
      <c r="G675" t="n">
        <v>2.5</v>
      </c>
      <c r="H675" t="n">
        <v>0</v>
      </c>
      <c r="I675" t="n">
        <v>0</v>
      </c>
      <c r="J675" t="n">
        <v>0</v>
      </c>
      <c r="K675" t="n">
        <v>0</v>
      </c>
      <c r="L675" t="n">
        <v>0</v>
      </c>
      <c r="M675" t="n">
        <v>0</v>
      </c>
      <c r="N675" t="n">
        <v>0</v>
      </c>
      <c r="O675" t="n">
        <v>0</v>
      </c>
      <c r="P675" t="n">
        <v>0</v>
      </c>
      <c r="Q675" t="n">
        <v>0</v>
      </c>
      <c r="R675" s="2" t="inlineStr"/>
    </row>
    <row r="676" ht="15" customHeight="1">
      <c r="A676" t="inlineStr">
        <is>
          <t>A 39721-2025</t>
        </is>
      </c>
      <c r="B676" s="1" t="n">
        <v>45891.33204861111</v>
      </c>
      <c r="C676" s="1" t="n">
        <v>45910</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5899-2024</t>
        </is>
      </c>
      <c r="B677" s="1" t="n">
        <v>45335</v>
      </c>
      <c r="C677" s="1" t="n">
        <v>45910</v>
      </c>
      <c r="D677" t="inlineStr">
        <is>
          <t>UPPSALA LÄN</t>
        </is>
      </c>
      <c r="E677" t="inlineStr">
        <is>
          <t>UPPSALA</t>
        </is>
      </c>
      <c r="F677" t="inlineStr">
        <is>
          <t>Allmännings- och besparingsskogar</t>
        </is>
      </c>
      <c r="G677" t="n">
        <v>3.7</v>
      </c>
      <c r="H677" t="n">
        <v>0</v>
      </c>
      <c r="I677" t="n">
        <v>0</v>
      </c>
      <c r="J677" t="n">
        <v>0</v>
      </c>
      <c r="K677" t="n">
        <v>0</v>
      </c>
      <c r="L677" t="n">
        <v>0</v>
      </c>
      <c r="M677" t="n">
        <v>0</v>
      </c>
      <c r="N677" t="n">
        <v>0</v>
      </c>
      <c r="O677" t="n">
        <v>0</v>
      </c>
      <c r="P677" t="n">
        <v>0</v>
      </c>
      <c r="Q677" t="n">
        <v>0</v>
      </c>
      <c r="R677" s="2" t="inlineStr"/>
    </row>
    <row r="678" ht="15" customHeight="1">
      <c r="A678" t="inlineStr">
        <is>
          <t>A 17232-2022</t>
        </is>
      </c>
      <c r="B678" s="1" t="n">
        <v>44678.3315625</v>
      </c>
      <c r="C678" s="1" t="n">
        <v>45910</v>
      </c>
      <c r="D678" t="inlineStr">
        <is>
          <t>UPPSALA LÄN</t>
        </is>
      </c>
      <c r="E678" t="inlineStr">
        <is>
          <t>UPPSALA</t>
        </is>
      </c>
      <c r="F678" t="inlineStr">
        <is>
          <t>Övriga Aktiebolag</t>
        </is>
      </c>
      <c r="G678" t="n">
        <v>7.4</v>
      </c>
      <c r="H678" t="n">
        <v>0</v>
      </c>
      <c r="I678" t="n">
        <v>0</v>
      </c>
      <c r="J678" t="n">
        <v>0</v>
      </c>
      <c r="K678" t="n">
        <v>0</v>
      </c>
      <c r="L678" t="n">
        <v>0</v>
      </c>
      <c r="M678" t="n">
        <v>0</v>
      </c>
      <c r="N678" t="n">
        <v>0</v>
      </c>
      <c r="O678" t="n">
        <v>0</v>
      </c>
      <c r="P678" t="n">
        <v>0</v>
      </c>
      <c r="Q678" t="n">
        <v>0</v>
      </c>
      <c r="R678" s="2" t="inlineStr"/>
    </row>
    <row r="679" ht="15" customHeight="1">
      <c r="A679" t="inlineStr">
        <is>
          <t>A 61805-2021</t>
        </is>
      </c>
      <c r="B679" s="1" t="n">
        <v>44501.71344907407</v>
      </c>
      <c r="C679" s="1" t="n">
        <v>45910</v>
      </c>
      <c r="D679" t="inlineStr">
        <is>
          <t>UPPSALA LÄN</t>
        </is>
      </c>
      <c r="E679" t="inlineStr">
        <is>
          <t>UPPSALA</t>
        </is>
      </c>
      <c r="F679" t="inlineStr">
        <is>
          <t>Bergvik skog öst AB</t>
        </is>
      </c>
      <c r="G679" t="n">
        <v>3.8</v>
      </c>
      <c r="H679" t="n">
        <v>0</v>
      </c>
      <c r="I679" t="n">
        <v>0</v>
      </c>
      <c r="J679" t="n">
        <v>0</v>
      </c>
      <c r="K679" t="n">
        <v>0</v>
      </c>
      <c r="L679" t="n">
        <v>0</v>
      </c>
      <c r="M679" t="n">
        <v>0</v>
      </c>
      <c r="N679" t="n">
        <v>0</v>
      </c>
      <c r="O679" t="n">
        <v>0</v>
      </c>
      <c r="P679" t="n">
        <v>0</v>
      </c>
      <c r="Q679" t="n">
        <v>0</v>
      </c>
      <c r="R679" s="2" t="inlineStr"/>
    </row>
    <row r="680" ht="15" customHeight="1">
      <c r="A680" t="inlineStr">
        <is>
          <t>A 34893-2025</t>
        </is>
      </c>
      <c r="B680" s="1" t="n">
        <v>45849.49259259259</v>
      </c>
      <c r="C680" s="1" t="n">
        <v>45910</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39777-2025</t>
        </is>
      </c>
      <c r="B681" s="1" t="n">
        <v>45891.46827546296</v>
      </c>
      <c r="C681" s="1" t="n">
        <v>45910</v>
      </c>
      <c r="D681" t="inlineStr">
        <is>
          <t>UPPSALA LÄN</t>
        </is>
      </c>
      <c r="E681" t="inlineStr">
        <is>
          <t>UPPSALA</t>
        </is>
      </c>
      <c r="G681" t="n">
        <v>6.5</v>
      </c>
      <c r="H681" t="n">
        <v>0</v>
      </c>
      <c r="I681" t="n">
        <v>0</v>
      </c>
      <c r="J681" t="n">
        <v>0</v>
      </c>
      <c r="K681" t="n">
        <v>0</v>
      </c>
      <c r="L681" t="n">
        <v>0</v>
      </c>
      <c r="M681" t="n">
        <v>0</v>
      </c>
      <c r="N681" t="n">
        <v>0</v>
      </c>
      <c r="O681" t="n">
        <v>0</v>
      </c>
      <c r="P681" t="n">
        <v>0</v>
      </c>
      <c r="Q681" t="n">
        <v>0</v>
      </c>
      <c r="R681" s="2" t="inlineStr"/>
    </row>
    <row r="682" ht="15" customHeight="1">
      <c r="A682" t="inlineStr">
        <is>
          <t>A 6679-2024</t>
        </is>
      </c>
      <c r="B682" s="1" t="n">
        <v>45341</v>
      </c>
      <c r="C682" s="1" t="n">
        <v>45910</v>
      </c>
      <c r="D682" t="inlineStr">
        <is>
          <t>UPPSALA LÄN</t>
        </is>
      </c>
      <c r="E682" t="inlineStr">
        <is>
          <t>UPPSALA</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4312-2022</t>
        </is>
      </c>
      <c r="B683" s="1" t="n">
        <v>44588</v>
      </c>
      <c r="C683" s="1" t="n">
        <v>45910</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60814-2023</t>
        </is>
      </c>
      <c r="B684" s="1" t="n">
        <v>45259</v>
      </c>
      <c r="C684" s="1" t="n">
        <v>45910</v>
      </c>
      <c r="D684" t="inlineStr">
        <is>
          <t>UPPSALA LÄN</t>
        </is>
      </c>
      <c r="E684" t="inlineStr">
        <is>
          <t>UPPSALA</t>
        </is>
      </c>
      <c r="G684" t="n">
        <v>5.9</v>
      </c>
      <c r="H684" t="n">
        <v>0</v>
      </c>
      <c r="I684" t="n">
        <v>0</v>
      </c>
      <c r="J684" t="n">
        <v>0</v>
      </c>
      <c r="K684" t="n">
        <v>0</v>
      </c>
      <c r="L684" t="n">
        <v>0</v>
      </c>
      <c r="M684" t="n">
        <v>0</v>
      </c>
      <c r="N684" t="n">
        <v>0</v>
      </c>
      <c r="O684" t="n">
        <v>0</v>
      </c>
      <c r="P684" t="n">
        <v>0</v>
      </c>
      <c r="Q684" t="n">
        <v>0</v>
      </c>
      <c r="R684" s="2" t="inlineStr"/>
    </row>
    <row r="685" ht="15" customHeight="1">
      <c r="A685" t="inlineStr">
        <is>
          <t>A 60820-2024</t>
        </is>
      </c>
      <c r="B685" s="1" t="n">
        <v>45644.62677083333</v>
      </c>
      <c r="C685" s="1" t="n">
        <v>45910</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53963-2023</t>
        </is>
      </c>
      <c r="B686" s="1" t="n">
        <v>45231.62840277778</v>
      </c>
      <c r="C686" s="1" t="n">
        <v>45910</v>
      </c>
      <c r="D686" t="inlineStr">
        <is>
          <t>UPPSALA LÄN</t>
        </is>
      </c>
      <c r="E686" t="inlineStr">
        <is>
          <t>UPPSALA</t>
        </is>
      </c>
      <c r="G686" t="n">
        <v>1.9</v>
      </c>
      <c r="H686" t="n">
        <v>0</v>
      </c>
      <c r="I686" t="n">
        <v>0</v>
      </c>
      <c r="J686" t="n">
        <v>0</v>
      </c>
      <c r="K686" t="n">
        <v>0</v>
      </c>
      <c r="L686" t="n">
        <v>0</v>
      </c>
      <c r="M686" t="n">
        <v>0</v>
      </c>
      <c r="N686" t="n">
        <v>0</v>
      </c>
      <c r="O686" t="n">
        <v>0</v>
      </c>
      <c r="P686" t="n">
        <v>0</v>
      </c>
      <c r="Q686" t="n">
        <v>0</v>
      </c>
      <c r="R686" s="2" t="inlineStr"/>
    </row>
    <row r="687" ht="15" customHeight="1">
      <c r="A687" t="inlineStr">
        <is>
          <t>A 35056-2025</t>
        </is>
      </c>
      <c r="B687" s="1" t="n">
        <v>45852.39642361111</v>
      </c>
      <c r="C687" s="1" t="n">
        <v>45910</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18675-2024</t>
        </is>
      </c>
      <c r="B688" s="1" t="n">
        <v>45426</v>
      </c>
      <c r="C688" s="1" t="n">
        <v>45910</v>
      </c>
      <c r="D688" t="inlineStr">
        <is>
          <t>UPPSALA LÄN</t>
        </is>
      </c>
      <c r="E688" t="inlineStr">
        <is>
          <t>UPPSALA</t>
        </is>
      </c>
      <c r="G688" t="n">
        <v>8.1</v>
      </c>
      <c r="H688" t="n">
        <v>0</v>
      </c>
      <c r="I688" t="n">
        <v>0</v>
      </c>
      <c r="J688" t="n">
        <v>0</v>
      </c>
      <c r="K688" t="n">
        <v>0</v>
      </c>
      <c r="L688" t="n">
        <v>0</v>
      </c>
      <c r="M688" t="n">
        <v>0</v>
      </c>
      <c r="N688" t="n">
        <v>0</v>
      </c>
      <c r="O688" t="n">
        <v>0</v>
      </c>
      <c r="P688" t="n">
        <v>0</v>
      </c>
      <c r="Q688" t="n">
        <v>0</v>
      </c>
      <c r="R688" s="2" t="inlineStr"/>
    </row>
    <row r="689" ht="15" customHeight="1">
      <c r="A689" t="inlineStr">
        <is>
          <t>A 35167-2025</t>
        </is>
      </c>
      <c r="B689" s="1" t="n">
        <v>45852.72965277778</v>
      </c>
      <c r="C689" s="1" t="n">
        <v>45910</v>
      </c>
      <c r="D689" t="inlineStr">
        <is>
          <t>UPPSALA LÄN</t>
        </is>
      </c>
      <c r="E689" t="inlineStr">
        <is>
          <t>UPPSALA</t>
        </is>
      </c>
      <c r="F689" t="inlineStr">
        <is>
          <t>Holmen skog AB</t>
        </is>
      </c>
      <c r="G689" t="n">
        <v>10</v>
      </c>
      <c r="H689" t="n">
        <v>0</v>
      </c>
      <c r="I689" t="n">
        <v>0</v>
      </c>
      <c r="J689" t="n">
        <v>0</v>
      </c>
      <c r="K689" t="n">
        <v>0</v>
      </c>
      <c r="L689" t="n">
        <v>0</v>
      </c>
      <c r="M689" t="n">
        <v>0</v>
      </c>
      <c r="N689" t="n">
        <v>0</v>
      </c>
      <c r="O689" t="n">
        <v>0</v>
      </c>
      <c r="P689" t="n">
        <v>0</v>
      </c>
      <c r="Q689" t="n">
        <v>0</v>
      </c>
      <c r="R689" s="2" t="inlineStr"/>
    </row>
    <row r="690" ht="15" customHeight="1">
      <c r="A690" t="inlineStr">
        <is>
          <t>A 35150-2025</t>
        </is>
      </c>
      <c r="B690" s="1" t="n">
        <v>45852</v>
      </c>
      <c r="C690" s="1" t="n">
        <v>45910</v>
      </c>
      <c r="D690" t="inlineStr">
        <is>
          <t>UPPSALA LÄN</t>
        </is>
      </c>
      <c r="E690" t="inlineStr">
        <is>
          <t>UPPSALA</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7501-2025</t>
        </is>
      </c>
      <c r="B691" s="1" t="n">
        <v>45705</v>
      </c>
      <c r="C691" s="1" t="n">
        <v>45910</v>
      </c>
      <c r="D691" t="inlineStr">
        <is>
          <t>UPPSALA LÄN</t>
        </is>
      </c>
      <c r="E691" t="inlineStr">
        <is>
          <t>UPPSALA</t>
        </is>
      </c>
      <c r="G691" t="n">
        <v>4.2</v>
      </c>
      <c r="H691" t="n">
        <v>0</v>
      </c>
      <c r="I691" t="n">
        <v>0</v>
      </c>
      <c r="J691" t="n">
        <v>0</v>
      </c>
      <c r="K691" t="n">
        <v>0</v>
      </c>
      <c r="L691" t="n">
        <v>0</v>
      </c>
      <c r="M691" t="n">
        <v>0</v>
      </c>
      <c r="N691" t="n">
        <v>0</v>
      </c>
      <c r="O691" t="n">
        <v>0</v>
      </c>
      <c r="P691" t="n">
        <v>0</v>
      </c>
      <c r="Q691" t="n">
        <v>0</v>
      </c>
      <c r="R691" s="2" t="inlineStr"/>
    </row>
    <row r="692" ht="15" customHeight="1">
      <c r="A692" t="inlineStr">
        <is>
          <t>A 60444-2023</t>
        </is>
      </c>
      <c r="B692" s="1" t="n">
        <v>45259.52809027778</v>
      </c>
      <c r="C692" s="1" t="n">
        <v>45910</v>
      </c>
      <c r="D692" t="inlineStr">
        <is>
          <t>UPPSALA LÄN</t>
        </is>
      </c>
      <c r="E692" t="inlineStr">
        <is>
          <t>UPPSALA</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35015-2025</t>
        </is>
      </c>
      <c r="B693" s="1" t="n">
        <v>45851.62018518519</v>
      </c>
      <c r="C693" s="1" t="n">
        <v>45910</v>
      </c>
      <c r="D693" t="inlineStr">
        <is>
          <t>UPPSALA LÄN</t>
        </is>
      </c>
      <c r="E693" t="inlineStr">
        <is>
          <t>UPPSALA</t>
        </is>
      </c>
      <c r="F693" t="inlineStr">
        <is>
          <t>Bergvik skog öst AB</t>
        </is>
      </c>
      <c r="G693" t="n">
        <v>0.3</v>
      </c>
      <c r="H693" t="n">
        <v>0</v>
      </c>
      <c r="I693" t="n">
        <v>0</v>
      </c>
      <c r="J693" t="n">
        <v>0</v>
      </c>
      <c r="K693" t="n">
        <v>0</v>
      </c>
      <c r="L693" t="n">
        <v>0</v>
      </c>
      <c r="M693" t="n">
        <v>0</v>
      </c>
      <c r="N693" t="n">
        <v>0</v>
      </c>
      <c r="O693" t="n">
        <v>0</v>
      </c>
      <c r="P693" t="n">
        <v>0</v>
      </c>
      <c r="Q693" t="n">
        <v>0</v>
      </c>
      <c r="R693" s="2" t="inlineStr"/>
    </row>
    <row r="694" ht="15" customHeight="1">
      <c r="A694" t="inlineStr">
        <is>
          <t>A 35155-2025</t>
        </is>
      </c>
      <c r="B694" s="1" t="n">
        <v>45852.68978009259</v>
      </c>
      <c r="C694" s="1" t="n">
        <v>45910</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35148-2025</t>
        </is>
      </c>
      <c r="B695" s="1" t="n">
        <v>45852.67366898148</v>
      </c>
      <c r="C695" s="1" t="n">
        <v>45910</v>
      </c>
      <c r="D695" t="inlineStr">
        <is>
          <t>UPPSALA LÄN</t>
        </is>
      </c>
      <c r="E695" t="inlineStr">
        <is>
          <t>UPPSALA</t>
        </is>
      </c>
      <c r="F695" t="inlineStr">
        <is>
          <t>Holmen skog AB</t>
        </is>
      </c>
      <c r="G695" t="n">
        <v>2.2</v>
      </c>
      <c r="H695" t="n">
        <v>0</v>
      </c>
      <c r="I695" t="n">
        <v>0</v>
      </c>
      <c r="J695" t="n">
        <v>0</v>
      </c>
      <c r="K695" t="n">
        <v>0</v>
      </c>
      <c r="L695" t="n">
        <v>0</v>
      </c>
      <c r="M695" t="n">
        <v>0</v>
      </c>
      <c r="N695" t="n">
        <v>0</v>
      </c>
      <c r="O695" t="n">
        <v>0</v>
      </c>
      <c r="P695" t="n">
        <v>0</v>
      </c>
      <c r="Q695" t="n">
        <v>0</v>
      </c>
      <c r="R695" s="2" t="inlineStr"/>
    </row>
    <row r="696" ht="15" customHeight="1">
      <c r="A696" t="inlineStr">
        <is>
          <t>A 35053-2025</t>
        </is>
      </c>
      <c r="B696" s="1" t="n">
        <v>45852.36871527778</v>
      </c>
      <c r="C696" s="1" t="n">
        <v>45910</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35014-2025</t>
        </is>
      </c>
      <c r="B697" s="1" t="n">
        <v>45851.60097222222</v>
      </c>
      <c r="C697" s="1" t="n">
        <v>45910</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9235-2025</t>
        </is>
      </c>
      <c r="B698" s="1" t="n">
        <v>45714.55368055555</v>
      </c>
      <c r="C698" s="1" t="n">
        <v>45910</v>
      </c>
      <c r="D698" t="inlineStr">
        <is>
          <t>UPPSALA LÄN</t>
        </is>
      </c>
      <c r="E698" t="inlineStr">
        <is>
          <t>UPPSALA</t>
        </is>
      </c>
      <c r="G698" t="n">
        <v>1.3</v>
      </c>
      <c r="H698" t="n">
        <v>0</v>
      </c>
      <c r="I698" t="n">
        <v>0</v>
      </c>
      <c r="J698" t="n">
        <v>0</v>
      </c>
      <c r="K698" t="n">
        <v>0</v>
      </c>
      <c r="L698" t="n">
        <v>0</v>
      </c>
      <c r="M698" t="n">
        <v>0</v>
      </c>
      <c r="N698" t="n">
        <v>0</v>
      </c>
      <c r="O698" t="n">
        <v>0</v>
      </c>
      <c r="P698" t="n">
        <v>0</v>
      </c>
      <c r="Q698" t="n">
        <v>0</v>
      </c>
      <c r="R698" s="2" t="inlineStr"/>
    </row>
    <row r="699" ht="15" customHeight="1">
      <c r="A699" t="inlineStr">
        <is>
          <t>A 9984-2025</t>
        </is>
      </c>
      <c r="B699" s="1" t="n">
        <v>45719.42197916667</v>
      </c>
      <c r="C699" s="1" t="n">
        <v>45910</v>
      </c>
      <c r="D699" t="inlineStr">
        <is>
          <t>UPPSALA LÄN</t>
        </is>
      </c>
      <c r="E699" t="inlineStr">
        <is>
          <t>UPPSALA</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9991-2025</t>
        </is>
      </c>
      <c r="B700" s="1" t="n">
        <v>45719.43646990741</v>
      </c>
      <c r="C700" s="1" t="n">
        <v>45910</v>
      </c>
      <c r="D700" t="inlineStr">
        <is>
          <t>UPPSALA LÄN</t>
        </is>
      </c>
      <c r="E700" t="inlineStr">
        <is>
          <t>UPPSALA</t>
        </is>
      </c>
      <c r="F700" t="inlineStr">
        <is>
          <t>Kyrkan</t>
        </is>
      </c>
      <c r="G700" t="n">
        <v>6.1</v>
      </c>
      <c r="H700" t="n">
        <v>0</v>
      </c>
      <c r="I700" t="n">
        <v>0</v>
      </c>
      <c r="J700" t="n">
        <v>0</v>
      </c>
      <c r="K700" t="n">
        <v>0</v>
      </c>
      <c r="L700" t="n">
        <v>0</v>
      </c>
      <c r="M700" t="n">
        <v>0</v>
      </c>
      <c r="N700" t="n">
        <v>0</v>
      </c>
      <c r="O700" t="n">
        <v>0</v>
      </c>
      <c r="P700" t="n">
        <v>0</v>
      </c>
      <c r="Q700" t="n">
        <v>0</v>
      </c>
      <c r="R700" s="2" t="inlineStr"/>
    </row>
    <row r="701" ht="15" customHeight="1">
      <c r="A701" t="inlineStr">
        <is>
          <t>A 59996-2024</t>
        </is>
      </c>
      <c r="B701" s="1" t="n">
        <v>45642</v>
      </c>
      <c r="C701" s="1" t="n">
        <v>45910</v>
      </c>
      <c r="D701" t="inlineStr">
        <is>
          <t>UPPSALA LÄN</t>
        </is>
      </c>
      <c r="E701" t="inlineStr">
        <is>
          <t>UPPSALA</t>
        </is>
      </c>
      <c r="F701" t="inlineStr">
        <is>
          <t>Bergvik skog väst AB</t>
        </is>
      </c>
      <c r="G701" t="n">
        <v>14.5</v>
      </c>
      <c r="H701" t="n">
        <v>0</v>
      </c>
      <c r="I701" t="n">
        <v>0</v>
      </c>
      <c r="J701" t="n">
        <v>0</v>
      </c>
      <c r="K701" t="n">
        <v>0</v>
      </c>
      <c r="L701" t="n">
        <v>0</v>
      </c>
      <c r="M701" t="n">
        <v>0</v>
      </c>
      <c r="N701" t="n">
        <v>0</v>
      </c>
      <c r="O701" t="n">
        <v>0</v>
      </c>
      <c r="P701" t="n">
        <v>0</v>
      </c>
      <c r="Q701" t="n">
        <v>0</v>
      </c>
      <c r="R701" s="2" t="inlineStr"/>
    </row>
    <row r="702" ht="15" customHeight="1">
      <c r="A702" t="inlineStr">
        <is>
          <t>A 13644-2024</t>
        </is>
      </c>
      <c r="B702" s="1" t="n">
        <v>45390</v>
      </c>
      <c r="C702" s="1" t="n">
        <v>45910</v>
      </c>
      <c r="D702" t="inlineStr">
        <is>
          <t>UPPSALA LÄN</t>
        </is>
      </c>
      <c r="E702" t="inlineStr">
        <is>
          <t>UPPSALA</t>
        </is>
      </c>
      <c r="G702" t="n">
        <v>0.5</v>
      </c>
      <c r="H702" t="n">
        <v>0</v>
      </c>
      <c r="I702" t="n">
        <v>0</v>
      </c>
      <c r="J702" t="n">
        <v>0</v>
      </c>
      <c r="K702" t="n">
        <v>0</v>
      </c>
      <c r="L702" t="n">
        <v>0</v>
      </c>
      <c r="M702" t="n">
        <v>0</v>
      </c>
      <c r="N702" t="n">
        <v>0</v>
      </c>
      <c r="O702" t="n">
        <v>0</v>
      </c>
      <c r="P702" t="n">
        <v>0</v>
      </c>
      <c r="Q702" t="n">
        <v>0</v>
      </c>
      <c r="R702" s="2" t="inlineStr"/>
    </row>
    <row r="703" ht="15" customHeight="1">
      <c r="A703" t="inlineStr">
        <is>
          <t>A 44815-2023</t>
        </is>
      </c>
      <c r="B703" s="1" t="n">
        <v>45190</v>
      </c>
      <c r="C703" s="1" t="n">
        <v>45910</v>
      </c>
      <c r="D703" t="inlineStr">
        <is>
          <t>UPPSALA LÄN</t>
        </is>
      </c>
      <c r="E703" t="inlineStr">
        <is>
          <t>UPPSALA</t>
        </is>
      </c>
      <c r="G703" t="n">
        <v>2.3</v>
      </c>
      <c r="H703" t="n">
        <v>0</v>
      </c>
      <c r="I703" t="n">
        <v>0</v>
      </c>
      <c r="J703" t="n">
        <v>0</v>
      </c>
      <c r="K703" t="n">
        <v>0</v>
      </c>
      <c r="L703" t="n">
        <v>0</v>
      </c>
      <c r="M703" t="n">
        <v>0</v>
      </c>
      <c r="N703" t="n">
        <v>0</v>
      </c>
      <c r="O703" t="n">
        <v>0</v>
      </c>
      <c r="P703" t="n">
        <v>0</v>
      </c>
      <c r="Q703" t="n">
        <v>0</v>
      </c>
      <c r="R703" s="2" t="inlineStr"/>
    </row>
    <row r="704" ht="15" customHeight="1">
      <c r="A704" t="inlineStr">
        <is>
          <t>A 40639-2025</t>
        </is>
      </c>
      <c r="B704" s="1" t="n">
        <v>45896.61050925926</v>
      </c>
      <c r="C704" s="1" t="n">
        <v>45910</v>
      </c>
      <c r="D704" t="inlineStr">
        <is>
          <t>UPPSALA LÄN</t>
        </is>
      </c>
      <c r="E704" t="inlineStr">
        <is>
          <t>UPPSALA</t>
        </is>
      </c>
      <c r="G704" t="n">
        <v>6.9</v>
      </c>
      <c r="H704" t="n">
        <v>0</v>
      </c>
      <c r="I704" t="n">
        <v>0</v>
      </c>
      <c r="J704" t="n">
        <v>0</v>
      </c>
      <c r="K704" t="n">
        <v>0</v>
      </c>
      <c r="L704" t="n">
        <v>0</v>
      </c>
      <c r="M704" t="n">
        <v>0</v>
      </c>
      <c r="N704" t="n">
        <v>0</v>
      </c>
      <c r="O704" t="n">
        <v>0</v>
      </c>
      <c r="P704" t="n">
        <v>0</v>
      </c>
      <c r="Q704" t="n">
        <v>0</v>
      </c>
      <c r="R704" s="2" t="inlineStr"/>
    </row>
    <row r="705" ht="15" customHeight="1">
      <c r="A705" t="inlineStr">
        <is>
          <t>A 40501-2025</t>
        </is>
      </c>
      <c r="B705" s="1" t="n">
        <v>45896</v>
      </c>
      <c r="C705" s="1" t="n">
        <v>45910</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40504-2025</t>
        </is>
      </c>
      <c r="B706" s="1" t="n">
        <v>45896</v>
      </c>
      <c r="C706" s="1" t="n">
        <v>45910</v>
      </c>
      <c r="D706" t="inlineStr">
        <is>
          <t>UPPSALA LÄN</t>
        </is>
      </c>
      <c r="E706" t="inlineStr">
        <is>
          <t>UPPSALA</t>
        </is>
      </c>
      <c r="G706" t="n">
        <v>4.4</v>
      </c>
      <c r="H706" t="n">
        <v>0</v>
      </c>
      <c r="I706" t="n">
        <v>0</v>
      </c>
      <c r="J706" t="n">
        <v>0</v>
      </c>
      <c r="K706" t="n">
        <v>0</v>
      </c>
      <c r="L706" t="n">
        <v>0</v>
      </c>
      <c r="M706" t="n">
        <v>0</v>
      </c>
      <c r="N706" t="n">
        <v>0</v>
      </c>
      <c r="O706" t="n">
        <v>0</v>
      </c>
      <c r="P706" t="n">
        <v>0</v>
      </c>
      <c r="Q706" t="n">
        <v>0</v>
      </c>
      <c r="R706" s="2" t="inlineStr"/>
    </row>
    <row r="707" ht="15" customHeight="1">
      <c r="A707" t="inlineStr">
        <is>
          <t>A 20102-2023</t>
        </is>
      </c>
      <c r="B707" s="1" t="n">
        <v>45054.95675925926</v>
      </c>
      <c r="C707" s="1" t="n">
        <v>45910</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1975-2022</t>
        </is>
      </c>
      <c r="B708" s="1" t="n">
        <v>44575</v>
      </c>
      <c r="C708" s="1" t="n">
        <v>45910</v>
      </c>
      <c r="D708" t="inlineStr">
        <is>
          <t>UPPSALA LÄN</t>
        </is>
      </c>
      <c r="E708" t="inlineStr">
        <is>
          <t>UPPSALA</t>
        </is>
      </c>
      <c r="G708" t="n">
        <v>3.9</v>
      </c>
      <c r="H708" t="n">
        <v>0</v>
      </c>
      <c r="I708" t="n">
        <v>0</v>
      </c>
      <c r="J708" t="n">
        <v>0</v>
      </c>
      <c r="K708" t="n">
        <v>0</v>
      </c>
      <c r="L708" t="n">
        <v>0</v>
      </c>
      <c r="M708" t="n">
        <v>0</v>
      </c>
      <c r="N708" t="n">
        <v>0</v>
      </c>
      <c r="O708" t="n">
        <v>0</v>
      </c>
      <c r="P708" t="n">
        <v>0</v>
      </c>
      <c r="Q708" t="n">
        <v>0</v>
      </c>
      <c r="R708" s="2" t="inlineStr"/>
    </row>
    <row r="709" ht="15" customHeight="1">
      <c r="A709" t="inlineStr">
        <is>
          <t>A 11568-2023</t>
        </is>
      </c>
      <c r="B709" s="1" t="n">
        <v>44994</v>
      </c>
      <c r="C709" s="1" t="n">
        <v>45910</v>
      </c>
      <c r="D709" t="inlineStr">
        <is>
          <t>UPPSALA LÄN</t>
        </is>
      </c>
      <c r="E709" t="inlineStr">
        <is>
          <t>UPPSALA</t>
        </is>
      </c>
      <c r="G709" t="n">
        <v>0.8</v>
      </c>
      <c r="H709" t="n">
        <v>0</v>
      </c>
      <c r="I709" t="n">
        <v>0</v>
      </c>
      <c r="J709" t="n">
        <v>0</v>
      </c>
      <c r="K709" t="n">
        <v>0</v>
      </c>
      <c r="L709" t="n">
        <v>0</v>
      </c>
      <c r="M709" t="n">
        <v>0</v>
      </c>
      <c r="N709" t="n">
        <v>0</v>
      </c>
      <c r="O709" t="n">
        <v>0</v>
      </c>
      <c r="P709" t="n">
        <v>0</v>
      </c>
      <c r="Q709" t="n">
        <v>0</v>
      </c>
      <c r="R709" s="2" t="inlineStr"/>
    </row>
    <row r="710" ht="15" customHeight="1">
      <c r="A710" t="inlineStr">
        <is>
          <t>A 64353-2020</t>
        </is>
      </c>
      <c r="B710" s="1" t="n">
        <v>44168.55746527778</v>
      </c>
      <c r="C710" s="1" t="n">
        <v>45910</v>
      </c>
      <c r="D710" t="inlineStr">
        <is>
          <t>UPPSALA LÄN</t>
        </is>
      </c>
      <c r="E710" t="inlineStr">
        <is>
          <t>UPPSALA</t>
        </is>
      </c>
      <c r="G710" t="n">
        <v>0.5</v>
      </c>
      <c r="H710" t="n">
        <v>0</v>
      </c>
      <c r="I710" t="n">
        <v>0</v>
      </c>
      <c r="J710" t="n">
        <v>0</v>
      </c>
      <c r="K710" t="n">
        <v>0</v>
      </c>
      <c r="L710" t="n">
        <v>0</v>
      </c>
      <c r="M710" t="n">
        <v>0</v>
      </c>
      <c r="N710" t="n">
        <v>0</v>
      </c>
      <c r="O710" t="n">
        <v>0</v>
      </c>
      <c r="P710" t="n">
        <v>0</v>
      </c>
      <c r="Q710" t="n">
        <v>0</v>
      </c>
      <c r="R710" s="2" t="inlineStr"/>
    </row>
    <row r="711" ht="15" customHeight="1">
      <c r="A711" t="inlineStr">
        <is>
          <t>A 17562-2022</t>
        </is>
      </c>
      <c r="B711" s="1" t="n">
        <v>44679.68706018518</v>
      </c>
      <c r="C711" s="1" t="n">
        <v>45910</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40610-2025</t>
        </is>
      </c>
      <c r="B712" s="1" t="n">
        <v>45896.57368055556</v>
      </c>
      <c r="C712" s="1" t="n">
        <v>45910</v>
      </c>
      <c r="D712" t="inlineStr">
        <is>
          <t>UPPSALA LÄN</t>
        </is>
      </c>
      <c r="E712" t="inlineStr">
        <is>
          <t>UPPSALA</t>
        </is>
      </c>
      <c r="G712" t="n">
        <v>2.3</v>
      </c>
      <c r="H712" t="n">
        <v>0</v>
      </c>
      <c r="I712" t="n">
        <v>0</v>
      </c>
      <c r="J712" t="n">
        <v>0</v>
      </c>
      <c r="K712" t="n">
        <v>0</v>
      </c>
      <c r="L712" t="n">
        <v>0</v>
      </c>
      <c r="M712" t="n">
        <v>0</v>
      </c>
      <c r="N712" t="n">
        <v>0</v>
      </c>
      <c r="O712" t="n">
        <v>0</v>
      </c>
      <c r="P712" t="n">
        <v>0</v>
      </c>
      <c r="Q712" t="n">
        <v>0</v>
      </c>
      <c r="R712" s="2" t="inlineStr"/>
    </row>
    <row r="713" ht="15" customHeight="1">
      <c r="A713" t="inlineStr">
        <is>
          <t>A 40855-2025</t>
        </is>
      </c>
      <c r="B713" s="1" t="n">
        <v>45897</v>
      </c>
      <c r="C713" s="1" t="n">
        <v>45910</v>
      </c>
      <c r="D713" t="inlineStr">
        <is>
          <t>UPPSALA LÄN</t>
        </is>
      </c>
      <c r="E713" t="inlineStr">
        <is>
          <t>UPPSALA</t>
        </is>
      </c>
      <c r="G713" t="n">
        <v>2.9</v>
      </c>
      <c r="H713" t="n">
        <v>0</v>
      </c>
      <c r="I713" t="n">
        <v>0</v>
      </c>
      <c r="J713" t="n">
        <v>0</v>
      </c>
      <c r="K713" t="n">
        <v>0</v>
      </c>
      <c r="L713" t="n">
        <v>0</v>
      </c>
      <c r="M713" t="n">
        <v>0</v>
      </c>
      <c r="N713" t="n">
        <v>0</v>
      </c>
      <c r="O713" t="n">
        <v>0</v>
      </c>
      <c r="P713" t="n">
        <v>0</v>
      </c>
      <c r="Q713" t="n">
        <v>0</v>
      </c>
      <c r="R713" s="2" t="inlineStr"/>
    </row>
    <row r="714" ht="15" customHeight="1">
      <c r="A714" t="inlineStr">
        <is>
          <t>A 60445-2024</t>
        </is>
      </c>
      <c r="B714" s="1" t="n">
        <v>45643</v>
      </c>
      <c r="C714" s="1" t="n">
        <v>45910</v>
      </c>
      <c r="D714" t="inlineStr">
        <is>
          <t>UPPSALA LÄN</t>
        </is>
      </c>
      <c r="E714" t="inlineStr">
        <is>
          <t>UPPSALA</t>
        </is>
      </c>
      <c r="G714" t="n">
        <v>1</v>
      </c>
      <c r="H714" t="n">
        <v>0</v>
      </c>
      <c r="I714" t="n">
        <v>0</v>
      </c>
      <c r="J714" t="n">
        <v>0</v>
      </c>
      <c r="K714" t="n">
        <v>0</v>
      </c>
      <c r="L714" t="n">
        <v>0</v>
      </c>
      <c r="M714" t="n">
        <v>0</v>
      </c>
      <c r="N714" t="n">
        <v>0</v>
      </c>
      <c r="O714" t="n">
        <v>0</v>
      </c>
      <c r="P714" t="n">
        <v>0</v>
      </c>
      <c r="Q714" t="n">
        <v>0</v>
      </c>
      <c r="R714" s="2" t="inlineStr"/>
    </row>
    <row r="715" ht="15" customHeight="1">
      <c r="A715" t="inlineStr">
        <is>
          <t>A 60984-2022</t>
        </is>
      </c>
      <c r="B715" s="1" t="n">
        <v>44914.67600694444</v>
      </c>
      <c r="C715" s="1" t="n">
        <v>45910</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35305-2025</t>
        </is>
      </c>
      <c r="B716" s="1" t="n">
        <v>45854.44017361111</v>
      </c>
      <c r="C716" s="1" t="n">
        <v>45910</v>
      </c>
      <c r="D716" t="inlineStr">
        <is>
          <t>UPPSALA LÄN</t>
        </is>
      </c>
      <c r="E716" t="inlineStr">
        <is>
          <t>UPPSALA</t>
        </is>
      </c>
      <c r="F716" t="inlineStr">
        <is>
          <t>Holmen skog AB</t>
        </is>
      </c>
      <c r="G716" t="n">
        <v>3.3</v>
      </c>
      <c r="H716" t="n">
        <v>0</v>
      </c>
      <c r="I716" t="n">
        <v>0</v>
      </c>
      <c r="J716" t="n">
        <v>0</v>
      </c>
      <c r="K716" t="n">
        <v>0</v>
      </c>
      <c r="L716" t="n">
        <v>0</v>
      </c>
      <c r="M716" t="n">
        <v>0</v>
      </c>
      <c r="N716" t="n">
        <v>0</v>
      </c>
      <c r="O716" t="n">
        <v>0</v>
      </c>
      <c r="P716" t="n">
        <v>0</v>
      </c>
      <c r="Q716" t="n">
        <v>0</v>
      </c>
      <c r="R716" s="2" t="inlineStr"/>
    </row>
    <row r="717" ht="15" customHeight="1">
      <c r="A717" t="inlineStr">
        <is>
          <t>A 40606-2025</t>
        </is>
      </c>
      <c r="B717" s="1" t="n">
        <v>45896.57171296296</v>
      </c>
      <c r="C717" s="1" t="n">
        <v>45910</v>
      </c>
      <c r="D717" t="inlineStr">
        <is>
          <t>UPPSALA LÄN</t>
        </is>
      </c>
      <c r="E717" t="inlineStr">
        <is>
          <t>UPPSALA</t>
        </is>
      </c>
      <c r="G717" t="n">
        <v>3.2</v>
      </c>
      <c r="H717" t="n">
        <v>0</v>
      </c>
      <c r="I717" t="n">
        <v>0</v>
      </c>
      <c r="J717" t="n">
        <v>0</v>
      </c>
      <c r="K717" t="n">
        <v>0</v>
      </c>
      <c r="L717" t="n">
        <v>0</v>
      </c>
      <c r="M717" t="n">
        <v>0</v>
      </c>
      <c r="N717" t="n">
        <v>0</v>
      </c>
      <c r="O717" t="n">
        <v>0</v>
      </c>
      <c r="P717" t="n">
        <v>0</v>
      </c>
      <c r="Q717" t="n">
        <v>0</v>
      </c>
      <c r="R717" s="2" t="inlineStr"/>
    </row>
    <row r="718" ht="15" customHeight="1">
      <c r="A718" t="inlineStr">
        <is>
          <t>A 25776-2022</t>
        </is>
      </c>
      <c r="B718" s="1" t="n">
        <v>44733</v>
      </c>
      <c r="C718" s="1" t="n">
        <v>45910</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9820-2023</t>
        </is>
      </c>
      <c r="B719" s="1" t="n">
        <v>44984.69216435185</v>
      </c>
      <c r="C719" s="1" t="n">
        <v>45910</v>
      </c>
      <c r="D719" t="inlineStr">
        <is>
          <t>UPPSALA LÄN</t>
        </is>
      </c>
      <c r="E719" t="inlineStr">
        <is>
          <t>UPPSALA</t>
        </is>
      </c>
      <c r="F719" t="inlineStr">
        <is>
          <t>Kyrkan</t>
        </is>
      </c>
      <c r="G719" t="n">
        <v>2</v>
      </c>
      <c r="H719" t="n">
        <v>0</v>
      </c>
      <c r="I719" t="n">
        <v>0</v>
      </c>
      <c r="J719" t="n">
        <v>0</v>
      </c>
      <c r="K719" t="n">
        <v>0</v>
      </c>
      <c r="L719" t="n">
        <v>0</v>
      </c>
      <c r="M719" t="n">
        <v>0</v>
      </c>
      <c r="N719" t="n">
        <v>0</v>
      </c>
      <c r="O719" t="n">
        <v>0</v>
      </c>
      <c r="P719" t="n">
        <v>0</v>
      </c>
      <c r="Q719" t="n">
        <v>0</v>
      </c>
      <c r="R719" s="2" t="inlineStr"/>
    </row>
    <row r="720" ht="15" customHeight="1">
      <c r="A720" t="inlineStr">
        <is>
          <t>A 34265-2021</t>
        </is>
      </c>
      <c r="B720" s="1" t="n">
        <v>44379.5745949074</v>
      </c>
      <c r="C720" s="1" t="n">
        <v>45910</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35504-2025</t>
        </is>
      </c>
      <c r="B721" s="1" t="n">
        <v>45856.34034722222</v>
      </c>
      <c r="C721" s="1" t="n">
        <v>45910</v>
      </c>
      <c r="D721" t="inlineStr">
        <is>
          <t>UPPSALA LÄN</t>
        </is>
      </c>
      <c r="E721" t="inlineStr">
        <is>
          <t>UPPSALA</t>
        </is>
      </c>
      <c r="F721" t="inlineStr">
        <is>
          <t>Bergvik skog öst AB</t>
        </is>
      </c>
      <c r="G721" t="n">
        <v>6.7</v>
      </c>
      <c r="H721" t="n">
        <v>0</v>
      </c>
      <c r="I721" t="n">
        <v>0</v>
      </c>
      <c r="J721" t="n">
        <v>0</v>
      </c>
      <c r="K721" t="n">
        <v>0</v>
      </c>
      <c r="L721" t="n">
        <v>0</v>
      </c>
      <c r="M721" t="n">
        <v>0</v>
      </c>
      <c r="N721" t="n">
        <v>0</v>
      </c>
      <c r="O721" t="n">
        <v>0</v>
      </c>
      <c r="P721" t="n">
        <v>0</v>
      </c>
      <c r="Q721" t="n">
        <v>0</v>
      </c>
      <c r="R721" s="2" t="inlineStr"/>
    </row>
    <row r="722" ht="15" customHeight="1">
      <c r="A722" t="inlineStr">
        <is>
          <t>A 35505-2025</t>
        </is>
      </c>
      <c r="B722" s="1" t="n">
        <v>45856.34231481481</v>
      </c>
      <c r="C722" s="1" t="n">
        <v>45910</v>
      </c>
      <c r="D722" t="inlineStr">
        <is>
          <t>UPPSALA LÄN</t>
        </is>
      </c>
      <c r="E722" t="inlineStr">
        <is>
          <t>UPPSALA</t>
        </is>
      </c>
      <c r="F722" t="inlineStr">
        <is>
          <t>Bergvik skog öst AB</t>
        </is>
      </c>
      <c r="G722" t="n">
        <v>7.9</v>
      </c>
      <c r="H722" t="n">
        <v>0</v>
      </c>
      <c r="I722" t="n">
        <v>0</v>
      </c>
      <c r="J722" t="n">
        <v>0</v>
      </c>
      <c r="K722" t="n">
        <v>0</v>
      </c>
      <c r="L722" t="n">
        <v>0</v>
      </c>
      <c r="M722" t="n">
        <v>0</v>
      </c>
      <c r="N722" t="n">
        <v>0</v>
      </c>
      <c r="O722" t="n">
        <v>0</v>
      </c>
      <c r="P722" t="n">
        <v>0</v>
      </c>
      <c r="Q722" t="n">
        <v>0</v>
      </c>
      <c r="R722" s="2" t="inlineStr"/>
    </row>
    <row r="723" ht="15" customHeight="1">
      <c r="A723" t="inlineStr">
        <is>
          <t>A 41445-2025</t>
        </is>
      </c>
      <c r="B723" s="1" t="n">
        <v>45901.41853009259</v>
      </c>
      <c r="C723" s="1" t="n">
        <v>45910</v>
      </c>
      <c r="D723" t="inlineStr">
        <is>
          <t>UPPSALA LÄN</t>
        </is>
      </c>
      <c r="E723" t="inlineStr">
        <is>
          <t>UPPSALA</t>
        </is>
      </c>
      <c r="F723" t="inlineStr">
        <is>
          <t>Kyrkan</t>
        </is>
      </c>
      <c r="G723" t="n">
        <v>4.5</v>
      </c>
      <c r="H723" t="n">
        <v>0</v>
      </c>
      <c r="I723" t="n">
        <v>0</v>
      </c>
      <c r="J723" t="n">
        <v>0</v>
      </c>
      <c r="K723" t="n">
        <v>0</v>
      </c>
      <c r="L723" t="n">
        <v>0</v>
      </c>
      <c r="M723" t="n">
        <v>0</v>
      </c>
      <c r="N723" t="n">
        <v>0</v>
      </c>
      <c r="O723" t="n">
        <v>0</v>
      </c>
      <c r="P723" t="n">
        <v>0</v>
      </c>
      <c r="Q723" t="n">
        <v>0</v>
      </c>
      <c r="R723" s="2" t="inlineStr"/>
    </row>
    <row r="724" ht="15" customHeight="1">
      <c r="A724" t="inlineStr">
        <is>
          <t>A 9982-2025</t>
        </is>
      </c>
      <c r="B724" s="1" t="n">
        <v>45719.4094212963</v>
      </c>
      <c r="C724" s="1" t="n">
        <v>45910</v>
      </c>
      <c r="D724" t="inlineStr">
        <is>
          <t>UPPSALA LÄN</t>
        </is>
      </c>
      <c r="E724" t="inlineStr">
        <is>
          <t>UPPSALA</t>
        </is>
      </c>
      <c r="F724" t="inlineStr">
        <is>
          <t>Kyrkan</t>
        </is>
      </c>
      <c r="G724" t="n">
        <v>2.9</v>
      </c>
      <c r="H724" t="n">
        <v>0</v>
      </c>
      <c r="I724" t="n">
        <v>0</v>
      </c>
      <c r="J724" t="n">
        <v>0</v>
      </c>
      <c r="K724" t="n">
        <v>0</v>
      </c>
      <c r="L724" t="n">
        <v>0</v>
      </c>
      <c r="M724" t="n">
        <v>0</v>
      </c>
      <c r="N724" t="n">
        <v>0</v>
      </c>
      <c r="O724" t="n">
        <v>0</v>
      </c>
      <c r="P724" t="n">
        <v>0</v>
      </c>
      <c r="Q724" t="n">
        <v>0</v>
      </c>
      <c r="R724" s="2" t="inlineStr"/>
    </row>
    <row r="725" ht="15" customHeight="1">
      <c r="A725" t="inlineStr">
        <is>
          <t>A 9995-2025</t>
        </is>
      </c>
      <c r="B725" s="1" t="n">
        <v>45719.43872685185</v>
      </c>
      <c r="C725" s="1" t="n">
        <v>45910</v>
      </c>
      <c r="D725" t="inlineStr">
        <is>
          <t>UPPSALA LÄN</t>
        </is>
      </c>
      <c r="E725" t="inlineStr">
        <is>
          <t>UPPSALA</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1020-2021</t>
        </is>
      </c>
      <c r="B726" s="1" t="n">
        <v>44207</v>
      </c>
      <c r="C726" s="1" t="n">
        <v>45910</v>
      </c>
      <c r="D726" t="inlineStr">
        <is>
          <t>UPPSALA LÄN</t>
        </is>
      </c>
      <c r="E726" t="inlineStr">
        <is>
          <t>UPPSALA</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19276-2023</t>
        </is>
      </c>
      <c r="B727" s="1" t="n">
        <v>45049</v>
      </c>
      <c r="C727" s="1" t="n">
        <v>45910</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47287-2023</t>
        </is>
      </c>
      <c r="B728" s="1" t="n">
        <v>45202</v>
      </c>
      <c r="C728" s="1" t="n">
        <v>45910</v>
      </c>
      <c r="D728" t="inlineStr">
        <is>
          <t>UPPSALA LÄN</t>
        </is>
      </c>
      <c r="E728" t="inlineStr">
        <is>
          <t>UPPSALA</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60447-2023</t>
        </is>
      </c>
      <c r="B729" s="1" t="n">
        <v>45259</v>
      </c>
      <c r="C729" s="1" t="n">
        <v>45910</v>
      </c>
      <c r="D729" t="inlineStr">
        <is>
          <t>UPPSALA LÄN</t>
        </is>
      </c>
      <c r="E729" t="inlineStr">
        <is>
          <t>UPPSALA</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41611-2025</t>
        </is>
      </c>
      <c r="B730" s="1" t="n">
        <v>45901.67194444445</v>
      </c>
      <c r="C730" s="1" t="n">
        <v>45910</v>
      </c>
      <c r="D730" t="inlineStr">
        <is>
          <t>UPPSALA LÄN</t>
        </is>
      </c>
      <c r="E730" t="inlineStr">
        <is>
          <t>UPPSALA</t>
        </is>
      </c>
      <c r="G730" t="n">
        <v>16.2</v>
      </c>
      <c r="H730" t="n">
        <v>0</v>
      </c>
      <c r="I730" t="n">
        <v>0</v>
      </c>
      <c r="J730" t="n">
        <v>0</v>
      </c>
      <c r="K730" t="n">
        <v>0</v>
      </c>
      <c r="L730" t="n">
        <v>0</v>
      </c>
      <c r="M730" t="n">
        <v>0</v>
      </c>
      <c r="N730" t="n">
        <v>0</v>
      </c>
      <c r="O730" t="n">
        <v>0</v>
      </c>
      <c r="P730" t="n">
        <v>0</v>
      </c>
      <c r="Q730" t="n">
        <v>0</v>
      </c>
      <c r="R730" s="2" t="inlineStr"/>
    </row>
    <row r="731" ht="15" customHeight="1">
      <c r="A731" t="inlineStr">
        <is>
          <t>A 34147-2024</t>
        </is>
      </c>
      <c r="B731" s="1" t="n">
        <v>45524</v>
      </c>
      <c r="C731" s="1" t="n">
        <v>45910</v>
      </c>
      <c r="D731" t="inlineStr">
        <is>
          <t>UPPSALA LÄN</t>
        </is>
      </c>
      <c r="E731" t="inlineStr">
        <is>
          <t>UPPSALA</t>
        </is>
      </c>
      <c r="F731" t="inlineStr">
        <is>
          <t>Allmännings- och besparingsskogar</t>
        </is>
      </c>
      <c r="G731" t="n">
        <v>0.2</v>
      </c>
      <c r="H731" t="n">
        <v>0</v>
      </c>
      <c r="I731" t="n">
        <v>0</v>
      </c>
      <c r="J731" t="n">
        <v>0</v>
      </c>
      <c r="K731" t="n">
        <v>0</v>
      </c>
      <c r="L731" t="n">
        <v>0</v>
      </c>
      <c r="M731" t="n">
        <v>0</v>
      </c>
      <c r="N731" t="n">
        <v>0</v>
      </c>
      <c r="O731" t="n">
        <v>0</v>
      </c>
      <c r="P731" t="n">
        <v>0</v>
      </c>
      <c r="Q731" t="n">
        <v>0</v>
      </c>
      <c r="R731" s="2" t="inlineStr"/>
    </row>
    <row r="732" ht="15" customHeight="1">
      <c r="A732" t="inlineStr">
        <is>
          <t>A 41112-2025</t>
        </is>
      </c>
      <c r="B732" s="1" t="n">
        <v>45898.46040509259</v>
      </c>
      <c r="C732" s="1" t="n">
        <v>45910</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10456-2022</t>
        </is>
      </c>
      <c r="B733" s="1" t="n">
        <v>44623.5571875</v>
      </c>
      <c r="C733" s="1" t="n">
        <v>45910</v>
      </c>
      <c r="D733" t="inlineStr">
        <is>
          <t>UPPSALA LÄN</t>
        </is>
      </c>
      <c r="E733" t="inlineStr">
        <is>
          <t>UPPSALA</t>
        </is>
      </c>
      <c r="F733" t="inlineStr">
        <is>
          <t>Övriga Aktiebolag</t>
        </is>
      </c>
      <c r="G733" t="n">
        <v>12.6</v>
      </c>
      <c r="H733" t="n">
        <v>0</v>
      </c>
      <c r="I733" t="n">
        <v>0</v>
      </c>
      <c r="J733" t="n">
        <v>0</v>
      </c>
      <c r="K733" t="n">
        <v>0</v>
      </c>
      <c r="L733" t="n">
        <v>0</v>
      </c>
      <c r="M733" t="n">
        <v>0</v>
      </c>
      <c r="N733" t="n">
        <v>0</v>
      </c>
      <c r="O733" t="n">
        <v>0</v>
      </c>
      <c r="P733" t="n">
        <v>0</v>
      </c>
      <c r="Q733" t="n">
        <v>0</v>
      </c>
      <c r="R733" s="2" t="inlineStr"/>
    </row>
    <row r="734" ht="15" customHeight="1">
      <c r="A734" t="inlineStr">
        <is>
          <t>A 5663-2023</t>
        </is>
      </c>
      <c r="B734" s="1" t="n">
        <v>44960</v>
      </c>
      <c r="C734" s="1" t="n">
        <v>45910</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5675-2023</t>
        </is>
      </c>
      <c r="B735" s="1" t="n">
        <v>44960.66233796296</v>
      </c>
      <c r="C735" s="1" t="n">
        <v>45910</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41444-2025</t>
        </is>
      </c>
      <c r="B736" s="1" t="n">
        <v>45901.41756944444</v>
      </c>
      <c r="C736" s="1" t="n">
        <v>45910</v>
      </c>
      <c r="D736" t="inlineStr">
        <is>
          <t>UPPSALA LÄN</t>
        </is>
      </c>
      <c r="E736" t="inlineStr">
        <is>
          <t>UPPSALA</t>
        </is>
      </c>
      <c r="F736" t="inlineStr">
        <is>
          <t>Kyrkan</t>
        </is>
      </c>
      <c r="G736" t="n">
        <v>4.5</v>
      </c>
      <c r="H736" t="n">
        <v>0</v>
      </c>
      <c r="I736" t="n">
        <v>0</v>
      </c>
      <c r="J736" t="n">
        <v>0</v>
      </c>
      <c r="K736" t="n">
        <v>0</v>
      </c>
      <c r="L736" t="n">
        <v>0</v>
      </c>
      <c r="M736" t="n">
        <v>0</v>
      </c>
      <c r="N736" t="n">
        <v>0</v>
      </c>
      <c r="O736" t="n">
        <v>0</v>
      </c>
      <c r="P736" t="n">
        <v>0</v>
      </c>
      <c r="Q736" t="n">
        <v>0</v>
      </c>
      <c r="R736" s="2" t="inlineStr"/>
    </row>
    <row r="737" ht="15" customHeight="1">
      <c r="A737" t="inlineStr">
        <is>
          <t>A 35509-2025</t>
        </is>
      </c>
      <c r="B737" s="1" t="n">
        <v>45856.34959490741</v>
      </c>
      <c r="C737" s="1" t="n">
        <v>45910</v>
      </c>
      <c r="D737" t="inlineStr">
        <is>
          <t>UPPSALA LÄN</t>
        </is>
      </c>
      <c r="E737" t="inlineStr">
        <is>
          <t>UPPSALA</t>
        </is>
      </c>
      <c r="F737" t="inlineStr">
        <is>
          <t>Bergvik skog öst AB</t>
        </is>
      </c>
      <c r="G737" t="n">
        <v>1.6</v>
      </c>
      <c r="H737" t="n">
        <v>0</v>
      </c>
      <c r="I737" t="n">
        <v>0</v>
      </c>
      <c r="J737" t="n">
        <v>0</v>
      </c>
      <c r="K737" t="n">
        <v>0</v>
      </c>
      <c r="L737" t="n">
        <v>0</v>
      </c>
      <c r="M737" t="n">
        <v>0</v>
      </c>
      <c r="N737" t="n">
        <v>0</v>
      </c>
      <c r="O737" t="n">
        <v>0</v>
      </c>
      <c r="P737" t="n">
        <v>0</v>
      </c>
      <c r="Q737" t="n">
        <v>0</v>
      </c>
      <c r="R737" s="2" t="inlineStr"/>
    </row>
    <row r="738" ht="15" customHeight="1">
      <c r="A738" t="inlineStr">
        <is>
          <t>A 35510-2025</t>
        </is>
      </c>
      <c r="B738" s="1" t="n">
        <v>45856</v>
      </c>
      <c r="C738" s="1" t="n">
        <v>45910</v>
      </c>
      <c r="D738" t="inlineStr">
        <is>
          <t>UPPSALA LÄN</t>
        </is>
      </c>
      <c r="E738" t="inlineStr">
        <is>
          <t>UPPSALA</t>
        </is>
      </c>
      <c r="F738" t="inlineStr">
        <is>
          <t>Bergvik skog öst AB</t>
        </is>
      </c>
      <c r="G738" t="n">
        <v>0.3</v>
      </c>
      <c r="H738" t="n">
        <v>0</v>
      </c>
      <c r="I738" t="n">
        <v>0</v>
      </c>
      <c r="J738" t="n">
        <v>0</v>
      </c>
      <c r="K738" t="n">
        <v>0</v>
      </c>
      <c r="L738" t="n">
        <v>0</v>
      </c>
      <c r="M738" t="n">
        <v>0</v>
      </c>
      <c r="N738" t="n">
        <v>0</v>
      </c>
      <c r="O738" t="n">
        <v>0</v>
      </c>
      <c r="P738" t="n">
        <v>0</v>
      </c>
      <c r="Q738" t="n">
        <v>0</v>
      </c>
      <c r="R738" s="2" t="inlineStr"/>
    </row>
    <row r="739" ht="15" customHeight="1">
      <c r="A739" t="inlineStr">
        <is>
          <t>A 42085-2025</t>
        </is>
      </c>
      <c r="B739" s="1" t="n">
        <v>45903.69358796296</v>
      </c>
      <c r="C739" s="1" t="n">
        <v>45910</v>
      </c>
      <c r="D739" t="inlineStr">
        <is>
          <t>UPPSALA LÄN</t>
        </is>
      </c>
      <c r="E739" t="inlineStr">
        <is>
          <t>UPPSALA</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32484-2025</t>
        </is>
      </c>
      <c r="B740" s="1" t="n">
        <v>45838</v>
      </c>
      <c r="C740" s="1" t="n">
        <v>45910</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41707-2025</t>
        </is>
      </c>
      <c r="B741" s="1" t="n">
        <v>45902.42243055555</v>
      </c>
      <c r="C741" s="1" t="n">
        <v>45910</v>
      </c>
      <c r="D741" t="inlineStr">
        <is>
          <t>UPPSALA LÄN</t>
        </is>
      </c>
      <c r="E741" t="inlineStr">
        <is>
          <t>UPPSALA</t>
        </is>
      </c>
      <c r="F741" t="inlineStr">
        <is>
          <t>Allmännings- och besparingsskogar</t>
        </is>
      </c>
      <c r="G741" t="n">
        <v>3.3</v>
      </c>
      <c r="H741" t="n">
        <v>0</v>
      </c>
      <c r="I741" t="n">
        <v>0</v>
      </c>
      <c r="J741" t="n">
        <v>0</v>
      </c>
      <c r="K741" t="n">
        <v>0</v>
      </c>
      <c r="L741" t="n">
        <v>0</v>
      </c>
      <c r="M741" t="n">
        <v>0</v>
      </c>
      <c r="N741" t="n">
        <v>0</v>
      </c>
      <c r="O741" t="n">
        <v>0</v>
      </c>
      <c r="P741" t="n">
        <v>0</v>
      </c>
      <c r="Q741" t="n">
        <v>0</v>
      </c>
      <c r="R741" s="2" t="inlineStr"/>
    </row>
    <row r="742" ht="15" customHeight="1">
      <c r="A742" t="inlineStr">
        <is>
          <t>A 37611-2025</t>
        </is>
      </c>
      <c r="B742" s="1" t="n">
        <v>45880</v>
      </c>
      <c r="C742" s="1" t="n">
        <v>45910</v>
      </c>
      <c r="D742" t="inlineStr">
        <is>
          <t>UPPSALA LÄN</t>
        </is>
      </c>
      <c r="E742" t="inlineStr">
        <is>
          <t>UPPSALA</t>
        </is>
      </c>
      <c r="G742" t="n">
        <v>2.9</v>
      </c>
      <c r="H742" t="n">
        <v>0</v>
      </c>
      <c r="I742" t="n">
        <v>0</v>
      </c>
      <c r="J742" t="n">
        <v>0</v>
      </c>
      <c r="K742" t="n">
        <v>0</v>
      </c>
      <c r="L742" t="n">
        <v>0</v>
      </c>
      <c r="M742" t="n">
        <v>0</v>
      </c>
      <c r="N742" t="n">
        <v>0</v>
      </c>
      <c r="O742" t="n">
        <v>0</v>
      </c>
      <c r="P742" t="n">
        <v>0</v>
      </c>
      <c r="Q742" t="n">
        <v>0</v>
      </c>
      <c r="R742" s="2" t="inlineStr"/>
    </row>
    <row r="743" ht="15" customHeight="1">
      <c r="A743" t="inlineStr">
        <is>
          <t>A 42084-2025</t>
        </is>
      </c>
      <c r="B743" s="1" t="n">
        <v>45903.69096064815</v>
      </c>
      <c r="C743" s="1" t="n">
        <v>45910</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13502-2025</t>
        </is>
      </c>
      <c r="B744" s="1" t="n">
        <v>45736.45847222222</v>
      </c>
      <c r="C744" s="1" t="n">
        <v>45910</v>
      </c>
      <c r="D744" t="inlineStr">
        <is>
          <t>UPPSALA LÄN</t>
        </is>
      </c>
      <c r="E744" t="inlineStr">
        <is>
          <t>UPPSALA</t>
        </is>
      </c>
      <c r="F744" t="inlineStr">
        <is>
          <t>Allmännings- och besparingsskogar</t>
        </is>
      </c>
      <c r="G744" t="n">
        <v>1.6</v>
      </c>
      <c r="H744" t="n">
        <v>0</v>
      </c>
      <c r="I744" t="n">
        <v>0</v>
      </c>
      <c r="J744" t="n">
        <v>0</v>
      </c>
      <c r="K744" t="n">
        <v>0</v>
      </c>
      <c r="L744" t="n">
        <v>0</v>
      </c>
      <c r="M744" t="n">
        <v>0</v>
      </c>
      <c r="N744" t="n">
        <v>0</v>
      </c>
      <c r="O744" t="n">
        <v>0</v>
      </c>
      <c r="P744" t="n">
        <v>0</v>
      </c>
      <c r="Q744" t="n">
        <v>0</v>
      </c>
      <c r="R744" s="2" t="inlineStr"/>
    </row>
    <row r="745" ht="15" customHeight="1">
      <c r="A745" t="inlineStr">
        <is>
          <t>A 69698-2021</t>
        </is>
      </c>
      <c r="B745" s="1" t="n">
        <v>44532</v>
      </c>
      <c r="C745" s="1" t="n">
        <v>45910</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40100-2022</t>
        </is>
      </c>
      <c r="B746" s="1" t="n">
        <v>44820.47935185185</v>
      </c>
      <c r="C746" s="1" t="n">
        <v>45910</v>
      </c>
      <c r="D746" t="inlineStr">
        <is>
          <t>UPPSALA LÄN</t>
        </is>
      </c>
      <c r="E746" t="inlineStr">
        <is>
          <t>UPPSALA</t>
        </is>
      </c>
      <c r="F746" t="inlineStr">
        <is>
          <t>Övriga Aktiebolag</t>
        </is>
      </c>
      <c r="G746" t="n">
        <v>1.1</v>
      </c>
      <c r="H746" t="n">
        <v>0</v>
      </c>
      <c r="I746" t="n">
        <v>0</v>
      </c>
      <c r="J746" t="n">
        <v>0</v>
      </c>
      <c r="K746" t="n">
        <v>0</v>
      </c>
      <c r="L746" t="n">
        <v>0</v>
      </c>
      <c r="M746" t="n">
        <v>0</v>
      </c>
      <c r="N746" t="n">
        <v>0</v>
      </c>
      <c r="O746" t="n">
        <v>0</v>
      </c>
      <c r="P746" t="n">
        <v>0</v>
      </c>
      <c r="Q746" t="n">
        <v>0</v>
      </c>
      <c r="R746" s="2" t="inlineStr"/>
    </row>
    <row r="747" ht="15" customHeight="1">
      <c r="A747" t="inlineStr">
        <is>
          <t>A 32475-2025</t>
        </is>
      </c>
      <c r="B747" s="1" t="n">
        <v>45838</v>
      </c>
      <c r="C747" s="1" t="n">
        <v>45910</v>
      </c>
      <c r="D747" t="inlineStr">
        <is>
          <t>UPPSALA LÄN</t>
        </is>
      </c>
      <c r="E747" t="inlineStr">
        <is>
          <t>UPPSALA</t>
        </is>
      </c>
      <c r="G747" t="n">
        <v>3</v>
      </c>
      <c r="H747" t="n">
        <v>0</v>
      </c>
      <c r="I747" t="n">
        <v>0</v>
      </c>
      <c r="J747" t="n">
        <v>0</v>
      </c>
      <c r="K747" t="n">
        <v>0</v>
      </c>
      <c r="L747" t="n">
        <v>0</v>
      </c>
      <c r="M747" t="n">
        <v>0</v>
      </c>
      <c r="N747" t="n">
        <v>0</v>
      </c>
      <c r="O747" t="n">
        <v>0</v>
      </c>
      <c r="P747" t="n">
        <v>0</v>
      </c>
      <c r="Q747" t="n">
        <v>0</v>
      </c>
      <c r="R747" s="2" t="inlineStr"/>
    </row>
    <row r="748" ht="15" customHeight="1">
      <c r="A748" t="inlineStr">
        <is>
          <t>A 32479-2025</t>
        </is>
      </c>
      <c r="B748" s="1" t="n">
        <v>45838</v>
      </c>
      <c r="C748" s="1" t="n">
        <v>45910</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8672-2024</t>
        </is>
      </c>
      <c r="B749" s="1" t="n">
        <v>45352</v>
      </c>
      <c r="C749" s="1" t="n">
        <v>45910</v>
      </c>
      <c r="D749" t="inlineStr">
        <is>
          <t>UPPSALA LÄN</t>
        </is>
      </c>
      <c r="E749" t="inlineStr">
        <is>
          <t>UPPSALA</t>
        </is>
      </c>
      <c r="G749" t="n">
        <v>2.3</v>
      </c>
      <c r="H749" t="n">
        <v>0</v>
      </c>
      <c r="I749" t="n">
        <v>0</v>
      </c>
      <c r="J749" t="n">
        <v>0</v>
      </c>
      <c r="K749" t="n">
        <v>0</v>
      </c>
      <c r="L749" t="n">
        <v>0</v>
      </c>
      <c r="M749" t="n">
        <v>0</v>
      </c>
      <c r="N749" t="n">
        <v>0</v>
      </c>
      <c r="O749" t="n">
        <v>0</v>
      </c>
      <c r="P749" t="n">
        <v>0</v>
      </c>
      <c r="Q749" t="n">
        <v>0</v>
      </c>
      <c r="R749" s="2" t="inlineStr"/>
    </row>
    <row r="750" ht="15" customHeight="1">
      <c r="A750" t="inlineStr">
        <is>
          <t>A 42528-2023</t>
        </is>
      </c>
      <c r="B750" s="1" t="n">
        <v>45181.33571759259</v>
      </c>
      <c r="C750" s="1" t="n">
        <v>45910</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9255-2024</t>
        </is>
      </c>
      <c r="B751" s="1" t="n">
        <v>45358</v>
      </c>
      <c r="C751" s="1" t="n">
        <v>45910</v>
      </c>
      <c r="D751" t="inlineStr">
        <is>
          <t>UPPSALA LÄN</t>
        </is>
      </c>
      <c r="E751" t="inlineStr">
        <is>
          <t>UPPSALA</t>
        </is>
      </c>
      <c r="G751" t="n">
        <v>1.8</v>
      </c>
      <c r="H751" t="n">
        <v>0</v>
      </c>
      <c r="I751" t="n">
        <v>0</v>
      </c>
      <c r="J751" t="n">
        <v>0</v>
      </c>
      <c r="K751" t="n">
        <v>0</v>
      </c>
      <c r="L751" t="n">
        <v>0</v>
      </c>
      <c r="M751" t="n">
        <v>0</v>
      </c>
      <c r="N751" t="n">
        <v>0</v>
      </c>
      <c r="O751" t="n">
        <v>0</v>
      </c>
      <c r="P751" t="n">
        <v>0</v>
      </c>
      <c r="Q751" t="n">
        <v>0</v>
      </c>
      <c r="R751" s="2" t="inlineStr"/>
    </row>
    <row r="752" ht="15" customHeight="1">
      <c r="A752" t="inlineStr">
        <is>
          <t>A 42134-2025</t>
        </is>
      </c>
      <c r="B752" s="1" t="n">
        <v>45904.34862268518</v>
      </c>
      <c r="C752" s="1" t="n">
        <v>45910</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35978-2025</t>
        </is>
      </c>
      <c r="B753" s="1" t="n">
        <v>45863.44648148148</v>
      </c>
      <c r="C753" s="1" t="n">
        <v>45910</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30616-2025</t>
        </is>
      </c>
      <c r="B754" s="1" t="n">
        <v>45831.46731481481</v>
      </c>
      <c r="C754" s="1" t="n">
        <v>45910</v>
      </c>
      <c r="D754" t="inlineStr">
        <is>
          <t>UPPSALA LÄN</t>
        </is>
      </c>
      <c r="E754" t="inlineStr">
        <is>
          <t>UPPSALA</t>
        </is>
      </c>
      <c r="G754" t="n">
        <v>2.1</v>
      </c>
      <c r="H754" t="n">
        <v>0</v>
      </c>
      <c r="I754" t="n">
        <v>0</v>
      </c>
      <c r="J754" t="n">
        <v>0</v>
      </c>
      <c r="K754" t="n">
        <v>0</v>
      </c>
      <c r="L754" t="n">
        <v>0</v>
      </c>
      <c r="M754" t="n">
        <v>0</v>
      </c>
      <c r="N754" t="n">
        <v>0</v>
      </c>
      <c r="O754" t="n">
        <v>0</v>
      </c>
      <c r="P754" t="n">
        <v>0</v>
      </c>
      <c r="Q754" t="n">
        <v>0</v>
      </c>
      <c r="R754" s="2" t="inlineStr"/>
    </row>
    <row r="755" ht="15" customHeight="1">
      <c r="A755" t="inlineStr">
        <is>
          <t>A 42347-2025</t>
        </is>
      </c>
      <c r="B755" s="1" t="n">
        <v>45904.77746527778</v>
      </c>
      <c r="C755" s="1" t="n">
        <v>45910</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56889-2022</t>
        </is>
      </c>
      <c r="B756" s="1" t="n">
        <v>44894.57065972222</v>
      </c>
      <c r="C756" s="1" t="n">
        <v>45910</v>
      </c>
      <c r="D756" t="inlineStr">
        <is>
          <t>UPPSALA LÄN</t>
        </is>
      </c>
      <c r="E756" t="inlineStr">
        <is>
          <t>UPPSALA</t>
        </is>
      </c>
      <c r="F756" t="inlineStr">
        <is>
          <t>Övriga Aktiebolag</t>
        </is>
      </c>
      <c r="G756" t="n">
        <v>21.6</v>
      </c>
      <c r="H756" t="n">
        <v>0</v>
      </c>
      <c r="I756" t="n">
        <v>0</v>
      </c>
      <c r="J756" t="n">
        <v>0</v>
      </c>
      <c r="K756" t="n">
        <v>0</v>
      </c>
      <c r="L756" t="n">
        <v>0</v>
      </c>
      <c r="M756" t="n">
        <v>0</v>
      </c>
      <c r="N756" t="n">
        <v>0</v>
      </c>
      <c r="O756" t="n">
        <v>0</v>
      </c>
      <c r="P756" t="n">
        <v>0</v>
      </c>
      <c r="Q756" t="n">
        <v>0</v>
      </c>
      <c r="R756" s="2" t="inlineStr"/>
    </row>
    <row r="757" ht="15" customHeight="1">
      <c r="A757" t="inlineStr">
        <is>
          <t>A 22996-2021</t>
        </is>
      </c>
      <c r="B757" s="1" t="n">
        <v>44328</v>
      </c>
      <c r="C757" s="1" t="n">
        <v>45910</v>
      </c>
      <c r="D757" t="inlineStr">
        <is>
          <t>UPPSALA LÄN</t>
        </is>
      </c>
      <c r="E757" t="inlineStr">
        <is>
          <t>UPPSALA</t>
        </is>
      </c>
      <c r="F757" t="inlineStr">
        <is>
          <t>Bergvik skog öst AB</t>
        </is>
      </c>
      <c r="G757" t="n">
        <v>3.1</v>
      </c>
      <c r="H757" t="n">
        <v>0</v>
      </c>
      <c r="I757" t="n">
        <v>0</v>
      </c>
      <c r="J757" t="n">
        <v>0</v>
      </c>
      <c r="K757" t="n">
        <v>0</v>
      </c>
      <c r="L757" t="n">
        <v>0</v>
      </c>
      <c r="M757" t="n">
        <v>0</v>
      </c>
      <c r="N757" t="n">
        <v>0</v>
      </c>
      <c r="O757" t="n">
        <v>0</v>
      </c>
      <c r="P757" t="n">
        <v>0</v>
      </c>
      <c r="Q757" t="n">
        <v>0</v>
      </c>
      <c r="R757" s="2" t="inlineStr"/>
    </row>
    <row r="758" ht="15" customHeight="1">
      <c r="A758" t="inlineStr">
        <is>
          <t>A 41954-2025</t>
        </is>
      </c>
      <c r="B758" s="1" t="n">
        <v>45903</v>
      </c>
      <c r="C758" s="1" t="n">
        <v>45910</v>
      </c>
      <c r="D758" t="inlineStr">
        <is>
          <t>UPPSALA LÄN</t>
        </is>
      </c>
      <c r="E758" t="inlineStr">
        <is>
          <t>UPPSALA</t>
        </is>
      </c>
      <c r="G758" t="n">
        <v>7.5</v>
      </c>
      <c r="H758" t="n">
        <v>0</v>
      </c>
      <c r="I758" t="n">
        <v>0</v>
      </c>
      <c r="J758" t="n">
        <v>0</v>
      </c>
      <c r="K758" t="n">
        <v>0</v>
      </c>
      <c r="L758" t="n">
        <v>0</v>
      </c>
      <c r="M758" t="n">
        <v>0</v>
      </c>
      <c r="N758" t="n">
        <v>0</v>
      </c>
      <c r="O758" t="n">
        <v>0</v>
      </c>
      <c r="P758" t="n">
        <v>0</v>
      </c>
      <c r="Q758" t="n">
        <v>0</v>
      </c>
      <c r="R758" s="2" t="inlineStr"/>
    </row>
    <row r="759" ht="15" customHeight="1">
      <c r="A759" t="inlineStr">
        <is>
          <t>A 39792-2025</t>
        </is>
      </c>
      <c r="B759" s="1" t="n">
        <v>45891.4865625</v>
      </c>
      <c r="C759" s="1" t="n">
        <v>45910</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33797-2021</t>
        </is>
      </c>
      <c r="B760" s="1" t="n">
        <v>44378.56137731481</v>
      </c>
      <c r="C760" s="1" t="n">
        <v>45910</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42593-2025</t>
        </is>
      </c>
      <c r="B761" s="1" t="n">
        <v>45905.64862268518</v>
      </c>
      <c r="C761" s="1" t="n">
        <v>45910</v>
      </c>
      <c r="D761" t="inlineStr">
        <is>
          <t>UPPSALA LÄN</t>
        </is>
      </c>
      <c r="E761" t="inlineStr">
        <is>
          <t>UPPSALA</t>
        </is>
      </c>
      <c r="G761" t="n">
        <v>2.1</v>
      </c>
      <c r="H761" t="n">
        <v>0</v>
      </c>
      <c r="I761" t="n">
        <v>0</v>
      </c>
      <c r="J761" t="n">
        <v>0</v>
      </c>
      <c r="K761" t="n">
        <v>0</v>
      </c>
      <c r="L761" t="n">
        <v>0</v>
      </c>
      <c r="M761" t="n">
        <v>0</v>
      </c>
      <c r="N761" t="n">
        <v>0</v>
      </c>
      <c r="O761" t="n">
        <v>0</v>
      </c>
      <c r="P761" t="n">
        <v>0</v>
      </c>
      <c r="Q761" t="n">
        <v>0</v>
      </c>
      <c r="R761" s="2" t="inlineStr"/>
    </row>
    <row r="762" ht="15" customHeight="1">
      <c r="A762" t="inlineStr">
        <is>
          <t>A 42541-2025</t>
        </is>
      </c>
      <c r="B762" s="1" t="n">
        <v>45905.5756712963</v>
      </c>
      <c r="C762" s="1" t="n">
        <v>45910</v>
      </c>
      <c r="D762" t="inlineStr">
        <is>
          <t>UPPSALA LÄN</t>
        </is>
      </c>
      <c r="E762" t="inlineStr">
        <is>
          <t>UPPSALA</t>
        </is>
      </c>
      <c r="G762" t="n">
        <v>1.3</v>
      </c>
      <c r="H762" t="n">
        <v>0</v>
      </c>
      <c r="I762" t="n">
        <v>0</v>
      </c>
      <c r="J762" t="n">
        <v>0</v>
      </c>
      <c r="K762" t="n">
        <v>0</v>
      </c>
      <c r="L762" t="n">
        <v>0</v>
      </c>
      <c r="M762" t="n">
        <v>0</v>
      </c>
      <c r="N762" t="n">
        <v>0</v>
      </c>
      <c r="O762" t="n">
        <v>0</v>
      </c>
      <c r="P762" t="n">
        <v>0</v>
      </c>
      <c r="Q762" t="n">
        <v>0</v>
      </c>
      <c r="R762" s="2" t="inlineStr"/>
    </row>
    <row r="763" ht="15" customHeight="1">
      <c r="A763" t="inlineStr">
        <is>
          <t>A 35984-2025</t>
        </is>
      </c>
      <c r="B763" s="1" t="n">
        <v>45863.45355324074</v>
      </c>
      <c r="C763" s="1" t="n">
        <v>45910</v>
      </c>
      <c r="D763" t="inlineStr">
        <is>
          <t>UPPSALA LÄN</t>
        </is>
      </c>
      <c r="E763" t="inlineStr">
        <is>
          <t>UPPSALA</t>
        </is>
      </c>
      <c r="G763" t="n">
        <v>6.1</v>
      </c>
      <c r="H763" t="n">
        <v>0</v>
      </c>
      <c r="I763" t="n">
        <v>0</v>
      </c>
      <c r="J763" t="n">
        <v>0</v>
      </c>
      <c r="K763" t="n">
        <v>0</v>
      </c>
      <c r="L763" t="n">
        <v>0</v>
      </c>
      <c r="M763" t="n">
        <v>0</v>
      </c>
      <c r="N763" t="n">
        <v>0</v>
      </c>
      <c r="O763" t="n">
        <v>0</v>
      </c>
      <c r="P763" t="n">
        <v>0</v>
      </c>
      <c r="Q763" t="n">
        <v>0</v>
      </c>
      <c r="R763" s="2" t="inlineStr"/>
    </row>
    <row r="764" ht="15" customHeight="1">
      <c r="A764" t="inlineStr">
        <is>
          <t>A 5374-2023</t>
        </is>
      </c>
      <c r="B764" s="1" t="n">
        <v>44944</v>
      </c>
      <c r="C764" s="1" t="n">
        <v>45910</v>
      </c>
      <c r="D764" t="inlineStr">
        <is>
          <t>UPPSALA LÄN</t>
        </is>
      </c>
      <c r="E764" t="inlineStr">
        <is>
          <t>UPPSALA</t>
        </is>
      </c>
      <c r="G764" t="n">
        <v>3.5</v>
      </c>
      <c r="H764" t="n">
        <v>0</v>
      </c>
      <c r="I764" t="n">
        <v>0</v>
      </c>
      <c r="J764" t="n">
        <v>0</v>
      </c>
      <c r="K764" t="n">
        <v>0</v>
      </c>
      <c r="L764" t="n">
        <v>0</v>
      </c>
      <c r="M764" t="n">
        <v>0</v>
      </c>
      <c r="N764" t="n">
        <v>0</v>
      </c>
      <c r="O764" t="n">
        <v>0</v>
      </c>
      <c r="P764" t="n">
        <v>0</v>
      </c>
      <c r="Q764" t="n">
        <v>0</v>
      </c>
      <c r="R764" s="2" t="inlineStr"/>
    </row>
    <row r="765" ht="15" customHeight="1">
      <c r="A765" t="inlineStr">
        <is>
          <t>A 42581-2025</t>
        </is>
      </c>
      <c r="B765" s="1" t="n">
        <v>45905.62541666667</v>
      </c>
      <c r="C765" s="1" t="n">
        <v>45910</v>
      </c>
      <c r="D765" t="inlineStr">
        <is>
          <t>UPPSALA LÄN</t>
        </is>
      </c>
      <c r="E765" t="inlineStr">
        <is>
          <t>UPPSALA</t>
        </is>
      </c>
      <c r="F765" t="inlineStr">
        <is>
          <t>Kyrkan</t>
        </is>
      </c>
      <c r="G765" t="n">
        <v>2.3</v>
      </c>
      <c r="H765" t="n">
        <v>0</v>
      </c>
      <c r="I765" t="n">
        <v>0</v>
      </c>
      <c r="J765" t="n">
        <v>0</v>
      </c>
      <c r="K765" t="n">
        <v>0</v>
      </c>
      <c r="L765" t="n">
        <v>0</v>
      </c>
      <c r="M765" t="n">
        <v>0</v>
      </c>
      <c r="N765" t="n">
        <v>0</v>
      </c>
      <c r="O765" t="n">
        <v>0</v>
      </c>
      <c r="P765" t="n">
        <v>0</v>
      </c>
      <c r="Q765" t="n">
        <v>0</v>
      </c>
      <c r="R765" s="2" t="inlineStr"/>
    </row>
    <row r="766" ht="15" customHeight="1">
      <c r="A766" t="inlineStr">
        <is>
          <t>A 62287-2023</t>
        </is>
      </c>
      <c r="B766" s="1" t="n">
        <v>45267</v>
      </c>
      <c r="C766" s="1" t="n">
        <v>45910</v>
      </c>
      <c r="D766" t="inlineStr">
        <is>
          <t>UPPSALA LÄN</t>
        </is>
      </c>
      <c r="E766" t="inlineStr">
        <is>
          <t>UPPSALA</t>
        </is>
      </c>
      <c r="F766" t="inlineStr">
        <is>
          <t>Allmännings- och besparingsskogar</t>
        </is>
      </c>
      <c r="G766" t="n">
        <v>2.8</v>
      </c>
      <c r="H766" t="n">
        <v>0</v>
      </c>
      <c r="I766" t="n">
        <v>0</v>
      </c>
      <c r="J766" t="n">
        <v>0</v>
      </c>
      <c r="K766" t="n">
        <v>0</v>
      </c>
      <c r="L766" t="n">
        <v>0</v>
      </c>
      <c r="M766" t="n">
        <v>0</v>
      </c>
      <c r="N766" t="n">
        <v>0</v>
      </c>
      <c r="O766" t="n">
        <v>0</v>
      </c>
      <c r="P766" t="n">
        <v>0</v>
      </c>
      <c r="Q766" t="n">
        <v>0</v>
      </c>
      <c r="R766" s="2" t="inlineStr"/>
    </row>
    <row r="767" ht="15" customHeight="1">
      <c r="A767" t="inlineStr">
        <is>
          <t>A 63011-2021</t>
        </is>
      </c>
      <c r="B767" s="1" t="n">
        <v>44504</v>
      </c>
      <c r="C767" s="1" t="n">
        <v>45910</v>
      </c>
      <c r="D767" t="inlineStr">
        <is>
          <t>UPPSALA LÄN</t>
        </is>
      </c>
      <c r="E767" t="inlineStr">
        <is>
          <t>UPPSALA</t>
        </is>
      </c>
      <c r="G767" t="n">
        <v>11.2</v>
      </c>
      <c r="H767" t="n">
        <v>0</v>
      </c>
      <c r="I767" t="n">
        <v>0</v>
      </c>
      <c r="J767" t="n">
        <v>0</v>
      </c>
      <c r="K767" t="n">
        <v>0</v>
      </c>
      <c r="L767" t="n">
        <v>0</v>
      </c>
      <c r="M767" t="n">
        <v>0</v>
      </c>
      <c r="N767" t="n">
        <v>0</v>
      </c>
      <c r="O767" t="n">
        <v>0</v>
      </c>
      <c r="P767" t="n">
        <v>0</v>
      </c>
      <c r="Q767" t="n">
        <v>0</v>
      </c>
      <c r="R767" s="2" t="inlineStr"/>
    </row>
    <row r="768" ht="15" customHeight="1">
      <c r="A768" t="inlineStr">
        <is>
          <t>A 3955-2021</t>
        </is>
      </c>
      <c r="B768" s="1" t="n">
        <v>44222</v>
      </c>
      <c r="C768" s="1" t="n">
        <v>45910</v>
      </c>
      <c r="D768" t="inlineStr">
        <is>
          <t>UPPSALA LÄN</t>
        </is>
      </c>
      <c r="E768" t="inlineStr">
        <is>
          <t>UPPSALA</t>
        </is>
      </c>
      <c r="G768" t="n">
        <v>2.3</v>
      </c>
      <c r="H768" t="n">
        <v>0</v>
      </c>
      <c r="I768" t="n">
        <v>0</v>
      </c>
      <c r="J768" t="n">
        <v>0</v>
      </c>
      <c r="K768" t="n">
        <v>0</v>
      </c>
      <c r="L768" t="n">
        <v>0</v>
      </c>
      <c r="M768" t="n">
        <v>0</v>
      </c>
      <c r="N768" t="n">
        <v>0</v>
      </c>
      <c r="O768" t="n">
        <v>0</v>
      </c>
      <c r="P768" t="n">
        <v>0</v>
      </c>
      <c r="Q768" t="n">
        <v>0</v>
      </c>
      <c r="R768" s="2" t="inlineStr"/>
    </row>
    <row r="769" ht="15" customHeight="1">
      <c r="A769" t="inlineStr">
        <is>
          <t>A 35016-2025</t>
        </is>
      </c>
      <c r="B769" s="1" t="n">
        <v>45851.62179398148</v>
      </c>
      <c r="C769" s="1" t="n">
        <v>45910</v>
      </c>
      <c r="D769" t="inlineStr">
        <is>
          <t>UPPSALA LÄN</t>
        </is>
      </c>
      <c r="E769" t="inlineStr">
        <is>
          <t>UPPSALA</t>
        </is>
      </c>
      <c r="F769" t="inlineStr">
        <is>
          <t>Bergvik skog öst AB</t>
        </is>
      </c>
      <c r="G769" t="n">
        <v>7</v>
      </c>
      <c r="H769" t="n">
        <v>0</v>
      </c>
      <c r="I769" t="n">
        <v>0</v>
      </c>
      <c r="J769" t="n">
        <v>0</v>
      </c>
      <c r="K769" t="n">
        <v>0</v>
      </c>
      <c r="L769" t="n">
        <v>0</v>
      </c>
      <c r="M769" t="n">
        <v>0</v>
      </c>
      <c r="N769" t="n">
        <v>0</v>
      </c>
      <c r="O769" t="n">
        <v>0</v>
      </c>
      <c r="P769" t="n">
        <v>0</v>
      </c>
      <c r="Q769" t="n">
        <v>0</v>
      </c>
      <c r="R769" s="2" t="inlineStr"/>
    </row>
    <row r="770" ht="15" customHeight="1">
      <c r="A770" t="inlineStr">
        <is>
          <t>A 52503-2023</t>
        </is>
      </c>
      <c r="B770" s="1" t="n">
        <v>45225.46480324074</v>
      </c>
      <c r="C770" s="1" t="n">
        <v>45910</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42583-2025</t>
        </is>
      </c>
      <c r="B771" s="1" t="n">
        <v>45905.62641203704</v>
      </c>
      <c r="C771" s="1" t="n">
        <v>45910</v>
      </c>
      <c r="D771" t="inlineStr">
        <is>
          <t>UPPSALA LÄN</t>
        </is>
      </c>
      <c r="E771" t="inlineStr">
        <is>
          <t>UPPSALA</t>
        </is>
      </c>
      <c r="F771" t="inlineStr">
        <is>
          <t>Kyrkan</t>
        </is>
      </c>
      <c r="G771" t="n">
        <v>2.3</v>
      </c>
      <c r="H771" t="n">
        <v>0</v>
      </c>
      <c r="I771" t="n">
        <v>0</v>
      </c>
      <c r="J771" t="n">
        <v>0</v>
      </c>
      <c r="K771" t="n">
        <v>0</v>
      </c>
      <c r="L771" t="n">
        <v>0</v>
      </c>
      <c r="M771" t="n">
        <v>0</v>
      </c>
      <c r="N771" t="n">
        <v>0</v>
      </c>
      <c r="O771" t="n">
        <v>0</v>
      </c>
      <c r="P771" t="n">
        <v>0</v>
      </c>
      <c r="Q771" t="n">
        <v>0</v>
      </c>
      <c r="R771" s="2" t="inlineStr"/>
    </row>
    <row r="772" ht="15" customHeight="1">
      <c r="A772" t="inlineStr">
        <is>
          <t>A 17595-2025</t>
        </is>
      </c>
      <c r="B772" s="1" t="n">
        <v>45757</v>
      </c>
      <c r="C772" s="1" t="n">
        <v>45910</v>
      </c>
      <c r="D772" t="inlineStr">
        <is>
          <t>UPPSALA LÄN</t>
        </is>
      </c>
      <c r="E772" t="inlineStr">
        <is>
          <t>UPPSALA</t>
        </is>
      </c>
      <c r="G772" t="n">
        <v>2.7</v>
      </c>
      <c r="H772" t="n">
        <v>0</v>
      </c>
      <c r="I772" t="n">
        <v>0</v>
      </c>
      <c r="J772" t="n">
        <v>0</v>
      </c>
      <c r="K772" t="n">
        <v>0</v>
      </c>
      <c r="L772" t="n">
        <v>0</v>
      </c>
      <c r="M772" t="n">
        <v>0</v>
      </c>
      <c r="N772" t="n">
        <v>0</v>
      </c>
      <c r="O772" t="n">
        <v>0</v>
      </c>
      <c r="P772" t="n">
        <v>0</v>
      </c>
      <c r="Q772" t="n">
        <v>0</v>
      </c>
      <c r="R772" s="2" t="inlineStr"/>
    </row>
    <row r="773" ht="15" customHeight="1">
      <c r="A773" t="inlineStr">
        <is>
          <t>A 43056-2025</t>
        </is>
      </c>
      <c r="B773" s="1" t="n">
        <v>45909.57565972222</v>
      </c>
      <c r="C773" s="1" t="n">
        <v>45910</v>
      </c>
      <c r="D773" t="inlineStr">
        <is>
          <t>UPPSALA LÄN</t>
        </is>
      </c>
      <c r="E773" t="inlineStr">
        <is>
          <t>UPPSALA</t>
        </is>
      </c>
      <c r="F773" t="inlineStr">
        <is>
          <t>Allmännings- och besparingsskogar</t>
        </is>
      </c>
      <c r="G773" t="n">
        <v>11.8</v>
      </c>
      <c r="H773" t="n">
        <v>0</v>
      </c>
      <c r="I773" t="n">
        <v>0</v>
      </c>
      <c r="J773" t="n">
        <v>0</v>
      </c>
      <c r="K773" t="n">
        <v>0</v>
      </c>
      <c r="L773" t="n">
        <v>0</v>
      </c>
      <c r="M773" t="n">
        <v>0</v>
      </c>
      <c r="N773" t="n">
        <v>0</v>
      </c>
      <c r="O773" t="n">
        <v>0</v>
      </c>
      <c r="P773" t="n">
        <v>0</v>
      </c>
      <c r="Q773" t="n">
        <v>0</v>
      </c>
      <c r="R773" s="2" t="inlineStr"/>
    </row>
    <row r="774" ht="15" customHeight="1">
      <c r="A774" t="inlineStr">
        <is>
          <t>A 7727-2024</t>
        </is>
      </c>
      <c r="B774" s="1" t="n">
        <v>45349</v>
      </c>
      <c r="C774" s="1" t="n">
        <v>45910</v>
      </c>
      <c r="D774" t="inlineStr">
        <is>
          <t>UPPSALA LÄN</t>
        </is>
      </c>
      <c r="E774" t="inlineStr">
        <is>
          <t>UPPSALA</t>
        </is>
      </c>
      <c r="G774" t="n">
        <v>0.7</v>
      </c>
      <c r="H774" t="n">
        <v>0</v>
      </c>
      <c r="I774" t="n">
        <v>0</v>
      </c>
      <c r="J774" t="n">
        <v>0</v>
      </c>
      <c r="K774" t="n">
        <v>0</v>
      </c>
      <c r="L774" t="n">
        <v>0</v>
      </c>
      <c r="M774" t="n">
        <v>0</v>
      </c>
      <c r="N774" t="n">
        <v>0</v>
      </c>
      <c r="O774" t="n">
        <v>0</v>
      </c>
      <c r="P774" t="n">
        <v>0</v>
      </c>
      <c r="Q774" t="n">
        <v>0</v>
      </c>
      <c r="R774" s="2" t="inlineStr"/>
    </row>
    <row r="775" ht="15" customHeight="1">
      <c r="A775" t="inlineStr">
        <is>
          <t>A 16288-2025</t>
        </is>
      </c>
      <c r="B775" s="1" t="n">
        <v>45751.32001157408</v>
      </c>
      <c r="C775" s="1" t="n">
        <v>45910</v>
      </c>
      <c r="D775" t="inlineStr">
        <is>
          <t>UPPSALA LÄN</t>
        </is>
      </c>
      <c r="E775" t="inlineStr">
        <is>
          <t>UPPSALA</t>
        </is>
      </c>
      <c r="G775" t="n">
        <v>3.9</v>
      </c>
      <c r="H775" t="n">
        <v>0</v>
      </c>
      <c r="I775" t="n">
        <v>0</v>
      </c>
      <c r="J775" t="n">
        <v>0</v>
      </c>
      <c r="K775" t="n">
        <v>0</v>
      </c>
      <c r="L775" t="n">
        <v>0</v>
      </c>
      <c r="M775" t="n">
        <v>0</v>
      </c>
      <c r="N775" t="n">
        <v>0</v>
      </c>
      <c r="O775" t="n">
        <v>0</v>
      </c>
      <c r="P775" t="n">
        <v>0</v>
      </c>
      <c r="Q775" t="n">
        <v>0</v>
      </c>
      <c r="R775" s="2" t="inlineStr"/>
    </row>
    <row r="776" ht="15" customHeight="1">
      <c r="A776" t="inlineStr">
        <is>
          <t>A 59585-2023</t>
        </is>
      </c>
      <c r="B776" s="1" t="n">
        <v>45254</v>
      </c>
      <c r="C776" s="1" t="n">
        <v>45910</v>
      </c>
      <c r="D776" t="inlineStr">
        <is>
          <t>UPPSALA LÄN</t>
        </is>
      </c>
      <c r="E776" t="inlineStr">
        <is>
          <t>UPPSALA</t>
        </is>
      </c>
      <c r="G776" t="n">
        <v>4.4</v>
      </c>
      <c r="H776" t="n">
        <v>0</v>
      </c>
      <c r="I776" t="n">
        <v>0</v>
      </c>
      <c r="J776" t="n">
        <v>0</v>
      </c>
      <c r="K776" t="n">
        <v>0</v>
      </c>
      <c r="L776" t="n">
        <v>0</v>
      </c>
      <c r="M776" t="n">
        <v>0</v>
      </c>
      <c r="N776" t="n">
        <v>0</v>
      </c>
      <c r="O776" t="n">
        <v>0</v>
      </c>
      <c r="P776" t="n">
        <v>0</v>
      </c>
      <c r="Q776" t="n">
        <v>0</v>
      </c>
      <c r="R776" s="2" t="inlineStr"/>
    </row>
    <row r="777" ht="15" customHeight="1">
      <c r="A777" t="inlineStr">
        <is>
          <t>A 6989-2022</t>
        </is>
      </c>
      <c r="B777" s="1" t="n">
        <v>44603</v>
      </c>
      <c r="C777" s="1" t="n">
        <v>45910</v>
      </c>
      <c r="D777" t="inlineStr">
        <is>
          <t>UPPSALA LÄN</t>
        </is>
      </c>
      <c r="E777" t="inlineStr">
        <is>
          <t>UPPSALA</t>
        </is>
      </c>
      <c r="G777" t="n">
        <v>3.1</v>
      </c>
      <c r="H777" t="n">
        <v>0</v>
      </c>
      <c r="I777" t="n">
        <v>0</v>
      </c>
      <c r="J777" t="n">
        <v>0</v>
      </c>
      <c r="K777" t="n">
        <v>0</v>
      </c>
      <c r="L777" t="n">
        <v>0</v>
      </c>
      <c r="M777" t="n">
        <v>0</v>
      </c>
      <c r="N777" t="n">
        <v>0</v>
      </c>
      <c r="O777" t="n">
        <v>0</v>
      </c>
      <c r="P777" t="n">
        <v>0</v>
      </c>
      <c r="Q777" t="n">
        <v>0</v>
      </c>
      <c r="R777" s="2" t="inlineStr"/>
    </row>
    <row r="778" ht="15" customHeight="1">
      <c r="A778" t="inlineStr">
        <is>
          <t>A 17658-2025</t>
        </is>
      </c>
      <c r="B778" s="1" t="n">
        <v>45758</v>
      </c>
      <c r="C778" s="1" t="n">
        <v>45910</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36253-2025</t>
        </is>
      </c>
      <c r="B779" s="1" t="n">
        <v>45867.58056712963</v>
      </c>
      <c r="C779" s="1" t="n">
        <v>45910</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32553-2024</t>
        </is>
      </c>
      <c r="B780" s="1" t="n">
        <v>45513.51815972223</v>
      </c>
      <c r="C780" s="1" t="n">
        <v>45910</v>
      </c>
      <c r="D780" t="inlineStr">
        <is>
          <t>UPPSALA LÄN</t>
        </is>
      </c>
      <c r="E780" t="inlineStr">
        <is>
          <t>UPPSALA</t>
        </is>
      </c>
      <c r="F780" t="inlineStr">
        <is>
          <t>Bergvik skog öst AB</t>
        </is>
      </c>
      <c r="G780" t="n">
        <v>4.1</v>
      </c>
      <c r="H780" t="n">
        <v>0</v>
      </c>
      <c r="I780" t="n">
        <v>0</v>
      </c>
      <c r="J780" t="n">
        <v>0</v>
      </c>
      <c r="K780" t="n">
        <v>0</v>
      </c>
      <c r="L780" t="n">
        <v>0</v>
      </c>
      <c r="M780" t="n">
        <v>0</v>
      </c>
      <c r="N780" t="n">
        <v>0</v>
      </c>
      <c r="O780" t="n">
        <v>0</v>
      </c>
      <c r="P780" t="n">
        <v>0</v>
      </c>
      <c r="Q780" t="n">
        <v>0</v>
      </c>
      <c r="R780" s="2" t="inlineStr"/>
    </row>
    <row r="781" ht="15" customHeight="1">
      <c r="A781" t="inlineStr">
        <is>
          <t>A 18781-2025</t>
        </is>
      </c>
      <c r="B781" s="1" t="n">
        <v>45763</v>
      </c>
      <c r="C781" s="1" t="n">
        <v>45910</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46807-2022</t>
        </is>
      </c>
      <c r="B782" s="1" t="n">
        <v>44848</v>
      </c>
      <c r="C782" s="1" t="n">
        <v>45910</v>
      </c>
      <c r="D782" t="inlineStr">
        <is>
          <t>UPPSALA LÄN</t>
        </is>
      </c>
      <c r="E782" t="inlineStr">
        <is>
          <t>UPPSALA</t>
        </is>
      </c>
      <c r="G782" t="n">
        <v>2</v>
      </c>
      <c r="H782" t="n">
        <v>0</v>
      </c>
      <c r="I782" t="n">
        <v>0</v>
      </c>
      <c r="J782" t="n">
        <v>0</v>
      </c>
      <c r="K782" t="n">
        <v>0</v>
      </c>
      <c r="L782" t="n">
        <v>0</v>
      </c>
      <c r="M782" t="n">
        <v>0</v>
      </c>
      <c r="N782" t="n">
        <v>0</v>
      </c>
      <c r="O782" t="n">
        <v>0</v>
      </c>
      <c r="P782" t="n">
        <v>0</v>
      </c>
      <c r="Q782" t="n">
        <v>0</v>
      </c>
      <c r="R782" s="2" t="inlineStr"/>
    </row>
    <row r="783" ht="15" customHeight="1">
      <c r="A783" t="inlineStr">
        <is>
          <t>A 44781-2021</t>
        </is>
      </c>
      <c r="B783" s="1" t="n">
        <v>44438</v>
      </c>
      <c r="C783" s="1" t="n">
        <v>45910</v>
      </c>
      <c r="D783" t="inlineStr">
        <is>
          <t>UPPSALA LÄN</t>
        </is>
      </c>
      <c r="E783" t="inlineStr">
        <is>
          <t>UPPSALA</t>
        </is>
      </c>
      <c r="F783" t="inlineStr">
        <is>
          <t>Sveaskog</t>
        </is>
      </c>
      <c r="G783" t="n">
        <v>0.1</v>
      </c>
      <c r="H783" t="n">
        <v>0</v>
      </c>
      <c r="I783" t="n">
        <v>0</v>
      </c>
      <c r="J783" t="n">
        <v>0</v>
      </c>
      <c r="K783" t="n">
        <v>0</v>
      </c>
      <c r="L783" t="n">
        <v>0</v>
      </c>
      <c r="M783" t="n">
        <v>0</v>
      </c>
      <c r="N783" t="n">
        <v>0</v>
      </c>
      <c r="O783" t="n">
        <v>0</v>
      </c>
      <c r="P783" t="n">
        <v>0</v>
      </c>
      <c r="Q783" t="n">
        <v>0</v>
      </c>
      <c r="R783" s="2" t="inlineStr"/>
    </row>
    <row r="784" ht="15" customHeight="1">
      <c r="A784" t="inlineStr">
        <is>
          <t>A 5605-2025</t>
        </is>
      </c>
      <c r="B784" s="1" t="n">
        <v>45693</v>
      </c>
      <c r="C784" s="1" t="n">
        <v>45910</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59547-2024</t>
        </is>
      </c>
      <c r="B785" s="1" t="n">
        <v>45638</v>
      </c>
      <c r="C785" s="1" t="n">
        <v>45910</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12507-2024</t>
        </is>
      </c>
      <c r="B786" s="1" t="n">
        <v>45379</v>
      </c>
      <c r="C786" s="1" t="n">
        <v>45910</v>
      </c>
      <c r="D786" t="inlineStr">
        <is>
          <t>UPPSALA LÄN</t>
        </is>
      </c>
      <c r="E786" t="inlineStr">
        <is>
          <t>UPPSALA</t>
        </is>
      </c>
      <c r="G786" t="n">
        <v>4.6</v>
      </c>
      <c r="H786" t="n">
        <v>0</v>
      </c>
      <c r="I786" t="n">
        <v>0</v>
      </c>
      <c r="J786" t="n">
        <v>0</v>
      </c>
      <c r="K786" t="n">
        <v>0</v>
      </c>
      <c r="L786" t="n">
        <v>0</v>
      </c>
      <c r="M786" t="n">
        <v>0</v>
      </c>
      <c r="N786" t="n">
        <v>0</v>
      </c>
      <c r="O786" t="n">
        <v>0</v>
      </c>
      <c r="P786" t="n">
        <v>0</v>
      </c>
      <c r="Q786" t="n">
        <v>0</v>
      </c>
      <c r="R786" s="2" t="inlineStr"/>
    </row>
    <row r="787" ht="15" customHeight="1">
      <c r="A787" t="inlineStr">
        <is>
          <t>A 4065-2024</t>
        </is>
      </c>
      <c r="B787" s="1" t="n">
        <v>45323.55914351852</v>
      </c>
      <c r="C787" s="1" t="n">
        <v>45910</v>
      </c>
      <c r="D787" t="inlineStr">
        <is>
          <t>UPPSALA LÄN</t>
        </is>
      </c>
      <c r="E787" t="inlineStr">
        <is>
          <t>UPPSALA</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31161-2023</t>
        </is>
      </c>
      <c r="B788" s="1" t="n">
        <v>45113.80170138889</v>
      </c>
      <c r="C788" s="1" t="n">
        <v>45910</v>
      </c>
      <c r="D788" t="inlineStr">
        <is>
          <t>UPPSALA LÄN</t>
        </is>
      </c>
      <c r="E788" t="inlineStr">
        <is>
          <t>UPPSALA</t>
        </is>
      </c>
      <c r="G788" t="n">
        <v>0.6</v>
      </c>
      <c r="H788" t="n">
        <v>0</v>
      </c>
      <c r="I788" t="n">
        <v>0</v>
      </c>
      <c r="J788" t="n">
        <v>0</v>
      </c>
      <c r="K788" t="n">
        <v>0</v>
      </c>
      <c r="L788" t="n">
        <v>0</v>
      </c>
      <c r="M788" t="n">
        <v>0</v>
      </c>
      <c r="N788" t="n">
        <v>0</v>
      </c>
      <c r="O788" t="n">
        <v>0</v>
      </c>
      <c r="P788" t="n">
        <v>0</v>
      </c>
      <c r="Q788" t="n">
        <v>0</v>
      </c>
      <c r="R788" s="2" t="inlineStr"/>
    </row>
    <row r="789" ht="15" customHeight="1">
      <c r="A789" t="inlineStr">
        <is>
          <t>A 6155-2023</t>
        </is>
      </c>
      <c r="B789" s="1" t="n">
        <v>44964.65261574074</v>
      </c>
      <c r="C789" s="1" t="n">
        <v>45910</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4059-2022</t>
        </is>
      </c>
      <c r="B790" s="1" t="n">
        <v>44588</v>
      </c>
      <c r="C790" s="1" t="n">
        <v>45910</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53346-2020</t>
        </is>
      </c>
      <c r="B791" s="1" t="n">
        <v>44123</v>
      </c>
      <c r="C791" s="1" t="n">
        <v>45910</v>
      </c>
      <c r="D791" t="inlineStr">
        <is>
          <t>UPPSALA LÄN</t>
        </is>
      </c>
      <c r="E791" t="inlineStr">
        <is>
          <t>UPPSALA</t>
        </is>
      </c>
      <c r="G791" t="n">
        <v>1.4</v>
      </c>
      <c r="H791" t="n">
        <v>0</v>
      </c>
      <c r="I791" t="n">
        <v>0</v>
      </c>
      <c r="J791" t="n">
        <v>0</v>
      </c>
      <c r="K791" t="n">
        <v>0</v>
      </c>
      <c r="L791" t="n">
        <v>0</v>
      </c>
      <c r="M791" t="n">
        <v>0</v>
      </c>
      <c r="N791" t="n">
        <v>0</v>
      </c>
      <c r="O791" t="n">
        <v>0</v>
      </c>
      <c r="P791" t="n">
        <v>0</v>
      </c>
      <c r="Q791" t="n">
        <v>0</v>
      </c>
      <c r="R791" s="2" t="inlineStr"/>
    </row>
    <row r="792" ht="15" customHeight="1">
      <c r="A792" t="inlineStr">
        <is>
          <t>A 1588-2025</t>
        </is>
      </c>
      <c r="B792" s="1" t="n">
        <v>45670</v>
      </c>
      <c r="C792" s="1" t="n">
        <v>45910</v>
      </c>
      <c r="D792" t="inlineStr">
        <is>
          <t>UPPSALA LÄN</t>
        </is>
      </c>
      <c r="E792" t="inlineStr">
        <is>
          <t>UPPSALA</t>
        </is>
      </c>
      <c r="F792" t="inlineStr">
        <is>
          <t>Bergvik skog väst AB</t>
        </is>
      </c>
      <c r="G792" t="n">
        <v>0.8</v>
      </c>
      <c r="H792" t="n">
        <v>0</v>
      </c>
      <c r="I792" t="n">
        <v>0</v>
      </c>
      <c r="J792" t="n">
        <v>0</v>
      </c>
      <c r="K792" t="n">
        <v>0</v>
      </c>
      <c r="L792" t="n">
        <v>0</v>
      </c>
      <c r="M792" t="n">
        <v>0</v>
      </c>
      <c r="N792" t="n">
        <v>0</v>
      </c>
      <c r="O792" t="n">
        <v>0</v>
      </c>
      <c r="P792" t="n">
        <v>0</v>
      </c>
      <c r="Q792" t="n">
        <v>0</v>
      </c>
      <c r="R792" s="2" t="inlineStr"/>
    </row>
    <row r="793" ht="15" customHeight="1">
      <c r="A793" t="inlineStr">
        <is>
          <t>A 54715-2022</t>
        </is>
      </c>
      <c r="B793" s="1" t="n">
        <v>44883</v>
      </c>
      <c r="C793" s="1" t="n">
        <v>45910</v>
      </c>
      <c r="D793" t="inlineStr">
        <is>
          <t>UPPSALA LÄN</t>
        </is>
      </c>
      <c r="E793" t="inlineStr">
        <is>
          <t>UPPSALA</t>
        </is>
      </c>
      <c r="F793" t="inlineStr">
        <is>
          <t>Övriga Aktiebolag</t>
        </is>
      </c>
      <c r="G793" t="n">
        <v>9.5</v>
      </c>
      <c r="H793" t="n">
        <v>0</v>
      </c>
      <c r="I793" t="n">
        <v>0</v>
      </c>
      <c r="J793" t="n">
        <v>0</v>
      </c>
      <c r="K793" t="n">
        <v>0</v>
      </c>
      <c r="L793" t="n">
        <v>0</v>
      </c>
      <c r="M793" t="n">
        <v>0</v>
      </c>
      <c r="N793" t="n">
        <v>0</v>
      </c>
      <c r="O793" t="n">
        <v>0</v>
      </c>
      <c r="P793" t="n">
        <v>0</v>
      </c>
      <c r="Q793" t="n">
        <v>0</v>
      </c>
      <c r="R793" s="2" t="inlineStr"/>
    </row>
    <row r="794" ht="15" customHeight="1">
      <c r="A794" t="inlineStr">
        <is>
          <t>A 6973-2025</t>
        </is>
      </c>
      <c r="B794" s="1" t="n">
        <v>45693</v>
      </c>
      <c r="C794" s="1" t="n">
        <v>45910</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74019-2021</t>
        </is>
      </c>
      <c r="B795" s="1" t="n">
        <v>44553</v>
      </c>
      <c r="C795" s="1" t="n">
        <v>45910</v>
      </c>
      <c r="D795" t="inlineStr">
        <is>
          <t>UPPSALA LÄN</t>
        </is>
      </c>
      <c r="E795" t="inlineStr">
        <is>
          <t>UPPSALA</t>
        </is>
      </c>
      <c r="G795" t="n">
        <v>3</v>
      </c>
      <c r="H795" t="n">
        <v>0</v>
      </c>
      <c r="I795" t="n">
        <v>0</v>
      </c>
      <c r="J795" t="n">
        <v>0</v>
      </c>
      <c r="K795" t="n">
        <v>0</v>
      </c>
      <c r="L795" t="n">
        <v>0</v>
      </c>
      <c r="M795" t="n">
        <v>0</v>
      </c>
      <c r="N795" t="n">
        <v>0</v>
      </c>
      <c r="O795" t="n">
        <v>0</v>
      </c>
      <c r="P795" t="n">
        <v>0</v>
      </c>
      <c r="Q795" t="n">
        <v>0</v>
      </c>
      <c r="R795" s="2" t="inlineStr"/>
    </row>
    <row r="796" ht="15" customHeight="1">
      <c r="A796" t="inlineStr">
        <is>
          <t>A 19613-2025</t>
        </is>
      </c>
      <c r="B796" s="1" t="n">
        <v>45770.61341435185</v>
      </c>
      <c r="C796" s="1" t="n">
        <v>45910</v>
      </c>
      <c r="D796" t="inlineStr">
        <is>
          <t>UPPSALA LÄN</t>
        </is>
      </c>
      <c r="E796" t="inlineStr">
        <is>
          <t>UPPSALA</t>
        </is>
      </c>
      <c r="F796" t="inlineStr">
        <is>
          <t>Övriga Aktiebolag</t>
        </is>
      </c>
      <c r="G796" t="n">
        <v>2.2</v>
      </c>
      <c r="H796" t="n">
        <v>0</v>
      </c>
      <c r="I796" t="n">
        <v>0</v>
      </c>
      <c r="J796" t="n">
        <v>0</v>
      </c>
      <c r="K796" t="n">
        <v>0</v>
      </c>
      <c r="L796" t="n">
        <v>0</v>
      </c>
      <c r="M796" t="n">
        <v>0</v>
      </c>
      <c r="N796" t="n">
        <v>0</v>
      </c>
      <c r="O796" t="n">
        <v>0</v>
      </c>
      <c r="P796" t="n">
        <v>0</v>
      </c>
      <c r="Q796" t="n">
        <v>0</v>
      </c>
      <c r="R796" s="2" t="inlineStr"/>
    </row>
    <row r="797" ht="15" customHeight="1">
      <c r="A797" t="inlineStr">
        <is>
          <t>A 7376-2025</t>
        </is>
      </c>
      <c r="B797" s="1" t="n">
        <v>45705.2953125</v>
      </c>
      <c r="C797" s="1" t="n">
        <v>45910</v>
      </c>
      <c r="D797" t="inlineStr">
        <is>
          <t>UPPSALA LÄN</t>
        </is>
      </c>
      <c r="E797" t="inlineStr">
        <is>
          <t>UPPSALA</t>
        </is>
      </c>
      <c r="F797" t="inlineStr">
        <is>
          <t>Bergvik skog väst AB</t>
        </is>
      </c>
      <c r="G797" t="n">
        <v>7.4</v>
      </c>
      <c r="H797" t="n">
        <v>0</v>
      </c>
      <c r="I797" t="n">
        <v>0</v>
      </c>
      <c r="J797" t="n">
        <v>0</v>
      </c>
      <c r="K797" t="n">
        <v>0</v>
      </c>
      <c r="L797" t="n">
        <v>0</v>
      </c>
      <c r="M797" t="n">
        <v>0</v>
      </c>
      <c r="N797" t="n">
        <v>0</v>
      </c>
      <c r="O797" t="n">
        <v>0</v>
      </c>
      <c r="P797" t="n">
        <v>0</v>
      </c>
      <c r="Q797" t="n">
        <v>0</v>
      </c>
      <c r="R797" s="2" t="inlineStr"/>
    </row>
    <row r="798" ht="15" customHeight="1">
      <c r="A798" t="inlineStr">
        <is>
          <t>A 8162-2025</t>
        </is>
      </c>
      <c r="B798" s="1" t="n">
        <v>45707</v>
      </c>
      <c r="C798" s="1" t="n">
        <v>45910</v>
      </c>
      <c r="D798" t="inlineStr">
        <is>
          <t>UPPSALA LÄN</t>
        </is>
      </c>
      <c r="E798" t="inlineStr">
        <is>
          <t>UPPSALA</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31157-2023</t>
        </is>
      </c>
      <c r="B799" s="1" t="n">
        <v>45113</v>
      </c>
      <c r="C799" s="1" t="n">
        <v>45910</v>
      </c>
      <c r="D799" t="inlineStr">
        <is>
          <t>UPPSALA LÄN</t>
        </is>
      </c>
      <c r="E799" t="inlineStr">
        <is>
          <t>UPPSALA</t>
        </is>
      </c>
      <c r="G799" t="n">
        <v>1.6</v>
      </c>
      <c r="H799" t="n">
        <v>0</v>
      </c>
      <c r="I799" t="n">
        <v>0</v>
      </c>
      <c r="J799" t="n">
        <v>0</v>
      </c>
      <c r="K799" t="n">
        <v>0</v>
      </c>
      <c r="L799" t="n">
        <v>0</v>
      </c>
      <c r="M799" t="n">
        <v>0</v>
      </c>
      <c r="N799" t="n">
        <v>0</v>
      </c>
      <c r="O799" t="n">
        <v>0</v>
      </c>
      <c r="P799" t="n">
        <v>0</v>
      </c>
      <c r="Q799" t="n">
        <v>0</v>
      </c>
      <c r="R799" s="2" t="inlineStr"/>
    </row>
    <row r="800" ht="15" customHeight="1">
      <c r="A800" t="inlineStr">
        <is>
          <t>A 33332-2022</t>
        </is>
      </c>
      <c r="B800" s="1" t="n">
        <v>44788</v>
      </c>
      <c r="C800" s="1" t="n">
        <v>45910</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27912-2023</t>
        </is>
      </c>
      <c r="B801" s="1" t="n">
        <v>45098.63572916666</v>
      </c>
      <c r="C801" s="1" t="n">
        <v>45910</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1592-2025</t>
        </is>
      </c>
      <c r="B802" s="1" t="n">
        <v>45670</v>
      </c>
      <c r="C802" s="1" t="n">
        <v>45910</v>
      </c>
      <c r="D802" t="inlineStr">
        <is>
          <t>UPPSALA LÄN</t>
        </is>
      </c>
      <c r="E802" t="inlineStr">
        <is>
          <t>UPPSALA</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9611-2024</t>
        </is>
      </c>
      <c r="B803" s="1" t="n">
        <v>45361.57299768519</v>
      </c>
      <c r="C803" s="1" t="n">
        <v>45910</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24091-2024</t>
        </is>
      </c>
      <c r="B804" s="1" t="n">
        <v>45456.58491898148</v>
      </c>
      <c r="C804" s="1" t="n">
        <v>45910</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27119-2023</t>
        </is>
      </c>
      <c r="B805" s="1" t="n">
        <v>45096</v>
      </c>
      <c r="C805" s="1" t="n">
        <v>45910</v>
      </c>
      <c r="D805" t="inlineStr">
        <is>
          <t>UPPSALA LÄN</t>
        </is>
      </c>
      <c r="E805" t="inlineStr">
        <is>
          <t>UPPSALA</t>
        </is>
      </c>
      <c r="G805" t="n">
        <v>3.1</v>
      </c>
      <c r="H805" t="n">
        <v>0</v>
      </c>
      <c r="I805" t="n">
        <v>0</v>
      </c>
      <c r="J805" t="n">
        <v>0</v>
      </c>
      <c r="K805" t="n">
        <v>0</v>
      </c>
      <c r="L805" t="n">
        <v>0</v>
      </c>
      <c r="M805" t="n">
        <v>0</v>
      </c>
      <c r="N805" t="n">
        <v>0</v>
      </c>
      <c r="O805" t="n">
        <v>0</v>
      </c>
      <c r="P805" t="n">
        <v>0</v>
      </c>
      <c r="Q805" t="n">
        <v>0</v>
      </c>
      <c r="R805" s="2" t="inlineStr"/>
    </row>
    <row r="806" ht="15" customHeight="1">
      <c r="A806" t="inlineStr">
        <is>
          <t>A 60781-2023</t>
        </is>
      </c>
      <c r="B806" s="1" t="n">
        <v>45259</v>
      </c>
      <c r="C806" s="1" t="n">
        <v>45910</v>
      </c>
      <c r="D806" t="inlineStr">
        <is>
          <t>UPPSALA LÄN</t>
        </is>
      </c>
      <c r="E806" t="inlineStr">
        <is>
          <t>UPPSALA</t>
        </is>
      </c>
      <c r="G806" t="n">
        <v>4.1</v>
      </c>
      <c r="H806" t="n">
        <v>0</v>
      </c>
      <c r="I806" t="n">
        <v>0</v>
      </c>
      <c r="J806" t="n">
        <v>0</v>
      </c>
      <c r="K806" t="n">
        <v>0</v>
      </c>
      <c r="L806" t="n">
        <v>0</v>
      </c>
      <c r="M806" t="n">
        <v>0</v>
      </c>
      <c r="N806" t="n">
        <v>0</v>
      </c>
      <c r="O806" t="n">
        <v>0</v>
      </c>
      <c r="P806" t="n">
        <v>0</v>
      </c>
      <c r="Q806" t="n">
        <v>0</v>
      </c>
      <c r="R806" s="2" t="inlineStr"/>
    </row>
    <row r="807" ht="15" customHeight="1">
      <c r="A807" t="inlineStr">
        <is>
          <t>A 24787-2024</t>
        </is>
      </c>
      <c r="B807" s="1" t="n">
        <v>45460</v>
      </c>
      <c r="C807" s="1" t="n">
        <v>45910</v>
      </c>
      <c r="D807" t="inlineStr">
        <is>
          <t>UPPSALA LÄN</t>
        </is>
      </c>
      <c r="E807" t="inlineStr">
        <is>
          <t>UPPSALA</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60167-2024</t>
        </is>
      </c>
      <c r="B808" s="1" t="n">
        <v>45642.63524305556</v>
      </c>
      <c r="C808" s="1" t="n">
        <v>45910</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18717-2025</t>
        </is>
      </c>
      <c r="B809" s="1" t="n">
        <v>45763.6503125</v>
      </c>
      <c r="C809" s="1" t="n">
        <v>45910</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35906-2023</t>
        </is>
      </c>
      <c r="B810" s="1" t="n">
        <v>45148</v>
      </c>
      <c r="C810" s="1" t="n">
        <v>45910</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9295-2023</t>
        </is>
      </c>
      <c r="B811" s="1" t="n">
        <v>44980</v>
      </c>
      <c r="C811" s="1" t="n">
        <v>45910</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29019-2023</t>
        </is>
      </c>
      <c r="B812" s="1" t="n">
        <v>45104.6828125</v>
      </c>
      <c r="C812" s="1" t="n">
        <v>45910</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28782-2024</t>
        </is>
      </c>
      <c r="B813" s="1" t="n">
        <v>45478.60802083334</v>
      </c>
      <c r="C813" s="1" t="n">
        <v>45910</v>
      </c>
      <c r="D813" t="inlineStr">
        <is>
          <t>UPPSALA LÄN</t>
        </is>
      </c>
      <c r="E813" t="inlineStr">
        <is>
          <t>UPPSALA</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45910</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1994-2024</t>
        </is>
      </c>
      <c r="B815" s="1" t="n">
        <v>45308.63298611111</v>
      </c>
      <c r="C815" s="1" t="n">
        <v>45910</v>
      </c>
      <c r="D815" t="inlineStr">
        <is>
          <t>UPPSALA LÄN</t>
        </is>
      </c>
      <c r="E815" t="inlineStr">
        <is>
          <t>UPPSALA</t>
        </is>
      </c>
      <c r="G815" t="n">
        <v>1.6</v>
      </c>
      <c r="H815" t="n">
        <v>0</v>
      </c>
      <c r="I815" t="n">
        <v>0</v>
      </c>
      <c r="J815" t="n">
        <v>0</v>
      </c>
      <c r="K815" t="n">
        <v>0</v>
      </c>
      <c r="L815" t="n">
        <v>0</v>
      </c>
      <c r="M815" t="n">
        <v>0</v>
      </c>
      <c r="N815" t="n">
        <v>0</v>
      </c>
      <c r="O815" t="n">
        <v>0</v>
      </c>
      <c r="P815" t="n">
        <v>0</v>
      </c>
      <c r="Q815" t="n">
        <v>0</v>
      </c>
      <c r="R815" s="2" t="inlineStr"/>
    </row>
    <row r="816" ht="15" customHeight="1">
      <c r="A816" t="inlineStr">
        <is>
          <t>A 27125-2023</t>
        </is>
      </c>
      <c r="B816" s="1" t="n">
        <v>45096</v>
      </c>
      <c r="C816" s="1" t="n">
        <v>45910</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9426-2023</t>
        </is>
      </c>
      <c r="B817" s="1" t="n">
        <v>44977</v>
      </c>
      <c r="C817" s="1" t="n">
        <v>45910</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53900-2023</t>
        </is>
      </c>
      <c r="B818" s="1" t="n">
        <v>45231.54601851852</v>
      </c>
      <c r="C818" s="1" t="n">
        <v>45910</v>
      </c>
      <c r="D818" t="inlineStr">
        <is>
          <t>UPPSALA LÄN</t>
        </is>
      </c>
      <c r="E818" t="inlineStr">
        <is>
          <t>UPPSALA</t>
        </is>
      </c>
      <c r="G818" t="n">
        <v>2.1</v>
      </c>
      <c r="H818" t="n">
        <v>0</v>
      </c>
      <c r="I818" t="n">
        <v>0</v>
      </c>
      <c r="J818" t="n">
        <v>0</v>
      </c>
      <c r="K818" t="n">
        <v>0</v>
      </c>
      <c r="L818" t="n">
        <v>0</v>
      </c>
      <c r="M818" t="n">
        <v>0</v>
      </c>
      <c r="N818" t="n">
        <v>0</v>
      </c>
      <c r="O818" t="n">
        <v>0</v>
      </c>
      <c r="P818" t="n">
        <v>0</v>
      </c>
      <c r="Q818" t="n">
        <v>0</v>
      </c>
      <c r="R818" s="2" t="inlineStr"/>
    </row>
    <row r="819" ht="15" customHeight="1">
      <c r="A819" t="inlineStr">
        <is>
          <t>A 29927-2023</t>
        </is>
      </c>
      <c r="B819" s="1" t="n">
        <v>45107</v>
      </c>
      <c r="C819" s="1" t="n">
        <v>45910</v>
      </c>
      <c r="D819" t="inlineStr">
        <is>
          <t>UPPSALA LÄN</t>
        </is>
      </c>
      <c r="E819" t="inlineStr">
        <is>
          <t>UPPSALA</t>
        </is>
      </c>
      <c r="G819" t="n">
        <v>1.2</v>
      </c>
      <c r="H819" t="n">
        <v>0</v>
      </c>
      <c r="I819" t="n">
        <v>0</v>
      </c>
      <c r="J819" t="n">
        <v>0</v>
      </c>
      <c r="K819" t="n">
        <v>0</v>
      </c>
      <c r="L819" t="n">
        <v>0</v>
      </c>
      <c r="M819" t="n">
        <v>0</v>
      </c>
      <c r="N819" t="n">
        <v>0</v>
      </c>
      <c r="O819" t="n">
        <v>0</v>
      </c>
      <c r="P819" t="n">
        <v>0</v>
      </c>
      <c r="Q819" t="n">
        <v>0</v>
      </c>
      <c r="R819" s="2" t="inlineStr"/>
    </row>
    <row r="820" ht="15" customHeight="1">
      <c r="A820" t="inlineStr">
        <is>
          <t>A 70228-2021</t>
        </is>
      </c>
      <c r="B820" s="1" t="n">
        <v>44535</v>
      </c>
      <c r="C820" s="1" t="n">
        <v>45910</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8132-2022</t>
        </is>
      </c>
      <c r="B821" s="1" t="n">
        <v>44609.60171296296</v>
      </c>
      <c r="C821" s="1" t="n">
        <v>45910</v>
      </c>
      <c r="D821" t="inlineStr">
        <is>
          <t>UPPSALA LÄN</t>
        </is>
      </c>
      <c r="E821" t="inlineStr">
        <is>
          <t>UPPSALA</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18054-2025</t>
        </is>
      </c>
      <c r="B822" s="1" t="n">
        <v>45761.47540509259</v>
      </c>
      <c r="C822" s="1" t="n">
        <v>45910</v>
      </c>
      <c r="D822" t="inlineStr">
        <is>
          <t>UPPSALA LÄN</t>
        </is>
      </c>
      <c r="E822" t="inlineStr">
        <is>
          <t>UPPSALA</t>
        </is>
      </c>
      <c r="G822" t="n">
        <v>1.9</v>
      </c>
      <c r="H822" t="n">
        <v>0</v>
      </c>
      <c r="I822" t="n">
        <v>0</v>
      </c>
      <c r="J822" t="n">
        <v>0</v>
      </c>
      <c r="K822" t="n">
        <v>0</v>
      </c>
      <c r="L822" t="n">
        <v>0</v>
      </c>
      <c r="M822" t="n">
        <v>0</v>
      </c>
      <c r="N822" t="n">
        <v>0</v>
      </c>
      <c r="O822" t="n">
        <v>0</v>
      </c>
      <c r="P822" t="n">
        <v>0</v>
      </c>
      <c r="Q822" t="n">
        <v>0</v>
      </c>
      <c r="R822" s="2" t="inlineStr"/>
    </row>
    <row r="823" ht="15" customHeight="1">
      <c r="A823" t="inlineStr">
        <is>
          <t>A 11224-2022</t>
        </is>
      </c>
      <c r="B823" s="1" t="n">
        <v>44629.57741898148</v>
      </c>
      <c r="C823" s="1" t="n">
        <v>45910</v>
      </c>
      <c r="D823" t="inlineStr">
        <is>
          <t>UPPSALA LÄN</t>
        </is>
      </c>
      <c r="E823" t="inlineStr">
        <is>
          <t>UPPSALA</t>
        </is>
      </c>
      <c r="F823" t="inlineStr">
        <is>
          <t>Bergvik skog öst AB</t>
        </is>
      </c>
      <c r="G823" t="n">
        <v>1.5</v>
      </c>
      <c r="H823" t="n">
        <v>0</v>
      </c>
      <c r="I823" t="n">
        <v>0</v>
      </c>
      <c r="J823" t="n">
        <v>0</v>
      </c>
      <c r="K823" t="n">
        <v>0</v>
      </c>
      <c r="L823" t="n">
        <v>0</v>
      </c>
      <c r="M823" t="n">
        <v>0</v>
      </c>
      <c r="N823" t="n">
        <v>0</v>
      </c>
      <c r="O823" t="n">
        <v>0</v>
      </c>
      <c r="P823" t="n">
        <v>0</v>
      </c>
      <c r="Q823" t="n">
        <v>0</v>
      </c>
      <c r="R823" s="2" t="inlineStr"/>
    </row>
    <row r="824" ht="15" customHeight="1">
      <c r="A824" t="inlineStr">
        <is>
          <t>A 18058-2025</t>
        </is>
      </c>
      <c r="B824" s="1" t="n">
        <v>45761.47748842592</v>
      </c>
      <c r="C824" s="1" t="n">
        <v>45910</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7899-2022</t>
        </is>
      </c>
      <c r="B825" s="1" t="n">
        <v>44608</v>
      </c>
      <c r="C825" s="1" t="n">
        <v>45910</v>
      </c>
      <c r="D825" t="inlineStr">
        <is>
          <t>UPPSALA LÄN</t>
        </is>
      </c>
      <c r="E825" t="inlineStr">
        <is>
          <t>UPPSALA</t>
        </is>
      </c>
      <c r="F825" t="inlineStr">
        <is>
          <t>Övriga Aktiebolag</t>
        </is>
      </c>
      <c r="G825" t="n">
        <v>7.1</v>
      </c>
      <c r="H825" t="n">
        <v>0</v>
      </c>
      <c r="I825" t="n">
        <v>0</v>
      </c>
      <c r="J825" t="n">
        <v>0</v>
      </c>
      <c r="K825" t="n">
        <v>0</v>
      </c>
      <c r="L825" t="n">
        <v>0</v>
      </c>
      <c r="M825" t="n">
        <v>0</v>
      </c>
      <c r="N825" t="n">
        <v>0</v>
      </c>
      <c r="O825" t="n">
        <v>0</v>
      </c>
      <c r="P825" t="n">
        <v>0</v>
      </c>
      <c r="Q825" t="n">
        <v>0</v>
      </c>
      <c r="R825" s="2" t="inlineStr"/>
    </row>
    <row r="826" ht="15" customHeight="1">
      <c r="A826" t="inlineStr">
        <is>
          <t>A 40872-2023</t>
        </is>
      </c>
      <c r="B826" s="1" t="n">
        <v>45173</v>
      </c>
      <c r="C826" s="1" t="n">
        <v>45910</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1573-2021</t>
        </is>
      </c>
      <c r="B827" s="1" t="n">
        <v>44209</v>
      </c>
      <c r="C827" s="1" t="n">
        <v>45910</v>
      </c>
      <c r="D827" t="inlineStr">
        <is>
          <t>UPPSALA LÄN</t>
        </is>
      </c>
      <c r="E827" t="inlineStr">
        <is>
          <t>UPPSALA</t>
        </is>
      </c>
      <c r="G827" t="n">
        <v>15</v>
      </c>
      <c r="H827" t="n">
        <v>0</v>
      </c>
      <c r="I827" t="n">
        <v>0</v>
      </c>
      <c r="J827" t="n">
        <v>0</v>
      </c>
      <c r="K827" t="n">
        <v>0</v>
      </c>
      <c r="L827" t="n">
        <v>0</v>
      </c>
      <c r="M827" t="n">
        <v>0</v>
      </c>
      <c r="N827" t="n">
        <v>0</v>
      </c>
      <c r="O827" t="n">
        <v>0</v>
      </c>
      <c r="P827" t="n">
        <v>0</v>
      </c>
      <c r="Q827" t="n">
        <v>0</v>
      </c>
      <c r="R827" s="2" t="inlineStr"/>
    </row>
    <row r="828" ht="15" customHeight="1">
      <c r="A828" t="inlineStr">
        <is>
          <t>A 8164-2025</t>
        </is>
      </c>
      <c r="B828" s="1" t="n">
        <v>45707</v>
      </c>
      <c r="C828" s="1" t="n">
        <v>45910</v>
      </c>
      <c r="D828" t="inlineStr">
        <is>
          <t>UPPSALA LÄN</t>
        </is>
      </c>
      <c r="E828" t="inlineStr">
        <is>
          <t>UPPSALA</t>
        </is>
      </c>
      <c r="F828" t="inlineStr">
        <is>
          <t>Övriga Aktiebolag</t>
        </is>
      </c>
      <c r="G828" t="n">
        <v>12.2</v>
      </c>
      <c r="H828" t="n">
        <v>0</v>
      </c>
      <c r="I828" t="n">
        <v>0</v>
      </c>
      <c r="J828" t="n">
        <v>0</v>
      </c>
      <c r="K828" t="n">
        <v>0</v>
      </c>
      <c r="L828" t="n">
        <v>0</v>
      </c>
      <c r="M828" t="n">
        <v>0</v>
      </c>
      <c r="N828" t="n">
        <v>0</v>
      </c>
      <c r="O828" t="n">
        <v>0</v>
      </c>
      <c r="P828" t="n">
        <v>0</v>
      </c>
      <c r="Q828" t="n">
        <v>0</v>
      </c>
      <c r="R828" s="2" t="inlineStr"/>
    </row>
    <row r="829" ht="15" customHeight="1">
      <c r="A829" t="inlineStr">
        <is>
          <t>A 6550-2025</t>
        </is>
      </c>
      <c r="B829" s="1" t="n">
        <v>45699.71063657408</v>
      </c>
      <c r="C829" s="1" t="n">
        <v>45910</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60729-2024</t>
        </is>
      </c>
      <c r="B830" s="1" t="n">
        <v>45644</v>
      </c>
      <c r="C830" s="1" t="n">
        <v>45910</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60925-2021</t>
        </is>
      </c>
      <c r="B831" s="1" t="n">
        <v>44497.4666087963</v>
      </c>
      <c r="C831" s="1" t="n">
        <v>45910</v>
      </c>
      <c r="D831" t="inlineStr">
        <is>
          <t>UPPSALA LÄN</t>
        </is>
      </c>
      <c r="E831" t="inlineStr">
        <is>
          <t>UPPSALA</t>
        </is>
      </c>
      <c r="G831" t="n">
        <v>3.7</v>
      </c>
      <c r="H831" t="n">
        <v>0</v>
      </c>
      <c r="I831" t="n">
        <v>0</v>
      </c>
      <c r="J831" t="n">
        <v>0</v>
      </c>
      <c r="K831" t="n">
        <v>0</v>
      </c>
      <c r="L831" t="n">
        <v>0</v>
      </c>
      <c r="M831" t="n">
        <v>0</v>
      </c>
      <c r="N831" t="n">
        <v>0</v>
      </c>
      <c r="O831" t="n">
        <v>0</v>
      </c>
      <c r="P831" t="n">
        <v>0</v>
      </c>
      <c r="Q831" t="n">
        <v>0</v>
      </c>
      <c r="R831" s="2" t="inlineStr"/>
    </row>
    <row r="832" ht="15" customHeight="1">
      <c r="A832" t="inlineStr">
        <is>
          <t>A 3086-2023</t>
        </is>
      </c>
      <c r="B832" s="1" t="n">
        <v>44946.43564814814</v>
      </c>
      <c r="C832" s="1" t="n">
        <v>45910</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6422-2023</t>
        </is>
      </c>
      <c r="B833" s="1" t="n">
        <v>44965</v>
      </c>
      <c r="C833" s="1" t="n">
        <v>45910</v>
      </c>
      <c r="D833" t="inlineStr">
        <is>
          <t>UPPSALA LÄN</t>
        </is>
      </c>
      <c r="E833" t="inlineStr">
        <is>
          <t>UPPSALA</t>
        </is>
      </c>
      <c r="G833" t="n">
        <v>3.1</v>
      </c>
      <c r="H833" t="n">
        <v>0</v>
      </c>
      <c r="I833" t="n">
        <v>0</v>
      </c>
      <c r="J833" t="n">
        <v>0</v>
      </c>
      <c r="K833" t="n">
        <v>0</v>
      </c>
      <c r="L833" t="n">
        <v>0</v>
      </c>
      <c r="M833" t="n">
        <v>0</v>
      </c>
      <c r="N833" t="n">
        <v>0</v>
      </c>
      <c r="O833" t="n">
        <v>0</v>
      </c>
      <c r="P833" t="n">
        <v>0</v>
      </c>
      <c r="Q833" t="n">
        <v>0</v>
      </c>
      <c r="R833" s="2" t="inlineStr"/>
    </row>
    <row r="834" ht="15" customHeight="1">
      <c r="A834" t="inlineStr">
        <is>
          <t>A 6423-2023</t>
        </is>
      </c>
      <c r="B834" s="1" t="n">
        <v>44965</v>
      </c>
      <c r="C834" s="1" t="n">
        <v>45910</v>
      </c>
      <c r="D834" t="inlineStr">
        <is>
          <t>UPPSALA LÄN</t>
        </is>
      </c>
      <c r="E834" t="inlineStr">
        <is>
          <t>UPPSALA</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45910</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17448-2022</t>
        </is>
      </c>
      <c r="B836" s="1" t="n">
        <v>44679</v>
      </c>
      <c r="C836" s="1" t="n">
        <v>45910</v>
      </c>
      <c r="D836" t="inlineStr">
        <is>
          <t>UPPSALA LÄN</t>
        </is>
      </c>
      <c r="E836" t="inlineStr">
        <is>
          <t>UPPSALA</t>
        </is>
      </c>
      <c r="G836" t="n">
        <v>2.7</v>
      </c>
      <c r="H836" t="n">
        <v>0</v>
      </c>
      <c r="I836" t="n">
        <v>0</v>
      </c>
      <c r="J836" t="n">
        <v>0</v>
      </c>
      <c r="K836" t="n">
        <v>0</v>
      </c>
      <c r="L836" t="n">
        <v>0</v>
      </c>
      <c r="M836" t="n">
        <v>0</v>
      </c>
      <c r="N836" t="n">
        <v>0</v>
      </c>
      <c r="O836" t="n">
        <v>0</v>
      </c>
      <c r="P836" t="n">
        <v>0</v>
      </c>
      <c r="Q836" t="n">
        <v>0</v>
      </c>
      <c r="R836" s="2" t="inlineStr"/>
    </row>
    <row r="837" ht="15" customHeight="1">
      <c r="A837" t="inlineStr">
        <is>
          <t>A 32428-2023</t>
        </is>
      </c>
      <c r="B837" s="1" t="n">
        <v>45110</v>
      </c>
      <c r="C837" s="1" t="n">
        <v>45910</v>
      </c>
      <c r="D837" t="inlineStr">
        <is>
          <t>UPPSALA LÄN</t>
        </is>
      </c>
      <c r="E837" t="inlineStr">
        <is>
          <t>UPPSALA</t>
        </is>
      </c>
      <c r="G837" t="n">
        <v>3.1</v>
      </c>
      <c r="H837" t="n">
        <v>0</v>
      </c>
      <c r="I837" t="n">
        <v>0</v>
      </c>
      <c r="J837" t="n">
        <v>0</v>
      </c>
      <c r="K837" t="n">
        <v>0</v>
      </c>
      <c r="L837" t="n">
        <v>0</v>
      </c>
      <c r="M837" t="n">
        <v>0</v>
      </c>
      <c r="N837" t="n">
        <v>0</v>
      </c>
      <c r="O837" t="n">
        <v>0</v>
      </c>
      <c r="P837" t="n">
        <v>0</v>
      </c>
      <c r="Q837" t="n">
        <v>0</v>
      </c>
      <c r="R837" s="2" t="inlineStr"/>
    </row>
    <row r="838" ht="15" customHeight="1">
      <c r="A838" t="inlineStr">
        <is>
          <t>A 5974-2024</t>
        </is>
      </c>
      <c r="B838" s="1" t="n">
        <v>45336.53908564815</v>
      </c>
      <c r="C838" s="1" t="n">
        <v>45910</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5975-2024</t>
        </is>
      </c>
      <c r="B839" s="1" t="n">
        <v>45336.54270833333</v>
      </c>
      <c r="C839" s="1" t="n">
        <v>45910</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49050-2024</t>
        </is>
      </c>
      <c r="B840" s="1" t="n">
        <v>45594</v>
      </c>
      <c r="C840" s="1" t="n">
        <v>45910</v>
      </c>
      <c r="D840" t="inlineStr">
        <is>
          <t>UPPSALA LÄN</t>
        </is>
      </c>
      <c r="E840" t="inlineStr">
        <is>
          <t>UPPSALA</t>
        </is>
      </c>
      <c r="F840" t="inlineStr">
        <is>
          <t>Övriga statliga verk och myndigheter</t>
        </is>
      </c>
      <c r="G840" t="n">
        <v>3.9</v>
      </c>
      <c r="H840" t="n">
        <v>0</v>
      </c>
      <c r="I840" t="n">
        <v>0</v>
      </c>
      <c r="J840" t="n">
        <v>0</v>
      </c>
      <c r="K840" t="n">
        <v>0</v>
      </c>
      <c r="L840" t="n">
        <v>0</v>
      </c>
      <c r="M840" t="n">
        <v>0</v>
      </c>
      <c r="N840" t="n">
        <v>0</v>
      </c>
      <c r="O840" t="n">
        <v>0</v>
      </c>
      <c r="P840" t="n">
        <v>0</v>
      </c>
      <c r="Q840" t="n">
        <v>0</v>
      </c>
      <c r="R840" s="2" t="inlineStr"/>
    </row>
    <row r="841" ht="15" customHeight="1">
      <c r="A841" t="inlineStr">
        <is>
          <t>A 3287-2025</t>
        </is>
      </c>
      <c r="B841" s="1" t="n">
        <v>45679</v>
      </c>
      <c r="C841" s="1" t="n">
        <v>45910</v>
      </c>
      <c r="D841" t="inlineStr">
        <is>
          <t>UPPSALA LÄN</t>
        </is>
      </c>
      <c r="E841" t="inlineStr">
        <is>
          <t>UPPSALA</t>
        </is>
      </c>
      <c r="F841" t="inlineStr">
        <is>
          <t>Kyrkan</t>
        </is>
      </c>
      <c r="G841" t="n">
        <v>6.7</v>
      </c>
      <c r="H841" t="n">
        <v>0</v>
      </c>
      <c r="I841" t="n">
        <v>0</v>
      </c>
      <c r="J841" t="n">
        <v>0</v>
      </c>
      <c r="K841" t="n">
        <v>0</v>
      </c>
      <c r="L841" t="n">
        <v>0</v>
      </c>
      <c r="M841" t="n">
        <v>0</v>
      </c>
      <c r="N841" t="n">
        <v>0</v>
      </c>
      <c r="O841" t="n">
        <v>0</v>
      </c>
      <c r="P841" t="n">
        <v>0</v>
      </c>
      <c r="Q841" t="n">
        <v>0</v>
      </c>
      <c r="R841" s="2" t="inlineStr"/>
    </row>
    <row r="842" ht="15" customHeight="1">
      <c r="A842" t="inlineStr">
        <is>
          <t>A 4875-2021</t>
        </is>
      </c>
      <c r="B842" s="1" t="n">
        <v>44223</v>
      </c>
      <c r="C842" s="1" t="n">
        <v>45910</v>
      </c>
      <c r="D842" t="inlineStr">
        <is>
          <t>UPPSALA LÄN</t>
        </is>
      </c>
      <c r="E842" t="inlineStr">
        <is>
          <t>UPPSALA</t>
        </is>
      </c>
      <c r="G842" t="n">
        <v>0.4</v>
      </c>
      <c r="H842" t="n">
        <v>0</v>
      </c>
      <c r="I842" t="n">
        <v>0</v>
      </c>
      <c r="J842" t="n">
        <v>0</v>
      </c>
      <c r="K842" t="n">
        <v>0</v>
      </c>
      <c r="L842" t="n">
        <v>0</v>
      </c>
      <c r="M842" t="n">
        <v>0</v>
      </c>
      <c r="N842" t="n">
        <v>0</v>
      </c>
      <c r="O842" t="n">
        <v>0</v>
      </c>
      <c r="P842" t="n">
        <v>0</v>
      </c>
      <c r="Q842" t="n">
        <v>0</v>
      </c>
      <c r="R842" s="2" t="inlineStr"/>
    </row>
    <row r="843" ht="15" customHeight="1">
      <c r="A843" t="inlineStr">
        <is>
          <t>A 60954-2024</t>
        </is>
      </c>
      <c r="B843" s="1" t="n">
        <v>45645</v>
      </c>
      <c r="C843" s="1" t="n">
        <v>45910</v>
      </c>
      <c r="D843" t="inlineStr">
        <is>
          <t>UPPSALA LÄN</t>
        </is>
      </c>
      <c r="E843" t="inlineStr">
        <is>
          <t>UPPSALA</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10383-2022</t>
        </is>
      </c>
      <c r="B844" s="1" t="n">
        <v>44623.41775462963</v>
      </c>
      <c r="C844" s="1" t="n">
        <v>45910</v>
      </c>
      <c r="D844" t="inlineStr">
        <is>
          <t>UPPSALA LÄN</t>
        </is>
      </c>
      <c r="E844" t="inlineStr">
        <is>
          <t>UPPSALA</t>
        </is>
      </c>
      <c r="F844" t="inlineStr">
        <is>
          <t>Övriga Aktiebolag</t>
        </is>
      </c>
      <c r="G844" t="n">
        <v>2.8</v>
      </c>
      <c r="H844" t="n">
        <v>0</v>
      </c>
      <c r="I844" t="n">
        <v>0</v>
      </c>
      <c r="J844" t="n">
        <v>0</v>
      </c>
      <c r="K844" t="n">
        <v>0</v>
      </c>
      <c r="L844" t="n">
        <v>0</v>
      </c>
      <c r="M844" t="n">
        <v>0</v>
      </c>
      <c r="N844" t="n">
        <v>0</v>
      </c>
      <c r="O844" t="n">
        <v>0</v>
      </c>
      <c r="P844" t="n">
        <v>0</v>
      </c>
      <c r="Q844" t="n">
        <v>0</v>
      </c>
      <c r="R844" s="2" t="inlineStr"/>
    </row>
    <row r="845" ht="15" customHeight="1">
      <c r="A845" t="inlineStr">
        <is>
          <t>A 8933-2022</t>
        </is>
      </c>
      <c r="B845" s="1" t="n">
        <v>44614.69730324074</v>
      </c>
      <c r="C845" s="1" t="n">
        <v>45910</v>
      </c>
      <c r="D845" t="inlineStr">
        <is>
          <t>UPPSALA LÄN</t>
        </is>
      </c>
      <c r="E845" t="inlineStr">
        <is>
          <t>UPPSALA</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60714-2023</t>
        </is>
      </c>
      <c r="B846" s="1" t="n">
        <v>45259</v>
      </c>
      <c r="C846" s="1" t="n">
        <v>45910</v>
      </c>
      <c r="D846" t="inlineStr">
        <is>
          <t>UPPSALA LÄN</t>
        </is>
      </c>
      <c r="E846" t="inlineStr">
        <is>
          <t>UPPSALA</t>
        </is>
      </c>
      <c r="G846" t="n">
        <v>3.3</v>
      </c>
      <c r="H846" t="n">
        <v>0</v>
      </c>
      <c r="I846" t="n">
        <v>0</v>
      </c>
      <c r="J846" t="n">
        <v>0</v>
      </c>
      <c r="K846" t="n">
        <v>0</v>
      </c>
      <c r="L846" t="n">
        <v>0</v>
      </c>
      <c r="M846" t="n">
        <v>0</v>
      </c>
      <c r="N846" t="n">
        <v>0</v>
      </c>
      <c r="O846" t="n">
        <v>0</v>
      </c>
      <c r="P846" t="n">
        <v>0</v>
      </c>
      <c r="Q846" t="n">
        <v>0</v>
      </c>
      <c r="R846" s="2" t="inlineStr"/>
    </row>
    <row r="847" ht="15" customHeight="1">
      <c r="A847" t="inlineStr">
        <is>
          <t>A 60691-2024</t>
        </is>
      </c>
      <c r="B847" s="1" t="n">
        <v>45644.47723379629</v>
      </c>
      <c r="C847" s="1" t="n">
        <v>45910</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23157-2023</t>
        </is>
      </c>
      <c r="B848" s="1" t="n">
        <v>45075.51982638889</v>
      </c>
      <c r="C848" s="1" t="n">
        <v>45910</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48153-2024</t>
        </is>
      </c>
      <c r="B849" s="1" t="n">
        <v>45589</v>
      </c>
      <c r="C849" s="1" t="n">
        <v>45910</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48154-2024</t>
        </is>
      </c>
      <c r="B850" s="1" t="n">
        <v>45589</v>
      </c>
      <c r="C850" s="1" t="n">
        <v>45910</v>
      </c>
      <c r="D850" t="inlineStr">
        <is>
          <t>UPPSALA LÄN</t>
        </is>
      </c>
      <c r="E850" t="inlineStr">
        <is>
          <t>UPPSALA</t>
        </is>
      </c>
      <c r="G850" t="n">
        <v>5.1</v>
      </c>
      <c r="H850" t="n">
        <v>0</v>
      </c>
      <c r="I850" t="n">
        <v>0</v>
      </c>
      <c r="J850" t="n">
        <v>0</v>
      </c>
      <c r="K850" t="n">
        <v>0</v>
      </c>
      <c r="L850" t="n">
        <v>0</v>
      </c>
      <c r="M850" t="n">
        <v>0</v>
      </c>
      <c r="N850" t="n">
        <v>0</v>
      </c>
      <c r="O850" t="n">
        <v>0</v>
      </c>
      <c r="P850" t="n">
        <v>0</v>
      </c>
      <c r="Q850" t="n">
        <v>0</v>
      </c>
      <c r="R850" s="2" t="inlineStr"/>
    </row>
    <row r="851" ht="15" customHeight="1">
      <c r="A851" t="inlineStr">
        <is>
          <t>A 6060-2025</t>
        </is>
      </c>
      <c r="B851" s="1" t="n">
        <v>45695.84078703704</v>
      </c>
      <c r="C851" s="1" t="n">
        <v>45910</v>
      </c>
      <c r="D851" t="inlineStr">
        <is>
          <t>UPPSALA LÄN</t>
        </is>
      </c>
      <c r="E851" t="inlineStr">
        <is>
          <t>UPPSALA</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53589-2024</t>
        </is>
      </c>
      <c r="B852" s="1" t="n">
        <v>45614.67020833334</v>
      </c>
      <c r="C852" s="1" t="n">
        <v>45910</v>
      </c>
      <c r="D852" t="inlineStr">
        <is>
          <t>UPPSALA LÄN</t>
        </is>
      </c>
      <c r="E852" t="inlineStr">
        <is>
          <t>UPPSALA</t>
        </is>
      </c>
      <c r="G852" t="n">
        <v>4</v>
      </c>
      <c r="H852" t="n">
        <v>0</v>
      </c>
      <c r="I852" t="n">
        <v>0</v>
      </c>
      <c r="J852" t="n">
        <v>0</v>
      </c>
      <c r="K852" t="n">
        <v>0</v>
      </c>
      <c r="L852" t="n">
        <v>0</v>
      </c>
      <c r="M852" t="n">
        <v>0</v>
      </c>
      <c r="N852" t="n">
        <v>0</v>
      </c>
      <c r="O852" t="n">
        <v>0</v>
      </c>
      <c r="P852" t="n">
        <v>0</v>
      </c>
      <c r="Q852" t="n">
        <v>0</v>
      </c>
      <c r="R852" s="2" t="inlineStr"/>
    </row>
    <row r="853" ht="15" customHeight="1">
      <c r="A853" t="inlineStr">
        <is>
          <t>A 35914-2023</t>
        </is>
      </c>
      <c r="B853" s="1" t="n">
        <v>45148</v>
      </c>
      <c r="C853" s="1" t="n">
        <v>45910</v>
      </c>
      <c r="D853" t="inlineStr">
        <is>
          <t>UPPSALA LÄN</t>
        </is>
      </c>
      <c r="E853" t="inlineStr">
        <is>
          <t>UPPSALA</t>
        </is>
      </c>
      <c r="G853" t="n">
        <v>1.7</v>
      </c>
      <c r="H853" t="n">
        <v>0</v>
      </c>
      <c r="I853" t="n">
        <v>0</v>
      </c>
      <c r="J853" t="n">
        <v>0</v>
      </c>
      <c r="K853" t="n">
        <v>0</v>
      </c>
      <c r="L853" t="n">
        <v>0</v>
      </c>
      <c r="M853" t="n">
        <v>0</v>
      </c>
      <c r="N853" t="n">
        <v>0</v>
      </c>
      <c r="O853" t="n">
        <v>0</v>
      </c>
      <c r="P853" t="n">
        <v>0</v>
      </c>
      <c r="Q853" t="n">
        <v>0</v>
      </c>
      <c r="R853" s="2" t="inlineStr"/>
    </row>
    <row r="854" ht="15" customHeight="1">
      <c r="A854" t="inlineStr">
        <is>
          <t>A 35916-2023</t>
        </is>
      </c>
      <c r="B854" s="1" t="n">
        <v>45148</v>
      </c>
      <c r="C854" s="1" t="n">
        <v>45910</v>
      </c>
      <c r="D854" t="inlineStr">
        <is>
          <t>UPPSALA LÄN</t>
        </is>
      </c>
      <c r="E854" t="inlineStr">
        <is>
          <t>UPPSALA</t>
        </is>
      </c>
      <c r="G854" t="n">
        <v>3.1</v>
      </c>
      <c r="H854" t="n">
        <v>0</v>
      </c>
      <c r="I854" t="n">
        <v>0</v>
      </c>
      <c r="J854" t="n">
        <v>0</v>
      </c>
      <c r="K854" t="n">
        <v>0</v>
      </c>
      <c r="L854" t="n">
        <v>0</v>
      </c>
      <c r="M854" t="n">
        <v>0</v>
      </c>
      <c r="N854" t="n">
        <v>0</v>
      </c>
      <c r="O854" t="n">
        <v>0</v>
      </c>
      <c r="P854" t="n">
        <v>0</v>
      </c>
      <c r="Q854" t="n">
        <v>0</v>
      </c>
      <c r="R854" s="2" t="inlineStr"/>
    </row>
    <row r="855" ht="15" customHeight="1">
      <c r="A855" t="inlineStr">
        <is>
          <t>A 43029-2023</t>
        </is>
      </c>
      <c r="B855" s="1" t="n">
        <v>45182</v>
      </c>
      <c r="C855" s="1" t="n">
        <v>45910</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6006-2025</t>
        </is>
      </c>
      <c r="B856" s="1" t="n">
        <v>45695.59197916667</v>
      </c>
      <c r="C856" s="1" t="n">
        <v>45910</v>
      </c>
      <c r="D856" t="inlineStr">
        <is>
          <t>UPPSALA LÄN</t>
        </is>
      </c>
      <c r="E856" t="inlineStr">
        <is>
          <t>UPPSALA</t>
        </is>
      </c>
      <c r="F856" t="inlineStr">
        <is>
          <t>Övriga Aktiebolag</t>
        </is>
      </c>
      <c r="G856" t="n">
        <v>13.8</v>
      </c>
      <c r="H856" t="n">
        <v>0</v>
      </c>
      <c r="I856" t="n">
        <v>0</v>
      </c>
      <c r="J856" t="n">
        <v>0</v>
      </c>
      <c r="K856" t="n">
        <v>0</v>
      </c>
      <c r="L856" t="n">
        <v>0</v>
      </c>
      <c r="M856" t="n">
        <v>0</v>
      </c>
      <c r="N856" t="n">
        <v>0</v>
      </c>
      <c r="O856" t="n">
        <v>0</v>
      </c>
      <c r="P856" t="n">
        <v>0</v>
      </c>
      <c r="Q856" t="n">
        <v>0</v>
      </c>
      <c r="R856" s="2" t="inlineStr"/>
    </row>
    <row r="857" ht="15" customHeight="1">
      <c r="A857" t="inlineStr">
        <is>
          <t>A 28825-2024</t>
        </is>
      </c>
      <c r="B857" s="1" t="n">
        <v>45478</v>
      </c>
      <c r="C857" s="1" t="n">
        <v>45910</v>
      </c>
      <c r="D857" t="inlineStr">
        <is>
          <t>UPPSALA LÄN</t>
        </is>
      </c>
      <c r="E857" t="inlineStr">
        <is>
          <t>UPPSALA</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45592-2023</t>
        </is>
      </c>
      <c r="B858" s="1" t="n">
        <v>45194.63479166666</v>
      </c>
      <c r="C858" s="1" t="n">
        <v>45910</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61947-2023</t>
        </is>
      </c>
      <c r="B859" s="1" t="n">
        <v>45266</v>
      </c>
      <c r="C859" s="1" t="n">
        <v>45910</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61574-2024</t>
        </is>
      </c>
      <c r="B860" s="1" t="n">
        <v>45646.61892361111</v>
      </c>
      <c r="C860" s="1" t="n">
        <v>45910</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45575-2023</t>
        </is>
      </c>
      <c r="B861" s="1" t="n">
        <v>45194.60876157408</v>
      </c>
      <c r="C861" s="1" t="n">
        <v>45910</v>
      </c>
      <c r="D861" t="inlineStr">
        <is>
          <t>UPPSALA LÄN</t>
        </is>
      </c>
      <c r="E861" t="inlineStr">
        <is>
          <t>UPPSALA</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50037-2024</t>
        </is>
      </c>
      <c r="B862" s="1" t="n">
        <v>45599</v>
      </c>
      <c r="C862" s="1" t="n">
        <v>45910</v>
      </c>
      <c r="D862" t="inlineStr">
        <is>
          <t>UPPSALA LÄN</t>
        </is>
      </c>
      <c r="E862" t="inlineStr">
        <is>
          <t>UPPSALA</t>
        </is>
      </c>
      <c r="G862" t="n">
        <v>13.7</v>
      </c>
      <c r="H862" t="n">
        <v>0</v>
      </c>
      <c r="I862" t="n">
        <v>0</v>
      </c>
      <c r="J862" t="n">
        <v>0</v>
      </c>
      <c r="K862" t="n">
        <v>0</v>
      </c>
      <c r="L862" t="n">
        <v>0</v>
      </c>
      <c r="M862" t="n">
        <v>0</v>
      </c>
      <c r="N862" t="n">
        <v>0</v>
      </c>
      <c r="O862" t="n">
        <v>0</v>
      </c>
      <c r="P862" t="n">
        <v>0</v>
      </c>
      <c r="Q862" t="n">
        <v>0</v>
      </c>
      <c r="R862" s="2" t="inlineStr"/>
    </row>
    <row r="863" ht="15" customHeight="1">
      <c r="A863" t="inlineStr">
        <is>
          <t>A 4993-2025</t>
        </is>
      </c>
      <c r="B863" s="1" t="n">
        <v>45691</v>
      </c>
      <c r="C863" s="1" t="n">
        <v>45910</v>
      </c>
      <c r="D863" t="inlineStr">
        <is>
          <t>UPPSALA LÄN</t>
        </is>
      </c>
      <c r="E863" t="inlineStr">
        <is>
          <t>UPPSALA</t>
        </is>
      </c>
      <c r="F863" t="inlineStr">
        <is>
          <t>Kyrkan</t>
        </is>
      </c>
      <c r="G863" t="n">
        <v>6.7</v>
      </c>
      <c r="H863" t="n">
        <v>0</v>
      </c>
      <c r="I863" t="n">
        <v>0</v>
      </c>
      <c r="J863" t="n">
        <v>0</v>
      </c>
      <c r="K863" t="n">
        <v>0</v>
      </c>
      <c r="L863" t="n">
        <v>0</v>
      </c>
      <c r="M863" t="n">
        <v>0</v>
      </c>
      <c r="N863" t="n">
        <v>0</v>
      </c>
      <c r="O863" t="n">
        <v>0</v>
      </c>
      <c r="P863" t="n">
        <v>0</v>
      </c>
      <c r="Q863" t="n">
        <v>0</v>
      </c>
      <c r="R863" s="2" t="inlineStr"/>
    </row>
    <row r="864" ht="15" customHeight="1">
      <c r="A864" t="inlineStr">
        <is>
          <t>A 25462-2023</t>
        </is>
      </c>
      <c r="B864" s="1" t="n">
        <v>45089</v>
      </c>
      <c r="C864" s="1" t="n">
        <v>45910</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14337-2022</t>
        </is>
      </c>
      <c r="B865" s="1" t="n">
        <v>44652</v>
      </c>
      <c r="C865" s="1" t="n">
        <v>45910</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50535-2024</t>
        </is>
      </c>
      <c r="B866" s="1" t="n">
        <v>45600</v>
      </c>
      <c r="C866" s="1" t="n">
        <v>45910</v>
      </c>
      <c r="D866" t="inlineStr">
        <is>
          <t>UPPSALA LÄN</t>
        </is>
      </c>
      <c r="E866" t="inlineStr">
        <is>
          <t>UPPSALA</t>
        </is>
      </c>
      <c r="F866" t="inlineStr">
        <is>
          <t>Övriga statliga verk och myndigheter</t>
        </is>
      </c>
      <c r="G866" t="n">
        <v>3.2</v>
      </c>
      <c r="H866" t="n">
        <v>0</v>
      </c>
      <c r="I866" t="n">
        <v>0</v>
      </c>
      <c r="J866" t="n">
        <v>0</v>
      </c>
      <c r="K866" t="n">
        <v>0</v>
      </c>
      <c r="L866" t="n">
        <v>0</v>
      </c>
      <c r="M866" t="n">
        <v>0</v>
      </c>
      <c r="N866" t="n">
        <v>0</v>
      </c>
      <c r="O866" t="n">
        <v>0</v>
      </c>
      <c r="P866" t="n">
        <v>0</v>
      </c>
      <c r="Q866" t="n">
        <v>0</v>
      </c>
      <c r="R866" s="2" t="inlineStr"/>
    </row>
    <row r="867" ht="15" customHeight="1">
      <c r="A867" t="inlineStr">
        <is>
          <t>A 46745-2024</t>
        </is>
      </c>
      <c r="B867" s="1" t="n">
        <v>45583</v>
      </c>
      <c r="C867" s="1" t="n">
        <v>45910</v>
      </c>
      <c r="D867" t="inlineStr">
        <is>
          <t>UPPSALA LÄN</t>
        </is>
      </c>
      <c r="E867" t="inlineStr">
        <is>
          <t>UPPSALA</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46748-2024</t>
        </is>
      </c>
      <c r="B868" s="1" t="n">
        <v>45583</v>
      </c>
      <c r="C868" s="1" t="n">
        <v>45910</v>
      </c>
      <c r="D868" t="inlineStr">
        <is>
          <t>UPPSALA LÄN</t>
        </is>
      </c>
      <c r="E868" t="inlineStr">
        <is>
          <t>UPPSALA</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16126-2022</t>
        </is>
      </c>
      <c r="B869" s="1" t="n">
        <v>44665</v>
      </c>
      <c r="C869" s="1" t="n">
        <v>45910</v>
      </c>
      <c r="D869" t="inlineStr">
        <is>
          <t>UPPSALA LÄN</t>
        </is>
      </c>
      <c r="E869" t="inlineStr">
        <is>
          <t>UPPSALA</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7388-2024</t>
        </is>
      </c>
      <c r="B870" s="1" t="n">
        <v>45345.56</v>
      </c>
      <c r="C870" s="1" t="n">
        <v>45910</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6541-2025</t>
        </is>
      </c>
      <c r="B871" s="1" t="n">
        <v>45699</v>
      </c>
      <c r="C871" s="1" t="n">
        <v>45910</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14400-2025</t>
        </is>
      </c>
      <c r="B872" s="1" t="n">
        <v>45741.45114583334</v>
      </c>
      <c r="C872" s="1" t="n">
        <v>45910</v>
      </c>
      <c r="D872" t="inlineStr">
        <is>
          <t>UPPSALA LÄN</t>
        </is>
      </c>
      <c r="E872" t="inlineStr">
        <is>
          <t>UPPSALA</t>
        </is>
      </c>
      <c r="G872" t="n">
        <v>6.6</v>
      </c>
      <c r="H872" t="n">
        <v>0</v>
      </c>
      <c r="I872" t="n">
        <v>0</v>
      </c>
      <c r="J872" t="n">
        <v>0</v>
      </c>
      <c r="K872" t="n">
        <v>0</v>
      </c>
      <c r="L872" t="n">
        <v>0</v>
      </c>
      <c r="M872" t="n">
        <v>0</v>
      </c>
      <c r="N872" t="n">
        <v>0</v>
      </c>
      <c r="O872" t="n">
        <v>0</v>
      </c>
      <c r="P872" t="n">
        <v>0</v>
      </c>
      <c r="Q872" t="n">
        <v>0</v>
      </c>
      <c r="R872" s="2" t="inlineStr"/>
    </row>
    <row r="873" ht="15" customHeight="1">
      <c r="A873" t="inlineStr">
        <is>
          <t>A 36781-2023</t>
        </is>
      </c>
      <c r="B873" s="1" t="n">
        <v>45154.34931712963</v>
      </c>
      <c r="C873" s="1" t="n">
        <v>45910</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33562-2023</t>
        </is>
      </c>
      <c r="B874" s="1" t="n">
        <v>45131</v>
      </c>
      <c r="C874" s="1" t="n">
        <v>45910</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5725-2025</t>
        </is>
      </c>
      <c r="B875" s="1" t="n">
        <v>45694</v>
      </c>
      <c r="C875" s="1" t="n">
        <v>45910</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10565-2022</t>
        </is>
      </c>
      <c r="B876" s="1" t="n">
        <v>44624.35083333333</v>
      </c>
      <c r="C876" s="1" t="n">
        <v>45910</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4240-2025</t>
        </is>
      </c>
      <c r="B877" s="1" t="n">
        <v>45685.5778125</v>
      </c>
      <c r="C877" s="1" t="n">
        <v>45910</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21859-2024</t>
        </is>
      </c>
      <c r="B878" s="1" t="n">
        <v>45443</v>
      </c>
      <c r="C878" s="1" t="n">
        <v>45910</v>
      </c>
      <c r="D878" t="inlineStr">
        <is>
          <t>UPPSALA LÄN</t>
        </is>
      </c>
      <c r="E878" t="inlineStr">
        <is>
          <t>UPPSALA</t>
        </is>
      </c>
      <c r="F878" t="inlineStr">
        <is>
          <t>Kyrkan</t>
        </is>
      </c>
      <c r="G878" t="n">
        <v>1.4</v>
      </c>
      <c r="H878" t="n">
        <v>0</v>
      </c>
      <c r="I878" t="n">
        <v>0</v>
      </c>
      <c r="J878" t="n">
        <v>0</v>
      </c>
      <c r="K878" t="n">
        <v>0</v>
      </c>
      <c r="L878" t="n">
        <v>0</v>
      </c>
      <c r="M878" t="n">
        <v>0</v>
      </c>
      <c r="N878" t="n">
        <v>0</v>
      </c>
      <c r="O878" t="n">
        <v>0</v>
      </c>
      <c r="P878" t="n">
        <v>0</v>
      </c>
      <c r="Q878" t="n">
        <v>0</v>
      </c>
      <c r="R878" s="2" t="inlineStr"/>
    </row>
    <row r="879" ht="15" customHeight="1">
      <c r="A879" t="inlineStr">
        <is>
          <t>A 6009-2022</t>
        </is>
      </c>
      <c r="B879" s="1" t="n">
        <v>44599.44832175926</v>
      </c>
      <c r="C879" s="1" t="n">
        <v>45910</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2357-2024</t>
        </is>
      </c>
      <c r="B880" s="1" t="n">
        <v>45310</v>
      </c>
      <c r="C880" s="1" t="n">
        <v>45910</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4503-2024</t>
        </is>
      </c>
      <c r="B881" s="1" t="n">
        <v>45327.61831018519</v>
      </c>
      <c r="C881" s="1" t="n">
        <v>45910</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44315-2021</t>
        </is>
      </c>
      <c r="B882" s="1" t="n">
        <v>44435.38657407407</v>
      </c>
      <c r="C882" s="1" t="n">
        <v>45910</v>
      </c>
      <c r="D882" t="inlineStr">
        <is>
          <t>UPPSALA LÄN</t>
        </is>
      </c>
      <c r="E882" t="inlineStr">
        <is>
          <t>UPPSALA</t>
        </is>
      </c>
      <c r="G882" t="n">
        <v>5.2</v>
      </c>
      <c r="H882" t="n">
        <v>0</v>
      </c>
      <c r="I882" t="n">
        <v>0</v>
      </c>
      <c r="J882" t="n">
        <v>0</v>
      </c>
      <c r="K882" t="n">
        <v>0</v>
      </c>
      <c r="L882" t="n">
        <v>0</v>
      </c>
      <c r="M882" t="n">
        <v>0</v>
      </c>
      <c r="N882" t="n">
        <v>0</v>
      </c>
      <c r="O882" t="n">
        <v>0</v>
      </c>
      <c r="P882" t="n">
        <v>0</v>
      </c>
      <c r="Q882" t="n">
        <v>0</v>
      </c>
      <c r="R882" s="2" t="inlineStr"/>
    </row>
    <row r="883" ht="15" customHeight="1">
      <c r="A883" t="inlineStr">
        <is>
          <t>A 4461-2024</t>
        </is>
      </c>
      <c r="B883" s="1" t="n">
        <v>45327</v>
      </c>
      <c r="C883" s="1" t="n">
        <v>45910</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27599-2023</t>
        </is>
      </c>
      <c r="B884" s="1" t="n">
        <v>45097</v>
      </c>
      <c r="C884" s="1" t="n">
        <v>45910</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12209-2025</t>
        </is>
      </c>
      <c r="B885" s="1" t="n">
        <v>45729</v>
      </c>
      <c r="C885" s="1" t="n">
        <v>45910</v>
      </c>
      <c r="D885" t="inlineStr">
        <is>
          <t>UPPSALA LÄN</t>
        </is>
      </c>
      <c r="E885" t="inlineStr">
        <is>
          <t>UPPSALA</t>
        </is>
      </c>
      <c r="G885" t="n">
        <v>1.5</v>
      </c>
      <c r="H885" t="n">
        <v>0</v>
      </c>
      <c r="I885" t="n">
        <v>0</v>
      </c>
      <c r="J885" t="n">
        <v>0</v>
      </c>
      <c r="K885" t="n">
        <v>0</v>
      </c>
      <c r="L885" t="n">
        <v>0</v>
      </c>
      <c r="M885" t="n">
        <v>0</v>
      </c>
      <c r="N885" t="n">
        <v>0</v>
      </c>
      <c r="O885" t="n">
        <v>0</v>
      </c>
      <c r="P885" t="n">
        <v>0</v>
      </c>
      <c r="Q885" t="n">
        <v>0</v>
      </c>
      <c r="R885" s="2" t="inlineStr"/>
    </row>
    <row r="886" ht="15" customHeight="1">
      <c r="A886" t="inlineStr">
        <is>
          <t>A 12211-2025</t>
        </is>
      </c>
      <c r="B886" s="1" t="n">
        <v>45729</v>
      </c>
      <c r="C886" s="1" t="n">
        <v>45910</v>
      </c>
      <c r="D886" t="inlineStr">
        <is>
          <t>UPPSALA LÄN</t>
        </is>
      </c>
      <c r="E886" t="inlineStr">
        <is>
          <t>UPPSALA</t>
        </is>
      </c>
      <c r="G886" t="n">
        <v>3.6</v>
      </c>
      <c r="H886" t="n">
        <v>0</v>
      </c>
      <c r="I886" t="n">
        <v>0</v>
      </c>
      <c r="J886" t="n">
        <v>0</v>
      </c>
      <c r="K886" t="n">
        <v>0</v>
      </c>
      <c r="L886" t="n">
        <v>0</v>
      </c>
      <c r="M886" t="n">
        <v>0</v>
      </c>
      <c r="N886" t="n">
        <v>0</v>
      </c>
      <c r="O886" t="n">
        <v>0</v>
      </c>
      <c r="P886" t="n">
        <v>0</v>
      </c>
      <c r="Q886" t="n">
        <v>0</v>
      </c>
      <c r="R886" s="2" t="inlineStr"/>
    </row>
    <row r="887" ht="15" customHeight="1">
      <c r="A887" t="inlineStr">
        <is>
          <t>A 20301-2024</t>
        </is>
      </c>
      <c r="B887" s="1" t="n">
        <v>45435.34778935185</v>
      </c>
      <c r="C887" s="1" t="n">
        <v>45910</v>
      </c>
      <c r="D887" t="inlineStr">
        <is>
          <t>UPPSALA LÄN</t>
        </is>
      </c>
      <c r="E887" t="inlineStr">
        <is>
          <t>UPPSALA</t>
        </is>
      </c>
      <c r="F887" t="inlineStr">
        <is>
          <t>Kyrkan</t>
        </is>
      </c>
      <c r="G887" t="n">
        <v>2.8</v>
      </c>
      <c r="H887" t="n">
        <v>0</v>
      </c>
      <c r="I887" t="n">
        <v>0</v>
      </c>
      <c r="J887" t="n">
        <v>0</v>
      </c>
      <c r="K887" t="n">
        <v>0</v>
      </c>
      <c r="L887" t="n">
        <v>0</v>
      </c>
      <c r="M887" t="n">
        <v>0</v>
      </c>
      <c r="N887" t="n">
        <v>0</v>
      </c>
      <c r="O887" t="n">
        <v>0</v>
      </c>
      <c r="P887" t="n">
        <v>0</v>
      </c>
      <c r="Q887" t="n">
        <v>0</v>
      </c>
      <c r="R887" s="2" t="inlineStr"/>
    </row>
    <row r="888" ht="15" customHeight="1">
      <c r="A888" t="inlineStr">
        <is>
          <t>A 57714-2022</t>
        </is>
      </c>
      <c r="B888" s="1" t="n">
        <v>44897</v>
      </c>
      <c r="C888" s="1" t="n">
        <v>45910</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3260-2024</t>
        </is>
      </c>
      <c r="B889" s="1" t="n">
        <v>45317</v>
      </c>
      <c r="C889" s="1" t="n">
        <v>45910</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3813-2024</t>
        </is>
      </c>
      <c r="B890" s="1" t="n">
        <v>45321</v>
      </c>
      <c r="C890" s="1" t="n">
        <v>45910</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42273-2023</t>
        </is>
      </c>
      <c r="B891" s="1" t="n">
        <v>45180.40255787037</v>
      </c>
      <c r="C891" s="1" t="n">
        <v>45910</v>
      </c>
      <c r="D891" t="inlineStr">
        <is>
          <t>UPPSALA LÄN</t>
        </is>
      </c>
      <c r="E891" t="inlineStr">
        <is>
          <t>UPPSALA</t>
        </is>
      </c>
      <c r="F891" t="inlineStr">
        <is>
          <t>Bergvik skog öst AB</t>
        </is>
      </c>
      <c r="G891" t="n">
        <v>0.9</v>
      </c>
      <c r="H891" t="n">
        <v>0</v>
      </c>
      <c r="I891" t="n">
        <v>0</v>
      </c>
      <c r="J891" t="n">
        <v>0</v>
      </c>
      <c r="K891" t="n">
        <v>0</v>
      </c>
      <c r="L891" t="n">
        <v>0</v>
      </c>
      <c r="M891" t="n">
        <v>0</v>
      </c>
      <c r="N891" t="n">
        <v>0</v>
      </c>
      <c r="O891" t="n">
        <v>0</v>
      </c>
      <c r="P891" t="n">
        <v>0</v>
      </c>
      <c r="Q891" t="n">
        <v>0</v>
      </c>
      <c r="R891" s="2" t="inlineStr"/>
    </row>
    <row r="892" ht="15" customHeight="1">
      <c r="A892" t="inlineStr">
        <is>
          <t>A 53615-2024</t>
        </is>
      </c>
      <c r="B892" s="1" t="n">
        <v>45611</v>
      </c>
      <c r="C892" s="1" t="n">
        <v>45910</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37820-2021</t>
        </is>
      </c>
      <c r="B893" s="1" t="n">
        <v>44403.3119212963</v>
      </c>
      <c r="C893" s="1" t="n">
        <v>45910</v>
      </c>
      <c r="D893" t="inlineStr">
        <is>
          <t>UPPSALA LÄN</t>
        </is>
      </c>
      <c r="E893" t="inlineStr">
        <is>
          <t>UPPSALA</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40507-2021</t>
        </is>
      </c>
      <c r="B894" s="1" t="n">
        <v>44420</v>
      </c>
      <c r="C894" s="1" t="n">
        <v>45910</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11119-2025</t>
        </is>
      </c>
      <c r="B895" s="1" t="n">
        <v>45723.63290509259</v>
      </c>
      <c r="C895" s="1" t="n">
        <v>45910</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19380-2023</t>
        </is>
      </c>
      <c r="B896" s="1" t="n">
        <v>45049.66025462963</v>
      </c>
      <c r="C896" s="1" t="n">
        <v>45910</v>
      </c>
      <c r="D896" t="inlineStr">
        <is>
          <t>UPPSALA LÄN</t>
        </is>
      </c>
      <c r="E896" t="inlineStr">
        <is>
          <t>UPPSALA</t>
        </is>
      </c>
      <c r="G896" t="n">
        <v>1</v>
      </c>
      <c r="H896" t="n">
        <v>0</v>
      </c>
      <c r="I896" t="n">
        <v>0</v>
      </c>
      <c r="J896" t="n">
        <v>0</v>
      </c>
      <c r="K896" t="n">
        <v>0</v>
      </c>
      <c r="L896" t="n">
        <v>0</v>
      </c>
      <c r="M896" t="n">
        <v>0</v>
      </c>
      <c r="N896" t="n">
        <v>0</v>
      </c>
      <c r="O896" t="n">
        <v>0</v>
      </c>
      <c r="P896" t="n">
        <v>0</v>
      </c>
      <c r="Q896" t="n">
        <v>0</v>
      </c>
      <c r="R896" s="2" t="inlineStr"/>
    </row>
    <row r="897" ht="15" customHeight="1">
      <c r="A897" t="inlineStr">
        <is>
          <t>A 37618-2023</t>
        </is>
      </c>
      <c r="B897" s="1" t="n">
        <v>45159.44694444445</v>
      </c>
      <c r="C897" s="1" t="n">
        <v>45910</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40111-2024</t>
        </is>
      </c>
      <c r="B898" s="1" t="n">
        <v>45554</v>
      </c>
      <c r="C898" s="1" t="n">
        <v>45910</v>
      </c>
      <c r="D898" t="inlineStr">
        <is>
          <t>UPPSALA LÄN</t>
        </is>
      </c>
      <c r="E898" t="inlineStr">
        <is>
          <t>UPPSALA</t>
        </is>
      </c>
      <c r="G898" t="n">
        <v>3.7</v>
      </c>
      <c r="H898" t="n">
        <v>0</v>
      </c>
      <c r="I898" t="n">
        <v>0</v>
      </c>
      <c r="J898" t="n">
        <v>0</v>
      </c>
      <c r="K898" t="n">
        <v>0</v>
      </c>
      <c r="L898" t="n">
        <v>0</v>
      </c>
      <c r="M898" t="n">
        <v>0</v>
      </c>
      <c r="N898" t="n">
        <v>0</v>
      </c>
      <c r="O898" t="n">
        <v>0</v>
      </c>
      <c r="P898" t="n">
        <v>0</v>
      </c>
      <c r="Q898" t="n">
        <v>0</v>
      </c>
      <c r="R898" s="2" t="inlineStr"/>
    </row>
    <row r="899" ht="15" customHeight="1">
      <c r="A899" t="inlineStr">
        <is>
          <t>A 59521-2023</t>
        </is>
      </c>
      <c r="B899" s="1" t="n">
        <v>45254.49552083333</v>
      </c>
      <c r="C899" s="1" t="n">
        <v>45910</v>
      </c>
      <c r="D899" t="inlineStr">
        <is>
          <t>UPPSALA LÄN</t>
        </is>
      </c>
      <c r="E899" t="inlineStr">
        <is>
          <t>UPPSALA</t>
        </is>
      </c>
      <c r="G899" t="n">
        <v>1.7</v>
      </c>
      <c r="H899" t="n">
        <v>0</v>
      </c>
      <c r="I899" t="n">
        <v>0</v>
      </c>
      <c r="J899" t="n">
        <v>0</v>
      </c>
      <c r="K899" t="n">
        <v>0</v>
      </c>
      <c r="L899" t="n">
        <v>0</v>
      </c>
      <c r="M899" t="n">
        <v>0</v>
      </c>
      <c r="N899" t="n">
        <v>0</v>
      </c>
      <c r="O899" t="n">
        <v>0</v>
      </c>
      <c r="P899" t="n">
        <v>0</v>
      </c>
      <c r="Q899" t="n">
        <v>0</v>
      </c>
      <c r="R899" s="2" t="inlineStr"/>
    </row>
    <row r="900" ht="15" customHeight="1">
      <c r="A900" t="inlineStr">
        <is>
          <t>A 7226-2024</t>
        </is>
      </c>
      <c r="B900" s="1" t="n">
        <v>45344.64759259259</v>
      </c>
      <c r="C900" s="1" t="n">
        <v>45910</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2790-2025</t>
        </is>
      </c>
      <c r="B901" s="1" t="n">
        <v>45677</v>
      </c>
      <c r="C901" s="1" t="n">
        <v>45910</v>
      </c>
      <c r="D901" t="inlineStr">
        <is>
          <t>UPPSALA LÄN</t>
        </is>
      </c>
      <c r="E901" t="inlineStr">
        <is>
          <t>UPPSALA</t>
        </is>
      </c>
      <c r="G901" t="n">
        <v>0.8</v>
      </c>
      <c r="H901" t="n">
        <v>0</v>
      </c>
      <c r="I901" t="n">
        <v>0</v>
      </c>
      <c r="J901" t="n">
        <v>0</v>
      </c>
      <c r="K901" t="n">
        <v>0</v>
      </c>
      <c r="L901" t="n">
        <v>0</v>
      </c>
      <c r="M901" t="n">
        <v>0</v>
      </c>
      <c r="N901" t="n">
        <v>0</v>
      </c>
      <c r="O901" t="n">
        <v>0</v>
      </c>
      <c r="P901" t="n">
        <v>0</v>
      </c>
      <c r="Q901" t="n">
        <v>0</v>
      </c>
      <c r="R901" s="2" t="inlineStr"/>
    </row>
    <row r="902" ht="15" customHeight="1">
      <c r="A902" t="inlineStr">
        <is>
          <t>A 12414-2025</t>
        </is>
      </c>
      <c r="B902" s="1" t="n">
        <v>45730.43966435185</v>
      </c>
      <c r="C902" s="1" t="n">
        <v>45910</v>
      </c>
      <c r="D902" t="inlineStr">
        <is>
          <t>UPPSALA LÄN</t>
        </is>
      </c>
      <c r="E902" t="inlineStr">
        <is>
          <t>UPPSALA</t>
        </is>
      </c>
      <c r="F902" t="inlineStr">
        <is>
          <t>Övriga statliga verk och myndigheter</t>
        </is>
      </c>
      <c r="G902" t="n">
        <v>6.8</v>
      </c>
      <c r="H902" t="n">
        <v>0</v>
      </c>
      <c r="I902" t="n">
        <v>0</v>
      </c>
      <c r="J902" t="n">
        <v>0</v>
      </c>
      <c r="K902" t="n">
        <v>0</v>
      </c>
      <c r="L902" t="n">
        <v>0</v>
      </c>
      <c r="M902" t="n">
        <v>0</v>
      </c>
      <c r="N902" t="n">
        <v>0</v>
      </c>
      <c r="O902" t="n">
        <v>0</v>
      </c>
      <c r="P902" t="n">
        <v>0</v>
      </c>
      <c r="Q902" t="n">
        <v>0</v>
      </c>
      <c r="R902" s="2" t="inlineStr"/>
    </row>
    <row r="903" ht="15" customHeight="1">
      <c r="A903" t="inlineStr">
        <is>
          <t>A 4929-2022</t>
        </is>
      </c>
      <c r="B903" s="1" t="n">
        <v>44593</v>
      </c>
      <c r="C903" s="1" t="n">
        <v>45910</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33622-2024</t>
        </is>
      </c>
      <c r="B904" s="1" t="n">
        <v>45520</v>
      </c>
      <c r="C904" s="1" t="n">
        <v>45910</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41545-2023</t>
        </is>
      </c>
      <c r="B905" s="1" t="n">
        <v>45175.57060185185</v>
      </c>
      <c r="C905" s="1" t="n">
        <v>45910</v>
      </c>
      <c r="D905" t="inlineStr">
        <is>
          <t>UPPSALA LÄN</t>
        </is>
      </c>
      <c r="E905" t="inlineStr">
        <is>
          <t>UPPSALA</t>
        </is>
      </c>
      <c r="G905" t="n">
        <v>6.6</v>
      </c>
      <c r="H905" t="n">
        <v>0</v>
      </c>
      <c r="I905" t="n">
        <v>0</v>
      </c>
      <c r="J905" t="n">
        <v>0</v>
      </c>
      <c r="K905" t="n">
        <v>0</v>
      </c>
      <c r="L905" t="n">
        <v>0</v>
      </c>
      <c r="M905" t="n">
        <v>0</v>
      </c>
      <c r="N905" t="n">
        <v>0</v>
      </c>
      <c r="O905" t="n">
        <v>0</v>
      </c>
      <c r="P905" t="n">
        <v>0</v>
      </c>
      <c r="Q905" t="n">
        <v>0</v>
      </c>
      <c r="R905" s="2" t="inlineStr"/>
    </row>
    <row r="906" ht="15" customHeight="1">
      <c r="A906" t="inlineStr">
        <is>
          <t>A 60047-2022</t>
        </is>
      </c>
      <c r="B906" s="1" t="n">
        <v>44909.51885416666</v>
      </c>
      <c r="C906" s="1" t="n">
        <v>45910</v>
      </c>
      <c r="D906" t="inlineStr">
        <is>
          <t>UPPSALA LÄN</t>
        </is>
      </c>
      <c r="E906" t="inlineStr">
        <is>
          <t>UPPSALA</t>
        </is>
      </c>
      <c r="F906" t="inlineStr">
        <is>
          <t>Kyrkan</t>
        </is>
      </c>
      <c r="G906" t="n">
        <v>0.7</v>
      </c>
      <c r="H906" t="n">
        <v>0</v>
      </c>
      <c r="I906" t="n">
        <v>0</v>
      </c>
      <c r="J906" t="n">
        <v>0</v>
      </c>
      <c r="K906" t="n">
        <v>0</v>
      </c>
      <c r="L906" t="n">
        <v>0</v>
      </c>
      <c r="M906" t="n">
        <v>0</v>
      </c>
      <c r="N906" t="n">
        <v>0</v>
      </c>
      <c r="O906" t="n">
        <v>0</v>
      </c>
      <c r="P906" t="n">
        <v>0</v>
      </c>
      <c r="Q906" t="n">
        <v>0</v>
      </c>
      <c r="R906" s="2" t="inlineStr"/>
    </row>
    <row r="907" ht="15" customHeight="1">
      <c r="A907" t="inlineStr">
        <is>
          <t>A 12284-2025</t>
        </is>
      </c>
      <c r="B907" s="1" t="n">
        <v>45729</v>
      </c>
      <c r="C907" s="1" t="n">
        <v>45910</v>
      </c>
      <c r="D907" t="inlineStr">
        <is>
          <t>UPPSALA LÄN</t>
        </is>
      </c>
      <c r="E907" t="inlineStr">
        <is>
          <t>UPPSALA</t>
        </is>
      </c>
      <c r="G907" t="n">
        <v>6.7</v>
      </c>
      <c r="H907" t="n">
        <v>0</v>
      </c>
      <c r="I907" t="n">
        <v>0</v>
      </c>
      <c r="J907" t="n">
        <v>0</v>
      </c>
      <c r="K907" t="n">
        <v>0</v>
      </c>
      <c r="L907" t="n">
        <v>0</v>
      </c>
      <c r="M907" t="n">
        <v>0</v>
      </c>
      <c r="N907" t="n">
        <v>0</v>
      </c>
      <c r="O907" t="n">
        <v>0</v>
      </c>
      <c r="P907" t="n">
        <v>0</v>
      </c>
      <c r="Q907" t="n">
        <v>0</v>
      </c>
      <c r="R907" s="2" t="inlineStr"/>
    </row>
    <row r="908" ht="15" customHeight="1">
      <c r="A908" t="inlineStr">
        <is>
          <t>A 12287-2025</t>
        </is>
      </c>
      <c r="B908" s="1" t="n">
        <v>45729</v>
      </c>
      <c r="C908" s="1" t="n">
        <v>45910</v>
      </c>
      <c r="D908" t="inlineStr">
        <is>
          <t>UPPSALA LÄN</t>
        </is>
      </c>
      <c r="E908" t="inlineStr">
        <is>
          <t>UPPSALA</t>
        </is>
      </c>
      <c r="G908" t="n">
        <v>4.6</v>
      </c>
      <c r="H908" t="n">
        <v>0</v>
      </c>
      <c r="I908" t="n">
        <v>0</v>
      </c>
      <c r="J908" t="n">
        <v>0</v>
      </c>
      <c r="K908" t="n">
        <v>0</v>
      </c>
      <c r="L908" t="n">
        <v>0</v>
      </c>
      <c r="M908" t="n">
        <v>0</v>
      </c>
      <c r="N908" t="n">
        <v>0</v>
      </c>
      <c r="O908" t="n">
        <v>0</v>
      </c>
      <c r="P908" t="n">
        <v>0</v>
      </c>
      <c r="Q908" t="n">
        <v>0</v>
      </c>
      <c r="R908" s="2" t="inlineStr"/>
    </row>
    <row r="909" ht="15" customHeight="1">
      <c r="A909" t="inlineStr">
        <is>
          <t>A 42543-2023</t>
        </is>
      </c>
      <c r="B909" s="1" t="n">
        <v>45181.36815972222</v>
      </c>
      <c r="C909" s="1" t="n">
        <v>45910</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8931-2025</t>
        </is>
      </c>
      <c r="B910" s="1" t="n">
        <v>45713.44519675926</v>
      </c>
      <c r="C910" s="1" t="n">
        <v>45910</v>
      </c>
      <c r="D910" t="inlineStr">
        <is>
          <t>UPPSALA LÄN</t>
        </is>
      </c>
      <c r="E910" t="inlineStr">
        <is>
          <t>UPPSALA</t>
        </is>
      </c>
      <c r="G910" t="n">
        <v>1.2</v>
      </c>
      <c r="H910" t="n">
        <v>0</v>
      </c>
      <c r="I910" t="n">
        <v>0</v>
      </c>
      <c r="J910" t="n">
        <v>0</v>
      </c>
      <c r="K910" t="n">
        <v>0</v>
      </c>
      <c r="L910" t="n">
        <v>0</v>
      </c>
      <c r="M910" t="n">
        <v>0</v>
      </c>
      <c r="N910" t="n">
        <v>0</v>
      </c>
      <c r="O910" t="n">
        <v>0</v>
      </c>
      <c r="P910" t="n">
        <v>0</v>
      </c>
      <c r="Q910" t="n">
        <v>0</v>
      </c>
      <c r="R910" s="2" t="inlineStr"/>
    </row>
    <row r="911" ht="15" customHeight="1">
      <c r="A911" t="inlineStr">
        <is>
          <t>A 74023-2021</t>
        </is>
      </c>
      <c r="B911" s="1" t="n">
        <v>44553</v>
      </c>
      <c r="C911" s="1" t="n">
        <v>45910</v>
      </c>
      <c r="D911" t="inlineStr">
        <is>
          <t>UPPSALA LÄN</t>
        </is>
      </c>
      <c r="E911" t="inlineStr">
        <is>
          <t>UPPSALA</t>
        </is>
      </c>
      <c r="G911" t="n">
        <v>5.4</v>
      </c>
      <c r="H911" t="n">
        <v>0</v>
      </c>
      <c r="I911" t="n">
        <v>0</v>
      </c>
      <c r="J911" t="n">
        <v>0</v>
      </c>
      <c r="K911" t="n">
        <v>0</v>
      </c>
      <c r="L911" t="n">
        <v>0</v>
      </c>
      <c r="M911" t="n">
        <v>0</v>
      </c>
      <c r="N911" t="n">
        <v>0</v>
      </c>
      <c r="O911" t="n">
        <v>0</v>
      </c>
      <c r="P911" t="n">
        <v>0</v>
      </c>
      <c r="Q911" t="n">
        <v>0</v>
      </c>
      <c r="R911" s="2" t="inlineStr"/>
    </row>
    <row r="912" ht="15" customHeight="1">
      <c r="A912" t="inlineStr">
        <is>
          <t>A 19345-2025</t>
        </is>
      </c>
      <c r="B912" s="1" t="n">
        <v>45769.6009375</v>
      </c>
      <c r="C912" s="1" t="n">
        <v>45910</v>
      </c>
      <c r="D912" t="inlineStr">
        <is>
          <t>UPPSALA LÄN</t>
        </is>
      </c>
      <c r="E912" t="inlineStr">
        <is>
          <t>UPPSALA</t>
        </is>
      </c>
      <c r="G912" t="n">
        <v>1.8</v>
      </c>
      <c r="H912" t="n">
        <v>0</v>
      </c>
      <c r="I912" t="n">
        <v>0</v>
      </c>
      <c r="J912" t="n">
        <v>0</v>
      </c>
      <c r="K912" t="n">
        <v>0</v>
      </c>
      <c r="L912" t="n">
        <v>0</v>
      </c>
      <c r="M912" t="n">
        <v>0</v>
      </c>
      <c r="N912" t="n">
        <v>0</v>
      </c>
      <c r="O912" t="n">
        <v>0</v>
      </c>
      <c r="P912" t="n">
        <v>0</v>
      </c>
      <c r="Q912" t="n">
        <v>0</v>
      </c>
      <c r="R912" s="2" t="inlineStr"/>
    </row>
    <row r="913" ht="15" customHeight="1">
      <c r="A913" t="inlineStr">
        <is>
          <t>A 18410-2025</t>
        </is>
      </c>
      <c r="B913" s="1" t="n">
        <v>45762.61341435185</v>
      </c>
      <c r="C913" s="1" t="n">
        <v>45910</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44830-2023</t>
        </is>
      </c>
      <c r="B914" s="1" t="n">
        <v>45190</v>
      </c>
      <c r="C914" s="1" t="n">
        <v>45910</v>
      </c>
      <c r="D914" t="inlineStr">
        <is>
          <t>UPPSALA LÄN</t>
        </is>
      </c>
      <c r="E914" t="inlineStr">
        <is>
          <t>UPPSALA</t>
        </is>
      </c>
      <c r="G914" t="n">
        <v>1.9</v>
      </c>
      <c r="H914" t="n">
        <v>0</v>
      </c>
      <c r="I914" t="n">
        <v>0</v>
      </c>
      <c r="J914" t="n">
        <v>0</v>
      </c>
      <c r="K914" t="n">
        <v>0</v>
      </c>
      <c r="L914" t="n">
        <v>0</v>
      </c>
      <c r="M914" t="n">
        <v>0</v>
      </c>
      <c r="N914" t="n">
        <v>0</v>
      </c>
      <c r="O914" t="n">
        <v>0</v>
      </c>
      <c r="P914" t="n">
        <v>0</v>
      </c>
      <c r="Q914" t="n">
        <v>0</v>
      </c>
      <c r="R914" s="2" t="inlineStr"/>
    </row>
    <row r="915" ht="15" customHeight="1">
      <c r="A915" t="inlineStr">
        <is>
          <t>A 73044-2021</t>
        </is>
      </c>
      <c r="B915" s="1" t="n">
        <v>44550.37994212963</v>
      </c>
      <c r="C915" s="1" t="n">
        <v>45910</v>
      </c>
      <c r="D915" t="inlineStr">
        <is>
          <t>UPPSALA LÄN</t>
        </is>
      </c>
      <c r="E915" t="inlineStr">
        <is>
          <t>UPPSALA</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8404-2022</t>
        </is>
      </c>
      <c r="B916" s="1" t="n">
        <v>44610</v>
      </c>
      <c r="C916" s="1" t="n">
        <v>45910</v>
      </c>
      <c r="D916" t="inlineStr">
        <is>
          <t>UPPSALA LÄN</t>
        </is>
      </c>
      <c r="E916" t="inlineStr">
        <is>
          <t>UPPSALA</t>
        </is>
      </c>
      <c r="F916" t="inlineStr">
        <is>
          <t>Allmännings- och besparingsskogar</t>
        </is>
      </c>
      <c r="G916" t="n">
        <v>5.4</v>
      </c>
      <c r="H916" t="n">
        <v>0</v>
      </c>
      <c r="I916" t="n">
        <v>0</v>
      </c>
      <c r="J916" t="n">
        <v>0</v>
      </c>
      <c r="K916" t="n">
        <v>0</v>
      </c>
      <c r="L916" t="n">
        <v>0</v>
      </c>
      <c r="M916" t="n">
        <v>0</v>
      </c>
      <c r="N916" t="n">
        <v>0</v>
      </c>
      <c r="O916" t="n">
        <v>0</v>
      </c>
      <c r="P916" t="n">
        <v>0</v>
      </c>
      <c r="Q916" t="n">
        <v>0</v>
      </c>
      <c r="R916" s="2" t="inlineStr"/>
    </row>
    <row r="917">
      <c r="A917" t="inlineStr">
        <is>
          <t>A 19139-2023</t>
        </is>
      </c>
      <c r="B917" s="1" t="n">
        <v>45048.55349537037</v>
      </c>
      <c r="C917" s="1" t="n">
        <v>45910</v>
      </c>
      <c r="D917" t="inlineStr">
        <is>
          <t>UPPSALA LÄN</t>
        </is>
      </c>
      <c r="E917" t="inlineStr">
        <is>
          <t>UPPSALA</t>
        </is>
      </c>
      <c r="G917" t="n">
        <v>3</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2025-09-10T18:20:16Z</dcterms:created>
  <dcterms:modified xmlns:dcterms="http://purl.org/dc/terms/" xmlns:xsi="http://www.w3.org/2001/XMLSchema-instance" xsi:type="dcterms:W3CDTF">2025-09-10T18:20:17Z</dcterms:modified>
</cp:coreProperties>
</file>