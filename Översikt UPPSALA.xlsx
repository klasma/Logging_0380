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45474</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45474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45474</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45474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45474</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45474</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45474</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45474</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45474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45474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45474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45474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45474</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45474</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45474</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45474</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45474</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45474</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61513-2020</t>
        </is>
      </c>
      <c r="B20" s="1" t="n">
        <v>44158</v>
      </c>
      <c r="C20" s="1" t="n">
        <v>45474</v>
      </c>
      <c r="D20" t="inlineStr">
        <is>
          <t>UPPSALA LÄN</t>
        </is>
      </c>
      <c r="E20" t="inlineStr">
        <is>
          <t>UPPSALA</t>
        </is>
      </c>
      <c r="F20" t="inlineStr">
        <is>
          <t>Övriga statliga verk och myndigheter</t>
        </is>
      </c>
      <c r="G20" t="n">
        <v>17</v>
      </c>
      <c r="H20" t="n">
        <v>1</v>
      </c>
      <c r="I20" t="n">
        <v>6</v>
      </c>
      <c r="J20" t="n">
        <v>1</v>
      </c>
      <c r="K20" t="n">
        <v>0</v>
      </c>
      <c r="L20" t="n">
        <v>0</v>
      </c>
      <c r="M20" t="n">
        <v>0</v>
      </c>
      <c r="N20" t="n">
        <v>0</v>
      </c>
      <c r="O20" t="n">
        <v>1</v>
      </c>
      <c r="P20" t="n">
        <v>0</v>
      </c>
      <c r="Q20" t="n">
        <v>8</v>
      </c>
      <c r="R20" s="2" t="inlineStr">
        <is>
          <t>Vedtrappmossa
Bårdlav
Dvärgtufs
Piskbaronmossa
Platt fjädermossa
Stubbspretmossa
Vedticka
Blåsippa</t>
        </is>
      </c>
      <c r="S20">
        <f>HYPERLINK("https://klasma.github.io/Logging_0380/artfynd/A 61513-2020 artfynd.xlsx", "A 61513-2020")</f>
        <v/>
      </c>
      <c r="T20">
        <f>HYPERLINK("https://klasma.github.io/Logging_0380/kartor/A 61513-2020 karta.png", "A 61513-2020")</f>
        <v/>
      </c>
      <c r="V20">
        <f>HYPERLINK("https://klasma.github.io/Logging_0380/klagomål/A 61513-2020 FSC-klagomål.docx", "A 61513-2020")</f>
        <v/>
      </c>
      <c r="W20">
        <f>HYPERLINK("https://klasma.github.io/Logging_0380/klagomålsmail/A 61513-2020 FSC-klagomål mail.docx", "A 61513-2020")</f>
        <v/>
      </c>
      <c r="X20">
        <f>HYPERLINK("https://klasma.github.io/Logging_0380/tillsyn/A 61513-2020 tillsynsbegäran.docx", "A 61513-2020")</f>
        <v/>
      </c>
      <c r="Y20">
        <f>HYPERLINK("https://klasma.github.io/Logging_0380/tillsynsmail/A 61513-2020 tillsynsbegäran mail.docx", "A 61513-2020")</f>
        <v/>
      </c>
    </row>
    <row r="21" ht="15" customHeight="1">
      <c r="A21" t="inlineStr">
        <is>
          <t>A 66979-2020</t>
        </is>
      </c>
      <c r="B21" s="1" t="n">
        <v>44180</v>
      </c>
      <c r="C21" s="1" t="n">
        <v>45474</v>
      </c>
      <c r="D21" t="inlineStr">
        <is>
          <t>UPPSALA LÄN</t>
        </is>
      </c>
      <c r="E21" t="inlineStr">
        <is>
          <t>UPPSALA</t>
        </is>
      </c>
      <c r="F21" t="inlineStr">
        <is>
          <t>Övriga statliga verk och myndigheter</t>
        </is>
      </c>
      <c r="G21" t="n">
        <v>8.300000000000001</v>
      </c>
      <c r="H21" t="n">
        <v>1</v>
      </c>
      <c r="I21" t="n">
        <v>4</v>
      </c>
      <c r="J21" t="n">
        <v>2</v>
      </c>
      <c r="K21" t="n">
        <v>1</v>
      </c>
      <c r="L21" t="n">
        <v>0</v>
      </c>
      <c r="M21" t="n">
        <v>0</v>
      </c>
      <c r="N21" t="n">
        <v>0</v>
      </c>
      <c r="O21" t="n">
        <v>3</v>
      </c>
      <c r="P21" t="n">
        <v>1</v>
      </c>
      <c r="Q21" t="n">
        <v>8</v>
      </c>
      <c r="R21" s="2" t="inlineStr">
        <is>
          <t>Rynkskinn
Tallticka
Ullticka
Brandticka
Fällmossa
Jättesvampmal
Rävticka
Blåsippa</t>
        </is>
      </c>
      <c r="S21">
        <f>HYPERLINK("https://klasma.github.io/Logging_0380/artfynd/A 66979-2020 artfynd.xlsx", "A 66979-2020")</f>
        <v/>
      </c>
      <c r="T21">
        <f>HYPERLINK("https://klasma.github.io/Logging_0380/kartor/A 66979-2020 karta.png", "A 66979-2020")</f>
        <v/>
      </c>
      <c r="V21">
        <f>HYPERLINK("https://klasma.github.io/Logging_0380/klagomål/A 66979-2020 FSC-klagomål.docx", "A 66979-2020")</f>
        <v/>
      </c>
      <c r="W21">
        <f>HYPERLINK("https://klasma.github.io/Logging_0380/klagomålsmail/A 66979-2020 FSC-klagomål mail.docx", "A 66979-2020")</f>
        <v/>
      </c>
      <c r="X21">
        <f>HYPERLINK("https://klasma.github.io/Logging_0380/tillsyn/A 66979-2020 tillsynsbegäran.docx", "A 66979-2020")</f>
        <v/>
      </c>
      <c r="Y21">
        <f>HYPERLINK("https://klasma.github.io/Logging_0380/tillsynsmail/A 66979-2020 tillsynsbegäran mail.docx", "A 66979-2020")</f>
        <v/>
      </c>
    </row>
    <row r="22" ht="15" customHeight="1">
      <c r="A22" t="inlineStr">
        <is>
          <t>A 61014-2021</t>
        </is>
      </c>
      <c r="B22" s="1" t="n">
        <v>44497</v>
      </c>
      <c r="C22" s="1" t="n">
        <v>45474</v>
      </c>
      <c r="D22" t="inlineStr">
        <is>
          <t>UPPSALA LÄN</t>
        </is>
      </c>
      <c r="E22" t="inlineStr">
        <is>
          <t>UPPSALA</t>
        </is>
      </c>
      <c r="G22" t="n">
        <v>6.6</v>
      </c>
      <c r="H22" t="n">
        <v>2</v>
      </c>
      <c r="I22" t="n">
        <v>2</v>
      </c>
      <c r="J22" t="n">
        <v>3</v>
      </c>
      <c r="K22" t="n">
        <v>3</v>
      </c>
      <c r="L22" t="n">
        <v>0</v>
      </c>
      <c r="M22" t="n">
        <v>0</v>
      </c>
      <c r="N22" t="n">
        <v>0</v>
      </c>
      <c r="O22" t="n">
        <v>6</v>
      </c>
      <c r="P22" t="n">
        <v>3</v>
      </c>
      <c r="Q22" t="n">
        <v>8</v>
      </c>
      <c r="R22" s="2" t="inlineStr">
        <is>
          <t>Knärot
Rynkskinn
Tallbit
Garnlav
Grönhjon
Ullticka
Brandticka
Vedticka</t>
        </is>
      </c>
      <c r="S22">
        <f>HYPERLINK("https://klasma.github.io/Logging_0380/artfynd/A 61014-2021 artfynd.xlsx", "A 61014-2021")</f>
        <v/>
      </c>
      <c r="T22">
        <f>HYPERLINK("https://klasma.github.io/Logging_0380/kartor/A 61014-2021 karta.png", "A 61014-2021")</f>
        <v/>
      </c>
      <c r="U22">
        <f>HYPERLINK("https://klasma.github.io/Logging_0380/knärot/A 61014-2021 karta knärot.png", "A 61014-2021")</f>
        <v/>
      </c>
      <c r="V22">
        <f>HYPERLINK("https://klasma.github.io/Logging_0380/klagomål/A 61014-2021 FSC-klagomål.docx", "A 61014-2021")</f>
        <v/>
      </c>
      <c r="W22">
        <f>HYPERLINK("https://klasma.github.io/Logging_0380/klagomålsmail/A 61014-2021 FSC-klagomål mail.docx", "A 61014-2021")</f>
        <v/>
      </c>
      <c r="X22">
        <f>HYPERLINK("https://klasma.github.io/Logging_0380/tillsyn/A 61014-2021 tillsynsbegäran.docx", "A 61014-2021")</f>
        <v/>
      </c>
      <c r="Y22">
        <f>HYPERLINK("https://klasma.github.io/Logging_0380/tillsynsmail/A 61014-2021 tillsynsbegäran mail.docx", "A 61014-2021")</f>
        <v/>
      </c>
      <c r="Z22">
        <f>HYPERLINK("https://klasma.github.io/Logging_0380/fåglar/A 61014-2021 prioriterade fågelarter.docx", "A 61014-2021")</f>
        <v/>
      </c>
    </row>
    <row r="23" ht="15" customHeight="1">
      <c r="A23" t="inlineStr">
        <is>
          <t>A 2021-2022</t>
        </is>
      </c>
      <c r="B23" s="1" t="n">
        <v>44575</v>
      </c>
      <c r="C23" s="1" t="n">
        <v>45474</v>
      </c>
      <c r="D23" t="inlineStr">
        <is>
          <t>UPPSALA LÄN</t>
        </is>
      </c>
      <c r="E23" t="inlineStr">
        <is>
          <t>UPPSALA</t>
        </is>
      </c>
      <c r="G23" t="n">
        <v>11.3</v>
      </c>
      <c r="H23" t="n">
        <v>3</v>
      </c>
      <c r="I23" t="n">
        <v>1</v>
      </c>
      <c r="J23" t="n">
        <v>3</v>
      </c>
      <c r="K23" t="n">
        <v>1</v>
      </c>
      <c r="L23" t="n">
        <v>1</v>
      </c>
      <c r="M23" t="n">
        <v>0</v>
      </c>
      <c r="N23" t="n">
        <v>0</v>
      </c>
      <c r="O23" t="n">
        <v>5</v>
      </c>
      <c r="P23" t="n">
        <v>2</v>
      </c>
      <c r="Q23" t="n">
        <v>8</v>
      </c>
      <c r="R23" s="2" t="inlineStr">
        <is>
          <t>Ask
Gulvit blekspik
Motaggsvamp
Spillkråka
Tallticka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58453-2022</t>
        </is>
      </c>
      <c r="B24" s="1" t="n">
        <v>44901</v>
      </c>
      <c r="C24" s="1" t="n">
        <v>45474</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45474</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45474</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45474</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45474</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45474</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45474</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45474</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45474</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45474</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45474</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45474</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45474</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45474</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45474</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45474</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45474</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45474</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29803-2023</t>
        </is>
      </c>
      <c r="B42" s="1" t="n">
        <v>45107</v>
      </c>
      <c r="C42" s="1" t="n">
        <v>45474</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63181-2023</t>
        </is>
      </c>
      <c r="B43" s="1" t="n">
        <v>45273</v>
      </c>
      <c r="C43" s="1" t="n">
        <v>45474</v>
      </c>
      <c r="D43" t="inlineStr">
        <is>
          <t>UPPSALA LÄN</t>
        </is>
      </c>
      <c r="E43" t="inlineStr">
        <is>
          <t>UPPSALA</t>
        </is>
      </c>
      <c r="G43" t="n">
        <v>3.2</v>
      </c>
      <c r="H43" t="n">
        <v>0</v>
      </c>
      <c r="I43" t="n">
        <v>2</v>
      </c>
      <c r="J43" t="n">
        <v>3</v>
      </c>
      <c r="K43" t="n">
        <v>0</v>
      </c>
      <c r="L43" t="n">
        <v>0</v>
      </c>
      <c r="M43" t="n">
        <v>0</v>
      </c>
      <c r="N43" t="n">
        <v>0</v>
      </c>
      <c r="O43" t="n">
        <v>3</v>
      </c>
      <c r="P43" t="n">
        <v>0</v>
      </c>
      <c r="Q43" t="n">
        <v>5</v>
      </c>
      <c r="R43" s="2" t="inlineStr">
        <is>
          <t>Barrviolspindling
Harticka
Kungsspindling
Brandticka
Kamjordstjärna</t>
        </is>
      </c>
      <c r="S43">
        <f>HYPERLINK("https://klasma.github.io/Logging_0380/artfynd/A 63181-2023 artfynd.xlsx", "A 63181-2023")</f>
        <v/>
      </c>
      <c r="T43">
        <f>HYPERLINK("https://klasma.github.io/Logging_0380/kartor/A 63181-2023 karta.png", "A 63181-2023")</f>
        <v/>
      </c>
      <c r="V43">
        <f>HYPERLINK("https://klasma.github.io/Logging_0380/klagomål/A 63181-2023 FSC-klagomål.docx", "A 63181-2023")</f>
        <v/>
      </c>
      <c r="W43">
        <f>HYPERLINK("https://klasma.github.io/Logging_0380/klagomålsmail/A 63181-2023 FSC-klagomål mail.docx", "A 63181-2023")</f>
        <v/>
      </c>
      <c r="X43">
        <f>HYPERLINK("https://klasma.github.io/Logging_0380/tillsyn/A 63181-2023 tillsynsbegäran.docx", "A 63181-2023")</f>
        <v/>
      </c>
      <c r="Y43">
        <f>HYPERLINK("https://klasma.github.io/Logging_0380/tillsynsmail/A 63181-2023 tillsynsbegäran mail.docx", "A 63181-2023")</f>
        <v/>
      </c>
    </row>
    <row r="44" ht="15" customHeight="1">
      <c r="A44" t="inlineStr">
        <is>
          <t>A 3100-2024</t>
        </is>
      </c>
      <c r="B44" s="1" t="n">
        <v>45316</v>
      </c>
      <c r="C44" s="1" t="n">
        <v>45474</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4116-2020</t>
        </is>
      </c>
      <c r="B45" s="1" t="n">
        <v>43857</v>
      </c>
      <c r="C45" s="1" t="n">
        <v>45474</v>
      </c>
      <c r="D45" t="inlineStr">
        <is>
          <t>UPPSALA LÄN</t>
        </is>
      </c>
      <c r="E45" t="inlineStr">
        <is>
          <t>UPPSALA</t>
        </is>
      </c>
      <c r="G45" t="n">
        <v>2.4</v>
      </c>
      <c r="H45" t="n">
        <v>1</v>
      </c>
      <c r="I45" t="n">
        <v>1</v>
      </c>
      <c r="J45" t="n">
        <v>1</v>
      </c>
      <c r="K45" t="n">
        <v>1</v>
      </c>
      <c r="L45" t="n">
        <v>0</v>
      </c>
      <c r="M45" t="n">
        <v>0</v>
      </c>
      <c r="N45" t="n">
        <v>0</v>
      </c>
      <c r="O45" t="n">
        <v>2</v>
      </c>
      <c r="P45" t="n">
        <v>1</v>
      </c>
      <c r="Q45" t="n">
        <v>4</v>
      </c>
      <c r="R45" s="2" t="inlineStr">
        <is>
          <t>Grangråticka
Svart taggsvamp
Fjällig taggsvamp s.str.
Blåsippa</t>
        </is>
      </c>
      <c r="S45">
        <f>HYPERLINK("https://klasma.github.io/Logging_0380/artfynd/A 4116-2020 artfynd.xlsx", "A 4116-2020")</f>
        <v/>
      </c>
      <c r="T45">
        <f>HYPERLINK("https://klasma.github.io/Logging_0380/kartor/A 4116-2020 karta.png", "A 4116-2020")</f>
        <v/>
      </c>
      <c r="V45">
        <f>HYPERLINK("https://klasma.github.io/Logging_0380/klagomål/A 4116-2020 FSC-klagomål.docx", "A 4116-2020")</f>
        <v/>
      </c>
      <c r="W45">
        <f>HYPERLINK("https://klasma.github.io/Logging_0380/klagomålsmail/A 4116-2020 FSC-klagomål mail.docx", "A 4116-2020")</f>
        <v/>
      </c>
      <c r="X45">
        <f>HYPERLINK("https://klasma.github.io/Logging_0380/tillsyn/A 4116-2020 tillsynsbegäran.docx", "A 4116-2020")</f>
        <v/>
      </c>
      <c r="Y45">
        <f>HYPERLINK("https://klasma.github.io/Logging_0380/tillsynsmail/A 4116-2020 tillsynsbegäran mail.docx", "A 4116-2020")</f>
        <v/>
      </c>
    </row>
    <row r="46" ht="15" customHeight="1">
      <c r="A46" t="inlineStr">
        <is>
          <t>A 25264-2020</t>
        </is>
      </c>
      <c r="B46" s="1" t="n">
        <v>43980</v>
      </c>
      <c r="C46" s="1" t="n">
        <v>45474</v>
      </c>
      <c r="D46" t="inlineStr">
        <is>
          <t>UPPSALA LÄN</t>
        </is>
      </c>
      <c r="E46" t="inlineStr">
        <is>
          <t>UPPSALA</t>
        </is>
      </c>
      <c r="G46" t="n">
        <v>2.8</v>
      </c>
      <c r="H46" t="n">
        <v>4</v>
      </c>
      <c r="I46" t="n">
        <v>0</v>
      </c>
      <c r="J46" t="n">
        <v>0</v>
      </c>
      <c r="K46" t="n">
        <v>1</v>
      </c>
      <c r="L46" t="n">
        <v>0</v>
      </c>
      <c r="M46" t="n">
        <v>0</v>
      </c>
      <c r="N46" t="n">
        <v>0</v>
      </c>
      <c r="O46" t="n">
        <v>1</v>
      </c>
      <c r="P46" t="n">
        <v>1</v>
      </c>
      <c r="Q46" t="n">
        <v>4</v>
      </c>
      <c r="R46" s="2" t="inlineStr">
        <is>
          <t>Knärot
Kopparödla
Fläcknycklar
Revlummer</t>
        </is>
      </c>
      <c r="S46">
        <f>HYPERLINK("https://klasma.github.io/Logging_0380/artfynd/A 25264-2020 artfynd.xlsx", "A 25264-2020")</f>
        <v/>
      </c>
      <c r="T46">
        <f>HYPERLINK("https://klasma.github.io/Logging_0380/kartor/A 25264-2020 karta.png", "A 25264-2020")</f>
        <v/>
      </c>
      <c r="U46">
        <f>HYPERLINK("https://klasma.github.io/Logging_0380/knärot/A 25264-2020 karta knärot.png", "A 25264-2020")</f>
        <v/>
      </c>
      <c r="V46">
        <f>HYPERLINK("https://klasma.github.io/Logging_0380/klagomål/A 25264-2020 FSC-klagomål.docx", "A 25264-2020")</f>
        <v/>
      </c>
      <c r="W46">
        <f>HYPERLINK("https://klasma.github.io/Logging_0380/klagomålsmail/A 25264-2020 FSC-klagomål mail.docx", "A 25264-2020")</f>
        <v/>
      </c>
      <c r="X46">
        <f>HYPERLINK("https://klasma.github.io/Logging_0380/tillsyn/A 25264-2020 tillsynsbegäran.docx", "A 25264-2020")</f>
        <v/>
      </c>
      <c r="Y46">
        <f>HYPERLINK("https://klasma.github.io/Logging_0380/tillsynsmail/A 25264-2020 tillsynsbegäran mail.docx", "A 25264-2020")</f>
        <v/>
      </c>
    </row>
    <row r="47" ht="15" customHeight="1">
      <c r="A47" t="inlineStr">
        <is>
          <t>A 37670-2020</t>
        </is>
      </c>
      <c r="B47" s="1" t="n">
        <v>44056</v>
      </c>
      <c r="C47" s="1" t="n">
        <v>45474</v>
      </c>
      <c r="D47" t="inlineStr">
        <is>
          <t>UPPSALA LÄN</t>
        </is>
      </c>
      <c r="E47" t="inlineStr">
        <is>
          <t>UPPSALA</t>
        </is>
      </c>
      <c r="F47" t="inlineStr">
        <is>
          <t>Allmännings- och besparingsskogar</t>
        </is>
      </c>
      <c r="G47" t="n">
        <v>56.8</v>
      </c>
      <c r="H47" t="n">
        <v>3</v>
      </c>
      <c r="I47" t="n">
        <v>2</v>
      </c>
      <c r="J47" t="n">
        <v>1</v>
      </c>
      <c r="K47" t="n">
        <v>1</v>
      </c>
      <c r="L47" t="n">
        <v>0</v>
      </c>
      <c r="M47" t="n">
        <v>0</v>
      </c>
      <c r="N47" t="n">
        <v>0</v>
      </c>
      <c r="O47" t="n">
        <v>2</v>
      </c>
      <c r="P47" t="n">
        <v>1</v>
      </c>
      <c r="Q47" t="n">
        <v>4</v>
      </c>
      <c r="R47" s="2" t="inlineStr">
        <is>
          <t>Knärot
Talltita
Grönpyrola
Plattlummer</t>
        </is>
      </c>
      <c r="S47">
        <f>HYPERLINK("https://klasma.github.io/Logging_0380/artfynd/A 37670-2020 artfynd.xlsx", "A 37670-2020")</f>
        <v/>
      </c>
      <c r="T47">
        <f>HYPERLINK("https://klasma.github.io/Logging_0380/kartor/A 37670-2020 karta.png", "A 37670-2020")</f>
        <v/>
      </c>
      <c r="U47">
        <f>HYPERLINK("https://klasma.github.io/Logging_0380/knärot/A 37670-2020 karta knärot.png", "A 37670-2020")</f>
        <v/>
      </c>
      <c r="V47">
        <f>HYPERLINK("https://klasma.github.io/Logging_0380/klagomål/A 37670-2020 FSC-klagomål.docx", "A 37670-2020")</f>
        <v/>
      </c>
      <c r="W47">
        <f>HYPERLINK("https://klasma.github.io/Logging_0380/klagomålsmail/A 37670-2020 FSC-klagomål mail.docx", "A 37670-2020")</f>
        <v/>
      </c>
      <c r="X47">
        <f>HYPERLINK("https://klasma.github.io/Logging_0380/tillsyn/A 37670-2020 tillsynsbegäran.docx", "A 37670-2020")</f>
        <v/>
      </c>
      <c r="Y47">
        <f>HYPERLINK("https://klasma.github.io/Logging_0380/tillsynsmail/A 37670-2020 tillsynsbegäran mail.docx", "A 37670-2020")</f>
        <v/>
      </c>
      <c r="Z47">
        <f>HYPERLINK("https://klasma.github.io/Logging_0380/fåglar/A 37670-2020 prioriterade fågelarter.docx", "A 37670-2020")</f>
        <v/>
      </c>
    </row>
    <row r="48" ht="15" customHeight="1">
      <c r="A48" t="inlineStr">
        <is>
          <t>A 51688-2021</t>
        </is>
      </c>
      <c r="B48" s="1" t="n">
        <v>44462</v>
      </c>
      <c r="C48" s="1" t="n">
        <v>45474</v>
      </c>
      <c r="D48" t="inlineStr">
        <is>
          <t>UPPSALA LÄN</t>
        </is>
      </c>
      <c r="E48" t="inlineStr">
        <is>
          <t>UPPSALA</t>
        </is>
      </c>
      <c r="F48" t="inlineStr">
        <is>
          <t>Allmännings- och besparingsskogar</t>
        </is>
      </c>
      <c r="G48" t="n">
        <v>9.9</v>
      </c>
      <c r="H48" t="n">
        <v>1</v>
      </c>
      <c r="I48" t="n">
        <v>1</v>
      </c>
      <c r="J48" t="n">
        <v>2</v>
      </c>
      <c r="K48" t="n">
        <v>1</v>
      </c>
      <c r="L48" t="n">
        <v>0</v>
      </c>
      <c r="M48" t="n">
        <v>0</v>
      </c>
      <c r="N48" t="n">
        <v>0</v>
      </c>
      <c r="O48" t="n">
        <v>3</v>
      </c>
      <c r="P48" t="n">
        <v>1</v>
      </c>
      <c r="Q48" t="n">
        <v>4</v>
      </c>
      <c r="R48" s="2" t="inlineStr">
        <is>
          <t>Knärot
Garnlav
Ullticka
Vedticka</t>
        </is>
      </c>
      <c r="S48">
        <f>HYPERLINK("https://klasma.github.io/Logging_0380/artfynd/A 51688-2021 artfynd.xlsx", "A 51688-2021")</f>
        <v/>
      </c>
      <c r="T48">
        <f>HYPERLINK("https://klasma.github.io/Logging_0380/kartor/A 51688-2021 karta.png", "A 51688-2021")</f>
        <v/>
      </c>
      <c r="U48">
        <f>HYPERLINK("https://klasma.github.io/Logging_0380/knärot/A 51688-2021 karta knärot.png", "A 51688-2021")</f>
        <v/>
      </c>
      <c r="V48">
        <f>HYPERLINK("https://klasma.github.io/Logging_0380/klagomål/A 51688-2021 FSC-klagomål.docx", "A 51688-2021")</f>
        <v/>
      </c>
      <c r="W48">
        <f>HYPERLINK("https://klasma.github.io/Logging_0380/klagomålsmail/A 51688-2021 FSC-klagomål mail.docx", "A 51688-2021")</f>
        <v/>
      </c>
      <c r="X48">
        <f>HYPERLINK("https://klasma.github.io/Logging_0380/tillsyn/A 51688-2021 tillsynsbegäran.docx", "A 51688-2021")</f>
        <v/>
      </c>
      <c r="Y48">
        <f>HYPERLINK("https://klasma.github.io/Logging_0380/tillsynsmail/A 51688-2021 tillsynsbegäran mail.docx", "A 51688-2021")</f>
        <v/>
      </c>
    </row>
    <row r="49" ht="15" customHeight="1">
      <c r="A49" t="inlineStr">
        <is>
          <t>A 15956-2022</t>
        </is>
      </c>
      <c r="B49" s="1" t="n">
        <v>44664</v>
      </c>
      <c r="C49" s="1" t="n">
        <v>45474</v>
      </c>
      <c r="D49" t="inlineStr">
        <is>
          <t>UPPSALA LÄN</t>
        </is>
      </c>
      <c r="E49" t="inlineStr">
        <is>
          <t>UPPSALA</t>
        </is>
      </c>
      <c r="G49" t="n">
        <v>0.8</v>
      </c>
      <c r="H49" t="n">
        <v>0</v>
      </c>
      <c r="I49" t="n">
        <v>1</v>
      </c>
      <c r="J49" t="n">
        <v>2</v>
      </c>
      <c r="K49" t="n">
        <v>1</v>
      </c>
      <c r="L49" t="n">
        <v>0</v>
      </c>
      <c r="M49" t="n">
        <v>0</v>
      </c>
      <c r="N49" t="n">
        <v>0</v>
      </c>
      <c r="O49" t="n">
        <v>3</v>
      </c>
      <c r="P49" t="n">
        <v>1</v>
      </c>
      <c r="Q49" t="n">
        <v>4</v>
      </c>
      <c r="R49" s="2" t="inlineStr">
        <is>
          <t>Koppartaggsvamp
Orange taggsvamp
Svart taggsvamp
Mandelriska</t>
        </is>
      </c>
      <c r="S49">
        <f>HYPERLINK("https://klasma.github.io/Logging_0380/artfynd/A 15956-2022 artfynd.xlsx", "A 15956-2022")</f>
        <v/>
      </c>
      <c r="T49">
        <f>HYPERLINK("https://klasma.github.io/Logging_0380/kartor/A 15956-2022 karta.png", "A 15956-2022")</f>
        <v/>
      </c>
      <c r="V49">
        <f>HYPERLINK("https://klasma.github.io/Logging_0380/klagomål/A 15956-2022 FSC-klagomål.docx", "A 15956-2022")</f>
        <v/>
      </c>
      <c r="W49">
        <f>HYPERLINK("https://klasma.github.io/Logging_0380/klagomålsmail/A 15956-2022 FSC-klagomål mail.docx", "A 15956-2022")</f>
        <v/>
      </c>
      <c r="X49">
        <f>HYPERLINK("https://klasma.github.io/Logging_0380/tillsyn/A 15956-2022 tillsynsbegäran.docx", "A 15956-2022")</f>
        <v/>
      </c>
      <c r="Y49">
        <f>HYPERLINK("https://klasma.github.io/Logging_0380/tillsynsmail/A 15956-2022 tillsynsbegäran mail.docx", "A 15956-2022")</f>
        <v/>
      </c>
    </row>
    <row r="50" ht="15" customHeight="1">
      <c r="A50" t="inlineStr">
        <is>
          <t>A 23153-2022</t>
        </is>
      </c>
      <c r="B50" s="1" t="n">
        <v>44719</v>
      </c>
      <c r="C50" s="1" t="n">
        <v>45474</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26758-2022</t>
        </is>
      </c>
      <c r="B51" s="1" t="n">
        <v>44740</v>
      </c>
      <c r="C51" s="1" t="n">
        <v>45474</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8323-2023</t>
        </is>
      </c>
      <c r="B52" s="1" t="n">
        <v>44974</v>
      </c>
      <c r="C52" s="1" t="n">
        <v>45474</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13210-2023</t>
        </is>
      </c>
      <c r="B53" s="1" t="n">
        <v>45002</v>
      </c>
      <c r="C53" s="1" t="n">
        <v>45474</v>
      </c>
      <c r="D53" t="inlineStr">
        <is>
          <t>UPPSALA LÄN</t>
        </is>
      </c>
      <c r="E53" t="inlineStr">
        <is>
          <t>UPPSALA</t>
        </is>
      </c>
      <c r="F53" t="inlineStr">
        <is>
          <t>Holmen skog AB</t>
        </is>
      </c>
      <c r="G53" t="n">
        <v>6.5</v>
      </c>
      <c r="H53" t="n">
        <v>2</v>
      </c>
      <c r="I53" t="n">
        <v>2</v>
      </c>
      <c r="J53" t="n">
        <v>0</v>
      </c>
      <c r="K53" t="n">
        <v>1</v>
      </c>
      <c r="L53" t="n">
        <v>0</v>
      </c>
      <c r="M53" t="n">
        <v>0</v>
      </c>
      <c r="N53" t="n">
        <v>0</v>
      </c>
      <c r="O53" t="n">
        <v>1</v>
      </c>
      <c r="P53" t="n">
        <v>1</v>
      </c>
      <c r="Q53" t="n">
        <v>4</v>
      </c>
      <c r="R53" s="2" t="inlineStr">
        <is>
          <t>Knärot
Bronshjon
Vanlig rörsvepemossa
Blåsippa</t>
        </is>
      </c>
      <c r="S53">
        <f>HYPERLINK("https://klasma.github.io/Logging_0380/artfynd/A 13210-2023 artfynd.xlsx", "A 13210-2023")</f>
        <v/>
      </c>
      <c r="T53">
        <f>HYPERLINK("https://klasma.github.io/Logging_0380/kartor/A 13210-2023 karta.png", "A 13210-2023")</f>
        <v/>
      </c>
      <c r="U53">
        <f>HYPERLINK("https://klasma.github.io/Logging_0380/knärot/A 13210-2023 karta knärot.png", "A 13210-2023")</f>
        <v/>
      </c>
      <c r="V53">
        <f>HYPERLINK("https://klasma.github.io/Logging_0380/klagomål/A 13210-2023 FSC-klagomål.docx", "A 13210-2023")</f>
        <v/>
      </c>
      <c r="W53">
        <f>HYPERLINK("https://klasma.github.io/Logging_0380/klagomålsmail/A 13210-2023 FSC-klagomål mail.docx", "A 13210-2023")</f>
        <v/>
      </c>
      <c r="X53">
        <f>HYPERLINK("https://klasma.github.io/Logging_0380/tillsyn/A 13210-2023 tillsynsbegäran.docx", "A 13210-2023")</f>
        <v/>
      </c>
      <c r="Y53">
        <f>HYPERLINK("https://klasma.github.io/Logging_0380/tillsynsmail/A 13210-2023 tillsynsbegäran mail.docx", "A 13210-2023")</f>
        <v/>
      </c>
    </row>
    <row r="54" ht="15" customHeight="1">
      <c r="A54" t="inlineStr">
        <is>
          <t>A 16456-2023</t>
        </is>
      </c>
      <c r="B54" s="1" t="n">
        <v>45026</v>
      </c>
      <c r="C54" s="1" t="n">
        <v>45474</v>
      </c>
      <c r="D54" t="inlineStr">
        <is>
          <t>UPPSALA LÄN</t>
        </is>
      </c>
      <c r="E54" t="inlineStr">
        <is>
          <t>UPPSALA</t>
        </is>
      </c>
      <c r="G54" t="n">
        <v>6.5</v>
      </c>
      <c r="H54" t="n">
        <v>3</v>
      </c>
      <c r="I54" t="n">
        <v>1</v>
      </c>
      <c r="J54" t="n">
        <v>2</v>
      </c>
      <c r="K54" t="n">
        <v>0</v>
      </c>
      <c r="L54" t="n">
        <v>0</v>
      </c>
      <c r="M54" t="n">
        <v>0</v>
      </c>
      <c r="N54" t="n">
        <v>0</v>
      </c>
      <c r="O54" t="n">
        <v>2</v>
      </c>
      <c r="P54" t="n">
        <v>0</v>
      </c>
      <c r="Q54" t="n">
        <v>4</v>
      </c>
      <c r="R54" s="2" t="inlineStr">
        <is>
          <t>Entita
Rödvingetrast
Björksplintborre
Skogsduva</t>
        </is>
      </c>
      <c r="S54">
        <f>HYPERLINK("https://klasma.github.io/Logging_0380/artfynd/A 16456-2023 artfynd.xlsx", "A 16456-2023")</f>
        <v/>
      </c>
      <c r="T54">
        <f>HYPERLINK("https://klasma.github.io/Logging_0380/kartor/A 16456-2023 karta.png", "A 16456-2023")</f>
        <v/>
      </c>
      <c r="V54">
        <f>HYPERLINK("https://klasma.github.io/Logging_0380/klagomål/A 16456-2023 FSC-klagomål.docx", "A 16456-2023")</f>
        <v/>
      </c>
      <c r="W54">
        <f>HYPERLINK("https://klasma.github.io/Logging_0380/klagomålsmail/A 16456-2023 FSC-klagomål mail.docx", "A 16456-2023")</f>
        <v/>
      </c>
      <c r="X54">
        <f>HYPERLINK("https://klasma.github.io/Logging_0380/tillsyn/A 16456-2023 tillsynsbegäran.docx", "A 16456-2023")</f>
        <v/>
      </c>
      <c r="Y54">
        <f>HYPERLINK("https://klasma.github.io/Logging_0380/tillsynsmail/A 16456-2023 tillsynsbegäran mail.docx", "A 16456-2023")</f>
        <v/>
      </c>
      <c r="Z54">
        <f>HYPERLINK("https://klasma.github.io/Logging_0380/fåglar/A 16456-2023 prioriterade fågelarter.docx", "A 16456-2023")</f>
        <v/>
      </c>
    </row>
    <row r="55" ht="15" customHeight="1">
      <c r="A55" t="inlineStr">
        <is>
          <t>A 19329-2023</t>
        </is>
      </c>
      <c r="B55" s="1" t="n">
        <v>45049</v>
      </c>
      <c r="C55" s="1" t="n">
        <v>45474</v>
      </c>
      <c r="D55" t="inlineStr">
        <is>
          <t>UPPSALA LÄN</t>
        </is>
      </c>
      <c r="E55" t="inlineStr">
        <is>
          <t>UPPSALA</t>
        </is>
      </c>
      <c r="G55" t="n">
        <v>10</v>
      </c>
      <c r="H55" t="n">
        <v>0</v>
      </c>
      <c r="I55" t="n">
        <v>3</v>
      </c>
      <c r="J55" t="n">
        <v>1</v>
      </c>
      <c r="K55" t="n">
        <v>0</v>
      </c>
      <c r="L55" t="n">
        <v>0</v>
      </c>
      <c r="M55" t="n">
        <v>0</v>
      </c>
      <c r="N55" t="n">
        <v>0</v>
      </c>
      <c r="O55" t="n">
        <v>1</v>
      </c>
      <c r="P55" t="n">
        <v>0</v>
      </c>
      <c r="Q55" t="n">
        <v>4</v>
      </c>
      <c r="R55" s="2" t="inlineStr">
        <is>
          <t>Erastia ochraceolateritia
Blodticka
Fjällig taggsvamp s.str.
Svavelriska</t>
        </is>
      </c>
      <c r="S55">
        <f>HYPERLINK("https://klasma.github.io/Logging_0380/artfynd/A 19329-2023 artfynd.xlsx", "A 19329-2023")</f>
        <v/>
      </c>
      <c r="T55">
        <f>HYPERLINK("https://klasma.github.io/Logging_0380/kartor/A 19329-2023 karta.png", "A 19329-2023")</f>
        <v/>
      </c>
      <c r="V55">
        <f>HYPERLINK("https://klasma.github.io/Logging_0380/klagomål/A 19329-2023 FSC-klagomål.docx", "A 19329-2023")</f>
        <v/>
      </c>
      <c r="W55">
        <f>HYPERLINK("https://klasma.github.io/Logging_0380/klagomålsmail/A 19329-2023 FSC-klagomål mail.docx", "A 19329-2023")</f>
        <v/>
      </c>
      <c r="X55">
        <f>HYPERLINK("https://klasma.github.io/Logging_0380/tillsyn/A 19329-2023 tillsynsbegäran.docx", "A 19329-2023")</f>
        <v/>
      </c>
      <c r="Y55">
        <f>HYPERLINK("https://klasma.github.io/Logging_0380/tillsynsmail/A 19329-2023 tillsynsbegäran mail.docx", "A 19329-2023")</f>
        <v/>
      </c>
    </row>
    <row r="56" ht="15" customHeight="1">
      <c r="A56" t="inlineStr">
        <is>
          <t>A 31628-2023</t>
        </is>
      </c>
      <c r="B56" s="1" t="n">
        <v>45117</v>
      </c>
      <c r="C56" s="1" t="n">
        <v>45474</v>
      </c>
      <c r="D56" t="inlineStr">
        <is>
          <t>UPPSALA LÄN</t>
        </is>
      </c>
      <c r="E56" t="inlineStr">
        <is>
          <t>UPPSALA</t>
        </is>
      </c>
      <c r="G56" t="n">
        <v>15</v>
      </c>
      <c r="H56" t="n">
        <v>1</v>
      </c>
      <c r="I56" t="n">
        <v>2</v>
      </c>
      <c r="J56" t="n">
        <v>2</v>
      </c>
      <c r="K56" t="n">
        <v>0</v>
      </c>
      <c r="L56" t="n">
        <v>0</v>
      </c>
      <c r="M56" t="n">
        <v>0</v>
      </c>
      <c r="N56" t="n">
        <v>0</v>
      </c>
      <c r="O56" t="n">
        <v>2</v>
      </c>
      <c r="P56" t="n">
        <v>0</v>
      </c>
      <c r="Q56" t="n">
        <v>4</v>
      </c>
      <c r="R56" s="2" t="inlineStr">
        <is>
          <t>Spillkråka
Tallticka
Grönpyrola
Stubbspretmossa</t>
        </is>
      </c>
      <c r="S56">
        <f>HYPERLINK("https://klasma.github.io/Logging_0380/artfynd/A 31628-2023 artfynd.xlsx", "A 31628-2023")</f>
        <v/>
      </c>
      <c r="T56">
        <f>HYPERLINK("https://klasma.github.io/Logging_0380/kartor/A 31628-2023 karta.png", "A 31628-2023")</f>
        <v/>
      </c>
      <c r="V56">
        <f>HYPERLINK("https://klasma.github.io/Logging_0380/klagomål/A 31628-2023 FSC-klagomål.docx", "A 31628-2023")</f>
        <v/>
      </c>
      <c r="W56">
        <f>HYPERLINK("https://klasma.github.io/Logging_0380/klagomålsmail/A 31628-2023 FSC-klagomål mail.docx", "A 31628-2023")</f>
        <v/>
      </c>
      <c r="X56">
        <f>HYPERLINK("https://klasma.github.io/Logging_0380/tillsyn/A 31628-2023 tillsynsbegäran.docx", "A 31628-2023")</f>
        <v/>
      </c>
      <c r="Y56">
        <f>HYPERLINK("https://klasma.github.io/Logging_0380/tillsynsmail/A 31628-2023 tillsynsbegäran mail.docx", "A 31628-2023")</f>
        <v/>
      </c>
      <c r="Z56">
        <f>HYPERLINK("https://klasma.github.io/Logging_0380/fåglar/A 31628-2023 prioriterade fågelarter.docx", "A 31628-2023")</f>
        <v/>
      </c>
    </row>
    <row r="57" ht="15" customHeight="1">
      <c r="A57" t="inlineStr">
        <is>
          <t>A 46533-2023</t>
        </is>
      </c>
      <c r="B57" s="1" t="n">
        <v>45197</v>
      </c>
      <c r="C57" s="1" t="n">
        <v>45474</v>
      </c>
      <c r="D57" t="inlineStr">
        <is>
          <t>UPPSALA LÄN</t>
        </is>
      </c>
      <c r="E57" t="inlineStr">
        <is>
          <t>UPPSALA</t>
        </is>
      </c>
      <c r="F57" t="inlineStr">
        <is>
          <t>Allmännings- och besparingsskogar</t>
        </is>
      </c>
      <c r="G57" t="n">
        <v>11.5</v>
      </c>
      <c r="H57" t="n">
        <v>1</v>
      </c>
      <c r="I57" t="n">
        <v>1</v>
      </c>
      <c r="J57" t="n">
        <v>2</v>
      </c>
      <c r="K57" t="n">
        <v>1</v>
      </c>
      <c r="L57" t="n">
        <v>0</v>
      </c>
      <c r="M57" t="n">
        <v>0</v>
      </c>
      <c r="N57" t="n">
        <v>0</v>
      </c>
      <c r="O57" t="n">
        <v>3</v>
      </c>
      <c r="P57" t="n">
        <v>1</v>
      </c>
      <c r="Q57" t="n">
        <v>4</v>
      </c>
      <c r="R57" s="2" t="inlineStr">
        <is>
          <t>Knärot
Lunglav
Vedskivlav
Korallblylav</t>
        </is>
      </c>
      <c r="S57">
        <f>HYPERLINK("https://klasma.github.io/Logging_0380/artfynd/A 46533-2023 artfynd.xlsx", "A 46533-2023")</f>
        <v/>
      </c>
      <c r="T57">
        <f>HYPERLINK("https://klasma.github.io/Logging_0380/kartor/A 46533-2023 karta.png", "A 46533-2023")</f>
        <v/>
      </c>
      <c r="U57">
        <f>HYPERLINK("https://klasma.github.io/Logging_0380/knärot/A 46533-2023 karta knärot.png", "A 46533-2023")</f>
        <v/>
      </c>
      <c r="V57">
        <f>HYPERLINK("https://klasma.github.io/Logging_0380/klagomål/A 46533-2023 FSC-klagomål.docx", "A 46533-2023")</f>
        <v/>
      </c>
      <c r="W57">
        <f>HYPERLINK("https://klasma.github.io/Logging_0380/klagomålsmail/A 46533-2023 FSC-klagomål mail.docx", "A 46533-2023")</f>
        <v/>
      </c>
      <c r="X57">
        <f>HYPERLINK("https://klasma.github.io/Logging_0380/tillsyn/A 46533-2023 tillsynsbegäran.docx", "A 46533-2023")</f>
        <v/>
      </c>
      <c r="Y57">
        <f>HYPERLINK("https://klasma.github.io/Logging_0380/tillsynsmail/A 46533-2023 tillsynsbegäran mail.docx", "A 46533-2023")</f>
        <v/>
      </c>
    </row>
    <row r="58" ht="15" customHeight="1">
      <c r="A58" t="inlineStr">
        <is>
          <t>A 11217-2024</t>
        </is>
      </c>
      <c r="B58" s="1" t="n">
        <v>45371</v>
      </c>
      <c r="C58" s="1" t="n">
        <v>45474</v>
      </c>
      <c r="D58" t="inlineStr">
        <is>
          <t>UPPSALA LÄN</t>
        </is>
      </c>
      <c r="E58" t="inlineStr">
        <is>
          <t>UPPSALA</t>
        </is>
      </c>
      <c r="F58" t="inlineStr">
        <is>
          <t>Kommuner</t>
        </is>
      </c>
      <c r="G58" t="n">
        <v>1.5</v>
      </c>
      <c r="H58" t="n">
        <v>1</v>
      </c>
      <c r="I58" t="n">
        <v>4</v>
      </c>
      <c r="J58" t="n">
        <v>0</v>
      </c>
      <c r="K58" t="n">
        <v>0</v>
      </c>
      <c r="L58" t="n">
        <v>0</v>
      </c>
      <c r="M58" t="n">
        <v>0</v>
      </c>
      <c r="N58" t="n">
        <v>0</v>
      </c>
      <c r="O58" t="n">
        <v>0</v>
      </c>
      <c r="P58" t="n">
        <v>0</v>
      </c>
      <c r="Q58" t="n">
        <v>4</v>
      </c>
      <c r="R58" s="2" t="inlineStr">
        <is>
          <t>Fällmossa
Grön sköldmossa
Lönnlav
Stor aspticka</t>
        </is>
      </c>
      <c r="S58">
        <f>HYPERLINK("https://klasma.github.io/Logging_0380/artfynd/A 11217-2024 artfynd.xlsx", "A 11217-2024")</f>
        <v/>
      </c>
      <c r="T58">
        <f>HYPERLINK("https://klasma.github.io/Logging_0380/kartor/A 11217-2024 karta.png", "A 11217-2024")</f>
        <v/>
      </c>
      <c r="V58">
        <f>HYPERLINK("https://klasma.github.io/Logging_0380/klagomål/A 11217-2024 FSC-klagomål.docx", "A 11217-2024")</f>
        <v/>
      </c>
      <c r="W58">
        <f>HYPERLINK("https://klasma.github.io/Logging_0380/klagomålsmail/A 11217-2024 FSC-klagomål mail.docx", "A 11217-2024")</f>
        <v/>
      </c>
      <c r="X58">
        <f>HYPERLINK("https://klasma.github.io/Logging_0380/tillsyn/A 11217-2024 tillsynsbegäran.docx", "A 11217-2024")</f>
        <v/>
      </c>
      <c r="Y58">
        <f>HYPERLINK("https://klasma.github.io/Logging_0380/tillsynsmail/A 11217-2024 tillsynsbegäran mail.docx", "A 11217-2024")</f>
        <v/>
      </c>
    </row>
    <row r="59" ht="15" customHeight="1">
      <c r="A59" t="inlineStr">
        <is>
          <t>A 21809-2024</t>
        </is>
      </c>
      <c r="B59" s="1" t="n">
        <v>45442</v>
      </c>
      <c r="C59" s="1" t="n">
        <v>45474</v>
      </c>
      <c r="D59" t="inlineStr">
        <is>
          <t>UPPSALA LÄN</t>
        </is>
      </c>
      <c r="E59" t="inlineStr">
        <is>
          <t>UPPSALA</t>
        </is>
      </c>
      <c r="F59" t="inlineStr">
        <is>
          <t>Övriga statliga verk och myndigheter</t>
        </is>
      </c>
      <c r="G59" t="n">
        <v>6.6</v>
      </c>
      <c r="H59" t="n">
        <v>3</v>
      </c>
      <c r="I59" t="n">
        <v>1</v>
      </c>
      <c r="J59" t="n">
        <v>1</v>
      </c>
      <c r="K59" t="n">
        <v>0</v>
      </c>
      <c r="L59" t="n">
        <v>0</v>
      </c>
      <c r="M59" t="n">
        <v>0</v>
      </c>
      <c r="N59" t="n">
        <v>0</v>
      </c>
      <c r="O59" t="n">
        <v>1</v>
      </c>
      <c r="P59" t="n">
        <v>0</v>
      </c>
      <c r="Q59" t="n">
        <v>4</v>
      </c>
      <c r="R59" s="2" t="inlineStr">
        <is>
          <t>Nordfladdermus
Vågbandad barkbock
Dvärgpipistrell
Blåsippa</t>
        </is>
      </c>
      <c r="S59">
        <f>HYPERLINK("https://klasma.github.io/Logging_0380/artfynd/A 21809-2024 artfynd.xlsx", "A 21809-2024")</f>
        <v/>
      </c>
      <c r="T59">
        <f>HYPERLINK("https://klasma.github.io/Logging_0380/kartor/A 21809-2024 karta.png", "A 21809-2024")</f>
        <v/>
      </c>
      <c r="V59">
        <f>HYPERLINK("https://klasma.github.io/Logging_0380/klagomål/A 21809-2024 FSC-klagomål.docx", "A 21809-2024")</f>
        <v/>
      </c>
      <c r="W59">
        <f>HYPERLINK("https://klasma.github.io/Logging_0380/klagomålsmail/A 21809-2024 FSC-klagomål mail.docx", "A 21809-2024")</f>
        <v/>
      </c>
      <c r="X59">
        <f>HYPERLINK("https://klasma.github.io/Logging_0380/tillsyn/A 21809-2024 tillsynsbegäran.docx", "A 21809-2024")</f>
        <v/>
      </c>
      <c r="Y59">
        <f>HYPERLINK("https://klasma.github.io/Logging_0380/tillsynsmail/A 21809-2024 tillsynsbegäran mail.docx", "A 21809-2024")</f>
        <v/>
      </c>
    </row>
    <row r="60" ht="15" customHeight="1">
      <c r="A60" t="inlineStr">
        <is>
          <t>A 23691-2024</t>
        </is>
      </c>
      <c r="B60" s="1" t="n">
        <v>45454</v>
      </c>
      <c r="C60" s="1" t="n">
        <v>45474</v>
      </c>
      <c r="D60" t="inlineStr">
        <is>
          <t>UPPSALA LÄN</t>
        </is>
      </c>
      <c r="E60" t="inlineStr">
        <is>
          <t>UPPSALA</t>
        </is>
      </c>
      <c r="F60" t="inlineStr">
        <is>
          <t>Holmen skog AB</t>
        </is>
      </c>
      <c r="G60" t="n">
        <v>2.2</v>
      </c>
      <c r="H60" t="n">
        <v>0</v>
      </c>
      <c r="I60" t="n">
        <v>1</v>
      </c>
      <c r="J60" t="n">
        <v>3</v>
      </c>
      <c r="K60" t="n">
        <v>0</v>
      </c>
      <c r="L60" t="n">
        <v>0</v>
      </c>
      <c r="M60" t="n">
        <v>0</v>
      </c>
      <c r="N60" t="n">
        <v>0</v>
      </c>
      <c r="O60" t="n">
        <v>3</v>
      </c>
      <c r="P60" t="n">
        <v>0</v>
      </c>
      <c r="Q60" t="n">
        <v>4</v>
      </c>
      <c r="R60" s="2" t="inlineStr">
        <is>
          <t>Ekticka
Lunglav
Skuggorangelav
Gulpudrad spiklav</t>
        </is>
      </c>
      <c r="S60">
        <f>HYPERLINK("https://klasma.github.io/Logging_0380/artfynd/A 23691-2024 artfynd.xlsx", "A 23691-2024")</f>
        <v/>
      </c>
      <c r="T60">
        <f>HYPERLINK("https://klasma.github.io/Logging_0380/kartor/A 23691-2024 karta.png", "A 23691-2024")</f>
        <v/>
      </c>
      <c r="V60">
        <f>HYPERLINK("https://klasma.github.io/Logging_0380/klagomål/A 23691-2024 FSC-klagomål.docx", "A 23691-2024")</f>
        <v/>
      </c>
      <c r="W60">
        <f>HYPERLINK("https://klasma.github.io/Logging_0380/klagomålsmail/A 23691-2024 FSC-klagomål mail.docx", "A 23691-2024")</f>
        <v/>
      </c>
      <c r="X60">
        <f>HYPERLINK("https://klasma.github.io/Logging_0380/tillsyn/A 23691-2024 tillsynsbegäran.docx", "A 23691-2024")</f>
        <v/>
      </c>
      <c r="Y60">
        <f>HYPERLINK("https://klasma.github.io/Logging_0380/tillsynsmail/A 23691-2024 tillsynsbegäran mail.docx", "A 23691-2024")</f>
        <v/>
      </c>
    </row>
    <row r="61" ht="15" customHeight="1">
      <c r="A61" t="inlineStr">
        <is>
          <t>A 23807-2024</t>
        </is>
      </c>
      <c r="B61" s="1" t="n">
        <v>45455</v>
      </c>
      <c r="C61" s="1" t="n">
        <v>45474</v>
      </c>
      <c r="D61" t="inlineStr">
        <is>
          <t>UPPSALA LÄN</t>
        </is>
      </c>
      <c r="E61" t="inlineStr">
        <is>
          <t>UPPSALA</t>
        </is>
      </c>
      <c r="F61" t="inlineStr">
        <is>
          <t>Holmen skog AB</t>
        </is>
      </c>
      <c r="G61" t="n">
        <v>8.800000000000001</v>
      </c>
      <c r="H61" t="n">
        <v>2</v>
      </c>
      <c r="I61" t="n">
        <v>2</v>
      </c>
      <c r="J61" t="n">
        <v>0</v>
      </c>
      <c r="K61" t="n">
        <v>0</v>
      </c>
      <c r="L61" t="n">
        <v>0</v>
      </c>
      <c r="M61" t="n">
        <v>0</v>
      </c>
      <c r="N61" t="n">
        <v>0</v>
      </c>
      <c r="O61" t="n">
        <v>0</v>
      </c>
      <c r="P61" t="n">
        <v>0</v>
      </c>
      <c r="Q61" t="n">
        <v>4</v>
      </c>
      <c r="R61" s="2" t="inlineStr">
        <is>
          <t>Sotlav
Underviol
Blåsippa
Gullviva</t>
        </is>
      </c>
      <c r="S61">
        <f>HYPERLINK("https://klasma.github.io/Logging_0380/artfynd/A 23807-2024 artfynd.xlsx", "A 23807-2024")</f>
        <v/>
      </c>
      <c r="T61">
        <f>HYPERLINK("https://klasma.github.io/Logging_0380/kartor/A 23807-2024 karta.png", "A 23807-2024")</f>
        <v/>
      </c>
      <c r="V61">
        <f>HYPERLINK("https://klasma.github.io/Logging_0380/klagomål/A 23807-2024 FSC-klagomål.docx", "A 23807-2024")</f>
        <v/>
      </c>
      <c r="W61">
        <f>HYPERLINK("https://klasma.github.io/Logging_0380/klagomålsmail/A 23807-2024 FSC-klagomål mail.docx", "A 23807-2024")</f>
        <v/>
      </c>
      <c r="X61">
        <f>HYPERLINK("https://klasma.github.io/Logging_0380/tillsyn/A 23807-2024 tillsynsbegäran.docx", "A 23807-2024")</f>
        <v/>
      </c>
      <c r="Y61">
        <f>HYPERLINK("https://klasma.github.io/Logging_0380/tillsynsmail/A 23807-2024 tillsynsbegäran mail.docx", "A 23807-2024")</f>
        <v/>
      </c>
    </row>
    <row r="62" ht="15" customHeight="1">
      <c r="A62" t="inlineStr">
        <is>
          <t>A 49258-2019</t>
        </is>
      </c>
      <c r="B62" s="1" t="n">
        <v>43731</v>
      </c>
      <c r="C62" s="1" t="n">
        <v>45474</v>
      </c>
      <c r="D62" t="inlineStr">
        <is>
          <t>UPPSALA LÄN</t>
        </is>
      </c>
      <c r="E62" t="inlineStr">
        <is>
          <t>UPPSALA</t>
        </is>
      </c>
      <c r="G62" t="n">
        <v>0.9</v>
      </c>
      <c r="H62" t="n">
        <v>0</v>
      </c>
      <c r="I62" t="n">
        <v>0</v>
      </c>
      <c r="J62" t="n">
        <v>1</v>
      </c>
      <c r="K62" t="n">
        <v>2</v>
      </c>
      <c r="L62" t="n">
        <v>0</v>
      </c>
      <c r="M62" t="n">
        <v>0</v>
      </c>
      <c r="N62" t="n">
        <v>0</v>
      </c>
      <c r="O62" t="n">
        <v>3</v>
      </c>
      <c r="P62" t="n">
        <v>2</v>
      </c>
      <c r="Q62" t="n">
        <v>3</v>
      </c>
      <c r="R62" s="2" t="inlineStr">
        <is>
          <t>Liten blekspik
Ostticka
Vedtrappmossa</t>
        </is>
      </c>
      <c r="S62">
        <f>HYPERLINK("https://klasma.github.io/Logging_0380/artfynd/A 49258-2019 artfynd.xlsx", "A 49258-2019")</f>
        <v/>
      </c>
      <c r="T62">
        <f>HYPERLINK("https://klasma.github.io/Logging_0380/kartor/A 49258-2019 karta.png", "A 49258-2019")</f>
        <v/>
      </c>
      <c r="V62">
        <f>HYPERLINK("https://klasma.github.io/Logging_0380/klagomål/A 49258-2019 FSC-klagomål.docx", "A 49258-2019")</f>
        <v/>
      </c>
      <c r="W62">
        <f>HYPERLINK("https://klasma.github.io/Logging_0380/klagomålsmail/A 49258-2019 FSC-klagomål mail.docx", "A 49258-2019")</f>
        <v/>
      </c>
      <c r="X62">
        <f>HYPERLINK("https://klasma.github.io/Logging_0380/tillsyn/A 49258-2019 tillsynsbegäran.docx", "A 49258-2019")</f>
        <v/>
      </c>
      <c r="Y62">
        <f>HYPERLINK("https://klasma.github.io/Logging_0380/tillsynsmail/A 49258-2019 tillsynsbegäran mail.docx", "A 49258-2019")</f>
        <v/>
      </c>
    </row>
    <row r="63" ht="15" customHeight="1">
      <c r="A63" t="inlineStr">
        <is>
          <t>A 63909-2019</t>
        </is>
      </c>
      <c r="B63" s="1" t="n">
        <v>43796</v>
      </c>
      <c r="C63" s="1" t="n">
        <v>45474</v>
      </c>
      <c r="D63" t="inlineStr">
        <is>
          <t>UPPSALA LÄN</t>
        </is>
      </c>
      <c r="E63" t="inlineStr">
        <is>
          <t>UPPSALA</t>
        </is>
      </c>
      <c r="F63" t="inlineStr">
        <is>
          <t>Holmen skog AB</t>
        </is>
      </c>
      <c r="G63" t="n">
        <v>3.8</v>
      </c>
      <c r="H63" t="n">
        <v>0</v>
      </c>
      <c r="I63" t="n">
        <v>0</v>
      </c>
      <c r="J63" t="n">
        <v>3</v>
      </c>
      <c r="K63" t="n">
        <v>0</v>
      </c>
      <c r="L63" t="n">
        <v>0</v>
      </c>
      <c r="M63" t="n">
        <v>0</v>
      </c>
      <c r="N63" t="n">
        <v>0</v>
      </c>
      <c r="O63" t="n">
        <v>3</v>
      </c>
      <c r="P63" t="n">
        <v>0</v>
      </c>
      <c r="Q63" t="n">
        <v>3</v>
      </c>
      <c r="R63" s="2" t="inlineStr">
        <is>
          <t>Ekticka
Rödbrun blekspik
Skuggorangelav</t>
        </is>
      </c>
      <c r="S63">
        <f>HYPERLINK("https://klasma.github.io/Logging_0380/artfynd/A 63909-2019 artfynd.xlsx", "A 63909-2019")</f>
        <v/>
      </c>
      <c r="T63">
        <f>HYPERLINK("https://klasma.github.io/Logging_0380/kartor/A 63909-2019 karta.png", "A 63909-2019")</f>
        <v/>
      </c>
      <c r="V63">
        <f>HYPERLINK("https://klasma.github.io/Logging_0380/klagomål/A 63909-2019 FSC-klagomål.docx", "A 63909-2019")</f>
        <v/>
      </c>
      <c r="W63">
        <f>HYPERLINK("https://klasma.github.io/Logging_0380/klagomålsmail/A 63909-2019 FSC-klagomål mail.docx", "A 63909-2019")</f>
        <v/>
      </c>
      <c r="X63">
        <f>HYPERLINK("https://klasma.github.io/Logging_0380/tillsyn/A 63909-2019 tillsynsbegäran.docx", "A 63909-2019")</f>
        <v/>
      </c>
      <c r="Y63">
        <f>HYPERLINK("https://klasma.github.io/Logging_0380/tillsynsmail/A 63909-2019 tillsynsbegäran mail.docx", "A 63909-2019")</f>
        <v/>
      </c>
    </row>
    <row r="64" ht="15" customHeight="1">
      <c r="A64" t="inlineStr">
        <is>
          <t>A 56107-2020</t>
        </is>
      </c>
      <c r="B64" s="1" t="n">
        <v>44133</v>
      </c>
      <c r="C64" s="1" t="n">
        <v>45474</v>
      </c>
      <c r="D64" t="inlineStr">
        <is>
          <t>UPPSALA LÄN</t>
        </is>
      </c>
      <c r="E64" t="inlineStr">
        <is>
          <t>UPPSALA</t>
        </is>
      </c>
      <c r="F64" t="inlineStr">
        <is>
          <t>Allmännings- och besparingsskogar</t>
        </is>
      </c>
      <c r="G64" t="n">
        <v>45.6</v>
      </c>
      <c r="H64" t="n">
        <v>3</v>
      </c>
      <c r="I64" t="n">
        <v>0</v>
      </c>
      <c r="J64" t="n">
        <v>1</v>
      </c>
      <c r="K64" t="n">
        <v>0</v>
      </c>
      <c r="L64" t="n">
        <v>0</v>
      </c>
      <c r="M64" t="n">
        <v>0</v>
      </c>
      <c r="N64" t="n">
        <v>0</v>
      </c>
      <c r="O64" t="n">
        <v>1</v>
      </c>
      <c r="P64" t="n">
        <v>0</v>
      </c>
      <c r="Q64" t="n">
        <v>3</v>
      </c>
      <c r="R64" s="2" t="inlineStr">
        <is>
          <t>Nordfladdermus
Dvärgpipistrell
Vattenfladdermus</t>
        </is>
      </c>
      <c r="S64">
        <f>HYPERLINK("https://klasma.github.io/Logging_0380/artfynd/A 56107-2020 artfynd.xlsx", "A 56107-2020")</f>
        <v/>
      </c>
      <c r="T64">
        <f>HYPERLINK("https://klasma.github.io/Logging_0380/kartor/A 56107-2020 karta.png", "A 56107-2020")</f>
        <v/>
      </c>
      <c r="V64">
        <f>HYPERLINK("https://klasma.github.io/Logging_0380/klagomål/A 56107-2020 FSC-klagomål.docx", "A 56107-2020")</f>
        <v/>
      </c>
      <c r="W64">
        <f>HYPERLINK("https://klasma.github.io/Logging_0380/klagomålsmail/A 56107-2020 FSC-klagomål mail.docx", "A 56107-2020")</f>
        <v/>
      </c>
      <c r="X64">
        <f>HYPERLINK("https://klasma.github.io/Logging_0380/tillsyn/A 56107-2020 tillsynsbegäran.docx", "A 56107-2020")</f>
        <v/>
      </c>
      <c r="Y64">
        <f>HYPERLINK("https://klasma.github.io/Logging_0380/tillsynsmail/A 56107-2020 tillsynsbegäran mail.docx", "A 56107-2020")</f>
        <v/>
      </c>
    </row>
    <row r="65" ht="15" customHeight="1">
      <c r="A65" t="inlineStr">
        <is>
          <t>A 60038-2021</t>
        </is>
      </c>
      <c r="B65" s="1" t="n">
        <v>44495</v>
      </c>
      <c r="C65" s="1" t="n">
        <v>45474</v>
      </c>
      <c r="D65" t="inlineStr">
        <is>
          <t>UPPSALA LÄN</t>
        </is>
      </c>
      <c r="E65" t="inlineStr">
        <is>
          <t>UPPSALA</t>
        </is>
      </c>
      <c r="G65" t="n">
        <v>1.2</v>
      </c>
      <c r="H65" t="n">
        <v>1</v>
      </c>
      <c r="I65" t="n">
        <v>0</v>
      </c>
      <c r="J65" t="n">
        <v>1</v>
      </c>
      <c r="K65" t="n">
        <v>1</v>
      </c>
      <c r="L65" t="n">
        <v>0</v>
      </c>
      <c r="M65" t="n">
        <v>0</v>
      </c>
      <c r="N65" t="n">
        <v>0</v>
      </c>
      <c r="O65" t="n">
        <v>2</v>
      </c>
      <c r="P65" t="n">
        <v>1</v>
      </c>
      <c r="Q65" t="n">
        <v>3</v>
      </c>
      <c r="R65" s="2" t="inlineStr">
        <is>
          <t>Rynkskinn
Ullticka
Blåsippa</t>
        </is>
      </c>
      <c r="S65">
        <f>HYPERLINK("https://klasma.github.io/Logging_0380/artfynd/A 60038-2021 artfynd.xlsx", "A 60038-2021")</f>
        <v/>
      </c>
      <c r="T65">
        <f>HYPERLINK("https://klasma.github.io/Logging_0380/kartor/A 60038-2021 karta.png", "A 60038-2021")</f>
        <v/>
      </c>
      <c r="V65">
        <f>HYPERLINK("https://klasma.github.io/Logging_0380/klagomål/A 60038-2021 FSC-klagomål.docx", "A 60038-2021")</f>
        <v/>
      </c>
      <c r="W65">
        <f>HYPERLINK("https://klasma.github.io/Logging_0380/klagomålsmail/A 60038-2021 FSC-klagomål mail.docx", "A 60038-2021")</f>
        <v/>
      </c>
      <c r="X65">
        <f>HYPERLINK("https://klasma.github.io/Logging_0380/tillsyn/A 60038-2021 tillsynsbegäran.docx", "A 60038-2021")</f>
        <v/>
      </c>
      <c r="Y65">
        <f>HYPERLINK("https://klasma.github.io/Logging_0380/tillsynsmail/A 60038-2021 tillsynsbegäran mail.docx", "A 60038-2021")</f>
        <v/>
      </c>
    </row>
    <row r="66" ht="15" customHeight="1">
      <c r="A66" t="inlineStr">
        <is>
          <t>A 14313-2022</t>
        </is>
      </c>
      <c r="B66" s="1" t="n">
        <v>44652</v>
      </c>
      <c r="C66" s="1" t="n">
        <v>45474</v>
      </c>
      <c r="D66" t="inlineStr">
        <is>
          <t>UPPSALA LÄN</t>
        </is>
      </c>
      <c r="E66" t="inlineStr">
        <is>
          <t>UPPSALA</t>
        </is>
      </c>
      <c r="F66" t="inlineStr">
        <is>
          <t>Holmen skog AB</t>
        </is>
      </c>
      <c r="G66" t="n">
        <v>1.7</v>
      </c>
      <c r="H66" t="n">
        <v>2</v>
      </c>
      <c r="I66" t="n">
        <v>1</v>
      </c>
      <c r="J66" t="n">
        <v>0</v>
      </c>
      <c r="K66" t="n">
        <v>0</v>
      </c>
      <c r="L66" t="n">
        <v>0</v>
      </c>
      <c r="M66" t="n">
        <v>0</v>
      </c>
      <c r="N66" t="n">
        <v>0</v>
      </c>
      <c r="O66" t="n">
        <v>0</v>
      </c>
      <c r="P66" t="n">
        <v>0</v>
      </c>
      <c r="Q66" t="n">
        <v>3</v>
      </c>
      <c r="R66" s="2" t="inlineStr">
        <is>
          <t>Vätteros
Blåsippa
Gullviva</t>
        </is>
      </c>
      <c r="S66">
        <f>HYPERLINK("https://klasma.github.io/Logging_0380/artfynd/A 14313-2022 artfynd.xlsx", "A 14313-2022")</f>
        <v/>
      </c>
      <c r="T66">
        <f>HYPERLINK("https://klasma.github.io/Logging_0380/kartor/A 14313-2022 karta.png", "A 14313-2022")</f>
        <v/>
      </c>
      <c r="V66">
        <f>HYPERLINK("https://klasma.github.io/Logging_0380/klagomål/A 14313-2022 FSC-klagomål.docx", "A 14313-2022")</f>
        <v/>
      </c>
      <c r="W66">
        <f>HYPERLINK("https://klasma.github.io/Logging_0380/klagomålsmail/A 14313-2022 FSC-klagomål mail.docx", "A 14313-2022")</f>
        <v/>
      </c>
      <c r="X66">
        <f>HYPERLINK("https://klasma.github.io/Logging_0380/tillsyn/A 14313-2022 tillsynsbegäran.docx", "A 14313-2022")</f>
        <v/>
      </c>
      <c r="Y66">
        <f>HYPERLINK("https://klasma.github.io/Logging_0380/tillsynsmail/A 14313-2022 tillsynsbegäran mail.docx", "A 14313-2022")</f>
        <v/>
      </c>
    </row>
    <row r="67" ht="15" customHeight="1">
      <c r="A67" t="inlineStr">
        <is>
          <t>A 18079-2022</t>
        </is>
      </c>
      <c r="B67" s="1" t="n">
        <v>44684</v>
      </c>
      <c r="C67" s="1" t="n">
        <v>45474</v>
      </c>
      <c r="D67" t="inlineStr">
        <is>
          <t>UPPSALA LÄN</t>
        </is>
      </c>
      <c r="E67" t="inlineStr">
        <is>
          <t>UPPSALA</t>
        </is>
      </c>
      <c r="G67" t="n">
        <v>2</v>
      </c>
      <c r="H67" t="n">
        <v>0</v>
      </c>
      <c r="I67" t="n">
        <v>2</v>
      </c>
      <c r="J67" t="n">
        <v>0</v>
      </c>
      <c r="K67" t="n">
        <v>1</v>
      </c>
      <c r="L67" t="n">
        <v>0</v>
      </c>
      <c r="M67" t="n">
        <v>0</v>
      </c>
      <c r="N67" t="n">
        <v>0</v>
      </c>
      <c r="O67" t="n">
        <v>1</v>
      </c>
      <c r="P67" t="n">
        <v>1</v>
      </c>
      <c r="Q67" t="n">
        <v>3</v>
      </c>
      <c r="R67" s="2" t="inlineStr">
        <is>
          <t>Aspfjädermossa
Dvärgtufs
Skinnlav</t>
        </is>
      </c>
      <c r="S67">
        <f>HYPERLINK("https://klasma.github.io/Logging_0380/artfynd/A 18079-2022 artfynd.xlsx", "A 18079-2022")</f>
        <v/>
      </c>
      <c r="T67">
        <f>HYPERLINK("https://klasma.github.io/Logging_0380/kartor/A 18079-2022 karta.png", "A 18079-2022")</f>
        <v/>
      </c>
      <c r="V67">
        <f>HYPERLINK("https://klasma.github.io/Logging_0380/klagomål/A 18079-2022 FSC-klagomål.docx", "A 18079-2022")</f>
        <v/>
      </c>
      <c r="W67">
        <f>HYPERLINK("https://klasma.github.io/Logging_0380/klagomålsmail/A 18079-2022 FSC-klagomål mail.docx", "A 18079-2022")</f>
        <v/>
      </c>
      <c r="X67">
        <f>HYPERLINK("https://klasma.github.io/Logging_0380/tillsyn/A 18079-2022 tillsynsbegäran.docx", "A 18079-2022")</f>
        <v/>
      </c>
      <c r="Y67">
        <f>HYPERLINK("https://klasma.github.io/Logging_0380/tillsynsmail/A 18079-2022 tillsynsbegäran mail.docx", "A 18079-2022")</f>
        <v/>
      </c>
    </row>
    <row r="68" ht="15" customHeight="1">
      <c r="A68" t="inlineStr">
        <is>
          <t>A 19373-2022</t>
        </is>
      </c>
      <c r="B68" s="1" t="n">
        <v>44692</v>
      </c>
      <c r="C68" s="1" t="n">
        <v>45474</v>
      </c>
      <c r="D68" t="inlineStr">
        <is>
          <t>UPPSALA LÄN</t>
        </is>
      </c>
      <c r="E68" t="inlineStr">
        <is>
          <t>UPPSALA</t>
        </is>
      </c>
      <c r="F68" t="inlineStr">
        <is>
          <t>Bergvik skog öst AB</t>
        </is>
      </c>
      <c r="G68" t="n">
        <v>12.2</v>
      </c>
      <c r="H68" t="n">
        <v>1</v>
      </c>
      <c r="I68" t="n">
        <v>1</v>
      </c>
      <c r="J68" t="n">
        <v>0</v>
      </c>
      <c r="K68" t="n">
        <v>0</v>
      </c>
      <c r="L68" t="n">
        <v>1</v>
      </c>
      <c r="M68" t="n">
        <v>0</v>
      </c>
      <c r="N68" t="n">
        <v>0</v>
      </c>
      <c r="O68" t="n">
        <v>1</v>
      </c>
      <c r="P68" t="n">
        <v>1</v>
      </c>
      <c r="Q68" t="n">
        <v>3</v>
      </c>
      <c r="R68" s="2" t="inlineStr">
        <is>
          <t>Ask
Sårläka
Blåsippa</t>
        </is>
      </c>
      <c r="S68">
        <f>HYPERLINK("https://klasma.github.io/Logging_0380/artfynd/A 19373-2022 artfynd.xlsx", "A 19373-2022")</f>
        <v/>
      </c>
      <c r="T68">
        <f>HYPERLINK("https://klasma.github.io/Logging_0380/kartor/A 19373-2022 karta.png", "A 19373-2022")</f>
        <v/>
      </c>
      <c r="V68">
        <f>HYPERLINK("https://klasma.github.io/Logging_0380/klagomål/A 19373-2022 FSC-klagomål.docx", "A 19373-2022")</f>
        <v/>
      </c>
      <c r="W68">
        <f>HYPERLINK("https://klasma.github.io/Logging_0380/klagomålsmail/A 19373-2022 FSC-klagomål mail.docx", "A 19373-2022")</f>
        <v/>
      </c>
      <c r="X68">
        <f>HYPERLINK("https://klasma.github.io/Logging_0380/tillsyn/A 19373-2022 tillsynsbegäran.docx", "A 19373-2022")</f>
        <v/>
      </c>
      <c r="Y68">
        <f>HYPERLINK("https://klasma.github.io/Logging_0380/tillsynsmail/A 19373-2022 tillsynsbegäran mail.docx", "A 19373-2022")</f>
        <v/>
      </c>
    </row>
    <row r="69" ht="15" customHeight="1">
      <c r="A69" t="inlineStr">
        <is>
          <t>A 34147-2022</t>
        </is>
      </c>
      <c r="B69" s="1" t="n">
        <v>44791</v>
      </c>
      <c r="C69" s="1" t="n">
        <v>45474</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36471-2022</t>
        </is>
      </c>
      <c r="B70" s="1" t="n">
        <v>44804</v>
      </c>
      <c r="C70" s="1" t="n">
        <v>45474</v>
      </c>
      <c r="D70" t="inlineStr">
        <is>
          <t>UPPSALA LÄN</t>
        </is>
      </c>
      <c r="E70" t="inlineStr">
        <is>
          <t>UPPSALA</t>
        </is>
      </c>
      <c r="G70" t="n">
        <v>4.2</v>
      </c>
      <c r="H70" t="n">
        <v>0</v>
      </c>
      <c r="I70" t="n">
        <v>3</v>
      </c>
      <c r="J70" t="n">
        <v>0</v>
      </c>
      <c r="K70" t="n">
        <v>0</v>
      </c>
      <c r="L70" t="n">
        <v>0</v>
      </c>
      <c r="M70" t="n">
        <v>0</v>
      </c>
      <c r="N70" t="n">
        <v>0</v>
      </c>
      <c r="O70" t="n">
        <v>0</v>
      </c>
      <c r="P70" t="n">
        <v>0</v>
      </c>
      <c r="Q70" t="n">
        <v>3</v>
      </c>
      <c r="R70" s="2" t="inlineStr">
        <is>
          <t>Bronshjon
Spindelbock
Stor aspticka</t>
        </is>
      </c>
      <c r="S70">
        <f>HYPERLINK("https://klasma.github.io/Logging_0380/artfynd/A 36471-2022 artfynd.xlsx", "A 36471-2022")</f>
        <v/>
      </c>
      <c r="T70">
        <f>HYPERLINK("https://klasma.github.io/Logging_0380/kartor/A 36471-2022 karta.png", "A 36471-2022")</f>
        <v/>
      </c>
      <c r="V70">
        <f>HYPERLINK("https://klasma.github.io/Logging_0380/klagomål/A 36471-2022 FSC-klagomål.docx", "A 36471-2022")</f>
        <v/>
      </c>
      <c r="W70">
        <f>HYPERLINK("https://klasma.github.io/Logging_0380/klagomålsmail/A 36471-2022 FSC-klagomål mail.docx", "A 36471-2022")</f>
        <v/>
      </c>
      <c r="X70">
        <f>HYPERLINK("https://klasma.github.io/Logging_0380/tillsyn/A 36471-2022 tillsynsbegäran.docx", "A 36471-2022")</f>
        <v/>
      </c>
      <c r="Y70">
        <f>HYPERLINK("https://klasma.github.io/Logging_0380/tillsynsmail/A 36471-2022 tillsynsbegäran mail.docx", "A 36471-2022")</f>
        <v/>
      </c>
    </row>
    <row r="71" ht="15" customHeight="1">
      <c r="A71" t="inlineStr">
        <is>
          <t>A 4586-2023</t>
        </is>
      </c>
      <c r="B71" s="1" t="n">
        <v>44956</v>
      </c>
      <c r="C71" s="1" t="n">
        <v>45474</v>
      </c>
      <c r="D71" t="inlineStr">
        <is>
          <t>UPPSALA LÄN</t>
        </is>
      </c>
      <c r="E71" t="inlineStr">
        <is>
          <t>UPPSALA</t>
        </is>
      </c>
      <c r="G71" t="n">
        <v>12.2</v>
      </c>
      <c r="H71" t="n">
        <v>1</v>
      </c>
      <c r="I71" t="n">
        <v>2</v>
      </c>
      <c r="J71" t="n">
        <v>0</v>
      </c>
      <c r="K71" t="n">
        <v>0</v>
      </c>
      <c r="L71" t="n">
        <v>0</v>
      </c>
      <c r="M71" t="n">
        <v>0</v>
      </c>
      <c r="N71" t="n">
        <v>0</v>
      </c>
      <c r="O71" t="n">
        <v>0</v>
      </c>
      <c r="P71" t="n">
        <v>0</v>
      </c>
      <c r="Q71" t="n">
        <v>3</v>
      </c>
      <c r="R71" s="2" t="inlineStr">
        <is>
          <t>Barkticka
Vedticka
Vanlig padda</t>
        </is>
      </c>
      <c r="S71">
        <f>HYPERLINK("https://klasma.github.io/Logging_0380/artfynd/A 4586-2023 artfynd.xlsx", "A 4586-2023")</f>
        <v/>
      </c>
      <c r="T71">
        <f>HYPERLINK("https://klasma.github.io/Logging_0380/kartor/A 4586-2023 karta.png", "A 4586-2023")</f>
        <v/>
      </c>
      <c r="V71">
        <f>HYPERLINK("https://klasma.github.io/Logging_0380/klagomål/A 4586-2023 FSC-klagomål.docx", "A 4586-2023")</f>
        <v/>
      </c>
      <c r="W71">
        <f>HYPERLINK("https://klasma.github.io/Logging_0380/klagomålsmail/A 4586-2023 FSC-klagomål mail.docx", "A 4586-2023")</f>
        <v/>
      </c>
      <c r="X71">
        <f>HYPERLINK("https://klasma.github.io/Logging_0380/tillsyn/A 4586-2023 tillsynsbegäran.docx", "A 4586-2023")</f>
        <v/>
      </c>
      <c r="Y71">
        <f>HYPERLINK("https://klasma.github.io/Logging_0380/tillsynsmail/A 4586-2023 tillsynsbegäran mail.docx", "A 4586-2023")</f>
        <v/>
      </c>
    </row>
    <row r="72" ht="15" customHeight="1">
      <c r="A72" t="inlineStr">
        <is>
          <t>A 7752-2023</t>
        </is>
      </c>
      <c r="B72" s="1" t="n">
        <v>44973</v>
      </c>
      <c r="C72" s="1" t="n">
        <v>45474</v>
      </c>
      <c r="D72" t="inlineStr">
        <is>
          <t>UPPSALA LÄN</t>
        </is>
      </c>
      <c r="E72" t="inlineStr">
        <is>
          <t>UPPSALA</t>
        </is>
      </c>
      <c r="F72" t="inlineStr">
        <is>
          <t>Sveaskog</t>
        </is>
      </c>
      <c r="G72" t="n">
        <v>0.6</v>
      </c>
      <c r="H72" t="n">
        <v>1</v>
      </c>
      <c r="I72" t="n">
        <v>2</v>
      </c>
      <c r="J72" t="n">
        <v>0</v>
      </c>
      <c r="K72" t="n">
        <v>0</v>
      </c>
      <c r="L72" t="n">
        <v>0</v>
      </c>
      <c r="M72" t="n">
        <v>0</v>
      </c>
      <c r="N72" t="n">
        <v>0</v>
      </c>
      <c r="O72" t="n">
        <v>0</v>
      </c>
      <c r="P72" t="n">
        <v>0</v>
      </c>
      <c r="Q72" t="n">
        <v>3</v>
      </c>
      <c r="R72" s="2" t="inlineStr">
        <is>
          <t>Fjällig taggsvamp s.str.
Skogshakmossa
Blåsippa</t>
        </is>
      </c>
      <c r="S72">
        <f>HYPERLINK("https://klasma.github.io/Logging_0380/artfynd/A 7752-2023 artfynd.xlsx", "A 7752-2023")</f>
        <v/>
      </c>
      <c r="T72">
        <f>HYPERLINK("https://klasma.github.io/Logging_0380/kartor/A 7752-2023 karta.png", "A 7752-2023")</f>
        <v/>
      </c>
      <c r="V72">
        <f>HYPERLINK("https://klasma.github.io/Logging_0380/klagomål/A 7752-2023 FSC-klagomål.docx", "A 7752-2023")</f>
        <v/>
      </c>
      <c r="W72">
        <f>HYPERLINK("https://klasma.github.io/Logging_0380/klagomålsmail/A 7752-2023 FSC-klagomål mail.docx", "A 7752-2023")</f>
        <v/>
      </c>
      <c r="X72">
        <f>HYPERLINK("https://klasma.github.io/Logging_0380/tillsyn/A 7752-2023 tillsynsbegäran.docx", "A 7752-2023")</f>
        <v/>
      </c>
      <c r="Y72">
        <f>HYPERLINK("https://klasma.github.io/Logging_0380/tillsynsmail/A 7752-2023 tillsynsbegäran mail.docx", "A 7752-2023")</f>
        <v/>
      </c>
    </row>
    <row r="73" ht="15" customHeight="1">
      <c r="A73" t="inlineStr">
        <is>
          <t>A 25943-2023</t>
        </is>
      </c>
      <c r="B73" s="1" t="n">
        <v>45090</v>
      </c>
      <c r="C73" s="1" t="n">
        <v>45474</v>
      </c>
      <c r="D73" t="inlineStr">
        <is>
          <t>UPPSALA LÄN</t>
        </is>
      </c>
      <c r="E73" t="inlineStr">
        <is>
          <t>UPPSALA</t>
        </is>
      </c>
      <c r="F73" t="inlineStr">
        <is>
          <t>Holmen skog AB</t>
        </is>
      </c>
      <c r="G73" t="n">
        <v>2.7</v>
      </c>
      <c r="H73" t="n">
        <v>1</v>
      </c>
      <c r="I73" t="n">
        <v>1</v>
      </c>
      <c r="J73" t="n">
        <v>2</v>
      </c>
      <c r="K73" t="n">
        <v>0</v>
      </c>
      <c r="L73" t="n">
        <v>0</v>
      </c>
      <c r="M73" t="n">
        <v>0</v>
      </c>
      <c r="N73" t="n">
        <v>0</v>
      </c>
      <c r="O73" t="n">
        <v>2</v>
      </c>
      <c r="P73" t="n">
        <v>0</v>
      </c>
      <c r="Q73" t="n">
        <v>3</v>
      </c>
      <c r="R73" s="2" t="inlineStr">
        <is>
          <t>Mindre hackspett
Vedtrappmossa
Vedticka</t>
        </is>
      </c>
      <c r="S73">
        <f>HYPERLINK("https://klasma.github.io/Logging_0380/artfynd/A 25943-2023 artfynd.xlsx", "A 25943-2023")</f>
        <v/>
      </c>
      <c r="T73">
        <f>HYPERLINK("https://klasma.github.io/Logging_0380/kartor/A 25943-2023 karta.png", "A 25943-2023")</f>
        <v/>
      </c>
      <c r="V73">
        <f>HYPERLINK("https://klasma.github.io/Logging_0380/klagomål/A 25943-2023 FSC-klagomål.docx", "A 25943-2023")</f>
        <v/>
      </c>
      <c r="W73">
        <f>HYPERLINK("https://klasma.github.io/Logging_0380/klagomålsmail/A 25943-2023 FSC-klagomål mail.docx", "A 25943-2023")</f>
        <v/>
      </c>
      <c r="X73">
        <f>HYPERLINK("https://klasma.github.io/Logging_0380/tillsyn/A 25943-2023 tillsynsbegäran.docx", "A 25943-2023")</f>
        <v/>
      </c>
      <c r="Y73">
        <f>HYPERLINK("https://klasma.github.io/Logging_0380/tillsynsmail/A 25943-2023 tillsynsbegäran mail.docx", "A 25943-2023")</f>
        <v/>
      </c>
      <c r="Z73">
        <f>HYPERLINK("https://klasma.github.io/Logging_0380/fåglar/A 25943-2023 prioriterade fågelarter.docx", "A 25943-2023")</f>
        <v/>
      </c>
    </row>
    <row r="74" ht="15" customHeight="1">
      <c r="A74" t="inlineStr">
        <is>
          <t>A 43942-2023</t>
        </is>
      </c>
      <c r="B74" s="1" t="n">
        <v>45187</v>
      </c>
      <c r="C74" s="1" t="n">
        <v>45474</v>
      </c>
      <c r="D74" t="inlineStr">
        <is>
          <t>UPPSALA LÄN</t>
        </is>
      </c>
      <c r="E74" t="inlineStr">
        <is>
          <t>UPPSALA</t>
        </is>
      </c>
      <c r="F74" t="inlineStr">
        <is>
          <t>Allmännings- och besparingsskogar</t>
        </is>
      </c>
      <c r="G74" t="n">
        <v>31.6</v>
      </c>
      <c r="H74" t="n">
        <v>3</v>
      </c>
      <c r="I74" t="n">
        <v>1</v>
      </c>
      <c r="J74" t="n">
        <v>1</v>
      </c>
      <c r="K74" t="n">
        <v>0</v>
      </c>
      <c r="L74" t="n">
        <v>0</v>
      </c>
      <c r="M74" t="n">
        <v>1</v>
      </c>
      <c r="N74" t="n">
        <v>0</v>
      </c>
      <c r="O74" t="n">
        <v>2</v>
      </c>
      <c r="P74" t="n">
        <v>1</v>
      </c>
      <c r="Q74" t="n">
        <v>3</v>
      </c>
      <c r="R74" s="2" t="inlineStr">
        <is>
          <t>Vedtrådmossa
Slaguggla
Grön sköldmossa</t>
        </is>
      </c>
      <c r="S74">
        <f>HYPERLINK("https://klasma.github.io/Logging_0380/artfynd/A 43942-2023 artfynd.xlsx", "A 43942-2023")</f>
        <v/>
      </c>
      <c r="T74">
        <f>HYPERLINK("https://klasma.github.io/Logging_0380/kartor/A 43942-2023 karta.png", "A 43942-2023")</f>
        <v/>
      </c>
      <c r="V74">
        <f>HYPERLINK("https://klasma.github.io/Logging_0380/klagomål/A 43942-2023 FSC-klagomål.docx", "A 43942-2023")</f>
        <v/>
      </c>
      <c r="W74">
        <f>HYPERLINK("https://klasma.github.io/Logging_0380/klagomålsmail/A 43942-2023 FSC-klagomål mail.docx", "A 43942-2023")</f>
        <v/>
      </c>
      <c r="X74">
        <f>HYPERLINK("https://klasma.github.io/Logging_0380/tillsyn/A 43942-2023 tillsynsbegäran.docx", "A 43942-2023")</f>
        <v/>
      </c>
      <c r="Y74">
        <f>HYPERLINK("https://klasma.github.io/Logging_0380/tillsynsmail/A 43942-2023 tillsynsbegäran mail.docx", "A 43942-2023")</f>
        <v/>
      </c>
      <c r="Z74">
        <f>HYPERLINK("https://klasma.github.io/Logging_0380/fåglar/A 43942-2023 prioriterade fågelarter.docx", "A 43942-2023")</f>
        <v/>
      </c>
    </row>
    <row r="75" ht="15" customHeight="1">
      <c r="A75" t="inlineStr">
        <is>
          <t>A 25607-2019</t>
        </is>
      </c>
      <c r="B75" s="1" t="n">
        <v>43607</v>
      </c>
      <c r="C75" s="1" t="n">
        <v>45474</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45474</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45474</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45474</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45474</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45474</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45474</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45474</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45474</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45474</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45474</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45474</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45474</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44675-2023</t>
        </is>
      </c>
      <c r="B88" s="1" t="n">
        <v>45189</v>
      </c>
      <c r="C88" s="1" t="n">
        <v>45474</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51749-2023</t>
        </is>
      </c>
      <c r="B89" s="1" t="n">
        <v>45222</v>
      </c>
      <c r="C89" s="1" t="n">
        <v>45474</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60703-2023</t>
        </is>
      </c>
      <c r="B90" s="1" t="n">
        <v>45260</v>
      </c>
      <c r="C90" s="1" t="n">
        <v>45474</v>
      </c>
      <c r="D90" t="inlineStr">
        <is>
          <t>UPPSALA LÄN</t>
        </is>
      </c>
      <c r="E90" t="inlineStr">
        <is>
          <t>UPPSALA</t>
        </is>
      </c>
      <c r="G90" t="n">
        <v>1.6</v>
      </c>
      <c r="H90" t="n">
        <v>0</v>
      </c>
      <c r="I90" t="n">
        <v>2</v>
      </c>
      <c r="J90" t="n">
        <v>0</v>
      </c>
      <c r="K90" t="n">
        <v>0</v>
      </c>
      <c r="L90" t="n">
        <v>0</v>
      </c>
      <c r="M90" t="n">
        <v>0</v>
      </c>
      <c r="N90" t="n">
        <v>0</v>
      </c>
      <c r="O90" t="n">
        <v>0</v>
      </c>
      <c r="P90" t="n">
        <v>0</v>
      </c>
      <c r="Q90" t="n">
        <v>2</v>
      </c>
      <c r="R90" s="2" t="inlineStr">
        <is>
          <t>Kantjordstjärna
Svavelriska</t>
        </is>
      </c>
      <c r="S90">
        <f>HYPERLINK("https://klasma.github.io/Logging_0380/artfynd/A 60703-2023 artfynd.xlsx", "A 60703-2023")</f>
        <v/>
      </c>
      <c r="T90">
        <f>HYPERLINK("https://klasma.github.io/Logging_0380/kartor/A 60703-2023 karta.png", "A 60703-2023")</f>
        <v/>
      </c>
      <c r="V90">
        <f>HYPERLINK("https://klasma.github.io/Logging_0380/klagomål/A 60703-2023 FSC-klagomål.docx", "A 60703-2023")</f>
        <v/>
      </c>
      <c r="W90">
        <f>HYPERLINK("https://klasma.github.io/Logging_0380/klagomålsmail/A 60703-2023 FSC-klagomål mail.docx", "A 60703-2023")</f>
        <v/>
      </c>
      <c r="X90">
        <f>HYPERLINK("https://klasma.github.io/Logging_0380/tillsyn/A 60703-2023 tillsynsbegäran.docx", "A 60703-2023")</f>
        <v/>
      </c>
      <c r="Y90">
        <f>HYPERLINK("https://klasma.github.io/Logging_0380/tillsynsmail/A 60703-2023 tillsynsbegäran mail.docx", "A 60703-2023")</f>
        <v/>
      </c>
    </row>
    <row r="91" ht="15" customHeight="1">
      <c r="A91" t="inlineStr">
        <is>
          <t>A 60712-2023</t>
        </is>
      </c>
      <c r="B91" s="1" t="n">
        <v>45260</v>
      </c>
      <c r="C91" s="1" t="n">
        <v>45474</v>
      </c>
      <c r="D91" t="inlineStr">
        <is>
          <t>UPPSALA LÄN</t>
        </is>
      </c>
      <c r="E91" t="inlineStr">
        <is>
          <t>UPPSALA</t>
        </is>
      </c>
      <c r="G91" t="n">
        <v>1</v>
      </c>
      <c r="H91" t="n">
        <v>0</v>
      </c>
      <c r="I91" t="n">
        <v>1</v>
      </c>
      <c r="J91" t="n">
        <v>1</v>
      </c>
      <c r="K91" t="n">
        <v>0</v>
      </c>
      <c r="L91" t="n">
        <v>0</v>
      </c>
      <c r="M91" t="n">
        <v>0</v>
      </c>
      <c r="N91" t="n">
        <v>0</v>
      </c>
      <c r="O91" t="n">
        <v>1</v>
      </c>
      <c r="P91" t="n">
        <v>0</v>
      </c>
      <c r="Q91" t="n">
        <v>2</v>
      </c>
      <c r="R91" s="2" t="inlineStr">
        <is>
          <t>Tallticka
Blodticka</t>
        </is>
      </c>
      <c r="S91">
        <f>HYPERLINK("https://klasma.github.io/Logging_0380/artfynd/A 60712-2023 artfynd.xlsx", "A 60712-2023")</f>
        <v/>
      </c>
      <c r="T91">
        <f>HYPERLINK("https://klasma.github.io/Logging_0380/kartor/A 60712-2023 karta.png", "A 60712-2023")</f>
        <v/>
      </c>
      <c r="V91">
        <f>HYPERLINK("https://klasma.github.io/Logging_0380/klagomål/A 60712-2023 FSC-klagomål.docx", "A 60712-2023")</f>
        <v/>
      </c>
      <c r="W91">
        <f>HYPERLINK("https://klasma.github.io/Logging_0380/klagomålsmail/A 60712-2023 FSC-klagomål mail.docx", "A 60712-2023")</f>
        <v/>
      </c>
      <c r="X91">
        <f>HYPERLINK("https://klasma.github.io/Logging_0380/tillsyn/A 60712-2023 tillsynsbegäran.docx", "A 60712-2023")</f>
        <v/>
      </c>
      <c r="Y91">
        <f>HYPERLINK("https://klasma.github.io/Logging_0380/tillsynsmail/A 60712-2023 tillsynsbegäran mail.docx", "A 60712-2023")</f>
        <v/>
      </c>
    </row>
    <row r="92" ht="15" customHeight="1">
      <c r="A92" t="inlineStr">
        <is>
          <t>A 11230-2024</t>
        </is>
      </c>
      <c r="B92" s="1" t="n">
        <v>45371</v>
      </c>
      <c r="C92" s="1" t="n">
        <v>45474</v>
      </c>
      <c r="D92" t="inlineStr">
        <is>
          <t>UPPSALA LÄN</t>
        </is>
      </c>
      <c r="E92" t="inlineStr">
        <is>
          <t>UPPSALA</t>
        </is>
      </c>
      <c r="F92" t="inlineStr">
        <is>
          <t>Kommuner</t>
        </is>
      </c>
      <c r="G92" t="n">
        <v>2.1</v>
      </c>
      <c r="H92" t="n">
        <v>0</v>
      </c>
      <c r="I92" t="n">
        <v>1</v>
      </c>
      <c r="J92" t="n">
        <v>1</v>
      </c>
      <c r="K92" t="n">
        <v>0</v>
      </c>
      <c r="L92" t="n">
        <v>0</v>
      </c>
      <c r="M92" t="n">
        <v>0</v>
      </c>
      <c r="N92" t="n">
        <v>0</v>
      </c>
      <c r="O92" t="n">
        <v>1</v>
      </c>
      <c r="P92" t="n">
        <v>0</v>
      </c>
      <c r="Q92" t="n">
        <v>2</v>
      </c>
      <c r="R92" s="2" t="inlineStr">
        <is>
          <t>Tallticka
Fällmossa</t>
        </is>
      </c>
      <c r="S92">
        <f>HYPERLINK("https://klasma.github.io/Logging_0380/artfynd/A 11230-2024 artfynd.xlsx", "A 11230-2024")</f>
        <v/>
      </c>
      <c r="T92">
        <f>HYPERLINK("https://klasma.github.io/Logging_0380/kartor/A 11230-2024 karta.png", "A 11230-2024")</f>
        <v/>
      </c>
      <c r="V92">
        <f>HYPERLINK("https://klasma.github.io/Logging_0380/klagomål/A 11230-2024 FSC-klagomål.docx", "A 11230-2024")</f>
        <v/>
      </c>
      <c r="W92">
        <f>HYPERLINK("https://klasma.github.io/Logging_0380/klagomålsmail/A 11230-2024 FSC-klagomål mail.docx", "A 11230-2024")</f>
        <v/>
      </c>
      <c r="X92">
        <f>HYPERLINK("https://klasma.github.io/Logging_0380/tillsyn/A 11230-2024 tillsynsbegäran.docx", "A 11230-2024")</f>
        <v/>
      </c>
      <c r="Y92">
        <f>HYPERLINK("https://klasma.github.io/Logging_0380/tillsynsmail/A 11230-2024 tillsynsbegäran mail.docx", "A 11230-2024")</f>
        <v/>
      </c>
    </row>
    <row r="93" ht="15" customHeight="1">
      <c r="A93" t="inlineStr">
        <is>
          <t>A 11224-2024</t>
        </is>
      </c>
      <c r="B93" s="1" t="n">
        <v>45371</v>
      </c>
      <c r="C93" s="1" t="n">
        <v>45474</v>
      </c>
      <c r="D93" t="inlineStr">
        <is>
          <t>UPPSALA LÄN</t>
        </is>
      </c>
      <c r="E93" t="inlineStr">
        <is>
          <t>UPPSALA</t>
        </is>
      </c>
      <c r="F93" t="inlineStr">
        <is>
          <t>Kommuner</t>
        </is>
      </c>
      <c r="G93" t="n">
        <v>1.6</v>
      </c>
      <c r="H93" t="n">
        <v>2</v>
      </c>
      <c r="I93" t="n">
        <v>0</v>
      </c>
      <c r="J93" t="n">
        <v>0</v>
      </c>
      <c r="K93" t="n">
        <v>0</v>
      </c>
      <c r="L93" t="n">
        <v>0</v>
      </c>
      <c r="M93" t="n">
        <v>0</v>
      </c>
      <c r="N93" t="n">
        <v>0</v>
      </c>
      <c r="O93" t="n">
        <v>0</v>
      </c>
      <c r="P93" t="n">
        <v>0</v>
      </c>
      <c r="Q93" t="n">
        <v>2</v>
      </c>
      <c r="R93" s="2" t="inlineStr">
        <is>
          <t>Vanlig padda
Blåsippa</t>
        </is>
      </c>
      <c r="S93">
        <f>HYPERLINK("https://klasma.github.io/Logging_0380/artfynd/A 11224-2024 artfynd.xlsx", "A 11224-2024")</f>
        <v/>
      </c>
      <c r="T93">
        <f>HYPERLINK("https://klasma.github.io/Logging_0380/kartor/A 11224-2024 karta.png", "A 11224-2024")</f>
        <v/>
      </c>
      <c r="V93">
        <f>HYPERLINK("https://klasma.github.io/Logging_0380/klagomål/A 11224-2024 FSC-klagomål.docx", "A 11224-2024")</f>
        <v/>
      </c>
      <c r="W93">
        <f>HYPERLINK("https://klasma.github.io/Logging_0380/klagomålsmail/A 11224-2024 FSC-klagomål mail.docx", "A 11224-2024")</f>
        <v/>
      </c>
      <c r="X93">
        <f>HYPERLINK("https://klasma.github.io/Logging_0380/tillsyn/A 11224-2024 tillsynsbegäran.docx", "A 11224-2024")</f>
        <v/>
      </c>
      <c r="Y93">
        <f>HYPERLINK("https://klasma.github.io/Logging_0380/tillsynsmail/A 11224-2024 tillsynsbegäran mail.docx", "A 11224-2024")</f>
        <v/>
      </c>
    </row>
    <row r="94" ht="15" customHeight="1">
      <c r="A94" t="inlineStr">
        <is>
          <t>A 12039-2024</t>
        </is>
      </c>
      <c r="B94" s="1" t="n">
        <v>45377</v>
      </c>
      <c r="C94" s="1" t="n">
        <v>45474</v>
      </c>
      <c r="D94" t="inlineStr">
        <is>
          <t>UPPSALA LÄN</t>
        </is>
      </c>
      <c r="E94" t="inlineStr">
        <is>
          <t>UPPSALA</t>
        </is>
      </c>
      <c r="F94" t="inlineStr">
        <is>
          <t>Allmännings- och besparingsskogar</t>
        </is>
      </c>
      <c r="G94" t="n">
        <v>3.9</v>
      </c>
      <c r="H94" t="n">
        <v>1</v>
      </c>
      <c r="I94" t="n">
        <v>1</v>
      </c>
      <c r="J94" t="n">
        <v>1</v>
      </c>
      <c r="K94" t="n">
        <v>0</v>
      </c>
      <c r="L94" t="n">
        <v>0</v>
      </c>
      <c r="M94" t="n">
        <v>0</v>
      </c>
      <c r="N94" t="n">
        <v>0</v>
      </c>
      <c r="O94" t="n">
        <v>1</v>
      </c>
      <c r="P94" t="n">
        <v>0</v>
      </c>
      <c r="Q94" t="n">
        <v>2</v>
      </c>
      <c r="R94" s="2" t="inlineStr">
        <is>
          <t>Platt spretmossa
Grön sköldmossa</t>
        </is>
      </c>
      <c r="S94">
        <f>HYPERLINK("https://klasma.github.io/Logging_0380/artfynd/A 12039-2024 artfynd.xlsx", "A 12039-2024")</f>
        <v/>
      </c>
      <c r="T94">
        <f>HYPERLINK("https://klasma.github.io/Logging_0380/kartor/A 12039-2024 karta.png", "A 12039-2024")</f>
        <v/>
      </c>
      <c r="V94">
        <f>HYPERLINK("https://klasma.github.io/Logging_0380/klagomål/A 12039-2024 FSC-klagomål.docx", "A 12039-2024")</f>
        <v/>
      </c>
      <c r="W94">
        <f>HYPERLINK("https://klasma.github.io/Logging_0380/klagomålsmail/A 12039-2024 FSC-klagomål mail.docx", "A 12039-2024")</f>
        <v/>
      </c>
      <c r="X94">
        <f>HYPERLINK("https://klasma.github.io/Logging_0380/tillsyn/A 12039-2024 tillsynsbegäran.docx", "A 12039-2024")</f>
        <v/>
      </c>
      <c r="Y94">
        <f>HYPERLINK("https://klasma.github.io/Logging_0380/tillsynsmail/A 12039-2024 tillsynsbegäran mail.docx", "A 12039-2024")</f>
        <v/>
      </c>
    </row>
    <row r="95" ht="15" customHeight="1">
      <c r="A95" t="inlineStr">
        <is>
          <t>A 18347-2024</t>
        </is>
      </c>
      <c r="B95" s="1" t="n">
        <v>45422</v>
      </c>
      <c r="C95" s="1" t="n">
        <v>45474</v>
      </c>
      <c r="D95" t="inlineStr">
        <is>
          <t>UPPSALA LÄN</t>
        </is>
      </c>
      <c r="E95" t="inlineStr">
        <is>
          <t>UPPSALA</t>
        </is>
      </c>
      <c r="F95" t="inlineStr">
        <is>
          <t>Holmen skog AB</t>
        </is>
      </c>
      <c r="G95" t="n">
        <v>3.5</v>
      </c>
      <c r="H95" t="n">
        <v>1</v>
      </c>
      <c r="I95" t="n">
        <v>1</v>
      </c>
      <c r="J95" t="n">
        <v>0</v>
      </c>
      <c r="K95" t="n">
        <v>0</v>
      </c>
      <c r="L95" t="n">
        <v>0</v>
      </c>
      <c r="M95" t="n">
        <v>0</v>
      </c>
      <c r="N95" t="n">
        <v>0</v>
      </c>
      <c r="O95" t="n">
        <v>0</v>
      </c>
      <c r="P95" t="n">
        <v>0</v>
      </c>
      <c r="Q95" t="n">
        <v>2</v>
      </c>
      <c r="R95" s="2" t="inlineStr">
        <is>
          <t>Fällmossa
Blåsippa</t>
        </is>
      </c>
      <c r="S95">
        <f>HYPERLINK("https://klasma.github.io/Logging_0380/artfynd/A 18347-2024 artfynd.xlsx", "A 18347-2024")</f>
        <v/>
      </c>
      <c r="T95">
        <f>HYPERLINK("https://klasma.github.io/Logging_0380/kartor/A 18347-2024 karta.png", "A 18347-2024")</f>
        <v/>
      </c>
      <c r="V95">
        <f>HYPERLINK("https://klasma.github.io/Logging_0380/klagomål/A 18347-2024 FSC-klagomål.docx", "A 18347-2024")</f>
        <v/>
      </c>
      <c r="W95">
        <f>HYPERLINK("https://klasma.github.io/Logging_0380/klagomålsmail/A 18347-2024 FSC-klagomål mail.docx", "A 18347-2024")</f>
        <v/>
      </c>
      <c r="X95">
        <f>HYPERLINK("https://klasma.github.io/Logging_0380/tillsyn/A 18347-2024 tillsynsbegäran.docx", "A 18347-2024")</f>
        <v/>
      </c>
      <c r="Y95">
        <f>HYPERLINK("https://klasma.github.io/Logging_0380/tillsynsmail/A 18347-2024 tillsynsbegäran mail.docx", "A 18347-2024")</f>
        <v/>
      </c>
    </row>
    <row r="96" ht="15" customHeight="1">
      <c r="A96" t="inlineStr">
        <is>
          <t>A 20671-2019</t>
        </is>
      </c>
      <c r="B96" s="1" t="n">
        <v>43572</v>
      </c>
      <c r="C96" s="1" t="n">
        <v>45474</v>
      </c>
      <c r="D96" t="inlineStr">
        <is>
          <t>UPPSALA LÄN</t>
        </is>
      </c>
      <c r="E96" t="inlineStr">
        <is>
          <t>UPPSALA</t>
        </is>
      </c>
      <c r="G96" t="n">
        <v>14.8</v>
      </c>
      <c r="H96" t="n">
        <v>0</v>
      </c>
      <c r="I96" t="n">
        <v>0</v>
      </c>
      <c r="J96" t="n">
        <v>1</v>
      </c>
      <c r="K96" t="n">
        <v>0</v>
      </c>
      <c r="L96" t="n">
        <v>0</v>
      </c>
      <c r="M96" t="n">
        <v>0</v>
      </c>
      <c r="N96" t="n">
        <v>0</v>
      </c>
      <c r="O96" t="n">
        <v>1</v>
      </c>
      <c r="P96" t="n">
        <v>0</v>
      </c>
      <c r="Q96" t="n">
        <v>1</v>
      </c>
      <c r="R96" s="2" t="inlineStr">
        <is>
          <t>Svartöra</t>
        </is>
      </c>
      <c r="S96">
        <f>HYPERLINK("https://klasma.github.io/Logging_0380/artfynd/A 20671-2019 artfynd.xlsx", "A 20671-2019")</f>
        <v/>
      </c>
      <c r="T96">
        <f>HYPERLINK("https://klasma.github.io/Logging_0380/kartor/A 20671-2019 karta.png", "A 20671-2019")</f>
        <v/>
      </c>
      <c r="V96">
        <f>HYPERLINK("https://klasma.github.io/Logging_0380/klagomål/A 20671-2019 FSC-klagomål.docx", "A 20671-2019")</f>
        <v/>
      </c>
      <c r="W96">
        <f>HYPERLINK("https://klasma.github.io/Logging_0380/klagomålsmail/A 20671-2019 FSC-klagomål mail.docx", "A 20671-2019")</f>
        <v/>
      </c>
      <c r="X96">
        <f>HYPERLINK("https://klasma.github.io/Logging_0380/tillsyn/A 20671-2019 tillsynsbegäran.docx", "A 20671-2019")</f>
        <v/>
      </c>
      <c r="Y96">
        <f>HYPERLINK("https://klasma.github.io/Logging_0380/tillsynsmail/A 20671-2019 tillsynsbegäran mail.docx", "A 20671-2019")</f>
        <v/>
      </c>
    </row>
    <row r="97" ht="15" customHeight="1">
      <c r="A97" t="inlineStr">
        <is>
          <t>A 36346-2019</t>
        </is>
      </c>
      <c r="B97" s="1" t="n">
        <v>43661</v>
      </c>
      <c r="C97" s="1" t="n">
        <v>45474</v>
      </c>
      <c r="D97" t="inlineStr">
        <is>
          <t>UPPSALA LÄN</t>
        </is>
      </c>
      <c r="E97" t="inlineStr">
        <is>
          <t>UPPSALA</t>
        </is>
      </c>
      <c r="G97" t="n">
        <v>15.8</v>
      </c>
      <c r="H97" t="n">
        <v>0</v>
      </c>
      <c r="I97" t="n">
        <v>0</v>
      </c>
      <c r="J97" t="n">
        <v>1</v>
      </c>
      <c r="K97" t="n">
        <v>0</v>
      </c>
      <c r="L97" t="n">
        <v>0</v>
      </c>
      <c r="M97" t="n">
        <v>0</v>
      </c>
      <c r="N97" t="n">
        <v>0</v>
      </c>
      <c r="O97" t="n">
        <v>1</v>
      </c>
      <c r="P97" t="n">
        <v>0</v>
      </c>
      <c r="Q97" t="n">
        <v>1</v>
      </c>
      <c r="R97" s="2" t="inlineStr">
        <is>
          <t>Rosenticka</t>
        </is>
      </c>
      <c r="S97">
        <f>HYPERLINK("https://klasma.github.io/Logging_0380/artfynd/A 36346-2019 artfynd.xlsx", "A 36346-2019")</f>
        <v/>
      </c>
      <c r="T97">
        <f>HYPERLINK("https://klasma.github.io/Logging_0380/kartor/A 36346-2019 karta.png", "A 36346-2019")</f>
        <v/>
      </c>
      <c r="V97">
        <f>HYPERLINK("https://klasma.github.io/Logging_0380/klagomål/A 36346-2019 FSC-klagomål.docx", "A 36346-2019")</f>
        <v/>
      </c>
      <c r="W97">
        <f>HYPERLINK("https://klasma.github.io/Logging_0380/klagomålsmail/A 36346-2019 FSC-klagomål mail.docx", "A 36346-2019")</f>
        <v/>
      </c>
      <c r="X97">
        <f>HYPERLINK("https://klasma.github.io/Logging_0380/tillsyn/A 36346-2019 tillsynsbegäran.docx", "A 36346-2019")</f>
        <v/>
      </c>
      <c r="Y97">
        <f>HYPERLINK("https://klasma.github.io/Logging_0380/tillsynsmail/A 36346-2019 tillsynsbegäran mail.docx", "A 36346-2019")</f>
        <v/>
      </c>
    </row>
    <row r="98" ht="15" customHeight="1">
      <c r="A98" t="inlineStr">
        <is>
          <t>A 40104-2019</t>
        </is>
      </c>
      <c r="B98" s="1" t="n">
        <v>43693</v>
      </c>
      <c r="C98" s="1" t="n">
        <v>45474</v>
      </c>
      <c r="D98" t="inlineStr">
        <is>
          <t>UPPSALA LÄN</t>
        </is>
      </c>
      <c r="E98" t="inlineStr">
        <is>
          <t>UPPSALA</t>
        </is>
      </c>
      <c r="G98" t="n">
        <v>1.8</v>
      </c>
      <c r="H98" t="n">
        <v>1</v>
      </c>
      <c r="I98" t="n">
        <v>0</v>
      </c>
      <c r="J98" t="n">
        <v>0</v>
      </c>
      <c r="K98" t="n">
        <v>0</v>
      </c>
      <c r="L98" t="n">
        <v>0</v>
      </c>
      <c r="M98" t="n">
        <v>0</v>
      </c>
      <c r="N98" t="n">
        <v>0</v>
      </c>
      <c r="O98" t="n">
        <v>0</v>
      </c>
      <c r="P98" t="n">
        <v>0</v>
      </c>
      <c r="Q98" t="n">
        <v>1</v>
      </c>
      <c r="R98" s="2" t="inlineStr">
        <is>
          <t>Huggorm</t>
        </is>
      </c>
      <c r="S98">
        <f>HYPERLINK("https://klasma.github.io/Logging_0380/artfynd/A 40104-2019 artfynd.xlsx", "A 40104-2019")</f>
        <v/>
      </c>
      <c r="T98">
        <f>HYPERLINK("https://klasma.github.io/Logging_0380/kartor/A 40104-2019 karta.png", "A 40104-2019")</f>
        <v/>
      </c>
      <c r="V98">
        <f>HYPERLINK("https://klasma.github.io/Logging_0380/klagomål/A 40104-2019 FSC-klagomål.docx", "A 40104-2019")</f>
        <v/>
      </c>
      <c r="W98">
        <f>HYPERLINK("https://klasma.github.io/Logging_0380/klagomålsmail/A 40104-2019 FSC-klagomål mail.docx", "A 40104-2019")</f>
        <v/>
      </c>
      <c r="X98">
        <f>HYPERLINK("https://klasma.github.io/Logging_0380/tillsyn/A 40104-2019 tillsynsbegäran.docx", "A 40104-2019")</f>
        <v/>
      </c>
      <c r="Y98">
        <f>HYPERLINK("https://klasma.github.io/Logging_0380/tillsynsmail/A 40104-2019 tillsynsbegäran mail.docx", "A 40104-2019")</f>
        <v/>
      </c>
    </row>
    <row r="99" ht="15" customHeight="1">
      <c r="A99" t="inlineStr">
        <is>
          <t>A 40111-2019</t>
        </is>
      </c>
      <c r="B99" s="1" t="n">
        <v>43693</v>
      </c>
      <c r="C99" s="1" t="n">
        <v>45474</v>
      </c>
      <c r="D99" t="inlineStr">
        <is>
          <t>UPPSALA LÄN</t>
        </is>
      </c>
      <c r="E99" t="inlineStr">
        <is>
          <t>UPPSALA</t>
        </is>
      </c>
      <c r="G99" t="n">
        <v>1.9</v>
      </c>
      <c r="H99" t="n">
        <v>1</v>
      </c>
      <c r="I99" t="n">
        <v>0</v>
      </c>
      <c r="J99" t="n">
        <v>0</v>
      </c>
      <c r="K99" t="n">
        <v>0</v>
      </c>
      <c r="L99" t="n">
        <v>0</v>
      </c>
      <c r="M99" t="n">
        <v>0</v>
      </c>
      <c r="N99" t="n">
        <v>0</v>
      </c>
      <c r="O99" t="n">
        <v>0</v>
      </c>
      <c r="P99" t="n">
        <v>0</v>
      </c>
      <c r="Q99" t="n">
        <v>1</v>
      </c>
      <c r="R99" s="2" t="inlineStr">
        <is>
          <t>Blåsippa</t>
        </is>
      </c>
      <c r="S99">
        <f>HYPERLINK("https://klasma.github.io/Logging_0380/artfynd/A 40111-2019 artfynd.xlsx", "A 40111-2019")</f>
        <v/>
      </c>
      <c r="T99">
        <f>HYPERLINK("https://klasma.github.io/Logging_0380/kartor/A 40111-2019 karta.png", "A 40111-2019")</f>
        <v/>
      </c>
      <c r="V99">
        <f>HYPERLINK("https://klasma.github.io/Logging_0380/klagomål/A 40111-2019 FSC-klagomål.docx", "A 40111-2019")</f>
        <v/>
      </c>
      <c r="W99">
        <f>HYPERLINK("https://klasma.github.io/Logging_0380/klagomålsmail/A 40111-2019 FSC-klagomål mail.docx", "A 40111-2019")</f>
        <v/>
      </c>
      <c r="X99">
        <f>HYPERLINK("https://klasma.github.io/Logging_0380/tillsyn/A 40111-2019 tillsynsbegäran.docx", "A 40111-2019")</f>
        <v/>
      </c>
      <c r="Y99">
        <f>HYPERLINK("https://klasma.github.io/Logging_0380/tillsynsmail/A 40111-2019 tillsynsbegäran mail.docx", "A 40111-2019")</f>
        <v/>
      </c>
    </row>
    <row r="100" ht="15" customHeight="1">
      <c r="A100" t="inlineStr">
        <is>
          <t>A 49081-2019</t>
        </is>
      </c>
      <c r="B100" s="1" t="n">
        <v>43731</v>
      </c>
      <c r="C100" s="1" t="n">
        <v>45474</v>
      </c>
      <c r="D100" t="inlineStr">
        <is>
          <t>UPPSALA LÄN</t>
        </is>
      </c>
      <c r="E100" t="inlineStr">
        <is>
          <t>UPPSALA</t>
        </is>
      </c>
      <c r="G100" t="n">
        <v>14.4</v>
      </c>
      <c r="H100" t="n">
        <v>1</v>
      </c>
      <c r="I100" t="n">
        <v>0</v>
      </c>
      <c r="J100" t="n">
        <v>0</v>
      </c>
      <c r="K100" t="n">
        <v>0</v>
      </c>
      <c r="L100" t="n">
        <v>0</v>
      </c>
      <c r="M100" t="n">
        <v>0</v>
      </c>
      <c r="N100" t="n">
        <v>0</v>
      </c>
      <c r="O100" t="n">
        <v>0</v>
      </c>
      <c r="P100" t="n">
        <v>0</v>
      </c>
      <c r="Q100" t="n">
        <v>1</v>
      </c>
      <c r="R100" s="2" t="inlineStr">
        <is>
          <t>Vanlig padda</t>
        </is>
      </c>
      <c r="S100">
        <f>HYPERLINK("https://klasma.github.io/Logging_0380/artfynd/A 49081-2019 artfynd.xlsx", "A 49081-2019")</f>
        <v/>
      </c>
      <c r="T100">
        <f>HYPERLINK("https://klasma.github.io/Logging_0380/kartor/A 49081-2019 karta.png", "A 49081-2019")</f>
        <v/>
      </c>
      <c r="V100">
        <f>HYPERLINK("https://klasma.github.io/Logging_0380/klagomål/A 49081-2019 FSC-klagomål.docx", "A 49081-2019")</f>
        <v/>
      </c>
      <c r="W100">
        <f>HYPERLINK("https://klasma.github.io/Logging_0380/klagomålsmail/A 49081-2019 FSC-klagomål mail.docx", "A 49081-2019")</f>
        <v/>
      </c>
      <c r="X100">
        <f>HYPERLINK("https://klasma.github.io/Logging_0380/tillsyn/A 49081-2019 tillsynsbegäran.docx", "A 49081-2019")</f>
        <v/>
      </c>
      <c r="Y100">
        <f>HYPERLINK("https://klasma.github.io/Logging_0380/tillsynsmail/A 49081-2019 tillsynsbegäran mail.docx", "A 49081-2019")</f>
        <v/>
      </c>
    </row>
    <row r="101" ht="15" customHeight="1">
      <c r="A101" t="inlineStr">
        <is>
          <t>A 54859-2019</t>
        </is>
      </c>
      <c r="B101" s="1" t="n">
        <v>43755</v>
      </c>
      <c r="C101" s="1" t="n">
        <v>45474</v>
      </c>
      <c r="D101" t="inlineStr">
        <is>
          <t>UPPSALA LÄN</t>
        </is>
      </c>
      <c r="E101" t="inlineStr">
        <is>
          <t>UPPSALA</t>
        </is>
      </c>
      <c r="G101" t="n">
        <v>2.4</v>
      </c>
      <c r="H101" t="n">
        <v>1</v>
      </c>
      <c r="I101" t="n">
        <v>0</v>
      </c>
      <c r="J101" t="n">
        <v>1</v>
      </c>
      <c r="K101" t="n">
        <v>0</v>
      </c>
      <c r="L101" t="n">
        <v>0</v>
      </c>
      <c r="M101" t="n">
        <v>0</v>
      </c>
      <c r="N101" t="n">
        <v>0</v>
      </c>
      <c r="O101" t="n">
        <v>1</v>
      </c>
      <c r="P101" t="n">
        <v>0</v>
      </c>
      <c r="Q101" t="n">
        <v>1</v>
      </c>
      <c r="R101" s="2" t="inlineStr">
        <is>
          <t>Slaguggla</t>
        </is>
      </c>
      <c r="S101">
        <f>HYPERLINK("https://klasma.github.io/Logging_0380/artfynd/A 54859-2019 artfynd.xlsx", "A 54859-2019")</f>
        <v/>
      </c>
      <c r="T101">
        <f>HYPERLINK("https://klasma.github.io/Logging_0380/kartor/A 54859-2019 karta.png", "A 54859-2019")</f>
        <v/>
      </c>
      <c r="V101">
        <f>HYPERLINK("https://klasma.github.io/Logging_0380/klagomål/A 54859-2019 FSC-klagomål.docx", "A 54859-2019")</f>
        <v/>
      </c>
      <c r="W101">
        <f>HYPERLINK("https://klasma.github.io/Logging_0380/klagomålsmail/A 54859-2019 FSC-klagomål mail.docx", "A 54859-2019")</f>
        <v/>
      </c>
      <c r="X101">
        <f>HYPERLINK("https://klasma.github.io/Logging_0380/tillsyn/A 54859-2019 tillsynsbegäran.docx", "A 54859-2019")</f>
        <v/>
      </c>
      <c r="Y101">
        <f>HYPERLINK("https://klasma.github.io/Logging_0380/tillsynsmail/A 54859-2019 tillsynsbegäran mail.docx", "A 54859-2019")</f>
        <v/>
      </c>
      <c r="Z101">
        <f>HYPERLINK("https://klasma.github.io/Logging_0380/fåglar/A 54859-2019 prioriterade fågelarter.docx", "A 54859-2019")</f>
        <v/>
      </c>
    </row>
    <row r="102" ht="15" customHeight="1">
      <c r="A102" t="inlineStr">
        <is>
          <t>A 6659-2020</t>
        </is>
      </c>
      <c r="B102" s="1" t="n">
        <v>43867</v>
      </c>
      <c r="C102" s="1" t="n">
        <v>45474</v>
      </c>
      <c r="D102" t="inlineStr">
        <is>
          <t>UPPSALA LÄN</t>
        </is>
      </c>
      <c r="E102" t="inlineStr">
        <is>
          <t>UPPSALA</t>
        </is>
      </c>
      <c r="G102" t="n">
        <v>3.4</v>
      </c>
      <c r="H102" t="n">
        <v>1</v>
      </c>
      <c r="I102" t="n">
        <v>0</v>
      </c>
      <c r="J102" t="n">
        <v>0</v>
      </c>
      <c r="K102" t="n">
        <v>0</v>
      </c>
      <c r="L102" t="n">
        <v>0</v>
      </c>
      <c r="M102" t="n">
        <v>0</v>
      </c>
      <c r="N102" t="n">
        <v>0</v>
      </c>
      <c r="O102" t="n">
        <v>0</v>
      </c>
      <c r="P102" t="n">
        <v>0</v>
      </c>
      <c r="Q102" t="n">
        <v>1</v>
      </c>
      <c r="R102" s="2" t="inlineStr">
        <is>
          <t>Mindre vattensalamander</t>
        </is>
      </c>
      <c r="S102">
        <f>HYPERLINK("https://klasma.github.io/Logging_0380/artfynd/A 6659-2020 artfynd.xlsx", "A 6659-2020")</f>
        <v/>
      </c>
      <c r="T102">
        <f>HYPERLINK("https://klasma.github.io/Logging_0380/kartor/A 6659-2020 karta.png", "A 6659-2020")</f>
        <v/>
      </c>
      <c r="V102">
        <f>HYPERLINK("https://klasma.github.io/Logging_0380/klagomål/A 6659-2020 FSC-klagomål.docx", "A 6659-2020")</f>
        <v/>
      </c>
      <c r="W102">
        <f>HYPERLINK("https://klasma.github.io/Logging_0380/klagomålsmail/A 6659-2020 FSC-klagomål mail.docx", "A 6659-2020")</f>
        <v/>
      </c>
      <c r="X102">
        <f>HYPERLINK("https://klasma.github.io/Logging_0380/tillsyn/A 6659-2020 tillsynsbegäran.docx", "A 6659-2020")</f>
        <v/>
      </c>
      <c r="Y102">
        <f>HYPERLINK("https://klasma.github.io/Logging_0380/tillsynsmail/A 6659-2020 tillsynsbegäran mail.docx", "A 6659-2020")</f>
        <v/>
      </c>
    </row>
    <row r="103" ht="15" customHeight="1">
      <c r="A103" t="inlineStr">
        <is>
          <t>A 8678-2020</t>
        </is>
      </c>
      <c r="B103" s="1" t="n">
        <v>43878</v>
      </c>
      <c r="C103" s="1" t="n">
        <v>45474</v>
      </c>
      <c r="D103" t="inlineStr">
        <is>
          <t>UPPSALA LÄN</t>
        </is>
      </c>
      <c r="E103" t="inlineStr">
        <is>
          <t>UPPSALA</t>
        </is>
      </c>
      <c r="G103" t="n">
        <v>1.8</v>
      </c>
      <c r="H103" t="n">
        <v>1</v>
      </c>
      <c r="I103" t="n">
        <v>0</v>
      </c>
      <c r="J103" t="n">
        <v>1</v>
      </c>
      <c r="K103" t="n">
        <v>0</v>
      </c>
      <c r="L103" t="n">
        <v>0</v>
      </c>
      <c r="M103" t="n">
        <v>0</v>
      </c>
      <c r="N103" t="n">
        <v>0</v>
      </c>
      <c r="O103" t="n">
        <v>1</v>
      </c>
      <c r="P103" t="n">
        <v>0</v>
      </c>
      <c r="Q103" t="n">
        <v>1</v>
      </c>
      <c r="R103" s="2" t="inlineStr">
        <is>
          <t>Spillkråka</t>
        </is>
      </c>
      <c r="S103">
        <f>HYPERLINK("https://klasma.github.io/Logging_0380/artfynd/A 8678-2020 artfynd.xlsx", "A 8678-2020")</f>
        <v/>
      </c>
      <c r="T103">
        <f>HYPERLINK("https://klasma.github.io/Logging_0380/kartor/A 8678-2020 karta.png", "A 8678-2020")</f>
        <v/>
      </c>
      <c r="V103">
        <f>HYPERLINK("https://klasma.github.io/Logging_0380/klagomål/A 8678-2020 FSC-klagomål.docx", "A 8678-2020")</f>
        <v/>
      </c>
      <c r="W103">
        <f>HYPERLINK("https://klasma.github.io/Logging_0380/klagomålsmail/A 8678-2020 FSC-klagomål mail.docx", "A 8678-2020")</f>
        <v/>
      </c>
      <c r="X103">
        <f>HYPERLINK("https://klasma.github.io/Logging_0380/tillsyn/A 8678-2020 tillsynsbegäran.docx", "A 8678-2020")</f>
        <v/>
      </c>
      <c r="Y103">
        <f>HYPERLINK("https://klasma.github.io/Logging_0380/tillsynsmail/A 8678-2020 tillsynsbegäran mail.docx", "A 8678-2020")</f>
        <v/>
      </c>
      <c r="Z103">
        <f>HYPERLINK("https://klasma.github.io/Logging_0380/fåglar/A 8678-2020 prioriterade fågelarter.docx", "A 8678-2020")</f>
        <v/>
      </c>
    </row>
    <row r="104" ht="15" customHeight="1">
      <c r="A104" t="inlineStr">
        <is>
          <t>A 12786-2020</t>
        </is>
      </c>
      <c r="B104" s="1" t="n">
        <v>43893</v>
      </c>
      <c r="C104" s="1" t="n">
        <v>45474</v>
      </c>
      <c r="D104" t="inlineStr">
        <is>
          <t>UPPSALA LÄN</t>
        </is>
      </c>
      <c r="E104" t="inlineStr">
        <is>
          <t>UPPSALA</t>
        </is>
      </c>
      <c r="G104" t="n">
        <v>1</v>
      </c>
      <c r="H104" t="n">
        <v>1</v>
      </c>
      <c r="I104" t="n">
        <v>0</v>
      </c>
      <c r="J104" t="n">
        <v>0</v>
      </c>
      <c r="K104" t="n">
        <v>0</v>
      </c>
      <c r="L104" t="n">
        <v>0</v>
      </c>
      <c r="M104" t="n">
        <v>0</v>
      </c>
      <c r="N104" t="n">
        <v>0</v>
      </c>
      <c r="O104" t="n">
        <v>0</v>
      </c>
      <c r="P104" t="n">
        <v>0</v>
      </c>
      <c r="Q104" t="n">
        <v>1</v>
      </c>
      <c r="R104" s="2" t="inlineStr">
        <is>
          <t>Blåsippa</t>
        </is>
      </c>
      <c r="S104">
        <f>HYPERLINK("https://klasma.github.io/Logging_0380/artfynd/A 12786-2020 artfynd.xlsx", "A 12786-2020")</f>
        <v/>
      </c>
      <c r="T104">
        <f>HYPERLINK("https://klasma.github.io/Logging_0380/kartor/A 12786-2020 karta.png", "A 12786-2020")</f>
        <v/>
      </c>
      <c r="V104">
        <f>HYPERLINK("https://klasma.github.io/Logging_0380/klagomål/A 12786-2020 FSC-klagomål.docx", "A 12786-2020")</f>
        <v/>
      </c>
      <c r="W104">
        <f>HYPERLINK("https://klasma.github.io/Logging_0380/klagomålsmail/A 12786-2020 FSC-klagomål mail.docx", "A 12786-2020")</f>
        <v/>
      </c>
      <c r="X104">
        <f>HYPERLINK("https://klasma.github.io/Logging_0380/tillsyn/A 12786-2020 tillsynsbegäran.docx", "A 12786-2020")</f>
        <v/>
      </c>
      <c r="Y104">
        <f>HYPERLINK("https://klasma.github.io/Logging_0380/tillsynsmail/A 12786-2020 tillsynsbegäran mail.docx", "A 12786-2020")</f>
        <v/>
      </c>
    </row>
    <row r="105" ht="15" customHeight="1">
      <c r="A105" t="inlineStr">
        <is>
          <t>A 25299-2020</t>
        </is>
      </c>
      <c r="B105" s="1" t="n">
        <v>43980</v>
      </c>
      <c r="C105" s="1" t="n">
        <v>45474</v>
      </c>
      <c r="D105" t="inlineStr">
        <is>
          <t>UPPSALA LÄN</t>
        </is>
      </c>
      <c r="E105" t="inlineStr">
        <is>
          <t>UPPSALA</t>
        </is>
      </c>
      <c r="F105" t="inlineStr">
        <is>
          <t>Bergvik skog öst AB</t>
        </is>
      </c>
      <c r="G105" t="n">
        <v>2.5</v>
      </c>
      <c r="H105" t="n">
        <v>0</v>
      </c>
      <c r="I105" t="n">
        <v>1</v>
      </c>
      <c r="J105" t="n">
        <v>0</v>
      </c>
      <c r="K105" t="n">
        <v>0</v>
      </c>
      <c r="L105" t="n">
        <v>0</v>
      </c>
      <c r="M105" t="n">
        <v>0</v>
      </c>
      <c r="N105" t="n">
        <v>0</v>
      </c>
      <c r="O105" t="n">
        <v>0</v>
      </c>
      <c r="P105" t="n">
        <v>0</v>
      </c>
      <c r="Q105" t="n">
        <v>1</v>
      </c>
      <c r="R105" s="2" t="inlineStr">
        <is>
          <t>Scharlakansskål</t>
        </is>
      </c>
      <c r="S105">
        <f>HYPERLINK("https://klasma.github.io/Logging_0380/artfynd/A 25299-2020 artfynd.xlsx", "A 25299-2020")</f>
        <v/>
      </c>
      <c r="T105">
        <f>HYPERLINK("https://klasma.github.io/Logging_0380/kartor/A 25299-2020 karta.png", "A 25299-2020")</f>
        <v/>
      </c>
      <c r="V105">
        <f>HYPERLINK("https://klasma.github.io/Logging_0380/klagomål/A 25299-2020 FSC-klagomål.docx", "A 25299-2020")</f>
        <v/>
      </c>
      <c r="W105">
        <f>HYPERLINK("https://klasma.github.io/Logging_0380/klagomålsmail/A 25299-2020 FSC-klagomål mail.docx", "A 25299-2020")</f>
        <v/>
      </c>
      <c r="X105">
        <f>HYPERLINK("https://klasma.github.io/Logging_0380/tillsyn/A 25299-2020 tillsynsbegäran.docx", "A 25299-2020")</f>
        <v/>
      </c>
      <c r="Y105">
        <f>HYPERLINK("https://klasma.github.io/Logging_0380/tillsynsmail/A 25299-2020 tillsynsbegäran mail.docx", "A 25299-2020")</f>
        <v/>
      </c>
    </row>
    <row r="106" ht="15" customHeight="1">
      <c r="A106" t="inlineStr">
        <is>
          <t>A 35478-2020</t>
        </is>
      </c>
      <c r="B106" s="1" t="n">
        <v>44042</v>
      </c>
      <c r="C106" s="1" t="n">
        <v>45474</v>
      </c>
      <c r="D106" t="inlineStr">
        <is>
          <t>UPPSALA LÄN</t>
        </is>
      </c>
      <c r="E106" t="inlineStr">
        <is>
          <t>UPPSALA</t>
        </is>
      </c>
      <c r="G106" t="n">
        <v>2.5</v>
      </c>
      <c r="H106" t="n">
        <v>0</v>
      </c>
      <c r="I106" t="n">
        <v>1</v>
      </c>
      <c r="J106" t="n">
        <v>0</v>
      </c>
      <c r="K106" t="n">
        <v>0</v>
      </c>
      <c r="L106" t="n">
        <v>0</v>
      </c>
      <c r="M106" t="n">
        <v>0</v>
      </c>
      <c r="N106" t="n">
        <v>0</v>
      </c>
      <c r="O106" t="n">
        <v>0</v>
      </c>
      <c r="P106" t="n">
        <v>0</v>
      </c>
      <c r="Q106" t="n">
        <v>1</v>
      </c>
      <c r="R106" s="2" t="inlineStr">
        <is>
          <t>Stor aspticka</t>
        </is>
      </c>
      <c r="S106">
        <f>HYPERLINK("https://klasma.github.io/Logging_0380/artfynd/A 35478-2020 artfynd.xlsx", "A 35478-2020")</f>
        <v/>
      </c>
      <c r="T106">
        <f>HYPERLINK("https://klasma.github.io/Logging_0380/kartor/A 35478-2020 karta.png", "A 35478-2020")</f>
        <v/>
      </c>
      <c r="V106">
        <f>HYPERLINK("https://klasma.github.io/Logging_0380/klagomål/A 35478-2020 FSC-klagomål.docx", "A 35478-2020")</f>
        <v/>
      </c>
      <c r="W106">
        <f>HYPERLINK("https://klasma.github.io/Logging_0380/klagomålsmail/A 35478-2020 FSC-klagomål mail.docx", "A 35478-2020")</f>
        <v/>
      </c>
      <c r="X106">
        <f>HYPERLINK("https://klasma.github.io/Logging_0380/tillsyn/A 35478-2020 tillsynsbegäran.docx", "A 35478-2020")</f>
        <v/>
      </c>
      <c r="Y106">
        <f>HYPERLINK("https://klasma.github.io/Logging_0380/tillsynsmail/A 35478-2020 tillsynsbegäran mail.docx", "A 35478-2020")</f>
        <v/>
      </c>
    </row>
    <row r="107" ht="15" customHeight="1">
      <c r="A107" t="inlineStr">
        <is>
          <t>A 43192-2020</t>
        </is>
      </c>
      <c r="B107" s="1" t="n">
        <v>44081</v>
      </c>
      <c r="C107" s="1" t="n">
        <v>45474</v>
      </c>
      <c r="D107" t="inlineStr">
        <is>
          <t>UPPSALA LÄN</t>
        </is>
      </c>
      <c r="E107" t="inlineStr">
        <is>
          <t>UPPSALA</t>
        </is>
      </c>
      <c r="G107" t="n">
        <v>16.5</v>
      </c>
      <c r="H107" t="n">
        <v>0</v>
      </c>
      <c r="I107" t="n">
        <v>0</v>
      </c>
      <c r="J107" t="n">
        <v>1</v>
      </c>
      <c r="K107" t="n">
        <v>0</v>
      </c>
      <c r="L107" t="n">
        <v>0</v>
      </c>
      <c r="M107" t="n">
        <v>0</v>
      </c>
      <c r="N107" t="n">
        <v>0</v>
      </c>
      <c r="O107" t="n">
        <v>1</v>
      </c>
      <c r="P107" t="n">
        <v>0</v>
      </c>
      <c r="Q107" t="n">
        <v>1</v>
      </c>
      <c r="R107" s="2" t="inlineStr">
        <is>
          <t>Lunglav</t>
        </is>
      </c>
      <c r="S107">
        <f>HYPERLINK("https://klasma.github.io/Logging_0380/artfynd/A 43192-2020 artfynd.xlsx", "A 43192-2020")</f>
        <v/>
      </c>
      <c r="T107">
        <f>HYPERLINK("https://klasma.github.io/Logging_0380/kartor/A 43192-2020 karta.png", "A 43192-2020")</f>
        <v/>
      </c>
      <c r="V107">
        <f>HYPERLINK("https://klasma.github.io/Logging_0380/klagomål/A 43192-2020 FSC-klagomål.docx", "A 43192-2020")</f>
        <v/>
      </c>
      <c r="W107">
        <f>HYPERLINK("https://klasma.github.io/Logging_0380/klagomålsmail/A 43192-2020 FSC-klagomål mail.docx", "A 43192-2020")</f>
        <v/>
      </c>
      <c r="X107">
        <f>HYPERLINK("https://klasma.github.io/Logging_0380/tillsyn/A 43192-2020 tillsynsbegäran.docx", "A 43192-2020")</f>
        <v/>
      </c>
      <c r="Y107">
        <f>HYPERLINK("https://klasma.github.io/Logging_0380/tillsynsmail/A 43192-2020 tillsynsbegäran mail.docx", "A 43192-2020")</f>
        <v/>
      </c>
    </row>
    <row r="108" ht="15" customHeight="1">
      <c r="A108" t="inlineStr">
        <is>
          <t>A 12255-2021</t>
        </is>
      </c>
      <c r="B108" s="1" t="n">
        <v>44266</v>
      </c>
      <c r="C108" s="1" t="n">
        <v>45474</v>
      </c>
      <c r="D108" t="inlineStr">
        <is>
          <t>UPPSALA LÄN</t>
        </is>
      </c>
      <c r="E108" t="inlineStr">
        <is>
          <t>UPPSALA</t>
        </is>
      </c>
      <c r="F108" t="inlineStr">
        <is>
          <t>Bergvik skog öst AB</t>
        </is>
      </c>
      <c r="G108" t="n">
        <v>19.1</v>
      </c>
      <c r="H108" t="n">
        <v>0</v>
      </c>
      <c r="I108" t="n">
        <v>0</v>
      </c>
      <c r="J108" t="n">
        <v>1</v>
      </c>
      <c r="K108" t="n">
        <v>0</v>
      </c>
      <c r="L108" t="n">
        <v>0</v>
      </c>
      <c r="M108" t="n">
        <v>0</v>
      </c>
      <c r="N108" t="n">
        <v>0</v>
      </c>
      <c r="O108" t="n">
        <v>1</v>
      </c>
      <c r="P108" t="n">
        <v>0</v>
      </c>
      <c r="Q108" t="n">
        <v>1</v>
      </c>
      <c r="R108" s="2" t="inlineStr">
        <is>
          <t>Sexfläckig bastardsvärmare</t>
        </is>
      </c>
      <c r="S108">
        <f>HYPERLINK("https://klasma.github.io/Logging_0380/artfynd/A 12255-2021 artfynd.xlsx", "A 12255-2021")</f>
        <v/>
      </c>
      <c r="T108">
        <f>HYPERLINK("https://klasma.github.io/Logging_0380/kartor/A 12255-2021 karta.png", "A 12255-2021")</f>
        <v/>
      </c>
      <c r="V108">
        <f>HYPERLINK("https://klasma.github.io/Logging_0380/klagomål/A 12255-2021 FSC-klagomål.docx", "A 12255-2021")</f>
        <v/>
      </c>
      <c r="W108">
        <f>HYPERLINK("https://klasma.github.io/Logging_0380/klagomålsmail/A 12255-2021 FSC-klagomål mail.docx", "A 12255-2021")</f>
        <v/>
      </c>
      <c r="X108">
        <f>HYPERLINK("https://klasma.github.io/Logging_0380/tillsyn/A 12255-2021 tillsynsbegäran.docx", "A 12255-2021")</f>
        <v/>
      </c>
      <c r="Y108">
        <f>HYPERLINK("https://klasma.github.io/Logging_0380/tillsynsmail/A 12255-2021 tillsynsbegäran mail.docx", "A 12255-2021")</f>
        <v/>
      </c>
    </row>
    <row r="109" ht="15" customHeight="1">
      <c r="A109" t="inlineStr">
        <is>
          <t>A 52849-2021</t>
        </is>
      </c>
      <c r="B109" s="1" t="n">
        <v>44467</v>
      </c>
      <c r="C109" s="1" t="n">
        <v>45474</v>
      </c>
      <c r="D109" t="inlineStr">
        <is>
          <t>UPPSALA LÄN</t>
        </is>
      </c>
      <c r="E109" t="inlineStr">
        <is>
          <t>UPPSALA</t>
        </is>
      </c>
      <c r="F109" t="inlineStr">
        <is>
          <t>Övriga Aktiebolag</t>
        </is>
      </c>
      <c r="G109" t="n">
        <v>3.3</v>
      </c>
      <c r="H109" t="n">
        <v>0</v>
      </c>
      <c r="I109" t="n">
        <v>0</v>
      </c>
      <c r="J109" t="n">
        <v>1</v>
      </c>
      <c r="K109" t="n">
        <v>0</v>
      </c>
      <c r="L109" t="n">
        <v>0</v>
      </c>
      <c r="M109" t="n">
        <v>0</v>
      </c>
      <c r="N109" t="n">
        <v>0</v>
      </c>
      <c r="O109" t="n">
        <v>1</v>
      </c>
      <c r="P109" t="n">
        <v>0</v>
      </c>
      <c r="Q109" t="n">
        <v>1</v>
      </c>
      <c r="R109" s="2" t="inlineStr">
        <is>
          <t>Skogshare</t>
        </is>
      </c>
      <c r="S109">
        <f>HYPERLINK("https://klasma.github.io/Logging_0380/artfynd/A 52849-2021 artfynd.xlsx", "A 52849-2021")</f>
        <v/>
      </c>
      <c r="T109">
        <f>HYPERLINK("https://klasma.github.io/Logging_0380/kartor/A 52849-2021 karta.png", "A 52849-2021")</f>
        <v/>
      </c>
      <c r="V109">
        <f>HYPERLINK("https://klasma.github.io/Logging_0380/klagomål/A 52849-2021 FSC-klagomål.docx", "A 52849-2021")</f>
        <v/>
      </c>
      <c r="W109">
        <f>HYPERLINK("https://klasma.github.io/Logging_0380/klagomålsmail/A 52849-2021 FSC-klagomål mail.docx", "A 52849-2021")</f>
        <v/>
      </c>
      <c r="X109">
        <f>HYPERLINK("https://klasma.github.io/Logging_0380/tillsyn/A 52849-2021 tillsynsbegäran.docx", "A 52849-2021")</f>
        <v/>
      </c>
      <c r="Y109">
        <f>HYPERLINK("https://klasma.github.io/Logging_0380/tillsynsmail/A 52849-2021 tillsynsbegäran mail.docx", "A 52849-2021")</f>
        <v/>
      </c>
    </row>
    <row r="110" ht="15" customHeight="1">
      <c r="A110" t="inlineStr">
        <is>
          <t>A 58050-2021</t>
        </is>
      </c>
      <c r="B110" s="1" t="n">
        <v>44487</v>
      </c>
      <c r="C110" s="1" t="n">
        <v>45474</v>
      </c>
      <c r="D110" t="inlineStr">
        <is>
          <t>UPPSALA LÄN</t>
        </is>
      </c>
      <c r="E110" t="inlineStr">
        <is>
          <t>UPPSALA</t>
        </is>
      </c>
      <c r="G110" t="n">
        <v>4.4</v>
      </c>
      <c r="H110" t="n">
        <v>0</v>
      </c>
      <c r="I110" t="n">
        <v>0</v>
      </c>
      <c r="J110" t="n">
        <v>1</v>
      </c>
      <c r="K110" t="n">
        <v>0</v>
      </c>
      <c r="L110" t="n">
        <v>0</v>
      </c>
      <c r="M110" t="n">
        <v>0</v>
      </c>
      <c r="N110" t="n">
        <v>0</v>
      </c>
      <c r="O110" t="n">
        <v>1</v>
      </c>
      <c r="P110" t="n">
        <v>0</v>
      </c>
      <c r="Q110" t="n">
        <v>1</v>
      </c>
      <c r="R110" s="2" t="inlineStr">
        <is>
          <t>Ullticka</t>
        </is>
      </c>
      <c r="S110">
        <f>HYPERLINK("https://klasma.github.io/Logging_0380/artfynd/A 58050-2021 artfynd.xlsx", "A 58050-2021")</f>
        <v/>
      </c>
      <c r="T110">
        <f>HYPERLINK("https://klasma.github.io/Logging_0380/kartor/A 58050-2021 karta.png", "A 58050-2021")</f>
        <v/>
      </c>
      <c r="V110">
        <f>HYPERLINK("https://klasma.github.io/Logging_0380/klagomål/A 58050-2021 FSC-klagomål.docx", "A 58050-2021")</f>
        <v/>
      </c>
      <c r="W110">
        <f>HYPERLINK("https://klasma.github.io/Logging_0380/klagomålsmail/A 58050-2021 FSC-klagomål mail.docx", "A 58050-2021")</f>
        <v/>
      </c>
      <c r="X110">
        <f>HYPERLINK("https://klasma.github.io/Logging_0380/tillsyn/A 58050-2021 tillsynsbegäran.docx", "A 58050-2021")</f>
        <v/>
      </c>
      <c r="Y110">
        <f>HYPERLINK("https://klasma.github.io/Logging_0380/tillsynsmail/A 58050-2021 tillsynsbegäran mail.docx", "A 58050-2021")</f>
        <v/>
      </c>
    </row>
    <row r="111" ht="15" customHeight="1">
      <c r="A111" t="inlineStr">
        <is>
          <t>A 58906-2021</t>
        </is>
      </c>
      <c r="B111" s="1" t="n">
        <v>44489</v>
      </c>
      <c r="C111" s="1" t="n">
        <v>45474</v>
      </c>
      <c r="D111" t="inlineStr">
        <is>
          <t>UPPSALA LÄN</t>
        </is>
      </c>
      <c r="E111" t="inlineStr">
        <is>
          <t>UPPSALA</t>
        </is>
      </c>
      <c r="G111" t="n">
        <v>8.6</v>
      </c>
      <c r="H111" t="n">
        <v>0</v>
      </c>
      <c r="I111" t="n">
        <v>0</v>
      </c>
      <c r="J111" t="n">
        <v>1</v>
      </c>
      <c r="K111" t="n">
        <v>0</v>
      </c>
      <c r="L111" t="n">
        <v>0</v>
      </c>
      <c r="M111" t="n">
        <v>0</v>
      </c>
      <c r="N111" t="n">
        <v>0</v>
      </c>
      <c r="O111" t="n">
        <v>1</v>
      </c>
      <c r="P111" t="n">
        <v>0</v>
      </c>
      <c r="Q111" t="n">
        <v>1</v>
      </c>
      <c r="R111" s="2" t="inlineStr">
        <is>
          <t>Ullticka</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row>
    <row r="112" ht="15" customHeight="1">
      <c r="A112" t="inlineStr">
        <is>
          <t>A 3257-2022</t>
        </is>
      </c>
      <c r="B112" s="1" t="n">
        <v>44583</v>
      </c>
      <c r="C112" s="1" t="n">
        <v>45474</v>
      </c>
      <c r="D112" t="inlineStr">
        <is>
          <t>UPPSALA LÄN</t>
        </is>
      </c>
      <c r="E112" t="inlineStr">
        <is>
          <t>UPPSALA</t>
        </is>
      </c>
      <c r="F112" t="inlineStr">
        <is>
          <t>Holmen skog AB</t>
        </is>
      </c>
      <c r="G112" t="n">
        <v>1.9</v>
      </c>
      <c r="H112" t="n">
        <v>0</v>
      </c>
      <c r="I112" t="n">
        <v>1</v>
      </c>
      <c r="J112" t="n">
        <v>0</v>
      </c>
      <c r="K112" t="n">
        <v>0</v>
      </c>
      <c r="L112" t="n">
        <v>0</v>
      </c>
      <c r="M112" t="n">
        <v>0</v>
      </c>
      <c r="N112" t="n">
        <v>0</v>
      </c>
      <c r="O112" t="n">
        <v>0</v>
      </c>
      <c r="P112" t="n">
        <v>0</v>
      </c>
      <c r="Q112" t="n">
        <v>1</v>
      </c>
      <c r="R112" s="2" t="inlineStr">
        <is>
          <t>Gulpudrad spiklav</t>
        </is>
      </c>
      <c r="S112">
        <f>HYPERLINK("https://klasma.github.io/Logging_0380/artfynd/A 3257-2022 artfynd.xlsx", "A 3257-2022")</f>
        <v/>
      </c>
      <c r="T112">
        <f>HYPERLINK("https://klasma.github.io/Logging_0380/kartor/A 3257-2022 karta.png", "A 3257-2022")</f>
        <v/>
      </c>
      <c r="V112">
        <f>HYPERLINK("https://klasma.github.io/Logging_0380/klagomål/A 3257-2022 FSC-klagomål.docx", "A 3257-2022")</f>
        <v/>
      </c>
      <c r="W112">
        <f>HYPERLINK("https://klasma.github.io/Logging_0380/klagomålsmail/A 3257-2022 FSC-klagomål mail.docx", "A 3257-2022")</f>
        <v/>
      </c>
      <c r="X112">
        <f>HYPERLINK("https://klasma.github.io/Logging_0380/tillsyn/A 3257-2022 tillsynsbegäran.docx", "A 3257-2022")</f>
        <v/>
      </c>
      <c r="Y112">
        <f>HYPERLINK("https://klasma.github.io/Logging_0380/tillsynsmail/A 3257-2022 tillsynsbegäran mail.docx", "A 3257-2022")</f>
        <v/>
      </c>
    </row>
    <row r="113" ht="15" customHeight="1">
      <c r="A113" t="inlineStr">
        <is>
          <t>A 4449-2022</t>
        </is>
      </c>
      <c r="B113" s="1" t="n">
        <v>44589</v>
      </c>
      <c r="C113" s="1" t="n">
        <v>45474</v>
      </c>
      <c r="D113" t="inlineStr">
        <is>
          <t>UPPSALA LÄN</t>
        </is>
      </c>
      <c r="E113" t="inlineStr">
        <is>
          <t>UPPSALA</t>
        </is>
      </c>
      <c r="G113" t="n">
        <v>8.9</v>
      </c>
      <c r="H113" t="n">
        <v>0</v>
      </c>
      <c r="I113" t="n">
        <v>0</v>
      </c>
      <c r="J113" t="n">
        <v>1</v>
      </c>
      <c r="K113" t="n">
        <v>0</v>
      </c>
      <c r="L113" t="n">
        <v>0</v>
      </c>
      <c r="M113" t="n">
        <v>0</v>
      </c>
      <c r="N113" t="n">
        <v>0</v>
      </c>
      <c r="O113" t="n">
        <v>1</v>
      </c>
      <c r="P113" t="n">
        <v>0</v>
      </c>
      <c r="Q113" t="n">
        <v>1</v>
      </c>
      <c r="R113" s="2" t="inlineStr">
        <is>
          <t>Gul taggsvamp</t>
        </is>
      </c>
      <c r="S113">
        <f>HYPERLINK("https://klasma.github.io/Logging_0380/artfynd/A 4449-2022 artfynd.xlsx", "A 4449-2022")</f>
        <v/>
      </c>
      <c r="T113">
        <f>HYPERLINK("https://klasma.github.io/Logging_0380/kartor/A 4449-2022 karta.png", "A 4449-2022")</f>
        <v/>
      </c>
      <c r="V113">
        <f>HYPERLINK("https://klasma.github.io/Logging_0380/klagomål/A 4449-2022 FSC-klagomål.docx", "A 4449-2022")</f>
        <v/>
      </c>
      <c r="W113">
        <f>HYPERLINK("https://klasma.github.io/Logging_0380/klagomålsmail/A 4449-2022 FSC-klagomål mail.docx", "A 4449-2022")</f>
        <v/>
      </c>
      <c r="X113">
        <f>HYPERLINK("https://klasma.github.io/Logging_0380/tillsyn/A 4449-2022 tillsynsbegäran.docx", "A 4449-2022")</f>
        <v/>
      </c>
      <c r="Y113">
        <f>HYPERLINK("https://klasma.github.io/Logging_0380/tillsynsmail/A 4449-2022 tillsynsbegäran mail.docx", "A 4449-2022")</f>
        <v/>
      </c>
    </row>
    <row r="114" ht="15" customHeight="1">
      <c r="A114" t="inlineStr">
        <is>
          <t>A 8865-2022</t>
        </is>
      </c>
      <c r="B114" s="1" t="n">
        <v>44614</v>
      </c>
      <c r="C114" s="1" t="n">
        <v>45474</v>
      </c>
      <c r="D114" t="inlineStr">
        <is>
          <t>UPPSALA LÄN</t>
        </is>
      </c>
      <c r="E114" t="inlineStr">
        <is>
          <t>UPPSALA</t>
        </is>
      </c>
      <c r="G114" t="n">
        <v>1.1</v>
      </c>
      <c r="H114" t="n">
        <v>0</v>
      </c>
      <c r="I114" t="n">
        <v>1</v>
      </c>
      <c r="J114" t="n">
        <v>0</v>
      </c>
      <c r="K114" t="n">
        <v>0</v>
      </c>
      <c r="L114" t="n">
        <v>0</v>
      </c>
      <c r="M114" t="n">
        <v>0</v>
      </c>
      <c r="N114" t="n">
        <v>0</v>
      </c>
      <c r="O114" t="n">
        <v>0</v>
      </c>
      <c r="P114" t="n">
        <v>0</v>
      </c>
      <c r="Q114" t="n">
        <v>1</v>
      </c>
      <c r="R114" s="2" t="inlineStr">
        <is>
          <t>Narrtagging</t>
        </is>
      </c>
      <c r="S114">
        <f>HYPERLINK("https://klasma.github.io/Logging_0380/artfynd/A 8865-2022 artfynd.xlsx", "A 8865-2022")</f>
        <v/>
      </c>
      <c r="T114">
        <f>HYPERLINK("https://klasma.github.io/Logging_0380/kartor/A 8865-2022 karta.png", "A 8865-2022")</f>
        <v/>
      </c>
      <c r="V114">
        <f>HYPERLINK("https://klasma.github.io/Logging_0380/klagomål/A 8865-2022 FSC-klagomål.docx", "A 8865-2022")</f>
        <v/>
      </c>
      <c r="W114">
        <f>HYPERLINK("https://klasma.github.io/Logging_0380/klagomålsmail/A 8865-2022 FSC-klagomål mail.docx", "A 8865-2022")</f>
        <v/>
      </c>
      <c r="X114">
        <f>HYPERLINK("https://klasma.github.io/Logging_0380/tillsyn/A 8865-2022 tillsynsbegäran.docx", "A 8865-2022")</f>
        <v/>
      </c>
      <c r="Y114">
        <f>HYPERLINK("https://klasma.github.io/Logging_0380/tillsynsmail/A 8865-2022 tillsynsbegäran mail.docx", "A 8865-2022")</f>
        <v/>
      </c>
    </row>
    <row r="115" ht="15" customHeight="1">
      <c r="A115" t="inlineStr">
        <is>
          <t>A 13363-2022</t>
        </is>
      </c>
      <c r="B115" s="1" t="n">
        <v>44645</v>
      </c>
      <c r="C115" s="1" t="n">
        <v>45474</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19376-2022</t>
        </is>
      </c>
      <c r="B116" s="1" t="n">
        <v>44692</v>
      </c>
      <c r="C116" s="1" t="n">
        <v>45474</v>
      </c>
      <c r="D116" t="inlineStr">
        <is>
          <t>UPPSALA LÄN</t>
        </is>
      </c>
      <c r="E116" t="inlineStr">
        <is>
          <t>UPPSALA</t>
        </is>
      </c>
      <c r="F116" t="inlineStr">
        <is>
          <t>Bergvik skog öst AB</t>
        </is>
      </c>
      <c r="G116" t="n">
        <v>6.8</v>
      </c>
      <c r="H116" t="n">
        <v>0</v>
      </c>
      <c r="I116" t="n">
        <v>1</v>
      </c>
      <c r="J116" t="n">
        <v>0</v>
      </c>
      <c r="K116" t="n">
        <v>0</v>
      </c>
      <c r="L116" t="n">
        <v>0</v>
      </c>
      <c r="M116" t="n">
        <v>0</v>
      </c>
      <c r="N116" t="n">
        <v>0</v>
      </c>
      <c r="O116" t="n">
        <v>0</v>
      </c>
      <c r="P116" t="n">
        <v>0</v>
      </c>
      <c r="Q116" t="n">
        <v>1</v>
      </c>
      <c r="R116" s="2" t="inlineStr">
        <is>
          <t>Vårärt</t>
        </is>
      </c>
      <c r="S116">
        <f>HYPERLINK("https://klasma.github.io/Logging_0380/artfynd/A 19376-2022 artfynd.xlsx", "A 19376-2022")</f>
        <v/>
      </c>
      <c r="T116">
        <f>HYPERLINK("https://klasma.github.io/Logging_0380/kartor/A 19376-2022 karta.png", "A 19376-2022")</f>
        <v/>
      </c>
      <c r="V116">
        <f>HYPERLINK("https://klasma.github.io/Logging_0380/klagomål/A 19376-2022 FSC-klagomål.docx", "A 19376-2022")</f>
        <v/>
      </c>
      <c r="W116">
        <f>HYPERLINK("https://klasma.github.io/Logging_0380/klagomålsmail/A 19376-2022 FSC-klagomål mail.docx", "A 19376-2022")</f>
        <v/>
      </c>
      <c r="X116">
        <f>HYPERLINK("https://klasma.github.io/Logging_0380/tillsyn/A 19376-2022 tillsynsbegäran.docx", "A 19376-2022")</f>
        <v/>
      </c>
      <c r="Y116">
        <f>HYPERLINK("https://klasma.github.io/Logging_0380/tillsynsmail/A 19376-2022 tillsynsbegäran mail.docx", "A 19376-2022")</f>
        <v/>
      </c>
    </row>
    <row r="117" ht="15" customHeight="1">
      <c r="A117" t="inlineStr">
        <is>
          <t>A 23141-2022</t>
        </is>
      </c>
      <c r="B117" s="1" t="n">
        <v>44719</v>
      </c>
      <c r="C117" s="1" t="n">
        <v>45474</v>
      </c>
      <c r="D117" t="inlineStr">
        <is>
          <t>UPPSALA LÄN</t>
        </is>
      </c>
      <c r="E117" t="inlineStr">
        <is>
          <t>UPPSALA</t>
        </is>
      </c>
      <c r="G117" t="n">
        <v>3.1</v>
      </c>
      <c r="H117" t="n">
        <v>1</v>
      </c>
      <c r="I117" t="n">
        <v>0</v>
      </c>
      <c r="J117" t="n">
        <v>0</v>
      </c>
      <c r="K117" t="n">
        <v>0</v>
      </c>
      <c r="L117" t="n">
        <v>0</v>
      </c>
      <c r="M117" t="n">
        <v>0</v>
      </c>
      <c r="N117" t="n">
        <v>0</v>
      </c>
      <c r="O117" t="n">
        <v>0</v>
      </c>
      <c r="P117" t="n">
        <v>0</v>
      </c>
      <c r="Q117" t="n">
        <v>1</v>
      </c>
      <c r="R117" s="2" t="inlineStr">
        <is>
          <t>Enkelbeckasin</t>
        </is>
      </c>
      <c r="S117">
        <f>HYPERLINK("https://klasma.github.io/Logging_0380/artfynd/A 23141-2022 artfynd.xlsx", "A 23141-2022")</f>
        <v/>
      </c>
      <c r="T117">
        <f>HYPERLINK("https://klasma.github.io/Logging_0380/kartor/A 23141-2022 karta.png", "A 23141-2022")</f>
        <v/>
      </c>
      <c r="V117">
        <f>HYPERLINK("https://klasma.github.io/Logging_0380/klagomål/A 23141-2022 FSC-klagomål.docx", "A 23141-2022")</f>
        <v/>
      </c>
      <c r="W117">
        <f>HYPERLINK("https://klasma.github.io/Logging_0380/klagomålsmail/A 23141-2022 FSC-klagomål mail.docx", "A 23141-2022")</f>
        <v/>
      </c>
      <c r="X117">
        <f>HYPERLINK("https://klasma.github.io/Logging_0380/tillsyn/A 23141-2022 tillsynsbegäran.docx", "A 23141-2022")</f>
        <v/>
      </c>
      <c r="Y117">
        <f>HYPERLINK("https://klasma.github.io/Logging_0380/tillsynsmail/A 23141-2022 tillsynsbegäran mail.docx", "A 23141-2022")</f>
        <v/>
      </c>
      <c r="Z117">
        <f>HYPERLINK("https://klasma.github.io/Logging_0380/fåglar/A 23141-2022 prioriterade fågelarter.docx", "A 23141-2022")</f>
        <v/>
      </c>
    </row>
    <row r="118" ht="15" customHeight="1">
      <c r="A118" t="inlineStr">
        <is>
          <t>A 25119-2022</t>
        </is>
      </c>
      <c r="B118" s="1" t="n">
        <v>44729</v>
      </c>
      <c r="C118" s="1" t="n">
        <v>45474</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45474</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45474</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45474</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45474</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45474</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45474</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45474</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45474</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45474</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45474</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45474</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45474</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45474</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45474</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45474</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45474</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45474</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45474</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45474</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45474</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45474</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39741-2023</t>
        </is>
      </c>
      <c r="B140" s="1" t="n">
        <v>45167</v>
      </c>
      <c r="C140" s="1" t="n">
        <v>45474</v>
      </c>
      <c r="D140" t="inlineStr">
        <is>
          <t>UPPSALA LÄN</t>
        </is>
      </c>
      <c r="E140" t="inlineStr">
        <is>
          <t>UPPSALA</t>
        </is>
      </c>
      <c r="G140" t="n">
        <v>5.6</v>
      </c>
      <c r="H140" t="n">
        <v>1</v>
      </c>
      <c r="I140" t="n">
        <v>0</v>
      </c>
      <c r="J140" t="n">
        <v>1</v>
      </c>
      <c r="K140" t="n">
        <v>0</v>
      </c>
      <c r="L140" t="n">
        <v>0</v>
      </c>
      <c r="M140" t="n">
        <v>0</v>
      </c>
      <c r="N140" t="n">
        <v>0</v>
      </c>
      <c r="O140" t="n">
        <v>1</v>
      </c>
      <c r="P140" t="n">
        <v>0</v>
      </c>
      <c r="Q140" t="n">
        <v>1</v>
      </c>
      <c r="R140" s="2" t="inlineStr">
        <is>
          <t>Entita</t>
        </is>
      </c>
      <c r="S140">
        <f>HYPERLINK("https://klasma.github.io/Logging_0380/artfynd/A 39741-2023 artfynd.xlsx", "A 39741-2023")</f>
        <v/>
      </c>
      <c r="T140">
        <f>HYPERLINK("https://klasma.github.io/Logging_0380/kartor/A 39741-2023 karta.png", "A 39741-2023")</f>
        <v/>
      </c>
      <c r="V140">
        <f>HYPERLINK("https://klasma.github.io/Logging_0380/klagomål/A 39741-2023 FSC-klagomål.docx", "A 39741-2023")</f>
        <v/>
      </c>
      <c r="W140">
        <f>HYPERLINK("https://klasma.github.io/Logging_0380/klagomålsmail/A 39741-2023 FSC-klagomål mail.docx", "A 39741-2023")</f>
        <v/>
      </c>
      <c r="X140">
        <f>HYPERLINK("https://klasma.github.io/Logging_0380/tillsyn/A 39741-2023 tillsynsbegäran.docx", "A 39741-2023")</f>
        <v/>
      </c>
      <c r="Y140">
        <f>HYPERLINK("https://klasma.github.io/Logging_0380/tillsynsmail/A 39741-2023 tillsynsbegäran mail.docx", "A 39741-2023")</f>
        <v/>
      </c>
      <c r="Z140">
        <f>HYPERLINK("https://klasma.github.io/Logging_0380/fåglar/A 39741-2023 prioriterade fågelarter.docx", "A 39741-2023")</f>
        <v/>
      </c>
    </row>
    <row r="141" ht="15" customHeight="1">
      <c r="A141" t="inlineStr">
        <is>
          <t>A 51540-2023</t>
        </is>
      </c>
      <c r="B141" s="1" t="n">
        <v>45222</v>
      </c>
      <c r="C141" s="1" t="n">
        <v>45474</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57332-2023</t>
        </is>
      </c>
      <c r="B142" s="1" t="n">
        <v>45245</v>
      </c>
      <c r="C142" s="1" t="n">
        <v>45474</v>
      </c>
      <c r="D142" t="inlineStr">
        <is>
          <t>UPPSALA LÄN</t>
        </is>
      </c>
      <c r="E142" t="inlineStr">
        <is>
          <t>UPPSALA</t>
        </is>
      </c>
      <c r="F142" t="inlineStr">
        <is>
          <t>Allmännings- och besparingsskogar</t>
        </is>
      </c>
      <c r="G142" t="n">
        <v>11.4</v>
      </c>
      <c r="H142" t="n">
        <v>1</v>
      </c>
      <c r="I142" t="n">
        <v>0</v>
      </c>
      <c r="J142" t="n">
        <v>0</v>
      </c>
      <c r="K142" t="n">
        <v>1</v>
      </c>
      <c r="L142" t="n">
        <v>0</v>
      </c>
      <c r="M142" t="n">
        <v>0</v>
      </c>
      <c r="N142" t="n">
        <v>0</v>
      </c>
      <c r="O142" t="n">
        <v>1</v>
      </c>
      <c r="P142" t="n">
        <v>1</v>
      </c>
      <c r="Q142" t="n">
        <v>1</v>
      </c>
      <c r="R142" s="2" t="inlineStr">
        <is>
          <t>Knärot</t>
        </is>
      </c>
      <c r="S142">
        <f>HYPERLINK("https://klasma.github.io/Logging_0380/artfynd/A 57332-2023 artfynd.xlsx", "A 57332-2023")</f>
        <v/>
      </c>
      <c r="T142">
        <f>HYPERLINK("https://klasma.github.io/Logging_0380/kartor/A 57332-2023 karta.png", "A 57332-2023")</f>
        <v/>
      </c>
      <c r="U142">
        <f>HYPERLINK("https://klasma.github.io/Logging_0380/knärot/A 57332-2023 karta knärot.png", "A 57332-2023")</f>
        <v/>
      </c>
      <c r="V142">
        <f>HYPERLINK("https://klasma.github.io/Logging_0380/klagomål/A 57332-2023 FSC-klagomål.docx", "A 57332-2023")</f>
        <v/>
      </c>
      <c r="W142">
        <f>HYPERLINK("https://klasma.github.io/Logging_0380/klagomålsmail/A 57332-2023 FSC-klagomål mail.docx", "A 57332-2023")</f>
        <v/>
      </c>
      <c r="X142">
        <f>HYPERLINK("https://klasma.github.io/Logging_0380/tillsyn/A 57332-2023 tillsynsbegäran.docx", "A 57332-2023")</f>
        <v/>
      </c>
      <c r="Y142">
        <f>HYPERLINK("https://klasma.github.io/Logging_0380/tillsynsmail/A 57332-2023 tillsynsbegäran mail.docx", "A 57332-2023")</f>
        <v/>
      </c>
    </row>
    <row r="143" ht="15" customHeight="1">
      <c r="A143" t="inlineStr">
        <is>
          <t>A 61068-2023</t>
        </is>
      </c>
      <c r="B143" s="1" t="n">
        <v>45259</v>
      </c>
      <c r="C143" s="1" t="n">
        <v>45474</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45474</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45474</v>
      </c>
      <c r="D145" t="inlineStr">
        <is>
          <t>UPPSALA LÄN</t>
        </is>
      </c>
      <c r="E145" t="inlineStr">
        <is>
          <t>UPPSALA</t>
        </is>
      </c>
      <c r="G145" t="n">
        <v>0.8</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5972-2024</t>
        </is>
      </c>
      <c r="B146" s="1" t="n">
        <v>45336</v>
      </c>
      <c r="C146" s="1" t="n">
        <v>45474</v>
      </c>
      <c r="D146" t="inlineStr">
        <is>
          <t>UPPSALA LÄN</t>
        </is>
      </c>
      <c r="E146" t="inlineStr">
        <is>
          <t>UPPSALA</t>
        </is>
      </c>
      <c r="G146" t="n">
        <v>1.6</v>
      </c>
      <c r="H146" t="n">
        <v>1</v>
      </c>
      <c r="I146" t="n">
        <v>0</v>
      </c>
      <c r="J146" t="n">
        <v>0</v>
      </c>
      <c r="K146" t="n">
        <v>0</v>
      </c>
      <c r="L146" t="n">
        <v>0</v>
      </c>
      <c r="M146" t="n">
        <v>0</v>
      </c>
      <c r="N146" t="n">
        <v>0</v>
      </c>
      <c r="O146" t="n">
        <v>0</v>
      </c>
      <c r="P146" t="n">
        <v>0</v>
      </c>
      <c r="Q146" t="n">
        <v>1</v>
      </c>
      <c r="R146" s="2" t="inlineStr">
        <is>
          <t>Sparvuggla</t>
        </is>
      </c>
      <c r="S146">
        <f>HYPERLINK("https://klasma.github.io/Logging_0380/artfynd/A 5972-2024 artfynd.xlsx", "A 5972-2024")</f>
        <v/>
      </c>
      <c r="T146">
        <f>HYPERLINK("https://klasma.github.io/Logging_0380/kartor/A 5972-2024 karta.png", "A 5972-2024")</f>
        <v/>
      </c>
      <c r="V146">
        <f>HYPERLINK("https://klasma.github.io/Logging_0380/klagomål/A 5972-2024 FSC-klagomål.docx", "A 5972-2024")</f>
        <v/>
      </c>
      <c r="W146">
        <f>HYPERLINK("https://klasma.github.io/Logging_0380/klagomålsmail/A 5972-2024 FSC-klagomål mail.docx", "A 5972-2024")</f>
        <v/>
      </c>
      <c r="X146">
        <f>HYPERLINK("https://klasma.github.io/Logging_0380/tillsyn/A 5972-2024 tillsynsbegäran.docx", "A 5972-2024")</f>
        <v/>
      </c>
      <c r="Y146">
        <f>HYPERLINK("https://klasma.github.io/Logging_0380/tillsynsmail/A 5972-2024 tillsynsbegäran mail.docx", "A 5972-2024")</f>
        <v/>
      </c>
      <c r="Z146">
        <f>HYPERLINK("https://klasma.github.io/Logging_0380/fåglar/A 5972-2024 prioriterade fågelarter.docx", "A 5972-2024")</f>
        <v/>
      </c>
    </row>
    <row r="147" ht="15" customHeight="1">
      <c r="A147" t="inlineStr">
        <is>
          <t>A 6044-2024</t>
        </is>
      </c>
      <c r="B147" s="1" t="n">
        <v>45336</v>
      </c>
      <c r="C147" s="1" t="n">
        <v>45474</v>
      </c>
      <c r="D147" t="inlineStr">
        <is>
          <t>UPPSALA LÄN</t>
        </is>
      </c>
      <c r="E147" t="inlineStr">
        <is>
          <t>UPPSALA</t>
        </is>
      </c>
      <c r="F147" t="inlineStr">
        <is>
          <t>Holmen skog AB</t>
        </is>
      </c>
      <c r="G147" t="n">
        <v>7.4</v>
      </c>
      <c r="H147" t="n">
        <v>0</v>
      </c>
      <c r="I147" t="n">
        <v>0</v>
      </c>
      <c r="J147" t="n">
        <v>1</v>
      </c>
      <c r="K147" t="n">
        <v>0</v>
      </c>
      <c r="L147" t="n">
        <v>0</v>
      </c>
      <c r="M147" t="n">
        <v>0</v>
      </c>
      <c r="N147" t="n">
        <v>0</v>
      </c>
      <c r="O147" t="n">
        <v>1</v>
      </c>
      <c r="P147" t="n">
        <v>0</v>
      </c>
      <c r="Q147" t="n">
        <v>1</v>
      </c>
      <c r="R147" s="2" t="inlineStr">
        <is>
          <t>Gul dropplav</t>
        </is>
      </c>
      <c r="S147">
        <f>HYPERLINK("https://klasma.github.io/Logging_0380/artfynd/A 6044-2024 artfynd.xlsx", "A 6044-2024")</f>
        <v/>
      </c>
      <c r="T147">
        <f>HYPERLINK("https://klasma.github.io/Logging_0380/kartor/A 6044-2024 karta.png", "A 6044-2024")</f>
        <v/>
      </c>
      <c r="V147">
        <f>HYPERLINK("https://klasma.github.io/Logging_0380/klagomål/A 6044-2024 FSC-klagomål.docx", "A 6044-2024")</f>
        <v/>
      </c>
      <c r="W147">
        <f>HYPERLINK("https://klasma.github.io/Logging_0380/klagomålsmail/A 6044-2024 FSC-klagomål mail.docx", "A 6044-2024")</f>
        <v/>
      </c>
      <c r="X147">
        <f>HYPERLINK("https://klasma.github.io/Logging_0380/tillsyn/A 6044-2024 tillsynsbegäran.docx", "A 6044-2024")</f>
        <v/>
      </c>
      <c r="Y147">
        <f>HYPERLINK("https://klasma.github.io/Logging_0380/tillsynsmail/A 6044-2024 tillsynsbegäran mail.docx", "A 6044-2024")</f>
        <v/>
      </c>
    </row>
    <row r="148" ht="15" customHeight="1">
      <c r="A148" t="inlineStr">
        <is>
          <t>A 7395-2024</t>
        </is>
      </c>
      <c r="B148" s="1" t="n">
        <v>45345</v>
      </c>
      <c r="C148" s="1" t="n">
        <v>45474</v>
      </c>
      <c r="D148" t="inlineStr">
        <is>
          <t>UPPSALA LÄN</t>
        </is>
      </c>
      <c r="E148" t="inlineStr">
        <is>
          <t>UPPSALA</t>
        </is>
      </c>
      <c r="G148" t="n">
        <v>1.3</v>
      </c>
      <c r="H148" t="n">
        <v>1</v>
      </c>
      <c r="I148" t="n">
        <v>0</v>
      </c>
      <c r="J148" t="n">
        <v>0</v>
      </c>
      <c r="K148" t="n">
        <v>1</v>
      </c>
      <c r="L148" t="n">
        <v>0</v>
      </c>
      <c r="M148" t="n">
        <v>0</v>
      </c>
      <c r="N148" t="n">
        <v>0</v>
      </c>
      <c r="O148" t="n">
        <v>1</v>
      </c>
      <c r="P148" t="n">
        <v>1</v>
      </c>
      <c r="Q148" t="n">
        <v>1</v>
      </c>
      <c r="R148" s="2" t="inlineStr">
        <is>
          <t>Knärot</t>
        </is>
      </c>
      <c r="S148">
        <f>HYPERLINK("https://klasma.github.io/Logging_0380/artfynd/A 7395-2024 artfynd.xlsx", "A 7395-2024")</f>
        <v/>
      </c>
      <c r="T148">
        <f>HYPERLINK("https://klasma.github.io/Logging_0380/kartor/A 7395-2024 karta.png", "A 7395-2024")</f>
        <v/>
      </c>
      <c r="U148">
        <f>HYPERLINK("https://klasma.github.io/Logging_0380/knärot/A 7395-2024 karta knärot.png", "A 7395-2024")</f>
        <v/>
      </c>
      <c r="V148">
        <f>HYPERLINK("https://klasma.github.io/Logging_0380/klagomål/A 7395-2024 FSC-klagomål.docx", "A 7395-2024")</f>
        <v/>
      </c>
      <c r="W148">
        <f>HYPERLINK("https://klasma.github.io/Logging_0380/klagomålsmail/A 7395-2024 FSC-klagomål mail.docx", "A 7395-2024")</f>
        <v/>
      </c>
      <c r="X148">
        <f>HYPERLINK("https://klasma.github.io/Logging_0380/tillsyn/A 7395-2024 tillsynsbegäran.docx", "A 7395-2024")</f>
        <v/>
      </c>
      <c r="Y148">
        <f>HYPERLINK("https://klasma.github.io/Logging_0380/tillsynsmail/A 7395-2024 tillsynsbegäran mail.docx", "A 7395-2024")</f>
        <v/>
      </c>
    </row>
    <row r="149" ht="15" customHeight="1">
      <c r="A149" t="inlineStr">
        <is>
          <t>A 7397-2024</t>
        </is>
      </c>
      <c r="B149" s="1" t="n">
        <v>45345</v>
      </c>
      <c r="C149" s="1" t="n">
        <v>45474</v>
      </c>
      <c r="D149" t="inlineStr">
        <is>
          <t>UPPSALA LÄN</t>
        </is>
      </c>
      <c r="E149" t="inlineStr">
        <is>
          <t>UPPSALA</t>
        </is>
      </c>
      <c r="G149" t="n">
        <v>3.4</v>
      </c>
      <c r="H149" t="n">
        <v>0</v>
      </c>
      <c r="I149" t="n">
        <v>1</v>
      </c>
      <c r="J149" t="n">
        <v>0</v>
      </c>
      <c r="K149" t="n">
        <v>0</v>
      </c>
      <c r="L149" t="n">
        <v>0</v>
      </c>
      <c r="M149" t="n">
        <v>0</v>
      </c>
      <c r="N149" t="n">
        <v>0</v>
      </c>
      <c r="O149" t="n">
        <v>0</v>
      </c>
      <c r="P149" t="n">
        <v>0</v>
      </c>
      <c r="Q149" t="n">
        <v>1</v>
      </c>
      <c r="R149" s="2" t="inlineStr">
        <is>
          <t>Svavelriska</t>
        </is>
      </c>
      <c r="S149">
        <f>HYPERLINK("https://klasma.github.io/Logging_0380/artfynd/A 7397-2024 artfynd.xlsx", "A 7397-2024")</f>
        <v/>
      </c>
      <c r="T149">
        <f>HYPERLINK("https://klasma.github.io/Logging_0380/kartor/A 7397-2024 karta.png", "A 7397-2024")</f>
        <v/>
      </c>
      <c r="U149">
        <f>HYPERLINK("https://klasma.github.io/Logging_0380/knärot/A 7397-2024 karta knärot.png", "A 7397-2024")</f>
        <v/>
      </c>
      <c r="V149">
        <f>HYPERLINK("https://klasma.github.io/Logging_0380/klagomål/A 7397-2024 FSC-klagomål.docx", "A 7397-2024")</f>
        <v/>
      </c>
      <c r="W149">
        <f>HYPERLINK("https://klasma.github.io/Logging_0380/klagomålsmail/A 7397-2024 FSC-klagomål mail.docx", "A 7397-2024")</f>
        <v/>
      </c>
      <c r="X149">
        <f>HYPERLINK("https://klasma.github.io/Logging_0380/tillsyn/A 7397-2024 tillsynsbegäran.docx", "A 7397-2024")</f>
        <v/>
      </c>
      <c r="Y149">
        <f>HYPERLINK("https://klasma.github.io/Logging_0380/tillsynsmail/A 7397-2024 tillsynsbegäran mail.docx", "A 7397-2024")</f>
        <v/>
      </c>
    </row>
    <row r="150" ht="15" customHeight="1">
      <c r="A150" t="inlineStr">
        <is>
          <t>A 8398-2024</t>
        </is>
      </c>
      <c r="B150" s="1" t="n">
        <v>45352</v>
      </c>
      <c r="C150" s="1" t="n">
        <v>45474</v>
      </c>
      <c r="D150" t="inlineStr">
        <is>
          <t>UPPSALA LÄN</t>
        </is>
      </c>
      <c r="E150" t="inlineStr">
        <is>
          <t>UPPSALA</t>
        </is>
      </c>
      <c r="G150" t="n">
        <v>6.2</v>
      </c>
      <c r="H150" t="n">
        <v>1</v>
      </c>
      <c r="I150" t="n">
        <v>0</v>
      </c>
      <c r="J150" t="n">
        <v>0</v>
      </c>
      <c r="K150" t="n">
        <v>0</v>
      </c>
      <c r="L150" t="n">
        <v>0</v>
      </c>
      <c r="M150" t="n">
        <v>0</v>
      </c>
      <c r="N150" t="n">
        <v>0</v>
      </c>
      <c r="O150" t="n">
        <v>0</v>
      </c>
      <c r="P150" t="n">
        <v>0</v>
      </c>
      <c r="Q150" t="n">
        <v>1</v>
      </c>
      <c r="R150" s="2" t="inlineStr">
        <is>
          <t>Tjäder</t>
        </is>
      </c>
      <c r="S150">
        <f>HYPERLINK("https://klasma.github.io/Logging_0380/artfynd/A 8398-2024 artfynd.xlsx", "A 8398-2024")</f>
        <v/>
      </c>
      <c r="T150">
        <f>HYPERLINK("https://klasma.github.io/Logging_0380/kartor/A 8398-2024 karta.png", "A 8398-2024")</f>
        <v/>
      </c>
      <c r="V150">
        <f>HYPERLINK("https://klasma.github.io/Logging_0380/klagomål/A 8398-2024 FSC-klagomål.docx", "A 8398-2024")</f>
        <v/>
      </c>
      <c r="W150">
        <f>HYPERLINK("https://klasma.github.io/Logging_0380/klagomålsmail/A 8398-2024 FSC-klagomål mail.docx", "A 8398-2024")</f>
        <v/>
      </c>
      <c r="X150">
        <f>HYPERLINK("https://klasma.github.io/Logging_0380/tillsyn/A 8398-2024 tillsynsbegäran.docx", "A 8398-2024")</f>
        <v/>
      </c>
      <c r="Y150">
        <f>HYPERLINK("https://klasma.github.io/Logging_0380/tillsynsmail/A 8398-2024 tillsynsbegäran mail.docx", "A 8398-2024")</f>
        <v/>
      </c>
      <c r="Z150">
        <f>HYPERLINK("https://klasma.github.io/Logging_0380/fåglar/A 8398-2024 prioriterade fågelarter.docx", "A 8398-2024")</f>
        <v/>
      </c>
    </row>
    <row r="151" ht="15" customHeight="1">
      <c r="A151" t="inlineStr">
        <is>
          <t>A 9206-2024</t>
        </is>
      </c>
      <c r="B151" s="1" t="n">
        <v>45358</v>
      </c>
      <c r="C151" s="1" t="n">
        <v>45474</v>
      </c>
      <c r="D151" t="inlineStr">
        <is>
          <t>UPPSALA LÄN</t>
        </is>
      </c>
      <c r="E151" t="inlineStr">
        <is>
          <t>UPPSALA</t>
        </is>
      </c>
      <c r="F151" t="inlineStr">
        <is>
          <t>Allmännings- och besparingsskogar</t>
        </is>
      </c>
      <c r="G151" t="n">
        <v>22.2</v>
      </c>
      <c r="H151" t="n">
        <v>1</v>
      </c>
      <c r="I151" t="n">
        <v>0</v>
      </c>
      <c r="J151" t="n">
        <v>0</v>
      </c>
      <c r="K151" t="n">
        <v>1</v>
      </c>
      <c r="L151" t="n">
        <v>0</v>
      </c>
      <c r="M151" t="n">
        <v>0</v>
      </c>
      <c r="N151" t="n">
        <v>0</v>
      </c>
      <c r="O151" t="n">
        <v>1</v>
      </c>
      <c r="P151" t="n">
        <v>1</v>
      </c>
      <c r="Q151" t="n">
        <v>1</v>
      </c>
      <c r="R151" s="2" t="inlineStr">
        <is>
          <t>Knärot</t>
        </is>
      </c>
      <c r="S151">
        <f>HYPERLINK("https://klasma.github.io/Logging_0380/artfynd/A 9206-2024 artfynd.xlsx", "A 9206-2024")</f>
        <v/>
      </c>
      <c r="T151">
        <f>HYPERLINK("https://klasma.github.io/Logging_0380/kartor/A 9206-2024 karta.png", "A 9206-2024")</f>
        <v/>
      </c>
      <c r="U151">
        <f>HYPERLINK("https://klasma.github.io/Logging_0380/knärot/A 9206-2024 karta knärot.png", "A 9206-2024")</f>
        <v/>
      </c>
      <c r="V151">
        <f>HYPERLINK("https://klasma.github.io/Logging_0380/klagomål/A 9206-2024 FSC-klagomål.docx", "A 9206-2024")</f>
        <v/>
      </c>
      <c r="W151">
        <f>HYPERLINK("https://klasma.github.io/Logging_0380/klagomålsmail/A 9206-2024 FSC-klagomål mail.docx", "A 9206-2024")</f>
        <v/>
      </c>
      <c r="X151">
        <f>HYPERLINK("https://klasma.github.io/Logging_0380/tillsyn/A 9206-2024 tillsynsbegäran.docx", "A 9206-2024")</f>
        <v/>
      </c>
      <c r="Y151">
        <f>HYPERLINK("https://klasma.github.io/Logging_0380/tillsynsmail/A 9206-2024 tillsynsbegäran mail.docx", "A 9206-2024")</f>
        <v/>
      </c>
    </row>
    <row r="152" ht="15" customHeight="1">
      <c r="A152" t="inlineStr">
        <is>
          <t>A 13093-2024</t>
        </is>
      </c>
      <c r="B152" s="1" t="n">
        <v>45385</v>
      </c>
      <c r="C152" s="1" t="n">
        <v>45474</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13661-2024</t>
        </is>
      </c>
      <c r="B153" s="1" t="n">
        <v>45390</v>
      </c>
      <c r="C153" s="1" t="n">
        <v>45474</v>
      </c>
      <c r="D153" t="inlineStr">
        <is>
          <t>UPPSALA LÄN</t>
        </is>
      </c>
      <c r="E153" t="inlineStr">
        <is>
          <t>UPPSALA</t>
        </is>
      </c>
      <c r="F153" t="inlineStr">
        <is>
          <t>Holmen skog AB</t>
        </is>
      </c>
      <c r="G153" t="n">
        <v>3.7</v>
      </c>
      <c r="H153" t="n">
        <v>0</v>
      </c>
      <c r="I153" t="n">
        <v>0</v>
      </c>
      <c r="J153" t="n">
        <v>1</v>
      </c>
      <c r="K153" t="n">
        <v>0</v>
      </c>
      <c r="L153" t="n">
        <v>0</v>
      </c>
      <c r="M153" t="n">
        <v>0</v>
      </c>
      <c r="N153" t="n">
        <v>0</v>
      </c>
      <c r="O153" t="n">
        <v>1</v>
      </c>
      <c r="P153" t="n">
        <v>0</v>
      </c>
      <c r="Q153" t="n">
        <v>1</v>
      </c>
      <c r="R153" s="2" t="inlineStr">
        <is>
          <t>Skogsklocka</t>
        </is>
      </c>
      <c r="S153">
        <f>HYPERLINK("https://klasma.github.io/Logging_0380/artfynd/A 13661-2024 artfynd.xlsx", "A 13661-2024")</f>
        <v/>
      </c>
      <c r="T153">
        <f>HYPERLINK("https://klasma.github.io/Logging_0380/kartor/A 13661-2024 karta.png", "A 13661-2024")</f>
        <v/>
      </c>
      <c r="V153">
        <f>HYPERLINK("https://klasma.github.io/Logging_0380/klagomål/A 13661-2024 FSC-klagomål.docx", "A 13661-2024")</f>
        <v/>
      </c>
      <c r="W153">
        <f>HYPERLINK("https://klasma.github.io/Logging_0380/klagomålsmail/A 13661-2024 FSC-klagomål mail.docx", "A 13661-2024")</f>
        <v/>
      </c>
      <c r="X153">
        <f>HYPERLINK("https://klasma.github.io/Logging_0380/tillsyn/A 13661-2024 tillsynsbegäran.docx", "A 13661-2024")</f>
        <v/>
      </c>
      <c r="Y153">
        <f>HYPERLINK("https://klasma.github.io/Logging_0380/tillsynsmail/A 13661-2024 tillsynsbegäran mail.docx", "A 13661-2024")</f>
        <v/>
      </c>
    </row>
    <row r="154" ht="15" customHeight="1">
      <c r="A154" t="inlineStr">
        <is>
          <t>A 18348-2024</t>
        </is>
      </c>
      <c r="B154" s="1" t="n">
        <v>45422</v>
      </c>
      <c r="C154" s="1" t="n">
        <v>45474</v>
      </c>
      <c r="D154" t="inlineStr">
        <is>
          <t>UPPSALA LÄN</t>
        </is>
      </c>
      <c r="E154" t="inlineStr">
        <is>
          <t>UPPSALA</t>
        </is>
      </c>
      <c r="F154" t="inlineStr">
        <is>
          <t>Holmen skog AB</t>
        </is>
      </c>
      <c r="G154" t="n">
        <v>2.8</v>
      </c>
      <c r="H154" t="n">
        <v>0</v>
      </c>
      <c r="I154" t="n">
        <v>0</v>
      </c>
      <c r="J154" t="n">
        <v>1</v>
      </c>
      <c r="K154" t="n">
        <v>0</v>
      </c>
      <c r="L154" t="n">
        <v>0</v>
      </c>
      <c r="M154" t="n">
        <v>0</v>
      </c>
      <c r="N154" t="n">
        <v>0</v>
      </c>
      <c r="O154" t="n">
        <v>1</v>
      </c>
      <c r="P154" t="n">
        <v>0</v>
      </c>
      <c r="Q154" t="n">
        <v>1</v>
      </c>
      <c r="R154" s="2" t="inlineStr">
        <is>
          <t>Granticka</t>
        </is>
      </c>
      <c r="S154">
        <f>HYPERLINK("https://klasma.github.io/Logging_0380/artfynd/A 18348-2024 artfynd.xlsx", "A 18348-2024")</f>
        <v/>
      </c>
      <c r="T154">
        <f>HYPERLINK("https://klasma.github.io/Logging_0380/kartor/A 18348-2024 karta.png", "A 18348-2024")</f>
        <v/>
      </c>
      <c r="V154">
        <f>HYPERLINK("https://klasma.github.io/Logging_0380/klagomål/A 18348-2024 FSC-klagomål.docx", "A 18348-2024")</f>
        <v/>
      </c>
      <c r="W154">
        <f>HYPERLINK("https://klasma.github.io/Logging_0380/klagomålsmail/A 18348-2024 FSC-klagomål mail.docx", "A 18348-2024")</f>
        <v/>
      </c>
      <c r="X154">
        <f>HYPERLINK("https://klasma.github.io/Logging_0380/tillsyn/A 18348-2024 tillsynsbegäran.docx", "A 18348-2024")</f>
        <v/>
      </c>
      <c r="Y154">
        <f>HYPERLINK("https://klasma.github.io/Logging_0380/tillsynsmail/A 18348-2024 tillsynsbegäran mail.docx", "A 18348-2024")</f>
        <v/>
      </c>
    </row>
    <row r="155" ht="15" customHeight="1">
      <c r="A155" t="inlineStr">
        <is>
          <t>A 18509-2024</t>
        </is>
      </c>
      <c r="B155" s="1" t="n">
        <v>45425</v>
      </c>
      <c r="C155" s="1" t="n">
        <v>45474</v>
      </c>
      <c r="D155" t="inlineStr">
        <is>
          <t>UPPSALA LÄN</t>
        </is>
      </c>
      <c r="E155" t="inlineStr">
        <is>
          <t>UPPSALA</t>
        </is>
      </c>
      <c r="G155" t="n">
        <v>4</v>
      </c>
      <c r="H155" t="n">
        <v>0</v>
      </c>
      <c r="I155" t="n">
        <v>1</v>
      </c>
      <c r="J155" t="n">
        <v>0</v>
      </c>
      <c r="K155" t="n">
        <v>0</v>
      </c>
      <c r="L155" t="n">
        <v>0</v>
      </c>
      <c r="M155" t="n">
        <v>0</v>
      </c>
      <c r="N155" t="n">
        <v>0</v>
      </c>
      <c r="O155" t="n">
        <v>0</v>
      </c>
      <c r="P155" t="n">
        <v>0</v>
      </c>
      <c r="Q155" t="n">
        <v>1</v>
      </c>
      <c r="R155" s="2" t="inlineStr">
        <is>
          <t>Fällmossa</t>
        </is>
      </c>
      <c r="S155">
        <f>HYPERLINK("https://klasma.github.io/Logging_0380/artfynd/A 18509-2024 artfynd.xlsx", "A 18509-2024")</f>
        <v/>
      </c>
      <c r="T155">
        <f>HYPERLINK("https://klasma.github.io/Logging_0380/kartor/A 18509-2024 karta.png", "A 18509-2024")</f>
        <v/>
      </c>
      <c r="V155">
        <f>HYPERLINK("https://klasma.github.io/Logging_0380/klagomål/A 18509-2024 FSC-klagomål.docx", "A 18509-2024")</f>
        <v/>
      </c>
      <c r="W155">
        <f>HYPERLINK("https://klasma.github.io/Logging_0380/klagomålsmail/A 18509-2024 FSC-klagomål mail.docx", "A 18509-2024")</f>
        <v/>
      </c>
      <c r="X155">
        <f>HYPERLINK("https://klasma.github.io/Logging_0380/tillsyn/A 18509-2024 tillsynsbegäran.docx", "A 18509-2024")</f>
        <v/>
      </c>
      <c r="Y155">
        <f>HYPERLINK("https://klasma.github.io/Logging_0380/tillsynsmail/A 18509-2024 tillsynsbegäran mail.docx", "A 18509-2024")</f>
        <v/>
      </c>
    </row>
    <row r="156" ht="15" customHeight="1">
      <c r="A156" t="inlineStr">
        <is>
          <t>A 21671-2024</t>
        </is>
      </c>
      <c r="B156" s="1" t="n">
        <v>45442</v>
      </c>
      <c r="C156" s="1" t="n">
        <v>45474</v>
      </c>
      <c r="D156" t="inlineStr">
        <is>
          <t>UPPSALA LÄN</t>
        </is>
      </c>
      <c r="E156" t="inlineStr">
        <is>
          <t>UPPSALA</t>
        </is>
      </c>
      <c r="G156" t="n">
        <v>3.7</v>
      </c>
      <c r="H156" t="n">
        <v>1</v>
      </c>
      <c r="I156" t="n">
        <v>0</v>
      </c>
      <c r="J156" t="n">
        <v>0</v>
      </c>
      <c r="K156" t="n">
        <v>1</v>
      </c>
      <c r="L156" t="n">
        <v>0</v>
      </c>
      <c r="M156" t="n">
        <v>0</v>
      </c>
      <c r="N156" t="n">
        <v>0</v>
      </c>
      <c r="O156" t="n">
        <v>1</v>
      </c>
      <c r="P156" t="n">
        <v>1</v>
      </c>
      <c r="Q156" t="n">
        <v>1</v>
      </c>
      <c r="R156" s="2" t="inlineStr">
        <is>
          <t>Knärot</t>
        </is>
      </c>
      <c r="S156">
        <f>HYPERLINK("https://klasma.github.io/Logging_0380/artfynd/A 21671-2024 artfynd.xlsx", "A 21671-2024")</f>
        <v/>
      </c>
      <c r="T156">
        <f>HYPERLINK("https://klasma.github.io/Logging_0380/kartor/A 21671-2024 karta.png", "A 21671-2024")</f>
        <v/>
      </c>
      <c r="U156">
        <f>HYPERLINK("https://klasma.github.io/Logging_0380/knärot/A 21671-2024 karta knärot.png", "A 21671-2024")</f>
        <v/>
      </c>
      <c r="V156">
        <f>HYPERLINK("https://klasma.github.io/Logging_0380/klagomål/A 21671-2024 FSC-klagomål.docx", "A 21671-2024")</f>
        <v/>
      </c>
      <c r="W156">
        <f>HYPERLINK("https://klasma.github.io/Logging_0380/klagomålsmail/A 21671-2024 FSC-klagomål mail.docx", "A 21671-2024")</f>
        <v/>
      </c>
      <c r="X156">
        <f>HYPERLINK("https://klasma.github.io/Logging_0380/tillsyn/A 21671-2024 tillsynsbegäran.docx", "A 21671-2024")</f>
        <v/>
      </c>
      <c r="Y156">
        <f>HYPERLINK("https://klasma.github.io/Logging_0380/tillsynsmail/A 21671-2024 tillsynsbegäran mail.docx", "A 21671-2024")</f>
        <v/>
      </c>
    </row>
    <row r="157" ht="15" customHeight="1">
      <c r="A157" t="inlineStr">
        <is>
          <t>A 23321-2024</t>
        </is>
      </c>
      <c r="B157" s="1" t="n">
        <v>45453</v>
      </c>
      <c r="C157" s="1" t="n">
        <v>45474</v>
      </c>
      <c r="D157" t="inlineStr">
        <is>
          <t>UPPSALA LÄN</t>
        </is>
      </c>
      <c r="E157" t="inlineStr">
        <is>
          <t>UPPSALA</t>
        </is>
      </c>
      <c r="G157" t="n">
        <v>11.8</v>
      </c>
      <c r="H157" t="n">
        <v>1</v>
      </c>
      <c r="I157" t="n">
        <v>0</v>
      </c>
      <c r="J157" t="n">
        <v>1</v>
      </c>
      <c r="K157" t="n">
        <v>0</v>
      </c>
      <c r="L157" t="n">
        <v>0</v>
      </c>
      <c r="M157" t="n">
        <v>0</v>
      </c>
      <c r="N157" t="n">
        <v>0</v>
      </c>
      <c r="O157" t="n">
        <v>1</v>
      </c>
      <c r="P157" t="n">
        <v>0</v>
      </c>
      <c r="Q157" t="n">
        <v>1</v>
      </c>
      <c r="R157" s="2" t="inlineStr">
        <is>
          <t>Talltita</t>
        </is>
      </c>
      <c r="S157">
        <f>HYPERLINK("https://klasma.github.io/Logging_0380/artfynd/A 23321-2024 artfynd.xlsx", "A 23321-2024")</f>
        <v/>
      </c>
      <c r="T157">
        <f>HYPERLINK("https://klasma.github.io/Logging_0380/kartor/A 23321-2024 karta.png", "A 23321-2024")</f>
        <v/>
      </c>
      <c r="U157">
        <f>HYPERLINK("https://klasma.github.io/Logging_0380/knärot/A 23321-2024 karta knärot.png", "A 23321-2024")</f>
        <v/>
      </c>
      <c r="V157">
        <f>HYPERLINK("https://klasma.github.io/Logging_0380/klagomål/A 23321-2024 FSC-klagomål.docx", "A 23321-2024")</f>
        <v/>
      </c>
      <c r="W157">
        <f>HYPERLINK("https://klasma.github.io/Logging_0380/klagomålsmail/A 23321-2024 FSC-klagomål mail.docx", "A 23321-2024")</f>
        <v/>
      </c>
      <c r="X157">
        <f>HYPERLINK("https://klasma.github.io/Logging_0380/tillsyn/A 23321-2024 tillsynsbegäran.docx", "A 23321-2024")</f>
        <v/>
      </c>
      <c r="Y157">
        <f>HYPERLINK("https://klasma.github.io/Logging_0380/tillsynsmail/A 23321-2024 tillsynsbegäran mail.docx", "A 23321-2024")</f>
        <v/>
      </c>
      <c r="Z157">
        <f>HYPERLINK("https://klasma.github.io/Logging_0380/fåglar/A 23321-2024 prioriterade fågelarter.docx", "A 23321-2024")</f>
        <v/>
      </c>
    </row>
    <row r="158" ht="15" customHeight="1">
      <c r="A158" t="inlineStr">
        <is>
          <t>A 25482-2024</t>
        </is>
      </c>
      <c r="B158" s="1" t="n">
        <v>45463</v>
      </c>
      <c r="C158" s="1" t="n">
        <v>45474</v>
      </c>
      <c r="D158" t="inlineStr">
        <is>
          <t>UPPSALA LÄN</t>
        </is>
      </c>
      <c r="E158" t="inlineStr">
        <is>
          <t>UPPSALA</t>
        </is>
      </c>
      <c r="F158" t="inlineStr">
        <is>
          <t>Övriga Aktiebolag</t>
        </is>
      </c>
      <c r="G158" t="n">
        <v>1</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25482-2024 artfynd.xlsx", "A 25482-2024")</f>
        <v/>
      </c>
      <c r="T158">
        <f>HYPERLINK("https://klasma.github.io/Logging_0380/kartor/A 25482-2024 karta.png", "A 25482-2024")</f>
        <v/>
      </c>
      <c r="V158">
        <f>HYPERLINK("https://klasma.github.io/Logging_0380/klagomål/A 25482-2024 FSC-klagomål.docx", "A 25482-2024")</f>
        <v/>
      </c>
      <c r="W158">
        <f>HYPERLINK("https://klasma.github.io/Logging_0380/klagomålsmail/A 25482-2024 FSC-klagomål mail.docx", "A 25482-2024")</f>
        <v/>
      </c>
      <c r="X158">
        <f>HYPERLINK("https://klasma.github.io/Logging_0380/tillsyn/A 25482-2024 tillsynsbegäran.docx", "A 25482-2024")</f>
        <v/>
      </c>
      <c r="Y158">
        <f>HYPERLINK("https://klasma.github.io/Logging_0380/tillsynsmail/A 25482-2024 tillsynsbegäran mail.docx", "A 25482-2024")</f>
        <v/>
      </c>
    </row>
    <row r="159" ht="15" customHeight="1">
      <c r="A159" t="inlineStr">
        <is>
          <t>A 25729-2024</t>
        </is>
      </c>
      <c r="B159" s="1" t="n">
        <v>45464</v>
      </c>
      <c r="C159" s="1" t="n">
        <v>45474</v>
      </c>
      <c r="D159" t="inlineStr">
        <is>
          <t>UPPSALA LÄN</t>
        </is>
      </c>
      <c r="E159" t="inlineStr">
        <is>
          <t>UPPSALA</t>
        </is>
      </c>
      <c r="G159" t="n">
        <v>22.3</v>
      </c>
      <c r="H159" t="n">
        <v>0</v>
      </c>
      <c r="I159" t="n">
        <v>0</v>
      </c>
      <c r="J159" t="n">
        <v>1</v>
      </c>
      <c r="K159" t="n">
        <v>0</v>
      </c>
      <c r="L159" t="n">
        <v>0</v>
      </c>
      <c r="M159" t="n">
        <v>0</v>
      </c>
      <c r="N159" t="n">
        <v>0</v>
      </c>
      <c r="O159" t="n">
        <v>1</v>
      </c>
      <c r="P159" t="n">
        <v>0</v>
      </c>
      <c r="Q159" t="n">
        <v>1</v>
      </c>
      <c r="R159" s="2" t="inlineStr">
        <is>
          <t>Ullticka</t>
        </is>
      </c>
      <c r="S159">
        <f>HYPERLINK("https://klasma.github.io/Logging_0380/artfynd/A 25729-2024 artfynd.xlsx", "A 25729-2024")</f>
        <v/>
      </c>
      <c r="T159">
        <f>HYPERLINK("https://klasma.github.io/Logging_0380/kartor/A 25729-2024 karta.png", "A 25729-2024")</f>
        <v/>
      </c>
      <c r="V159">
        <f>HYPERLINK("https://klasma.github.io/Logging_0380/klagomål/A 25729-2024 FSC-klagomål.docx", "A 25729-2024")</f>
        <v/>
      </c>
      <c r="W159">
        <f>HYPERLINK("https://klasma.github.io/Logging_0380/klagomålsmail/A 25729-2024 FSC-klagomål mail.docx", "A 25729-2024")</f>
        <v/>
      </c>
      <c r="X159">
        <f>HYPERLINK("https://klasma.github.io/Logging_0380/tillsyn/A 25729-2024 tillsynsbegäran.docx", "A 25729-2024")</f>
        <v/>
      </c>
      <c r="Y159">
        <f>HYPERLINK("https://klasma.github.io/Logging_0380/tillsynsmail/A 25729-2024 tillsynsbegäran mail.docx", "A 25729-2024")</f>
        <v/>
      </c>
    </row>
    <row r="160" ht="15" customHeight="1">
      <c r="A160" t="inlineStr">
        <is>
          <t>A 17828-2019</t>
        </is>
      </c>
      <c r="B160" s="1" t="n">
        <v>43556</v>
      </c>
      <c r="C160" s="1" t="n">
        <v>45474</v>
      </c>
      <c r="D160" t="inlineStr">
        <is>
          <t>UPPSALA LÄN</t>
        </is>
      </c>
      <c r="E160" t="inlineStr">
        <is>
          <t>UPPSALA</t>
        </is>
      </c>
      <c r="G160" t="n">
        <v>2.8</v>
      </c>
      <c r="H160" t="n">
        <v>0</v>
      </c>
      <c r="I160" t="n">
        <v>0</v>
      </c>
      <c r="J160" t="n">
        <v>0</v>
      </c>
      <c r="K160" t="n">
        <v>0</v>
      </c>
      <c r="L160" t="n">
        <v>0</v>
      </c>
      <c r="M160" t="n">
        <v>0</v>
      </c>
      <c r="N160" t="n">
        <v>0</v>
      </c>
      <c r="O160" t="n">
        <v>0</v>
      </c>
      <c r="P160" t="n">
        <v>0</v>
      </c>
      <c r="Q160" t="n">
        <v>0</v>
      </c>
      <c r="R160" s="2" t="inlineStr"/>
    </row>
    <row r="161" ht="15" customHeight="1">
      <c r="A161" t="inlineStr">
        <is>
          <t>A 18446-2019</t>
        </is>
      </c>
      <c r="B161" s="1" t="n">
        <v>43559</v>
      </c>
      <c r="C161" s="1" t="n">
        <v>45474</v>
      </c>
      <c r="D161" t="inlineStr">
        <is>
          <t>UPPSALA LÄN</t>
        </is>
      </c>
      <c r="E161" t="inlineStr">
        <is>
          <t>UPPSALA</t>
        </is>
      </c>
      <c r="G161" t="n">
        <v>9.1</v>
      </c>
      <c r="H161" t="n">
        <v>0</v>
      </c>
      <c r="I161" t="n">
        <v>0</v>
      </c>
      <c r="J161" t="n">
        <v>0</v>
      </c>
      <c r="K161" t="n">
        <v>0</v>
      </c>
      <c r="L161" t="n">
        <v>0</v>
      </c>
      <c r="M161" t="n">
        <v>0</v>
      </c>
      <c r="N161" t="n">
        <v>0</v>
      </c>
      <c r="O161" t="n">
        <v>0</v>
      </c>
      <c r="P161" t="n">
        <v>0</v>
      </c>
      <c r="Q161" t="n">
        <v>0</v>
      </c>
      <c r="R161" s="2" t="inlineStr"/>
    </row>
    <row r="162" ht="15" customHeight="1">
      <c r="A162" t="inlineStr">
        <is>
          <t>A 18554-2019</t>
        </is>
      </c>
      <c r="B162" s="1" t="n">
        <v>43559</v>
      </c>
      <c r="C162" s="1" t="n">
        <v>45474</v>
      </c>
      <c r="D162" t="inlineStr">
        <is>
          <t>UPPSALA LÄN</t>
        </is>
      </c>
      <c r="E162" t="inlineStr">
        <is>
          <t>UPPSALA</t>
        </is>
      </c>
      <c r="G162" t="n">
        <v>5.6</v>
      </c>
      <c r="H162" t="n">
        <v>0</v>
      </c>
      <c r="I162" t="n">
        <v>0</v>
      </c>
      <c r="J162" t="n">
        <v>0</v>
      </c>
      <c r="K162" t="n">
        <v>0</v>
      </c>
      <c r="L162" t="n">
        <v>0</v>
      </c>
      <c r="M162" t="n">
        <v>0</v>
      </c>
      <c r="N162" t="n">
        <v>0</v>
      </c>
      <c r="O162" t="n">
        <v>0</v>
      </c>
      <c r="P162" t="n">
        <v>0</v>
      </c>
      <c r="Q162" t="n">
        <v>0</v>
      </c>
      <c r="R162" s="2" t="inlineStr"/>
    </row>
    <row r="163" ht="15" customHeight="1">
      <c r="A163" t="inlineStr">
        <is>
          <t>A 18810-2019</t>
        </is>
      </c>
      <c r="B163" s="1" t="n">
        <v>43560</v>
      </c>
      <c r="C163" s="1" t="n">
        <v>45474</v>
      </c>
      <c r="D163" t="inlineStr">
        <is>
          <t>UPPSALA LÄN</t>
        </is>
      </c>
      <c r="E163" t="inlineStr">
        <is>
          <t>UPPSALA</t>
        </is>
      </c>
      <c r="G163" t="n">
        <v>4</v>
      </c>
      <c r="H163" t="n">
        <v>0</v>
      </c>
      <c r="I163" t="n">
        <v>0</v>
      </c>
      <c r="J163" t="n">
        <v>0</v>
      </c>
      <c r="K163" t="n">
        <v>0</v>
      </c>
      <c r="L163" t="n">
        <v>0</v>
      </c>
      <c r="M163" t="n">
        <v>0</v>
      </c>
      <c r="N163" t="n">
        <v>0</v>
      </c>
      <c r="O163" t="n">
        <v>0</v>
      </c>
      <c r="P163" t="n">
        <v>0</v>
      </c>
      <c r="Q163" t="n">
        <v>0</v>
      </c>
      <c r="R163" s="2" t="inlineStr"/>
    </row>
    <row r="164" ht="15" customHeight="1">
      <c r="A164" t="inlineStr">
        <is>
          <t>A 20011-2019</t>
        </is>
      </c>
      <c r="B164" s="1" t="n">
        <v>43570</v>
      </c>
      <c r="C164" s="1" t="n">
        <v>45474</v>
      </c>
      <c r="D164" t="inlineStr">
        <is>
          <t>UPPSALA LÄN</t>
        </is>
      </c>
      <c r="E164" t="inlineStr">
        <is>
          <t>UPPSALA</t>
        </is>
      </c>
      <c r="G164" t="n">
        <v>6.3</v>
      </c>
      <c r="H164" t="n">
        <v>0</v>
      </c>
      <c r="I164" t="n">
        <v>0</v>
      </c>
      <c r="J164" t="n">
        <v>0</v>
      </c>
      <c r="K164" t="n">
        <v>0</v>
      </c>
      <c r="L164" t="n">
        <v>0</v>
      </c>
      <c r="M164" t="n">
        <v>0</v>
      </c>
      <c r="N164" t="n">
        <v>0</v>
      </c>
      <c r="O164" t="n">
        <v>0</v>
      </c>
      <c r="P164" t="n">
        <v>0</v>
      </c>
      <c r="Q164" t="n">
        <v>0</v>
      </c>
      <c r="R164" s="2" t="inlineStr"/>
    </row>
    <row r="165" ht="15" customHeight="1">
      <c r="A165" t="inlineStr">
        <is>
          <t>A 21087-2019</t>
        </is>
      </c>
      <c r="B165" s="1" t="n">
        <v>43578</v>
      </c>
      <c r="C165" s="1" t="n">
        <v>45474</v>
      </c>
      <c r="D165" t="inlineStr">
        <is>
          <t>UPPSALA LÄN</t>
        </is>
      </c>
      <c r="E165" t="inlineStr">
        <is>
          <t>UPPSALA</t>
        </is>
      </c>
      <c r="G165" t="n">
        <v>1.8</v>
      </c>
      <c r="H165" t="n">
        <v>0</v>
      </c>
      <c r="I165" t="n">
        <v>0</v>
      </c>
      <c r="J165" t="n">
        <v>0</v>
      </c>
      <c r="K165" t="n">
        <v>0</v>
      </c>
      <c r="L165" t="n">
        <v>0</v>
      </c>
      <c r="M165" t="n">
        <v>0</v>
      </c>
      <c r="N165" t="n">
        <v>0</v>
      </c>
      <c r="O165" t="n">
        <v>0</v>
      </c>
      <c r="P165" t="n">
        <v>0</v>
      </c>
      <c r="Q165" t="n">
        <v>0</v>
      </c>
      <c r="R165" s="2" t="inlineStr"/>
    </row>
    <row r="166" ht="15" customHeight="1">
      <c r="A166" t="inlineStr">
        <is>
          <t>A 21082-2019</t>
        </is>
      </c>
      <c r="B166" s="1" t="n">
        <v>43578</v>
      </c>
      <c r="C166" s="1" t="n">
        <v>45474</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21862-2019</t>
        </is>
      </c>
      <c r="B167" s="1" t="n">
        <v>43583</v>
      </c>
      <c r="C167" s="1" t="n">
        <v>45474</v>
      </c>
      <c r="D167" t="inlineStr">
        <is>
          <t>UPPSALA LÄN</t>
        </is>
      </c>
      <c r="E167" t="inlineStr">
        <is>
          <t>UPPSALA</t>
        </is>
      </c>
      <c r="G167" t="n">
        <v>9.5</v>
      </c>
      <c r="H167" t="n">
        <v>0</v>
      </c>
      <c r="I167" t="n">
        <v>0</v>
      </c>
      <c r="J167" t="n">
        <v>0</v>
      </c>
      <c r="K167" t="n">
        <v>0</v>
      </c>
      <c r="L167" t="n">
        <v>0</v>
      </c>
      <c r="M167" t="n">
        <v>0</v>
      </c>
      <c r="N167" t="n">
        <v>0</v>
      </c>
      <c r="O167" t="n">
        <v>0</v>
      </c>
      <c r="P167" t="n">
        <v>0</v>
      </c>
      <c r="Q167" t="n">
        <v>0</v>
      </c>
      <c r="R167" s="2" t="inlineStr"/>
    </row>
    <row r="168" ht="15" customHeight="1">
      <c r="A168" t="inlineStr">
        <is>
          <t>A 22153-2019</t>
        </is>
      </c>
      <c r="B168" s="1" t="n">
        <v>43585</v>
      </c>
      <c r="C168" s="1" t="n">
        <v>45474</v>
      </c>
      <c r="D168" t="inlineStr">
        <is>
          <t>UPPSALA LÄN</t>
        </is>
      </c>
      <c r="E168" t="inlineStr">
        <is>
          <t>UPPSALA</t>
        </is>
      </c>
      <c r="F168" t="inlineStr">
        <is>
          <t>Holmen skog AB</t>
        </is>
      </c>
      <c r="G168" t="n">
        <v>0.7</v>
      </c>
      <c r="H168" t="n">
        <v>0</v>
      </c>
      <c r="I168" t="n">
        <v>0</v>
      </c>
      <c r="J168" t="n">
        <v>0</v>
      </c>
      <c r="K168" t="n">
        <v>0</v>
      </c>
      <c r="L168" t="n">
        <v>0</v>
      </c>
      <c r="M168" t="n">
        <v>0</v>
      </c>
      <c r="N168" t="n">
        <v>0</v>
      </c>
      <c r="O168" t="n">
        <v>0</v>
      </c>
      <c r="P168" t="n">
        <v>0</v>
      </c>
      <c r="Q168" t="n">
        <v>0</v>
      </c>
      <c r="R168" s="2" t="inlineStr"/>
    </row>
    <row r="169" ht="15" customHeight="1">
      <c r="A169" t="inlineStr">
        <is>
          <t>A 23042-2019</t>
        </is>
      </c>
      <c r="B169" s="1" t="n">
        <v>43591</v>
      </c>
      <c r="C169" s="1" t="n">
        <v>45474</v>
      </c>
      <c r="D169" t="inlineStr">
        <is>
          <t>UPPSALA LÄN</t>
        </is>
      </c>
      <c r="E169" t="inlineStr">
        <is>
          <t>UPPSALA</t>
        </is>
      </c>
      <c r="G169" t="n">
        <v>2.7</v>
      </c>
      <c r="H169" t="n">
        <v>0</v>
      </c>
      <c r="I169" t="n">
        <v>0</v>
      </c>
      <c r="J169" t="n">
        <v>0</v>
      </c>
      <c r="K169" t="n">
        <v>0</v>
      </c>
      <c r="L169" t="n">
        <v>0</v>
      </c>
      <c r="M169" t="n">
        <v>0</v>
      </c>
      <c r="N169" t="n">
        <v>0</v>
      </c>
      <c r="O169" t="n">
        <v>0</v>
      </c>
      <c r="P169" t="n">
        <v>0</v>
      </c>
      <c r="Q169" t="n">
        <v>0</v>
      </c>
      <c r="R169" s="2" t="inlineStr"/>
    </row>
    <row r="170" ht="15" customHeight="1">
      <c r="A170" t="inlineStr">
        <is>
          <t>A 23262-2019</t>
        </is>
      </c>
      <c r="B170" s="1" t="n">
        <v>43592</v>
      </c>
      <c r="C170" s="1" t="n">
        <v>45474</v>
      </c>
      <c r="D170" t="inlineStr">
        <is>
          <t>UPPSALA LÄN</t>
        </is>
      </c>
      <c r="E170" t="inlineStr">
        <is>
          <t>UPPSALA</t>
        </is>
      </c>
      <c r="F170" t="inlineStr">
        <is>
          <t>Kyrkan</t>
        </is>
      </c>
      <c r="G170" t="n">
        <v>7.6</v>
      </c>
      <c r="H170" t="n">
        <v>0</v>
      </c>
      <c r="I170" t="n">
        <v>0</v>
      </c>
      <c r="J170" t="n">
        <v>0</v>
      </c>
      <c r="K170" t="n">
        <v>0</v>
      </c>
      <c r="L170" t="n">
        <v>0</v>
      </c>
      <c r="M170" t="n">
        <v>0</v>
      </c>
      <c r="N170" t="n">
        <v>0</v>
      </c>
      <c r="O170" t="n">
        <v>0</v>
      </c>
      <c r="P170" t="n">
        <v>0</v>
      </c>
      <c r="Q170" t="n">
        <v>0</v>
      </c>
      <c r="R170" s="2" t="inlineStr"/>
    </row>
    <row r="171" ht="15" customHeight="1">
      <c r="A171" t="inlineStr">
        <is>
          <t>A 24998-2019</t>
        </is>
      </c>
      <c r="B171" s="1" t="n">
        <v>43600</v>
      </c>
      <c r="C171" s="1" t="n">
        <v>45474</v>
      </c>
      <c r="D171" t="inlineStr">
        <is>
          <t>UPPSALA LÄN</t>
        </is>
      </c>
      <c r="E171" t="inlineStr">
        <is>
          <t>UPPSALA</t>
        </is>
      </c>
      <c r="G171" t="n">
        <v>0.9</v>
      </c>
      <c r="H171" t="n">
        <v>0</v>
      </c>
      <c r="I171" t="n">
        <v>0</v>
      </c>
      <c r="J171" t="n">
        <v>0</v>
      </c>
      <c r="K171" t="n">
        <v>0</v>
      </c>
      <c r="L171" t="n">
        <v>0</v>
      </c>
      <c r="M171" t="n">
        <v>0</v>
      </c>
      <c r="N171" t="n">
        <v>0</v>
      </c>
      <c r="O171" t="n">
        <v>0</v>
      </c>
      <c r="P171" t="n">
        <v>0</v>
      </c>
      <c r="Q171" t="n">
        <v>0</v>
      </c>
      <c r="R171" s="2" t="inlineStr"/>
    </row>
    <row r="172" ht="15" customHeight="1">
      <c r="A172" t="inlineStr">
        <is>
          <t>A 25164-2019</t>
        </is>
      </c>
      <c r="B172" s="1" t="n">
        <v>43605</v>
      </c>
      <c r="C172" s="1" t="n">
        <v>45474</v>
      </c>
      <c r="D172" t="inlineStr">
        <is>
          <t>UPPSALA LÄN</t>
        </is>
      </c>
      <c r="E172" t="inlineStr">
        <is>
          <t>UPPSALA</t>
        </is>
      </c>
      <c r="G172" t="n">
        <v>1.6</v>
      </c>
      <c r="H172" t="n">
        <v>0</v>
      </c>
      <c r="I172" t="n">
        <v>0</v>
      </c>
      <c r="J172" t="n">
        <v>0</v>
      </c>
      <c r="K172" t="n">
        <v>0</v>
      </c>
      <c r="L172" t="n">
        <v>0</v>
      </c>
      <c r="M172" t="n">
        <v>0</v>
      </c>
      <c r="N172" t="n">
        <v>0</v>
      </c>
      <c r="O172" t="n">
        <v>0</v>
      </c>
      <c r="P172" t="n">
        <v>0</v>
      </c>
      <c r="Q172" t="n">
        <v>0</v>
      </c>
      <c r="R172" s="2" t="inlineStr"/>
    </row>
    <row r="173" ht="15" customHeight="1">
      <c r="A173" t="inlineStr">
        <is>
          <t>A 25157-2019</t>
        </is>
      </c>
      <c r="B173" s="1" t="n">
        <v>43605</v>
      </c>
      <c r="C173" s="1" t="n">
        <v>45474</v>
      </c>
      <c r="D173" t="inlineStr">
        <is>
          <t>UPPSALA LÄN</t>
        </is>
      </c>
      <c r="E173" t="inlineStr">
        <is>
          <t>UPPSALA</t>
        </is>
      </c>
      <c r="G173" t="n">
        <v>3</v>
      </c>
      <c r="H173" t="n">
        <v>0</v>
      </c>
      <c r="I173" t="n">
        <v>0</v>
      </c>
      <c r="J173" t="n">
        <v>0</v>
      </c>
      <c r="K173" t="n">
        <v>0</v>
      </c>
      <c r="L173" t="n">
        <v>0</v>
      </c>
      <c r="M173" t="n">
        <v>0</v>
      </c>
      <c r="N173" t="n">
        <v>0</v>
      </c>
      <c r="O173" t="n">
        <v>0</v>
      </c>
      <c r="P173" t="n">
        <v>0</v>
      </c>
      <c r="Q173" t="n">
        <v>0</v>
      </c>
      <c r="R173" s="2" t="inlineStr"/>
    </row>
    <row r="174" ht="15" customHeight="1">
      <c r="A174" t="inlineStr">
        <is>
          <t>A 25667-2019</t>
        </is>
      </c>
      <c r="B174" s="1" t="n">
        <v>43607</v>
      </c>
      <c r="C174" s="1" t="n">
        <v>45474</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29105-2019</t>
        </is>
      </c>
      <c r="B175" s="1" t="n">
        <v>43628</v>
      </c>
      <c r="C175" s="1" t="n">
        <v>45474</v>
      </c>
      <c r="D175" t="inlineStr">
        <is>
          <t>UPPSALA LÄN</t>
        </is>
      </c>
      <c r="E175" t="inlineStr">
        <is>
          <t>UPPSALA</t>
        </is>
      </c>
      <c r="G175" t="n">
        <v>2.1</v>
      </c>
      <c r="H175" t="n">
        <v>0</v>
      </c>
      <c r="I175" t="n">
        <v>0</v>
      </c>
      <c r="J175" t="n">
        <v>0</v>
      </c>
      <c r="K175" t="n">
        <v>0</v>
      </c>
      <c r="L175" t="n">
        <v>0</v>
      </c>
      <c r="M175" t="n">
        <v>0</v>
      </c>
      <c r="N175" t="n">
        <v>0</v>
      </c>
      <c r="O175" t="n">
        <v>0</v>
      </c>
      <c r="P175" t="n">
        <v>0</v>
      </c>
      <c r="Q175" t="n">
        <v>0</v>
      </c>
      <c r="R175" s="2" t="inlineStr"/>
    </row>
    <row r="176" ht="15" customHeight="1">
      <c r="A176" t="inlineStr">
        <is>
          <t>A 29183-2019</t>
        </is>
      </c>
      <c r="B176" s="1" t="n">
        <v>43628</v>
      </c>
      <c r="C176" s="1" t="n">
        <v>45474</v>
      </c>
      <c r="D176" t="inlineStr">
        <is>
          <t>UPPSALA LÄN</t>
        </is>
      </c>
      <c r="E176" t="inlineStr">
        <is>
          <t>UPPSALA</t>
        </is>
      </c>
      <c r="F176" t="inlineStr">
        <is>
          <t>Allmännings- och besparingsskogar</t>
        </is>
      </c>
      <c r="G176" t="n">
        <v>6.3</v>
      </c>
      <c r="H176" t="n">
        <v>0</v>
      </c>
      <c r="I176" t="n">
        <v>0</v>
      </c>
      <c r="J176" t="n">
        <v>0</v>
      </c>
      <c r="K176" t="n">
        <v>0</v>
      </c>
      <c r="L176" t="n">
        <v>0</v>
      </c>
      <c r="M176" t="n">
        <v>0</v>
      </c>
      <c r="N176" t="n">
        <v>0</v>
      </c>
      <c r="O176" t="n">
        <v>0</v>
      </c>
      <c r="P176" t="n">
        <v>0</v>
      </c>
      <c r="Q176" t="n">
        <v>0</v>
      </c>
      <c r="R176" s="2" t="inlineStr"/>
    </row>
    <row r="177" ht="15" customHeight="1">
      <c r="A177" t="inlineStr">
        <is>
          <t>A 29081-2019</t>
        </is>
      </c>
      <c r="B177" s="1" t="n">
        <v>43628</v>
      </c>
      <c r="C177" s="1" t="n">
        <v>45474</v>
      </c>
      <c r="D177" t="inlineStr">
        <is>
          <t>UPPSALA LÄN</t>
        </is>
      </c>
      <c r="E177" t="inlineStr">
        <is>
          <t>UPPSALA</t>
        </is>
      </c>
      <c r="G177" t="n">
        <v>8.4</v>
      </c>
      <c r="H177" t="n">
        <v>0</v>
      </c>
      <c r="I177" t="n">
        <v>0</v>
      </c>
      <c r="J177" t="n">
        <v>0</v>
      </c>
      <c r="K177" t="n">
        <v>0</v>
      </c>
      <c r="L177" t="n">
        <v>0</v>
      </c>
      <c r="M177" t="n">
        <v>0</v>
      </c>
      <c r="N177" t="n">
        <v>0</v>
      </c>
      <c r="O177" t="n">
        <v>0</v>
      </c>
      <c r="P177" t="n">
        <v>0</v>
      </c>
      <c r="Q177" t="n">
        <v>0</v>
      </c>
      <c r="R177" s="2" t="inlineStr"/>
    </row>
    <row r="178" ht="15" customHeight="1">
      <c r="A178" t="inlineStr">
        <is>
          <t>A 29719-2019</t>
        </is>
      </c>
      <c r="B178" s="1" t="n">
        <v>43630</v>
      </c>
      <c r="C178" s="1" t="n">
        <v>45474</v>
      </c>
      <c r="D178" t="inlineStr">
        <is>
          <t>UPPSALA LÄN</t>
        </is>
      </c>
      <c r="E178" t="inlineStr">
        <is>
          <t>UPPSALA</t>
        </is>
      </c>
      <c r="G178" t="n">
        <v>1.4</v>
      </c>
      <c r="H178" t="n">
        <v>0</v>
      </c>
      <c r="I178" t="n">
        <v>0</v>
      </c>
      <c r="J178" t="n">
        <v>0</v>
      </c>
      <c r="K178" t="n">
        <v>0</v>
      </c>
      <c r="L178" t="n">
        <v>0</v>
      </c>
      <c r="M178" t="n">
        <v>0</v>
      </c>
      <c r="N178" t="n">
        <v>0</v>
      </c>
      <c r="O178" t="n">
        <v>0</v>
      </c>
      <c r="P178" t="n">
        <v>0</v>
      </c>
      <c r="Q178" t="n">
        <v>0</v>
      </c>
      <c r="R178" s="2" t="inlineStr"/>
    </row>
    <row r="179" ht="15" customHeight="1">
      <c r="A179" t="inlineStr">
        <is>
          <t>A 29713-2019</t>
        </is>
      </c>
      <c r="B179" s="1" t="n">
        <v>43630</v>
      </c>
      <c r="C179" s="1" t="n">
        <v>45474</v>
      </c>
      <c r="D179" t="inlineStr">
        <is>
          <t>UPPSALA LÄN</t>
        </is>
      </c>
      <c r="E179" t="inlineStr">
        <is>
          <t>UPPSALA</t>
        </is>
      </c>
      <c r="G179" t="n">
        <v>1</v>
      </c>
      <c r="H179" t="n">
        <v>0</v>
      </c>
      <c r="I179" t="n">
        <v>0</v>
      </c>
      <c r="J179" t="n">
        <v>0</v>
      </c>
      <c r="K179" t="n">
        <v>0</v>
      </c>
      <c r="L179" t="n">
        <v>0</v>
      </c>
      <c r="M179" t="n">
        <v>0</v>
      </c>
      <c r="N179" t="n">
        <v>0</v>
      </c>
      <c r="O179" t="n">
        <v>0</v>
      </c>
      <c r="P179" t="n">
        <v>0</v>
      </c>
      <c r="Q179" t="n">
        <v>0</v>
      </c>
      <c r="R179" s="2" t="inlineStr"/>
    </row>
    <row r="180" ht="15" customHeight="1">
      <c r="A180" t="inlineStr">
        <is>
          <t>A 32558-2019</t>
        </is>
      </c>
      <c r="B180" s="1" t="n">
        <v>43647</v>
      </c>
      <c r="C180" s="1" t="n">
        <v>45474</v>
      </c>
      <c r="D180" t="inlineStr">
        <is>
          <t>UPPSALA LÄN</t>
        </is>
      </c>
      <c r="E180" t="inlineStr">
        <is>
          <t>UPPSALA</t>
        </is>
      </c>
      <c r="G180" t="n">
        <v>4.2</v>
      </c>
      <c r="H180" t="n">
        <v>0</v>
      </c>
      <c r="I180" t="n">
        <v>0</v>
      </c>
      <c r="J180" t="n">
        <v>0</v>
      </c>
      <c r="K180" t="n">
        <v>0</v>
      </c>
      <c r="L180" t="n">
        <v>0</v>
      </c>
      <c r="M180" t="n">
        <v>0</v>
      </c>
      <c r="N180" t="n">
        <v>0</v>
      </c>
      <c r="O180" t="n">
        <v>0</v>
      </c>
      <c r="P180" t="n">
        <v>0</v>
      </c>
      <c r="Q180" t="n">
        <v>0</v>
      </c>
      <c r="R180" s="2" t="inlineStr"/>
    </row>
    <row r="181" ht="15" customHeight="1">
      <c r="A181" t="inlineStr">
        <is>
          <t>A 34560-2019</t>
        </is>
      </c>
      <c r="B181" s="1" t="n">
        <v>43647</v>
      </c>
      <c r="C181" s="1" t="n">
        <v>45474</v>
      </c>
      <c r="D181" t="inlineStr">
        <is>
          <t>UPPSALA LÄN</t>
        </is>
      </c>
      <c r="E181" t="inlineStr">
        <is>
          <t>UPPSALA</t>
        </is>
      </c>
      <c r="G181" t="n">
        <v>8.6</v>
      </c>
      <c r="H181" t="n">
        <v>0</v>
      </c>
      <c r="I181" t="n">
        <v>0</v>
      </c>
      <c r="J181" t="n">
        <v>0</v>
      </c>
      <c r="K181" t="n">
        <v>0</v>
      </c>
      <c r="L181" t="n">
        <v>0</v>
      </c>
      <c r="M181" t="n">
        <v>0</v>
      </c>
      <c r="N181" t="n">
        <v>0</v>
      </c>
      <c r="O181" t="n">
        <v>0</v>
      </c>
      <c r="P181" t="n">
        <v>0</v>
      </c>
      <c r="Q181" t="n">
        <v>0</v>
      </c>
      <c r="R181" s="2" t="inlineStr"/>
    </row>
    <row r="182" ht="15" customHeight="1">
      <c r="A182" t="inlineStr">
        <is>
          <t>A 32830-2019</t>
        </is>
      </c>
      <c r="B182" s="1" t="n">
        <v>43648</v>
      </c>
      <c r="C182" s="1" t="n">
        <v>45474</v>
      </c>
      <c r="D182" t="inlineStr">
        <is>
          <t>UPPSALA LÄN</t>
        </is>
      </c>
      <c r="E182" t="inlineStr">
        <is>
          <t>UPPSALA</t>
        </is>
      </c>
      <c r="G182" t="n">
        <v>13.6</v>
      </c>
      <c r="H182" t="n">
        <v>0</v>
      </c>
      <c r="I182" t="n">
        <v>0</v>
      </c>
      <c r="J182" t="n">
        <v>0</v>
      </c>
      <c r="K182" t="n">
        <v>0</v>
      </c>
      <c r="L182" t="n">
        <v>0</v>
      </c>
      <c r="M182" t="n">
        <v>0</v>
      </c>
      <c r="N182" t="n">
        <v>0</v>
      </c>
      <c r="O182" t="n">
        <v>0</v>
      </c>
      <c r="P182" t="n">
        <v>0</v>
      </c>
      <c r="Q182" t="n">
        <v>0</v>
      </c>
      <c r="R182" s="2" t="inlineStr"/>
    </row>
    <row r="183" ht="15" customHeight="1">
      <c r="A183" t="inlineStr">
        <is>
          <t>A 33602-2019</t>
        </is>
      </c>
      <c r="B183" s="1" t="n">
        <v>43651</v>
      </c>
      <c r="C183" s="1" t="n">
        <v>45474</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33614-2019</t>
        </is>
      </c>
      <c r="B184" s="1" t="n">
        <v>43651</v>
      </c>
      <c r="C184" s="1" t="n">
        <v>45474</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33615-2019</t>
        </is>
      </c>
      <c r="B185" s="1" t="n">
        <v>43651</v>
      </c>
      <c r="C185" s="1" t="n">
        <v>45474</v>
      </c>
      <c r="D185" t="inlineStr">
        <is>
          <t>UPPSALA LÄN</t>
        </is>
      </c>
      <c r="E185" t="inlineStr">
        <is>
          <t>UPPSALA</t>
        </is>
      </c>
      <c r="G185" t="n">
        <v>1.4</v>
      </c>
      <c r="H185" t="n">
        <v>0</v>
      </c>
      <c r="I185" t="n">
        <v>0</v>
      </c>
      <c r="J185" t="n">
        <v>0</v>
      </c>
      <c r="K185" t="n">
        <v>0</v>
      </c>
      <c r="L185" t="n">
        <v>0</v>
      </c>
      <c r="M185" t="n">
        <v>0</v>
      </c>
      <c r="N185" t="n">
        <v>0</v>
      </c>
      <c r="O185" t="n">
        <v>0</v>
      </c>
      <c r="P185" t="n">
        <v>0</v>
      </c>
      <c r="Q185" t="n">
        <v>0</v>
      </c>
      <c r="R185" s="2" t="inlineStr"/>
    </row>
    <row r="186" ht="15" customHeight="1">
      <c r="A186" t="inlineStr">
        <is>
          <t>A 33596-2019</t>
        </is>
      </c>
      <c r="B186" s="1" t="n">
        <v>43651</v>
      </c>
      <c r="C186" s="1" t="n">
        <v>45474</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34007-2019</t>
        </is>
      </c>
      <c r="B187" s="1" t="n">
        <v>43654</v>
      </c>
      <c r="C187" s="1" t="n">
        <v>45474</v>
      </c>
      <c r="D187" t="inlineStr">
        <is>
          <t>UPPSALA LÄN</t>
        </is>
      </c>
      <c r="E187" t="inlineStr">
        <is>
          <t>UPPSALA</t>
        </is>
      </c>
      <c r="G187" t="n">
        <v>2</v>
      </c>
      <c r="H187" t="n">
        <v>0</v>
      </c>
      <c r="I187" t="n">
        <v>0</v>
      </c>
      <c r="J187" t="n">
        <v>0</v>
      </c>
      <c r="K187" t="n">
        <v>0</v>
      </c>
      <c r="L187" t="n">
        <v>0</v>
      </c>
      <c r="M187" t="n">
        <v>0</v>
      </c>
      <c r="N187" t="n">
        <v>0</v>
      </c>
      <c r="O187" t="n">
        <v>0</v>
      </c>
      <c r="P187" t="n">
        <v>0</v>
      </c>
      <c r="Q187" t="n">
        <v>0</v>
      </c>
      <c r="R187" s="2" t="inlineStr"/>
    </row>
    <row r="188" ht="15" customHeight="1">
      <c r="A188" t="inlineStr">
        <is>
          <t>A 34063-2019</t>
        </is>
      </c>
      <c r="B188" s="1" t="n">
        <v>43654</v>
      </c>
      <c r="C188" s="1" t="n">
        <v>45474</v>
      </c>
      <c r="D188" t="inlineStr">
        <is>
          <t>UPPSALA LÄN</t>
        </is>
      </c>
      <c r="E188" t="inlineStr">
        <is>
          <t>UPPSALA</t>
        </is>
      </c>
      <c r="G188" t="n">
        <v>1.5</v>
      </c>
      <c r="H188" t="n">
        <v>0</v>
      </c>
      <c r="I188" t="n">
        <v>0</v>
      </c>
      <c r="J188" t="n">
        <v>0</v>
      </c>
      <c r="K188" t="n">
        <v>0</v>
      </c>
      <c r="L188" t="n">
        <v>0</v>
      </c>
      <c r="M188" t="n">
        <v>0</v>
      </c>
      <c r="N188" t="n">
        <v>0</v>
      </c>
      <c r="O188" t="n">
        <v>0</v>
      </c>
      <c r="P188" t="n">
        <v>0</v>
      </c>
      <c r="Q188" t="n">
        <v>0</v>
      </c>
      <c r="R188" s="2" t="inlineStr"/>
    </row>
    <row r="189" ht="15" customHeight="1">
      <c r="A189" t="inlineStr">
        <is>
          <t>A 34331-2019</t>
        </is>
      </c>
      <c r="B189" s="1" t="n">
        <v>43656</v>
      </c>
      <c r="C189" s="1" t="n">
        <v>45474</v>
      </c>
      <c r="D189" t="inlineStr">
        <is>
          <t>UPPSALA LÄN</t>
        </is>
      </c>
      <c r="E189" t="inlineStr">
        <is>
          <t>UPPSALA</t>
        </is>
      </c>
      <c r="G189" t="n">
        <v>2</v>
      </c>
      <c r="H189" t="n">
        <v>0</v>
      </c>
      <c r="I189" t="n">
        <v>0</v>
      </c>
      <c r="J189" t="n">
        <v>0</v>
      </c>
      <c r="K189" t="n">
        <v>0</v>
      </c>
      <c r="L189" t="n">
        <v>0</v>
      </c>
      <c r="M189" t="n">
        <v>0</v>
      </c>
      <c r="N189" t="n">
        <v>0</v>
      </c>
      <c r="O189" t="n">
        <v>0</v>
      </c>
      <c r="P189" t="n">
        <v>0</v>
      </c>
      <c r="Q189" t="n">
        <v>0</v>
      </c>
      <c r="R189" s="2" t="inlineStr"/>
    </row>
    <row r="190" ht="15" customHeight="1">
      <c r="A190" t="inlineStr">
        <is>
          <t>A 36345-2019</t>
        </is>
      </c>
      <c r="B190" s="1" t="n">
        <v>43661</v>
      </c>
      <c r="C190" s="1" t="n">
        <v>45474</v>
      </c>
      <c r="D190" t="inlineStr">
        <is>
          <t>UPPSALA LÄN</t>
        </is>
      </c>
      <c r="E190" t="inlineStr">
        <is>
          <t>UPPSALA</t>
        </is>
      </c>
      <c r="G190" t="n">
        <v>5.3</v>
      </c>
      <c r="H190" t="n">
        <v>0</v>
      </c>
      <c r="I190" t="n">
        <v>0</v>
      </c>
      <c r="J190" t="n">
        <v>0</v>
      </c>
      <c r="K190" t="n">
        <v>0</v>
      </c>
      <c r="L190" t="n">
        <v>0</v>
      </c>
      <c r="M190" t="n">
        <v>0</v>
      </c>
      <c r="N190" t="n">
        <v>0</v>
      </c>
      <c r="O190" t="n">
        <v>0</v>
      </c>
      <c r="P190" t="n">
        <v>0</v>
      </c>
      <c r="Q190" t="n">
        <v>0</v>
      </c>
      <c r="R190" s="2" t="inlineStr"/>
    </row>
    <row r="191" ht="15" customHeight="1">
      <c r="A191" t="inlineStr">
        <is>
          <t>A 36394-2019</t>
        </is>
      </c>
      <c r="B191" s="1" t="n">
        <v>43663</v>
      </c>
      <c r="C191" s="1" t="n">
        <v>45474</v>
      </c>
      <c r="D191" t="inlineStr">
        <is>
          <t>UPPSALA LÄN</t>
        </is>
      </c>
      <c r="E191" t="inlineStr">
        <is>
          <t>UPPSALA</t>
        </is>
      </c>
      <c r="G191" t="n">
        <v>2.4</v>
      </c>
      <c r="H191" t="n">
        <v>0</v>
      </c>
      <c r="I191" t="n">
        <v>0</v>
      </c>
      <c r="J191" t="n">
        <v>0</v>
      </c>
      <c r="K191" t="n">
        <v>0</v>
      </c>
      <c r="L191" t="n">
        <v>0</v>
      </c>
      <c r="M191" t="n">
        <v>0</v>
      </c>
      <c r="N191" t="n">
        <v>0</v>
      </c>
      <c r="O191" t="n">
        <v>0</v>
      </c>
      <c r="P191" t="n">
        <v>0</v>
      </c>
      <c r="Q191" t="n">
        <v>0</v>
      </c>
      <c r="R191" s="2" t="inlineStr"/>
    </row>
    <row r="192" ht="15" customHeight="1">
      <c r="A192" t="inlineStr">
        <is>
          <t>A 37234-2019</t>
        </is>
      </c>
      <c r="B192" s="1" t="n">
        <v>43677</v>
      </c>
      <c r="C192" s="1" t="n">
        <v>45474</v>
      </c>
      <c r="D192" t="inlineStr">
        <is>
          <t>UPPSALA LÄN</t>
        </is>
      </c>
      <c r="E192" t="inlineStr">
        <is>
          <t>UPPSALA</t>
        </is>
      </c>
      <c r="G192" t="n">
        <v>3.2</v>
      </c>
      <c r="H192" t="n">
        <v>0</v>
      </c>
      <c r="I192" t="n">
        <v>0</v>
      </c>
      <c r="J192" t="n">
        <v>0</v>
      </c>
      <c r="K192" t="n">
        <v>0</v>
      </c>
      <c r="L192" t="n">
        <v>0</v>
      </c>
      <c r="M192" t="n">
        <v>0</v>
      </c>
      <c r="N192" t="n">
        <v>0</v>
      </c>
      <c r="O192" t="n">
        <v>0</v>
      </c>
      <c r="P192" t="n">
        <v>0</v>
      </c>
      <c r="Q192" t="n">
        <v>0</v>
      </c>
      <c r="R192" s="2" t="inlineStr"/>
    </row>
    <row r="193" ht="15" customHeight="1">
      <c r="A193" t="inlineStr">
        <is>
          <t>A 37711-2019</t>
        </is>
      </c>
      <c r="B193" s="1" t="n">
        <v>43682</v>
      </c>
      <c r="C193" s="1" t="n">
        <v>45474</v>
      </c>
      <c r="D193" t="inlineStr">
        <is>
          <t>UPPSALA LÄN</t>
        </is>
      </c>
      <c r="E193" t="inlineStr">
        <is>
          <t>UPPSALA</t>
        </is>
      </c>
      <c r="G193" t="n">
        <v>4</v>
      </c>
      <c r="H193" t="n">
        <v>0</v>
      </c>
      <c r="I193" t="n">
        <v>0</v>
      </c>
      <c r="J193" t="n">
        <v>0</v>
      </c>
      <c r="K193" t="n">
        <v>0</v>
      </c>
      <c r="L193" t="n">
        <v>0</v>
      </c>
      <c r="M193" t="n">
        <v>0</v>
      </c>
      <c r="N193" t="n">
        <v>0</v>
      </c>
      <c r="O193" t="n">
        <v>0</v>
      </c>
      <c r="P193" t="n">
        <v>0</v>
      </c>
      <c r="Q193" t="n">
        <v>0</v>
      </c>
      <c r="R193" s="2" t="inlineStr"/>
    </row>
    <row r="194" ht="15" customHeight="1">
      <c r="A194" t="inlineStr">
        <is>
          <t>A 38684-2019</t>
        </is>
      </c>
      <c r="B194" s="1" t="n">
        <v>43686</v>
      </c>
      <c r="C194" s="1" t="n">
        <v>45474</v>
      </c>
      <c r="D194" t="inlineStr">
        <is>
          <t>UPPSALA LÄN</t>
        </is>
      </c>
      <c r="E194" t="inlineStr">
        <is>
          <t>UPPSALA</t>
        </is>
      </c>
      <c r="G194" t="n">
        <v>0.4</v>
      </c>
      <c r="H194" t="n">
        <v>0</v>
      </c>
      <c r="I194" t="n">
        <v>0</v>
      </c>
      <c r="J194" t="n">
        <v>0</v>
      </c>
      <c r="K194" t="n">
        <v>0</v>
      </c>
      <c r="L194" t="n">
        <v>0</v>
      </c>
      <c r="M194" t="n">
        <v>0</v>
      </c>
      <c r="N194" t="n">
        <v>0</v>
      </c>
      <c r="O194" t="n">
        <v>0</v>
      </c>
      <c r="P194" t="n">
        <v>0</v>
      </c>
      <c r="Q194" t="n">
        <v>0</v>
      </c>
      <c r="R194" s="2" t="inlineStr"/>
    </row>
    <row r="195" ht="15" customHeight="1">
      <c r="A195" t="inlineStr">
        <is>
          <t>A 40151-2019</t>
        </is>
      </c>
      <c r="B195" s="1" t="n">
        <v>43693</v>
      </c>
      <c r="C195" s="1" t="n">
        <v>45474</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41609-2019</t>
        </is>
      </c>
      <c r="B196" s="1" t="n">
        <v>43696</v>
      </c>
      <c r="C196" s="1" t="n">
        <v>45474</v>
      </c>
      <c r="D196" t="inlineStr">
        <is>
          <t>UPPSALA LÄN</t>
        </is>
      </c>
      <c r="E196" t="inlineStr">
        <is>
          <t>UPPSALA</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41653-2019</t>
        </is>
      </c>
      <c r="B197" s="1" t="n">
        <v>43696</v>
      </c>
      <c r="C197" s="1" t="n">
        <v>45474</v>
      </c>
      <c r="D197" t="inlineStr">
        <is>
          <t>UPPSALA LÄN</t>
        </is>
      </c>
      <c r="E197" t="inlineStr">
        <is>
          <t>UPPSALA</t>
        </is>
      </c>
      <c r="G197" t="n">
        <v>5.2</v>
      </c>
      <c r="H197" t="n">
        <v>0</v>
      </c>
      <c r="I197" t="n">
        <v>0</v>
      </c>
      <c r="J197" t="n">
        <v>0</v>
      </c>
      <c r="K197" t="n">
        <v>0</v>
      </c>
      <c r="L197" t="n">
        <v>0</v>
      </c>
      <c r="M197" t="n">
        <v>0</v>
      </c>
      <c r="N197" t="n">
        <v>0</v>
      </c>
      <c r="O197" t="n">
        <v>0</v>
      </c>
      <c r="P197" t="n">
        <v>0</v>
      </c>
      <c r="Q197" t="n">
        <v>0</v>
      </c>
      <c r="R197" s="2" t="inlineStr"/>
    </row>
    <row r="198" ht="15" customHeight="1">
      <c r="A198" t="inlineStr">
        <is>
          <t>A 41524-2019</t>
        </is>
      </c>
      <c r="B198" s="1" t="n">
        <v>43699</v>
      </c>
      <c r="C198" s="1" t="n">
        <v>45474</v>
      </c>
      <c r="D198" t="inlineStr">
        <is>
          <t>UPPSALA LÄN</t>
        </is>
      </c>
      <c r="E198" t="inlineStr">
        <is>
          <t>UPPSALA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41535-2019</t>
        </is>
      </c>
      <c r="B199" s="1" t="n">
        <v>43699</v>
      </c>
      <c r="C199" s="1" t="n">
        <v>45474</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41695-2019</t>
        </is>
      </c>
      <c r="B200" s="1" t="n">
        <v>43699</v>
      </c>
      <c r="C200" s="1" t="n">
        <v>45474</v>
      </c>
      <c r="D200" t="inlineStr">
        <is>
          <t>UPPSALA LÄN</t>
        </is>
      </c>
      <c r="E200" t="inlineStr">
        <is>
          <t>UPPSALA</t>
        </is>
      </c>
      <c r="G200" t="n">
        <v>3.1</v>
      </c>
      <c r="H200" t="n">
        <v>0</v>
      </c>
      <c r="I200" t="n">
        <v>0</v>
      </c>
      <c r="J200" t="n">
        <v>0</v>
      </c>
      <c r="K200" t="n">
        <v>0</v>
      </c>
      <c r="L200" t="n">
        <v>0</v>
      </c>
      <c r="M200" t="n">
        <v>0</v>
      </c>
      <c r="N200" t="n">
        <v>0</v>
      </c>
      <c r="O200" t="n">
        <v>0</v>
      </c>
      <c r="P200" t="n">
        <v>0</v>
      </c>
      <c r="Q200" t="n">
        <v>0</v>
      </c>
      <c r="R200" s="2" t="inlineStr"/>
    </row>
    <row r="201" ht="15" customHeight="1">
      <c r="A201" t="inlineStr">
        <is>
          <t>A 42111-2019</t>
        </is>
      </c>
      <c r="B201" s="1" t="n">
        <v>43703</v>
      </c>
      <c r="C201" s="1" t="n">
        <v>45474</v>
      </c>
      <c r="D201" t="inlineStr">
        <is>
          <t>UPPSALA LÄN</t>
        </is>
      </c>
      <c r="E201" t="inlineStr">
        <is>
          <t>UPPSALA</t>
        </is>
      </c>
      <c r="G201" t="n">
        <v>2.7</v>
      </c>
      <c r="H201" t="n">
        <v>0</v>
      </c>
      <c r="I201" t="n">
        <v>0</v>
      </c>
      <c r="J201" t="n">
        <v>0</v>
      </c>
      <c r="K201" t="n">
        <v>0</v>
      </c>
      <c r="L201" t="n">
        <v>0</v>
      </c>
      <c r="M201" t="n">
        <v>0</v>
      </c>
      <c r="N201" t="n">
        <v>0</v>
      </c>
      <c r="O201" t="n">
        <v>0</v>
      </c>
      <c r="P201" t="n">
        <v>0</v>
      </c>
      <c r="Q201" t="n">
        <v>0</v>
      </c>
      <c r="R201" s="2" t="inlineStr"/>
    </row>
    <row r="202" ht="15" customHeight="1">
      <c r="A202" t="inlineStr">
        <is>
          <t>A 42986-2019</t>
        </is>
      </c>
      <c r="B202" s="1" t="n">
        <v>43705</v>
      </c>
      <c r="C202" s="1" t="n">
        <v>45474</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43222-2019</t>
        </is>
      </c>
      <c r="B203" s="1" t="n">
        <v>43706</v>
      </c>
      <c r="C203" s="1" t="n">
        <v>45474</v>
      </c>
      <c r="D203" t="inlineStr">
        <is>
          <t>UPPSALA LÄN</t>
        </is>
      </c>
      <c r="E203" t="inlineStr">
        <is>
          <t>UPPSALA</t>
        </is>
      </c>
      <c r="F203" t="inlineStr">
        <is>
          <t>Bergvik skog öst AB</t>
        </is>
      </c>
      <c r="G203" t="n">
        <v>3.6</v>
      </c>
      <c r="H203" t="n">
        <v>0</v>
      </c>
      <c r="I203" t="n">
        <v>0</v>
      </c>
      <c r="J203" t="n">
        <v>0</v>
      </c>
      <c r="K203" t="n">
        <v>0</v>
      </c>
      <c r="L203" t="n">
        <v>0</v>
      </c>
      <c r="M203" t="n">
        <v>0</v>
      </c>
      <c r="N203" t="n">
        <v>0</v>
      </c>
      <c r="O203" t="n">
        <v>0</v>
      </c>
      <c r="P203" t="n">
        <v>0</v>
      </c>
      <c r="Q203" t="n">
        <v>0</v>
      </c>
      <c r="R203" s="2" t="inlineStr"/>
    </row>
    <row r="204" ht="15" customHeight="1">
      <c r="A204" t="inlineStr">
        <is>
          <t>A 43410-2019</t>
        </is>
      </c>
      <c r="B204" s="1" t="n">
        <v>43706</v>
      </c>
      <c r="C204" s="1" t="n">
        <v>45474</v>
      </c>
      <c r="D204" t="inlineStr">
        <is>
          <t>UPPSALA LÄN</t>
        </is>
      </c>
      <c r="E204" t="inlineStr">
        <is>
          <t>UPPSALA</t>
        </is>
      </c>
      <c r="F204" t="inlineStr">
        <is>
          <t>Övriga statliga verk och myndigheter</t>
        </is>
      </c>
      <c r="G204" t="n">
        <v>8.6</v>
      </c>
      <c r="H204" t="n">
        <v>0</v>
      </c>
      <c r="I204" t="n">
        <v>0</v>
      </c>
      <c r="J204" t="n">
        <v>0</v>
      </c>
      <c r="K204" t="n">
        <v>0</v>
      </c>
      <c r="L204" t="n">
        <v>0</v>
      </c>
      <c r="M204" t="n">
        <v>0</v>
      </c>
      <c r="N204" t="n">
        <v>0</v>
      </c>
      <c r="O204" t="n">
        <v>0</v>
      </c>
      <c r="P204" t="n">
        <v>0</v>
      </c>
      <c r="Q204" t="n">
        <v>0</v>
      </c>
      <c r="R204" s="2" t="inlineStr"/>
    </row>
    <row r="205" ht="15" customHeight="1">
      <c r="A205" t="inlineStr">
        <is>
          <t>A 43715-2019</t>
        </is>
      </c>
      <c r="B205" s="1" t="n">
        <v>43706</v>
      </c>
      <c r="C205" s="1" t="n">
        <v>45474</v>
      </c>
      <c r="D205" t="inlineStr">
        <is>
          <t>UPPSALA LÄN</t>
        </is>
      </c>
      <c r="E205" t="inlineStr">
        <is>
          <t>UPPSALA</t>
        </is>
      </c>
      <c r="F205" t="inlineStr">
        <is>
          <t>Övriga statliga verk och myndigheter</t>
        </is>
      </c>
      <c r="G205" t="n">
        <v>0.8</v>
      </c>
      <c r="H205" t="n">
        <v>0</v>
      </c>
      <c r="I205" t="n">
        <v>0</v>
      </c>
      <c r="J205" t="n">
        <v>0</v>
      </c>
      <c r="K205" t="n">
        <v>0</v>
      </c>
      <c r="L205" t="n">
        <v>0</v>
      </c>
      <c r="M205" t="n">
        <v>0</v>
      </c>
      <c r="N205" t="n">
        <v>0</v>
      </c>
      <c r="O205" t="n">
        <v>0</v>
      </c>
      <c r="P205" t="n">
        <v>0</v>
      </c>
      <c r="Q205" t="n">
        <v>0</v>
      </c>
      <c r="R205" s="2" t="inlineStr"/>
    </row>
    <row r="206" ht="15" customHeight="1">
      <c r="A206" t="inlineStr">
        <is>
          <t>A 43224-2019</t>
        </is>
      </c>
      <c r="B206" s="1" t="n">
        <v>43706</v>
      </c>
      <c r="C206" s="1" t="n">
        <v>45474</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43435-2019</t>
        </is>
      </c>
      <c r="B207" s="1" t="n">
        <v>43706</v>
      </c>
      <c r="C207" s="1" t="n">
        <v>45474</v>
      </c>
      <c r="D207" t="inlineStr">
        <is>
          <t>UPPSALA LÄN</t>
        </is>
      </c>
      <c r="E207" t="inlineStr">
        <is>
          <t>UPPSALA</t>
        </is>
      </c>
      <c r="G207" t="n">
        <v>5.4</v>
      </c>
      <c r="H207" t="n">
        <v>0</v>
      </c>
      <c r="I207" t="n">
        <v>0</v>
      </c>
      <c r="J207" t="n">
        <v>0</v>
      </c>
      <c r="K207" t="n">
        <v>0</v>
      </c>
      <c r="L207" t="n">
        <v>0</v>
      </c>
      <c r="M207" t="n">
        <v>0</v>
      </c>
      <c r="N207" t="n">
        <v>0</v>
      </c>
      <c r="O207" t="n">
        <v>0</v>
      </c>
      <c r="P207" t="n">
        <v>0</v>
      </c>
      <c r="Q207" t="n">
        <v>0</v>
      </c>
      <c r="R207" s="2" t="inlineStr"/>
    </row>
    <row r="208" ht="15" customHeight="1">
      <c r="A208" t="inlineStr">
        <is>
          <t>A 43722-2019</t>
        </is>
      </c>
      <c r="B208" s="1" t="n">
        <v>43706</v>
      </c>
      <c r="C208" s="1" t="n">
        <v>45474</v>
      </c>
      <c r="D208" t="inlineStr">
        <is>
          <t>UPPSALA LÄN</t>
        </is>
      </c>
      <c r="E208" t="inlineStr">
        <is>
          <t>UPPSALA</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43704-2019</t>
        </is>
      </c>
      <c r="B209" s="1" t="n">
        <v>43707</v>
      </c>
      <c r="C209" s="1" t="n">
        <v>45474</v>
      </c>
      <c r="D209" t="inlineStr">
        <is>
          <t>UPPSALA LÄN</t>
        </is>
      </c>
      <c r="E209" t="inlineStr">
        <is>
          <t>UPPSALA</t>
        </is>
      </c>
      <c r="F209" t="inlineStr">
        <is>
          <t>Bergvik skog öst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43725-2019</t>
        </is>
      </c>
      <c r="B210" s="1" t="n">
        <v>43707</v>
      </c>
      <c r="C210" s="1" t="n">
        <v>45474</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44109-2019</t>
        </is>
      </c>
      <c r="B211" s="1" t="n">
        <v>43707</v>
      </c>
      <c r="C211" s="1" t="n">
        <v>45474</v>
      </c>
      <c r="D211" t="inlineStr">
        <is>
          <t>UPPSALA LÄN</t>
        </is>
      </c>
      <c r="E211" t="inlineStr">
        <is>
          <t>UPPSALA</t>
        </is>
      </c>
      <c r="F211" t="inlineStr">
        <is>
          <t>Allmännings- och besparingsskogar</t>
        </is>
      </c>
      <c r="G211" t="n">
        <v>81.3</v>
      </c>
      <c r="H211" t="n">
        <v>0</v>
      </c>
      <c r="I211" t="n">
        <v>0</v>
      </c>
      <c r="J211" t="n">
        <v>0</v>
      </c>
      <c r="K211" t="n">
        <v>0</v>
      </c>
      <c r="L211" t="n">
        <v>0</v>
      </c>
      <c r="M211" t="n">
        <v>0</v>
      </c>
      <c r="N211" t="n">
        <v>0</v>
      </c>
      <c r="O211" t="n">
        <v>0</v>
      </c>
      <c r="P211" t="n">
        <v>0</v>
      </c>
      <c r="Q211" t="n">
        <v>0</v>
      </c>
      <c r="R211" s="2" t="inlineStr"/>
    </row>
    <row r="212" ht="15" customHeight="1">
      <c r="A212" t="inlineStr">
        <is>
          <t>A 43713-2019</t>
        </is>
      </c>
      <c r="B212" s="1" t="n">
        <v>43707</v>
      </c>
      <c r="C212" s="1" t="n">
        <v>45474</v>
      </c>
      <c r="D212" t="inlineStr">
        <is>
          <t>UPPSALA LÄN</t>
        </is>
      </c>
      <c r="E212" t="inlineStr">
        <is>
          <t>UPPSALA</t>
        </is>
      </c>
      <c r="F212" t="inlineStr">
        <is>
          <t>Bergvik skog öst AB</t>
        </is>
      </c>
      <c r="G212" t="n">
        <v>7.9</v>
      </c>
      <c r="H212" t="n">
        <v>0</v>
      </c>
      <c r="I212" t="n">
        <v>0</v>
      </c>
      <c r="J212" t="n">
        <v>0</v>
      </c>
      <c r="K212" t="n">
        <v>0</v>
      </c>
      <c r="L212" t="n">
        <v>0</v>
      </c>
      <c r="M212" t="n">
        <v>0</v>
      </c>
      <c r="N212" t="n">
        <v>0</v>
      </c>
      <c r="O212" t="n">
        <v>0</v>
      </c>
      <c r="P212" t="n">
        <v>0</v>
      </c>
      <c r="Q212" t="n">
        <v>0</v>
      </c>
      <c r="R212" s="2" t="inlineStr"/>
    </row>
    <row r="213" ht="15" customHeight="1">
      <c r="A213" t="inlineStr">
        <is>
          <t>A 43853-2019</t>
        </is>
      </c>
      <c r="B213" s="1" t="n">
        <v>43707</v>
      </c>
      <c r="C213" s="1" t="n">
        <v>45474</v>
      </c>
      <c r="D213" t="inlineStr">
        <is>
          <t>UPPSALA LÄN</t>
        </is>
      </c>
      <c r="E213" t="inlineStr">
        <is>
          <t>UPPSALA</t>
        </is>
      </c>
      <c r="F213" t="inlineStr">
        <is>
          <t>Övriga statliga verk och myndigheter</t>
        </is>
      </c>
      <c r="G213" t="n">
        <v>1.8</v>
      </c>
      <c r="H213" t="n">
        <v>0</v>
      </c>
      <c r="I213" t="n">
        <v>0</v>
      </c>
      <c r="J213" t="n">
        <v>0</v>
      </c>
      <c r="K213" t="n">
        <v>0</v>
      </c>
      <c r="L213" t="n">
        <v>0</v>
      </c>
      <c r="M213" t="n">
        <v>0</v>
      </c>
      <c r="N213" t="n">
        <v>0</v>
      </c>
      <c r="O213" t="n">
        <v>0</v>
      </c>
      <c r="P213" t="n">
        <v>0</v>
      </c>
      <c r="Q213" t="n">
        <v>0</v>
      </c>
      <c r="R213" s="2" t="inlineStr"/>
    </row>
    <row r="214" ht="15" customHeight="1">
      <c r="A214" t="inlineStr">
        <is>
          <t>A 44141-2019</t>
        </is>
      </c>
      <c r="B214" s="1" t="n">
        <v>43710</v>
      </c>
      <c r="C214" s="1" t="n">
        <v>45474</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44701-2019</t>
        </is>
      </c>
      <c r="B215" s="1" t="n">
        <v>43712</v>
      </c>
      <c r="C215" s="1" t="n">
        <v>45474</v>
      </c>
      <c r="D215" t="inlineStr">
        <is>
          <t>UPPSALA LÄN</t>
        </is>
      </c>
      <c r="E215" t="inlineStr">
        <is>
          <t>UPPSALA</t>
        </is>
      </c>
      <c r="G215" t="n">
        <v>3.4</v>
      </c>
      <c r="H215" t="n">
        <v>0</v>
      </c>
      <c r="I215" t="n">
        <v>0</v>
      </c>
      <c r="J215" t="n">
        <v>0</v>
      </c>
      <c r="K215" t="n">
        <v>0</v>
      </c>
      <c r="L215" t="n">
        <v>0</v>
      </c>
      <c r="M215" t="n">
        <v>0</v>
      </c>
      <c r="N215" t="n">
        <v>0</v>
      </c>
      <c r="O215" t="n">
        <v>0</v>
      </c>
      <c r="P215" t="n">
        <v>0</v>
      </c>
      <c r="Q215" t="n">
        <v>0</v>
      </c>
      <c r="R215" s="2" t="inlineStr"/>
    </row>
    <row r="216" ht="15" customHeight="1">
      <c r="A216" t="inlineStr">
        <is>
          <t>A 44687-2019</t>
        </is>
      </c>
      <c r="B216" s="1" t="n">
        <v>43712</v>
      </c>
      <c r="C216" s="1" t="n">
        <v>45474</v>
      </c>
      <c r="D216" t="inlineStr">
        <is>
          <t>UPPSALA LÄN</t>
        </is>
      </c>
      <c r="E216" t="inlineStr">
        <is>
          <t>UPPSALA</t>
        </is>
      </c>
      <c r="G216" t="n">
        <v>3.3</v>
      </c>
      <c r="H216" t="n">
        <v>0</v>
      </c>
      <c r="I216" t="n">
        <v>0</v>
      </c>
      <c r="J216" t="n">
        <v>0</v>
      </c>
      <c r="K216" t="n">
        <v>0</v>
      </c>
      <c r="L216" t="n">
        <v>0</v>
      </c>
      <c r="M216" t="n">
        <v>0</v>
      </c>
      <c r="N216" t="n">
        <v>0</v>
      </c>
      <c r="O216" t="n">
        <v>0</v>
      </c>
      <c r="P216" t="n">
        <v>0</v>
      </c>
      <c r="Q216" t="n">
        <v>0</v>
      </c>
      <c r="R216" s="2" t="inlineStr"/>
    </row>
    <row r="217" ht="15" customHeight="1">
      <c r="A217" t="inlineStr">
        <is>
          <t>A 45010-2019</t>
        </is>
      </c>
      <c r="B217" s="1" t="n">
        <v>43713</v>
      </c>
      <c r="C217" s="1" t="n">
        <v>45474</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45574-2019</t>
        </is>
      </c>
      <c r="B218" s="1" t="n">
        <v>43716</v>
      </c>
      <c r="C218" s="1" t="n">
        <v>45474</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46311-2019</t>
        </is>
      </c>
      <c r="B219" s="1" t="n">
        <v>43718</v>
      </c>
      <c r="C219" s="1" t="n">
        <v>45474</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46307-2019</t>
        </is>
      </c>
      <c r="B220" s="1" t="n">
        <v>43718</v>
      </c>
      <c r="C220" s="1" t="n">
        <v>45474</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46151-2019</t>
        </is>
      </c>
      <c r="B221" s="1" t="n">
        <v>43718</v>
      </c>
      <c r="C221" s="1" t="n">
        <v>45474</v>
      </c>
      <c r="D221" t="inlineStr">
        <is>
          <t>UPPSALA LÄN</t>
        </is>
      </c>
      <c r="E221" t="inlineStr">
        <is>
          <t>UPPSALA</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46157-2019</t>
        </is>
      </c>
      <c r="B222" s="1" t="n">
        <v>43718</v>
      </c>
      <c r="C222" s="1" t="n">
        <v>45474</v>
      </c>
      <c r="D222" t="inlineStr">
        <is>
          <t>UPPSALA LÄN</t>
        </is>
      </c>
      <c r="E222" t="inlineStr">
        <is>
          <t>UPPSALA</t>
        </is>
      </c>
      <c r="F222" t="inlineStr">
        <is>
          <t>Övriga Aktiebolag</t>
        </is>
      </c>
      <c r="G222" t="n">
        <v>4.5</v>
      </c>
      <c r="H222" t="n">
        <v>0</v>
      </c>
      <c r="I222" t="n">
        <v>0</v>
      </c>
      <c r="J222" t="n">
        <v>0</v>
      </c>
      <c r="K222" t="n">
        <v>0</v>
      </c>
      <c r="L222" t="n">
        <v>0</v>
      </c>
      <c r="M222" t="n">
        <v>0</v>
      </c>
      <c r="N222" t="n">
        <v>0</v>
      </c>
      <c r="O222" t="n">
        <v>0</v>
      </c>
      <c r="P222" t="n">
        <v>0</v>
      </c>
      <c r="Q222" t="n">
        <v>0</v>
      </c>
      <c r="R222" s="2" t="inlineStr"/>
    </row>
    <row r="223" ht="15" customHeight="1">
      <c r="A223" t="inlineStr">
        <is>
          <t>A 46310-2019</t>
        </is>
      </c>
      <c r="B223" s="1" t="n">
        <v>43718</v>
      </c>
      <c r="C223" s="1" t="n">
        <v>45474</v>
      </c>
      <c r="D223" t="inlineStr">
        <is>
          <t>UPPSALA LÄN</t>
        </is>
      </c>
      <c r="E223" t="inlineStr">
        <is>
          <t>UPPSALA</t>
        </is>
      </c>
      <c r="G223" t="n">
        <v>7</v>
      </c>
      <c r="H223" t="n">
        <v>0</v>
      </c>
      <c r="I223" t="n">
        <v>0</v>
      </c>
      <c r="J223" t="n">
        <v>0</v>
      </c>
      <c r="K223" t="n">
        <v>0</v>
      </c>
      <c r="L223" t="n">
        <v>0</v>
      </c>
      <c r="M223" t="n">
        <v>0</v>
      </c>
      <c r="N223" t="n">
        <v>0</v>
      </c>
      <c r="O223" t="n">
        <v>0</v>
      </c>
      <c r="P223" t="n">
        <v>0</v>
      </c>
      <c r="Q223" t="n">
        <v>0</v>
      </c>
      <c r="R223" s="2" t="inlineStr"/>
    </row>
    <row r="224" ht="15" customHeight="1">
      <c r="A224" t="inlineStr">
        <is>
          <t>A 46147-2019</t>
        </is>
      </c>
      <c r="B224" s="1" t="n">
        <v>43718</v>
      </c>
      <c r="C224" s="1" t="n">
        <v>45474</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46877-2019</t>
        </is>
      </c>
      <c r="B225" s="1" t="n">
        <v>43720</v>
      </c>
      <c r="C225" s="1" t="n">
        <v>45474</v>
      </c>
      <c r="D225" t="inlineStr">
        <is>
          <t>UPPSALA LÄN</t>
        </is>
      </c>
      <c r="E225" t="inlineStr">
        <is>
          <t>UPPSALA</t>
        </is>
      </c>
      <c r="G225" t="n">
        <v>1.9</v>
      </c>
      <c r="H225" t="n">
        <v>0</v>
      </c>
      <c r="I225" t="n">
        <v>0</v>
      </c>
      <c r="J225" t="n">
        <v>0</v>
      </c>
      <c r="K225" t="n">
        <v>0</v>
      </c>
      <c r="L225" t="n">
        <v>0</v>
      </c>
      <c r="M225" t="n">
        <v>0</v>
      </c>
      <c r="N225" t="n">
        <v>0</v>
      </c>
      <c r="O225" t="n">
        <v>0</v>
      </c>
      <c r="P225" t="n">
        <v>0</v>
      </c>
      <c r="Q225" t="n">
        <v>0</v>
      </c>
      <c r="R225" s="2" t="inlineStr"/>
    </row>
    <row r="226" ht="15" customHeight="1">
      <c r="A226" t="inlineStr">
        <is>
          <t>A 46896-2019</t>
        </is>
      </c>
      <c r="B226" s="1" t="n">
        <v>43720</v>
      </c>
      <c r="C226" s="1" t="n">
        <v>45474</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48485-2019</t>
        </is>
      </c>
      <c r="B227" s="1" t="n">
        <v>43727</v>
      </c>
      <c r="C227" s="1" t="n">
        <v>45474</v>
      </c>
      <c r="D227" t="inlineStr">
        <is>
          <t>UPPSALA LÄN</t>
        </is>
      </c>
      <c r="E227" t="inlineStr">
        <is>
          <t>UPPSALA</t>
        </is>
      </c>
      <c r="G227" t="n">
        <v>3</v>
      </c>
      <c r="H227" t="n">
        <v>0</v>
      </c>
      <c r="I227" t="n">
        <v>0</v>
      </c>
      <c r="J227" t="n">
        <v>0</v>
      </c>
      <c r="K227" t="n">
        <v>0</v>
      </c>
      <c r="L227" t="n">
        <v>0</v>
      </c>
      <c r="M227" t="n">
        <v>0</v>
      </c>
      <c r="N227" t="n">
        <v>0</v>
      </c>
      <c r="O227" t="n">
        <v>0</v>
      </c>
      <c r="P227" t="n">
        <v>0</v>
      </c>
      <c r="Q227" t="n">
        <v>0</v>
      </c>
      <c r="R227" s="2" t="inlineStr"/>
    </row>
    <row r="228" ht="15" customHeight="1">
      <c r="A228" t="inlineStr">
        <is>
          <t>A 49567-2019</t>
        </is>
      </c>
      <c r="B228" s="1" t="n">
        <v>43730</v>
      </c>
      <c r="C228" s="1" t="n">
        <v>45474</v>
      </c>
      <c r="D228" t="inlineStr">
        <is>
          <t>UPPSALA LÄN</t>
        </is>
      </c>
      <c r="E228" t="inlineStr">
        <is>
          <t>UPPSALA</t>
        </is>
      </c>
      <c r="G228" t="n">
        <v>6</v>
      </c>
      <c r="H228" t="n">
        <v>0</v>
      </c>
      <c r="I228" t="n">
        <v>0</v>
      </c>
      <c r="J228" t="n">
        <v>0</v>
      </c>
      <c r="K228" t="n">
        <v>0</v>
      </c>
      <c r="L228" t="n">
        <v>0</v>
      </c>
      <c r="M228" t="n">
        <v>0</v>
      </c>
      <c r="N228" t="n">
        <v>0</v>
      </c>
      <c r="O228" t="n">
        <v>0</v>
      </c>
      <c r="P228" t="n">
        <v>0</v>
      </c>
      <c r="Q228" t="n">
        <v>0</v>
      </c>
      <c r="R228" s="2" t="inlineStr"/>
    </row>
    <row r="229" ht="15" customHeight="1">
      <c r="A229" t="inlineStr">
        <is>
          <t>A 50180-2019</t>
        </is>
      </c>
      <c r="B229" s="1" t="n">
        <v>43733</v>
      </c>
      <c r="C229" s="1" t="n">
        <v>45474</v>
      </c>
      <c r="D229" t="inlineStr">
        <is>
          <t>UPPSALA LÄN</t>
        </is>
      </c>
      <c r="E229" t="inlineStr">
        <is>
          <t>UPPSALA</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50387-2019</t>
        </is>
      </c>
      <c r="B230" s="1" t="n">
        <v>43735</v>
      </c>
      <c r="C230" s="1" t="n">
        <v>45474</v>
      </c>
      <c r="D230" t="inlineStr">
        <is>
          <t>UPPSALA LÄN</t>
        </is>
      </c>
      <c r="E230" t="inlineStr">
        <is>
          <t>UPPSALA</t>
        </is>
      </c>
      <c r="F230" t="inlineStr">
        <is>
          <t>Kyrkan</t>
        </is>
      </c>
      <c r="G230" t="n">
        <v>1</v>
      </c>
      <c r="H230" t="n">
        <v>0</v>
      </c>
      <c r="I230" t="n">
        <v>0</v>
      </c>
      <c r="J230" t="n">
        <v>0</v>
      </c>
      <c r="K230" t="n">
        <v>0</v>
      </c>
      <c r="L230" t="n">
        <v>0</v>
      </c>
      <c r="M230" t="n">
        <v>0</v>
      </c>
      <c r="N230" t="n">
        <v>0</v>
      </c>
      <c r="O230" t="n">
        <v>0</v>
      </c>
      <c r="P230" t="n">
        <v>0</v>
      </c>
      <c r="Q230" t="n">
        <v>0</v>
      </c>
      <c r="R230" s="2" t="inlineStr"/>
    </row>
    <row r="231" ht="15" customHeight="1">
      <c r="A231" t="inlineStr">
        <is>
          <t>A 50415-2019</t>
        </is>
      </c>
      <c r="B231" s="1" t="n">
        <v>43735</v>
      </c>
      <c r="C231" s="1" t="n">
        <v>45474</v>
      </c>
      <c r="D231" t="inlineStr">
        <is>
          <t>UPPSALA LÄN</t>
        </is>
      </c>
      <c r="E231" t="inlineStr">
        <is>
          <t>UPPSALA</t>
        </is>
      </c>
      <c r="F231" t="inlineStr">
        <is>
          <t>Kyrkan</t>
        </is>
      </c>
      <c r="G231" t="n">
        <v>13.6</v>
      </c>
      <c r="H231" t="n">
        <v>0</v>
      </c>
      <c r="I231" t="n">
        <v>0</v>
      </c>
      <c r="J231" t="n">
        <v>0</v>
      </c>
      <c r="K231" t="n">
        <v>0</v>
      </c>
      <c r="L231" t="n">
        <v>0</v>
      </c>
      <c r="M231" t="n">
        <v>0</v>
      </c>
      <c r="N231" t="n">
        <v>0</v>
      </c>
      <c r="O231" t="n">
        <v>0</v>
      </c>
      <c r="P231" t="n">
        <v>0</v>
      </c>
      <c r="Q231" t="n">
        <v>0</v>
      </c>
      <c r="R231" s="2" t="inlineStr"/>
    </row>
    <row r="232" ht="15" customHeight="1">
      <c r="A232" t="inlineStr">
        <is>
          <t>A 50616-2019</t>
        </is>
      </c>
      <c r="B232" s="1" t="n">
        <v>43736</v>
      </c>
      <c r="C232" s="1" t="n">
        <v>45474</v>
      </c>
      <c r="D232" t="inlineStr">
        <is>
          <t>UPPSALA LÄN</t>
        </is>
      </c>
      <c r="E232" t="inlineStr">
        <is>
          <t>UPPSALA</t>
        </is>
      </c>
      <c r="G232" t="n">
        <v>4.8</v>
      </c>
      <c r="H232" t="n">
        <v>0</v>
      </c>
      <c r="I232" t="n">
        <v>0</v>
      </c>
      <c r="J232" t="n">
        <v>0</v>
      </c>
      <c r="K232" t="n">
        <v>0</v>
      </c>
      <c r="L232" t="n">
        <v>0</v>
      </c>
      <c r="M232" t="n">
        <v>0</v>
      </c>
      <c r="N232" t="n">
        <v>0</v>
      </c>
      <c r="O232" t="n">
        <v>0</v>
      </c>
      <c r="P232" t="n">
        <v>0</v>
      </c>
      <c r="Q232" t="n">
        <v>0</v>
      </c>
      <c r="R232" s="2" t="inlineStr"/>
    </row>
    <row r="233" ht="15" customHeight="1">
      <c r="A233" t="inlineStr">
        <is>
          <t>A 52386-2019</t>
        </is>
      </c>
      <c r="B233" s="1" t="n">
        <v>43745</v>
      </c>
      <c r="C233" s="1" t="n">
        <v>45474</v>
      </c>
      <c r="D233" t="inlineStr">
        <is>
          <t>UPPSALA LÄN</t>
        </is>
      </c>
      <c r="E233" t="inlineStr">
        <is>
          <t>UPPSALA</t>
        </is>
      </c>
      <c r="G233" t="n">
        <v>15.7</v>
      </c>
      <c r="H233" t="n">
        <v>0</v>
      </c>
      <c r="I233" t="n">
        <v>0</v>
      </c>
      <c r="J233" t="n">
        <v>0</v>
      </c>
      <c r="K233" t="n">
        <v>0</v>
      </c>
      <c r="L233" t="n">
        <v>0</v>
      </c>
      <c r="M233" t="n">
        <v>0</v>
      </c>
      <c r="N233" t="n">
        <v>0</v>
      </c>
      <c r="O233" t="n">
        <v>0</v>
      </c>
      <c r="P233" t="n">
        <v>0</v>
      </c>
      <c r="Q233" t="n">
        <v>0</v>
      </c>
      <c r="R233" s="2" t="inlineStr"/>
    </row>
    <row r="234" ht="15" customHeight="1">
      <c r="A234" t="inlineStr">
        <is>
          <t>A 52419-2019</t>
        </is>
      </c>
      <c r="B234" s="1" t="n">
        <v>43745</v>
      </c>
      <c r="C234" s="1" t="n">
        <v>45474</v>
      </c>
      <c r="D234" t="inlineStr">
        <is>
          <t>UPPSALA LÄN</t>
        </is>
      </c>
      <c r="E234" t="inlineStr">
        <is>
          <t>UPPSALA</t>
        </is>
      </c>
      <c r="F234" t="inlineStr">
        <is>
          <t>Allmännings- och besparingsskogar</t>
        </is>
      </c>
      <c r="G234" t="n">
        <v>5.3</v>
      </c>
      <c r="H234" t="n">
        <v>0</v>
      </c>
      <c r="I234" t="n">
        <v>0</v>
      </c>
      <c r="J234" t="n">
        <v>0</v>
      </c>
      <c r="K234" t="n">
        <v>0</v>
      </c>
      <c r="L234" t="n">
        <v>0</v>
      </c>
      <c r="M234" t="n">
        <v>0</v>
      </c>
      <c r="N234" t="n">
        <v>0</v>
      </c>
      <c r="O234" t="n">
        <v>0</v>
      </c>
      <c r="P234" t="n">
        <v>0</v>
      </c>
      <c r="Q234" t="n">
        <v>0</v>
      </c>
      <c r="R234" s="2" t="inlineStr"/>
    </row>
    <row r="235" ht="15" customHeight="1">
      <c r="A235" t="inlineStr">
        <is>
          <t>A 52950-2019</t>
        </is>
      </c>
      <c r="B235" s="1" t="n">
        <v>43747</v>
      </c>
      <c r="C235" s="1" t="n">
        <v>45474</v>
      </c>
      <c r="D235" t="inlineStr">
        <is>
          <t>UPPSALA LÄN</t>
        </is>
      </c>
      <c r="E235" t="inlineStr">
        <is>
          <t>UPPSALA</t>
        </is>
      </c>
      <c r="G235" t="n">
        <v>0.2</v>
      </c>
      <c r="H235" t="n">
        <v>0</v>
      </c>
      <c r="I235" t="n">
        <v>0</v>
      </c>
      <c r="J235" t="n">
        <v>0</v>
      </c>
      <c r="K235" t="n">
        <v>0</v>
      </c>
      <c r="L235" t="n">
        <v>0</v>
      </c>
      <c r="M235" t="n">
        <v>0</v>
      </c>
      <c r="N235" t="n">
        <v>0</v>
      </c>
      <c r="O235" t="n">
        <v>0</v>
      </c>
      <c r="P235" t="n">
        <v>0</v>
      </c>
      <c r="Q235" t="n">
        <v>0</v>
      </c>
      <c r="R235" s="2" t="inlineStr"/>
    </row>
    <row r="236" ht="15" customHeight="1">
      <c r="A236" t="inlineStr">
        <is>
          <t>A 53303-2019</t>
        </is>
      </c>
      <c r="B236" s="1" t="n">
        <v>43747</v>
      </c>
      <c r="C236" s="1" t="n">
        <v>45474</v>
      </c>
      <c r="D236" t="inlineStr">
        <is>
          <t>UPPSALA LÄN</t>
        </is>
      </c>
      <c r="E236" t="inlineStr">
        <is>
          <t>UPPSALA</t>
        </is>
      </c>
      <c r="F236" t="inlineStr">
        <is>
          <t>Allmännings- och besparingsskogar</t>
        </is>
      </c>
      <c r="G236" t="n">
        <v>17.5</v>
      </c>
      <c r="H236" t="n">
        <v>0</v>
      </c>
      <c r="I236" t="n">
        <v>0</v>
      </c>
      <c r="J236" t="n">
        <v>0</v>
      </c>
      <c r="K236" t="n">
        <v>0</v>
      </c>
      <c r="L236" t="n">
        <v>0</v>
      </c>
      <c r="M236" t="n">
        <v>0</v>
      </c>
      <c r="N236" t="n">
        <v>0</v>
      </c>
      <c r="O236" t="n">
        <v>0</v>
      </c>
      <c r="P236" t="n">
        <v>0</v>
      </c>
      <c r="Q236" t="n">
        <v>0</v>
      </c>
      <c r="R236" s="2" t="inlineStr"/>
    </row>
    <row r="237" ht="15" customHeight="1">
      <c r="A237" t="inlineStr">
        <is>
          <t>A 53316-2019</t>
        </is>
      </c>
      <c r="B237" s="1" t="n">
        <v>43748</v>
      </c>
      <c r="C237" s="1" t="n">
        <v>45474</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54757-2019</t>
        </is>
      </c>
      <c r="B238" s="1" t="n">
        <v>43755</v>
      </c>
      <c r="C238" s="1" t="n">
        <v>45474</v>
      </c>
      <c r="D238" t="inlineStr">
        <is>
          <t>UPPSALA LÄN</t>
        </is>
      </c>
      <c r="E238" t="inlineStr">
        <is>
          <t>UPPSALA</t>
        </is>
      </c>
      <c r="F238" t="inlineStr">
        <is>
          <t>Övriga statliga verk och myndigheter</t>
        </is>
      </c>
      <c r="G238" t="n">
        <v>1.5</v>
      </c>
      <c r="H238" t="n">
        <v>0</v>
      </c>
      <c r="I238" t="n">
        <v>0</v>
      </c>
      <c r="J238" t="n">
        <v>0</v>
      </c>
      <c r="K238" t="n">
        <v>0</v>
      </c>
      <c r="L238" t="n">
        <v>0</v>
      </c>
      <c r="M238" t="n">
        <v>0</v>
      </c>
      <c r="N238" t="n">
        <v>0</v>
      </c>
      <c r="O238" t="n">
        <v>0</v>
      </c>
      <c r="P238" t="n">
        <v>0</v>
      </c>
      <c r="Q238" t="n">
        <v>0</v>
      </c>
      <c r="R238" s="2" t="inlineStr"/>
    </row>
    <row r="239" ht="15" customHeight="1">
      <c r="A239" t="inlineStr">
        <is>
          <t>A 56041-2019</t>
        </is>
      </c>
      <c r="B239" s="1" t="n">
        <v>43759</v>
      </c>
      <c r="C239" s="1" t="n">
        <v>45474</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56634-2019</t>
        </is>
      </c>
      <c r="B240" s="1" t="n">
        <v>43763</v>
      </c>
      <c r="C240" s="1" t="n">
        <v>45474</v>
      </c>
      <c r="D240" t="inlineStr">
        <is>
          <t>UPPSALA LÄN</t>
        </is>
      </c>
      <c r="E240" t="inlineStr">
        <is>
          <t>UPPSALA</t>
        </is>
      </c>
      <c r="F240" t="inlineStr">
        <is>
          <t>Övriga Aktiebolag</t>
        </is>
      </c>
      <c r="G240" t="n">
        <v>0.6</v>
      </c>
      <c r="H240" t="n">
        <v>0</v>
      </c>
      <c r="I240" t="n">
        <v>0</v>
      </c>
      <c r="J240" t="n">
        <v>0</v>
      </c>
      <c r="K240" t="n">
        <v>0</v>
      </c>
      <c r="L240" t="n">
        <v>0</v>
      </c>
      <c r="M240" t="n">
        <v>0</v>
      </c>
      <c r="N240" t="n">
        <v>0</v>
      </c>
      <c r="O240" t="n">
        <v>0</v>
      </c>
      <c r="P240" t="n">
        <v>0</v>
      </c>
      <c r="Q240" t="n">
        <v>0</v>
      </c>
      <c r="R240" s="2" t="inlineStr"/>
    </row>
    <row r="241" ht="15" customHeight="1">
      <c r="A241" t="inlineStr">
        <is>
          <t>A 58445-2019</t>
        </is>
      </c>
      <c r="B241" s="1" t="n">
        <v>43773</v>
      </c>
      <c r="C241" s="1" t="n">
        <v>45474</v>
      </c>
      <c r="D241" t="inlineStr">
        <is>
          <t>UPPSALA LÄN</t>
        </is>
      </c>
      <c r="E241" t="inlineStr">
        <is>
          <t>UPPSALA</t>
        </is>
      </c>
      <c r="G241" t="n">
        <v>5</v>
      </c>
      <c r="H241" t="n">
        <v>0</v>
      </c>
      <c r="I241" t="n">
        <v>0</v>
      </c>
      <c r="J241" t="n">
        <v>0</v>
      </c>
      <c r="K241" t="n">
        <v>0</v>
      </c>
      <c r="L241" t="n">
        <v>0</v>
      </c>
      <c r="M241" t="n">
        <v>0</v>
      </c>
      <c r="N241" t="n">
        <v>0</v>
      </c>
      <c r="O241" t="n">
        <v>0</v>
      </c>
      <c r="P241" t="n">
        <v>0</v>
      </c>
      <c r="Q241" t="n">
        <v>0</v>
      </c>
      <c r="R241" s="2" t="inlineStr"/>
    </row>
    <row r="242" ht="15" customHeight="1">
      <c r="A242" t="inlineStr">
        <is>
          <t>A 58527-2019</t>
        </is>
      </c>
      <c r="B242" s="1" t="n">
        <v>43773</v>
      </c>
      <c r="C242" s="1" t="n">
        <v>45474</v>
      </c>
      <c r="D242" t="inlineStr">
        <is>
          <t>UPPSALA LÄN</t>
        </is>
      </c>
      <c r="E242" t="inlineStr">
        <is>
          <t>UPPSALA</t>
        </is>
      </c>
      <c r="G242" t="n">
        <v>0.6</v>
      </c>
      <c r="H242" t="n">
        <v>0</v>
      </c>
      <c r="I242" t="n">
        <v>0</v>
      </c>
      <c r="J242" t="n">
        <v>0</v>
      </c>
      <c r="K242" t="n">
        <v>0</v>
      </c>
      <c r="L242" t="n">
        <v>0</v>
      </c>
      <c r="M242" t="n">
        <v>0</v>
      </c>
      <c r="N242" t="n">
        <v>0</v>
      </c>
      <c r="O242" t="n">
        <v>0</v>
      </c>
      <c r="P242" t="n">
        <v>0</v>
      </c>
      <c r="Q242" t="n">
        <v>0</v>
      </c>
      <c r="R242" s="2" t="inlineStr"/>
    </row>
    <row r="243" ht="15" customHeight="1">
      <c r="A243" t="inlineStr">
        <is>
          <t>A 58903-2019</t>
        </is>
      </c>
      <c r="B243" s="1" t="n">
        <v>43773</v>
      </c>
      <c r="C243" s="1" t="n">
        <v>45474</v>
      </c>
      <c r="D243" t="inlineStr">
        <is>
          <t>UPPSALA LÄN</t>
        </is>
      </c>
      <c r="E243" t="inlineStr">
        <is>
          <t>UPPSALA</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60011-2019</t>
        </is>
      </c>
      <c r="B244" s="1" t="n">
        <v>43777</v>
      </c>
      <c r="C244" s="1" t="n">
        <v>45474</v>
      </c>
      <c r="D244" t="inlineStr">
        <is>
          <t>UPPSALA LÄN</t>
        </is>
      </c>
      <c r="E244" t="inlineStr">
        <is>
          <t>UPPSALA</t>
        </is>
      </c>
      <c r="G244" t="n">
        <v>1.5</v>
      </c>
      <c r="H244" t="n">
        <v>0</v>
      </c>
      <c r="I244" t="n">
        <v>0</v>
      </c>
      <c r="J244" t="n">
        <v>0</v>
      </c>
      <c r="K244" t="n">
        <v>0</v>
      </c>
      <c r="L244" t="n">
        <v>0</v>
      </c>
      <c r="M244" t="n">
        <v>0</v>
      </c>
      <c r="N244" t="n">
        <v>0</v>
      </c>
      <c r="O244" t="n">
        <v>0</v>
      </c>
      <c r="P244" t="n">
        <v>0</v>
      </c>
      <c r="Q244" t="n">
        <v>0</v>
      </c>
      <c r="R244" s="2" t="inlineStr"/>
    </row>
    <row r="245" ht="15" customHeight="1">
      <c r="A245" t="inlineStr">
        <is>
          <t>A 60159-2019</t>
        </is>
      </c>
      <c r="B245" s="1" t="n">
        <v>43777</v>
      </c>
      <c r="C245" s="1" t="n">
        <v>45474</v>
      </c>
      <c r="D245" t="inlineStr">
        <is>
          <t>UPPSALA LÄN</t>
        </is>
      </c>
      <c r="E245" t="inlineStr">
        <is>
          <t>UPPSALA</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60163-2019</t>
        </is>
      </c>
      <c r="B246" s="1" t="n">
        <v>43780</v>
      </c>
      <c r="C246" s="1" t="n">
        <v>45474</v>
      </c>
      <c r="D246" t="inlineStr">
        <is>
          <t>UPPSALA LÄN</t>
        </is>
      </c>
      <c r="E246" t="inlineStr">
        <is>
          <t>UPPSALA</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60579-2019</t>
        </is>
      </c>
      <c r="B247" s="1" t="n">
        <v>43780</v>
      </c>
      <c r="C247" s="1" t="n">
        <v>45474</v>
      </c>
      <c r="D247" t="inlineStr">
        <is>
          <t>UPPSALA LÄN</t>
        </is>
      </c>
      <c r="E247" t="inlineStr">
        <is>
          <t>UPPSALA</t>
        </is>
      </c>
      <c r="F247" t="inlineStr">
        <is>
          <t>Övriga Aktiebolag</t>
        </is>
      </c>
      <c r="G247" t="n">
        <v>3.8</v>
      </c>
      <c r="H247" t="n">
        <v>0</v>
      </c>
      <c r="I247" t="n">
        <v>0</v>
      </c>
      <c r="J247" t="n">
        <v>0</v>
      </c>
      <c r="K247" t="n">
        <v>0</v>
      </c>
      <c r="L247" t="n">
        <v>0</v>
      </c>
      <c r="M247" t="n">
        <v>0</v>
      </c>
      <c r="N247" t="n">
        <v>0</v>
      </c>
      <c r="O247" t="n">
        <v>0</v>
      </c>
      <c r="P247" t="n">
        <v>0</v>
      </c>
      <c r="Q247" t="n">
        <v>0</v>
      </c>
      <c r="R247" s="2" t="inlineStr"/>
    </row>
    <row r="248" ht="15" customHeight="1">
      <c r="A248" t="inlineStr">
        <is>
          <t>A 62308-2019</t>
        </is>
      </c>
      <c r="B248" s="1" t="n">
        <v>43782</v>
      </c>
      <c r="C248" s="1" t="n">
        <v>45474</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61667-2019</t>
        </is>
      </c>
      <c r="B249" s="1" t="n">
        <v>43784</v>
      </c>
      <c r="C249" s="1" t="n">
        <v>45474</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63145-2019</t>
        </is>
      </c>
      <c r="B250" s="1" t="n">
        <v>43791</v>
      </c>
      <c r="C250" s="1" t="n">
        <v>45474</v>
      </c>
      <c r="D250" t="inlineStr">
        <is>
          <t>UPPSALA LÄN</t>
        </is>
      </c>
      <c r="E250" t="inlineStr">
        <is>
          <t>UPPSALA</t>
        </is>
      </c>
      <c r="G250" t="n">
        <v>1.8</v>
      </c>
      <c r="H250" t="n">
        <v>0</v>
      </c>
      <c r="I250" t="n">
        <v>0</v>
      </c>
      <c r="J250" t="n">
        <v>0</v>
      </c>
      <c r="K250" t="n">
        <v>0</v>
      </c>
      <c r="L250" t="n">
        <v>0</v>
      </c>
      <c r="M250" t="n">
        <v>0</v>
      </c>
      <c r="N250" t="n">
        <v>0</v>
      </c>
      <c r="O250" t="n">
        <v>0</v>
      </c>
      <c r="P250" t="n">
        <v>0</v>
      </c>
      <c r="Q250" t="n">
        <v>0</v>
      </c>
      <c r="R250" s="2" t="inlineStr"/>
    </row>
    <row r="251" ht="15" customHeight="1">
      <c r="A251" t="inlineStr">
        <is>
          <t>A 63091-2019</t>
        </is>
      </c>
      <c r="B251" s="1" t="n">
        <v>43791</v>
      </c>
      <c r="C251" s="1" t="n">
        <v>45474</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63099-2019</t>
        </is>
      </c>
      <c r="B252" s="1" t="n">
        <v>43791</v>
      </c>
      <c r="C252" s="1" t="n">
        <v>45474</v>
      </c>
      <c r="D252" t="inlineStr">
        <is>
          <t>UPPSALA LÄN</t>
        </is>
      </c>
      <c r="E252" t="inlineStr">
        <is>
          <t>UPPSALA</t>
        </is>
      </c>
      <c r="G252" t="n">
        <v>4.4</v>
      </c>
      <c r="H252" t="n">
        <v>0</v>
      </c>
      <c r="I252" t="n">
        <v>0</v>
      </c>
      <c r="J252" t="n">
        <v>0</v>
      </c>
      <c r="K252" t="n">
        <v>0</v>
      </c>
      <c r="L252" t="n">
        <v>0</v>
      </c>
      <c r="M252" t="n">
        <v>0</v>
      </c>
      <c r="N252" t="n">
        <v>0</v>
      </c>
      <c r="O252" t="n">
        <v>0</v>
      </c>
      <c r="P252" t="n">
        <v>0</v>
      </c>
      <c r="Q252" t="n">
        <v>0</v>
      </c>
      <c r="R252" s="2" t="inlineStr"/>
    </row>
    <row r="253" ht="15" customHeight="1">
      <c r="A253" t="inlineStr">
        <is>
          <t>A 63118-2019</t>
        </is>
      </c>
      <c r="B253" s="1" t="n">
        <v>43791</v>
      </c>
      <c r="C253" s="1" t="n">
        <v>45474</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63589-2019</t>
        </is>
      </c>
      <c r="B254" s="1" t="n">
        <v>43795</v>
      </c>
      <c r="C254" s="1" t="n">
        <v>45474</v>
      </c>
      <c r="D254" t="inlineStr">
        <is>
          <t>UPPSALA LÄN</t>
        </is>
      </c>
      <c r="E254" t="inlineStr">
        <is>
          <t>UPPSALA</t>
        </is>
      </c>
      <c r="G254" t="n">
        <v>3.8</v>
      </c>
      <c r="H254" t="n">
        <v>0</v>
      </c>
      <c r="I254" t="n">
        <v>0</v>
      </c>
      <c r="J254" t="n">
        <v>0</v>
      </c>
      <c r="K254" t="n">
        <v>0</v>
      </c>
      <c r="L254" t="n">
        <v>0</v>
      </c>
      <c r="M254" t="n">
        <v>0</v>
      </c>
      <c r="N254" t="n">
        <v>0</v>
      </c>
      <c r="O254" t="n">
        <v>0</v>
      </c>
      <c r="P254" t="n">
        <v>0</v>
      </c>
      <c r="Q254" t="n">
        <v>0</v>
      </c>
      <c r="R254" s="2" t="inlineStr"/>
    </row>
    <row r="255" ht="15" customHeight="1">
      <c r="A255" t="inlineStr">
        <is>
          <t>A 63757-2019</t>
        </is>
      </c>
      <c r="B255" s="1" t="n">
        <v>43795</v>
      </c>
      <c r="C255" s="1" t="n">
        <v>45474</v>
      </c>
      <c r="D255" t="inlineStr">
        <is>
          <t>UPPSALA LÄN</t>
        </is>
      </c>
      <c r="E255" t="inlineStr">
        <is>
          <t>UPPSALA</t>
        </is>
      </c>
      <c r="G255" t="n">
        <v>6.9</v>
      </c>
      <c r="H255" t="n">
        <v>0</v>
      </c>
      <c r="I255" t="n">
        <v>0</v>
      </c>
      <c r="J255" t="n">
        <v>0</v>
      </c>
      <c r="K255" t="n">
        <v>0</v>
      </c>
      <c r="L255" t="n">
        <v>0</v>
      </c>
      <c r="M255" t="n">
        <v>0</v>
      </c>
      <c r="N255" t="n">
        <v>0</v>
      </c>
      <c r="O255" t="n">
        <v>0</v>
      </c>
      <c r="P255" t="n">
        <v>0</v>
      </c>
      <c r="Q255" t="n">
        <v>0</v>
      </c>
      <c r="R255" s="2" t="inlineStr"/>
    </row>
    <row r="256" ht="15" customHeight="1">
      <c r="A256" t="inlineStr">
        <is>
          <t>A 63756-2019</t>
        </is>
      </c>
      <c r="B256" s="1" t="n">
        <v>43795</v>
      </c>
      <c r="C256" s="1" t="n">
        <v>45474</v>
      </c>
      <c r="D256" t="inlineStr">
        <is>
          <t>UPPSALA LÄN</t>
        </is>
      </c>
      <c r="E256" t="inlineStr">
        <is>
          <t>UPPSALA</t>
        </is>
      </c>
      <c r="G256" t="n">
        <v>6.5</v>
      </c>
      <c r="H256" t="n">
        <v>0</v>
      </c>
      <c r="I256" t="n">
        <v>0</v>
      </c>
      <c r="J256" t="n">
        <v>0</v>
      </c>
      <c r="K256" t="n">
        <v>0</v>
      </c>
      <c r="L256" t="n">
        <v>0</v>
      </c>
      <c r="M256" t="n">
        <v>0</v>
      </c>
      <c r="N256" t="n">
        <v>0</v>
      </c>
      <c r="O256" t="n">
        <v>0</v>
      </c>
      <c r="P256" t="n">
        <v>0</v>
      </c>
      <c r="Q256" t="n">
        <v>0</v>
      </c>
      <c r="R256" s="2" t="inlineStr"/>
    </row>
    <row r="257" ht="15" customHeight="1">
      <c r="A257" t="inlineStr">
        <is>
          <t>A 64836-2019</t>
        </is>
      </c>
      <c r="B257" s="1" t="n">
        <v>43801</v>
      </c>
      <c r="C257" s="1" t="n">
        <v>45474</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64834-2019</t>
        </is>
      </c>
      <c r="B258" s="1" t="n">
        <v>43801</v>
      </c>
      <c r="C258" s="1" t="n">
        <v>45474</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65527-2019</t>
        </is>
      </c>
      <c r="B259" s="1" t="n">
        <v>43803</v>
      </c>
      <c r="C259" s="1" t="n">
        <v>45474</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65668-2019</t>
        </is>
      </c>
      <c r="B260" s="1" t="n">
        <v>43804</v>
      </c>
      <c r="C260" s="1" t="n">
        <v>45474</v>
      </c>
      <c r="D260" t="inlineStr">
        <is>
          <t>UPPSALA LÄN</t>
        </is>
      </c>
      <c r="E260" t="inlineStr">
        <is>
          <t>UPPSALA</t>
        </is>
      </c>
      <c r="G260" t="n">
        <v>7.6</v>
      </c>
      <c r="H260" t="n">
        <v>0</v>
      </c>
      <c r="I260" t="n">
        <v>0</v>
      </c>
      <c r="J260" t="n">
        <v>0</v>
      </c>
      <c r="K260" t="n">
        <v>0</v>
      </c>
      <c r="L260" t="n">
        <v>0</v>
      </c>
      <c r="M260" t="n">
        <v>0</v>
      </c>
      <c r="N260" t="n">
        <v>0</v>
      </c>
      <c r="O260" t="n">
        <v>0</v>
      </c>
      <c r="P260" t="n">
        <v>0</v>
      </c>
      <c r="Q260" t="n">
        <v>0</v>
      </c>
      <c r="R260" s="2" t="inlineStr"/>
    </row>
    <row r="261" ht="15" customHeight="1">
      <c r="A261" t="inlineStr">
        <is>
          <t>A 66167-2019</t>
        </is>
      </c>
      <c r="B261" s="1" t="n">
        <v>43808</v>
      </c>
      <c r="C261" s="1" t="n">
        <v>45474</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66270-2019</t>
        </is>
      </c>
      <c r="B262" s="1" t="n">
        <v>43808</v>
      </c>
      <c r="C262" s="1" t="n">
        <v>45474</v>
      </c>
      <c r="D262" t="inlineStr">
        <is>
          <t>UPPSALA LÄN</t>
        </is>
      </c>
      <c r="E262" t="inlineStr">
        <is>
          <t>UPPSALA</t>
        </is>
      </c>
      <c r="G262" t="n">
        <v>1.7</v>
      </c>
      <c r="H262" t="n">
        <v>0</v>
      </c>
      <c r="I262" t="n">
        <v>0</v>
      </c>
      <c r="J262" t="n">
        <v>0</v>
      </c>
      <c r="K262" t="n">
        <v>0</v>
      </c>
      <c r="L262" t="n">
        <v>0</v>
      </c>
      <c r="M262" t="n">
        <v>0</v>
      </c>
      <c r="N262" t="n">
        <v>0</v>
      </c>
      <c r="O262" t="n">
        <v>0</v>
      </c>
      <c r="P262" t="n">
        <v>0</v>
      </c>
      <c r="Q262" t="n">
        <v>0</v>
      </c>
      <c r="R262" s="2" t="inlineStr"/>
    </row>
    <row r="263" ht="15" customHeight="1">
      <c r="A263" t="inlineStr">
        <is>
          <t>A 67108-2019</t>
        </is>
      </c>
      <c r="B263" s="1" t="n">
        <v>43811</v>
      </c>
      <c r="C263" s="1" t="n">
        <v>45474</v>
      </c>
      <c r="D263" t="inlineStr">
        <is>
          <t>UPPSALA LÄN</t>
        </is>
      </c>
      <c r="E263" t="inlineStr">
        <is>
          <t>UPPSALA</t>
        </is>
      </c>
      <c r="G263" t="n">
        <v>2.7</v>
      </c>
      <c r="H263" t="n">
        <v>0</v>
      </c>
      <c r="I263" t="n">
        <v>0</v>
      </c>
      <c r="J263" t="n">
        <v>0</v>
      </c>
      <c r="K263" t="n">
        <v>0</v>
      </c>
      <c r="L263" t="n">
        <v>0</v>
      </c>
      <c r="M263" t="n">
        <v>0</v>
      </c>
      <c r="N263" t="n">
        <v>0</v>
      </c>
      <c r="O263" t="n">
        <v>0</v>
      </c>
      <c r="P263" t="n">
        <v>0</v>
      </c>
      <c r="Q263" t="n">
        <v>0</v>
      </c>
      <c r="R263" s="2" t="inlineStr"/>
    </row>
    <row r="264" ht="15" customHeight="1">
      <c r="A264" t="inlineStr">
        <is>
          <t>A 67281-2019</t>
        </is>
      </c>
      <c r="B264" s="1" t="n">
        <v>43812</v>
      </c>
      <c r="C264" s="1" t="n">
        <v>45474</v>
      </c>
      <c r="D264" t="inlineStr">
        <is>
          <t>UPPSALA LÄN</t>
        </is>
      </c>
      <c r="E264" t="inlineStr">
        <is>
          <t>UPPSALA</t>
        </is>
      </c>
      <c r="F264" t="inlineStr">
        <is>
          <t>Allmännings- och besparingsskogar</t>
        </is>
      </c>
      <c r="G264" t="n">
        <v>1.2</v>
      </c>
      <c r="H264" t="n">
        <v>0</v>
      </c>
      <c r="I264" t="n">
        <v>0</v>
      </c>
      <c r="J264" t="n">
        <v>0</v>
      </c>
      <c r="K264" t="n">
        <v>0</v>
      </c>
      <c r="L264" t="n">
        <v>0</v>
      </c>
      <c r="M264" t="n">
        <v>0</v>
      </c>
      <c r="N264" t="n">
        <v>0</v>
      </c>
      <c r="O264" t="n">
        <v>0</v>
      </c>
      <c r="P264" t="n">
        <v>0</v>
      </c>
      <c r="Q264" t="n">
        <v>0</v>
      </c>
      <c r="R264" s="2" t="inlineStr"/>
    </row>
    <row r="265" ht="15" customHeight="1">
      <c r="A265" t="inlineStr">
        <is>
          <t>A 67508-2019</t>
        </is>
      </c>
      <c r="B265" s="1" t="n">
        <v>43814</v>
      </c>
      <c r="C265" s="1" t="n">
        <v>45474</v>
      </c>
      <c r="D265" t="inlineStr">
        <is>
          <t>UPPSALA LÄN</t>
        </is>
      </c>
      <c r="E265" t="inlineStr">
        <is>
          <t>UPPSALA</t>
        </is>
      </c>
      <c r="F265" t="inlineStr">
        <is>
          <t>Allmännings- och besparingsskogar</t>
        </is>
      </c>
      <c r="G265" t="n">
        <v>4.9</v>
      </c>
      <c r="H265" t="n">
        <v>0</v>
      </c>
      <c r="I265" t="n">
        <v>0</v>
      </c>
      <c r="J265" t="n">
        <v>0</v>
      </c>
      <c r="K265" t="n">
        <v>0</v>
      </c>
      <c r="L265" t="n">
        <v>0</v>
      </c>
      <c r="M265" t="n">
        <v>0</v>
      </c>
      <c r="N265" t="n">
        <v>0</v>
      </c>
      <c r="O265" t="n">
        <v>0</v>
      </c>
      <c r="P265" t="n">
        <v>0</v>
      </c>
      <c r="Q265" t="n">
        <v>0</v>
      </c>
      <c r="R265" s="2" t="inlineStr"/>
    </row>
    <row r="266" ht="15" customHeight="1">
      <c r="A266" t="inlineStr">
        <is>
          <t>A 67504-2019</t>
        </is>
      </c>
      <c r="B266" s="1" t="n">
        <v>43814</v>
      </c>
      <c r="C266" s="1" t="n">
        <v>45474</v>
      </c>
      <c r="D266" t="inlineStr">
        <is>
          <t>UPPSALA LÄN</t>
        </is>
      </c>
      <c r="E266" t="inlineStr">
        <is>
          <t>UPPSALA</t>
        </is>
      </c>
      <c r="F266" t="inlineStr">
        <is>
          <t>Allmännings- och besparingsskogar</t>
        </is>
      </c>
      <c r="G266" t="n">
        <v>21.9</v>
      </c>
      <c r="H266" t="n">
        <v>0</v>
      </c>
      <c r="I266" t="n">
        <v>0</v>
      </c>
      <c r="J266" t="n">
        <v>0</v>
      </c>
      <c r="K266" t="n">
        <v>0</v>
      </c>
      <c r="L266" t="n">
        <v>0</v>
      </c>
      <c r="M266" t="n">
        <v>0</v>
      </c>
      <c r="N266" t="n">
        <v>0</v>
      </c>
      <c r="O266" t="n">
        <v>0</v>
      </c>
      <c r="P266" t="n">
        <v>0</v>
      </c>
      <c r="Q266" t="n">
        <v>0</v>
      </c>
      <c r="R266" s="2" t="inlineStr"/>
    </row>
    <row r="267" ht="15" customHeight="1">
      <c r="A267" t="inlineStr">
        <is>
          <t>A 67720-2019</t>
        </is>
      </c>
      <c r="B267" s="1" t="n">
        <v>43815</v>
      </c>
      <c r="C267" s="1" t="n">
        <v>45474</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67592-2019</t>
        </is>
      </c>
      <c r="B268" s="1" t="n">
        <v>43815</v>
      </c>
      <c r="C268" s="1" t="n">
        <v>45474</v>
      </c>
      <c r="D268" t="inlineStr">
        <is>
          <t>UPPSALA LÄN</t>
        </is>
      </c>
      <c r="E268" t="inlineStr">
        <is>
          <t>UPPSALA</t>
        </is>
      </c>
      <c r="F268" t="inlineStr">
        <is>
          <t>Övriga statliga verk och myndigheter</t>
        </is>
      </c>
      <c r="G268" t="n">
        <v>0.8</v>
      </c>
      <c r="H268" t="n">
        <v>0</v>
      </c>
      <c r="I268" t="n">
        <v>0</v>
      </c>
      <c r="J268" t="n">
        <v>0</v>
      </c>
      <c r="K268" t="n">
        <v>0</v>
      </c>
      <c r="L268" t="n">
        <v>0</v>
      </c>
      <c r="M268" t="n">
        <v>0</v>
      </c>
      <c r="N268" t="n">
        <v>0</v>
      </c>
      <c r="O268" t="n">
        <v>0</v>
      </c>
      <c r="P268" t="n">
        <v>0</v>
      </c>
      <c r="Q268" t="n">
        <v>0</v>
      </c>
      <c r="R268" s="2" t="inlineStr"/>
    </row>
    <row r="269" ht="15" customHeight="1">
      <c r="A269" t="inlineStr">
        <is>
          <t>A 68264-2019</t>
        </is>
      </c>
      <c r="B269" s="1" t="n">
        <v>43817</v>
      </c>
      <c r="C269" s="1" t="n">
        <v>45474</v>
      </c>
      <c r="D269" t="inlineStr">
        <is>
          <t>UPPSALA LÄN</t>
        </is>
      </c>
      <c r="E269" t="inlineStr">
        <is>
          <t>UPPSALA</t>
        </is>
      </c>
      <c r="G269" t="n">
        <v>2.9</v>
      </c>
      <c r="H269" t="n">
        <v>0</v>
      </c>
      <c r="I269" t="n">
        <v>0</v>
      </c>
      <c r="J269" t="n">
        <v>0</v>
      </c>
      <c r="K269" t="n">
        <v>0</v>
      </c>
      <c r="L269" t="n">
        <v>0</v>
      </c>
      <c r="M269" t="n">
        <v>0</v>
      </c>
      <c r="N269" t="n">
        <v>0</v>
      </c>
      <c r="O269" t="n">
        <v>0</v>
      </c>
      <c r="P269" t="n">
        <v>0</v>
      </c>
      <c r="Q269" t="n">
        <v>0</v>
      </c>
      <c r="R269" s="2" t="inlineStr"/>
    </row>
    <row r="270" ht="15" customHeight="1">
      <c r="A270" t="inlineStr">
        <is>
          <t>A 68265-2019</t>
        </is>
      </c>
      <c r="B270" s="1" t="n">
        <v>43817</v>
      </c>
      <c r="C270" s="1" t="n">
        <v>45474</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68317-2019</t>
        </is>
      </c>
      <c r="B271" s="1" t="n">
        <v>43818</v>
      </c>
      <c r="C271" s="1" t="n">
        <v>45474</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68316-2019</t>
        </is>
      </c>
      <c r="B272" s="1" t="n">
        <v>43818</v>
      </c>
      <c r="C272" s="1" t="n">
        <v>45474</v>
      </c>
      <c r="D272" t="inlineStr">
        <is>
          <t>UPPSALA LÄN</t>
        </is>
      </c>
      <c r="E272" t="inlineStr">
        <is>
          <t>UPPSALA</t>
        </is>
      </c>
      <c r="G272" t="n">
        <v>2.5</v>
      </c>
      <c r="H272" t="n">
        <v>0</v>
      </c>
      <c r="I272" t="n">
        <v>0</v>
      </c>
      <c r="J272" t="n">
        <v>0</v>
      </c>
      <c r="K272" t="n">
        <v>0</v>
      </c>
      <c r="L272" t="n">
        <v>0</v>
      </c>
      <c r="M272" t="n">
        <v>0</v>
      </c>
      <c r="N272" t="n">
        <v>0</v>
      </c>
      <c r="O272" t="n">
        <v>0</v>
      </c>
      <c r="P272" t="n">
        <v>0</v>
      </c>
      <c r="Q272" t="n">
        <v>0</v>
      </c>
      <c r="R272" s="2" t="inlineStr"/>
    </row>
    <row r="273" ht="15" customHeight="1">
      <c r="A273" t="inlineStr">
        <is>
          <t>A 68908-2019</t>
        </is>
      </c>
      <c r="B273" s="1" t="n">
        <v>43822</v>
      </c>
      <c r="C273" s="1" t="n">
        <v>45474</v>
      </c>
      <c r="D273" t="inlineStr">
        <is>
          <t>UPPSALA LÄN</t>
        </is>
      </c>
      <c r="E273" t="inlineStr">
        <is>
          <t>UPPSALA</t>
        </is>
      </c>
      <c r="G273" t="n">
        <v>4</v>
      </c>
      <c r="H273" t="n">
        <v>0</v>
      </c>
      <c r="I273" t="n">
        <v>0</v>
      </c>
      <c r="J273" t="n">
        <v>0</v>
      </c>
      <c r="K273" t="n">
        <v>0</v>
      </c>
      <c r="L273" t="n">
        <v>0</v>
      </c>
      <c r="M273" t="n">
        <v>0</v>
      </c>
      <c r="N273" t="n">
        <v>0</v>
      </c>
      <c r="O273" t="n">
        <v>0</v>
      </c>
      <c r="P273" t="n">
        <v>0</v>
      </c>
      <c r="Q273" t="n">
        <v>0</v>
      </c>
      <c r="R273" s="2" t="inlineStr"/>
    </row>
    <row r="274" ht="15" customHeight="1">
      <c r="A274" t="inlineStr">
        <is>
          <t>A 529-2020</t>
        </is>
      </c>
      <c r="B274" s="1" t="n">
        <v>43837</v>
      </c>
      <c r="C274" s="1" t="n">
        <v>45474</v>
      </c>
      <c r="D274" t="inlineStr">
        <is>
          <t>UPPSALA LÄN</t>
        </is>
      </c>
      <c r="E274" t="inlineStr">
        <is>
          <t>UPPSALA</t>
        </is>
      </c>
      <c r="G274" t="n">
        <v>1.6</v>
      </c>
      <c r="H274" t="n">
        <v>0</v>
      </c>
      <c r="I274" t="n">
        <v>0</v>
      </c>
      <c r="J274" t="n">
        <v>0</v>
      </c>
      <c r="K274" t="n">
        <v>0</v>
      </c>
      <c r="L274" t="n">
        <v>0</v>
      </c>
      <c r="M274" t="n">
        <v>0</v>
      </c>
      <c r="N274" t="n">
        <v>0</v>
      </c>
      <c r="O274" t="n">
        <v>0</v>
      </c>
      <c r="P274" t="n">
        <v>0</v>
      </c>
      <c r="Q274" t="n">
        <v>0</v>
      </c>
      <c r="R274" s="2" t="inlineStr"/>
    </row>
    <row r="275" ht="15" customHeight="1">
      <c r="A275" t="inlineStr">
        <is>
          <t>A 1891-2020</t>
        </is>
      </c>
      <c r="B275" s="1" t="n">
        <v>43837</v>
      </c>
      <c r="C275" s="1" t="n">
        <v>45474</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701-2020</t>
        </is>
      </c>
      <c r="B276" s="1" t="n">
        <v>43838</v>
      </c>
      <c r="C276" s="1" t="n">
        <v>45474</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1171-2020</t>
        </is>
      </c>
      <c r="B277" s="1" t="n">
        <v>43840</v>
      </c>
      <c r="C277" s="1" t="n">
        <v>45474</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1688-2020</t>
        </is>
      </c>
      <c r="B278" s="1" t="n">
        <v>43844</v>
      </c>
      <c r="C278" s="1" t="n">
        <v>45474</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2162-2020</t>
        </is>
      </c>
      <c r="B279" s="1" t="n">
        <v>43846</v>
      </c>
      <c r="C279" s="1" t="n">
        <v>45474</v>
      </c>
      <c r="D279" t="inlineStr">
        <is>
          <t>UPPSALA LÄN</t>
        </is>
      </c>
      <c r="E279" t="inlineStr">
        <is>
          <t>UPPSALA</t>
        </is>
      </c>
      <c r="G279" t="n">
        <v>2.5</v>
      </c>
      <c r="H279" t="n">
        <v>0</v>
      </c>
      <c r="I279" t="n">
        <v>0</v>
      </c>
      <c r="J279" t="n">
        <v>0</v>
      </c>
      <c r="K279" t="n">
        <v>0</v>
      </c>
      <c r="L279" t="n">
        <v>0</v>
      </c>
      <c r="M279" t="n">
        <v>0</v>
      </c>
      <c r="N279" t="n">
        <v>0</v>
      </c>
      <c r="O279" t="n">
        <v>0</v>
      </c>
      <c r="P279" t="n">
        <v>0</v>
      </c>
      <c r="Q279" t="n">
        <v>0</v>
      </c>
      <c r="R279" s="2" t="inlineStr"/>
    </row>
    <row r="280" ht="15" customHeight="1">
      <c r="A280" t="inlineStr">
        <is>
          <t>A 2895-2020</t>
        </is>
      </c>
      <c r="B280" s="1" t="n">
        <v>43850</v>
      </c>
      <c r="C280" s="1" t="n">
        <v>45474</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3693-2020</t>
        </is>
      </c>
      <c r="B281" s="1" t="n">
        <v>43853</v>
      </c>
      <c r="C281" s="1" t="n">
        <v>45474</v>
      </c>
      <c r="D281" t="inlineStr">
        <is>
          <t>UPPSALA LÄN</t>
        </is>
      </c>
      <c r="E281" t="inlineStr">
        <is>
          <t>UPPSALA</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3516-2020</t>
        </is>
      </c>
      <c r="B282" s="1" t="n">
        <v>43853</v>
      </c>
      <c r="C282" s="1" t="n">
        <v>45474</v>
      </c>
      <c r="D282" t="inlineStr">
        <is>
          <t>UPPSALA LÄN</t>
        </is>
      </c>
      <c r="E282" t="inlineStr">
        <is>
          <t>UPPSALA</t>
        </is>
      </c>
      <c r="G282" t="n">
        <v>9.4</v>
      </c>
      <c r="H282" t="n">
        <v>0</v>
      </c>
      <c r="I282" t="n">
        <v>0</v>
      </c>
      <c r="J282" t="n">
        <v>0</v>
      </c>
      <c r="K282" t="n">
        <v>0</v>
      </c>
      <c r="L282" t="n">
        <v>0</v>
      </c>
      <c r="M282" t="n">
        <v>0</v>
      </c>
      <c r="N282" t="n">
        <v>0</v>
      </c>
      <c r="O282" t="n">
        <v>0</v>
      </c>
      <c r="P282" t="n">
        <v>0</v>
      </c>
      <c r="Q282" t="n">
        <v>0</v>
      </c>
      <c r="R282" s="2" t="inlineStr"/>
    </row>
    <row r="283" ht="15" customHeight="1">
      <c r="A283" t="inlineStr">
        <is>
          <t>A 6313-2020</t>
        </is>
      </c>
      <c r="B283" s="1" t="n">
        <v>43866</v>
      </c>
      <c r="C283" s="1" t="n">
        <v>45474</v>
      </c>
      <c r="D283" t="inlineStr">
        <is>
          <t>UPPSALA LÄN</t>
        </is>
      </c>
      <c r="E283" t="inlineStr">
        <is>
          <t>UPPSALA</t>
        </is>
      </c>
      <c r="F283" t="inlineStr">
        <is>
          <t>Övriga statliga verk och myndigheter</t>
        </is>
      </c>
      <c r="G283" t="n">
        <v>3.4</v>
      </c>
      <c r="H283" t="n">
        <v>0</v>
      </c>
      <c r="I283" t="n">
        <v>0</v>
      </c>
      <c r="J283" t="n">
        <v>0</v>
      </c>
      <c r="K283" t="n">
        <v>0</v>
      </c>
      <c r="L283" t="n">
        <v>0</v>
      </c>
      <c r="M283" t="n">
        <v>0</v>
      </c>
      <c r="N283" t="n">
        <v>0</v>
      </c>
      <c r="O283" t="n">
        <v>0</v>
      </c>
      <c r="P283" t="n">
        <v>0</v>
      </c>
      <c r="Q283" t="n">
        <v>0</v>
      </c>
      <c r="R283" s="2" t="inlineStr"/>
    </row>
    <row r="284" ht="15" customHeight="1">
      <c r="A284" t="inlineStr">
        <is>
          <t>A 6315-2020</t>
        </is>
      </c>
      <c r="B284" s="1" t="n">
        <v>43866</v>
      </c>
      <c r="C284" s="1" t="n">
        <v>45474</v>
      </c>
      <c r="D284" t="inlineStr">
        <is>
          <t>UPPSALA LÄN</t>
        </is>
      </c>
      <c r="E284" t="inlineStr">
        <is>
          <t>UPPSALA</t>
        </is>
      </c>
      <c r="F284" t="inlineStr">
        <is>
          <t>Övriga statliga verk och myndigheter</t>
        </is>
      </c>
      <c r="G284" t="n">
        <v>1.9</v>
      </c>
      <c r="H284" t="n">
        <v>0</v>
      </c>
      <c r="I284" t="n">
        <v>0</v>
      </c>
      <c r="J284" t="n">
        <v>0</v>
      </c>
      <c r="K284" t="n">
        <v>0</v>
      </c>
      <c r="L284" t="n">
        <v>0</v>
      </c>
      <c r="M284" t="n">
        <v>0</v>
      </c>
      <c r="N284" t="n">
        <v>0</v>
      </c>
      <c r="O284" t="n">
        <v>0</v>
      </c>
      <c r="P284" t="n">
        <v>0</v>
      </c>
      <c r="Q284" t="n">
        <v>0</v>
      </c>
      <c r="R284" s="2" t="inlineStr"/>
    </row>
    <row r="285" ht="15" customHeight="1">
      <c r="A285" t="inlineStr">
        <is>
          <t>A 6655-2020</t>
        </is>
      </c>
      <c r="B285" s="1" t="n">
        <v>43867</v>
      </c>
      <c r="C285" s="1" t="n">
        <v>45474</v>
      </c>
      <c r="D285" t="inlineStr">
        <is>
          <t>UPPSALA LÄN</t>
        </is>
      </c>
      <c r="E285" t="inlineStr">
        <is>
          <t>UPPSALA</t>
        </is>
      </c>
      <c r="G285" t="n">
        <v>7.3</v>
      </c>
      <c r="H285" t="n">
        <v>0</v>
      </c>
      <c r="I285" t="n">
        <v>0</v>
      </c>
      <c r="J285" t="n">
        <v>0</v>
      </c>
      <c r="K285" t="n">
        <v>0</v>
      </c>
      <c r="L285" t="n">
        <v>0</v>
      </c>
      <c r="M285" t="n">
        <v>0</v>
      </c>
      <c r="N285" t="n">
        <v>0</v>
      </c>
      <c r="O285" t="n">
        <v>0</v>
      </c>
      <c r="P285" t="n">
        <v>0</v>
      </c>
      <c r="Q285" t="n">
        <v>0</v>
      </c>
      <c r="R285" s="2" t="inlineStr"/>
    </row>
    <row r="286" ht="15" customHeight="1">
      <c r="A286" t="inlineStr">
        <is>
          <t>A 8261-2020</t>
        </is>
      </c>
      <c r="B286" s="1" t="n">
        <v>43874</v>
      </c>
      <c r="C286" s="1" t="n">
        <v>45474</v>
      </c>
      <c r="D286" t="inlineStr">
        <is>
          <t>UPPSALA LÄN</t>
        </is>
      </c>
      <c r="E286" t="inlineStr">
        <is>
          <t>UPPSALA</t>
        </is>
      </c>
      <c r="G286" t="n">
        <v>5.1</v>
      </c>
      <c r="H286" t="n">
        <v>0</v>
      </c>
      <c r="I286" t="n">
        <v>0</v>
      </c>
      <c r="J286" t="n">
        <v>0</v>
      </c>
      <c r="K286" t="n">
        <v>0</v>
      </c>
      <c r="L286" t="n">
        <v>0</v>
      </c>
      <c r="M286" t="n">
        <v>0</v>
      </c>
      <c r="N286" t="n">
        <v>0</v>
      </c>
      <c r="O286" t="n">
        <v>0</v>
      </c>
      <c r="P286" t="n">
        <v>0</v>
      </c>
      <c r="Q286" t="n">
        <v>0</v>
      </c>
      <c r="R286" s="2" t="inlineStr"/>
    </row>
    <row r="287" ht="15" customHeight="1">
      <c r="A287" t="inlineStr">
        <is>
          <t>A 8646-2020</t>
        </is>
      </c>
      <c r="B287" s="1" t="n">
        <v>43878</v>
      </c>
      <c r="C287" s="1" t="n">
        <v>45474</v>
      </c>
      <c r="D287" t="inlineStr">
        <is>
          <t>UPPSALA LÄN</t>
        </is>
      </c>
      <c r="E287" t="inlineStr">
        <is>
          <t>UPPSALA</t>
        </is>
      </c>
      <c r="G287" t="n">
        <v>3.5</v>
      </c>
      <c r="H287" t="n">
        <v>0</v>
      </c>
      <c r="I287" t="n">
        <v>0</v>
      </c>
      <c r="J287" t="n">
        <v>0</v>
      </c>
      <c r="K287" t="n">
        <v>0</v>
      </c>
      <c r="L287" t="n">
        <v>0</v>
      </c>
      <c r="M287" t="n">
        <v>0</v>
      </c>
      <c r="N287" t="n">
        <v>0</v>
      </c>
      <c r="O287" t="n">
        <v>0</v>
      </c>
      <c r="P287" t="n">
        <v>0</v>
      </c>
      <c r="Q287" t="n">
        <v>0</v>
      </c>
      <c r="R287" s="2" t="inlineStr"/>
    </row>
    <row r="288" ht="15" customHeight="1">
      <c r="A288" t="inlineStr">
        <is>
          <t>A 8902-2020</t>
        </is>
      </c>
      <c r="B288" s="1" t="n">
        <v>43878</v>
      </c>
      <c r="C288" s="1" t="n">
        <v>45474</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9011-2020</t>
        </is>
      </c>
      <c r="B289" s="1" t="n">
        <v>43879</v>
      </c>
      <c r="C289" s="1" t="n">
        <v>45474</v>
      </c>
      <c r="D289" t="inlineStr">
        <is>
          <t>UPPSALA LÄN</t>
        </is>
      </c>
      <c r="E289" t="inlineStr">
        <is>
          <t>UPPSALA</t>
        </is>
      </c>
      <c r="F289" t="inlineStr">
        <is>
          <t>Övriga statliga verk och myndigheter</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9084-2020</t>
        </is>
      </c>
      <c r="B290" s="1" t="n">
        <v>43879</v>
      </c>
      <c r="C290" s="1" t="n">
        <v>45474</v>
      </c>
      <c r="D290" t="inlineStr">
        <is>
          <t>UPPSALA LÄN</t>
        </is>
      </c>
      <c r="E290" t="inlineStr">
        <is>
          <t>UPPSALA</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9257-2020</t>
        </is>
      </c>
      <c r="B291" s="1" t="n">
        <v>43879</v>
      </c>
      <c r="C291" s="1" t="n">
        <v>45474</v>
      </c>
      <c r="D291" t="inlineStr">
        <is>
          <t>UPPSALA LÄN</t>
        </is>
      </c>
      <c r="E291" t="inlineStr">
        <is>
          <t>UPPSALA</t>
        </is>
      </c>
      <c r="F291" t="inlineStr">
        <is>
          <t>Bergvik skog öst AB</t>
        </is>
      </c>
      <c r="G291" t="n">
        <v>5.8</v>
      </c>
      <c r="H291" t="n">
        <v>0</v>
      </c>
      <c r="I291" t="n">
        <v>0</v>
      </c>
      <c r="J291" t="n">
        <v>0</v>
      </c>
      <c r="K291" t="n">
        <v>0</v>
      </c>
      <c r="L291" t="n">
        <v>0</v>
      </c>
      <c r="M291" t="n">
        <v>0</v>
      </c>
      <c r="N291" t="n">
        <v>0</v>
      </c>
      <c r="O291" t="n">
        <v>0</v>
      </c>
      <c r="P291" t="n">
        <v>0</v>
      </c>
      <c r="Q291" t="n">
        <v>0</v>
      </c>
      <c r="R291" s="2" t="inlineStr"/>
    </row>
    <row r="292" ht="15" customHeight="1">
      <c r="A292" t="inlineStr">
        <is>
          <t>A 9658-2020</t>
        </is>
      </c>
      <c r="B292" s="1" t="n">
        <v>43881</v>
      </c>
      <c r="C292" s="1" t="n">
        <v>45474</v>
      </c>
      <c r="D292" t="inlineStr">
        <is>
          <t>UPPSALA LÄN</t>
        </is>
      </c>
      <c r="E292" t="inlineStr">
        <is>
          <t>UPPSALA</t>
        </is>
      </c>
      <c r="G292" t="n">
        <v>3.6</v>
      </c>
      <c r="H292" t="n">
        <v>0</v>
      </c>
      <c r="I292" t="n">
        <v>0</v>
      </c>
      <c r="J292" t="n">
        <v>0</v>
      </c>
      <c r="K292" t="n">
        <v>0</v>
      </c>
      <c r="L292" t="n">
        <v>0</v>
      </c>
      <c r="M292" t="n">
        <v>0</v>
      </c>
      <c r="N292" t="n">
        <v>0</v>
      </c>
      <c r="O292" t="n">
        <v>0</v>
      </c>
      <c r="P292" t="n">
        <v>0</v>
      </c>
      <c r="Q292" t="n">
        <v>0</v>
      </c>
      <c r="R292" s="2" t="inlineStr"/>
    </row>
    <row r="293" ht="15" customHeight="1">
      <c r="A293" t="inlineStr">
        <is>
          <t>A 10003-2020</t>
        </is>
      </c>
      <c r="B293" s="1" t="n">
        <v>43882</v>
      </c>
      <c r="C293" s="1" t="n">
        <v>45474</v>
      </c>
      <c r="D293" t="inlineStr">
        <is>
          <t>UPPSALA LÄN</t>
        </is>
      </c>
      <c r="E293" t="inlineStr">
        <is>
          <t>UPPSALA</t>
        </is>
      </c>
      <c r="F293" t="inlineStr">
        <is>
          <t>Kyrkan</t>
        </is>
      </c>
      <c r="G293" t="n">
        <v>5.2</v>
      </c>
      <c r="H293" t="n">
        <v>0</v>
      </c>
      <c r="I293" t="n">
        <v>0</v>
      </c>
      <c r="J293" t="n">
        <v>0</v>
      </c>
      <c r="K293" t="n">
        <v>0</v>
      </c>
      <c r="L293" t="n">
        <v>0</v>
      </c>
      <c r="M293" t="n">
        <v>0</v>
      </c>
      <c r="N293" t="n">
        <v>0</v>
      </c>
      <c r="O293" t="n">
        <v>0</v>
      </c>
      <c r="P293" t="n">
        <v>0</v>
      </c>
      <c r="Q293" t="n">
        <v>0</v>
      </c>
      <c r="R293" s="2" t="inlineStr"/>
    </row>
    <row r="294" ht="15" customHeight="1">
      <c r="A294" t="inlineStr">
        <is>
          <t>A 9949-2020</t>
        </is>
      </c>
      <c r="B294" s="1" t="n">
        <v>43882</v>
      </c>
      <c r="C294" s="1" t="n">
        <v>45474</v>
      </c>
      <c r="D294" t="inlineStr">
        <is>
          <t>UPPSALA LÄN</t>
        </is>
      </c>
      <c r="E294" t="inlineStr">
        <is>
          <t>UPPSALA</t>
        </is>
      </c>
      <c r="F294" t="inlineStr">
        <is>
          <t>Kyrkan</t>
        </is>
      </c>
      <c r="G294" t="n">
        <v>2.2</v>
      </c>
      <c r="H294" t="n">
        <v>0</v>
      </c>
      <c r="I294" t="n">
        <v>0</v>
      </c>
      <c r="J294" t="n">
        <v>0</v>
      </c>
      <c r="K294" t="n">
        <v>0</v>
      </c>
      <c r="L294" t="n">
        <v>0</v>
      </c>
      <c r="M294" t="n">
        <v>0</v>
      </c>
      <c r="N294" t="n">
        <v>0</v>
      </c>
      <c r="O294" t="n">
        <v>0</v>
      </c>
      <c r="P294" t="n">
        <v>0</v>
      </c>
      <c r="Q294" t="n">
        <v>0</v>
      </c>
      <c r="R294" s="2" t="inlineStr"/>
    </row>
    <row r="295" ht="15" customHeight="1">
      <c r="A295" t="inlineStr">
        <is>
          <t>A 10033-2020</t>
        </is>
      </c>
      <c r="B295" s="1" t="n">
        <v>43882</v>
      </c>
      <c r="C295" s="1" t="n">
        <v>45474</v>
      </c>
      <c r="D295" t="inlineStr">
        <is>
          <t>UPPSALA LÄN</t>
        </is>
      </c>
      <c r="E295" t="inlineStr">
        <is>
          <t>UPPSALA</t>
        </is>
      </c>
      <c r="G295" t="n">
        <v>4.6</v>
      </c>
      <c r="H295" t="n">
        <v>0</v>
      </c>
      <c r="I295" t="n">
        <v>0</v>
      </c>
      <c r="J295" t="n">
        <v>0</v>
      </c>
      <c r="K295" t="n">
        <v>0</v>
      </c>
      <c r="L295" t="n">
        <v>0</v>
      </c>
      <c r="M295" t="n">
        <v>0</v>
      </c>
      <c r="N295" t="n">
        <v>0</v>
      </c>
      <c r="O295" t="n">
        <v>0</v>
      </c>
      <c r="P295" t="n">
        <v>0</v>
      </c>
      <c r="Q295" t="n">
        <v>0</v>
      </c>
      <c r="R295" s="2" t="inlineStr"/>
    </row>
    <row r="296" ht="15" customHeight="1">
      <c r="A296" t="inlineStr">
        <is>
          <t>A 10478-2020</t>
        </is>
      </c>
      <c r="B296" s="1" t="n">
        <v>43886</v>
      </c>
      <c r="C296" s="1" t="n">
        <v>45474</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11540-2020</t>
        </is>
      </c>
      <c r="B297" s="1" t="n">
        <v>43887</v>
      </c>
      <c r="C297" s="1" t="n">
        <v>45474</v>
      </c>
      <c r="D297" t="inlineStr">
        <is>
          <t>UPPSALA LÄN</t>
        </is>
      </c>
      <c r="E297" t="inlineStr">
        <is>
          <t>UPPSALA</t>
        </is>
      </c>
      <c r="G297" t="n">
        <v>2.1</v>
      </c>
      <c r="H297" t="n">
        <v>0</v>
      </c>
      <c r="I297" t="n">
        <v>0</v>
      </c>
      <c r="J297" t="n">
        <v>0</v>
      </c>
      <c r="K297" t="n">
        <v>0</v>
      </c>
      <c r="L297" t="n">
        <v>0</v>
      </c>
      <c r="M297" t="n">
        <v>0</v>
      </c>
      <c r="N297" t="n">
        <v>0</v>
      </c>
      <c r="O297" t="n">
        <v>0</v>
      </c>
      <c r="P297" t="n">
        <v>0</v>
      </c>
      <c r="Q297" t="n">
        <v>0</v>
      </c>
      <c r="R297" s="2" t="inlineStr"/>
    </row>
    <row r="298" ht="15" customHeight="1">
      <c r="A298" t="inlineStr">
        <is>
          <t>A 11174-2020</t>
        </is>
      </c>
      <c r="B298" s="1" t="n">
        <v>43891</v>
      </c>
      <c r="C298" s="1" t="n">
        <v>45474</v>
      </c>
      <c r="D298" t="inlineStr">
        <is>
          <t>UPPSALA LÄN</t>
        </is>
      </c>
      <c r="E298" t="inlineStr">
        <is>
          <t>UPPSALA</t>
        </is>
      </c>
      <c r="F298" t="inlineStr">
        <is>
          <t>Övriga statliga verk och myndigheter</t>
        </is>
      </c>
      <c r="G298" t="n">
        <v>2.8</v>
      </c>
      <c r="H298" t="n">
        <v>0</v>
      </c>
      <c r="I298" t="n">
        <v>0</v>
      </c>
      <c r="J298" t="n">
        <v>0</v>
      </c>
      <c r="K298" t="n">
        <v>0</v>
      </c>
      <c r="L298" t="n">
        <v>0</v>
      </c>
      <c r="M298" t="n">
        <v>0</v>
      </c>
      <c r="N298" t="n">
        <v>0</v>
      </c>
      <c r="O298" t="n">
        <v>0</v>
      </c>
      <c r="P298" t="n">
        <v>0</v>
      </c>
      <c r="Q298" t="n">
        <v>0</v>
      </c>
      <c r="R298" s="2" t="inlineStr"/>
    </row>
    <row r="299" ht="15" customHeight="1">
      <c r="A299" t="inlineStr">
        <is>
          <t>A 12626-2020</t>
        </is>
      </c>
      <c r="B299" s="1" t="n">
        <v>43892</v>
      </c>
      <c r="C299" s="1" t="n">
        <v>45474</v>
      </c>
      <c r="D299" t="inlineStr">
        <is>
          <t>UPPSALA LÄN</t>
        </is>
      </c>
      <c r="E299" t="inlineStr">
        <is>
          <t>UPPSALA</t>
        </is>
      </c>
      <c r="G299" t="n">
        <v>11.4</v>
      </c>
      <c r="H299" t="n">
        <v>0</v>
      </c>
      <c r="I299" t="n">
        <v>0</v>
      </c>
      <c r="J299" t="n">
        <v>0</v>
      </c>
      <c r="K299" t="n">
        <v>0</v>
      </c>
      <c r="L299" t="n">
        <v>0</v>
      </c>
      <c r="M299" t="n">
        <v>0</v>
      </c>
      <c r="N299" t="n">
        <v>0</v>
      </c>
      <c r="O299" t="n">
        <v>0</v>
      </c>
      <c r="P299" t="n">
        <v>0</v>
      </c>
      <c r="Q299" t="n">
        <v>0</v>
      </c>
      <c r="R299" s="2" t="inlineStr"/>
    </row>
    <row r="300" ht="15" customHeight="1">
      <c r="A300" t="inlineStr">
        <is>
          <t>A 11336-2020</t>
        </is>
      </c>
      <c r="B300" s="1" t="n">
        <v>43892</v>
      </c>
      <c r="C300" s="1" t="n">
        <v>45474</v>
      </c>
      <c r="D300" t="inlineStr">
        <is>
          <t>UPPSALA LÄN</t>
        </is>
      </c>
      <c r="E300" t="inlineStr">
        <is>
          <t>UPPSALA</t>
        </is>
      </c>
      <c r="F300" t="inlineStr">
        <is>
          <t>Kyrkan</t>
        </is>
      </c>
      <c r="G300" t="n">
        <v>3.2</v>
      </c>
      <c r="H300" t="n">
        <v>0</v>
      </c>
      <c r="I300" t="n">
        <v>0</v>
      </c>
      <c r="J300" t="n">
        <v>0</v>
      </c>
      <c r="K300" t="n">
        <v>0</v>
      </c>
      <c r="L300" t="n">
        <v>0</v>
      </c>
      <c r="M300" t="n">
        <v>0</v>
      </c>
      <c r="N300" t="n">
        <v>0</v>
      </c>
      <c r="O300" t="n">
        <v>0</v>
      </c>
      <c r="P300" t="n">
        <v>0</v>
      </c>
      <c r="Q300" t="n">
        <v>0</v>
      </c>
      <c r="R300" s="2" t="inlineStr"/>
    </row>
    <row r="301" ht="15" customHeight="1">
      <c r="A301" t="inlineStr">
        <is>
          <t>A 11320-2020</t>
        </is>
      </c>
      <c r="B301" s="1" t="n">
        <v>43892</v>
      </c>
      <c r="C301" s="1" t="n">
        <v>45474</v>
      </c>
      <c r="D301" t="inlineStr">
        <is>
          <t>UPPSALA LÄN</t>
        </is>
      </c>
      <c r="E301" t="inlineStr">
        <is>
          <t>UPPSALA</t>
        </is>
      </c>
      <c r="F301" t="inlineStr">
        <is>
          <t>Kyrkan</t>
        </is>
      </c>
      <c r="G301" t="n">
        <v>0.9</v>
      </c>
      <c r="H301" t="n">
        <v>0</v>
      </c>
      <c r="I301" t="n">
        <v>0</v>
      </c>
      <c r="J301" t="n">
        <v>0</v>
      </c>
      <c r="K301" t="n">
        <v>0</v>
      </c>
      <c r="L301" t="n">
        <v>0</v>
      </c>
      <c r="M301" t="n">
        <v>0</v>
      </c>
      <c r="N301" t="n">
        <v>0</v>
      </c>
      <c r="O301" t="n">
        <v>0</v>
      </c>
      <c r="P301" t="n">
        <v>0</v>
      </c>
      <c r="Q301" t="n">
        <v>0</v>
      </c>
      <c r="R301" s="2" t="inlineStr"/>
    </row>
    <row r="302" ht="15" customHeight="1">
      <c r="A302" t="inlineStr">
        <is>
          <t>A 12028-2020</t>
        </is>
      </c>
      <c r="B302" s="1" t="n">
        <v>43894</v>
      </c>
      <c r="C302" s="1" t="n">
        <v>45474</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12055-2020</t>
        </is>
      </c>
      <c r="B303" s="1" t="n">
        <v>43894</v>
      </c>
      <c r="C303" s="1" t="n">
        <v>45474</v>
      </c>
      <c r="D303" t="inlineStr">
        <is>
          <t>UPPSALA LÄN</t>
        </is>
      </c>
      <c r="E303" t="inlineStr">
        <is>
          <t>UPPSALA</t>
        </is>
      </c>
      <c r="G303" t="n">
        <v>6.2</v>
      </c>
      <c r="H303" t="n">
        <v>0</v>
      </c>
      <c r="I303" t="n">
        <v>0</v>
      </c>
      <c r="J303" t="n">
        <v>0</v>
      </c>
      <c r="K303" t="n">
        <v>0</v>
      </c>
      <c r="L303" t="n">
        <v>0</v>
      </c>
      <c r="M303" t="n">
        <v>0</v>
      </c>
      <c r="N303" t="n">
        <v>0</v>
      </c>
      <c r="O303" t="n">
        <v>0</v>
      </c>
      <c r="P303" t="n">
        <v>0</v>
      </c>
      <c r="Q303" t="n">
        <v>0</v>
      </c>
      <c r="R303" s="2" t="inlineStr"/>
    </row>
    <row r="304" ht="15" customHeight="1">
      <c r="A304" t="inlineStr">
        <is>
          <t>A 12848-2020</t>
        </is>
      </c>
      <c r="B304" s="1" t="n">
        <v>43899</v>
      </c>
      <c r="C304" s="1" t="n">
        <v>45474</v>
      </c>
      <c r="D304" t="inlineStr">
        <is>
          <t>UPPSALA LÄN</t>
        </is>
      </c>
      <c r="E304" t="inlineStr">
        <is>
          <t>UPPSALA</t>
        </is>
      </c>
      <c r="G304" t="n">
        <v>10.3</v>
      </c>
      <c r="H304" t="n">
        <v>0</v>
      </c>
      <c r="I304" t="n">
        <v>0</v>
      </c>
      <c r="J304" t="n">
        <v>0</v>
      </c>
      <c r="K304" t="n">
        <v>0</v>
      </c>
      <c r="L304" t="n">
        <v>0</v>
      </c>
      <c r="M304" t="n">
        <v>0</v>
      </c>
      <c r="N304" t="n">
        <v>0</v>
      </c>
      <c r="O304" t="n">
        <v>0</v>
      </c>
      <c r="P304" t="n">
        <v>0</v>
      </c>
      <c r="Q304" t="n">
        <v>0</v>
      </c>
      <c r="R304" s="2" t="inlineStr"/>
    </row>
    <row r="305" ht="15" customHeight="1">
      <c r="A305" t="inlineStr">
        <is>
          <t>A 12781-2020</t>
        </is>
      </c>
      <c r="B305" s="1" t="n">
        <v>43899</v>
      </c>
      <c r="C305" s="1" t="n">
        <v>45474</v>
      </c>
      <c r="D305" t="inlineStr">
        <is>
          <t>UPPSALA LÄN</t>
        </is>
      </c>
      <c r="E305" t="inlineStr">
        <is>
          <t>UPPSALA</t>
        </is>
      </c>
      <c r="F305" t="inlineStr">
        <is>
          <t>Kyrkan</t>
        </is>
      </c>
      <c r="G305" t="n">
        <v>0.7</v>
      </c>
      <c r="H305" t="n">
        <v>0</v>
      </c>
      <c r="I305" t="n">
        <v>0</v>
      </c>
      <c r="J305" t="n">
        <v>0</v>
      </c>
      <c r="K305" t="n">
        <v>0</v>
      </c>
      <c r="L305" t="n">
        <v>0</v>
      </c>
      <c r="M305" t="n">
        <v>0</v>
      </c>
      <c r="N305" t="n">
        <v>0</v>
      </c>
      <c r="O305" t="n">
        <v>0</v>
      </c>
      <c r="P305" t="n">
        <v>0</v>
      </c>
      <c r="Q305" t="n">
        <v>0</v>
      </c>
      <c r="R305" s="2" t="inlineStr"/>
    </row>
    <row r="306" ht="15" customHeight="1">
      <c r="A306" t="inlineStr">
        <is>
          <t>A 13636-2020</t>
        </is>
      </c>
      <c r="B306" s="1" t="n">
        <v>43903</v>
      </c>
      <c r="C306" s="1" t="n">
        <v>45474</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14469-2020</t>
        </is>
      </c>
      <c r="B307" s="1" t="n">
        <v>43908</v>
      </c>
      <c r="C307" s="1" t="n">
        <v>45474</v>
      </c>
      <c r="D307" t="inlineStr">
        <is>
          <t>UPPSALA LÄN</t>
        </is>
      </c>
      <c r="E307" t="inlineStr">
        <is>
          <t>UPPSALA</t>
        </is>
      </c>
      <c r="G307" t="n">
        <v>0.6</v>
      </c>
      <c r="H307" t="n">
        <v>0</v>
      </c>
      <c r="I307" t="n">
        <v>0</v>
      </c>
      <c r="J307" t="n">
        <v>0</v>
      </c>
      <c r="K307" t="n">
        <v>0</v>
      </c>
      <c r="L307" t="n">
        <v>0</v>
      </c>
      <c r="M307" t="n">
        <v>0</v>
      </c>
      <c r="N307" t="n">
        <v>0</v>
      </c>
      <c r="O307" t="n">
        <v>0</v>
      </c>
      <c r="P307" t="n">
        <v>0</v>
      </c>
      <c r="Q307" t="n">
        <v>0</v>
      </c>
      <c r="R307" s="2" t="inlineStr"/>
    </row>
    <row r="308" ht="15" customHeight="1">
      <c r="A308" t="inlineStr">
        <is>
          <t>A 14423-2020</t>
        </is>
      </c>
      <c r="B308" s="1" t="n">
        <v>43908</v>
      </c>
      <c r="C308" s="1" t="n">
        <v>45474</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14472-2020</t>
        </is>
      </c>
      <c r="B309" s="1" t="n">
        <v>43908</v>
      </c>
      <c r="C309" s="1" t="n">
        <v>45474</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14427-2020</t>
        </is>
      </c>
      <c r="B310" s="1" t="n">
        <v>43908</v>
      </c>
      <c r="C310" s="1" t="n">
        <v>45474</v>
      </c>
      <c r="D310" t="inlineStr">
        <is>
          <t>UPPSALA LÄN</t>
        </is>
      </c>
      <c r="E310" t="inlineStr">
        <is>
          <t>UPPSALA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15344-2020</t>
        </is>
      </c>
      <c r="B311" s="1" t="n">
        <v>43913</v>
      </c>
      <c r="C311" s="1" t="n">
        <v>45474</v>
      </c>
      <c r="D311" t="inlineStr">
        <is>
          <t>UPPSALA LÄN</t>
        </is>
      </c>
      <c r="E311" t="inlineStr">
        <is>
          <t>UPPSALA</t>
        </is>
      </c>
      <c r="F311" t="inlineStr">
        <is>
          <t>Holmen skog AB</t>
        </is>
      </c>
      <c r="G311" t="n">
        <v>3.4</v>
      </c>
      <c r="H311" t="n">
        <v>0</v>
      </c>
      <c r="I311" t="n">
        <v>0</v>
      </c>
      <c r="J311" t="n">
        <v>0</v>
      </c>
      <c r="K311" t="n">
        <v>0</v>
      </c>
      <c r="L311" t="n">
        <v>0</v>
      </c>
      <c r="M311" t="n">
        <v>0</v>
      </c>
      <c r="N311" t="n">
        <v>0</v>
      </c>
      <c r="O311" t="n">
        <v>0</v>
      </c>
      <c r="P311" t="n">
        <v>0</v>
      </c>
      <c r="Q311" t="n">
        <v>0</v>
      </c>
      <c r="R311" s="2" t="inlineStr"/>
    </row>
    <row r="312" ht="15" customHeight="1">
      <c r="A312" t="inlineStr">
        <is>
          <t>A 18106-2020</t>
        </is>
      </c>
      <c r="B312" s="1" t="n">
        <v>43927</v>
      </c>
      <c r="C312" s="1" t="n">
        <v>45474</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18114-2020</t>
        </is>
      </c>
      <c r="B313" s="1" t="n">
        <v>43927</v>
      </c>
      <c r="C313" s="1" t="n">
        <v>45474</v>
      </c>
      <c r="D313" t="inlineStr">
        <is>
          <t>UPPSALA LÄN</t>
        </is>
      </c>
      <c r="E313" t="inlineStr">
        <is>
          <t>UPPSALA</t>
        </is>
      </c>
      <c r="G313" t="n">
        <v>1.6</v>
      </c>
      <c r="H313" t="n">
        <v>0</v>
      </c>
      <c r="I313" t="n">
        <v>0</v>
      </c>
      <c r="J313" t="n">
        <v>0</v>
      </c>
      <c r="K313" t="n">
        <v>0</v>
      </c>
      <c r="L313" t="n">
        <v>0</v>
      </c>
      <c r="M313" t="n">
        <v>0</v>
      </c>
      <c r="N313" t="n">
        <v>0</v>
      </c>
      <c r="O313" t="n">
        <v>0</v>
      </c>
      <c r="P313" t="n">
        <v>0</v>
      </c>
      <c r="Q313" t="n">
        <v>0</v>
      </c>
      <c r="R313" s="2" t="inlineStr"/>
    </row>
    <row r="314" ht="15" customHeight="1">
      <c r="A314" t="inlineStr">
        <is>
          <t>A 18469-2020</t>
        </is>
      </c>
      <c r="B314" s="1" t="n">
        <v>43929</v>
      </c>
      <c r="C314" s="1" t="n">
        <v>45474</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19210-2020</t>
        </is>
      </c>
      <c r="B315" s="1" t="n">
        <v>43937</v>
      </c>
      <c r="C315" s="1" t="n">
        <v>45474</v>
      </c>
      <c r="D315" t="inlineStr">
        <is>
          <t>UPPSALA LÄN</t>
        </is>
      </c>
      <c r="E315" t="inlineStr">
        <is>
          <t>UPPSALA</t>
        </is>
      </c>
      <c r="G315" t="n">
        <v>3.7</v>
      </c>
      <c r="H315" t="n">
        <v>0</v>
      </c>
      <c r="I315" t="n">
        <v>0</v>
      </c>
      <c r="J315" t="n">
        <v>0</v>
      </c>
      <c r="K315" t="n">
        <v>0</v>
      </c>
      <c r="L315" t="n">
        <v>0</v>
      </c>
      <c r="M315" t="n">
        <v>0</v>
      </c>
      <c r="N315" t="n">
        <v>0</v>
      </c>
      <c r="O315" t="n">
        <v>0</v>
      </c>
      <c r="P315" t="n">
        <v>0</v>
      </c>
      <c r="Q315" t="n">
        <v>0</v>
      </c>
      <c r="R315" s="2" t="inlineStr"/>
    </row>
    <row r="316" ht="15" customHeight="1">
      <c r="A316" t="inlineStr">
        <is>
          <t>A 20218-2020</t>
        </is>
      </c>
      <c r="B316" s="1" t="n">
        <v>43944</v>
      </c>
      <c r="C316" s="1" t="n">
        <v>45474</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20506-2020</t>
        </is>
      </c>
      <c r="B317" s="1" t="n">
        <v>43948</v>
      </c>
      <c r="C317" s="1" t="n">
        <v>45474</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20490-2020</t>
        </is>
      </c>
      <c r="B318" s="1" t="n">
        <v>43948</v>
      </c>
      <c r="C318" s="1" t="n">
        <v>45474</v>
      </c>
      <c r="D318" t="inlineStr">
        <is>
          <t>UPPSALA LÄN</t>
        </is>
      </c>
      <c r="E318" t="inlineStr">
        <is>
          <t>UPPSALA</t>
        </is>
      </c>
      <c r="G318" t="n">
        <v>2.8</v>
      </c>
      <c r="H318" t="n">
        <v>0</v>
      </c>
      <c r="I318" t="n">
        <v>0</v>
      </c>
      <c r="J318" t="n">
        <v>0</v>
      </c>
      <c r="K318" t="n">
        <v>0</v>
      </c>
      <c r="L318" t="n">
        <v>0</v>
      </c>
      <c r="M318" t="n">
        <v>0</v>
      </c>
      <c r="N318" t="n">
        <v>0</v>
      </c>
      <c r="O318" t="n">
        <v>0</v>
      </c>
      <c r="P318" t="n">
        <v>0</v>
      </c>
      <c r="Q318" t="n">
        <v>0</v>
      </c>
      <c r="R318" s="2" t="inlineStr"/>
    </row>
    <row r="319" ht="15" customHeight="1">
      <c r="A319" t="inlineStr">
        <is>
          <t>A 20960-2020</t>
        </is>
      </c>
      <c r="B319" s="1" t="n">
        <v>43950</v>
      </c>
      <c r="C319" s="1" t="n">
        <v>45474</v>
      </c>
      <c r="D319" t="inlineStr">
        <is>
          <t>UPPSALA LÄN</t>
        </is>
      </c>
      <c r="E319" t="inlineStr">
        <is>
          <t>UPPSALA</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24300-2020</t>
        </is>
      </c>
      <c r="B320" s="1" t="n">
        <v>43973</v>
      </c>
      <c r="C320" s="1" t="n">
        <v>45474</v>
      </c>
      <c r="D320" t="inlineStr">
        <is>
          <t>UPPSALA LÄN</t>
        </is>
      </c>
      <c r="E320" t="inlineStr">
        <is>
          <t>UPPSALA</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24287-2020</t>
        </is>
      </c>
      <c r="B321" s="1" t="n">
        <v>43976</v>
      </c>
      <c r="C321" s="1" t="n">
        <v>45474</v>
      </c>
      <c r="D321" t="inlineStr">
        <is>
          <t>UPPSALA LÄN</t>
        </is>
      </c>
      <c r="E321" t="inlineStr">
        <is>
          <t>UPPSALA</t>
        </is>
      </c>
      <c r="G321" t="n">
        <v>1</v>
      </c>
      <c r="H321" t="n">
        <v>0</v>
      </c>
      <c r="I321" t="n">
        <v>0</v>
      </c>
      <c r="J321" t="n">
        <v>0</v>
      </c>
      <c r="K321" t="n">
        <v>0</v>
      </c>
      <c r="L321" t="n">
        <v>0</v>
      </c>
      <c r="M321" t="n">
        <v>0</v>
      </c>
      <c r="N321" t="n">
        <v>0</v>
      </c>
      <c r="O321" t="n">
        <v>0</v>
      </c>
      <c r="P321" t="n">
        <v>0</v>
      </c>
      <c r="Q321" t="n">
        <v>0</v>
      </c>
      <c r="R321" s="2" t="inlineStr"/>
    </row>
    <row r="322" ht="15" customHeight="1">
      <c r="A322" t="inlineStr">
        <is>
          <t>A 25798-2020</t>
        </is>
      </c>
      <c r="B322" s="1" t="n">
        <v>43984</v>
      </c>
      <c r="C322" s="1" t="n">
        <v>45474</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26488-2020</t>
        </is>
      </c>
      <c r="B323" s="1" t="n">
        <v>43987</v>
      </c>
      <c r="C323" s="1" t="n">
        <v>45474</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26492-2020</t>
        </is>
      </c>
      <c r="B324" s="1" t="n">
        <v>43987</v>
      </c>
      <c r="C324" s="1" t="n">
        <v>45474</v>
      </c>
      <c r="D324" t="inlineStr">
        <is>
          <t>UPPSALA LÄN</t>
        </is>
      </c>
      <c r="E324" t="inlineStr">
        <is>
          <t>UPPSALA</t>
        </is>
      </c>
      <c r="G324" t="n">
        <v>9.5</v>
      </c>
      <c r="H324" t="n">
        <v>0</v>
      </c>
      <c r="I324" t="n">
        <v>0</v>
      </c>
      <c r="J324" t="n">
        <v>0</v>
      </c>
      <c r="K324" t="n">
        <v>0</v>
      </c>
      <c r="L324" t="n">
        <v>0</v>
      </c>
      <c r="M324" t="n">
        <v>0</v>
      </c>
      <c r="N324" t="n">
        <v>0</v>
      </c>
      <c r="O324" t="n">
        <v>0</v>
      </c>
      <c r="P324" t="n">
        <v>0</v>
      </c>
      <c r="Q324" t="n">
        <v>0</v>
      </c>
      <c r="R324" s="2" t="inlineStr"/>
    </row>
    <row r="325" ht="15" customHeight="1">
      <c r="A325" t="inlineStr">
        <is>
          <t>A 26856-2020</t>
        </is>
      </c>
      <c r="B325" s="1" t="n">
        <v>43990</v>
      </c>
      <c r="C325" s="1" t="n">
        <v>45474</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28565-2020</t>
        </is>
      </c>
      <c r="B326" s="1" t="n">
        <v>43999</v>
      </c>
      <c r="C326" s="1" t="n">
        <v>45474</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28514-2020</t>
        </is>
      </c>
      <c r="B327" s="1" t="n">
        <v>43999</v>
      </c>
      <c r="C327" s="1" t="n">
        <v>45474</v>
      </c>
      <c r="D327" t="inlineStr">
        <is>
          <t>UPPSALA LÄN</t>
        </is>
      </c>
      <c r="E327" t="inlineStr">
        <is>
          <t>UPPSALA</t>
        </is>
      </c>
      <c r="G327" t="n">
        <v>3.6</v>
      </c>
      <c r="H327" t="n">
        <v>0</v>
      </c>
      <c r="I327" t="n">
        <v>0</v>
      </c>
      <c r="J327" t="n">
        <v>0</v>
      </c>
      <c r="K327" t="n">
        <v>0</v>
      </c>
      <c r="L327" t="n">
        <v>0</v>
      </c>
      <c r="M327" t="n">
        <v>0</v>
      </c>
      <c r="N327" t="n">
        <v>0</v>
      </c>
      <c r="O327" t="n">
        <v>0</v>
      </c>
      <c r="P327" t="n">
        <v>0</v>
      </c>
      <c r="Q327" t="n">
        <v>0</v>
      </c>
      <c r="R327" s="2" t="inlineStr"/>
    </row>
    <row r="328" ht="15" customHeight="1">
      <c r="A328" t="inlineStr">
        <is>
          <t>A 28993-2020</t>
        </is>
      </c>
      <c r="B328" s="1" t="n">
        <v>44000</v>
      </c>
      <c r="C328" s="1" t="n">
        <v>45474</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29034-2020</t>
        </is>
      </c>
      <c r="B329" s="1" t="n">
        <v>44000</v>
      </c>
      <c r="C329" s="1" t="n">
        <v>45474</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30196-2020</t>
        </is>
      </c>
      <c r="B330" s="1" t="n">
        <v>44007</v>
      </c>
      <c r="C330" s="1" t="n">
        <v>45474</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30208-2020</t>
        </is>
      </c>
      <c r="B331" s="1" t="n">
        <v>44007</v>
      </c>
      <c r="C331" s="1" t="n">
        <v>45474</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31219-2020</t>
        </is>
      </c>
      <c r="B332" s="1" t="n">
        <v>44012</v>
      </c>
      <c r="C332" s="1" t="n">
        <v>45474</v>
      </c>
      <c r="D332" t="inlineStr">
        <is>
          <t>UPPSALA LÄN</t>
        </is>
      </c>
      <c r="E332" t="inlineStr">
        <is>
          <t>UPPSALA</t>
        </is>
      </c>
      <c r="F332" t="inlineStr">
        <is>
          <t>Bergvik skog öst AB</t>
        </is>
      </c>
      <c r="G332" t="n">
        <v>7.4</v>
      </c>
      <c r="H332" t="n">
        <v>0</v>
      </c>
      <c r="I332" t="n">
        <v>0</v>
      </c>
      <c r="J332" t="n">
        <v>0</v>
      </c>
      <c r="K332" t="n">
        <v>0</v>
      </c>
      <c r="L332" t="n">
        <v>0</v>
      </c>
      <c r="M332" t="n">
        <v>0</v>
      </c>
      <c r="N332" t="n">
        <v>0</v>
      </c>
      <c r="O332" t="n">
        <v>0</v>
      </c>
      <c r="P332" t="n">
        <v>0</v>
      </c>
      <c r="Q332" t="n">
        <v>0</v>
      </c>
      <c r="R332" s="2" t="inlineStr"/>
    </row>
    <row r="333" ht="15" customHeight="1">
      <c r="A333" t="inlineStr">
        <is>
          <t>A 31430-2020</t>
        </is>
      </c>
      <c r="B333" s="1" t="n">
        <v>44013</v>
      </c>
      <c r="C333" s="1" t="n">
        <v>45474</v>
      </c>
      <c r="D333" t="inlineStr">
        <is>
          <t>UPPSALA LÄN</t>
        </is>
      </c>
      <c r="E333" t="inlineStr">
        <is>
          <t>UPPSALA</t>
        </is>
      </c>
      <c r="G333" t="n">
        <v>3.4</v>
      </c>
      <c r="H333" t="n">
        <v>0</v>
      </c>
      <c r="I333" t="n">
        <v>0</v>
      </c>
      <c r="J333" t="n">
        <v>0</v>
      </c>
      <c r="K333" t="n">
        <v>0</v>
      </c>
      <c r="L333" t="n">
        <v>0</v>
      </c>
      <c r="M333" t="n">
        <v>0</v>
      </c>
      <c r="N333" t="n">
        <v>0</v>
      </c>
      <c r="O333" t="n">
        <v>0</v>
      </c>
      <c r="P333" t="n">
        <v>0</v>
      </c>
      <c r="Q333" t="n">
        <v>0</v>
      </c>
      <c r="R333" s="2" t="inlineStr"/>
    </row>
    <row r="334" ht="15" customHeight="1">
      <c r="A334" t="inlineStr">
        <is>
          <t>A 31932-2020</t>
        </is>
      </c>
      <c r="B334" s="1" t="n">
        <v>44014</v>
      </c>
      <c r="C334" s="1" t="n">
        <v>45474</v>
      </c>
      <c r="D334" t="inlineStr">
        <is>
          <t>UPPSALA LÄN</t>
        </is>
      </c>
      <c r="E334" t="inlineStr">
        <is>
          <t>UPPSALA</t>
        </is>
      </c>
      <c r="G334" t="n">
        <v>5.6</v>
      </c>
      <c r="H334" t="n">
        <v>0</v>
      </c>
      <c r="I334" t="n">
        <v>0</v>
      </c>
      <c r="J334" t="n">
        <v>0</v>
      </c>
      <c r="K334" t="n">
        <v>0</v>
      </c>
      <c r="L334" t="n">
        <v>0</v>
      </c>
      <c r="M334" t="n">
        <v>0</v>
      </c>
      <c r="N334" t="n">
        <v>0</v>
      </c>
      <c r="O334" t="n">
        <v>0</v>
      </c>
      <c r="P334" t="n">
        <v>0</v>
      </c>
      <c r="Q334" t="n">
        <v>0</v>
      </c>
      <c r="R334" s="2" t="inlineStr"/>
    </row>
    <row r="335" ht="15" customHeight="1">
      <c r="A335" t="inlineStr">
        <is>
          <t>A 32235-2020</t>
        </is>
      </c>
      <c r="B335" s="1" t="n">
        <v>44015</v>
      </c>
      <c r="C335" s="1" t="n">
        <v>45474</v>
      </c>
      <c r="D335" t="inlineStr">
        <is>
          <t>UPPSALA LÄN</t>
        </is>
      </c>
      <c r="E335" t="inlineStr">
        <is>
          <t>UPPSALA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32340-2020</t>
        </is>
      </c>
      <c r="B336" s="1" t="n">
        <v>44016</v>
      </c>
      <c r="C336" s="1" t="n">
        <v>45474</v>
      </c>
      <c r="D336" t="inlineStr">
        <is>
          <t>UPPSALA LÄN</t>
        </is>
      </c>
      <c r="E336" t="inlineStr">
        <is>
          <t>UPPSALA</t>
        </is>
      </c>
      <c r="F336" t="inlineStr">
        <is>
          <t>Bergvik skog öst AB</t>
        </is>
      </c>
      <c r="G336" t="n">
        <v>1.2</v>
      </c>
      <c r="H336" t="n">
        <v>0</v>
      </c>
      <c r="I336" t="n">
        <v>0</v>
      </c>
      <c r="J336" t="n">
        <v>0</v>
      </c>
      <c r="K336" t="n">
        <v>0</v>
      </c>
      <c r="L336" t="n">
        <v>0</v>
      </c>
      <c r="M336" t="n">
        <v>0</v>
      </c>
      <c r="N336" t="n">
        <v>0</v>
      </c>
      <c r="O336" t="n">
        <v>0</v>
      </c>
      <c r="P336" t="n">
        <v>0</v>
      </c>
      <c r="Q336" t="n">
        <v>0</v>
      </c>
      <c r="R336" s="2" t="inlineStr"/>
    </row>
    <row r="337" ht="15" customHeight="1">
      <c r="A337" t="inlineStr">
        <is>
          <t>A 32608-2020</t>
        </is>
      </c>
      <c r="B337" s="1" t="n">
        <v>44019</v>
      </c>
      <c r="C337" s="1" t="n">
        <v>45474</v>
      </c>
      <c r="D337" t="inlineStr">
        <is>
          <t>UPPSALA LÄN</t>
        </is>
      </c>
      <c r="E337" t="inlineStr">
        <is>
          <t>UPPSALA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33658-2020</t>
        </is>
      </c>
      <c r="B338" s="1" t="n">
        <v>44026</v>
      </c>
      <c r="C338" s="1" t="n">
        <v>45474</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34205-2020</t>
        </is>
      </c>
      <c r="B339" s="1" t="n">
        <v>44029</v>
      </c>
      <c r="C339" s="1" t="n">
        <v>45474</v>
      </c>
      <c r="D339" t="inlineStr">
        <is>
          <t>UPPSALA LÄN</t>
        </is>
      </c>
      <c r="E339" t="inlineStr">
        <is>
          <t>UPPSALA</t>
        </is>
      </c>
      <c r="G339" t="n">
        <v>0.8</v>
      </c>
      <c r="H339" t="n">
        <v>0</v>
      </c>
      <c r="I339" t="n">
        <v>0</v>
      </c>
      <c r="J339" t="n">
        <v>0</v>
      </c>
      <c r="K339" t="n">
        <v>0</v>
      </c>
      <c r="L339" t="n">
        <v>0</v>
      </c>
      <c r="M339" t="n">
        <v>0</v>
      </c>
      <c r="N339" t="n">
        <v>0</v>
      </c>
      <c r="O339" t="n">
        <v>0</v>
      </c>
      <c r="P339" t="n">
        <v>0</v>
      </c>
      <c r="Q339" t="n">
        <v>0</v>
      </c>
      <c r="R339" s="2" t="inlineStr"/>
    </row>
    <row r="340" ht="15" customHeight="1">
      <c r="A340" t="inlineStr">
        <is>
          <t>A 34565-2020</t>
        </is>
      </c>
      <c r="B340" s="1" t="n">
        <v>44033</v>
      </c>
      <c r="C340" s="1" t="n">
        <v>45474</v>
      </c>
      <c r="D340" t="inlineStr">
        <is>
          <t>UPPSALA LÄN</t>
        </is>
      </c>
      <c r="E340" t="inlineStr">
        <is>
          <t>UPPSALA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34753-2020</t>
        </is>
      </c>
      <c r="B341" s="1" t="n">
        <v>44035</v>
      </c>
      <c r="C341" s="1" t="n">
        <v>45474</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34749-2020</t>
        </is>
      </c>
      <c r="B342" s="1" t="n">
        <v>44035</v>
      </c>
      <c r="C342" s="1" t="n">
        <v>45474</v>
      </c>
      <c r="D342" t="inlineStr">
        <is>
          <t>UPPSALA LÄN</t>
        </is>
      </c>
      <c r="E342" t="inlineStr">
        <is>
          <t>UPPSALA</t>
        </is>
      </c>
      <c r="G342" t="n">
        <v>5.5</v>
      </c>
      <c r="H342" t="n">
        <v>0</v>
      </c>
      <c r="I342" t="n">
        <v>0</v>
      </c>
      <c r="J342" t="n">
        <v>0</v>
      </c>
      <c r="K342" t="n">
        <v>0</v>
      </c>
      <c r="L342" t="n">
        <v>0</v>
      </c>
      <c r="M342" t="n">
        <v>0</v>
      </c>
      <c r="N342" t="n">
        <v>0</v>
      </c>
      <c r="O342" t="n">
        <v>0</v>
      </c>
      <c r="P342" t="n">
        <v>0</v>
      </c>
      <c r="Q342" t="n">
        <v>0</v>
      </c>
      <c r="R342" s="2" t="inlineStr"/>
    </row>
    <row r="343" ht="15" customHeight="1">
      <c r="A343" t="inlineStr">
        <is>
          <t>A 35281-2020</t>
        </is>
      </c>
      <c r="B343" s="1" t="n">
        <v>44041</v>
      </c>
      <c r="C343" s="1" t="n">
        <v>45474</v>
      </c>
      <c r="D343" t="inlineStr">
        <is>
          <t>UPPSALA LÄN</t>
        </is>
      </c>
      <c r="E343" t="inlineStr">
        <is>
          <t>UPPSALA</t>
        </is>
      </c>
      <c r="F343" t="inlineStr">
        <is>
          <t>Bergvik skog öst AB</t>
        </is>
      </c>
      <c r="G343" t="n">
        <v>3.1</v>
      </c>
      <c r="H343" t="n">
        <v>0</v>
      </c>
      <c r="I343" t="n">
        <v>0</v>
      </c>
      <c r="J343" t="n">
        <v>0</v>
      </c>
      <c r="K343" t="n">
        <v>0</v>
      </c>
      <c r="L343" t="n">
        <v>0</v>
      </c>
      <c r="M343" t="n">
        <v>0</v>
      </c>
      <c r="N343" t="n">
        <v>0</v>
      </c>
      <c r="O343" t="n">
        <v>0</v>
      </c>
      <c r="P343" t="n">
        <v>0</v>
      </c>
      <c r="Q343" t="n">
        <v>0</v>
      </c>
      <c r="R343" s="2" t="inlineStr"/>
    </row>
    <row r="344" ht="15" customHeight="1">
      <c r="A344" t="inlineStr">
        <is>
          <t>A 36035-2020</t>
        </is>
      </c>
      <c r="B344" s="1" t="n">
        <v>44048</v>
      </c>
      <c r="C344" s="1" t="n">
        <v>45474</v>
      </c>
      <c r="D344" t="inlineStr">
        <is>
          <t>UPPSALA LÄN</t>
        </is>
      </c>
      <c r="E344" t="inlineStr">
        <is>
          <t>UPPSALA</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36202-2020</t>
        </is>
      </c>
      <c r="B345" s="1" t="n">
        <v>44048</v>
      </c>
      <c r="C345" s="1" t="n">
        <v>45474</v>
      </c>
      <c r="D345" t="inlineStr">
        <is>
          <t>UPPSALA LÄN</t>
        </is>
      </c>
      <c r="E345" t="inlineStr">
        <is>
          <t>UPPSALA</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36198-2020</t>
        </is>
      </c>
      <c r="B346" s="1" t="n">
        <v>44048</v>
      </c>
      <c r="C346" s="1" t="n">
        <v>45474</v>
      </c>
      <c r="D346" t="inlineStr">
        <is>
          <t>UPPSALA LÄN</t>
        </is>
      </c>
      <c r="E346" t="inlineStr">
        <is>
          <t>UPPSALA</t>
        </is>
      </c>
      <c r="F346" t="inlineStr">
        <is>
          <t>Bergvik skog öst AB</t>
        </is>
      </c>
      <c r="G346" t="n">
        <v>0.3</v>
      </c>
      <c r="H346" t="n">
        <v>0</v>
      </c>
      <c r="I346" t="n">
        <v>0</v>
      </c>
      <c r="J346" t="n">
        <v>0</v>
      </c>
      <c r="K346" t="n">
        <v>0</v>
      </c>
      <c r="L346" t="n">
        <v>0</v>
      </c>
      <c r="M346" t="n">
        <v>0</v>
      </c>
      <c r="N346" t="n">
        <v>0</v>
      </c>
      <c r="O346" t="n">
        <v>0</v>
      </c>
      <c r="P346" t="n">
        <v>0</v>
      </c>
      <c r="Q346" t="n">
        <v>0</v>
      </c>
      <c r="R346" s="2" t="inlineStr"/>
    </row>
    <row r="347" ht="15" customHeight="1">
      <c r="A347" t="inlineStr">
        <is>
          <t>A 36350-2020</t>
        </is>
      </c>
      <c r="B347" s="1" t="n">
        <v>44049</v>
      </c>
      <c r="C347" s="1" t="n">
        <v>45474</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36512-2020</t>
        </is>
      </c>
      <c r="B348" s="1" t="n">
        <v>44050</v>
      </c>
      <c r="C348" s="1" t="n">
        <v>45474</v>
      </c>
      <c r="D348" t="inlineStr">
        <is>
          <t>UPPSALA LÄN</t>
        </is>
      </c>
      <c r="E348" t="inlineStr">
        <is>
          <t>UPPSALA</t>
        </is>
      </c>
      <c r="G348" t="n">
        <v>5.8</v>
      </c>
      <c r="H348" t="n">
        <v>0</v>
      </c>
      <c r="I348" t="n">
        <v>0</v>
      </c>
      <c r="J348" t="n">
        <v>0</v>
      </c>
      <c r="K348" t="n">
        <v>0</v>
      </c>
      <c r="L348" t="n">
        <v>0</v>
      </c>
      <c r="M348" t="n">
        <v>0</v>
      </c>
      <c r="N348" t="n">
        <v>0</v>
      </c>
      <c r="O348" t="n">
        <v>0</v>
      </c>
      <c r="P348" t="n">
        <v>0</v>
      </c>
      <c r="Q348" t="n">
        <v>0</v>
      </c>
      <c r="R348" s="2" t="inlineStr"/>
    </row>
    <row r="349" ht="15" customHeight="1">
      <c r="A349" t="inlineStr">
        <is>
          <t>A 37276-2020</t>
        </is>
      </c>
      <c r="B349" s="1" t="n">
        <v>44055</v>
      </c>
      <c r="C349" s="1" t="n">
        <v>45474</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37669-2020</t>
        </is>
      </c>
      <c r="B350" s="1" t="n">
        <v>44056</v>
      </c>
      <c r="C350" s="1" t="n">
        <v>45474</v>
      </c>
      <c r="D350" t="inlineStr">
        <is>
          <t>UPPSALA LÄN</t>
        </is>
      </c>
      <c r="E350" t="inlineStr">
        <is>
          <t>UPPSALA</t>
        </is>
      </c>
      <c r="G350" t="n">
        <v>5.1</v>
      </c>
      <c r="H350" t="n">
        <v>0</v>
      </c>
      <c r="I350" t="n">
        <v>0</v>
      </c>
      <c r="J350" t="n">
        <v>0</v>
      </c>
      <c r="K350" t="n">
        <v>0</v>
      </c>
      <c r="L350" t="n">
        <v>0</v>
      </c>
      <c r="M350" t="n">
        <v>0</v>
      </c>
      <c r="N350" t="n">
        <v>0</v>
      </c>
      <c r="O350" t="n">
        <v>0</v>
      </c>
      <c r="P350" t="n">
        <v>0</v>
      </c>
      <c r="Q350" t="n">
        <v>0</v>
      </c>
      <c r="R350" s="2" t="inlineStr"/>
    </row>
    <row r="351" ht="15" customHeight="1">
      <c r="A351" t="inlineStr">
        <is>
          <t>A 39233-2020</t>
        </is>
      </c>
      <c r="B351" s="1" t="n">
        <v>44063</v>
      </c>
      <c r="C351" s="1" t="n">
        <v>45474</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39178-2020</t>
        </is>
      </c>
      <c r="B352" s="1" t="n">
        <v>44063</v>
      </c>
      <c r="C352" s="1" t="n">
        <v>45474</v>
      </c>
      <c r="D352" t="inlineStr">
        <is>
          <t>UPPSALA LÄN</t>
        </is>
      </c>
      <c r="E352" t="inlineStr">
        <is>
          <t>UPPSALA</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39236-2020</t>
        </is>
      </c>
      <c r="B353" s="1" t="n">
        <v>44063</v>
      </c>
      <c r="C353" s="1" t="n">
        <v>45474</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39272-2020</t>
        </is>
      </c>
      <c r="B354" s="1" t="n">
        <v>44063</v>
      </c>
      <c r="C354" s="1" t="n">
        <v>45474</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40894-2020</t>
        </is>
      </c>
      <c r="B355" s="1" t="n">
        <v>44070</v>
      </c>
      <c r="C355" s="1" t="n">
        <v>45474</v>
      </c>
      <c r="D355" t="inlineStr">
        <is>
          <t>UPPSALA LÄN</t>
        </is>
      </c>
      <c r="E355" t="inlineStr">
        <is>
          <t>UPPSALA</t>
        </is>
      </c>
      <c r="G355" t="n">
        <v>7.1</v>
      </c>
      <c r="H355" t="n">
        <v>0</v>
      </c>
      <c r="I355" t="n">
        <v>0</v>
      </c>
      <c r="J355" t="n">
        <v>0</v>
      </c>
      <c r="K355" t="n">
        <v>0</v>
      </c>
      <c r="L355" t="n">
        <v>0</v>
      </c>
      <c r="M355" t="n">
        <v>0</v>
      </c>
      <c r="N355" t="n">
        <v>0</v>
      </c>
      <c r="O355" t="n">
        <v>0</v>
      </c>
      <c r="P355" t="n">
        <v>0</v>
      </c>
      <c r="Q355" t="n">
        <v>0</v>
      </c>
      <c r="R355" s="2" t="inlineStr"/>
    </row>
    <row r="356" ht="15" customHeight="1">
      <c r="A356" t="inlineStr">
        <is>
          <t>A 42341-2020</t>
        </is>
      </c>
      <c r="B356" s="1" t="n">
        <v>44076</v>
      </c>
      <c r="C356" s="1" t="n">
        <v>45474</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43968-2020</t>
        </is>
      </c>
      <c r="B357" s="1" t="n">
        <v>44083</v>
      </c>
      <c r="C357" s="1" t="n">
        <v>45474</v>
      </c>
      <c r="D357" t="inlineStr">
        <is>
          <t>UPPSALA LÄN</t>
        </is>
      </c>
      <c r="E357" t="inlineStr">
        <is>
          <t>UPPSALA</t>
        </is>
      </c>
      <c r="G357" t="n">
        <v>1.3</v>
      </c>
      <c r="H357" t="n">
        <v>0</v>
      </c>
      <c r="I357" t="n">
        <v>0</v>
      </c>
      <c r="J357" t="n">
        <v>0</v>
      </c>
      <c r="K357" t="n">
        <v>0</v>
      </c>
      <c r="L357" t="n">
        <v>0</v>
      </c>
      <c r="M357" t="n">
        <v>0</v>
      </c>
      <c r="N357" t="n">
        <v>0</v>
      </c>
      <c r="O357" t="n">
        <v>0</v>
      </c>
      <c r="P357" t="n">
        <v>0</v>
      </c>
      <c r="Q357" t="n">
        <v>0</v>
      </c>
      <c r="R357" s="2" t="inlineStr"/>
    </row>
    <row r="358" ht="15" customHeight="1">
      <c r="A358" t="inlineStr">
        <is>
          <t>A 45930-2020</t>
        </is>
      </c>
      <c r="B358" s="1" t="n">
        <v>44091</v>
      </c>
      <c r="C358" s="1" t="n">
        <v>45474</v>
      </c>
      <c r="D358" t="inlineStr">
        <is>
          <t>UPPSALA LÄN</t>
        </is>
      </c>
      <c r="E358" t="inlineStr">
        <is>
          <t>UPPSALA</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46633-2020</t>
        </is>
      </c>
      <c r="B359" s="1" t="n">
        <v>44095</v>
      </c>
      <c r="C359" s="1" t="n">
        <v>45474</v>
      </c>
      <c r="D359" t="inlineStr">
        <is>
          <t>UPPSALA LÄN</t>
        </is>
      </c>
      <c r="E359" t="inlineStr">
        <is>
          <t>UPPSALA</t>
        </is>
      </c>
      <c r="G359" t="n">
        <v>4.2</v>
      </c>
      <c r="H359" t="n">
        <v>0</v>
      </c>
      <c r="I359" t="n">
        <v>0</v>
      </c>
      <c r="J359" t="n">
        <v>0</v>
      </c>
      <c r="K359" t="n">
        <v>0</v>
      </c>
      <c r="L359" t="n">
        <v>0</v>
      </c>
      <c r="M359" t="n">
        <v>0</v>
      </c>
      <c r="N359" t="n">
        <v>0</v>
      </c>
      <c r="O359" t="n">
        <v>0</v>
      </c>
      <c r="P359" t="n">
        <v>0</v>
      </c>
      <c r="Q359" t="n">
        <v>0</v>
      </c>
      <c r="R359" s="2" t="inlineStr"/>
    </row>
    <row r="360" ht="15" customHeight="1">
      <c r="A360" t="inlineStr">
        <is>
          <t>A 46647-2020</t>
        </is>
      </c>
      <c r="B360" s="1" t="n">
        <v>44095</v>
      </c>
      <c r="C360" s="1" t="n">
        <v>45474</v>
      </c>
      <c r="D360" t="inlineStr">
        <is>
          <t>UPPSALA LÄN</t>
        </is>
      </c>
      <c r="E360" t="inlineStr">
        <is>
          <t>UPPSALA</t>
        </is>
      </c>
      <c r="G360" t="n">
        <v>1.3</v>
      </c>
      <c r="H360" t="n">
        <v>0</v>
      </c>
      <c r="I360" t="n">
        <v>0</v>
      </c>
      <c r="J360" t="n">
        <v>0</v>
      </c>
      <c r="K360" t="n">
        <v>0</v>
      </c>
      <c r="L360" t="n">
        <v>0</v>
      </c>
      <c r="M360" t="n">
        <v>0</v>
      </c>
      <c r="N360" t="n">
        <v>0</v>
      </c>
      <c r="O360" t="n">
        <v>0</v>
      </c>
      <c r="P360" t="n">
        <v>0</v>
      </c>
      <c r="Q360" t="n">
        <v>0</v>
      </c>
      <c r="R360" s="2" t="inlineStr"/>
    </row>
    <row r="361" ht="15" customHeight="1">
      <c r="A361" t="inlineStr">
        <is>
          <t>A 48786-2020</t>
        </is>
      </c>
      <c r="B361" s="1" t="n">
        <v>44103</v>
      </c>
      <c r="C361" s="1" t="n">
        <v>45474</v>
      </c>
      <c r="D361" t="inlineStr">
        <is>
          <t>UPPSALA LÄN</t>
        </is>
      </c>
      <c r="E361" t="inlineStr">
        <is>
          <t>UPPSALA</t>
        </is>
      </c>
      <c r="G361" t="n">
        <v>0.4</v>
      </c>
      <c r="H361" t="n">
        <v>0</v>
      </c>
      <c r="I361" t="n">
        <v>0</v>
      </c>
      <c r="J361" t="n">
        <v>0</v>
      </c>
      <c r="K361" t="n">
        <v>0</v>
      </c>
      <c r="L361" t="n">
        <v>0</v>
      </c>
      <c r="M361" t="n">
        <v>0</v>
      </c>
      <c r="N361" t="n">
        <v>0</v>
      </c>
      <c r="O361" t="n">
        <v>0</v>
      </c>
      <c r="P361" t="n">
        <v>0</v>
      </c>
      <c r="Q361" t="n">
        <v>0</v>
      </c>
      <c r="R361" s="2" t="inlineStr"/>
    </row>
    <row r="362" ht="15" customHeight="1">
      <c r="A362" t="inlineStr">
        <is>
          <t>A 49363-2020</t>
        </is>
      </c>
      <c r="B362" s="1" t="n">
        <v>44105</v>
      </c>
      <c r="C362" s="1" t="n">
        <v>45474</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49409-2020</t>
        </is>
      </c>
      <c r="B363" s="1" t="n">
        <v>44105</v>
      </c>
      <c r="C363" s="1" t="n">
        <v>45474</v>
      </c>
      <c r="D363" t="inlineStr">
        <is>
          <t>UPPSALA LÄN</t>
        </is>
      </c>
      <c r="E363" t="inlineStr">
        <is>
          <t>UPPSALA</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49404-2020</t>
        </is>
      </c>
      <c r="B364" s="1" t="n">
        <v>44105</v>
      </c>
      <c r="C364" s="1" t="n">
        <v>45474</v>
      </c>
      <c r="D364" t="inlineStr">
        <is>
          <t>UPPSALA LÄN</t>
        </is>
      </c>
      <c r="E364" t="inlineStr">
        <is>
          <t>UPPSALA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49821-2020</t>
        </is>
      </c>
      <c r="B365" s="1" t="n">
        <v>44106</v>
      </c>
      <c r="C365" s="1" t="n">
        <v>45474</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49931-2020</t>
        </is>
      </c>
      <c r="B366" s="1" t="n">
        <v>44109</v>
      </c>
      <c r="C366" s="1" t="n">
        <v>45474</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52717-2020</t>
        </is>
      </c>
      <c r="B367" s="1" t="n">
        <v>44119</v>
      </c>
      <c r="C367" s="1" t="n">
        <v>45474</v>
      </c>
      <c r="D367" t="inlineStr">
        <is>
          <t>UPPSALA LÄN</t>
        </is>
      </c>
      <c r="E367" t="inlineStr">
        <is>
          <t>UPPSALA</t>
        </is>
      </c>
      <c r="G367" t="n">
        <v>2.8</v>
      </c>
      <c r="H367" t="n">
        <v>0</v>
      </c>
      <c r="I367" t="n">
        <v>0</v>
      </c>
      <c r="J367" t="n">
        <v>0</v>
      </c>
      <c r="K367" t="n">
        <v>0</v>
      </c>
      <c r="L367" t="n">
        <v>0</v>
      </c>
      <c r="M367" t="n">
        <v>0</v>
      </c>
      <c r="N367" t="n">
        <v>0</v>
      </c>
      <c r="O367" t="n">
        <v>0</v>
      </c>
      <c r="P367" t="n">
        <v>0</v>
      </c>
      <c r="Q367" t="n">
        <v>0</v>
      </c>
      <c r="R367" s="2" t="inlineStr"/>
    </row>
    <row r="368" ht="15" customHeight="1">
      <c r="A368" t="inlineStr">
        <is>
          <t>A 53346-2020</t>
        </is>
      </c>
      <c r="B368" s="1" t="n">
        <v>44123</v>
      </c>
      <c r="C368" s="1" t="n">
        <v>45474</v>
      </c>
      <c r="D368" t="inlineStr">
        <is>
          <t>UPPSALA LÄN</t>
        </is>
      </c>
      <c r="E368" t="inlineStr">
        <is>
          <t>UPPSALA</t>
        </is>
      </c>
      <c r="G368" t="n">
        <v>1.4</v>
      </c>
      <c r="H368" t="n">
        <v>0</v>
      </c>
      <c r="I368" t="n">
        <v>0</v>
      </c>
      <c r="J368" t="n">
        <v>0</v>
      </c>
      <c r="K368" t="n">
        <v>0</v>
      </c>
      <c r="L368" t="n">
        <v>0</v>
      </c>
      <c r="M368" t="n">
        <v>0</v>
      </c>
      <c r="N368" t="n">
        <v>0</v>
      </c>
      <c r="O368" t="n">
        <v>0</v>
      </c>
      <c r="P368" t="n">
        <v>0</v>
      </c>
      <c r="Q368" t="n">
        <v>0</v>
      </c>
      <c r="R368" s="2" t="inlineStr"/>
    </row>
    <row r="369" ht="15" customHeight="1">
      <c r="A369" t="inlineStr">
        <is>
          <t>A 53379-2020</t>
        </is>
      </c>
      <c r="B369" s="1" t="n">
        <v>44123</v>
      </c>
      <c r="C369" s="1" t="n">
        <v>45474</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54742-2020</t>
        </is>
      </c>
      <c r="B370" s="1" t="n">
        <v>44126</v>
      </c>
      <c r="C370" s="1" t="n">
        <v>45474</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55220-2020</t>
        </is>
      </c>
      <c r="B371" s="1" t="n">
        <v>44130</v>
      </c>
      <c r="C371" s="1" t="n">
        <v>45474</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55953-2020</t>
        </is>
      </c>
      <c r="B372" s="1" t="n">
        <v>44131</v>
      </c>
      <c r="C372" s="1" t="n">
        <v>45474</v>
      </c>
      <c r="D372" t="inlineStr">
        <is>
          <t>UPPSALA LÄN</t>
        </is>
      </c>
      <c r="E372" t="inlineStr">
        <is>
          <t>UPPSALA</t>
        </is>
      </c>
      <c r="F372" t="inlineStr">
        <is>
          <t>Allmännings- och besparingsskogar</t>
        </is>
      </c>
      <c r="G372" t="n">
        <v>74.40000000000001</v>
      </c>
      <c r="H372" t="n">
        <v>0</v>
      </c>
      <c r="I372" t="n">
        <v>0</v>
      </c>
      <c r="J372" t="n">
        <v>0</v>
      </c>
      <c r="K372" t="n">
        <v>0</v>
      </c>
      <c r="L372" t="n">
        <v>0</v>
      </c>
      <c r="M372" t="n">
        <v>0</v>
      </c>
      <c r="N372" t="n">
        <v>0</v>
      </c>
      <c r="O372" t="n">
        <v>0</v>
      </c>
      <c r="P372" t="n">
        <v>0</v>
      </c>
      <c r="Q372" t="n">
        <v>0</v>
      </c>
      <c r="R372" s="2" t="inlineStr"/>
    </row>
    <row r="373" ht="15" customHeight="1">
      <c r="A373" t="inlineStr">
        <is>
          <t>A 56097-2020</t>
        </is>
      </c>
      <c r="B373" s="1" t="n">
        <v>44131</v>
      </c>
      <c r="C373" s="1" t="n">
        <v>45474</v>
      </c>
      <c r="D373" t="inlineStr">
        <is>
          <t>UPPSALA LÄN</t>
        </is>
      </c>
      <c r="E373" t="inlineStr">
        <is>
          <t>UPPSALA</t>
        </is>
      </c>
      <c r="F373" t="inlineStr">
        <is>
          <t>Allmännings- och besparingsskogar</t>
        </is>
      </c>
      <c r="G373" t="n">
        <v>10.6</v>
      </c>
      <c r="H373" t="n">
        <v>0</v>
      </c>
      <c r="I373" t="n">
        <v>0</v>
      </c>
      <c r="J373" t="n">
        <v>0</v>
      </c>
      <c r="K373" t="n">
        <v>0</v>
      </c>
      <c r="L373" t="n">
        <v>0</v>
      </c>
      <c r="M373" t="n">
        <v>0</v>
      </c>
      <c r="N373" t="n">
        <v>0</v>
      </c>
      <c r="O373" t="n">
        <v>0</v>
      </c>
      <c r="P373" t="n">
        <v>0</v>
      </c>
      <c r="Q373" t="n">
        <v>0</v>
      </c>
      <c r="R373" s="2" t="inlineStr"/>
    </row>
    <row r="374" ht="15" customHeight="1">
      <c r="A374" t="inlineStr">
        <is>
          <t>A 56466-2020</t>
        </is>
      </c>
      <c r="B374" s="1" t="n">
        <v>44134</v>
      </c>
      <c r="C374" s="1" t="n">
        <v>45474</v>
      </c>
      <c r="D374" t="inlineStr">
        <is>
          <t>UPPSALA LÄN</t>
        </is>
      </c>
      <c r="E374" t="inlineStr">
        <is>
          <t>UPPSALA</t>
        </is>
      </c>
      <c r="F374" t="inlineStr">
        <is>
          <t>Övriga Aktiebolag</t>
        </is>
      </c>
      <c r="G374" t="n">
        <v>3.3</v>
      </c>
      <c r="H374" t="n">
        <v>0</v>
      </c>
      <c r="I374" t="n">
        <v>0</v>
      </c>
      <c r="J374" t="n">
        <v>0</v>
      </c>
      <c r="K374" t="n">
        <v>0</v>
      </c>
      <c r="L374" t="n">
        <v>0</v>
      </c>
      <c r="M374" t="n">
        <v>0</v>
      </c>
      <c r="N374" t="n">
        <v>0</v>
      </c>
      <c r="O374" t="n">
        <v>0</v>
      </c>
      <c r="P374" t="n">
        <v>0</v>
      </c>
      <c r="Q374" t="n">
        <v>0</v>
      </c>
      <c r="R374" s="2" t="inlineStr"/>
    </row>
    <row r="375" ht="15" customHeight="1">
      <c r="A375" t="inlineStr">
        <is>
          <t>A 57041-2020</t>
        </is>
      </c>
      <c r="B375" s="1" t="n">
        <v>44137</v>
      </c>
      <c r="C375" s="1" t="n">
        <v>45474</v>
      </c>
      <c r="D375" t="inlineStr">
        <is>
          <t>UPPSALA LÄN</t>
        </is>
      </c>
      <c r="E375" t="inlineStr">
        <is>
          <t>UPPSALA</t>
        </is>
      </c>
      <c r="G375" t="n">
        <v>0.7</v>
      </c>
      <c r="H375" t="n">
        <v>0</v>
      </c>
      <c r="I375" t="n">
        <v>0</v>
      </c>
      <c r="J375" t="n">
        <v>0</v>
      </c>
      <c r="K375" t="n">
        <v>0</v>
      </c>
      <c r="L375" t="n">
        <v>0</v>
      </c>
      <c r="M375" t="n">
        <v>0</v>
      </c>
      <c r="N375" t="n">
        <v>0</v>
      </c>
      <c r="O375" t="n">
        <v>0</v>
      </c>
      <c r="P375" t="n">
        <v>0</v>
      </c>
      <c r="Q375" t="n">
        <v>0</v>
      </c>
      <c r="R375" s="2" t="inlineStr"/>
    </row>
    <row r="376" ht="15" customHeight="1">
      <c r="A376" t="inlineStr">
        <is>
          <t>A 57271-2020</t>
        </is>
      </c>
      <c r="B376" s="1" t="n">
        <v>44139</v>
      </c>
      <c r="C376" s="1" t="n">
        <v>45474</v>
      </c>
      <c r="D376" t="inlineStr">
        <is>
          <t>UPPSALA LÄN</t>
        </is>
      </c>
      <c r="E376" t="inlineStr">
        <is>
          <t>UPPSALA</t>
        </is>
      </c>
      <c r="G376" t="n">
        <v>3.8</v>
      </c>
      <c r="H376" t="n">
        <v>0</v>
      </c>
      <c r="I376" t="n">
        <v>0</v>
      </c>
      <c r="J376" t="n">
        <v>0</v>
      </c>
      <c r="K376" t="n">
        <v>0</v>
      </c>
      <c r="L376" t="n">
        <v>0</v>
      </c>
      <c r="M376" t="n">
        <v>0</v>
      </c>
      <c r="N376" t="n">
        <v>0</v>
      </c>
      <c r="O376" t="n">
        <v>0</v>
      </c>
      <c r="P376" t="n">
        <v>0</v>
      </c>
      <c r="Q376" t="n">
        <v>0</v>
      </c>
      <c r="R376" s="2" t="inlineStr"/>
    </row>
    <row r="377" ht="15" customHeight="1">
      <c r="A377" t="inlineStr">
        <is>
          <t>A 57451-2020</t>
        </is>
      </c>
      <c r="B377" s="1" t="n">
        <v>44139</v>
      </c>
      <c r="C377" s="1" t="n">
        <v>45474</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57466-2020</t>
        </is>
      </c>
      <c r="B378" s="1" t="n">
        <v>44139</v>
      </c>
      <c r="C378" s="1" t="n">
        <v>45474</v>
      </c>
      <c r="D378" t="inlineStr">
        <is>
          <t>UPPSALA LÄN</t>
        </is>
      </c>
      <c r="E378" t="inlineStr">
        <is>
          <t>UPPSALA</t>
        </is>
      </c>
      <c r="G378" t="n">
        <v>2.5</v>
      </c>
      <c r="H378" t="n">
        <v>0</v>
      </c>
      <c r="I378" t="n">
        <v>0</v>
      </c>
      <c r="J378" t="n">
        <v>0</v>
      </c>
      <c r="K378" t="n">
        <v>0</v>
      </c>
      <c r="L378" t="n">
        <v>0</v>
      </c>
      <c r="M378" t="n">
        <v>0</v>
      </c>
      <c r="N378" t="n">
        <v>0</v>
      </c>
      <c r="O378" t="n">
        <v>0</v>
      </c>
      <c r="P378" t="n">
        <v>0</v>
      </c>
      <c r="Q378" t="n">
        <v>0</v>
      </c>
      <c r="R378" s="2" t="inlineStr"/>
    </row>
    <row r="379" ht="15" customHeight="1">
      <c r="A379" t="inlineStr">
        <is>
          <t>A 58070-2020</t>
        </is>
      </c>
      <c r="B379" s="1" t="n">
        <v>44140</v>
      </c>
      <c r="C379" s="1" t="n">
        <v>45474</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58058-2020</t>
        </is>
      </c>
      <c r="B380" s="1" t="n">
        <v>44144</v>
      </c>
      <c r="C380" s="1" t="n">
        <v>45474</v>
      </c>
      <c r="D380" t="inlineStr">
        <is>
          <t>UPPSALA LÄN</t>
        </is>
      </c>
      <c r="E380" t="inlineStr">
        <is>
          <t>UPPSALA</t>
        </is>
      </c>
      <c r="G380" t="n">
        <v>4.4</v>
      </c>
      <c r="H380" t="n">
        <v>0</v>
      </c>
      <c r="I380" t="n">
        <v>0</v>
      </c>
      <c r="J380" t="n">
        <v>0</v>
      </c>
      <c r="K380" t="n">
        <v>0</v>
      </c>
      <c r="L380" t="n">
        <v>0</v>
      </c>
      <c r="M380" t="n">
        <v>0</v>
      </c>
      <c r="N380" t="n">
        <v>0</v>
      </c>
      <c r="O380" t="n">
        <v>0</v>
      </c>
      <c r="P380" t="n">
        <v>0</v>
      </c>
      <c r="Q380" t="n">
        <v>0</v>
      </c>
      <c r="R380" s="2" t="inlineStr"/>
    </row>
    <row r="381" ht="15" customHeight="1">
      <c r="A381" t="inlineStr">
        <is>
          <t>A 58056-2020</t>
        </is>
      </c>
      <c r="B381" s="1" t="n">
        <v>44144</v>
      </c>
      <c r="C381" s="1" t="n">
        <v>45474</v>
      </c>
      <c r="D381" t="inlineStr">
        <is>
          <t>UPPSALA LÄN</t>
        </is>
      </c>
      <c r="E381" t="inlineStr">
        <is>
          <t>UPPSALA</t>
        </is>
      </c>
      <c r="G381" t="n">
        <v>5.5</v>
      </c>
      <c r="H381" t="n">
        <v>0</v>
      </c>
      <c r="I381" t="n">
        <v>0</v>
      </c>
      <c r="J381" t="n">
        <v>0</v>
      </c>
      <c r="K381" t="n">
        <v>0</v>
      </c>
      <c r="L381" t="n">
        <v>0</v>
      </c>
      <c r="M381" t="n">
        <v>0</v>
      </c>
      <c r="N381" t="n">
        <v>0</v>
      </c>
      <c r="O381" t="n">
        <v>0</v>
      </c>
      <c r="P381" t="n">
        <v>0</v>
      </c>
      <c r="Q381" t="n">
        <v>0</v>
      </c>
      <c r="R381" s="2" t="inlineStr"/>
    </row>
    <row r="382" ht="15" customHeight="1">
      <c r="A382" t="inlineStr">
        <is>
          <t>A 58288-2020</t>
        </is>
      </c>
      <c r="B382" s="1" t="n">
        <v>44144</v>
      </c>
      <c r="C382" s="1" t="n">
        <v>45474</v>
      </c>
      <c r="D382" t="inlineStr">
        <is>
          <t>UPPSALA LÄN</t>
        </is>
      </c>
      <c r="E382" t="inlineStr">
        <is>
          <t>UPPSALA</t>
        </is>
      </c>
      <c r="G382" t="n">
        <v>0.3</v>
      </c>
      <c r="H382" t="n">
        <v>0</v>
      </c>
      <c r="I382" t="n">
        <v>0</v>
      </c>
      <c r="J382" t="n">
        <v>0</v>
      </c>
      <c r="K382" t="n">
        <v>0</v>
      </c>
      <c r="L382" t="n">
        <v>0</v>
      </c>
      <c r="M382" t="n">
        <v>0</v>
      </c>
      <c r="N382" t="n">
        <v>0</v>
      </c>
      <c r="O382" t="n">
        <v>0</v>
      </c>
      <c r="P382" t="n">
        <v>0</v>
      </c>
      <c r="Q382" t="n">
        <v>0</v>
      </c>
      <c r="R382" s="2" t="inlineStr"/>
    </row>
    <row r="383" ht="15" customHeight="1">
      <c r="A383" t="inlineStr">
        <is>
          <t>A 58928-2020</t>
        </is>
      </c>
      <c r="B383" s="1" t="n">
        <v>44146</v>
      </c>
      <c r="C383" s="1" t="n">
        <v>45474</v>
      </c>
      <c r="D383" t="inlineStr">
        <is>
          <t>UPPSALA LÄN</t>
        </is>
      </c>
      <c r="E383" t="inlineStr">
        <is>
          <t>UPPSALA</t>
        </is>
      </c>
      <c r="G383" t="n">
        <v>10.6</v>
      </c>
      <c r="H383" t="n">
        <v>0</v>
      </c>
      <c r="I383" t="n">
        <v>0</v>
      </c>
      <c r="J383" t="n">
        <v>0</v>
      </c>
      <c r="K383" t="n">
        <v>0</v>
      </c>
      <c r="L383" t="n">
        <v>0</v>
      </c>
      <c r="M383" t="n">
        <v>0</v>
      </c>
      <c r="N383" t="n">
        <v>0</v>
      </c>
      <c r="O383" t="n">
        <v>0</v>
      </c>
      <c r="P383" t="n">
        <v>0</v>
      </c>
      <c r="Q383" t="n">
        <v>0</v>
      </c>
      <c r="R383" s="2" t="inlineStr"/>
    </row>
    <row r="384" ht="15" customHeight="1">
      <c r="A384" t="inlineStr">
        <is>
          <t>A 59952-2020</t>
        </is>
      </c>
      <c r="B384" s="1" t="n">
        <v>44151</v>
      </c>
      <c r="C384" s="1" t="n">
        <v>45474</v>
      </c>
      <c r="D384" t="inlineStr">
        <is>
          <t>UPPSALA LÄN</t>
        </is>
      </c>
      <c r="E384" t="inlineStr">
        <is>
          <t>UPPSALA</t>
        </is>
      </c>
      <c r="G384" t="n">
        <v>25.8</v>
      </c>
      <c r="H384" t="n">
        <v>0</v>
      </c>
      <c r="I384" t="n">
        <v>0</v>
      </c>
      <c r="J384" t="n">
        <v>0</v>
      </c>
      <c r="K384" t="n">
        <v>0</v>
      </c>
      <c r="L384" t="n">
        <v>0</v>
      </c>
      <c r="M384" t="n">
        <v>0</v>
      </c>
      <c r="N384" t="n">
        <v>0</v>
      </c>
      <c r="O384" t="n">
        <v>0</v>
      </c>
      <c r="P384" t="n">
        <v>0</v>
      </c>
      <c r="Q384" t="n">
        <v>0</v>
      </c>
      <c r="R384" s="2" t="inlineStr"/>
    </row>
    <row r="385" ht="15" customHeight="1">
      <c r="A385" t="inlineStr">
        <is>
          <t>A 60702-2020</t>
        </is>
      </c>
      <c r="B385" s="1" t="n">
        <v>44153</v>
      </c>
      <c r="C385" s="1" t="n">
        <v>45474</v>
      </c>
      <c r="D385" t="inlineStr">
        <is>
          <t>UPPSALA LÄN</t>
        </is>
      </c>
      <c r="E385" t="inlineStr">
        <is>
          <t>UPPSALA</t>
        </is>
      </c>
      <c r="F385" t="inlineStr">
        <is>
          <t>Övriga statliga verk och myndigheter</t>
        </is>
      </c>
      <c r="G385" t="n">
        <v>1.4</v>
      </c>
      <c r="H385" t="n">
        <v>0</v>
      </c>
      <c r="I385" t="n">
        <v>0</v>
      </c>
      <c r="J385" t="n">
        <v>0</v>
      </c>
      <c r="K385" t="n">
        <v>0</v>
      </c>
      <c r="L385" t="n">
        <v>0</v>
      </c>
      <c r="M385" t="n">
        <v>0</v>
      </c>
      <c r="N385" t="n">
        <v>0</v>
      </c>
      <c r="O385" t="n">
        <v>0</v>
      </c>
      <c r="P385" t="n">
        <v>0</v>
      </c>
      <c r="Q385" t="n">
        <v>0</v>
      </c>
      <c r="R385" s="2" t="inlineStr"/>
    </row>
    <row r="386" ht="15" customHeight="1">
      <c r="A386" t="inlineStr">
        <is>
          <t>A 61265-2020</t>
        </is>
      </c>
      <c r="B386" s="1" t="n">
        <v>44155</v>
      </c>
      <c r="C386" s="1" t="n">
        <v>45474</v>
      </c>
      <c r="D386" t="inlineStr">
        <is>
          <t>UPPSALA LÄN</t>
        </is>
      </c>
      <c r="E386" t="inlineStr">
        <is>
          <t>UPPSALA</t>
        </is>
      </c>
      <c r="G386" t="n">
        <v>4.7</v>
      </c>
      <c r="H386" t="n">
        <v>0</v>
      </c>
      <c r="I386" t="n">
        <v>0</v>
      </c>
      <c r="J386" t="n">
        <v>0</v>
      </c>
      <c r="K386" t="n">
        <v>0</v>
      </c>
      <c r="L386" t="n">
        <v>0</v>
      </c>
      <c r="M386" t="n">
        <v>0</v>
      </c>
      <c r="N386" t="n">
        <v>0</v>
      </c>
      <c r="O386" t="n">
        <v>0</v>
      </c>
      <c r="P386" t="n">
        <v>0</v>
      </c>
      <c r="Q386" t="n">
        <v>0</v>
      </c>
      <c r="R386" s="2" t="inlineStr"/>
    </row>
    <row r="387" ht="15" customHeight="1">
      <c r="A387" t="inlineStr">
        <is>
          <t>A 61271-2020</t>
        </is>
      </c>
      <c r="B387" s="1" t="n">
        <v>44155</v>
      </c>
      <c r="C387" s="1" t="n">
        <v>45474</v>
      </c>
      <c r="D387" t="inlineStr">
        <is>
          <t>UPPSALA LÄN</t>
        </is>
      </c>
      <c r="E387" t="inlineStr">
        <is>
          <t>UPPSALA</t>
        </is>
      </c>
      <c r="G387" t="n">
        <v>3.5</v>
      </c>
      <c r="H387" t="n">
        <v>0</v>
      </c>
      <c r="I387" t="n">
        <v>0</v>
      </c>
      <c r="J387" t="n">
        <v>0</v>
      </c>
      <c r="K387" t="n">
        <v>0</v>
      </c>
      <c r="L387" t="n">
        <v>0</v>
      </c>
      <c r="M387" t="n">
        <v>0</v>
      </c>
      <c r="N387" t="n">
        <v>0</v>
      </c>
      <c r="O387" t="n">
        <v>0</v>
      </c>
      <c r="P387" t="n">
        <v>0</v>
      </c>
      <c r="Q387" t="n">
        <v>0</v>
      </c>
      <c r="R387" s="2" t="inlineStr"/>
    </row>
    <row r="388" ht="15" customHeight="1">
      <c r="A388" t="inlineStr">
        <is>
          <t>A 62094-2020</t>
        </is>
      </c>
      <c r="B388" s="1" t="n">
        <v>44159</v>
      </c>
      <c r="C388" s="1" t="n">
        <v>45474</v>
      </c>
      <c r="D388" t="inlineStr">
        <is>
          <t>UPPSALA LÄN</t>
        </is>
      </c>
      <c r="E388" t="inlineStr">
        <is>
          <t>UPPSALA</t>
        </is>
      </c>
      <c r="F388" t="inlineStr">
        <is>
          <t>Bergvik skog öst AB</t>
        </is>
      </c>
      <c r="G388" t="n">
        <v>3.4</v>
      </c>
      <c r="H388" t="n">
        <v>0</v>
      </c>
      <c r="I388" t="n">
        <v>0</v>
      </c>
      <c r="J388" t="n">
        <v>0</v>
      </c>
      <c r="K388" t="n">
        <v>0</v>
      </c>
      <c r="L388" t="n">
        <v>0</v>
      </c>
      <c r="M388" t="n">
        <v>0</v>
      </c>
      <c r="N388" t="n">
        <v>0</v>
      </c>
      <c r="O388" t="n">
        <v>0</v>
      </c>
      <c r="P388" t="n">
        <v>0</v>
      </c>
      <c r="Q388" t="n">
        <v>0</v>
      </c>
      <c r="R388" s="2" t="inlineStr"/>
    </row>
    <row r="389" ht="15" customHeight="1">
      <c r="A389" t="inlineStr">
        <is>
          <t>A 62352-2020</t>
        </is>
      </c>
      <c r="B389" s="1" t="n">
        <v>44159</v>
      </c>
      <c r="C389" s="1" t="n">
        <v>45474</v>
      </c>
      <c r="D389" t="inlineStr">
        <is>
          <t>UPPSALA LÄN</t>
        </is>
      </c>
      <c r="E389" t="inlineStr">
        <is>
          <t>UPPSALA</t>
        </is>
      </c>
      <c r="F389" t="inlineStr">
        <is>
          <t>Allmännings- och besparingsskogar</t>
        </is>
      </c>
      <c r="G389" t="n">
        <v>12.9</v>
      </c>
      <c r="H389" t="n">
        <v>0</v>
      </c>
      <c r="I389" t="n">
        <v>0</v>
      </c>
      <c r="J389" t="n">
        <v>0</v>
      </c>
      <c r="K389" t="n">
        <v>0</v>
      </c>
      <c r="L389" t="n">
        <v>0</v>
      </c>
      <c r="M389" t="n">
        <v>0</v>
      </c>
      <c r="N389" t="n">
        <v>0</v>
      </c>
      <c r="O389" t="n">
        <v>0</v>
      </c>
      <c r="P389" t="n">
        <v>0</v>
      </c>
      <c r="Q389" t="n">
        <v>0</v>
      </c>
      <c r="R389" s="2" t="inlineStr"/>
    </row>
    <row r="390" ht="15" customHeight="1">
      <c r="A390" t="inlineStr">
        <is>
          <t>A 62504-2020</t>
        </is>
      </c>
      <c r="B390" s="1" t="n">
        <v>44160</v>
      </c>
      <c r="C390" s="1" t="n">
        <v>45474</v>
      </c>
      <c r="D390" t="inlineStr">
        <is>
          <t>UPPSALA LÄN</t>
        </is>
      </c>
      <c r="E390" t="inlineStr">
        <is>
          <t>UPPSALA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62729-2020</t>
        </is>
      </c>
      <c r="B391" s="1" t="n">
        <v>44161</v>
      </c>
      <c r="C391" s="1" t="n">
        <v>45474</v>
      </c>
      <c r="D391" t="inlineStr">
        <is>
          <t>UPPSALA LÄN</t>
        </is>
      </c>
      <c r="E391" t="inlineStr">
        <is>
          <t>UPPSALA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62655-2020</t>
        </is>
      </c>
      <c r="B392" s="1" t="n">
        <v>44161</v>
      </c>
      <c r="C392" s="1" t="n">
        <v>45474</v>
      </c>
      <c r="D392" t="inlineStr">
        <is>
          <t>UPPSALA LÄN</t>
        </is>
      </c>
      <c r="E392" t="inlineStr">
        <is>
          <t>UPPSALA</t>
        </is>
      </c>
      <c r="F392" t="inlineStr">
        <is>
          <t>Holmen skog AB</t>
        </is>
      </c>
      <c r="G392" t="n">
        <v>2.7</v>
      </c>
      <c r="H392" t="n">
        <v>0</v>
      </c>
      <c r="I392" t="n">
        <v>0</v>
      </c>
      <c r="J392" t="n">
        <v>0</v>
      </c>
      <c r="K392" t="n">
        <v>0</v>
      </c>
      <c r="L392" t="n">
        <v>0</v>
      </c>
      <c r="M392" t="n">
        <v>0</v>
      </c>
      <c r="N392" t="n">
        <v>0</v>
      </c>
      <c r="O392" t="n">
        <v>0</v>
      </c>
      <c r="P392" t="n">
        <v>0</v>
      </c>
      <c r="Q392" t="n">
        <v>0</v>
      </c>
      <c r="R392" s="2" t="inlineStr"/>
    </row>
    <row r="393" ht="15" customHeight="1">
      <c r="A393" t="inlineStr">
        <is>
          <t>A 63145-2020</t>
        </is>
      </c>
      <c r="B393" s="1" t="n">
        <v>44162</v>
      </c>
      <c r="C393" s="1" t="n">
        <v>45474</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63529-2020</t>
        </is>
      </c>
      <c r="B394" s="1" t="n">
        <v>44165</v>
      </c>
      <c r="C394" s="1" t="n">
        <v>45474</v>
      </c>
      <c r="D394" t="inlineStr">
        <is>
          <t>UPPSALA LÄN</t>
        </is>
      </c>
      <c r="E394" t="inlineStr">
        <is>
          <t>UPPSALA</t>
        </is>
      </c>
      <c r="F394" t="inlineStr">
        <is>
          <t>Övriga statliga verk och myndigheter</t>
        </is>
      </c>
      <c r="G394" t="n">
        <v>2.4</v>
      </c>
      <c r="H394" t="n">
        <v>0</v>
      </c>
      <c r="I394" t="n">
        <v>0</v>
      </c>
      <c r="J394" t="n">
        <v>0</v>
      </c>
      <c r="K394" t="n">
        <v>0</v>
      </c>
      <c r="L394" t="n">
        <v>0</v>
      </c>
      <c r="M394" t="n">
        <v>0</v>
      </c>
      <c r="N394" t="n">
        <v>0</v>
      </c>
      <c r="O394" t="n">
        <v>0</v>
      </c>
      <c r="P394" t="n">
        <v>0</v>
      </c>
      <c r="Q394" t="n">
        <v>0</v>
      </c>
      <c r="R394" s="2" t="inlineStr"/>
    </row>
    <row r="395" ht="15" customHeight="1">
      <c r="A395" t="inlineStr">
        <is>
          <t>A 63749-2020</t>
        </is>
      </c>
      <c r="B395" s="1" t="n">
        <v>44166</v>
      </c>
      <c r="C395" s="1" t="n">
        <v>45474</v>
      </c>
      <c r="D395" t="inlineStr">
        <is>
          <t>UPPSALA LÄN</t>
        </is>
      </c>
      <c r="E395" t="inlineStr">
        <is>
          <t>UPPSALA</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64128-2020</t>
        </is>
      </c>
      <c r="B396" s="1" t="n">
        <v>44167</v>
      </c>
      <c r="C396" s="1" t="n">
        <v>45474</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64353-2020</t>
        </is>
      </c>
      <c r="B397" s="1" t="n">
        <v>44168</v>
      </c>
      <c r="C397" s="1" t="n">
        <v>45474</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64333-2020</t>
        </is>
      </c>
      <c r="B398" s="1" t="n">
        <v>44168</v>
      </c>
      <c r="C398" s="1" t="n">
        <v>45474</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66984-2020</t>
        </is>
      </c>
      <c r="B399" s="1" t="n">
        <v>44180</v>
      </c>
      <c r="C399" s="1" t="n">
        <v>45474</v>
      </c>
      <c r="D399" t="inlineStr">
        <is>
          <t>UPPSALA LÄN</t>
        </is>
      </c>
      <c r="E399" t="inlineStr">
        <is>
          <t>UPPSALA</t>
        </is>
      </c>
      <c r="F399" t="inlineStr">
        <is>
          <t>Övriga statliga verk och myndigheter</t>
        </is>
      </c>
      <c r="G399" t="n">
        <v>2.1</v>
      </c>
      <c r="H399" t="n">
        <v>0</v>
      </c>
      <c r="I399" t="n">
        <v>0</v>
      </c>
      <c r="J399" t="n">
        <v>0</v>
      </c>
      <c r="K399" t="n">
        <v>0</v>
      </c>
      <c r="L399" t="n">
        <v>0</v>
      </c>
      <c r="M399" t="n">
        <v>0</v>
      </c>
      <c r="N399" t="n">
        <v>0</v>
      </c>
      <c r="O399" t="n">
        <v>0</v>
      </c>
      <c r="P399" t="n">
        <v>0</v>
      </c>
      <c r="Q399" t="n">
        <v>0</v>
      </c>
      <c r="R399" s="2" t="inlineStr"/>
    </row>
    <row r="400" ht="15" customHeight="1">
      <c r="A400" t="inlineStr">
        <is>
          <t>A 265-2021</t>
        </is>
      </c>
      <c r="B400" s="1" t="n">
        <v>44200</v>
      </c>
      <c r="C400" s="1" t="n">
        <v>45474</v>
      </c>
      <c r="D400" t="inlineStr">
        <is>
          <t>UPPSALA LÄN</t>
        </is>
      </c>
      <c r="E400" t="inlineStr">
        <is>
          <t>UPPSALA</t>
        </is>
      </c>
      <c r="G400" t="n">
        <v>3.1</v>
      </c>
      <c r="H400" t="n">
        <v>0</v>
      </c>
      <c r="I400" t="n">
        <v>0</v>
      </c>
      <c r="J400" t="n">
        <v>0</v>
      </c>
      <c r="K400" t="n">
        <v>0</v>
      </c>
      <c r="L400" t="n">
        <v>0</v>
      </c>
      <c r="M400" t="n">
        <v>0</v>
      </c>
      <c r="N400" t="n">
        <v>0</v>
      </c>
      <c r="O400" t="n">
        <v>0</v>
      </c>
      <c r="P400" t="n">
        <v>0</v>
      </c>
      <c r="Q400" t="n">
        <v>0</v>
      </c>
      <c r="R400" s="2" t="inlineStr"/>
    </row>
    <row r="401" ht="15" customHeight="1">
      <c r="A401" t="inlineStr">
        <is>
          <t>A 1020-2021</t>
        </is>
      </c>
      <c r="B401" s="1" t="n">
        <v>44207</v>
      </c>
      <c r="C401" s="1" t="n">
        <v>45474</v>
      </c>
      <c r="D401" t="inlineStr">
        <is>
          <t>UPPSALA LÄN</t>
        </is>
      </c>
      <c r="E401" t="inlineStr">
        <is>
          <t>UPPSALA</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1573-2021</t>
        </is>
      </c>
      <c r="B402" s="1" t="n">
        <v>44209</v>
      </c>
      <c r="C402" s="1" t="n">
        <v>45474</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1617-2021</t>
        </is>
      </c>
      <c r="B403" s="1" t="n">
        <v>44209</v>
      </c>
      <c r="C403" s="1" t="n">
        <v>45474</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1855-2021</t>
        </is>
      </c>
      <c r="B404" s="1" t="n">
        <v>44210</v>
      </c>
      <c r="C404" s="1" t="n">
        <v>45474</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2169-2021</t>
        </is>
      </c>
      <c r="B405" s="1" t="n">
        <v>44211</v>
      </c>
      <c r="C405" s="1" t="n">
        <v>45474</v>
      </c>
      <c r="D405" t="inlineStr">
        <is>
          <t>UPPSALA LÄN</t>
        </is>
      </c>
      <c r="E405" t="inlineStr">
        <is>
          <t>UPPSALA</t>
        </is>
      </c>
      <c r="G405" t="n">
        <v>0.7</v>
      </c>
      <c r="H405" t="n">
        <v>0</v>
      </c>
      <c r="I405" t="n">
        <v>0</v>
      </c>
      <c r="J405" t="n">
        <v>0</v>
      </c>
      <c r="K405" t="n">
        <v>0</v>
      </c>
      <c r="L405" t="n">
        <v>0</v>
      </c>
      <c r="M405" t="n">
        <v>0</v>
      </c>
      <c r="N405" t="n">
        <v>0</v>
      </c>
      <c r="O405" t="n">
        <v>0</v>
      </c>
      <c r="P405" t="n">
        <v>0</v>
      </c>
      <c r="Q405" t="n">
        <v>0</v>
      </c>
      <c r="R405" s="2" t="inlineStr"/>
    </row>
    <row r="406" ht="15" customHeight="1">
      <c r="A406" t="inlineStr">
        <is>
          <t>A 3864-2021</t>
        </is>
      </c>
      <c r="B406" s="1" t="n">
        <v>44216</v>
      </c>
      <c r="C406" s="1" t="n">
        <v>45474</v>
      </c>
      <c r="D406" t="inlineStr">
        <is>
          <t>UPPSALA LÄN</t>
        </is>
      </c>
      <c r="E406" t="inlineStr">
        <is>
          <t>UPPSALA</t>
        </is>
      </c>
      <c r="G406" t="n">
        <v>2.9</v>
      </c>
      <c r="H406" t="n">
        <v>0</v>
      </c>
      <c r="I406" t="n">
        <v>0</v>
      </c>
      <c r="J406" t="n">
        <v>0</v>
      </c>
      <c r="K406" t="n">
        <v>0</v>
      </c>
      <c r="L406" t="n">
        <v>0</v>
      </c>
      <c r="M406" t="n">
        <v>0</v>
      </c>
      <c r="N406" t="n">
        <v>0</v>
      </c>
      <c r="O406" t="n">
        <v>0</v>
      </c>
      <c r="P406" t="n">
        <v>0</v>
      </c>
      <c r="Q406" t="n">
        <v>0</v>
      </c>
      <c r="R406" s="2" t="inlineStr"/>
    </row>
    <row r="407" ht="15" customHeight="1">
      <c r="A407" t="inlineStr">
        <is>
          <t>A 3874-2021</t>
        </is>
      </c>
      <c r="B407" s="1" t="n">
        <v>44216</v>
      </c>
      <c r="C407" s="1" t="n">
        <v>45474</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3955-2021</t>
        </is>
      </c>
      <c r="B408" s="1" t="n">
        <v>44222</v>
      </c>
      <c r="C408" s="1" t="n">
        <v>45474</v>
      </c>
      <c r="D408" t="inlineStr">
        <is>
          <t>UPPSALA LÄN</t>
        </is>
      </c>
      <c r="E408" t="inlineStr">
        <is>
          <t>UPPSALA</t>
        </is>
      </c>
      <c r="G408" t="n">
        <v>2.3</v>
      </c>
      <c r="H408" t="n">
        <v>0</v>
      </c>
      <c r="I408" t="n">
        <v>0</v>
      </c>
      <c r="J408" t="n">
        <v>0</v>
      </c>
      <c r="K408" t="n">
        <v>0</v>
      </c>
      <c r="L408" t="n">
        <v>0</v>
      </c>
      <c r="M408" t="n">
        <v>0</v>
      </c>
      <c r="N408" t="n">
        <v>0</v>
      </c>
      <c r="O408" t="n">
        <v>0</v>
      </c>
      <c r="P408" t="n">
        <v>0</v>
      </c>
      <c r="Q408" t="n">
        <v>0</v>
      </c>
      <c r="R408" s="2" t="inlineStr"/>
    </row>
    <row r="409" ht="15" customHeight="1">
      <c r="A409" t="inlineStr">
        <is>
          <t>A 4875-2021</t>
        </is>
      </c>
      <c r="B409" s="1" t="n">
        <v>44223</v>
      </c>
      <c r="C409" s="1" t="n">
        <v>45474</v>
      </c>
      <c r="D409" t="inlineStr">
        <is>
          <t>UPPSALA LÄN</t>
        </is>
      </c>
      <c r="E409" t="inlineStr">
        <is>
          <t>UPPSALA</t>
        </is>
      </c>
      <c r="G409" t="n">
        <v>0.4</v>
      </c>
      <c r="H409" t="n">
        <v>0</v>
      </c>
      <c r="I409" t="n">
        <v>0</v>
      </c>
      <c r="J409" t="n">
        <v>0</v>
      </c>
      <c r="K409" t="n">
        <v>0</v>
      </c>
      <c r="L409" t="n">
        <v>0</v>
      </c>
      <c r="M409" t="n">
        <v>0</v>
      </c>
      <c r="N409" t="n">
        <v>0</v>
      </c>
      <c r="O409" t="n">
        <v>0</v>
      </c>
      <c r="P409" t="n">
        <v>0</v>
      </c>
      <c r="Q409" t="n">
        <v>0</v>
      </c>
      <c r="R409" s="2" t="inlineStr"/>
    </row>
    <row r="410" ht="15" customHeight="1">
      <c r="A410" t="inlineStr">
        <is>
          <t>A 5663-2021</t>
        </is>
      </c>
      <c r="B410" s="1" t="n">
        <v>44230</v>
      </c>
      <c r="C410" s="1" t="n">
        <v>45474</v>
      </c>
      <c r="D410" t="inlineStr">
        <is>
          <t>UPPSALA LÄN</t>
        </is>
      </c>
      <c r="E410" t="inlineStr">
        <is>
          <t>UPPSALA</t>
        </is>
      </c>
      <c r="G410" t="n">
        <v>0.9</v>
      </c>
      <c r="H410" t="n">
        <v>0</v>
      </c>
      <c r="I410" t="n">
        <v>0</v>
      </c>
      <c r="J410" t="n">
        <v>0</v>
      </c>
      <c r="K410" t="n">
        <v>0</v>
      </c>
      <c r="L410" t="n">
        <v>0</v>
      </c>
      <c r="M410" t="n">
        <v>0</v>
      </c>
      <c r="N410" t="n">
        <v>0</v>
      </c>
      <c r="O410" t="n">
        <v>0</v>
      </c>
      <c r="P410" t="n">
        <v>0</v>
      </c>
      <c r="Q410" t="n">
        <v>0</v>
      </c>
      <c r="R410" s="2" t="inlineStr"/>
    </row>
    <row r="411" ht="15" customHeight="1">
      <c r="A411" t="inlineStr">
        <is>
          <t>A 8114-2021</t>
        </is>
      </c>
      <c r="B411" s="1" t="n">
        <v>44243</v>
      </c>
      <c r="C411" s="1" t="n">
        <v>45474</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8494-2021</t>
        </is>
      </c>
      <c r="B412" s="1" t="n">
        <v>44245</v>
      </c>
      <c r="C412" s="1" t="n">
        <v>45474</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9700-2021</t>
        </is>
      </c>
      <c r="B413" s="1" t="n">
        <v>44252</v>
      </c>
      <c r="C413" s="1" t="n">
        <v>45474</v>
      </c>
      <c r="D413" t="inlineStr">
        <is>
          <t>UPPSALA LÄN</t>
        </is>
      </c>
      <c r="E413" t="inlineStr">
        <is>
          <t>UPPSALA</t>
        </is>
      </c>
      <c r="G413" t="n">
        <v>3.3</v>
      </c>
      <c r="H413" t="n">
        <v>0</v>
      </c>
      <c r="I413" t="n">
        <v>0</v>
      </c>
      <c r="J413" t="n">
        <v>0</v>
      </c>
      <c r="K413" t="n">
        <v>0</v>
      </c>
      <c r="L413" t="n">
        <v>0</v>
      </c>
      <c r="M413" t="n">
        <v>0</v>
      </c>
      <c r="N413" t="n">
        <v>0</v>
      </c>
      <c r="O413" t="n">
        <v>0</v>
      </c>
      <c r="P413" t="n">
        <v>0</v>
      </c>
      <c r="Q413" t="n">
        <v>0</v>
      </c>
      <c r="R413" s="2" t="inlineStr"/>
    </row>
    <row r="414" ht="15" customHeight="1">
      <c r="A414" t="inlineStr">
        <is>
          <t>A 9712-2021</t>
        </is>
      </c>
      <c r="B414" s="1" t="n">
        <v>44252</v>
      </c>
      <c r="C414" s="1" t="n">
        <v>45474</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12225-2021</t>
        </is>
      </c>
      <c r="B415" s="1" t="n">
        <v>44266</v>
      </c>
      <c r="C415" s="1" t="n">
        <v>45474</v>
      </c>
      <c r="D415" t="inlineStr">
        <is>
          <t>UPPSALA LÄN</t>
        </is>
      </c>
      <c r="E415" t="inlineStr">
        <is>
          <t>UPPSALA</t>
        </is>
      </c>
      <c r="F415" t="inlineStr">
        <is>
          <t>Bergvik skog öst AB</t>
        </is>
      </c>
      <c r="G415" t="n">
        <v>4.8</v>
      </c>
      <c r="H415" t="n">
        <v>0</v>
      </c>
      <c r="I415" t="n">
        <v>0</v>
      </c>
      <c r="J415" t="n">
        <v>0</v>
      </c>
      <c r="K415" t="n">
        <v>0</v>
      </c>
      <c r="L415" t="n">
        <v>0</v>
      </c>
      <c r="M415" t="n">
        <v>0</v>
      </c>
      <c r="N415" t="n">
        <v>0</v>
      </c>
      <c r="O415" t="n">
        <v>0</v>
      </c>
      <c r="P415" t="n">
        <v>0</v>
      </c>
      <c r="Q415" t="n">
        <v>0</v>
      </c>
      <c r="R415" s="2" t="inlineStr"/>
    </row>
    <row r="416" ht="15" customHeight="1">
      <c r="A416" t="inlineStr">
        <is>
          <t>A 12152-2021</t>
        </is>
      </c>
      <c r="B416" s="1" t="n">
        <v>44266</v>
      </c>
      <c r="C416" s="1" t="n">
        <v>45474</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12172-2021</t>
        </is>
      </c>
      <c r="B417" s="1" t="n">
        <v>44266</v>
      </c>
      <c r="C417" s="1" t="n">
        <v>45474</v>
      </c>
      <c r="D417" t="inlineStr">
        <is>
          <t>UPPSALA LÄN</t>
        </is>
      </c>
      <c r="E417" t="inlineStr">
        <is>
          <t>UPPSALA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12194-2021</t>
        </is>
      </c>
      <c r="B418" s="1" t="n">
        <v>44266</v>
      </c>
      <c r="C418" s="1" t="n">
        <v>45474</v>
      </c>
      <c r="D418" t="inlineStr">
        <is>
          <t>UPPSALA LÄN</t>
        </is>
      </c>
      <c r="E418" t="inlineStr">
        <is>
          <t>UPPSALA</t>
        </is>
      </c>
      <c r="F418" t="inlineStr">
        <is>
          <t>Bergvik skog öst AB</t>
        </is>
      </c>
      <c r="G418" t="n">
        <v>2.1</v>
      </c>
      <c r="H418" t="n">
        <v>0</v>
      </c>
      <c r="I418" t="n">
        <v>0</v>
      </c>
      <c r="J418" t="n">
        <v>0</v>
      </c>
      <c r="K418" t="n">
        <v>0</v>
      </c>
      <c r="L418" t="n">
        <v>0</v>
      </c>
      <c r="M418" t="n">
        <v>0</v>
      </c>
      <c r="N418" t="n">
        <v>0</v>
      </c>
      <c r="O418" t="n">
        <v>0</v>
      </c>
      <c r="P418" t="n">
        <v>0</v>
      </c>
      <c r="Q418" t="n">
        <v>0</v>
      </c>
      <c r="R418" s="2" t="inlineStr"/>
    </row>
    <row r="419" ht="15" customHeight="1">
      <c r="A419" t="inlineStr">
        <is>
          <t>A 12313-2021</t>
        </is>
      </c>
      <c r="B419" s="1" t="n">
        <v>44266</v>
      </c>
      <c r="C419" s="1" t="n">
        <v>45474</v>
      </c>
      <c r="D419" t="inlineStr">
        <is>
          <t>UPPSALA LÄN</t>
        </is>
      </c>
      <c r="E419" t="inlineStr">
        <is>
          <t>UPPSALA</t>
        </is>
      </c>
      <c r="G419" t="n">
        <v>23.6</v>
      </c>
      <c r="H419" t="n">
        <v>0</v>
      </c>
      <c r="I419" t="n">
        <v>0</v>
      </c>
      <c r="J419" t="n">
        <v>0</v>
      </c>
      <c r="K419" t="n">
        <v>0</v>
      </c>
      <c r="L419" t="n">
        <v>0</v>
      </c>
      <c r="M419" t="n">
        <v>0</v>
      </c>
      <c r="N419" t="n">
        <v>0</v>
      </c>
      <c r="O419" t="n">
        <v>0</v>
      </c>
      <c r="P419" t="n">
        <v>0</v>
      </c>
      <c r="Q419" t="n">
        <v>0</v>
      </c>
      <c r="R419" s="2" t="inlineStr"/>
    </row>
    <row r="420" ht="15" customHeight="1">
      <c r="A420" t="inlineStr">
        <is>
          <t>A 13010-2021</t>
        </is>
      </c>
      <c r="B420" s="1" t="n">
        <v>44271</v>
      </c>
      <c r="C420" s="1" t="n">
        <v>45474</v>
      </c>
      <c r="D420" t="inlineStr">
        <is>
          <t>UPPSALA LÄN</t>
        </is>
      </c>
      <c r="E420" t="inlineStr">
        <is>
          <t>UPPSALA</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13420-2021</t>
        </is>
      </c>
      <c r="B421" s="1" t="n">
        <v>44273</v>
      </c>
      <c r="C421" s="1" t="n">
        <v>45474</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14026-2021</t>
        </is>
      </c>
      <c r="B422" s="1" t="n">
        <v>44277</v>
      </c>
      <c r="C422" s="1" t="n">
        <v>45474</v>
      </c>
      <c r="D422" t="inlineStr">
        <is>
          <t>UPPSALA LÄN</t>
        </is>
      </c>
      <c r="E422" t="inlineStr">
        <is>
          <t>UPPSALA</t>
        </is>
      </c>
      <c r="G422" t="n">
        <v>3.5</v>
      </c>
      <c r="H422" t="n">
        <v>0</v>
      </c>
      <c r="I422" t="n">
        <v>0</v>
      </c>
      <c r="J422" t="n">
        <v>0</v>
      </c>
      <c r="K422" t="n">
        <v>0</v>
      </c>
      <c r="L422" t="n">
        <v>0</v>
      </c>
      <c r="M422" t="n">
        <v>0</v>
      </c>
      <c r="N422" t="n">
        <v>0</v>
      </c>
      <c r="O422" t="n">
        <v>0</v>
      </c>
      <c r="P422" t="n">
        <v>0</v>
      </c>
      <c r="Q422" t="n">
        <v>0</v>
      </c>
      <c r="R422" s="2" t="inlineStr"/>
    </row>
    <row r="423" ht="15" customHeight="1">
      <c r="A423" t="inlineStr">
        <is>
          <t>A 14022-2021</t>
        </is>
      </c>
      <c r="B423" s="1" t="n">
        <v>44277</v>
      </c>
      <c r="C423" s="1" t="n">
        <v>45474</v>
      </c>
      <c r="D423" t="inlineStr">
        <is>
          <t>UPPSALA LÄN</t>
        </is>
      </c>
      <c r="E423" t="inlineStr">
        <is>
          <t>UPPSALA</t>
        </is>
      </c>
      <c r="G423" t="n">
        <v>11.1</v>
      </c>
      <c r="H423" t="n">
        <v>0</v>
      </c>
      <c r="I423" t="n">
        <v>0</v>
      </c>
      <c r="J423" t="n">
        <v>0</v>
      </c>
      <c r="K423" t="n">
        <v>0</v>
      </c>
      <c r="L423" t="n">
        <v>0</v>
      </c>
      <c r="M423" t="n">
        <v>0</v>
      </c>
      <c r="N423" t="n">
        <v>0</v>
      </c>
      <c r="O423" t="n">
        <v>0</v>
      </c>
      <c r="P423" t="n">
        <v>0</v>
      </c>
      <c r="Q423" t="n">
        <v>0</v>
      </c>
      <c r="R423" s="2" t="inlineStr"/>
    </row>
    <row r="424" ht="15" customHeight="1">
      <c r="A424" t="inlineStr">
        <is>
          <t>A 14341-2021</t>
        </is>
      </c>
      <c r="B424" s="1" t="n">
        <v>44279</v>
      </c>
      <c r="C424" s="1" t="n">
        <v>45474</v>
      </c>
      <c r="D424" t="inlineStr">
        <is>
          <t>UPPSALA LÄN</t>
        </is>
      </c>
      <c r="E424" t="inlineStr">
        <is>
          <t>UPPSALA</t>
        </is>
      </c>
      <c r="G424" t="n">
        <v>8.9</v>
      </c>
      <c r="H424" t="n">
        <v>0</v>
      </c>
      <c r="I424" t="n">
        <v>0</v>
      </c>
      <c r="J424" t="n">
        <v>0</v>
      </c>
      <c r="K424" t="n">
        <v>0</v>
      </c>
      <c r="L424" t="n">
        <v>0</v>
      </c>
      <c r="M424" t="n">
        <v>0</v>
      </c>
      <c r="N424" t="n">
        <v>0</v>
      </c>
      <c r="O424" t="n">
        <v>0</v>
      </c>
      <c r="P424" t="n">
        <v>0</v>
      </c>
      <c r="Q424" t="n">
        <v>0</v>
      </c>
      <c r="R424" s="2" t="inlineStr"/>
    </row>
    <row r="425" ht="15" customHeight="1">
      <c r="A425" t="inlineStr">
        <is>
          <t>A 14941-2021</t>
        </is>
      </c>
      <c r="B425" s="1" t="n">
        <v>44281</v>
      </c>
      <c r="C425" s="1" t="n">
        <v>45474</v>
      </c>
      <c r="D425" t="inlineStr">
        <is>
          <t>UPPSALA LÄN</t>
        </is>
      </c>
      <c r="E425" t="inlineStr">
        <is>
          <t>UPPSALA</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15816-2021</t>
        </is>
      </c>
      <c r="B426" s="1" t="n">
        <v>44286</v>
      </c>
      <c r="C426" s="1" t="n">
        <v>45474</v>
      </c>
      <c r="D426" t="inlineStr">
        <is>
          <t>UPPSALA LÄN</t>
        </is>
      </c>
      <c r="E426" t="inlineStr">
        <is>
          <t>UPPSALA</t>
        </is>
      </c>
      <c r="G426" t="n">
        <v>2.9</v>
      </c>
      <c r="H426" t="n">
        <v>0</v>
      </c>
      <c r="I426" t="n">
        <v>0</v>
      </c>
      <c r="J426" t="n">
        <v>0</v>
      </c>
      <c r="K426" t="n">
        <v>0</v>
      </c>
      <c r="L426" t="n">
        <v>0</v>
      </c>
      <c r="M426" t="n">
        <v>0</v>
      </c>
      <c r="N426" t="n">
        <v>0</v>
      </c>
      <c r="O426" t="n">
        <v>0</v>
      </c>
      <c r="P426" t="n">
        <v>0</v>
      </c>
      <c r="Q426" t="n">
        <v>0</v>
      </c>
      <c r="R426" s="2" t="inlineStr"/>
    </row>
    <row r="427" ht="15" customHeight="1">
      <c r="A427" t="inlineStr">
        <is>
          <t>A 15820-2021</t>
        </is>
      </c>
      <c r="B427" s="1" t="n">
        <v>44286</v>
      </c>
      <c r="C427" s="1" t="n">
        <v>45474</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16592-2021</t>
        </is>
      </c>
      <c r="B428" s="1" t="n">
        <v>44294</v>
      </c>
      <c r="C428" s="1" t="n">
        <v>45474</v>
      </c>
      <c r="D428" t="inlineStr">
        <is>
          <t>UPPSALA LÄN</t>
        </is>
      </c>
      <c r="E428" t="inlineStr">
        <is>
          <t>UPPSALA</t>
        </is>
      </c>
      <c r="F428" t="inlineStr">
        <is>
          <t>Övriga Aktiebolag</t>
        </is>
      </c>
      <c r="G428" t="n">
        <v>1.6</v>
      </c>
      <c r="H428" t="n">
        <v>0</v>
      </c>
      <c r="I428" t="n">
        <v>0</v>
      </c>
      <c r="J428" t="n">
        <v>0</v>
      </c>
      <c r="K428" t="n">
        <v>0</v>
      </c>
      <c r="L428" t="n">
        <v>0</v>
      </c>
      <c r="M428" t="n">
        <v>0</v>
      </c>
      <c r="N428" t="n">
        <v>0</v>
      </c>
      <c r="O428" t="n">
        <v>0</v>
      </c>
      <c r="P428" t="n">
        <v>0</v>
      </c>
      <c r="Q428" t="n">
        <v>0</v>
      </c>
      <c r="R428" s="2" t="inlineStr"/>
    </row>
    <row r="429" ht="15" customHeight="1">
      <c r="A429" t="inlineStr">
        <is>
          <t>A 16615-2021</t>
        </is>
      </c>
      <c r="B429" s="1" t="n">
        <v>44294</v>
      </c>
      <c r="C429" s="1" t="n">
        <v>45474</v>
      </c>
      <c r="D429" t="inlineStr">
        <is>
          <t>UPPSALA LÄN</t>
        </is>
      </c>
      <c r="E429" t="inlineStr">
        <is>
          <t>UPPSALA</t>
        </is>
      </c>
      <c r="F429" t="inlineStr">
        <is>
          <t>Övriga Aktiebolag</t>
        </is>
      </c>
      <c r="G429" t="n">
        <v>1.5</v>
      </c>
      <c r="H429" t="n">
        <v>0</v>
      </c>
      <c r="I429" t="n">
        <v>0</v>
      </c>
      <c r="J429" t="n">
        <v>0</v>
      </c>
      <c r="K429" t="n">
        <v>0</v>
      </c>
      <c r="L429" t="n">
        <v>0</v>
      </c>
      <c r="M429" t="n">
        <v>0</v>
      </c>
      <c r="N429" t="n">
        <v>0</v>
      </c>
      <c r="O429" t="n">
        <v>0</v>
      </c>
      <c r="P429" t="n">
        <v>0</v>
      </c>
      <c r="Q429" t="n">
        <v>0</v>
      </c>
      <c r="R429" s="2" t="inlineStr"/>
    </row>
    <row r="430" ht="15" customHeight="1">
      <c r="A430" t="inlineStr">
        <is>
          <t>A 16684-2021</t>
        </is>
      </c>
      <c r="B430" s="1" t="n">
        <v>44294</v>
      </c>
      <c r="C430" s="1" t="n">
        <v>45474</v>
      </c>
      <c r="D430" t="inlineStr">
        <is>
          <t>UPPSALA LÄN</t>
        </is>
      </c>
      <c r="E430" t="inlineStr">
        <is>
          <t>UPPSALA</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17262-2021</t>
        </is>
      </c>
      <c r="B431" s="1" t="n">
        <v>44297</v>
      </c>
      <c r="C431" s="1" t="n">
        <v>45474</v>
      </c>
      <c r="D431" t="inlineStr">
        <is>
          <t>UPPSALA LÄN</t>
        </is>
      </c>
      <c r="E431" t="inlineStr">
        <is>
          <t>UPPSALA</t>
        </is>
      </c>
      <c r="F431" t="inlineStr">
        <is>
          <t>Allmännings- och besparingsskogar</t>
        </is>
      </c>
      <c r="G431" t="n">
        <v>1</v>
      </c>
      <c r="H431" t="n">
        <v>0</v>
      </c>
      <c r="I431" t="n">
        <v>0</v>
      </c>
      <c r="J431" t="n">
        <v>0</v>
      </c>
      <c r="K431" t="n">
        <v>0</v>
      </c>
      <c r="L431" t="n">
        <v>0</v>
      </c>
      <c r="M431" t="n">
        <v>0</v>
      </c>
      <c r="N431" t="n">
        <v>0</v>
      </c>
      <c r="O431" t="n">
        <v>0</v>
      </c>
      <c r="P431" t="n">
        <v>0</v>
      </c>
      <c r="Q431" t="n">
        <v>0</v>
      </c>
      <c r="R431" s="2" t="inlineStr"/>
    </row>
    <row r="432" ht="15" customHeight="1">
      <c r="A432" t="inlineStr">
        <is>
          <t>A 17250-2021</t>
        </is>
      </c>
      <c r="B432" s="1" t="n">
        <v>44297</v>
      </c>
      <c r="C432" s="1" t="n">
        <v>45474</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17536-2021</t>
        </is>
      </c>
      <c r="B433" s="1" t="n">
        <v>44299</v>
      </c>
      <c r="C433" s="1" t="n">
        <v>45474</v>
      </c>
      <c r="D433" t="inlineStr">
        <is>
          <t>UPPSALA LÄN</t>
        </is>
      </c>
      <c r="E433" t="inlineStr">
        <is>
          <t>UPPSALA</t>
        </is>
      </c>
      <c r="F433" t="inlineStr">
        <is>
          <t>Holmen skog AB</t>
        </is>
      </c>
      <c r="G433" t="n">
        <v>7.6</v>
      </c>
      <c r="H433" t="n">
        <v>0</v>
      </c>
      <c r="I433" t="n">
        <v>0</v>
      </c>
      <c r="J433" t="n">
        <v>0</v>
      </c>
      <c r="K433" t="n">
        <v>0</v>
      </c>
      <c r="L433" t="n">
        <v>0</v>
      </c>
      <c r="M433" t="n">
        <v>0</v>
      </c>
      <c r="N433" t="n">
        <v>0</v>
      </c>
      <c r="O433" t="n">
        <v>0</v>
      </c>
      <c r="P433" t="n">
        <v>0</v>
      </c>
      <c r="Q433" t="n">
        <v>0</v>
      </c>
      <c r="R433" s="2" t="inlineStr"/>
    </row>
    <row r="434" ht="15" customHeight="1">
      <c r="A434" t="inlineStr">
        <is>
          <t>A 18906-2021</t>
        </is>
      </c>
      <c r="B434" s="1" t="n">
        <v>44308</v>
      </c>
      <c r="C434" s="1" t="n">
        <v>45474</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19927-2021</t>
        </is>
      </c>
      <c r="B435" s="1" t="n">
        <v>44313</v>
      </c>
      <c r="C435" s="1" t="n">
        <v>45474</v>
      </c>
      <c r="D435" t="inlineStr">
        <is>
          <t>UPPSALA LÄN</t>
        </is>
      </c>
      <c r="E435" t="inlineStr">
        <is>
          <t>UPPSALA</t>
        </is>
      </c>
      <c r="F435" t="inlineStr">
        <is>
          <t>Bergvik skog öst AB</t>
        </is>
      </c>
      <c r="G435" t="n">
        <v>1.2</v>
      </c>
      <c r="H435" t="n">
        <v>0</v>
      </c>
      <c r="I435" t="n">
        <v>0</v>
      </c>
      <c r="J435" t="n">
        <v>0</v>
      </c>
      <c r="K435" t="n">
        <v>0</v>
      </c>
      <c r="L435" t="n">
        <v>0</v>
      </c>
      <c r="M435" t="n">
        <v>0</v>
      </c>
      <c r="N435" t="n">
        <v>0</v>
      </c>
      <c r="O435" t="n">
        <v>0</v>
      </c>
      <c r="P435" t="n">
        <v>0</v>
      </c>
      <c r="Q435" t="n">
        <v>0</v>
      </c>
      <c r="R435" s="2" t="inlineStr"/>
    </row>
    <row r="436" ht="15" customHeight="1">
      <c r="A436" t="inlineStr">
        <is>
          <t>A 19947-2021</t>
        </is>
      </c>
      <c r="B436" s="1" t="n">
        <v>44313</v>
      </c>
      <c r="C436" s="1" t="n">
        <v>45474</v>
      </c>
      <c r="D436" t="inlineStr">
        <is>
          <t>UPPSALA LÄN</t>
        </is>
      </c>
      <c r="E436" t="inlineStr">
        <is>
          <t>UPPSALA</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20276-2021</t>
        </is>
      </c>
      <c r="B437" s="1" t="n">
        <v>44314</v>
      </c>
      <c r="C437" s="1" t="n">
        <v>45474</v>
      </c>
      <c r="D437" t="inlineStr">
        <is>
          <t>UPPSALA LÄN</t>
        </is>
      </c>
      <c r="E437" t="inlineStr">
        <is>
          <t>UPPSALA</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20271-2021</t>
        </is>
      </c>
      <c r="B438" s="1" t="n">
        <v>44314</v>
      </c>
      <c r="C438" s="1" t="n">
        <v>45474</v>
      </c>
      <c r="D438" t="inlineStr">
        <is>
          <t>UPPSALA LÄN</t>
        </is>
      </c>
      <c r="E438" t="inlineStr">
        <is>
          <t>UPPSALA</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20609-2021</t>
        </is>
      </c>
      <c r="B439" s="1" t="n">
        <v>44316</v>
      </c>
      <c r="C439" s="1" t="n">
        <v>45474</v>
      </c>
      <c r="D439" t="inlineStr">
        <is>
          <t>UPPSALA LÄN</t>
        </is>
      </c>
      <c r="E439" t="inlineStr">
        <is>
          <t>UPPSALA</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22070-2021</t>
        </is>
      </c>
      <c r="B440" s="1" t="n">
        <v>44323</v>
      </c>
      <c r="C440" s="1" t="n">
        <v>45474</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22946-2021</t>
        </is>
      </c>
      <c r="B441" s="1" t="n">
        <v>44328</v>
      </c>
      <c r="C441" s="1" t="n">
        <v>45474</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23877-2021</t>
        </is>
      </c>
      <c r="B442" s="1" t="n">
        <v>44335</v>
      </c>
      <c r="C442" s="1" t="n">
        <v>45474</v>
      </c>
      <c r="D442" t="inlineStr">
        <is>
          <t>UPPSALA LÄN</t>
        </is>
      </c>
      <c r="E442" t="inlineStr">
        <is>
          <t>UPPSALA</t>
        </is>
      </c>
      <c r="G442" t="n">
        <v>0.6</v>
      </c>
      <c r="H442" t="n">
        <v>0</v>
      </c>
      <c r="I442" t="n">
        <v>0</v>
      </c>
      <c r="J442" t="n">
        <v>0</v>
      </c>
      <c r="K442" t="n">
        <v>0</v>
      </c>
      <c r="L442" t="n">
        <v>0</v>
      </c>
      <c r="M442" t="n">
        <v>0</v>
      </c>
      <c r="N442" t="n">
        <v>0</v>
      </c>
      <c r="O442" t="n">
        <v>0</v>
      </c>
      <c r="P442" t="n">
        <v>0</v>
      </c>
      <c r="Q442" t="n">
        <v>0</v>
      </c>
      <c r="R442" s="2" t="inlineStr"/>
    </row>
    <row r="443" ht="15" customHeight="1">
      <c r="A443" t="inlineStr">
        <is>
          <t>A 25613-2021</t>
        </is>
      </c>
      <c r="B443" s="1" t="n">
        <v>44343</v>
      </c>
      <c r="C443" s="1" t="n">
        <v>45474</v>
      </c>
      <c r="D443" t="inlineStr">
        <is>
          <t>UPPSALA LÄN</t>
        </is>
      </c>
      <c r="E443" t="inlineStr">
        <is>
          <t>UPPSALA</t>
        </is>
      </c>
      <c r="G443" t="n">
        <v>2.1</v>
      </c>
      <c r="H443" t="n">
        <v>0</v>
      </c>
      <c r="I443" t="n">
        <v>0</v>
      </c>
      <c r="J443" t="n">
        <v>0</v>
      </c>
      <c r="K443" t="n">
        <v>0</v>
      </c>
      <c r="L443" t="n">
        <v>0</v>
      </c>
      <c r="M443" t="n">
        <v>0</v>
      </c>
      <c r="N443" t="n">
        <v>0</v>
      </c>
      <c r="O443" t="n">
        <v>0</v>
      </c>
      <c r="P443" t="n">
        <v>0</v>
      </c>
      <c r="Q443" t="n">
        <v>0</v>
      </c>
      <c r="R443" s="2" t="inlineStr"/>
    </row>
    <row r="444" ht="15" customHeight="1">
      <c r="A444" t="inlineStr">
        <is>
          <t>A 26785-2021</t>
        </is>
      </c>
      <c r="B444" s="1" t="n">
        <v>44349</v>
      </c>
      <c r="C444" s="1" t="n">
        <v>45474</v>
      </c>
      <c r="D444" t="inlineStr">
        <is>
          <t>UPPSALA LÄN</t>
        </is>
      </c>
      <c r="E444" t="inlineStr">
        <is>
          <t>UPPSALA</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27365-2021</t>
        </is>
      </c>
      <c r="B445" s="1" t="n">
        <v>44351</v>
      </c>
      <c r="C445" s="1" t="n">
        <v>45474</v>
      </c>
      <c r="D445" t="inlineStr">
        <is>
          <t>UPPSALA LÄN</t>
        </is>
      </c>
      <c r="E445" t="inlineStr">
        <is>
          <t>UPPSALA</t>
        </is>
      </c>
      <c r="F445" t="inlineStr">
        <is>
          <t>Allmännings- och besparingsskogar</t>
        </is>
      </c>
      <c r="G445" t="n">
        <v>20.5</v>
      </c>
      <c r="H445" t="n">
        <v>0</v>
      </c>
      <c r="I445" t="n">
        <v>0</v>
      </c>
      <c r="J445" t="n">
        <v>0</v>
      </c>
      <c r="K445" t="n">
        <v>0</v>
      </c>
      <c r="L445" t="n">
        <v>0</v>
      </c>
      <c r="M445" t="n">
        <v>0</v>
      </c>
      <c r="N445" t="n">
        <v>0</v>
      </c>
      <c r="O445" t="n">
        <v>0</v>
      </c>
      <c r="P445" t="n">
        <v>0</v>
      </c>
      <c r="Q445" t="n">
        <v>0</v>
      </c>
      <c r="R445" s="2" t="inlineStr"/>
    </row>
    <row r="446" ht="15" customHeight="1">
      <c r="A446" t="inlineStr">
        <is>
          <t>A 28694-2021</t>
        </is>
      </c>
      <c r="B446" s="1" t="n">
        <v>44357</v>
      </c>
      <c r="C446" s="1" t="n">
        <v>45474</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29145-2021</t>
        </is>
      </c>
      <c r="B447" s="1" t="n">
        <v>44358</v>
      </c>
      <c r="C447" s="1" t="n">
        <v>45474</v>
      </c>
      <c r="D447" t="inlineStr">
        <is>
          <t>UPPSALA LÄN</t>
        </is>
      </c>
      <c r="E447" t="inlineStr">
        <is>
          <t>UPPSALA</t>
        </is>
      </c>
      <c r="G447" t="n">
        <v>2.4</v>
      </c>
      <c r="H447" t="n">
        <v>0</v>
      </c>
      <c r="I447" t="n">
        <v>0</v>
      </c>
      <c r="J447" t="n">
        <v>0</v>
      </c>
      <c r="K447" t="n">
        <v>0</v>
      </c>
      <c r="L447" t="n">
        <v>0</v>
      </c>
      <c r="M447" t="n">
        <v>0</v>
      </c>
      <c r="N447" t="n">
        <v>0</v>
      </c>
      <c r="O447" t="n">
        <v>0</v>
      </c>
      <c r="P447" t="n">
        <v>0</v>
      </c>
      <c r="Q447" t="n">
        <v>0</v>
      </c>
      <c r="R447" s="2" t="inlineStr"/>
    </row>
    <row r="448" ht="15" customHeight="1">
      <c r="A448" t="inlineStr">
        <is>
          <t>A 30655-2021</t>
        </is>
      </c>
      <c r="B448" s="1" t="n">
        <v>44365</v>
      </c>
      <c r="C448" s="1" t="n">
        <v>45474</v>
      </c>
      <c r="D448" t="inlineStr">
        <is>
          <t>UPPSALA LÄN</t>
        </is>
      </c>
      <c r="E448" t="inlineStr">
        <is>
          <t>UPPSALA</t>
        </is>
      </c>
      <c r="F448" t="inlineStr">
        <is>
          <t>Holmen skog AB</t>
        </is>
      </c>
      <c r="G448" t="n">
        <v>5.8</v>
      </c>
      <c r="H448" t="n">
        <v>0</v>
      </c>
      <c r="I448" t="n">
        <v>0</v>
      </c>
      <c r="J448" t="n">
        <v>0</v>
      </c>
      <c r="K448" t="n">
        <v>0</v>
      </c>
      <c r="L448" t="n">
        <v>0</v>
      </c>
      <c r="M448" t="n">
        <v>0</v>
      </c>
      <c r="N448" t="n">
        <v>0</v>
      </c>
      <c r="O448" t="n">
        <v>0</v>
      </c>
      <c r="P448" t="n">
        <v>0</v>
      </c>
      <c r="Q448" t="n">
        <v>0</v>
      </c>
      <c r="R448" s="2" t="inlineStr"/>
    </row>
    <row r="449" ht="15" customHeight="1">
      <c r="A449" t="inlineStr">
        <is>
          <t>A 30656-2021</t>
        </is>
      </c>
      <c r="B449" s="1" t="n">
        <v>44365</v>
      </c>
      <c r="C449" s="1" t="n">
        <v>45474</v>
      </c>
      <c r="D449" t="inlineStr">
        <is>
          <t>UPPSALA LÄN</t>
        </is>
      </c>
      <c r="E449" t="inlineStr">
        <is>
          <t>UPPSALA</t>
        </is>
      </c>
      <c r="G449" t="n">
        <v>6.7</v>
      </c>
      <c r="H449" t="n">
        <v>0</v>
      </c>
      <c r="I449" t="n">
        <v>0</v>
      </c>
      <c r="J449" t="n">
        <v>0</v>
      </c>
      <c r="K449" t="n">
        <v>0</v>
      </c>
      <c r="L449" t="n">
        <v>0</v>
      </c>
      <c r="M449" t="n">
        <v>0</v>
      </c>
      <c r="N449" t="n">
        <v>0</v>
      </c>
      <c r="O449" t="n">
        <v>0</v>
      </c>
      <c r="P449" t="n">
        <v>0</v>
      </c>
      <c r="Q449" t="n">
        <v>0</v>
      </c>
      <c r="R449" s="2" t="inlineStr"/>
    </row>
    <row r="450" ht="15" customHeight="1">
      <c r="A450" t="inlineStr">
        <is>
          <t>A 31646-2021</t>
        </is>
      </c>
      <c r="B450" s="1" t="n">
        <v>44369</v>
      </c>
      <c r="C450" s="1" t="n">
        <v>45474</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31662-2021</t>
        </is>
      </c>
      <c r="B451" s="1" t="n">
        <v>44369</v>
      </c>
      <c r="C451" s="1" t="n">
        <v>45474</v>
      </c>
      <c r="D451" t="inlineStr">
        <is>
          <t>UPPSALA LÄN</t>
        </is>
      </c>
      <c r="E451" t="inlineStr">
        <is>
          <t>UPPSALA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31829-2021</t>
        </is>
      </c>
      <c r="B452" s="1" t="n">
        <v>44370</v>
      </c>
      <c r="C452" s="1" t="n">
        <v>45474</v>
      </c>
      <c r="D452" t="inlineStr">
        <is>
          <t>UPPSALA LÄN</t>
        </is>
      </c>
      <c r="E452" t="inlineStr">
        <is>
          <t>UPPSALA</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32276-2021</t>
        </is>
      </c>
      <c r="B453" s="1" t="n">
        <v>44371</v>
      </c>
      <c r="C453" s="1" t="n">
        <v>45474</v>
      </c>
      <c r="D453" t="inlineStr">
        <is>
          <t>UPPSALA LÄN</t>
        </is>
      </c>
      <c r="E453" t="inlineStr">
        <is>
          <t>UPPSALA</t>
        </is>
      </c>
      <c r="G453" t="n">
        <v>3.7</v>
      </c>
      <c r="H453" t="n">
        <v>0</v>
      </c>
      <c r="I453" t="n">
        <v>0</v>
      </c>
      <c r="J453" t="n">
        <v>0</v>
      </c>
      <c r="K453" t="n">
        <v>0</v>
      </c>
      <c r="L453" t="n">
        <v>0</v>
      </c>
      <c r="M453" t="n">
        <v>0</v>
      </c>
      <c r="N453" t="n">
        <v>0</v>
      </c>
      <c r="O453" t="n">
        <v>0</v>
      </c>
      <c r="P453" t="n">
        <v>0</v>
      </c>
      <c r="Q453" t="n">
        <v>0</v>
      </c>
      <c r="R453" s="2" t="inlineStr"/>
    </row>
    <row r="454" ht="15" customHeight="1">
      <c r="A454" t="inlineStr">
        <is>
          <t>A 32428-2021</t>
        </is>
      </c>
      <c r="B454" s="1" t="n">
        <v>44371</v>
      </c>
      <c r="C454" s="1" t="n">
        <v>45474</v>
      </c>
      <c r="D454" t="inlineStr">
        <is>
          <t>UPPSALA LÄN</t>
        </is>
      </c>
      <c r="E454" t="inlineStr">
        <is>
          <t>UPPSALA</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32955-2021</t>
        </is>
      </c>
      <c r="B455" s="1" t="n">
        <v>44376</v>
      </c>
      <c r="C455" s="1" t="n">
        <v>45474</v>
      </c>
      <c r="D455" t="inlineStr">
        <is>
          <t>UPPSALA LÄN</t>
        </is>
      </c>
      <c r="E455" t="inlineStr">
        <is>
          <t>UPPSALA</t>
        </is>
      </c>
      <c r="F455" t="inlineStr">
        <is>
          <t>Bergvik skog öst AB</t>
        </is>
      </c>
      <c r="G455" t="n">
        <v>10</v>
      </c>
      <c r="H455" t="n">
        <v>0</v>
      </c>
      <c r="I455" t="n">
        <v>0</v>
      </c>
      <c r="J455" t="n">
        <v>0</v>
      </c>
      <c r="K455" t="n">
        <v>0</v>
      </c>
      <c r="L455" t="n">
        <v>0</v>
      </c>
      <c r="M455" t="n">
        <v>0</v>
      </c>
      <c r="N455" t="n">
        <v>0</v>
      </c>
      <c r="O455" t="n">
        <v>0</v>
      </c>
      <c r="P455" t="n">
        <v>0</v>
      </c>
      <c r="Q455" t="n">
        <v>0</v>
      </c>
      <c r="R455" s="2" t="inlineStr"/>
    </row>
    <row r="456" ht="15" customHeight="1">
      <c r="A456" t="inlineStr">
        <is>
          <t>A 33797-2021</t>
        </is>
      </c>
      <c r="B456" s="1" t="n">
        <v>44378</v>
      </c>
      <c r="C456" s="1" t="n">
        <v>45474</v>
      </c>
      <c r="D456" t="inlineStr">
        <is>
          <t>UPPSALA LÄN</t>
        </is>
      </c>
      <c r="E456" t="inlineStr">
        <is>
          <t>UPPSALA</t>
        </is>
      </c>
      <c r="G456" t="n">
        <v>1</v>
      </c>
      <c r="H456" t="n">
        <v>0</v>
      </c>
      <c r="I456" t="n">
        <v>0</v>
      </c>
      <c r="J456" t="n">
        <v>0</v>
      </c>
      <c r="K456" t="n">
        <v>0</v>
      </c>
      <c r="L456" t="n">
        <v>0</v>
      </c>
      <c r="M456" t="n">
        <v>0</v>
      </c>
      <c r="N456" t="n">
        <v>0</v>
      </c>
      <c r="O456" t="n">
        <v>0</v>
      </c>
      <c r="P456" t="n">
        <v>0</v>
      </c>
      <c r="Q456" t="n">
        <v>0</v>
      </c>
      <c r="R456" s="2" t="inlineStr"/>
    </row>
    <row r="457" ht="15" customHeight="1">
      <c r="A457" t="inlineStr">
        <is>
          <t>A 33920-2021</t>
        </is>
      </c>
      <c r="B457" s="1" t="n">
        <v>44378</v>
      </c>
      <c r="C457" s="1" t="n">
        <v>45474</v>
      </c>
      <c r="D457" t="inlineStr">
        <is>
          <t>UPPSALA LÄN</t>
        </is>
      </c>
      <c r="E457" t="inlineStr">
        <is>
          <t>UPPSALA</t>
        </is>
      </c>
      <c r="F457" t="inlineStr">
        <is>
          <t>Bergvik skog öst AB</t>
        </is>
      </c>
      <c r="G457" t="n">
        <v>0.8</v>
      </c>
      <c r="H457" t="n">
        <v>0</v>
      </c>
      <c r="I457" t="n">
        <v>0</v>
      </c>
      <c r="J457" t="n">
        <v>0</v>
      </c>
      <c r="K457" t="n">
        <v>0</v>
      </c>
      <c r="L457" t="n">
        <v>0</v>
      </c>
      <c r="M457" t="n">
        <v>0</v>
      </c>
      <c r="N457" t="n">
        <v>0</v>
      </c>
      <c r="O457" t="n">
        <v>0</v>
      </c>
      <c r="P457" t="n">
        <v>0</v>
      </c>
      <c r="Q457" t="n">
        <v>0</v>
      </c>
      <c r="R457" s="2" t="inlineStr"/>
    </row>
    <row r="458" ht="15" customHeight="1">
      <c r="A458" t="inlineStr">
        <is>
          <t>A 34020-2021</t>
        </is>
      </c>
      <c r="B458" s="1" t="n">
        <v>44379</v>
      </c>
      <c r="C458" s="1" t="n">
        <v>45474</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34039-2021</t>
        </is>
      </c>
      <c r="B459" s="1" t="n">
        <v>44379</v>
      </c>
      <c r="C459" s="1" t="n">
        <v>45474</v>
      </c>
      <c r="D459" t="inlineStr">
        <is>
          <t>UPPSALA LÄN</t>
        </is>
      </c>
      <c r="E459" t="inlineStr">
        <is>
          <t>UPPSALA</t>
        </is>
      </c>
      <c r="G459" t="n">
        <v>0.7</v>
      </c>
      <c r="H459" t="n">
        <v>0</v>
      </c>
      <c r="I459" t="n">
        <v>0</v>
      </c>
      <c r="J459" t="n">
        <v>0</v>
      </c>
      <c r="K459" t="n">
        <v>0</v>
      </c>
      <c r="L459" t="n">
        <v>0</v>
      </c>
      <c r="M459" t="n">
        <v>0</v>
      </c>
      <c r="N459" t="n">
        <v>0</v>
      </c>
      <c r="O459" t="n">
        <v>0</v>
      </c>
      <c r="P459" t="n">
        <v>0</v>
      </c>
      <c r="Q459" t="n">
        <v>0</v>
      </c>
      <c r="R459" s="2" t="inlineStr"/>
    </row>
    <row r="460" ht="15" customHeight="1">
      <c r="A460" t="inlineStr">
        <is>
          <t>A 34043-2021</t>
        </is>
      </c>
      <c r="B460" s="1" t="n">
        <v>44379</v>
      </c>
      <c r="C460" s="1" t="n">
        <v>45474</v>
      </c>
      <c r="D460" t="inlineStr">
        <is>
          <t>UPPSALA LÄN</t>
        </is>
      </c>
      <c r="E460" t="inlineStr">
        <is>
          <t>UPPSALA</t>
        </is>
      </c>
      <c r="G460" t="n">
        <v>2.2</v>
      </c>
      <c r="H460" t="n">
        <v>0</v>
      </c>
      <c r="I460" t="n">
        <v>0</v>
      </c>
      <c r="J460" t="n">
        <v>0</v>
      </c>
      <c r="K460" t="n">
        <v>0</v>
      </c>
      <c r="L460" t="n">
        <v>0</v>
      </c>
      <c r="M460" t="n">
        <v>0</v>
      </c>
      <c r="N460" t="n">
        <v>0</v>
      </c>
      <c r="O460" t="n">
        <v>0</v>
      </c>
      <c r="P460" t="n">
        <v>0</v>
      </c>
      <c r="Q460" t="n">
        <v>0</v>
      </c>
      <c r="R460" s="2" t="inlineStr"/>
    </row>
    <row r="461" ht="15" customHeight="1">
      <c r="A461" t="inlineStr">
        <is>
          <t>A 34265-2021</t>
        </is>
      </c>
      <c r="B461" s="1" t="n">
        <v>44379</v>
      </c>
      <c r="C461" s="1" t="n">
        <v>45474</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34249-2021</t>
        </is>
      </c>
      <c r="B462" s="1" t="n">
        <v>44379</v>
      </c>
      <c r="C462" s="1" t="n">
        <v>45474</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34243-2021</t>
        </is>
      </c>
      <c r="B463" s="1" t="n">
        <v>44379</v>
      </c>
      <c r="C463" s="1" t="n">
        <v>45474</v>
      </c>
      <c r="D463" t="inlineStr">
        <is>
          <t>UPPSALA LÄN</t>
        </is>
      </c>
      <c r="E463" t="inlineStr">
        <is>
          <t>UPPSALA</t>
        </is>
      </c>
      <c r="G463" t="n">
        <v>1.9</v>
      </c>
      <c r="H463" t="n">
        <v>0</v>
      </c>
      <c r="I463" t="n">
        <v>0</v>
      </c>
      <c r="J463" t="n">
        <v>0</v>
      </c>
      <c r="K463" t="n">
        <v>0</v>
      </c>
      <c r="L463" t="n">
        <v>0</v>
      </c>
      <c r="M463" t="n">
        <v>0</v>
      </c>
      <c r="N463" t="n">
        <v>0</v>
      </c>
      <c r="O463" t="n">
        <v>0</v>
      </c>
      <c r="P463" t="n">
        <v>0</v>
      </c>
      <c r="Q463" t="n">
        <v>0</v>
      </c>
      <c r="R463" s="2" t="inlineStr"/>
    </row>
    <row r="464" ht="15" customHeight="1">
      <c r="A464" t="inlineStr">
        <is>
          <t>A 34263-2021</t>
        </is>
      </c>
      <c r="B464" s="1" t="n">
        <v>44379</v>
      </c>
      <c r="C464" s="1" t="n">
        <v>45474</v>
      </c>
      <c r="D464" t="inlineStr">
        <is>
          <t>UPPSALA LÄN</t>
        </is>
      </c>
      <c r="E464" t="inlineStr">
        <is>
          <t>UPPSALA</t>
        </is>
      </c>
      <c r="G464" t="n">
        <v>5.8</v>
      </c>
      <c r="H464" t="n">
        <v>0</v>
      </c>
      <c r="I464" t="n">
        <v>0</v>
      </c>
      <c r="J464" t="n">
        <v>0</v>
      </c>
      <c r="K464" t="n">
        <v>0</v>
      </c>
      <c r="L464" t="n">
        <v>0</v>
      </c>
      <c r="M464" t="n">
        <v>0</v>
      </c>
      <c r="N464" t="n">
        <v>0</v>
      </c>
      <c r="O464" t="n">
        <v>0</v>
      </c>
      <c r="P464" t="n">
        <v>0</v>
      </c>
      <c r="Q464" t="n">
        <v>0</v>
      </c>
      <c r="R464" s="2" t="inlineStr"/>
    </row>
    <row r="465" ht="15" customHeight="1">
      <c r="A465" t="inlineStr">
        <is>
          <t>A 34838-2021</t>
        </is>
      </c>
      <c r="B465" s="1" t="n">
        <v>44383</v>
      </c>
      <c r="C465" s="1" t="n">
        <v>45474</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34825-2021</t>
        </is>
      </c>
      <c r="B466" s="1" t="n">
        <v>44383</v>
      </c>
      <c r="C466" s="1" t="n">
        <v>45474</v>
      </c>
      <c r="D466" t="inlineStr">
        <is>
          <t>UPPSALA LÄN</t>
        </is>
      </c>
      <c r="E466" t="inlineStr">
        <is>
          <t>UPPSALA</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35630-2021</t>
        </is>
      </c>
      <c r="B467" s="1" t="n">
        <v>44386</v>
      </c>
      <c r="C467" s="1" t="n">
        <v>45474</v>
      </c>
      <c r="D467" t="inlineStr">
        <is>
          <t>UPPSALA LÄN</t>
        </is>
      </c>
      <c r="E467" t="inlineStr">
        <is>
          <t>UPPSALA</t>
        </is>
      </c>
      <c r="G467" t="n">
        <v>6</v>
      </c>
      <c r="H467" t="n">
        <v>0</v>
      </c>
      <c r="I467" t="n">
        <v>0</v>
      </c>
      <c r="J467" t="n">
        <v>0</v>
      </c>
      <c r="K467" t="n">
        <v>0</v>
      </c>
      <c r="L467" t="n">
        <v>0</v>
      </c>
      <c r="M467" t="n">
        <v>0</v>
      </c>
      <c r="N467" t="n">
        <v>0</v>
      </c>
      <c r="O467" t="n">
        <v>0</v>
      </c>
      <c r="P467" t="n">
        <v>0</v>
      </c>
      <c r="Q467" t="n">
        <v>0</v>
      </c>
      <c r="R467" s="2" t="inlineStr"/>
    </row>
    <row r="468" ht="15" customHeight="1">
      <c r="A468" t="inlineStr">
        <is>
          <t>A 36304-2021</t>
        </is>
      </c>
      <c r="B468" s="1" t="n">
        <v>44390</v>
      </c>
      <c r="C468" s="1" t="n">
        <v>45474</v>
      </c>
      <c r="D468" t="inlineStr">
        <is>
          <t>UPPSALA LÄN</t>
        </is>
      </c>
      <c r="E468" t="inlineStr">
        <is>
          <t>UPPSALA</t>
        </is>
      </c>
      <c r="G468" t="n">
        <v>7.4</v>
      </c>
      <c r="H468" t="n">
        <v>0</v>
      </c>
      <c r="I468" t="n">
        <v>0</v>
      </c>
      <c r="J468" t="n">
        <v>0</v>
      </c>
      <c r="K468" t="n">
        <v>0</v>
      </c>
      <c r="L468" t="n">
        <v>0</v>
      </c>
      <c r="M468" t="n">
        <v>0</v>
      </c>
      <c r="N468" t="n">
        <v>0</v>
      </c>
      <c r="O468" t="n">
        <v>0</v>
      </c>
      <c r="P468" t="n">
        <v>0</v>
      </c>
      <c r="Q468" t="n">
        <v>0</v>
      </c>
      <c r="R468" s="2" t="inlineStr"/>
    </row>
    <row r="469" ht="15" customHeight="1">
      <c r="A469" t="inlineStr">
        <is>
          <t>A 36721-2021</t>
        </is>
      </c>
      <c r="B469" s="1" t="n">
        <v>44392</v>
      </c>
      <c r="C469" s="1" t="n">
        <v>45474</v>
      </c>
      <c r="D469" t="inlineStr">
        <is>
          <t>UPPSALA LÄN</t>
        </is>
      </c>
      <c r="E469" t="inlineStr">
        <is>
          <t>UPPSALA</t>
        </is>
      </c>
      <c r="F469" t="inlineStr">
        <is>
          <t>Bergvik skog öst AB</t>
        </is>
      </c>
      <c r="G469" t="n">
        <v>5.8</v>
      </c>
      <c r="H469" t="n">
        <v>0</v>
      </c>
      <c r="I469" t="n">
        <v>0</v>
      </c>
      <c r="J469" t="n">
        <v>0</v>
      </c>
      <c r="K469" t="n">
        <v>0</v>
      </c>
      <c r="L469" t="n">
        <v>0</v>
      </c>
      <c r="M469" t="n">
        <v>0</v>
      </c>
      <c r="N469" t="n">
        <v>0</v>
      </c>
      <c r="O469" t="n">
        <v>0</v>
      </c>
      <c r="P469" t="n">
        <v>0</v>
      </c>
      <c r="Q469" t="n">
        <v>0</v>
      </c>
      <c r="R469" s="2" t="inlineStr"/>
    </row>
    <row r="470" ht="15" customHeight="1">
      <c r="A470" t="inlineStr">
        <is>
          <t>A 36998-2021</t>
        </is>
      </c>
      <c r="B470" s="1" t="n">
        <v>44393</v>
      </c>
      <c r="C470" s="1" t="n">
        <v>45474</v>
      </c>
      <c r="D470" t="inlineStr">
        <is>
          <t>UPPSALA LÄN</t>
        </is>
      </c>
      <c r="E470" t="inlineStr">
        <is>
          <t>UPPSALA</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37162-2021</t>
        </is>
      </c>
      <c r="B471" s="1" t="n">
        <v>44395</v>
      </c>
      <c r="C471" s="1" t="n">
        <v>45474</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37763-2021</t>
        </is>
      </c>
      <c r="B472" s="1" t="n">
        <v>44400</v>
      </c>
      <c r="C472" s="1" t="n">
        <v>45474</v>
      </c>
      <c r="D472" t="inlineStr">
        <is>
          <t>UPPSALA LÄN</t>
        </is>
      </c>
      <c r="E472" t="inlineStr">
        <is>
          <t>UPPSALA</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37819-2021</t>
        </is>
      </c>
      <c r="B473" s="1" t="n">
        <v>44403</v>
      </c>
      <c r="C473" s="1" t="n">
        <v>45474</v>
      </c>
      <c r="D473" t="inlineStr">
        <is>
          <t>UPPSALA LÄN</t>
        </is>
      </c>
      <c r="E473" t="inlineStr">
        <is>
          <t>UPPSALA</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37820-2021</t>
        </is>
      </c>
      <c r="B474" s="1" t="n">
        <v>44403</v>
      </c>
      <c r="C474" s="1" t="n">
        <v>45474</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38469-2021</t>
        </is>
      </c>
      <c r="B475" s="1" t="n">
        <v>44407</v>
      </c>
      <c r="C475" s="1" t="n">
        <v>45474</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38463-2021</t>
        </is>
      </c>
      <c r="B476" s="1" t="n">
        <v>44407</v>
      </c>
      <c r="C476" s="1" t="n">
        <v>45474</v>
      </c>
      <c r="D476" t="inlineStr">
        <is>
          <t>UPPSALA LÄN</t>
        </is>
      </c>
      <c r="E476" t="inlineStr">
        <is>
          <t>UPPSALA</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40500-2021</t>
        </is>
      </c>
      <c r="B477" s="1" t="n">
        <v>44420</v>
      </c>
      <c r="C477" s="1" t="n">
        <v>45474</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40507-2021</t>
        </is>
      </c>
      <c r="B478" s="1" t="n">
        <v>44420</v>
      </c>
      <c r="C478" s="1" t="n">
        <v>45474</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42124-2021</t>
        </is>
      </c>
      <c r="B479" s="1" t="n">
        <v>44426</v>
      </c>
      <c r="C479" s="1" t="n">
        <v>45474</v>
      </c>
      <c r="D479" t="inlineStr">
        <is>
          <t>UPPSALA LÄN</t>
        </is>
      </c>
      <c r="E479" t="inlineStr">
        <is>
          <t>UPPSALA</t>
        </is>
      </c>
      <c r="G479" t="n">
        <v>6.3</v>
      </c>
      <c r="H479" t="n">
        <v>0</v>
      </c>
      <c r="I479" t="n">
        <v>0</v>
      </c>
      <c r="J479" t="n">
        <v>0</v>
      </c>
      <c r="K479" t="n">
        <v>0</v>
      </c>
      <c r="L479" t="n">
        <v>0</v>
      </c>
      <c r="M479" t="n">
        <v>0</v>
      </c>
      <c r="N479" t="n">
        <v>0</v>
      </c>
      <c r="O479" t="n">
        <v>0</v>
      </c>
      <c r="P479" t="n">
        <v>0</v>
      </c>
      <c r="Q479" t="n">
        <v>0</v>
      </c>
      <c r="R479" s="2" t="inlineStr"/>
    </row>
    <row r="480" ht="15" customHeight="1">
      <c r="A480" t="inlineStr">
        <is>
          <t>A 42294-2021</t>
        </is>
      </c>
      <c r="B480" s="1" t="n">
        <v>44427</v>
      </c>
      <c r="C480" s="1" t="n">
        <v>45474</v>
      </c>
      <c r="D480" t="inlineStr">
        <is>
          <t>UPPSALA LÄN</t>
        </is>
      </c>
      <c r="E480" t="inlineStr">
        <is>
          <t>UPPSALA</t>
        </is>
      </c>
      <c r="G480" t="n">
        <v>1.6</v>
      </c>
      <c r="H480" t="n">
        <v>0</v>
      </c>
      <c r="I480" t="n">
        <v>0</v>
      </c>
      <c r="J480" t="n">
        <v>0</v>
      </c>
      <c r="K480" t="n">
        <v>0</v>
      </c>
      <c r="L480" t="n">
        <v>0</v>
      </c>
      <c r="M480" t="n">
        <v>0</v>
      </c>
      <c r="N480" t="n">
        <v>0</v>
      </c>
      <c r="O480" t="n">
        <v>0</v>
      </c>
      <c r="P480" t="n">
        <v>0</v>
      </c>
      <c r="Q480" t="n">
        <v>0</v>
      </c>
      <c r="R480" s="2" t="inlineStr"/>
    </row>
    <row r="481" ht="15" customHeight="1">
      <c r="A481" t="inlineStr">
        <is>
          <t>A 44315-2021</t>
        </is>
      </c>
      <c r="B481" s="1" t="n">
        <v>44435</v>
      </c>
      <c r="C481" s="1" t="n">
        <v>45474</v>
      </c>
      <c r="D481" t="inlineStr">
        <is>
          <t>UPPSALA LÄN</t>
        </is>
      </c>
      <c r="E481" t="inlineStr">
        <is>
          <t>UPPSALA</t>
        </is>
      </c>
      <c r="G481" t="n">
        <v>5.2</v>
      </c>
      <c r="H481" t="n">
        <v>0</v>
      </c>
      <c r="I481" t="n">
        <v>0</v>
      </c>
      <c r="J481" t="n">
        <v>0</v>
      </c>
      <c r="K481" t="n">
        <v>0</v>
      </c>
      <c r="L481" t="n">
        <v>0</v>
      </c>
      <c r="M481" t="n">
        <v>0</v>
      </c>
      <c r="N481" t="n">
        <v>0</v>
      </c>
      <c r="O481" t="n">
        <v>0</v>
      </c>
      <c r="P481" t="n">
        <v>0</v>
      </c>
      <c r="Q481" t="n">
        <v>0</v>
      </c>
      <c r="R481" s="2" t="inlineStr"/>
    </row>
    <row r="482" ht="15" customHeight="1">
      <c r="A482" t="inlineStr">
        <is>
          <t>A 44781-2021</t>
        </is>
      </c>
      <c r="B482" s="1" t="n">
        <v>44438</v>
      </c>
      <c r="C482" s="1" t="n">
        <v>45474</v>
      </c>
      <c r="D482" t="inlineStr">
        <is>
          <t>UPPSALA LÄN</t>
        </is>
      </c>
      <c r="E482" t="inlineStr">
        <is>
          <t>UPPSALA</t>
        </is>
      </c>
      <c r="F482" t="inlineStr">
        <is>
          <t>Sveaskog</t>
        </is>
      </c>
      <c r="G482" t="n">
        <v>0.1</v>
      </c>
      <c r="H482" t="n">
        <v>0</v>
      </c>
      <c r="I482" t="n">
        <v>0</v>
      </c>
      <c r="J482" t="n">
        <v>0</v>
      </c>
      <c r="K482" t="n">
        <v>0</v>
      </c>
      <c r="L482" t="n">
        <v>0</v>
      </c>
      <c r="M482" t="n">
        <v>0</v>
      </c>
      <c r="N482" t="n">
        <v>0</v>
      </c>
      <c r="O482" t="n">
        <v>0</v>
      </c>
      <c r="P482" t="n">
        <v>0</v>
      </c>
      <c r="Q482" t="n">
        <v>0</v>
      </c>
      <c r="R482" s="2" t="inlineStr"/>
    </row>
    <row r="483" ht="15" customHeight="1">
      <c r="A483" t="inlineStr">
        <is>
          <t>A 46097-2021</t>
        </is>
      </c>
      <c r="B483" s="1" t="n">
        <v>44442</v>
      </c>
      <c r="C483" s="1" t="n">
        <v>45474</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46099-2021</t>
        </is>
      </c>
      <c r="B484" s="1" t="n">
        <v>44442</v>
      </c>
      <c r="C484" s="1" t="n">
        <v>45474</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46553-2021</t>
        </is>
      </c>
      <c r="B485" s="1" t="n">
        <v>44445</v>
      </c>
      <c r="C485" s="1" t="n">
        <v>45474</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46920-2021</t>
        </is>
      </c>
      <c r="B486" s="1" t="n">
        <v>44446</v>
      </c>
      <c r="C486" s="1" t="n">
        <v>45474</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46916-2021</t>
        </is>
      </c>
      <c r="B487" s="1" t="n">
        <v>44446</v>
      </c>
      <c r="C487" s="1" t="n">
        <v>45474</v>
      </c>
      <c r="D487" t="inlineStr">
        <is>
          <t>UPPSALA LÄN</t>
        </is>
      </c>
      <c r="E487" t="inlineStr">
        <is>
          <t>UPPSALA</t>
        </is>
      </c>
      <c r="G487" t="n">
        <v>2.2</v>
      </c>
      <c r="H487" t="n">
        <v>0</v>
      </c>
      <c r="I487" t="n">
        <v>0</v>
      </c>
      <c r="J487" t="n">
        <v>0</v>
      </c>
      <c r="K487" t="n">
        <v>0</v>
      </c>
      <c r="L487" t="n">
        <v>0</v>
      </c>
      <c r="M487" t="n">
        <v>0</v>
      </c>
      <c r="N487" t="n">
        <v>0</v>
      </c>
      <c r="O487" t="n">
        <v>0</v>
      </c>
      <c r="P487" t="n">
        <v>0</v>
      </c>
      <c r="Q487" t="n">
        <v>0</v>
      </c>
      <c r="R487" s="2" t="inlineStr"/>
    </row>
    <row r="488" ht="15" customHeight="1">
      <c r="A488" t="inlineStr">
        <is>
          <t>A 47367-2021</t>
        </is>
      </c>
      <c r="B488" s="1" t="n">
        <v>44447</v>
      </c>
      <c r="C488" s="1" t="n">
        <v>45474</v>
      </c>
      <c r="D488" t="inlineStr">
        <is>
          <t>UPPSALA LÄN</t>
        </is>
      </c>
      <c r="E488" t="inlineStr">
        <is>
          <t>UPPSALA</t>
        </is>
      </c>
      <c r="G488" t="n">
        <v>3.8</v>
      </c>
      <c r="H488" t="n">
        <v>0</v>
      </c>
      <c r="I488" t="n">
        <v>0</v>
      </c>
      <c r="J488" t="n">
        <v>0</v>
      </c>
      <c r="K488" t="n">
        <v>0</v>
      </c>
      <c r="L488" t="n">
        <v>0</v>
      </c>
      <c r="M488" t="n">
        <v>0</v>
      </c>
      <c r="N488" t="n">
        <v>0</v>
      </c>
      <c r="O488" t="n">
        <v>0</v>
      </c>
      <c r="P488" t="n">
        <v>0</v>
      </c>
      <c r="Q488" t="n">
        <v>0</v>
      </c>
      <c r="R488" s="2" t="inlineStr"/>
    </row>
    <row r="489" ht="15" customHeight="1">
      <c r="A489" t="inlineStr">
        <is>
          <t>A 48918-2021</t>
        </is>
      </c>
      <c r="B489" s="1" t="n">
        <v>44453</v>
      </c>
      <c r="C489" s="1" t="n">
        <v>45474</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49274-2021</t>
        </is>
      </c>
      <c r="B490" s="1" t="n">
        <v>44454</v>
      </c>
      <c r="C490" s="1" t="n">
        <v>45474</v>
      </c>
      <c r="D490" t="inlineStr">
        <is>
          <t>UPPSALA LÄN</t>
        </is>
      </c>
      <c r="E490" t="inlineStr">
        <is>
          <t>UPPSALA</t>
        </is>
      </c>
      <c r="G490" t="n">
        <v>8.5</v>
      </c>
      <c r="H490" t="n">
        <v>0</v>
      </c>
      <c r="I490" t="n">
        <v>0</v>
      </c>
      <c r="J490" t="n">
        <v>0</v>
      </c>
      <c r="K490" t="n">
        <v>0</v>
      </c>
      <c r="L490" t="n">
        <v>0</v>
      </c>
      <c r="M490" t="n">
        <v>0</v>
      </c>
      <c r="N490" t="n">
        <v>0</v>
      </c>
      <c r="O490" t="n">
        <v>0</v>
      </c>
      <c r="P490" t="n">
        <v>0</v>
      </c>
      <c r="Q490" t="n">
        <v>0</v>
      </c>
      <c r="R490" s="2" t="inlineStr"/>
    </row>
    <row r="491" ht="15" customHeight="1">
      <c r="A491" t="inlineStr">
        <is>
          <t>A 51050-2021</t>
        </is>
      </c>
      <c r="B491" s="1" t="n">
        <v>44459</v>
      </c>
      <c r="C491" s="1" t="n">
        <v>45474</v>
      </c>
      <c r="D491" t="inlineStr">
        <is>
          <t>UPPSALA LÄN</t>
        </is>
      </c>
      <c r="E491" t="inlineStr">
        <is>
          <t>UPPSALA</t>
        </is>
      </c>
      <c r="F491" t="inlineStr">
        <is>
          <t>Övriga Aktiebolag</t>
        </is>
      </c>
      <c r="G491" t="n">
        <v>7.5</v>
      </c>
      <c r="H491" t="n">
        <v>0</v>
      </c>
      <c r="I491" t="n">
        <v>0</v>
      </c>
      <c r="J491" t="n">
        <v>0</v>
      </c>
      <c r="K491" t="n">
        <v>0</v>
      </c>
      <c r="L491" t="n">
        <v>0</v>
      </c>
      <c r="M491" t="n">
        <v>0</v>
      </c>
      <c r="N491" t="n">
        <v>0</v>
      </c>
      <c r="O491" t="n">
        <v>0</v>
      </c>
      <c r="P491" t="n">
        <v>0</v>
      </c>
      <c r="Q491" t="n">
        <v>0</v>
      </c>
      <c r="R491" s="2" t="inlineStr"/>
    </row>
    <row r="492" ht="15" customHeight="1">
      <c r="A492" t="inlineStr">
        <is>
          <t>A 51821-2021</t>
        </is>
      </c>
      <c r="B492" s="1" t="n">
        <v>44461</v>
      </c>
      <c r="C492" s="1" t="n">
        <v>45474</v>
      </c>
      <c r="D492" t="inlineStr">
        <is>
          <t>UPPSALA LÄN</t>
        </is>
      </c>
      <c r="E492" t="inlineStr">
        <is>
          <t>UPPSALA</t>
        </is>
      </c>
      <c r="F492" t="inlineStr">
        <is>
          <t>Övriga Aktiebolag</t>
        </is>
      </c>
      <c r="G492" t="n">
        <v>5.3</v>
      </c>
      <c r="H492" t="n">
        <v>0</v>
      </c>
      <c r="I492" t="n">
        <v>0</v>
      </c>
      <c r="J492" t="n">
        <v>0</v>
      </c>
      <c r="K492" t="n">
        <v>0</v>
      </c>
      <c r="L492" t="n">
        <v>0</v>
      </c>
      <c r="M492" t="n">
        <v>0</v>
      </c>
      <c r="N492" t="n">
        <v>0</v>
      </c>
      <c r="O492" t="n">
        <v>0</v>
      </c>
      <c r="P492" t="n">
        <v>0</v>
      </c>
      <c r="Q492" t="n">
        <v>0</v>
      </c>
      <c r="R492" s="2" t="inlineStr"/>
    </row>
    <row r="493" ht="15" customHeight="1">
      <c r="A493" t="inlineStr">
        <is>
          <t>A 51396-2021</t>
        </is>
      </c>
      <c r="B493" s="1" t="n">
        <v>44461</v>
      </c>
      <c r="C493" s="1" t="n">
        <v>45474</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52083-2021</t>
        </is>
      </c>
      <c r="B494" s="1" t="n">
        <v>44463</v>
      </c>
      <c r="C494" s="1" t="n">
        <v>45474</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54168-2021</t>
        </is>
      </c>
      <c r="B495" s="1" t="n">
        <v>44470</v>
      </c>
      <c r="C495" s="1" t="n">
        <v>45474</v>
      </c>
      <c r="D495" t="inlineStr">
        <is>
          <t>UPPSALA LÄN</t>
        </is>
      </c>
      <c r="E495" t="inlineStr">
        <is>
          <t>UPPSALA</t>
        </is>
      </c>
      <c r="G495" t="n">
        <v>7.5</v>
      </c>
      <c r="H495" t="n">
        <v>0</v>
      </c>
      <c r="I495" t="n">
        <v>0</v>
      </c>
      <c r="J495" t="n">
        <v>0</v>
      </c>
      <c r="K495" t="n">
        <v>0</v>
      </c>
      <c r="L495" t="n">
        <v>0</v>
      </c>
      <c r="M495" t="n">
        <v>0</v>
      </c>
      <c r="N495" t="n">
        <v>0</v>
      </c>
      <c r="O495" t="n">
        <v>0</v>
      </c>
      <c r="P495" t="n">
        <v>0</v>
      </c>
      <c r="Q495" t="n">
        <v>0</v>
      </c>
      <c r="R495" s="2" t="inlineStr"/>
    </row>
    <row r="496" ht="15" customHeight="1">
      <c r="A496" t="inlineStr">
        <is>
          <t>A 55823-2021</t>
        </is>
      </c>
      <c r="B496" s="1" t="n">
        <v>44476</v>
      </c>
      <c r="C496" s="1" t="n">
        <v>45474</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56042-2021</t>
        </is>
      </c>
      <c r="B497" s="1" t="n">
        <v>44477</v>
      </c>
      <c r="C497" s="1" t="n">
        <v>45474</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56049-2021</t>
        </is>
      </c>
      <c r="B498" s="1" t="n">
        <v>44477</v>
      </c>
      <c r="C498" s="1" t="n">
        <v>45474</v>
      </c>
      <c r="D498" t="inlineStr">
        <is>
          <t>UPPSALA LÄN</t>
        </is>
      </c>
      <c r="E498" t="inlineStr">
        <is>
          <t>UPPSALA</t>
        </is>
      </c>
      <c r="G498" t="n">
        <v>1.4</v>
      </c>
      <c r="H498" t="n">
        <v>0</v>
      </c>
      <c r="I498" t="n">
        <v>0</v>
      </c>
      <c r="J498" t="n">
        <v>0</v>
      </c>
      <c r="K498" t="n">
        <v>0</v>
      </c>
      <c r="L498" t="n">
        <v>0</v>
      </c>
      <c r="M498" t="n">
        <v>0</v>
      </c>
      <c r="N498" t="n">
        <v>0</v>
      </c>
      <c r="O498" t="n">
        <v>0</v>
      </c>
      <c r="P498" t="n">
        <v>0</v>
      </c>
      <c r="Q498" t="n">
        <v>0</v>
      </c>
      <c r="R498" s="2" t="inlineStr"/>
    </row>
    <row r="499" ht="15" customHeight="1">
      <c r="A499" t="inlineStr">
        <is>
          <t>A 56463-2021</t>
        </is>
      </c>
      <c r="B499" s="1" t="n">
        <v>44479</v>
      </c>
      <c r="C499" s="1" t="n">
        <v>45474</v>
      </c>
      <c r="D499" t="inlineStr">
        <is>
          <t>UPPSALA LÄN</t>
        </is>
      </c>
      <c r="E499" t="inlineStr">
        <is>
          <t>UPPSALA</t>
        </is>
      </c>
      <c r="G499" t="n">
        <v>6.4</v>
      </c>
      <c r="H499" t="n">
        <v>0</v>
      </c>
      <c r="I499" t="n">
        <v>0</v>
      </c>
      <c r="J499" t="n">
        <v>0</v>
      </c>
      <c r="K499" t="n">
        <v>0</v>
      </c>
      <c r="L499" t="n">
        <v>0</v>
      </c>
      <c r="M499" t="n">
        <v>0</v>
      </c>
      <c r="N499" t="n">
        <v>0</v>
      </c>
      <c r="O499" t="n">
        <v>0</v>
      </c>
      <c r="P499" t="n">
        <v>0</v>
      </c>
      <c r="Q499" t="n">
        <v>0</v>
      </c>
      <c r="R499" s="2" t="inlineStr"/>
    </row>
    <row r="500" ht="15" customHeight="1">
      <c r="A500" t="inlineStr">
        <is>
          <t>A 56769-2021</t>
        </is>
      </c>
      <c r="B500" s="1" t="n">
        <v>44481</v>
      </c>
      <c r="C500" s="1" t="n">
        <v>45474</v>
      </c>
      <c r="D500" t="inlineStr">
        <is>
          <t>UPPSALA LÄN</t>
        </is>
      </c>
      <c r="E500" t="inlineStr">
        <is>
          <t>UPPSALA</t>
        </is>
      </c>
      <c r="G500" t="n">
        <v>3.8</v>
      </c>
      <c r="H500" t="n">
        <v>0</v>
      </c>
      <c r="I500" t="n">
        <v>0</v>
      </c>
      <c r="J500" t="n">
        <v>0</v>
      </c>
      <c r="K500" t="n">
        <v>0</v>
      </c>
      <c r="L500" t="n">
        <v>0</v>
      </c>
      <c r="M500" t="n">
        <v>0</v>
      </c>
      <c r="N500" t="n">
        <v>0</v>
      </c>
      <c r="O500" t="n">
        <v>0</v>
      </c>
      <c r="P500" t="n">
        <v>0</v>
      </c>
      <c r="Q500" t="n">
        <v>0</v>
      </c>
      <c r="R500" s="2" t="inlineStr"/>
    </row>
    <row r="501" ht="15" customHeight="1">
      <c r="A501" t="inlineStr">
        <is>
          <t>A 57647-2021</t>
        </is>
      </c>
      <c r="B501" s="1" t="n">
        <v>44484</v>
      </c>
      <c r="C501" s="1" t="n">
        <v>45474</v>
      </c>
      <c r="D501" t="inlineStr">
        <is>
          <t>UPPSALA LÄN</t>
        </is>
      </c>
      <c r="E501" t="inlineStr">
        <is>
          <t>UPPSALA</t>
        </is>
      </c>
      <c r="G501" t="n">
        <v>2.3</v>
      </c>
      <c r="H501" t="n">
        <v>0</v>
      </c>
      <c r="I501" t="n">
        <v>0</v>
      </c>
      <c r="J501" t="n">
        <v>0</v>
      </c>
      <c r="K501" t="n">
        <v>0</v>
      </c>
      <c r="L501" t="n">
        <v>0</v>
      </c>
      <c r="M501" t="n">
        <v>0</v>
      </c>
      <c r="N501" t="n">
        <v>0</v>
      </c>
      <c r="O501" t="n">
        <v>0</v>
      </c>
      <c r="P501" t="n">
        <v>0</v>
      </c>
      <c r="Q501" t="n">
        <v>0</v>
      </c>
      <c r="R501" s="2" t="inlineStr"/>
    </row>
    <row r="502" ht="15" customHeight="1">
      <c r="A502" t="inlineStr">
        <is>
          <t>A 57890-2021</t>
        </is>
      </c>
      <c r="B502" s="1" t="n">
        <v>44486</v>
      </c>
      <c r="C502" s="1" t="n">
        <v>45474</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58767-2021</t>
        </is>
      </c>
      <c r="B503" s="1" t="n">
        <v>44489</v>
      </c>
      <c r="C503" s="1" t="n">
        <v>45474</v>
      </c>
      <c r="D503" t="inlineStr">
        <is>
          <t>UPPSALA LÄN</t>
        </is>
      </c>
      <c r="E503" t="inlineStr">
        <is>
          <t>UPPSALA</t>
        </is>
      </c>
      <c r="G503" t="n">
        <v>4.8</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45474</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59241-2021</t>
        </is>
      </c>
      <c r="B505" s="1" t="n">
        <v>44490</v>
      </c>
      <c r="C505" s="1" t="n">
        <v>45474</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59484-2021</t>
        </is>
      </c>
      <c r="B506" s="1" t="n">
        <v>44491</v>
      </c>
      <c r="C506" s="1" t="n">
        <v>45474</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59500-2021</t>
        </is>
      </c>
      <c r="B507" s="1" t="n">
        <v>44491</v>
      </c>
      <c r="C507" s="1" t="n">
        <v>45474</v>
      </c>
      <c r="D507" t="inlineStr">
        <is>
          <t>UPPSALA LÄN</t>
        </is>
      </c>
      <c r="E507" t="inlineStr">
        <is>
          <t>UPPSALA</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v>
      </c>
      <c r="C508" s="1" t="n">
        <v>45474</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59881-2021</t>
        </is>
      </c>
      <c r="B509" s="1" t="n">
        <v>44494</v>
      </c>
      <c r="C509" s="1" t="n">
        <v>45474</v>
      </c>
      <c r="D509" t="inlineStr">
        <is>
          <t>UPPSALA LÄN</t>
        </is>
      </c>
      <c r="E509" t="inlineStr">
        <is>
          <t>UPPSALA</t>
        </is>
      </c>
      <c r="F509" t="inlineStr">
        <is>
          <t>Allmännings- och besparingsskogar</t>
        </is>
      </c>
      <c r="G509" t="n">
        <v>1.6</v>
      </c>
      <c r="H509" t="n">
        <v>0</v>
      </c>
      <c r="I509" t="n">
        <v>0</v>
      </c>
      <c r="J509" t="n">
        <v>0</v>
      </c>
      <c r="K509" t="n">
        <v>0</v>
      </c>
      <c r="L509" t="n">
        <v>0</v>
      </c>
      <c r="M509" t="n">
        <v>0</v>
      </c>
      <c r="N509" t="n">
        <v>0</v>
      </c>
      <c r="O509" t="n">
        <v>0</v>
      </c>
      <c r="P509" t="n">
        <v>0</v>
      </c>
      <c r="Q509" t="n">
        <v>0</v>
      </c>
      <c r="R509" s="2" t="inlineStr"/>
    </row>
    <row r="510" ht="15" customHeight="1">
      <c r="A510" t="inlineStr">
        <is>
          <t>A 60032-2021</t>
        </is>
      </c>
      <c r="B510" s="1" t="n">
        <v>44495</v>
      </c>
      <c r="C510" s="1" t="n">
        <v>45474</v>
      </c>
      <c r="D510" t="inlineStr">
        <is>
          <t>UPPSALA LÄN</t>
        </is>
      </c>
      <c r="E510" t="inlineStr">
        <is>
          <t>UPPSALA</t>
        </is>
      </c>
      <c r="G510" t="n">
        <v>1.8</v>
      </c>
      <c r="H510" t="n">
        <v>0</v>
      </c>
      <c r="I510" t="n">
        <v>0</v>
      </c>
      <c r="J510" t="n">
        <v>0</v>
      </c>
      <c r="K510" t="n">
        <v>0</v>
      </c>
      <c r="L510" t="n">
        <v>0</v>
      </c>
      <c r="M510" t="n">
        <v>0</v>
      </c>
      <c r="N510" t="n">
        <v>0</v>
      </c>
      <c r="O510" t="n">
        <v>0</v>
      </c>
      <c r="P510" t="n">
        <v>0</v>
      </c>
      <c r="Q510" t="n">
        <v>0</v>
      </c>
      <c r="R510" s="2" t="inlineStr"/>
    </row>
    <row r="511" ht="15" customHeight="1">
      <c r="A511" t="inlineStr">
        <is>
          <t>A 61008-2021</t>
        </is>
      </c>
      <c r="B511" s="1" t="n">
        <v>44497</v>
      </c>
      <c r="C511" s="1" t="n">
        <v>45474</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60917-2021</t>
        </is>
      </c>
      <c r="B512" s="1" t="n">
        <v>44497</v>
      </c>
      <c r="C512" s="1" t="n">
        <v>45474</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60925-2021</t>
        </is>
      </c>
      <c r="B513" s="1" t="n">
        <v>44497</v>
      </c>
      <c r="C513" s="1" t="n">
        <v>45474</v>
      </c>
      <c r="D513" t="inlineStr">
        <is>
          <t>UPPSALA LÄN</t>
        </is>
      </c>
      <c r="E513" t="inlineStr">
        <is>
          <t>UPPSALA</t>
        </is>
      </c>
      <c r="G513" t="n">
        <v>3.7</v>
      </c>
      <c r="H513" t="n">
        <v>0</v>
      </c>
      <c r="I513" t="n">
        <v>0</v>
      </c>
      <c r="J513" t="n">
        <v>0</v>
      </c>
      <c r="K513" t="n">
        <v>0</v>
      </c>
      <c r="L513" t="n">
        <v>0</v>
      </c>
      <c r="M513" t="n">
        <v>0</v>
      </c>
      <c r="N513" t="n">
        <v>0</v>
      </c>
      <c r="O513" t="n">
        <v>0</v>
      </c>
      <c r="P513" t="n">
        <v>0</v>
      </c>
      <c r="Q513" t="n">
        <v>0</v>
      </c>
      <c r="R513" s="2" t="inlineStr"/>
    </row>
    <row r="514" ht="15" customHeight="1">
      <c r="A514" t="inlineStr">
        <is>
          <t>A 61805-2021</t>
        </is>
      </c>
      <c r="B514" s="1" t="n">
        <v>44501</v>
      </c>
      <c r="C514" s="1" t="n">
        <v>45474</v>
      </c>
      <c r="D514" t="inlineStr">
        <is>
          <t>UPPSALA LÄN</t>
        </is>
      </c>
      <c r="E514" t="inlineStr">
        <is>
          <t>UPPSALA</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62471-2021</t>
        </is>
      </c>
      <c r="B515" s="1" t="n">
        <v>44503</v>
      </c>
      <c r="C515" s="1" t="n">
        <v>45474</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62865-2021</t>
        </is>
      </c>
      <c r="B516" s="1" t="n">
        <v>44504</v>
      </c>
      <c r="C516" s="1" t="n">
        <v>45474</v>
      </c>
      <c r="D516" t="inlineStr">
        <is>
          <t>UPPSALA LÄN</t>
        </is>
      </c>
      <c r="E516" t="inlineStr">
        <is>
          <t>UPPSALA</t>
        </is>
      </c>
      <c r="F516" t="inlineStr">
        <is>
          <t>Bergvik skog öst AB</t>
        </is>
      </c>
      <c r="G516" t="n">
        <v>1.7</v>
      </c>
      <c r="H516" t="n">
        <v>0</v>
      </c>
      <c r="I516" t="n">
        <v>0</v>
      </c>
      <c r="J516" t="n">
        <v>0</v>
      </c>
      <c r="K516" t="n">
        <v>0</v>
      </c>
      <c r="L516" t="n">
        <v>0</v>
      </c>
      <c r="M516" t="n">
        <v>0</v>
      </c>
      <c r="N516" t="n">
        <v>0</v>
      </c>
      <c r="O516" t="n">
        <v>0</v>
      </c>
      <c r="P516" t="n">
        <v>0</v>
      </c>
      <c r="Q516" t="n">
        <v>0</v>
      </c>
      <c r="R516" s="2" t="inlineStr"/>
    </row>
    <row r="517" ht="15" customHeight="1">
      <c r="A517" t="inlineStr">
        <is>
          <t>A 63011-2021</t>
        </is>
      </c>
      <c r="B517" s="1" t="n">
        <v>44504</v>
      </c>
      <c r="C517" s="1" t="n">
        <v>45474</v>
      </c>
      <c r="D517" t="inlineStr">
        <is>
          <t>UPPSALA LÄN</t>
        </is>
      </c>
      <c r="E517" t="inlineStr">
        <is>
          <t>UPPSALA</t>
        </is>
      </c>
      <c r="G517" t="n">
        <v>11.2</v>
      </c>
      <c r="H517" t="n">
        <v>0</v>
      </c>
      <c r="I517" t="n">
        <v>0</v>
      </c>
      <c r="J517" t="n">
        <v>0</v>
      </c>
      <c r="K517" t="n">
        <v>0</v>
      </c>
      <c r="L517" t="n">
        <v>0</v>
      </c>
      <c r="M517" t="n">
        <v>0</v>
      </c>
      <c r="N517" t="n">
        <v>0</v>
      </c>
      <c r="O517" t="n">
        <v>0</v>
      </c>
      <c r="P517" t="n">
        <v>0</v>
      </c>
      <c r="Q517" t="n">
        <v>0</v>
      </c>
      <c r="R517" s="2" t="inlineStr"/>
    </row>
    <row r="518" ht="15" customHeight="1">
      <c r="A518" t="inlineStr">
        <is>
          <t>A 63307-2021</t>
        </is>
      </c>
      <c r="B518" s="1" t="n">
        <v>44508</v>
      </c>
      <c r="C518" s="1" t="n">
        <v>45474</v>
      </c>
      <c r="D518" t="inlineStr">
        <is>
          <t>UPPSALA LÄN</t>
        </is>
      </c>
      <c r="E518" t="inlineStr">
        <is>
          <t>UPPSALA</t>
        </is>
      </c>
      <c r="F518" t="inlineStr">
        <is>
          <t>Bergvik skog öst AB</t>
        </is>
      </c>
      <c r="G518" t="n">
        <v>2.8</v>
      </c>
      <c r="H518" t="n">
        <v>0</v>
      </c>
      <c r="I518" t="n">
        <v>0</v>
      </c>
      <c r="J518" t="n">
        <v>0</v>
      </c>
      <c r="K518" t="n">
        <v>0</v>
      </c>
      <c r="L518" t="n">
        <v>0</v>
      </c>
      <c r="M518" t="n">
        <v>0</v>
      </c>
      <c r="N518" t="n">
        <v>0</v>
      </c>
      <c r="O518" t="n">
        <v>0</v>
      </c>
      <c r="P518" t="n">
        <v>0</v>
      </c>
      <c r="Q518" t="n">
        <v>0</v>
      </c>
      <c r="R518" s="2" t="inlineStr"/>
    </row>
    <row r="519" ht="15" customHeight="1">
      <c r="A519" t="inlineStr">
        <is>
          <t>A 64016-2021</t>
        </is>
      </c>
      <c r="B519" s="1" t="n">
        <v>44510</v>
      </c>
      <c r="C519" s="1" t="n">
        <v>45474</v>
      </c>
      <c r="D519" t="inlineStr">
        <is>
          <t>UPPSALA LÄN</t>
        </is>
      </c>
      <c r="E519" t="inlineStr">
        <is>
          <t>UPPSALA</t>
        </is>
      </c>
      <c r="G519" t="n">
        <v>2.1</v>
      </c>
      <c r="H519" t="n">
        <v>0</v>
      </c>
      <c r="I519" t="n">
        <v>0</v>
      </c>
      <c r="J519" t="n">
        <v>0</v>
      </c>
      <c r="K519" t="n">
        <v>0</v>
      </c>
      <c r="L519" t="n">
        <v>0</v>
      </c>
      <c r="M519" t="n">
        <v>0</v>
      </c>
      <c r="N519" t="n">
        <v>0</v>
      </c>
      <c r="O519" t="n">
        <v>0</v>
      </c>
      <c r="P519" t="n">
        <v>0</v>
      </c>
      <c r="Q519" t="n">
        <v>0</v>
      </c>
      <c r="R519" s="2" t="inlineStr"/>
    </row>
    <row r="520" ht="15" customHeight="1">
      <c r="A520" t="inlineStr">
        <is>
          <t>A 64857-2021</t>
        </is>
      </c>
      <c r="B520" s="1" t="n">
        <v>44512</v>
      </c>
      <c r="C520" s="1" t="n">
        <v>45474</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64856-2021</t>
        </is>
      </c>
      <c r="B521" s="1" t="n">
        <v>44512</v>
      </c>
      <c r="C521" s="1" t="n">
        <v>45474</v>
      </c>
      <c r="D521" t="inlineStr">
        <is>
          <t>UPPSALA LÄN</t>
        </is>
      </c>
      <c r="E521" t="inlineStr">
        <is>
          <t>UPPSALA</t>
        </is>
      </c>
      <c r="G521" t="n">
        <v>4.1</v>
      </c>
      <c r="H521" t="n">
        <v>0</v>
      </c>
      <c r="I521" t="n">
        <v>0</v>
      </c>
      <c r="J521" t="n">
        <v>0</v>
      </c>
      <c r="K521" t="n">
        <v>0</v>
      </c>
      <c r="L521" t="n">
        <v>0</v>
      </c>
      <c r="M521" t="n">
        <v>0</v>
      </c>
      <c r="N521" t="n">
        <v>0</v>
      </c>
      <c r="O521" t="n">
        <v>0</v>
      </c>
      <c r="P521" t="n">
        <v>0</v>
      </c>
      <c r="Q521" t="n">
        <v>0</v>
      </c>
      <c r="R521" s="2" t="inlineStr"/>
    </row>
    <row r="522" ht="15" customHeight="1">
      <c r="A522" t="inlineStr">
        <is>
          <t>A 64858-2021</t>
        </is>
      </c>
      <c r="B522" s="1" t="n">
        <v>44512</v>
      </c>
      <c r="C522" s="1" t="n">
        <v>45474</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64855-2021</t>
        </is>
      </c>
      <c r="B523" s="1" t="n">
        <v>44512</v>
      </c>
      <c r="C523" s="1" t="n">
        <v>45474</v>
      </c>
      <c r="D523" t="inlineStr">
        <is>
          <t>UPPSALA LÄN</t>
        </is>
      </c>
      <c r="E523" t="inlineStr">
        <is>
          <t>UPPSALA</t>
        </is>
      </c>
      <c r="G523" t="n">
        <v>3.1</v>
      </c>
      <c r="H523" t="n">
        <v>0</v>
      </c>
      <c r="I523" t="n">
        <v>0</v>
      </c>
      <c r="J523" t="n">
        <v>0</v>
      </c>
      <c r="K523" t="n">
        <v>0</v>
      </c>
      <c r="L523" t="n">
        <v>0</v>
      </c>
      <c r="M523" t="n">
        <v>0</v>
      </c>
      <c r="N523" t="n">
        <v>0</v>
      </c>
      <c r="O523" t="n">
        <v>0</v>
      </c>
      <c r="P523" t="n">
        <v>0</v>
      </c>
      <c r="Q523" t="n">
        <v>0</v>
      </c>
      <c r="R523" s="2" t="inlineStr"/>
    </row>
    <row r="524" ht="15" customHeight="1">
      <c r="A524" t="inlineStr">
        <is>
          <t>A 65132-2021</t>
        </is>
      </c>
      <c r="B524" s="1" t="n">
        <v>44515</v>
      </c>
      <c r="C524" s="1" t="n">
        <v>45474</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65659-2021</t>
        </is>
      </c>
      <c r="B525" s="1" t="n">
        <v>44516</v>
      </c>
      <c r="C525" s="1" t="n">
        <v>45474</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65695-2021</t>
        </is>
      </c>
      <c r="B526" s="1" t="n">
        <v>44516</v>
      </c>
      <c r="C526" s="1" t="n">
        <v>45474</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65809-2021</t>
        </is>
      </c>
      <c r="B527" s="1" t="n">
        <v>44517</v>
      </c>
      <c r="C527" s="1" t="n">
        <v>45474</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45474</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65964-2021</t>
        </is>
      </c>
      <c r="B529" s="1" t="n">
        <v>44517</v>
      </c>
      <c r="C529" s="1" t="n">
        <v>45474</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66239-2021</t>
        </is>
      </c>
      <c r="B530" s="1" t="n">
        <v>44518</v>
      </c>
      <c r="C530" s="1" t="n">
        <v>45474</v>
      </c>
      <c r="D530" t="inlineStr">
        <is>
          <t>UPPSALA LÄN</t>
        </is>
      </c>
      <c r="E530" t="inlineStr">
        <is>
          <t>UPPSALA</t>
        </is>
      </c>
      <c r="G530" t="n">
        <v>4.2</v>
      </c>
      <c r="H530" t="n">
        <v>0</v>
      </c>
      <c r="I530" t="n">
        <v>0</v>
      </c>
      <c r="J530" t="n">
        <v>0</v>
      </c>
      <c r="K530" t="n">
        <v>0</v>
      </c>
      <c r="L530" t="n">
        <v>0</v>
      </c>
      <c r="M530" t="n">
        <v>0</v>
      </c>
      <c r="N530" t="n">
        <v>0</v>
      </c>
      <c r="O530" t="n">
        <v>0</v>
      </c>
      <c r="P530" t="n">
        <v>0</v>
      </c>
      <c r="Q530" t="n">
        <v>0</v>
      </c>
      <c r="R530" s="2" t="inlineStr"/>
    </row>
    <row r="531" ht="15" customHeight="1">
      <c r="A531" t="inlineStr">
        <is>
          <t>A 66690-2021</t>
        </is>
      </c>
      <c r="B531" s="1" t="n">
        <v>44519</v>
      </c>
      <c r="C531" s="1" t="n">
        <v>45474</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66686-2021</t>
        </is>
      </c>
      <c r="B532" s="1" t="n">
        <v>44519</v>
      </c>
      <c r="C532" s="1" t="n">
        <v>45474</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66794-2021</t>
        </is>
      </c>
      <c r="B533" s="1" t="n">
        <v>44522</v>
      </c>
      <c r="C533" s="1" t="n">
        <v>45474</v>
      </c>
      <c r="D533" t="inlineStr">
        <is>
          <t>UPPSALA LÄN</t>
        </is>
      </c>
      <c r="E533" t="inlineStr">
        <is>
          <t>UPPSALA</t>
        </is>
      </c>
      <c r="G533" t="n">
        <v>4.9</v>
      </c>
      <c r="H533" t="n">
        <v>0</v>
      </c>
      <c r="I533" t="n">
        <v>0</v>
      </c>
      <c r="J533" t="n">
        <v>0</v>
      </c>
      <c r="K533" t="n">
        <v>0</v>
      </c>
      <c r="L533" t="n">
        <v>0</v>
      </c>
      <c r="M533" t="n">
        <v>0</v>
      </c>
      <c r="N533" t="n">
        <v>0</v>
      </c>
      <c r="O533" t="n">
        <v>0</v>
      </c>
      <c r="P533" t="n">
        <v>0</v>
      </c>
      <c r="Q533" t="n">
        <v>0</v>
      </c>
      <c r="R533" s="2" t="inlineStr"/>
    </row>
    <row r="534" ht="15" customHeight="1">
      <c r="A534" t="inlineStr">
        <is>
          <t>A 66927-2021</t>
        </is>
      </c>
      <c r="B534" s="1" t="n">
        <v>44522</v>
      </c>
      <c r="C534" s="1" t="n">
        <v>45474</v>
      </c>
      <c r="D534" t="inlineStr">
        <is>
          <t>UPPSALA LÄN</t>
        </is>
      </c>
      <c r="E534" t="inlineStr">
        <is>
          <t>UPPSALA</t>
        </is>
      </c>
      <c r="G534" t="n">
        <v>2.9</v>
      </c>
      <c r="H534" t="n">
        <v>0</v>
      </c>
      <c r="I534" t="n">
        <v>0</v>
      </c>
      <c r="J534" t="n">
        <v>0</v>
      </c>
      <c r="K534" t="n">
        <v>0</v>
      </c>
      <c r="L534" t="n">
        <v>0</v>
      </c>
      <c r="M534" t="n">
        <v>0</v>
      </c>
      <c r="N534" t="n">
        <v>0</v>
      </c>
      <c r="O534" t="n">
        <v>0</v>
      </c>
      <c r="P534" t="n">
        <v>0</v>
      </c>
      <c r="Q534" t="n">
        <v>0</v>
      </c>
      <c r="R534" s="2" t="inlineStr"/>
    </row>
    <row r="535" ht="15" customHeight="1">
      <c r="A535" t="inlineStr">
        <is>
          <t>A 66983-2021</t>
        </is>
      </c>
      <c r="B535" s="1" t="n">
        <v>44522</v>
      </c>
      <c r="C535" s="1" t="n">
        <v>45474</v>
      </c>
      <c r="D535" t="inlineStr">
        <is>
          <t>UPPSALA LÄN</t>
        </is>
      </c>
      <c r="E535" t="inlineStr">
        <is>
          <t>UPPSALA</t>
        </is>
      </c>
      <c r="G535" t="n">
        <v>2.5</v>
      </c>
      <c r="H535" t="n">
        <v>0</v>
      </c>
      <c r="I535" t="n">
        <v>0</v>
      </c>
      <c r="J535" t="n">
        <v>0</v>
      </c>
      <c r="K535" t="n">
        <v>0</v>
      </c>
      <c r="L535" t="n">
        <v>0</v>
      </c>
      <c r="M535" t="n">
        <v>0</v>
      </c>
      <c r="N535" t="n">
        <v>0</v>
      </c>
      <c r="O535" t="n">
        <v>0</v>
      </c>
      <c r="P535" t="n">
        <v>0</v>
      </c>
      <c r="Q535" t="n">
        <v>0</v>
      </c>
      <c r="R535" s="2" t="inlineStr"/>
    </row>
    <row r="536" ht="15" customHeight="1">
      <c r="A536" t="inlineStr">
        <is>
          <t>A 67991-2021</t>
        </is>
      </c>
      <c r="B536" s="1" t="n">
        <v>44525</v>
      </c>
      <c r="C536" s="1" t="n">
        <v>45474</v>
      </c>
      <c r="D536" t="inlineStr">
        <is>
          <t>UPPSALA LÄN</t>
        </is>
      </c>
      <c r="E536" t="inlineStr">
        <is>
          <t>UPPSALA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68696-2021</t>
        </is>
      </c>
      <c r="B537" s="1" t="n">
        <v>44526</v>
      </c>
      <c r="C537" s="1" t="n">
        <v>45474</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68139-2021</t>
        </is>
      </c>
      <c r="B538" s="1" t="n">
        <v>44526</v>
      </c>
      <c r="C538" s="1" t="n">
        <v>45474</v>
      </c>
      <c r="D538" t="inlineStr">
        <is>
          <t>UPPSALA LÄN</t>
        </is>
      </c>
      <c r="E538" t="inlineStr">
        <is>
          <t>UPPSALA</t>
        </is>
      </c>
      <c r="F538" t="inlineStr">
        <is>
          <t>Bergvik skog öst AB</t>
        </is>
      </c>
      <c r="G538" t="n">
        <v>3.4</v>
      </c>
      <c r="H538" t="n">
        <v>0</v>
      </c>
      <c r="I538" t="n">
        <v>0</v>
      </c>
      <c r="J538" t="n">
        <v>0</v>
      </c>
      <c r="K538" t="n">
        <v>0</v>
      </c>
      <c r="L538" t="n">
        <v>0</v>
      </c>
      <c r="M538" t="n">
        <v>0</v>
      </c>
      <c r="N538" t="n">
        <v>0</v>
      </c>
      <c r="O538" t="n">
        <v>0</v>
      </c>
      <c r="P538" t="n">
        <v>0</v>
      </c>
      <c r="Q538" t="n">
        <v>0</v>
      </c>
      <c r="R538" s="2" t="inlineStr"/>
    </row>
    <row r="539" ht="15" customHeight="1">
      <c r="A539" t="inlineStr">
        <is>
          <t>A 68296-2021</t>
        </is>
      </c>
      <c r="B539" s="1" t="n">
        <v>44526</v>
      </c>
      <c r="C539" s="1" t="n">
        <v>45474</v>
      </c>
      <c r="D539" t="inlineStr">
        <is>
          <t>UPPSALA LÄN</t>
        </is>
      </c>
      <c r="E539" t="inlineStr">
        <is>
          <t>UPPSALA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69067-2021</t>
        </is>
      </c>
      <c r="B540" s="1" t="n">
        <v>44530</v>
      </c>
      <c r="C540" s="1" t="n">
        <v>45474</v>
      </c>
      <c r="D540" t="inlineStr">
        <is>
          <t>UPPSALA LÄN</t>
        </is>
      </c>
      <c r="E540" t="inlineStr">
        <is>
          <t>UPPSALA</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69432-2021</t>
        </is>
      </c>
      <c r="B541" s="1" t="n">
        <v>44531</v>
      </c>
      <c r="C541" s="1" t="n">
        <v>45474</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69214-2021</t>
        </is>
      </c>
      <c r="B542" s="1" t="n">
        <v>44531</v>
      </c>
      <c r="C542" s="1" t="n">
        <v>45474</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69397-2021</t>
        </is>
      </c>
      <c r="B543" s="1" t="n">
        <v>44531</v>
      </c>
      <c r="C543" s="1" t="n">
        <v>45474</v>
      </c>
      <c r="D543" t="inlineStr">
        <is>
          <t>UPPSALA LÄN</t>
        </is>
      </c>
      <c r="E543" t="inlineStr">
        <is>
          <t>UPPSALA</t>
        </is>
      </c>
      <c r="F543" t="inlineStr">
        <is>
          <t>Bergvik skog öst AB</t>
        </is>
      </c>
      <c r="G543" t="n">
        <v>3.3</v>
      </c>
      <c r="H543" t="n">
        <v>0</v>
      </c>
      <c r="I543" t="n">
        <v>0</v>
      </c>
      <c r="J543" t="n">
        <v>0</v>
      </c>
      <c r="K543" t="n">
        <v>0</v>
      </c>
      <c r="L543" t="n">
        <v>0</v>
      </c>
      <c r="M543" t="n">
        <v>0</v>
      </c>
      <c r="N543" t="n">
        <v>0</v>
      </c>
      <c r="O543" t="n">
        <v>0</v>
      </c>
      <c r="P543" t="n">
        <v>0</v>
      </c>
      <c r="Q543" t="n">
        <v>0</v>
      </c>
      <c r="R543" s="2" t="inlineStr"/>
    </row>
    <row r="544" ht="15" customHeight="1">
      <c r="A544" t="inlineStr">
        <is>
          <t>A 69436-2021</t>
        </is>
      </c>
      <c r="B544" s="1" t="n">
        <v>44531</v>
      </c>
      <c r="C544" s="1" t="n">
        <v>45474</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69439-2021</t>
        </is>
      </c>
      <c r="B545" s="1" t="n">
        <v>44531</v>
      </c>
      <c r="C545" s="1" t="n">
        <v>45474</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69711-2021</t>
        </is>
      </c>
      <c r="B546" s="1" t="n">
        <v>44532</v>
      </c>
      <c r="C546" s="1" t="n">
        <v>45474</v>
      </c>
      <c r="D546" t="inlineStr">
        <is>
          <t>UPPSALA LÄN</t>
        </is>
      </c>
      <c r="E546" t="inlineStr">
        <is>
          <t>UPPSALA</t>
        </is>
      </c>
      <c r="G546" t="n">
        <v>10.2</v>
      </c>
      <c r="H546" t="n">
        <v>0</v>
      </c>
      <c r="I546" t="n">
        <v>0</v>
      </c>
      <c r="J546" t="n">
        <v>0</v>
      </c>
      <c r="K546" t="n">
        <v>0</v>
      </c>
      <c r="L546" t="n">
        <v>0</v>
      </c>
      <c r="M546" t="n">
        <v>0</v>
      </c>
      <c r="N546" t="n">
        <v>0</v>
      </c>
      <c r="O546" t="n">
        <v>0</v>
      </c>
      <c r="P546" t="n">
        <v>0</v>
      </c>
      <c r="Q546" t="n">
        <v>0</v>
      </c>
      <c r="R546" s="2" t="inlineStr"/>
    </row>
    <row r="547" ht="15" customHeight="1">
      <c r="A547" t="inlineStr">
        <is>
          <t>A 69595-2021</t>
        </is>
      </c>
      <c r="B547" s="1" t="n">
        <v>44532</v>
      </c>
      <c r="C547" s="1" t="n">
        <v>45474</v>
      </c>
      <c r="D547" t="inlineStr">
        <is>
          <t>UPPSALA LÄN</t>
        </is>
      </c>
      <c r="E547" t="inlineStr">
        <is>
          <t>UPPSALA</t>
        </is>
      </c>
      <c r="G547" t="n">
        <v>3.9</v>
      </c>
      <c r="H547" t="n">
        <v>0</v>
      </c>
      <c r="I547" t="n">
        <v>0</v>
      </c>
      <c r="J547" t="n">
        <v>0</v>
      </c>
      <c r="K547" t="n">
        <v>0</v>
      </c>
      <c r="L547" t="n">
        <v>0</v>
      </c>
      <c r="M547" t="n">
        <v>0</v>
      </c>
      <c r="N547" t="n">
        <v>0</v>
      </c>
      <c r="O547" t="n">
        <v>0</v>
      </c>
      <c r="P547" t="n">
        <v>0</v>
      </c>
      <c r="Q547" t="n">
        <v>0</v>
      </c>
      <c r="R547" s="2" t="inlineStr"/>
    </row>
    <row r="548" ht="15" customHeight="1">
      <c r="A548" t="inlineStr">
        <is>
          <t>A 69698-2021</t>
        </is>
      </c>
      <c r="B548" s="1" t="n">
        <v>44532</v>
      </c>
      <c r="C548" s="1" t="n">
        <v>45474</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69691-2021</t>
        </is>
      </c>
      <c r="B549" s="1" t="n">
        <v>44532</v>
      </c>
      <c r="C549" s="1" t="n">
        <v>45474</v>
      </c>
      <c r="D549" t="inlineStr">
        <is>
          <t>UPPSALA LÄN</t>
        </is>
      </c>
      <c r="E549" t="inlineStr">
        <is>
          <t>UPPSALA</t>
        </is>
      </c>
      <c r="G549" t="n">
        <v>2.3</v>
      </c>
      <c r="H549" t="n">
        <v>0</v>
      </c>
      <c r="I549" t="n">
        <v>0</v>
      </c>
      <c r="J549" t="n">
        <v>0</v>
      </c>
      <c r="K549" t="n">
        <v>0</v>
      </c>
      <c r="L549" t="n">
        <v>0</v>
      </c>
      <c r="M549" t="n">
        <v>0</v>
      </c>
      <c r="N549" t="n">
        <v>0</v>
      </c>
      <c r="O549" t="n">
        <v>0</v>
      </c>
      <c r="P549" t="n">
        <v>0</v>
      </c>
      <c r="Q549" t="n">
        <v>0</v>
      </c>
      <c r="R549" s="2" t="inlineStr"/>
    </row>
    <row r="550" ht="15" customHeight="1">
      <c r="A550" t="inlineStr">
        <is>
          <t>A 70032-2021</t>
        </is>
      </c>
      <c r="B550" s="1" t="n">
        <v>44533</v>
      </c>
      <c r="C550" s="1" t="n">
        <v>45474</v>
      </c>
      <c r="D550" t="inlineStr">
        <is>
          <t>UPPSALA LÄN</t>
        </is>
      </c>
      <c r="E550" t="inlineStr">
        <is>
          <t>UPPSALA</t>
        </is>
      </c>
      <c r="G550" t="n">
        <v>0.6</v>
      </c>
      <c r="H550" t="n">
        <v>0</v>
      </c>
      <c r="I550" t="n">
        <v>0</v>
      </c>
      <c r="J550" t="n">
        <v>0</v>
      </c>
      <c r="K550" t="n">
        <v>0</v>
      </c>
      <c r="L550" t="n">
        <v>0</v>
      </c>
      <c r="M550" t="n">
        <v>0</v>
      </c>
      <c r="N550" t="n">
        <v>0</v>
      </c>
      <c r="O550" t="n">
        <v>0</v>
      </c>
      <c r="P550" t="n">
        <v>0</v>
      </c>
      <c r="Q550" t="n">
        <v>0</v>
      </c>
      <c r="R550" s="2" t="inlineStr"/>
    </row>
    <row r="551" ht="15" customHeight="1">
      <c r="A551" t="inlineStr">
        <is>
          <t>A 70031-2021</t>
        </is>
      </c>
      <c r="B551" s="1" t="n">
        <v>44533</v>
      </c>
      <c r="C551" s="1" t="n">
        <v>45474</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70359-2021</t>
        </is>
      </c>
      <c r="B552" s="1" t="n">
        <v>44535</v>
      </c>
      <c r="C552" s="1" t="n">
        <v>45474</v>
      </c>
      <c r="D552" t="inlineStr">
        <is>
          <t>UPPSALA LÄN</t>
        </is>
      </c>
      <c r="E552" t="inlineStr">
        <is>
          <t>UPPSALA</t>
        </is>
      </c>
      <c r="G552" t="n">
        <v>3</v>
      </c>
      <c r="H552" t="n">
        <v>0</v>
      </c>
      <c r="I552" t="n">
        <v>0</v>
      </c>
      <c r="J552" t="n">
        <v>0</v>
      </c>
      <c r="K552" t="n">
        <v>0</v>
      </c>
      <c r="L552" t="n">
        <v>0</v>
      </c>
      <c r="M552" t="n">
        <v>0</v>
      </c>
      <c r="N552" t="n">
        <v>0</v>
      </c>
      <c r="O552" t="n">
        <v>0</v>
      </c>
      <c r="P552" t="n">
        <v>0</v>
      </c>
      <c r="Q552" t="n">
        <v>0</v>
      </c>
      <c r="R552" s="2" t="inlineStr"/>
    </row>
    <row r="553" ht="15" customHeight="1">
      <c r="A553" t="inlineStr">
        <is>
          <t>A 70228-2021</t>
        </is>
      </c>
      <c r="B553" s="1" t="n">
        <v>44535</v>
      </c>
      <c r="C553" s="1" t="n">
        <v>45474</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70996-2021</t>
        </is>
      </c>
      <c r="B554" s="1" t="n">
        <v>44538</v>
      </c>
      <c r="C554" s="1" t="n">
        <v>45474</v>
      </c>
      <c r="D554" t="inlineStr">
        <is>
          <t>UPPSALA LÄN</t>
        </is>
      </c>
      <c r="E554" t="inlineStr">
        <is>
          <t>UPPSALA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71563-2021</t>
        </is>
      </c>
      <c r="B555" s="1" t="n">
        <v>44540</v>
      </c>
      <c r="C555" s="1" t="n">
        <v>45474</v>
      </c>
      <c r="D555" t="inlineStr">
        <is>
          <t>UPPSALA LÄN</t>
        </is>
      </c>
      <c r="E555" t="inlineStr">
        <is>
          <t>UPPSALA</t>
        </is>
      </c>
      <c r="F555" t="inlineStr">
        <is>
          <t>Allmännings- och besparingsskogar</t>
        </is>
      </c>
      <c r="G555" t="n">
        <v>7.7</v>
      </c>
      <c r="H555" t="n">
        <v>0</v>
      </c>
      <c r="I555" t="n">
        <v>0</v>
      </c>
      <c r="J555" t="n">
        <v>0</v>
      </c>
      <c r="K555" t="n">
        <v>0</v>
      </c>
      <c r="L555" t="n">
        <v>0</v>
      </c>
      <c r="M555" t="n">
        <v>0</v>
      </c>
      <c r="N555" t="n">
        <v>0</v>
      </c>
      <c r="O555" t="n">
        <v>0</v>
      </c>
      <c r="P555" t="n">
        <v>0</v>
      </c>
      <c r="Q555" t="n">
        <v>0</v>
      </c>
      <c r="R555" s="2" t="inlineStr"/>
    </row>
    <row r="556" ht="15" customHeight="1">
      <c r="A556" t="inlineStr">
        <is>
          <t>A 71675-2021</t>
        </is>
      </c>
      <c r="B556" s="1" t="n">
        <v>44543</v>
      </c>
      <c r="C556" s="1" t="n">
        <v>45474</v>
      </c>
      <c r="D556" t="inlineStr">
        <is>
          <t>UPPSALA LÄN</t>
        </is>
      </c>
      <c r="E556" t="inlineStr">
        <is>
          <t>UPPSALA</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71643-2021</t>
        </is>
      </c>
      <c r="B557" s="1" t="n">
        <v>44543</v>
      </c>
      <c r="C557" s="1" t="n">
        <v>45474</v>
      </c>
      <c r="D557" t="inlineStr">
        <is>
          <t>UPPSALA LÄN</t>
        </is>
      </c>
      <c r="E557" t="inlineStr">
        <is>
          <t>UPPSALA</t>
        </is>
      </c>
      <c r="G557" t="n">
        <v>3</v>
      </c>
      <c r="H557" t="n">
        <v>0</v>
      </c>
      <c r="I557" t="n">
        <v>0</v>
      </c>
      <c r="J557" t="n">
        <v>0</v>
      </c>
      <c r="K557" t="n">
        <v>0</v>
      </c>
      <c r="L557" t="n">
        <v>0</v>
      </c>
      <c r="M557" t="n">
        <v>0</v>
      </c>
      <c r="N557" t="n">
        <v>0</v>
      </c>
      <c r="O557" t="n">
        <v>0</v>
      </c>
      <c r="P557" t="n">
        <v>0</v>
      </c>
      <c r="Q557" t="n">
        <v>0</v>
      </c>
      <c r="R557" s="2" t="inlineStr"/>
    </row>
    <row r="558" ht="15" customHeight="1">
      <c r="A558" t="inlineStr">
        <is>
          <t>A 71671-2021</t>
        </is>
      </c>
      <c r="B558" s="1" t="n">
        <v>44543</v>
      </c>
      <c r="C558" s="1" t="n">
        <v>45474</v>
      </c>
      <c r="D558" t="inlineStr">
        <is>
          <t>UPPSALA LÄN</t>
        </is>
      </c>
      <c r="E558" t="inlineStr">
        <is>
          <t>UPPSALA</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45474</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72224-2021</t>
        </is>
      </c>
      <c r="B560" s="1" t="n">
        <v>44544</v>
      </c>
      <c r="C560" s="1" t="n">
        <v>45474</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72973-2021</t>
        </is>
      </c>
      <c r="B561" s="1" t="n">
        <v>44548</v>
      </c>
      <c r="C561" s="1" t="n">
        <v>45474</v>
      </c>
      <c r="D561" t="inlineStr">
        <is>
          <t>UPPSALA LÄN</t>
        </is>
      </c>
      <c r="E561" t="inlineStr">
        <is>
          <t>UPPSALA</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73326-2021</t>
        </is>
      </c>
      <c r="B562" s="1" t="n">
        <v>44548</v>
      </c>
      <c r="C562" s="1" t="n">
        <v>45474</v>
      </c>
      <c r="D562" t="inlineStr">
        <is>
          <t>UPPSALA LÄN</t>
        </is>
      </c>
      <c r="E562" t="inlineStr">
        <is>
          <t>UPPSALA</t>
        </is>
      </c>
      <c r="G562" t="n">
        <v>4</v>
      </c>
      <c r="H562" t="n">
        <v>0</v>
      </c>
      <c r="I562" t="n">
        <v>0</v>
      </c>
      <c r="J562" t="n">
        <v>0</v>
      </c>
      <c r="K562" t="n">
        <v>0</v>
      </c>
      <c r="L562" t="n">
        <v>0</v>
      </c>
      <c r="M562" t="n">
        <v>0</v>
      </c>
      <c r="N562" t="n">
        <v>0</v>
      </c>
      <c r="O562" t="n">
        <v>0</v>
      </c>
      <c r="P562" t="n">
        <v>0</v>
      </c>
      <c r="Q562" t="n">
        <v>0</v>
      </c>
      <c r="R562" s="2" t="inlineStr"/>
    </row>
    <row r="563" ht="15" customHeight="1">
      <c r="A563" t="inlineStr">
        <is>
          <t>A 73044-2021</t>
        </is>
      </c>
      <c r="B563" s="1" t="n">
        <v>44550</v>
      </c>
      <c r="C563" s="1" t="n">
        <v>45474</v>
      </c>
      <c r="D563" t="inlineStr">
        <is>
          <t>UPPSALA LÄN</t>
        </is>
      </c>
      <c r="E563" t="inlineStr">
        <is>
          <t>UPPSALA</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73468-2021</t>
        </is>
      </c>
      <c r="B564" s="1" t="n">
        <v>44551</v>
      </c>
      <c r="C564" s="1" t="n">
        <v>45474</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73518-2021</t>
        </is>
      </c>
      <c r="B565" s="1" t="n">
        <v>44551</v>
      </c>
      <c r="C565" s="1" t="n">
        <v>45474</v>
      </c>
      <c r="D565" t="inlineStr">
        <is>
          <t>UPPSALA LÄN</t>
        </is>
      </c>
      <c r="E565" t="inlineStr">
        <is>
          <t>UPPSALA</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73531-2021</t>
        </is>
      </c>
      <c r="B566" s="1" t="n">
        <v>44551</v>
      </c>
      <c r="C566" s="1" t="n">
        <v>45474</v>
      </c>
      <c r="D566" t="inlineStr">
        <is>
          <t>UPPSALA LÄN</t>
        </is>
      </c>
      <c r="E566" t="inlineStr">
        <is>
          <t>UPPSALA</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74019-2021</t>
        </is>
      </c>
      <c r="B567" s="1" t="n">
        <v>44553</v>
      </c>
      <c r="C567" s="1" t="n">
        <v>45474</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74023-2021</t>
        </is>
      </c>
      <c r="B568" s="1" t="n">
        <v>44553</v>
      </c>
      <c r="C568" s="1" t="n">
        <v>45474</v>
      </c>
      <c r="D568" t="inlineStr">
        <is>
          <t>UPPSALA LÄN</t>
        </is>
      </c>
      <c r="E568" t="inlineStr">
        <is>
          <t>UPPSALA</t>
        </is>
      </c>
      <c r="G568" t="n">
        <v>5.4</v>
      </c>
      <c r="H568" t="n">
        <v>0</v>
      </c>
      <c r="I568" t="n">
        <v>0</v>
      </c>
      <c r="J568" t="n">
        <v>0</v>
      </c>
      <c r="K568" t="n">
        <v>0</v>
      </c>
      <c r="L568" t="n">
        <v>0</v>
      </c>
      <c r="M568" t="n">
        <v>0</v>
      </c>
      <c r="N568" t="n">
        <v>0</v>
      </c>
      <c r="O568" t="n">
        <v>0</v>
      </c>
      <c r="P568" t="n">
        <v>0</v>
      </c>
      <c r="Q568" t="n">
        <v>0</v>
      </c>
      <c r="R568" s="2" t="inlineStr"/>
    </row>
    <row r="569" ht="15" customHeight="1">
      <c r="A569" t="inlineStr">
        <is>
          <t>A 74493-2021</t>
        </is>
      </c>
      <c r="B569" s="1" t="n">
        <v>44560</v>
      </c>
      <c r="C569" s="1" t="n">
        <v>45474</v>
      </c>
      <c r="D569" t="inlineStr">
        <is>
          <t>UPPSALA LÄN</t>
        </is>
      </c>
      <c r="E569" t="inlineStr">
        <is>
          <t>UPPSALA</t>
        </is>
      </c>
      <c r="G569" t="n">
        <v>1.2</v>
      </c>
      <c r="H569" t="n">
        <v>0</v>
      </c>
      <c r="I569" t="n">
        <v>0</v>
      </c>
      <c r="J569" t="n">
        <v>0</v>
      </c>
      <c r="K569" t="n">
        <v>0</v>
      </c>
      <c r="L569" t="n">
        <v>0</v>
      </c>
      <c r="M569" t="n">
        <v>0</v>
      </c>
      <c r="N569" t="n">
        <v>0</v>
      </c>
      <c r="O569" t="n">
        <v>0</v>
      </c>
      <c r="P569" t="n">
        <v>0</v>
      </c>
      <c r="Q569" t="n">
        <v>0</v>
      </c>
      <c r="R569" s="2" t="inlineStr"/>
    </row>
    <row r="570" ht="15" customHeight="1">
      <c r="A570" t="inlineStr">
        <is>
          <t>A 74495-2021</t>
        </is>
      </c>
      <c r="B570" s="1" t="n">
        <v>44560</v>
      </c>
      <c r="C570" s="1" t="n">
        <v>45474</v>
      </c>
      <c r="D570" t="inlineStr">
        <is>
          <t>UPPSALA LÄN</t>
        </is>
      </c>
      <c r="E570" t="inlineStr">
        <is>
          <t>UPPSALA</t>
        </is>
      </c>
      <c r="G570" t="n">
        <v>1.9</v>
      </c>
      <c r="H570" t="n">
        <v>0</v>
      </c>
      <c r="I570" t="n">
        <v>0</v>
      </c>
      <c r="J570" t="n">
        <v>0</v>
      </c>
      <c r="K570" t="n">
        <v>0</v>
      </c>
      <c r="L570" t="n">
        <v>0</v>
      </c>
      <c r="M570" t="n">
        <v>0</v>
      </c>
      <c r="N570" t="n">
        <v>0</v>
      </c>
      <c r="O570" t="n">
        <v>0</v>
      </c>
      <c r="P570" t="n">
        <v>0</v>
      </c>
      <c r="Q570" t="n">
        <v>0</v>
      </c>
      <c r="R570" s="2" t="inlineStr"/>
    </row>
    <row r="571" ht="15" customHeight="1">
      <c r="A571" t="inlineStr">
        <is>
          <t>A 612-2022</t>
        </is>
      </c>
      <c r="B571" s="1" t="n">
        <v>44567</v>
      </c>
      <c r="C571" s="1" t="n">
        <v>45474</v>
      </c>
      <c r="D571" t="inlineStr">
        <is>
          <t>UPPSALA LÄN</t>
        </is>
      </c>
      <c r="E571" t="inlineStr">
        <is>
          <t>UPPSALA</t>
        </is>
      </c>
      <c r="F571" t="inlineStr">
        <is>
          <t>Holmen skog AB</t>
        </is>
      </c>
      <c r="G571" t="n">
        <v>6.6</v>
      </c>
      <c r="H571" t="n">
        <v>0</v>
      </c>
      <c r="I571" t="n">
        <v>0</v>
      </c>
      <c r="J571" t="n">
        <v>0</v>
      </c>
      <c r="K571" t="n">
        <v>0</v>
      </c>
      <c r="L571" t="n">
        <v>0</v>
      </c>
      <c r="M571" t="n">
        <v>0</v>
      </c>
      <c r="N571" t="n">
        <v>0</v>
      </c>
      <c r="O571" t="n">
        <v>0</v>
      </c>
      <c r="P571" t="n">
        <v>0</v>
      </c>
      <c r="Q571" t="n">
        <v>0</v>
      </c>
      <c r="R571" s="2" t="inlineStr"/>
    </row>
    <row r="572" ht="15" customHeight="1">
      <c r="A572" t="inlineStr">
        <is>
          <t>A 733-2022</t>
        </is>
      </c>
      <c r="B572" s="1" t="n">
        <v>44568</v>
      </c>
      <c r="C572" s="1" t="n">
        <v>45474</v>
      </c>
      <c r="D572" t="inlineStr">
        <is>
          <t>UPPSALA LÄN</t>
        </is>
      </c>
      <c r="E572" t="inlineStr">
        <is>
          <t>UPPSALA</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752-2022</t>
        </is>
      </c>
      <c r="B573" s="1" t="n">
        <v>44569</v>
      </c>
      <c r="C573" s="1" t="n">
        <v>45474</v>
      </c>
      <c r="D573" t="inlineStr">
        <is>
          <t>UPPSALA LÄN</t>
        </is>
      </c>
      <c r="E573" t="inlineStr">
        <is>
          <t>UPPSALA</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750-2022</t>
        </is>
      </c>
      <c r="B574" s="1" t="n">
        <v>44569</v>
      </c>
      <c r="C574" s="1" t="n">
        <v>45474</v>
      </c>
      <c r="D574" t="inlineStr">
        <is>
          <t>UPPSALA LÄN</t>
        </is>
      </c>
      <c r="E574" t="inlineStr">
        <is>
          <t>UPPSALA</t>
        </is>
      </c>
      <c r="F574" t="inlineStr">
        <is>
          <t>Holmen skog AB</t>
        </is>
      </c>
      <c r="G574" t="n">
        <v>6</v>
      </c>
      <c r="H574" t="n">
        <v>0</v>
      </c>
      <c r="I574" t="n">
        <v>0</v>
      </c>
      <c r="J574" t="n">
        <v>0</v>
      </c>
      <c r="K574" t="n">
        <v>0</v>
      </c>
      <c r="L574" t="n">
        <v>0</v>
      </c>
      <c r="M574" t="n">
        <v>0</v>
      </c>
      <c r="N574" t="n">
        <v>0</v>
      </c>
      <c r="O574" t="n">
        <v>0</v>
      </c>
      <c r="P574" t="n">
        <v>0</v>
      </c>
      <c r="Q574" t="n">
        <v>0</v>
      </c>
      <c r="R574" s="2" t="inlineStr"/>
    </row>
    <row r="575" ht="15" customHeight="1">
      <c r="A575" t="inlineStr">
        <is>
          <t>A 759-2022</t>
        </is>
      </c>
      <c r="B575" s="1" t="n">
        <v>44569</v>
      </c>
      <c r="C575" s="1" t="n">
        <v>45474</v>
      </c>
      <c r="D575" t="inlineStr">
        <is>
          <t>UPPSALA LÄN</t>
        </is>
      </c>
      <c r="E575" t="inlineStr">
        <is>
          <t>UPPSALA</t>
        </is>
      </c>
      <c r="F575" t="inlineStr">
        <is>
          <t>Holmen skog AB</t>
        </is>
      </c>
      <c r="G575" t="n">
        <v>3.6</v>
      </c>
      <c r="H575" t="n">
        <v>0</v>
      </c>
      <c r="I575" t="n">
        <v>0</v>
      </c>
      <c r="J575" t="n">
        <v>0</v>
      </c>
      <c r="K575" t="n">
        <v>0</v>
      </c>
      <c r="L575" t="n">
        <v>0</v>
      </c>
      <c r="M575" t="n">
        <v>0</v>
      </c>
      <c r="N575" t="n">
        <v>0</v>
      </c>
      <c r="O575" t="n">
        <v>0</v>
      </c>
      <c r="P575" t="n">
        <v>0</v>
      </c>
      <c r="Q575" t="n">
        <v>0</v>
      </c>
      <c r="R575" s="2" t="inlineStr"/>
    </row>
    <row r="576" ht="15" customHeight="1">
      <c r="A576" t="inlineStr">
        <is>
          <t>A 758-2022</t>
        </is>
      </c>
      <c r="B576" s="1" t="n">
        <v>44569</v>
      </c>
      <c r="C576" s="1" t="n">
        <v>45474</v>
      </c>
      <c r="D576" t="inlineStr">
        <is>
          <t>UPPSALA LÄN</t>
        </is>
      </c>
      <c r="E576" t="inlineStr">
        <is>
          <t>UPPSALA</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917-2022</t>
        </is>
      </c>
      <c r="B577" s="1" t="n">
        <v>44571</v>
      </c>
      <c r="C577" s="1" t="n">
        <v>45474</v>
      </c>
      <c r="D577" t="inlineStr">
        <is>
          <t>UPPSALA LÄN</t>
        </is>
      </c>
      <c r="E577" t="inlineStr">
        <is>
          <t>UPPSALA</t>
        </is>
      </c>
      <c r="F577" t="inlineStr">
        <is>
          <t>Bergvik skog öst AB</t>
        </is>
      </c>
      <c r="G577" t="n">
        <v>4.1</v>
      </c>
      <c r="H577" t="n">
        <v>0</v>
      </c>
      <c r="I577" t="n">
        <v>0</v>
      </c>
      <c r="J577" t="n">
        <v>0</v>
      </c>
      <c r="K577" t="n">
        <v>0</v>
      </c>
      <c r="L577" t="n">
        <v>0</v>
      </c>
      <c r="M577" t="n">
        <v>0</v>
      </c>
      <c r="N577" t="n">
        <v>0</v>
      </c>
      <c r="O577" t="n">
        <v>0</v>
      </c>
      <c r="P577" t="n">
        <v>0</v>
      </c>
      <c r="Q577" t="n">
        <v>0</v>
      </c>
      <c r="R577" s="2" t="inlineStr"/>
    </row>
    <row r="578" ht="15" customHeight="1">
      <c r="A578" t="inlineStr">
        <is>
          <t>A 874-2022</t>
        </is>
      </c>
      <c r="B578" s="1" t="n">
        <v>44571</v>
      </c>
      <c r="C578" s="1" t="n">
        <v>45474</v>
      </c>
      <c r="D578" t="inlineStr">
        <is>
          <t>UPPSALA LÄN</t>
        </is>
      </c>
      <c r="E578" t="inlineStr">
        <is>
          <t>UPPSALA</t>
        </is>
      </c>
      <c r="G578" t="n">
        <v>7.2</v>
      </c>
      <c r="H578" t="n">
        <v>0</v>
      </c>
      <c r="I578" t="n">
        <v>0</v>
      </c>
      <c r="J578" t="n">
        <v>0</v>
      </c>
      <c r="K578" t="n">
        <v>0</v>
      </c>
      <c r="L578" t="n">
        <v>0</v>
      </c>
      <c r="M578" t="n">
        <v>0</v>
      </c>
      <c r="N578" t="n">
        <v>0</v>
      </c>
      <c r="O578" t="n">
        <v>0</v>
      </c>
      <c r="P578" t="n">
        <v>0</v>
      </c>
      <c r="Q578" t="n">
        <v>0</v>
      </c>
      <c r="R578" s="2" t="inlineStr"/>
    </row>
    <row r="579" ht="15" customHeight="1">
      <c r="A579" t="inlineStr">
        <is>
          <t>A 1037-2022</t>
        </is>
      </c>
      <c r="B579" s="1" t="n">
        <v>44571</v>
      </c>
      <c r="C579" s="1" t="n">
        <v>45474</v>
      </c>
      <c r="D579" t="inlineStr">
        <is>
          <t>UPPSALA LÄN</t>
        </is>
      </c>
      <c r="E579" t="inlineStr">
        <is>
          <t>UPPSALA</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1148-2022</t>
        </is>
      </c>
      <c r="B580" s="1" t="n">
        <v>44572</v>
      </c>
      <c r="C580" s="1" t="n">
        <v>45474</v>
      </c>
      <c r="D580" t="inlineStr">
        <is>
          <t>UPPSALA LÄN</t>
        </is>
      </c>
      <c r="E580" t="inlineStr">
        <is>
          <t>UPPSALA</t>
        </is>
      </c>
      <c r="F580" t="inlineStr">
        <is>
          <t>Kyrkan</t>
        </is>
      </c>
      <c r="G580" t="n">
        <v>0.5</v>
      </c>
      <c r="H580" t="n">
        <v>0</v>
      </c>
      <c r="I580" t="n">
        <v>0</v>
      </c>
      <c r="J580" t="n">
        <v>0</v>
      </c>
      <c r="K580" t="n">
        <v>0</v>
      </c>
      <c r="L580" t="n">
        <v>0</v>
      </c>
      <c r="M580" t="n">
        <v>0</v>
      </c>
      <c r="N580" t="n">
        <v>0</v>
      </c>
      <c r="O580" t="n">
        <v>0</v>
      </c>
      <c r="P580" t="n">
        <v>0</v>
      </c>
      <c r="Q580" t="n">
        <v>0</v>
      </c>
      <c r="R580" s="2" t="inlineStr"/>
    </row>
    <row r="581" ht="15" customHeight="1">
      <c r="A581" t="inlineStr">
        <is>
          <t>A 1298-2022</t>
        </is>
      </c>
      <c r="B581" s="1" t="n">
        <v>44572</v>
      </c>
      <c r="C581" s="1" t="n">
        <v>45474</v>
      </c>
      <c r="D581" t="inlineStr">
        <is>
          <t>UPPSALA LÄN</t>
        </is>
      </c>
      <c r="E581" t="inlineStr">
        <is>
          <t>UPPSALA</t>
        </is>
      </c>
      <c r="F581" t="inlineStr">
        <is>
          <t>Holmen skog AB</t>
        </is>
      </c>
      <c r="G581" t="n">
        <v>5.3</v>
      </c>
      <c r="H581" t="n">
        <v>0</v>
      </c>
      <c r="I581" t="n">
        <v>0</v>
      </c>
      <c r="J581" t="n">
        <v>0</v>
      </c>
      <c r="K581" t="n">
        <v>0</v>
      </c>
      <c r="L581" t="n">
        <v>0</v>
      </c>
      <c r="M581" t="n">
        <v>0</v>
      </c>
      <c r="N581" t="n">
        <v>0</v>
      </c>
      <c r="O581" t="n">
        <v>0</v>
      </c>
      <c r="P581" t="n">
        <v>0</v>
      </c>
      <c r="Q581" t="n">
        <v>0</v>
      </c>
      <c r="R581" s="2" t="inlineStr"/>
    </row>
    <row r="582" ht="15" customHeight="1">
      <c r="A582" t="inlineStr">
        <is>
          <t>A 1731-2022</t>
        </is>
      </c>
      <c r="B582" s="1" t="n">
        <v>44574</v>
      </c>
      <c r="C582" s="1" t="n">
        <v>45474</v>
      </c>
      <c r="D582" t="inlineStr">
        <is>
          <t>UPPSALA LÄN</t>
        </is>
      </c>
      <c r="E582" t="inlineStr">
        <is>
          <t>UPPSALA</t>
        </is>
      </c>
      <c r="G582" t="n">
        <v>10.1</v>
      </c>
      <c r="H582" t="n">
        <v>0</v>
      </c>
      <c r="I582" t="n">
        <v>0</v>
      </c>
      <c r="J582" t="n">
        <v>0</v>
      </c>
      <c r="K582" t="n">
        <v>0</v>
      </c>
      <c r="L582" t="n">
        <v>0</v>
      </c>
      <c r="M582" t="n">
        <v>0</v>
      </c>
      <c r="N582" t="n">
        <v>0</v>
      </c>
      <c r="O582" t="n">
        <v>0</v>
      </c>
      <c r="P582" t="n">
        <v>0</v>
      </c>
      <c r="Q582" t="n">
        <v>0</v>
      </c>
      <c r="R582" s="2" t="inlineStr"/>
    </row>
    <row r="583" ht="15" customHeight="1">
      <c r="A583" t="inlineStr">
        <is>
          <t>A 1963-2022</t>
        </is>
      </c>
      <c r="B583" s="1" t="n">
        <v>44575</v>
      </c>
      <c r="C583" s="1" t="n">
        <v>45474</v>
      </c>
      <c r="D583" t="inlineStr">
        <is>
          <t>UPPSALA LÄN</t>
        </is>
      </c>
      <c r="E583" t="inlineStr">
        <is>
          <t>UPPSALA</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1975-2022</t>
        </is>
      </c>
      <c r="B584" s="1" t="n">
        <v>44575</v>
      </c>
      <c r="C584" s="1" t="n">
        <v>45474</v>
      </c>
      <c r="D584" t="inlineStr">
        <is>
          <t>UPPSALA LÄN</t>
        </is>
      </c>
      <c r="E584" t="inlineStr">
        <is>
          <t>UPPSALA</t>
        </is>
      </c>
      <c r="G584" t="n">
        <v>3.9</v>
      </c>
      <c r="H584" t="n">
        <v>0</v>
      </c>
      <c r="I584" t="n">
        <v>0</v>
      </c>
      <c r="J584" t="n">
        <v>0</v>
      </c>
      <c r="K584" t="n">
        <v>0</v>
      </c>
      <c r="L584" t="n">
        <v>0</v>
      </c>
      <c r="M584" t="n">
        <v>0</v>
      </c>
      <c r="N584" t="n">
        <v>0</v>
      </c>
      <c r="O584" t="n">
        <v>0</v>
      </c>
      <c r="P584" t="n">
        <v>0</v>
      </c>
      <c r="Q584" t="n">
        <v>0</v>
      </c>
      <c r="R584" s="2" t="inlineStr"/>
    </row>
    <row r="585" ht="15" customHeight="1">
      <c r="A585" t="inlineStr">
        <is>
          <t>A 1936-2022</t>
        </is>
      </c>
      <c r="B585" s="1" t="n">
        <v>44575</v>
      </c>
      <c r="C585" s="1" t="n">
        <v>45474</v>
      </c>
      <c r="D585" t="inlineStr">
        <is>
          <t>UPPSALA LÄN</t>
        </is>
      </c>
      <c r="E585" t="inlineStr">
        <is>
          <t>UPPSALA</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1978-2022</t>
        </is>
      </c>
      <c r="B586" s="1" t="n">
        <v>44575</v>
      </c>
      <c r="C586" s="1" t="n">
        <v>45474</v>
      </c>
      <c r="D586" t="inlineStr">
        <is>
          <t>UPPSALA LÄN</t>
        </is>
      </c>
      <c r="E586" t="inlineStr">
        <is>
          <t>UPPSALA</t>
        </is>
      </c>
      <c r="G586" t="n">
        <v>1.5</v>
      </c>
      <c r="H586" t="n">
        <v>0</v>
      </c>
      <c r="I586" t="n">
        <v>0</v>
      </c>
      <c r="J586" t="n">
        <v>0</v>
      </c>
      <c r="K586" t="n">
        <v>0</v>
      </c>
      <c r="L586" t="n">
        <v>0</v>
      </c>
      <c r="M586" t="n">
        <v>0</v>
      </c>
      <c r="N586" t="n">
        <v>0</v>
      </c>
      <c r="O586" t="n">
        <v>0</v>
      </c>
      <c r="P586" t="n">
        <v>0</v>
      </c>
      <c r="Q586" t="n">
        <v>0</v>
      </c>
      <c r="R586" s="2" t="inlineStr"/>
    </row>
    <row r="587" ht="15" customHeight="1">
      <c r="A587" t="inlineStr">
        <is>
          <t>A 2017-2022</t>
        </is>
      </c>
      <c r="B587" s="1" t="n">
        <v>44575</v>
      </c>
      <c r="C587" s="1" t="n">
        <v>45474</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2228-2022</t>
        </is>
      </c>
      <c r="B588" s="1" t="n">
        <v>44578</v>
      </c>
      <c r="C588" s="1" t="n">
        <v>45474</v>
      </c>
      <c r="D588" t="inlineStr">
        <is>
          <t>UPPSALA LÄN</t>
        </is>
      </c>
      <c r="E588" t="inlineStr">
        <is>
          <t>UPPSALA</t>
        </is>
      </c>
      <c r="F588" t="inlineStr">
        <is>
          <t>Bergvik skog öst AB</t>
        </is>
      </c>
      <c r="G588" t="n">
        <v>3.9</v>
      </c>
      <c r="H588" t="n">
        <v>0</v>
      </c>
      <c r="I588" t="n">
        <v>0</v>
      </c>
      <c r="J588" t="n">
        <v>0</v>
      </c>
      <c r="K588" t="n">
        <v>0</v>
      </c>
      <c r="L588" t="n">
        <v>0</v>
      </c>
      <c r="M588" t="n">
        <v>0</v>
      </c>
      <c r="N588" t="n">
        <v>0</v>
      </c>
      <c r="O588" t="n">
        <v>0</v>
      </c>
      <c r="P588" t="n">
        <v>0</v>
      </c>
      <c r="Q588" t="n">
        <v>0</v>
      </c>
      <c r="R588" s="2" t="inlineStr"/>
    </row>
    <row r="589" ht="15" customHeight="1">
      <c r="A589" t="inlineStr">
        <is>
          <t>A 2927-2022</t>
        </is>
      </c>
      <c r="B589" s="1" t="n">
        <v>44581</v>
      </c>
      <c r="C589" s="1" t="n">
        <v>45474</v>
      </c>
      <c r="D589" t="inlineStr">
        <is>
          <t>UPPSALA LÄN</t>
        </is>
      </c>
      <c r="E589" t="inlineStr">
        <is>
          <t>UPPSALA</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3259-2022</t>
        </is>
      </c>
      <c r="B590" s="1" t="n">
        <v>44583</v>
      </c>
      <c r="C590" s="1" t="n">
        <v>45474</v>
      </c>
      <c r="D590" t="inlineStr">
        <is>
          <t>UPPSALA LÄN</t>
        </is>
      </c>
      <c r="E590" t="inlineStr">
        <is>
          <t>UPPSALA</t>
        </is>
      </c>
      <c r="F590" t="inlineStr">
        <is>
          <t>Holmen skog AB</t>
        </is>
      </c>
      <c r="G590" t="n">
        <v>2.4</v>
      </c>
      <c r="H590" t="n">
        <v>0</v>
      </c>
      <c r="I590" t="n">
        <v>0</v>
      </c>
      <c r="J590" t="n">
        <v>0</v>
      </c>
      <c r="K590" t="n">
        <v>0</v>
      </c>
      <c r="L590" t="n">
        <v>0</v>
      </c>
      <c r="M590" t="n">
        <v>0</v>
      </c>
      <c r="N590" t="n">
        <v>0</v>
      </c>
      <c r="O590" t="n">
        <v>0</v>
      </c>
      <c r="P590" t="n">
        <v>0</v>
      </c>
      <c r="Q590" t="n">
        <v>0</v>
      </c>
      <c r="R590" s="2" t="inlineStr"/>
    </row>
    <row r="591" ht="15" customHeight="1">
      <c r="A591" t="inlineStr">
        <is>
          <t>A 3261-2022</t>
        </is>
      </c>
      <c r="B591" s="1" t="n">
        <v>44583</v>
      </c>
      <c r="C591" s="1" t="n">
        <v>45474</v>
      </c>
      <c r="D591" t="inlineStr">
        <is>
          <t>UPPSALA LÄN</t>
        </is>
      </c>
      <c r="E591" t="inlineStr">
        <is>
          <t>UPPSALA</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3252-2022</t>
        </is>
      </c>
      <c r="B592" s="1" t="n">
        <v>44583</v>
      </c>
      <c r="C592" s="1" t="n">
        <v>45474</v>
      </c>
      <c r="D592" t="inlineStr">
        <is>
          <t>UPPSALA LÄN</t>
        </is>
      </c>
      <c r="E592" t="inlineStr">
        <is>
          <t>UPPSALA</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3258-2022</t>
        </is>
      </c>
      <c r="B593" s="1" t="n">
        <v>44583</v>
      </c>
      <c r="C593" s="1" t="n">
        <v>45474</v>
      </c>
      <c r="D593" t="inlineStr">
        <is>
          <t>UPPSALA LÄN</t>
        </is>
      </c>
      <c r="E593" t="inlineStr">
        <is>
          <t>UPPSALA</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3262-2022</t>
        </is>
      </c>
      <c r="B594" s="1" t="n">
        <v>44583</v>
      </c>
      <c r="C594" s="1" t="n">
        <v>45474</v>
      </c>
      <c r="D594" t="inlineStr">
        <is>
          <t>UPPSALA LÄN</t>
        </is>
      </c>
      <c r="E594" t="inlineStr">
        <is>
          <t>UPPSALA</t>
        </is>
      </c>
      <c r="F594" t="inlineStr">
        <is>
          <t>Holmen skog AB</t>
        </is>
      </c>
      <c r="G594" t="n">
        <v>5.4</v>
      </c>
      <c r="H594" t="n">
        <v>0</v>
      </c>
      <c r="I594" t="n">
        <v>0</v>
      </c>
      <c r="J594" t="n">
        <v>0</v>
      </c>
      <c r="K594" t="n">
        <v>0</v>
      </c>
      <c r="L594" t="n">
        <v>0</v>
      </c>
      <c r="M594" t="n">
        <v>0</v>
      </c>
      <c r="N594" t="n">
        <v>0</v>
      </c>
      <c r="O594" t="n">
        <v>0</v>
      </c>
      <c r="P594" t="n">
        <v>0</v>
      </c>
      <c r="Q594" t="n">
        <v>0</v>
      </c>
      <c r="R594" s="2" t="inlineStr"/>
    </row>
    <row r="595" ht="15" customHeight="1">
      <c r="A595" t="inlineStr">
        <is>
          <t>A 3255-2022</t>
        </is>
      </c>
      <c r="B595" s="1" t="n">
        <v>44583</v>
      </c>
      <c r="C595" s="1" t="n">
        <v>45474</v>
      </c>
      <c r="D595" t="inlineStr">
        <is>
          <t>UPPSALA LÄN</t>
        </is>
      </c>
      <c r="E595" t="inlineStr">
        <is>
          <t>UPPSALA</t>
        </is>
      </c>
      <c r="F595" t="inlineStr">
        <is>
          <t>Holmen skog AB</t>
        </is>
      </c>
      <c r="G595" t="n">
        <v>5.6</v>
      </c>
      <c r="H595" t="n">
        <v>0</v>
      </c>
      <c r="I595" t="n">
        <v>0</v>
      </c>
      <c r="J595" t="n">
        <v>0</v>
      </c>
      <c r="K595" t="n">
        <v>0</v>
      </c>
      <c r="L595" t="n">
        <v>0</v>
      </c>
      <c r="M595" t="n">
        <v>0</v>
      </c>
      <c r="N595" t="n">
        <v>0</v>
      </c>
      <c r="O595" t="n">
        <v>0</v>
      </c>
      <c r="P595" t="n">
        <v>0</v>
      </c>
      <c r="Q595" t="n">
        <v>0</v>
      </c>
      <c r="R595" s="2" t="inlineStr"/>
    </row>
    <row r="596" ht="15" customHeight="1">
      <c r="A596" t="inlineStr">
        <is>
          <t>A 3260-2022</t>
        </is>
      </c>
      <c r="B596" s="1" t="n">
        <v>44583</v>
      </c>
      <c r="C596" s="1" t="n">
        <v>45474</v>
      </c>
      <c r="D596" t="inlineStr">
        <is>
          <t>UPPSALA LÄN</t>
        </is>
      </c>
      <c r="E596" t="inlineStr">
        <is>
          <t>UPPSALA</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3284-2022</t>
        </is>
      </c>
      <c r="B597" s="1" t="n">
        <v>44584</v>
      </c>
      <c r="C597" s="1" t="n">
        <v>45474</v>
      </c>
      <c r="D597" t="inlineStr">
        <is>
          <t>UPPSALA LÄN</t>
        </is>
      </c>
      <c r="E597" t="inlineStr">
        <is>
          <t>UPPSALA</t>
        </is>
      </c>
      <c r="F597" t="inlineStr">
        <is>
          <t>Holmen skog AB</t>
        </is>
      </c>
      <c r="G597" t="n">
        <v>3</v>
      </c>
      <c r="H597" t="n">
        <v>0</v>
      </c>
      <c r="I597" t="n">
        <v>0</v>
      </c>
      <c r="J597" t="n">
        <v>0</v>
      </c>
      <c r="K597" t="n">
        <v>0</v>
      </c>
      <c r="L597" t="n">
        <v>0</v>
      </c>
      <c r="M597" t="n">
        <v>0</v>
      </c>
      <c r="N597" t="n">
        <v>0</v>
      </c>
      <c r="O597" t="n">
        <v>0</v>
      </c>
      <c r="P597" t="n">
        <v>0</v>
      </c>
      <c r="Q597" t="n">
        <v>0</v>
      </c>
      <c r="R597" s="2" t="inlineStr"/>
    </row>
    <row r="598" ht="15" customHeight="1">
      <c r="A598" t="inlineStr">
        <is>
          <t>A 3287-2022</t>
        </is>
      </c>
      <c r="B598" s="1" t="n">
        <v>44584</v>
      </c>
      <c r="C598" s="1" t="n">
        <v>45474</v>
      </c>
      <c r="D598" t="inlineStr">
        <is>
          <t>UPPSALA LÄN</t>
        </is>
      </c>
      <c r="E598" t="inlineStr">
        <is>
          <t>UPPSALA</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4059-2022</t>
        </is>
      </c>
      <c r="B599" s="1" t="n">
        <v>44588</v>
      </c>
      <c r="C599" s="1" t="n">
        <v>45474</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4312-2022</t>
        </is>
      </c>
      <c r="B600" s="1" t="n">
        <v>44588</v>
      </c>
      <c r="C600" s="1" t="n">
        <v>45474</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4444-2022</t>
        </is>
      </c>
      <c r="B601" s="1" t="n">
        <v>44589</v>
      </c>
      <c r="C601" s="1" t="n">
        <v>45474</v>
      </c>
      <c r="D601" t="inlineStr">
        <is>
          <t>UPPSALA LÄN</t>
        </is>
      </c>
      <c r="E601" t="inlineStr">
        <is>
          <t>UPPSALA</t>
        </is>
      </c>
      <c r="G601" t="n">
        <v>3.2</v>
      </c>
      <c r="H601" t="n">
        <v>0</v>
      </c>
      <c r="I601" t="n">
        <v>0</v>
      </c>
      <c r="J601" t="n">
        <v>0</v>
      </c>
      <c r="K601" t="n">
        <v>0</v>
      </c>
      <c r="L601" t="n">
        <v>0</v>
      </c>
      <c r="M601" t="n">
        <v>0</v>
      </c>
      <c r="N601" t="n">
        <v>0</v>
      </c>
      <c r="O601" t="n">
        <v>0</v>
      </c>
      <c r="P601" t="n">
        <v>0</v>
      </c>
      <c r="Q601" t="n">
        <v>0</v>
      </c>
      <c r="R601" s="2" t="inlineStr"/>
    </row>
    <row r="602" ht="15" customHeight="1">
      <c r="A602" t="inlineStr">
        <is>
          <t>A 4929-2022</t>
        </is>
      </c>
      <c r="B602" s="1" t="n">
        <v>44593</v>
      </c>
      <c r="C602" s="1" t="n">
        <v>45474</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5027-2022</t>
        </is>
      </c>
      <c r="B603" s="1" t="n">
        <v>44593</v>
      </c>
      <c r="C603" s="1" t="n">
        <v>45474</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5081-2022</t>
        </is>
      </c>
      <c r="B604" s="1" t="n">
        <v>44593</v>
      </c>
      <c r="C604" s="1" t="n">
        <v>45474</v>
      </c>
      <c r="D604" t="inlineStr">
        <is>
          <t>UPPSALA LÄN</t>
        </is>
      </c>
      <c r="E604" t="inlineStr">
        <is>
          <t>UPPSALA</t>
        </is>
      </c>
      <c r="G604" t="n">
        <v>3</v>
      </c>
      <c r="H604" t="n">
        <v>0</v>
      </c>
      <c r="I604" t="n">
        <v>0</v>
      </c>
      <c r="J604" t="n">
        <v>0</v>
      </c>
      <c r="K604" t="n">
        <v>0</v>
      </c>
      <c r="L604" t="n">
        <v>0</v>
      </c>
      <c r="M604" t="n">
        <v>0</v>
      </c>
      <c r="N604" t="n">
        <v>0</v>
      </c>
      <c r="O604" t="n">
        <v>0</v>
      </c>
      <c r="P604" t="n">
        <v>0</v>
      </c>
      <c r="Q604" t="n">
        <v>0</v>
      </c>
      <c r="R604" s="2" t="inlineStr"/>
    </row>
    <row r="605" ht="15" customHeight="1">
      <c r="A605" t="inlineStr">
        <is>
          <t>A 5007-2022</t>
        </is>
      </c>
      <c r="B605" s="1" t="n">
        <v>44593</v>
      </c>
      <c r="C605" s="1" t="n">
        <v>45474</v>
      </c>
      <c r="D605" t="inlineStr">
        <is>
          <t>UPPSALA LÄN</t>
        </is>
      </c>
      <c r="E605" t="inlineStr">
        <is>
          <t>UPPSALA</t>
        </is>
      </c>
      <c r="F605" t="inlineStr">
        <is>
          <t>BillerudKorsnäs AB</t>
        </is>
      </c>
      <c r="G605" t="n">
        <v>3.6</v>
      </c>
      <c r="H605" t="n">
        <v>0</v>
      </c>
      <c r="I605" t="n">
        <v>0</v>
      </c>
      <c r="J605" t="n">
        <v>0</v>
      </c>
      <c r="K605" t="n">
        <v>0</v>
      </c>
      <c r="L605" t="n">
        <v>0</v>
      </c>
      <c r="M605" t="n">
        <v>0</v>
      </c>
      <c r="N605" t="n">
        <v>0</v>
      </c>
      <c r="O605" t="n">
        <v>0</v>
      </c>
      <c r="P605" t="n">
        <v>0</v>
      </c>
      <c r="Q605" t="n">
        <v>0</v>
      </c>
      <c r="R605" s="2" t="inlineStr"/>
    </row>
    <row r="606" ht="15" customHeight="1">
      <c r="A606" t="inlineStr">
        <is>
          <t>A 5006-2022</t>
        </is>
      </c>
      <c r="B606" s="1" t="n">
        <v>44593</v>
      </c>
      <c r="C606" s="1" t="n">
        <v>45474</v>
      </c>
      <c r="D606" t="inlineStr">
        <is>
          <t>UPPSALA LÄN</t>
        </is>
      </c>
      <c r="E606" t="inlineStr">
        <is>
          <t>UPPSALA</t>
        </is>
      </c>
      <c r="F606" t="inlineStr">
        <is>
          <t>BillerudKorsnäs AB</t>
        </is>
      </c>
      <c r="G606" t="n">
        <v>1.4</v>
      </c>
      <c r="H606" t="n">
        <v>0</v>
      </c>
      <c r="I606" t="n">
        <v>0</v>
      </c>
      <c r="J606" t="n">
        <v>0</v>
      </c>
      <c r="K606" t="n">
        <v>0</v>
      </c>
      <c r="L606" t="n">
        <v>0</v>
      </c>
      <c r="M606" t="n">
        <v>0</v>
      </c>
      <c r="N606" t="n">
        <v>0</v>
      </c>
      <c r="O606" t="n">
        <v>0</v>
      </c>
      <c r="P606" t="n">
        <v>0</v>
      </c>
      <c r="Q606" t="n">
        <v>0</v>
      </c>
      <c r="R606" s="2" t="inlineStr"/>
    </row>
    <row r="607" ht="15" customHeight="1">
      <c r="A607" t="inlineStr">
        <is>
          <t>A 5028-2022</t>
        </is>
      </c>
      <c r="B607" s="1" t="n">
        <v>44593</v>
      </c>
      <c r="C607" s="1" t="n">
        <v>45474</v>
      </c>
      <c r="D607" t="inlineStr">
        <is>
          <t>UPPSALA LÄN</t>
        </is>
      </c>
      <c r="E607" t="inlineStr">
        <is>
          <t>UPPSALA</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5309-2022</t>
        </is>
      </c>
      <c r="B608" s="1" t="n">
        <v>44594</v>
      </c>
      <c r="C608" s="1" t="n">
        <v>45474</v>
      </c>
      <c r="D608" t="inlineStr">
        <is>
          <t>UPPSALA LÄN</t>
        </is>
      </c>
      <c r="E608" t="inlineStr">
        <is>
          <t>UPPSALA</t>
        </is>
      </c>
      <c r="G608" t="n">
        <v>4.8</v>
      </c>
      <c r="H608" t="n">
        <v>0</v>
      </c>
      <c r="I608" t="n">
        <v>0</v>
      </c>
      <c r="J608" t="n">
        <v>0</v>
      </c>
      <c r="K608" t="n">
        <v>0</v>
      </c>
      <c r="L608" t="n">
        <v>0</v>
      </c>
      <c r="M608" t="n">
        <v>0</v>
      </c>
      <c r="N608" t="n">
        <v>0</v>
      </c>
      <c r="O608" t="n">
        <v>0</v>
      </c>
      <c r="P608" t="n">
        <v>0</v>
      </c>
      <c r="Q608" t="n">
        <v>0</v>
      </c>
      <c r="R608" s="2" t="inlineStr"/>
    </row>
    <row r="609" ht="15" customHeight="1">
      <c r="A609" t="inlineStr">
        <is>
          <t>A 5189-2022</t>
        </is>
      </c>
      <c r="B609" s="1" t="n">
        <v>44594</v>
      </c>
      <c r="C609" s="1" t="n">
        <v>45474</v>
      </c>
      <c r="D609" t="inlineStr">
        <is>
          <t>UPPSALA LÄN</t>
        </is>
      </c>
      <c r="E609" t="inlineStr">
        <is>
          <t>UPPSALA</t>
        </is>
      </c>
      <c r="G609" t="n">
        <v>5.9</v>
      </c>
      <c r="H609" t="n">
        <v>0</v>
      </c>
      <c r="I609" t="n">
        <v>0</v>
      </c>
      <c r="J609" t="n">
        <v>0</v>
      </c>
      <c r="K609" t="n">
        <v>0</v>
      </c>
      <c r="L609" t="n">
        <v>0</v>
      </c>
      <c r="M609" t="n">
        <v>0</v>
      </c>
      <c r="N609" t="n">
        <v>0</v>
      </c>
      <c r="O609" t="n">
        <v>0</v>
      </c>
      <c r="P609" t="n">
        <v>0</v>
      </c>
      <c r="Q609" t="n">
        <v>0</v>
      </c>
      <c r="R609" s="2" t="inlineStr"/>
    </row>
    <row r="610" ht="15" customHeight="1">
      <c r="A610" t="inlineStr">
        <is>
          <t>A 5924-2022</t>
        </is>
      </c>
      <c r="B610" s="1" t="n">
        <v>44598</v>
      </c>
      <c r="C610" s="1" t="n">
        <v>45474</v>
      </c>
      <c r="D610" t="inlineStr">
        <is>
          <t>UPPSALA LÄN</t>
        </is>
      </c>
      <c r="E610" t="inlineStr">
        <is>
          <t>UPPSALA</t>
        </is>
      </c>
      <c r="G610" t="n">
        <v>6.8</v>
      </c>
      <c r="H610" t="n">
        <v>0</v>
      </c>
      <c r="I610" t="n">
        <v>0</v>
      </c>
      <c r="J610" t="n">
        <v>0</v>
      </c>
      <c r="K610" t="n">
        <v>0</v>
      </c>
      <c r="L610" t="n">
        <v>0</v>
      </c>
      <c r="M610" t="n">
        <v>0</v>
      </c>
      <c r="N610" t="n">
        <v>0</v>
      </c>
      <c r="O610" t="n">
        <v>0</v>
      </c>
      <c r="P610" t="n">
        <v>0</v>
      </c>
      <c r="Q610" t="n">
        <v>0</v>
      </c>
      <c r="R610" s="2" t="inlineStr"/>
    </row>
    <row r="611" ht="15" customHeight="1">
      <c r="A611" t="inlineStr">
        <is>
          <t>A 5989-2022</t>
        </is>
      </c>
      <c r="B611" s="1" t="n">
        <v>44599</v>
      </c>
      <c r="C611" s="1" t="n">
        <v>45474</v>
      </c>
      <c r="D611" t="inlineStr">
        <is>
          <t>UPPSALA LÄN</t>
        </is>
      </c>
      <c r="E611" t="inlineStr">
        <is>
          <t>UPPSALA</t>
        </is>
      </c>
      <c r="G611" t="n">
        <v>2.8</v>
      </c>
      <c r="H611" t="n">
        <v>0</v>
      </c>
      <c r="I611" t="n">
        <v>0</v>
      </c>
      <c r="J611" t="n">
        <v>0</v>
      </c>
      <c r="K611" t="n">
        <v>0</v>
      </c>
      <c r="L611" t="n">
        <v>0</v>
      </c>
      <c r="M611" t="n">
        <v>0</v>
      </c>
      <c r="N611" t="n">
        <v>0</v>
      </c>
      <c r="O611" t="n">
        <v>0</v>
      </c>
      <c r="P611" t="n">
        <v>0</v>
      </c>
      <c r="Q611" t="n">
        <v>0</v>
      </c>
      <c r="R611" s="2" t="inlineStr"/>
    </row>
    <row r="612" ht="15" customHeight="1">
      <c r="A612" t="inlineStr">
        <is>
          <t>A 6009-2022</t>
        </is>
      </c>
      <c r="B612" s="1" t="n">
        <v>44599</v>
      </c>
      <c r="C612" s="1" t="n">
        <v>45474</v>
      </c>
      <c r="D612" t="inlineStr">
        <is>
          <t>UPPSALA LÄN</t>
        </is>
      </c>
      <c r="E612" t="inlineStr">
        <is>
          <t>UPPSALA</t>
        </is>
      </c>
      <c r="G612" t="n">
        <v>0.9</v>
      </c>
      <c r="H612" t="n">
        <v>0</v>
      </c>
      <c r="I612" t="n">
        <v>0</v>
      </c>
      <c r="J612" t="n">
        <v>0</v>
      </c>
      <c r="K612" t="n">
        <v>0</v>
      </c>
      <c r="L612" t="n">
        <v>0</v>
      </c>
      <c r="M612" t="n">
        <v>0</v>
      </c>
      <c r="N612" t="n">
        <v>0</v>
      </c>
      <c r="O612" t="n">
        <v>0</v>
      </c>
      <c r="P612" t="n">
        <v>0</v>
      </c>
      <c r="Q612" t="n">
        <v>0</v>
      </c>
      <c r="R612" s="2" t="inlineStr"/>
    </row>
    <row r="613" ht="15" customHeight="1">
      <c r="A613" t="inlineStr">
        <is>
          <t>A 5996-2022</t>
        </is>
      </c>
      <c r="B613" s="1" t="n">
        <v>44599</v>
      </c>
      <c r="C613" s="1" t="n">
        <v>45474</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6339-2022</t>
        </is>
      </c>
      <c r="B614" s="1" t="n">
        <v>44600</v>
      </c>
      <c r="C614" s="1" t="n">
        <v>45474</v>
      </c>
      <c r="D614" t="inlineStr">
        <is>
          <t>UPPSALA LÄN</t>
        </is>
      </c>
      <c r="E614" t="inlineStr">
        <is>
          <t>UPPSALA</t>
        </is>
      </c>
      <c r="G614" t="n">
        <v>18.7</v>
      </c>
      <c r="H614" t="n">
        <v>0</v>
      </c>
      <c r="I614" t="n">
        <v>0</v>
      </c>
      <c r="J614" t="n">
        <v>0</v>
      </c>
      <c r="K614" t="n">
        <v>0</v>
      </c>
      <c r="L614" t="n">
        <v>0</v>
      </c>
      <c r="M614" t="n">
        <v>0</v>
      </c>
      <c r="N614" t="n">
        <v>0</v>
      </c>
      <c r="O614" t="n">
        <v>0</v>
      </c>
      <c r="P614" t="n">
        <v>0</v>
      </c>
      <c r="Q614" t="n">
        <v>0</v>
      </c>
      <c r="R614" s="2" t="inlineStr"/>
    </row>
    <row r="615" ht="15" customHeight="1">
      <c r="A615" t="inlineStr">
        <is>
          <t>A 6408-2022</t>
        </is>
      </c>
      <c r="B615" s="1" t="n">
        <v>44600</v>
      </c>
      <c r="C615" s="1" t="n">
        <v>45474</v>
      </c>
      <c r="D615" t="inlineStr">
        <is>
          <t>UPPSALA LÄN</t>
        </is>
      </c>
      <c r="E615" t="inlineStr">
        <is>
          <t>UPPSALA</t>
        </is>
      </c>
      <c r="F615" t="inlineStr">
        <is>
          <t>Bergvik skog öst AB</t>
        </is>
      </c>
      <c r="G615" t="n">
        <v>1.8</v>
      </c>
      <c r="H615" t="n">
        <v>0</v>
      </c>
      <c r="I615" t="n">
        <v>0</v>
      </c>
      <c r="J615" t="n">
        <v>0</v>
      </c>
      <c r="K615" t="n">
        <v>0</v>
      </c>
      <c r="L615" t="n">
        <v>0</v>
      </c>
      <c r="M615" t="n">
        <v>0</v>
      </c>
      <c r="N615" t="n">
        <v>0</v>
      </c>
      <c r="O615" t="n">
        <v>0</v>
      </c>
      <c r="P615" t="n">
        <v>0</v>
      </c>
      <c r="Q615" t="n">
        <v>0</v>
      </c>
      <c r="R615" s="2" t="inlineStr"/>
    </row>
    <row r="616" ht="15" customHeight="1">
      <c r="A616" t="inlineStr">
        <is>
          <t>A 6717-2022</t>
        </is>
      </c>
      <c r="B616" s="1" t="n">
        <v>44602</v>
      </c>
      <c r="C616" s="1" t="n">
        <v>45474</v>
      </c>
      <c r="D616" t="inlineStr">
        <is>
          <t>UPPSALA LÄN</t>
        </is>
      </c>
      <c r="E616" t="inlineStr">
        <is>
          <t>UPPSALA</t>
        </is>
      </c>
      <c r="F616" t="inlineStr">
        <is>
          <t>Övriga Aktiebolag</t>
        </is>
      </c>
      <c r="G616" t="n">
        <v>6.7</v>
      </c>
      <c r="H616" t="n">
        <v>0</v>
      </c>
      <c r="I616" t="n">
        <v>0</v>
      </c>
      <c r="J616" t="n">
        <v>0</v>
      </c>
      <c r="K616" t="n">
        <v>0</v>
      </c>
      <c r="L616" t="n">
        <v>0</v>
      </c>
      <c r="M616" t="n">
        <v>0</v>
      </c>
      <c r="N616" t="n">
        <v>0</v>
      </c>
      <c r="O616" t="n">
        <v>0</v>
      </c>
      <c r="P616" t="n">
        <v>0</v>
      </c>
      <c r="Q616" t="n">
        <v>0</v>
      </c>
      <c r="R616" s="2" t="inlineStr"/>
    </row>
    <row r="617" ht="15" customHeight="1">
      <c r="A617" t="inlineStr">
        <is>
          <t>A 6853-2022</t>
        </is>
      </c>
      <c r="B617" s="1" t="n">
        <v>44602</v>
      </c>
      <c r="C617" s="1" t="n">
        <v>45474</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6863-2022</t>
        </is>
      </c>
      <c r="B618" s="1" t="n">
        <v>44602</v>
      </c>
      <c r="C618" s="1" t="n">
        <v>45474</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6850-2022</t>
        </is>
      </c>
      <c r="B619" s="1" t="n">
        <v>44602</v>
      </c>
      <c r="C619" s="1" t="n">
        <v>45474</v>
      </c>
      <c r="D619" t="inlineStr">
        <is>
          <t>UPPSALA LÄN</t>
        </is>
      </c>
      <c r="E619" t="inlineStr">
        <is>
          <t>UPPSALA</t>
        </is>
      </c>
      <c r="G619" t="n">
        <v>3.7</v>
      </c>
      <c r="H619" t="n">
        <v>0</v>
      </c>
      <c r="I619" t="n">
        <v>0</v>
      </c>
      <c r="J619" t="n">
        <v>0</v>
      </c>
      <c r="K619" t="n">
        <v>0</v>
      </c>
      <c r="L619" t="n">
        <v>0</v>
      </c>
      <c r="M619" t="n">
        <v>0</v>
      </c>
      <c r="N619" t="n">
        <v>0</v>
      </c>
      <c r="O619" t="n">
        <v>0</v>
      </c>
      <c r="P619" t="n">
        <v>0</v>
      </c>
      <c r="Q619" t="n">
        <v>0</v>
      </c>
      <c r="R619" s="2" t="inlineStr"/>
    </row>
    <row r="620" ht="15" customHeight="1">
      <c r="A620" t="inlineStr">
        <is>
          <t>A 6851-2022</t>
        </is>
      </c>
      <c r="B620" s="1" t="n">
        <v>44602</v>
      </c>
      <c r="C620" s="1" t="n">
        <v>45474</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6855-2022</t>
        </is>
      </c>
      <c r="B621" s="1" t="n">
        <v>44602</v>
      </c>
      <c r="C621" s="1" t="n">
        <v>45474</v>
      </c>
      <c r="D621" t="inlineStr">
        <is>
          <t>UPPSALA LÄN</t>
        </is>
      </c>
      <c r="E621" t="inlineStr">
        <is>
          <t>UPPSALA</t>
        </is>
      </c>
      <c r="G621" t="n">
        <v>4.6</v>
      </c>
      <c r="H621" t="n">
        <v>0</v>
      </c>
      <c r="I621" t="n">
        <v>0</v>
      </c>
      <c r="J621" t="n">
        <v>0</v>
      </c>
      <c r="K621" t="n">
        <v>0</v>
      </c>
      <c r="L621" t="n">
        <v>0</v>
      </c>
      <c r="M621" t="n">
        <v>0</v>
      </c>
      <c r="N621" t="n">
        <v>0</v>
      </c>
      <c r="O621" t="n">
        <v>0</v>
      </c>
      <c r="P621" t="n">
        <v>0</v>
      </c>
      <c r="Q621" t="n">
        <v>0</v>
      </c>
      <c r="R621" s="2" t="inlineStr"/>
    </row>
    <row r="622" ht="15" customHeight="1">
      <c r="A622" t="inlineStr">
        <is>
          <t>A 6860-2022</t>
        </is>
      </c>
      <c r="B622" s="1" t="n">
        <v>44602</v>
      </c>
      <c r="C622" s="1" t="n">
        <v>45474</v>
      </c>
      <c r="D622" t="inlineStr">
        <is>
          <t>UPPSALA LÄN</t>
        </is>
      </c>
      <c r="E622" t="inlineStr">
        <is>
          <t>UPPSALA</t>
        </is>
      </c>
      <c r="G622" t="n">
        <v>14.8</v>
      </c>
      <c r="H622" t="n">
        <v>0</v>
      </c>
      <c r="I622" t="n">
        <v>0</v>
      </c>
      <c r="J622" t="n">
        <v>0</v>
      </c>
      <c r="K622" t="n">
        <v>0</v>
      </c>
      <c r="L622" t="n">
        <v>0</v>
      </c>
      <c r="M622" t="n">
        <v>0</v>
      </c>
      <c r="N622" t="n">
        <v>0</v>
      </c>
      <c r="O622" t="n">
        <v>0</v>
      </c>
      <c r="P622" t="n">
        <v>0</v>
      </c>
      <c r="Q622" t="n">
        <v>0</v>
      </c>
      <c r="R622" s="2" t="inlineStr"/>
    </row>
    <row r="623" ht="15" customHeight="1">
      <c r="A623" t="inlineStr">
        <is>
          <t>A 6989-2022</t>
        </is>
      </c>
      <c r="B623" s="1" t="n">
        <v>44603</v>
      </c>
      <c r="C623" s="1" t="n">
        <v>45474</v>
      </c>
      <c r="D623" t="inlineStr">
        <is>
          <t>UPPSALA LÄN</t>
        </is>
      </c>
      <c r="E623" t="inlineStr">
        <is>
          <t>UPPSALA</t>
        </is>
      </c>
      <c r="G623" t="n">
        <v>3.1</v>
      </c>
      <c r="H623" t="n">
        <v>0</v>
      </c>
      <c r="I623" t="n">
        <v>0</v>
      </c>
      <c r="J623" t="n">
        <v>0</v>
      </c>
      <c r="K623" t="n">
        <v>0</v>
      </c>
      <c r="L623" t="n">
        <v>0</v>
      </c>
      <c r="M623" t="n">
        <v>0</v>
      </c>
      <c r="N623" t="n">
        <v>0</v>
      </c>
      <c r="O623" t="n">
        <v>0</v>
      </c>
      <c r="P623" t="n">
        <v>0</v>
      </c>
      <c r="Q623" t="n">
        <v>0</v>
      </c>
      <c r="R623" s="2" t="inlineStr"/>
    </row>
    <row r="624" ht="15" customHeight="1">
      <c r="A624" t="inlineStr">
        <is>
          <t>A 7040-2022</t>
        </is>
      </c>
      <c r="B624" s="1" t="n">
        <v>44603</v>
      </c>
      <c r="C624" s="1" t="n">
        <v>45474</v>
      </c>
      <c r="D624" t="inlineStr">
        <is>
          <t>UPPSALA LÄN</t>
        </is>
      </c>
      <c r="E624" t="inlineStr">
        <is>
          <t>UPPSALA</t>
        </is>
      </c>
      <c r="G624" t="n">
        <v>3.9</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45474</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7409-2022</t>
        </is>
      </c>
      <c r="B626" s="1" t="n">
        <v>44606</v>
      </c>
      <c r="C626" s="1" t="n">
        <v>45474</v>
      </c>
      <c r="D626" t="inlineStr">
        <is>
          <t>UPPSALA LÄN</t>
        </is>
      </c>
      <c r="E626" t="inlineStr">
        <is>
          <t>UPPSALA</t>
        </is>
      </c>
      <c r="G626" t="n">
        <v>4.3</v>
      </c>
      <c r="H626" t="n">
        <v>0</v>
      </c>
      <c r="I626" t="n">
        <v>0</v>
      </c>
      <c r="J626" t="n">
        <v>0</v>
      </c>
      <c r="K626" t="n">
        <v>0</v>
      </c>
      <c r="L626" t="n">
        <v>0</v>
      </c>
      <c r="M626" t="n">
        <v>0</v>
      </c>
      <c r="N626" t="n">
        <v>0</v>
      </c>
      <c r="O626" t="n">
        <v>0</v>
      </c>
      <c r="P626" t="n">
        <v>0</v>
      </c>
      <c r="Q626" t="n">
        <v>0</v>
      </c>
      <c r="R626" s="2" t="inlineStr"/>
    </row>
    <row r="627" ht="15" customHeight="1">
      <c r="A627" t="inlineStr">
        <is>
          <t>A 7899-2022</t>
        </is>
      </c>
      <c r="B627" s="1" t="n">
        <v>44608</v>
      </c>
      <c r="C627" s="1" t="n">
        <v>45474</v>
      </c>
      <c r="D627" t="inlineStr">
        <is>
          <t>UPPSALA LÄN</t>
        </is>
      </c>
      <c r="E627" t="inlineStr">
        <is>
          <t>UPPSALA</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8090-2022</t>
        </is>
      </c>
      <c r="B628" s="1" t="n">
        <v>44608</v>
      </c>
      <c r="C628" s="1" t="n">
        <v>45474</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7996-2022</t>
        </is>
      </c>
      <c r="B629" s="1" t="n">
        <v>44609</v>
      </c>
      <c r="C629" s="1" t="n">
        <v>45474</v>
      </c>
      <c r="D629" t="inlineStr">
        <is>
          <t>UPPSALA LÄN</t>
        </is>
      </c>
      <c r="E629" t="inlineStr">
        <is>
          <t>UPPSALA</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8007-2022</t>
        </is>
      </c>
      <c r="B630" s="1" t="n">
        <v>44609</v>
      </c>
      <c r="C630" s="1" t="n">
        <v>45474</v>
      </c>
      <c r="D630" t="inlineStr">
        <is>
          <t>UPPSALA LÄN</t>
        </is>
      </c>
      <c r="E630" t="inlineStr">
        <is>
          <t>UPPSALA</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8132-2022</t>
        </is>
      </c>
      <c r="B631" s="1" t="n">
        <v>44609</v>
      </c>
      <c r="C631" s="1" t="n">
        <v>45474</v>
      </c>
      <c r="D631" t="inlineStr">
        <is>
          <t>UPPSALA LÄN</t>
        </is>
      </c>
      <c r="E631" t="inlineStr">
        <is>
          <t>UPPSALA</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8139-2022</t>
        </is>
      </c>
      <c r="B632" s="1" t="n">
        <v>44609</v>
      </c>
      <c r="C632" s="1" t="n">
        <v>45474</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8404-2022</t>
        </is>
      </c>
      <c r="B633" s="1" t="n">
        <v>44610</v>
      </c>
      <c r="C633" s="1" t="n">
        <v>45474</v>
      </c>
      <c r="D633" t="inlineStr">
        <is>
          <t>UPPSALA LÄN</t>
        </is>
      </c>
      <c r="E633" t="inlineStr">
        <is>
          <t>UPPSALA</t>
        </is>
      </c>
      <c r="F633" t="inlineStr">
        <is>
          <t>Allmännings- och besparingsskogar</t>
        </is>
      </c>
      <c r="G633" t="n">
        <v>5.4</v>
      </c>
      <c r="H633" t="n">
        <v>0</v>
      </c>
      <c r="I633" t="n">
        <v>0</v>
      </c>
      <c r="J633" t="n">
        <v>0</v>
      </c>
      <c r="K633" t="n">
        <v>0</v>
      </c>
      <c r="L633" t="n">
        <v>0</v>
      </c>
      <c r="M633" t="n">
        <v>0</v>
      </c>
      <c r="N633" t="n">
        <v>0</v>
      </c>
      <c r="O633" t="n">
        <v>0</v>
      </c>
      <c r="P633" t="n">
        <v>0</v>
      </c>
      <c r="Q633" t="n">
        <v>0</v>
      </c>
      <c r="R633" s="2" t="inlineStr"/>
    </row>
    <row r="634" ht="15" customHeight="1">
      <c r="A634" t="inlineStr">
        <is>
          <t>A 8475-2022</t>
        </is>
      </c>
      <c r="B634" s="1" t="n">
        <v>44610</v>
      </c>
      <c r="C634" s="1" t="n">
        <v>45474</v>
      </c>
      <c r="D634" t="inlineStr">
        <is>
          <t>UPPSALA LÄN</t>
        </is>
      </c>
      <c r="E634" t="inlineStr">
        <is>
          <t>UPPSALA</t>
        </is>
      </c>
      <c r="F634" t="inlineStr">
        <is>
          <t>Allmännings- och besparingsskogar</t>
        </is>
      </c>
      <c r="G634" t="n">
        <v>32.7</v>
      </c>
      <c r="H634" t="n">
        <v>0</v>
      </c>
      <c r="I634" t="n">
        <v>0</v>
      </c>
      <c r="J634" t="n">
        <v>0</v>
      </c>
      <c r="K634" t="n">
        <v>0</v>
      </c>
      <c r="L634" t="n">
        <v>0</v>
      </c>
      <c r="M634" t="n">
        <v>0</v>
      </c>
      <c r="N634" t="n">
        <v>0</v>
      </c>
      <c r="O634" t="n">
        <v>0</v>
      </c>
      <c r="P634" t="n">
        <v>0</v>
      </c>
      <c r="Q634" t="n">
        <v>0</v>
      </c>
      <c r="R634" s="2" t="inlineStr"/>
    </row>
    <row r="635" ht="15" customHeight="1">
      <c r="A635" t="inlineStr">
        <is>
          <t>A 8465-2022</t>
        </is>
      </c>
      <c r="B635" s="1" t="n">
        <v>44610</v>
      </c>
      <c r="C635" s="1" t="n">
        <v>45474</v>
      </c>
      <c r="D635" t="inlineStr">
        <is>
          <t>UPPSALA LÄN</t>
        </is>
      </c>
      <c r="E635" t="inlineStr">
        <is>
          <t>UPPSALA</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8451-2022</t>
        </is>
      </c>
      <c r="B636" s="1" t="n">
        <v>44612</v>
      </c>
      <c r="C636" s="1" t="n">
        <v>45474</v>
      </c>
      <c r="D636" t="inlineStr">
        <is>
          <t>UPPSALA LÄN</t>
        </is>
      </c>
      <c r="E636" t="inlineStr">
        <is>
          <t>UPPSALA</t>
        </is>
      </c>
      <c r="G636" t="n">
        <v>1.8</v>
      </c>
      <c r="H636" t="n">
        <v>0</v>
      </c>
      <c r="I636" t="n">
        <v>0</v>
      </c>
      <c r="J636" t="n">
        <v>0</v>
      </c>
      <c r="K636" t="n">
        <v>0</v>
      </c>
      <c r="L636" t="n">
        <v>0</v>
      </c>
      <c r="M636" t="n">
        <v>0</v>
      </c>
      <c r="N636" t="n">
        <v>0</v>
      </c>
      <c r="O636" t="n">
        <v>0</v>
      </c>
      <c r="P636" t="n">
        <v>0</v>
      </c>
      <c r="Q636" t="n">
        <v>0</v>
      </c>
      <c r="R636" s="2" t="inlineStr"/>
    </row>
    <row r="637" ht="15" customHeight="1">
      <c r="A637" t="inlineStr">
        <is>
          <t>A 8877-2022</t>
        </is>
      </c>
      <c r="B637" s="1" t="n">
        <v>44614</v>
      </c>
      <c r="C637" s="1" t="n">
        <v>45474</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8933-2022</t>
        </is>
      </c>
      <c r="B638" s="1" t="n">
        <v>44614</v>
      </c>
      <c r="C638" s="1" t="n">
        <v>45474</v>
      </c>
      <c r="D638" t="inlineStr">
        <is>
          <t>UPPSALA LÄN</t>
        </is>
      </c>
      <c r="E638" t="inlineStr">
        <is>
          <t>UPPSALA</t>
        </is>
      </c>
      <c r="F638" t="inlineStr">
        <is>
          <t>Holmen skog AB</t>
        </is>
      </c>
      <c r="G638" t="n">
        <v>3.6</v>
      </c>
      <c r="H638" t="n">
        <v>0</v>
      </c>
      <c r="I638" t="n">
        <v>0</v>
      </c>
      <c r="J638" t="n">
        <v>0</v>
      </c>
      <c r="K638" t="n">
        <v>0</v>
      </c>
      <c r="L638" t="n">
        <v>0</v>
      </c>
      <c r="M638" t="n">
        <v>0</v>
      </c>
      <c r="N638" t="n">
        <v>0</v>
      </c>
      <c r="O638" t="n">
        <v>0</v>
      </c>
      <c r="P638" t="n">
        <v>0</v>
      </c>
      <c r="Q638" t="n">
        <v>0</v>
      </c>
      <c r="R638" s="2" t="inlineStr"/>
    </row>
    <row r="639" ht="15" customHeight="1">
      <c r="A639" t="inlineStr">
        <is>
          <t>A 9206-2022</t>
        </is>
      </c>
      <c r="B639" s="1" t="n">
        <v>44616</v>
      </c>
      <c r="C639" s="1" t="n">
        <v>45474</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9242-2022</t>
        </is>
      </c>
      <c r="B640" s="1" t="n">
        <v>44616</v>
      </c>
      <c r="C640" s="1" t="n">
        <v>45474</v>
      </c>
      <c r="D640" t="inlineStr">
        <is>
          <t>UPPSALA LÄN</t>
        </is>
      </c>
      <c r="E640" t="inlineStr">
        <is>
          <t>UPPSALA</t>
        </is>
      </c>
      <c r="F640" t="inlineStr">
        <is>
          <t>Övriga Aktiebolag</t>
        </is>
      </c>
      <c r="G640" t="n">
        <v>5.9</v>
      </c>
      <c r="H640" t="n">
        <v>0</v>
      </c>
      <c r="I640" t="n">
        <v>0</v>
      </c>
      <c r="J640" t="n">
        <v>0</v>
      </c>
      <c r="K640" t="n">
        <v>0</v>
      </c>
      <c r="L640" t="n">
        <v>0</v>
      </c>
      <c r="M640" t="n">
        <v>0</v>
      </c>
      <c r="N640" t="n">
        <v>0</v>
      </c>
      <c r="O640" t="n">
        <v>0</v>
      </c>
      <c r="P640" t="n">
        <v>0</v>
      </c>
      <c r="Q640" t="n">
        <v>0</v>
      </c>
      <c r="R640" s="2" t="inlineStr"/>
    </row>
    <row r="641" ht="15" customHeight="1">
      <c r="A641" t="inlineStr">
        <is>
          <t>A 9592-2022</t>
        </is>
      </c>
      <c r="B641" s="1" t="n">
        <v>44617</v>
      </c>
      <c r="C641" s="1" t="n">
        <v>45474</v>
      </c>
      <c r="D641" t="inlineStr">
        <is>
          <t>UPPSALA LÄN</t>
        </is>
      </c>
      <c r="E641" t="inlineStr">
        <is>
          <t>UPPSALA</t>
        </is>
      </c>
      <c r="G641" t="n">
        <v>7.5</v>
      </c>
      <c r="H641" t="n">
        <v>0</v>
      </c>
      <c r="I641" t="n">
        <v>0</v>
      </c>
      <c r="J641" t="n">
        <v>0</v>
      </c>
      <c r="K641" t="n">
        <v>0</v>
      </c>
      <c r="L641" t="n">
        <v>0</v>
      </c>
      <c r="M641" t="n">
        <v>0</v>
      </c>
      <c r="N641" t="n">
        <v>0</v>
      </c>
      <c r="O641" t="n">
        <v>0</v>
      </c>
      <c r="P641" t="n">
        <v>0</v>
      </c>
      <c r="Q641" t="n">
        <v>0</v>
      </c>
      <c r="R641" s="2" t="inlineStr"/>
    </row>
    <row r="642" ht="15" customHeight="1">
      <c r="A642" t="inlineStr">
        <is>
          <t>A 10411-2022</t>
        </is>
      </c>
      <c r="B642" s="1" t="n">
        <v>44623</v>
      </c>
      <c r="C642" s="1" t="n">
        <v>45474</v>
      </c>
      <c r="D642" t="inlineStr">
        <is>
          <t>UPPSALA LÄN</t>
        </is>
      </c>
      <c r="E642" t="inlineStr">
        <is>
          <t>UPPSALA</t>
        </is>
      </c>
      <c r="F642" t="inlineStr">
        <is>
          <t>Övriga Aktiebolag</t>
        </is>
      </c>
      <c r="G642" t="n">
        <v>4.2</v>
      </c>
      <c r="H642" t="n">
        <v>0</v>
      </c>
      <c r="I642" t="n">
        <v>0</v>
      </c>
      <c r="J642" t="n">
        <v>0</v>
      </c>
      <c r="K642" t="n">
        <v>0</v>
      </c>
      <c r="L642" t="n">
        <v>0</v>
      </c>
      <c r="M642" t="n">
        <v>0</v>
      </c>
      <c r="N642" t="n">
        <v>0</v>
      </c>
      <c r="O642" t="n">
        <v>0</v>
      </c>
      <c r="P642" t="n">
        <v>0</v>
      </c>
      <c r="Q642" t="n">
        <v>0</v>
      </c>
      <c r="R642" s="2" t="inlineStr"/>
    </row>
    <row r="643" ht="15" customHeight="1">
      <c r="A643" t="inlineStr">
        <is>
          <t>A 10383-2022</t>
        </is>
      </c>
      <c r="B643" s="1" t="n">
        <v>44623</v>
      </c>
      <c r="C643" s="1" t="n">
        <v>45474</v>
      </c>
      <c r="D643" t="inlineStr">
        <is>
          <t>UPPSALA LÄN</t>
        </is>
      </c>
      <c r="E643" t="inlineStr">
        <is>
          <t>UPPSALA</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10456-2022</t>
        </is>
      </c>
      <c r="B644" s="1" t="n">
        <v>44623</v>
      </c>
      <c r="C644" s="1" t="n">
        <v>45474</v>
      </c>
      <c r="D644" t="inlineStr">
        <is>
          <t>UPPSALA LÄN</t>
        </is>
      </c>
      <c r="E644" t="inlineStr">
        <is>
          <t>UPPSALA</t>
        </is>
      </c>
      <c r="F644" t="inlineStr">
        <is>
          <t>Övriga Aktiebolag</t>
        </is>
      </c>
      <c r="G644" t="n">
        <v>12.6</v>
      </c>
      <c r="H644" t="n">
        <v>0</v>
      </c>
      <c r="I644" t="n">
        <v>0</v>
      </c>
      <c r="J644" t="n">
        <v>0</v>
      </c>
      <c r="K644" t="n">
        <v>0</v>
      </c>
      <c r="L644" t="n">
        <v>0</v>
      </c>
      <c r="M644" t="n">
        <v>0</v>
      </c>
      <c r="N644" t="n">
        <v>0</v>
      </c>
      <c r="O644" t="n">
        <v>0</v>
      </c>
      <c r="P644" t="n">
        <v>0</v>
      </c>
      <c r="Q644" t="n">
        <v>0</v>
      </c>
      <c r="R644" s="2" t="inlineStr"/>
    </row>
    <row r="645" ht="15" customHeight="1">
      <c r="A645" t="inlineStr">
        <is>
          <t>A 10464-2022</t>
        </is>
      </c>
      <c r="B645" s="1" t="n">
        <v>44623</v>
      </c>
      <c r="C645" s="1" t="n">
        <v>45474</v>
      </c>
      <c r="D645" t="inlineStr">
        <is>
          <t>UPPSALA LÄN</t>
        </is>
      </c>
      <c r="E645" t="inlineStr">
        <is>
          <t>UPPSALA</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10565-2022</t>
        </is>
      </c>
      <c r="B646" s="1" t="n">
        <v>44624</v>
      </c>
      <c r="C646" s="1" t="n">
        <v>45474</v>
      </c>
      <c r="D646" t="inlineStr">
        <is>
          <t>UPPSALA LÄN</t>
        </is>
      </c>
      <c r="E646" t="inlineStr">
        <is>
          <t>UPPSALA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10674-2022</t>
        </is>
      </c>
      <c r="B647" s="1" t="n">
        <v>44624</v>
      </c>
      <c r="C647" s="1" t="n">
        <v>45474</v>
      </c>
      <c r="D647" t="inlineStr">
        <is>
          <t>UPPSALA LÄN</t>
        </is>
      </c>
      <c r="E647" t="inlineStr">
        <is>
          <t>UPPSALA</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11162-2022</t>
        </is>
      </c>
      <c r="B648" s="1" t="n">
        <v>44629</v>
      </c>
      <c r="C648" s="1" t="n">
        <v>45474</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11224-2022</t>
        </is>
      </c>
      <c r="B649" s="1" t="n">
        <v>44629</v>
      </c>
      <c r="C649" s="1" t="n">
        <v>45474</v>
      </c>
      <c r="D649" t="inlineStr">
        <is>
          <t>UPPSALA LÄN</t>
        </is>
      </c>
      <c r="E649" t="inlineStr">
        <is>
          <t>UPPSALA</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11787-2022</t>
        </is>
      </c>
      <c r="B650" s="1" t="n">
        <v>44634</v>
      </c>
      <c r="C650" s="1" t="n">
        <v>45474</v>
      </c>
      <c r="D650" t="inlineStr">
        <is>
          <t>UPPSALA LÄN</t>
        </is>
      </c>
      <c r="E650" t="inlineStr">
        <is>
          <t>UPPSALA</t>
        </is>
      </c>
      <c r="F650" t="inlineStr">
        <is>
          <t>Holmen skog AB</t>
        </is>
      </c>
      <c r="G650" t="n">
        <v>6.2</v>
      </c>
      <c r="H650" t="n">
        <v>0</v>
      </c>
      <c r="I650" t="n">
        <v>0</v>
      </c>
      <c r="J650" t="n">
        <v>0</v>
      </c>
      <c r="K650" t="n">
        <v>0</v>
      </c>
      <c r="L650" t="n">
        <v>0</v>
      </c>
      <c r="M650" t="n">
        <v>0</v>
      </c>
      <c r="N650" t="n">
        <v>0</v>
      </c>
      <c r="O650" t="n">
        <v>0</v>
      </c>
      <c r="P650" t="n">
        <v>0</v>
      </c>
      <c r="Q650" t="n">
        <v>0</v>
      </c>
      <c r="R650" s="2" t="inlineStr"/>
    </row>
    <row r="651" ht="15" customHeight="1">
      <c r="A651" t="inlineStr">
        <is>
          <t>A 11693-2022</t>
        </is>
      </c>
      <c r="B651" s="1" t="n">
        <v>44634</v>
      </c>
      <c r="C651" s="1" t="n">
        <v>45474</v>
      </c>
      <c r="D651" t="inlineStr">
        <is>
          <t>UPPSALA LÄN</t>
        </is>
      </c>
      <c r="E651" t="inlineStr">
        <is>
          <t>UPPSALA</t>
        </is>
      </c>
      <c r="G651" t="n">
        <v>4</v>
      </c>
      <c r="H651" t="n">
        <v>0</v>
      </c>
      <c r="I651" t="n">
        <v>0</v>
      </c>
      <c r="J651" t="n">
        <v>0</v>
      </c>
      <c r="K651" t="n">
        <v>0</v>
      </c>
      <c r="L651" t="n">
        <v>0</v>
      </c>
      <c r="M651" t="n">
        <v>0</v>
      </c>
      <c r="N651" t="n">
        <v>0</v>
      </c>
      <c r="O651" t="n">
        <v>0</v>
      </c>
      <c r="P651" t="n">
        <v>0</v>
      </c>
      <c r="Q651" t="n">
        <v>0</v>
      </c>
      <c r="R651" s="2" t="inlineStr"/>
    </row>
    <row r="652" ht="15" customHeight="1">
      <c r="A652" t="inlineStr">
        <is>
          <t>A 12221-2022</t>
        </is>
      </c>
      <c r="B652" s="1" t="n">
        <v>44637</v>
      </c>
      <c r="C652" s="1" t="n">
        <v>45474</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12293-2022</t>
        </is>
      </c>
      <c r="B653" s="1" t="n">
        <v>44637</v>
      </c>
      <c r="C653" s="1" t="n">
        <v>45474</v>
      </c>
      <c r="D653" t="inlineStr">
        <is>
          <t>UPPSALA LÄN</t>
        </is>
      </c>
      <c r="E653" t="inlineStr">
        <is>
          <t>UPPSALA</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13009-2022</t>
        </is>
      </c>
      <c r="B654" s="1" t="n">
        <v>44643</v>
      </c>
      <c r="C654" s="1" t="n">
        <v>45474</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13134-2022</t>
        </is>
      </c>
      <c r="B655" s="1" t="n">
        <v>44644</v>
      </c>
      <c r="C655" s="1" t="n">
        <v>45474</v>
      </c>
      <c r="D655" t="inlineStr">
        <is>
          <t>UPPSALA LÄN</t>
        </is>
      </c>
      <c r="E655" t="inlineStr">
        <is>
          <t>UPPSALA</t>
        </is>
      </c>
      <c r="F655" t="inlineStr">
        <is>
          <t>Övriga Aktiebolag</t>
        </is>
      </c>
      <c r="G655" t="n">
        <v>3.2</v>
      </c>
      <c r="H655" t="n">
        <v>0</v>
      </c>
      <c r="I655" t="n">
        <v>0</v>
      </c>
      <c r="J655" t="n">
        <v>0</v>
      </c>
      <c r="K655" t="n">
        <v>0</v>
      </c>
      <c r="L655" t="n">
        <v>0</v>
      </c>
      <c r="M655" t="n">
        <v>0</v>
      </c>
      <c r="N655" t="n">
        <v>0</v>
      </c>
      <c r="O655" t="n">
        <v>0</v>
      </c>
      <c r="P655" t="n">
        <v>0</v>
      </c>
      <c r="Q655" t="n">
        <v>0</v>
      </c>
      <c r="R655" s="2" t="inlineStr"/>
    </row>
    <row r="656" ht="15" customHeight="1">
      <c r="A656" t="inlineStr">
        <is>
          <t>A 13128-2022</t>
        </is>
      </c>
      <c r="B656" s="1" t="n">
        <v>44644</v>
      </c>
      <c r="C656" s="1" t="n">
        <v>45474</v>
      </c>
      <c r="D656" t="inlineStr">
        <is>
          <t>UPPSALA LÄN</t>
        </is>
      </c>
      <c r="E656" t="inlineStr">
        <is>
          <t>UPPSALA</t>
        </is>
      </c>
      <c r="F656" t="inlineStr">
        <is>
          <t>Övriga Aktiebolag</t>
        </is>
      </c>
      <c r="G656" t="n">
        <v>3.7</v>
      </c>
      <c r="H656" t="n">
        <v>0</v>
      </c>
      <c r="I656" t="n">
        <v>0</v>
      </c>
      <c r="J656" t="n">
        <v>0</v>
      </c>
      <c r="K656" t="n">
        <v>0</v>
      </c>
      <c r="L656" t="n">
        <v>0</v>
      </c>
      <c r="M656" t="n">
        <v>0</v>
      </c>
      <c r="N656" t="n">
        <v>0</v>
      </c>
      <c r="O656" t="n">
        <v>0</v>
      </c>
      <c r="P656" t="n">
        <v>0</v>
      </c>
      <c r="Q656" t="n">
        <v>0</v>
      </c>
      <c r="R656" s="2" t="inlineStr"/>
    </row>
    <row r="657" ht="15" customHeight="1">
      <c r="A657" t="inlineStr">
        <is>
          <t>A 13386-2022</t>
        </is>
      </c>
      <c r="B657" s="1" t="n">
        <v>44645</v>
      </c>
      <c r="C657" s="1" t="n">
        <v>45474</v>
      </c>
      <c r="D657" t="inlineStr">
        <is>
          <t>UPPSALA LÄN</t>
        </is>
      </c>
      <c r="E657" t="inlineStr">
        <is>
          <t>UPPSALA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13343-2022</t>
        </is>
      </c>
      <c r="B658" s="1" t="n">
        <v>44645</v>
      </c>
      <c r="C658" s="1" t="n">
        <v>45474</v>
      </c>
      <c r="D658" t="inlineStr">
        <is>
          <t>UPPSALA LÄN</t>
        </is>
      </c>
      <c r="E658" t="inlineStr">
        <is>
          <t>UPPSALA</t>
        </is>
      </c>
      <c r="F658" t="inlineStr">
        <is>
          <t>Övriga Aktiebolag</t>
        </is>
      </c>
      <c r="G658" t="n">
        <v>1.9</v>
      </c>
      <c r="H658" t="n">
        <v>0</v>
      </c>
      <c r="I658" t="n">
        <v>0</v>
      </c>
      <c r="J658" t="n">
        <v>0</v>
      </c>
      <c r="K658" t="n">
        <v>0</v>
      </c>
      <c r="L658" t="n">
        <v>0</v>
      </c>
      <c r="M658" t="n">
        <v>0</v>
      </c>
      <c r="N658" t="n">
        <v>0</v>
      </c>
      <c r="O658" t="n">
        <v>0</v>
      </c>
      <c r="P658" t="n">
        <v>0</v>
      </c>
      <c r="Q658" t="n">
        <v>0</v>
      </c>
      <c r="R658" s="2" t="inlineStr"/>
    </row>
    <row r="659" ht="15" customHeight="1">
      <c r="A659" t="inlineStr">
        <is>
          <t>A 13892-2022</t>
        </is>
      </c>
      <c r="B659" s="1" t="n">
        <v>44649</v>
      </c>
      <c r="C659" s="1" t="n">
        <v>45474</v>
      </c>
      <c r="D659" t="inlineStr">
        <is>
          <t>UPPSALA LÄN</t>
        </is>
      </c>
      <c r="E659" t="inlineStr">
        <is>
          <t>UPPSALA</t>
        </is>
      </c>
      <c r="G659" t="n">
        <v>3.3</v>
      </c>
      <c r="H659" t="n">
        <v>0</v>
      </c>
      <c r="I659" t="n">
        <v>0</v>
      </c>
      <c r="J659" t="n">
        <v>0</v>
      </c>
      <c r="K659" t="n">
        <v>0</v>
      </c>
      <c r="L659" t="n">
        <v>0</v>
      </c>
      <c r="M659" t="n">
        <v>0</v>
      </c>
      <c r="N659" t="n">
        <v>0</v>
      </c>
      <c r="O659" t="n">
        <v>0</v>
      </c>
      <c r="P659" t="n">
        <v>0</v>
      </c>
      <c r="Q659" t="n">
        <v>0</v>
      </c>
      <c r="R659" s="2" t="inlineStr"/>
    </row>
    <row r="660" ht="15" customHeight="1">
      <c r="A660" t="inlineStr">
        <is>
          <t>A 13901-2022</t>
        </is>
      </c>
      <c r="B660" s="1" t="n">
        <v>44649</v>
      </c>
      <c r="C660" s="1" t="n">
        <v>45474</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14337-2022</t>
        </is>
      </c>
      <c r="B661" s="1" t="n">
        <v>44652</v>
      </c>
      <c r="C661" s="1" t="n">
        <v>45474</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14355-2022</t>
        </is>
      </c>
      <c r="B662" s="1" t="n">
        <v>44652</v>
      </c>
      <c r="C662" s="1" t="n">
        <v>45474</v>
      </c>
      <c r="D662" t="inlineStr">
        <is>
          <t>UPPSALA LÄN</t>
        </is>
      </c>
      <c r="E662" t="inlineStr">
        <is>
          <t>UPPSALA</t>
        </is>
      </c>
      <c r="F662" t="inlineStr">
        <is>
          <t>Bergvik skog öst AB</t>
        </is>
      </c>
      <c r="G662" t="n">
        <v>7.8</v>
      </c>
      <c r="H662" t="n">
        <v>0</v>
      </c>
      <c r="I662" t="n">
        <v>0</v>
      </c>
      <c r="J662" t="n">
        <v>0</v>
      </c>
      <c r="K662" t="n">
        <v>0</v>
      </c>
      <c r="L662" t="n">
        <v>0</v>
      </c>
      <c r="M662" t="n">
        <v>0</v>
      </c>
      <c r="N662" t="n">
        <v>0</v>
      </c>
      <c r="O662" t="n">
        <v>0</v>
      </c>
      <c r="P662" t="n">
        <v>0</v>
      </c>
      <c r="Q662" t="n">
        <v>0</v>
      </c>
      <c r="R662" s="2" t="inlineStr"/>
    </row>
    <row r="663" ht="15" customHeight="1">
      <c r="A663" t="inlineStr">
        <is>
          <t>A 14340-2022</t>
        </is>
      </c>
      <c r="B663" s="1" t="n">
        <v>44652</v>
      </c>
      <c r="C663" s="1" t="n">
        <v>45474</v>
      </c>
      <c r="D663" t="inlineStr">
        <is>
          <t>UPPSALA LÄN</t>
        </is>
      </c>
      <c r="E663" t="inlineStr">
        <is>
          <t>UPPSALA</t>
        </is>
      </c>
      <c r="F663" t="inlineStr">
        <is>
          <t>Bergvik skog öst AB</t>
        </is>
      </c>
      <c r="G663" t="n">
        <v>4</v>
      </c>
      <c r="H663" t="n">
        <v>0</v>
      </c>
      <c r="I663" t="n">
        <v>0</v>
      </c>
      <c r="J663" t="n">
        <v>0</v>
      </c>
      <c r="K663" t="n">
        <v>0</v>
      </c>
      <c r="L663" t="n">
        <v>0</v>
      </c>
      <c r="M663" t="n">
        <v>0</v>
      </c>
      <c r="N663" t="n">
        <v>0</v>
      </c>
      <c r="O663" t="n">
        <v>0</v>
      </c>
      <c r="P663" t="n">
        <v>0</v>
      </c>
      <c r="Q663" t="n">
        <v>0</v>
      </c>
      <c r="R663" s="2" t="inlineStr"/>
    </row>
    <row r="664" ht="15" customHeight="1">
      <c r="A664" t="inlineStr">
        <is>
          <t>A 14622-2022</t>
        </is>
      </c>
      <c r="B664" s="1" t="n">
        <v>44655</v>
      </c>
      <c r="C664" s="1" t="n">
        <v>45474</v>
      </c>
      <c r="D664" t="inlineStr">
        <is>
          <t>UPPSALA LÄN</t>
        </is>
      </c>
      <c r="E664" t="inlineStr">
        <is>
          <t>UPPSALA</t>
        </is>
      </c>
      <c r="F664" t="inlineStr">
        <is>
          <t>Övriga Aktiebolag</t>
        </is>
      </c>
      <c r="G664" t="n">
        <v>2.7</v>
      </c>
      <c r="H664" t="n">
        <v>0</v>
      </c>
      <c r="I664" t="n">
        <v>0</v>
      </c>
      <c r="J664" t="n">
        <v>0</v>
      </c>
      <c r="K664" t="n">
        <v>0</v>
      </c>
      <c r="L664" t="n">
        <v>0</v>
      </c>
      <c r="M664" t="n">
        <v>0</v>
      </c>
      <c r="N664" t="n">
        <v>0</v>
      </c>
      <c r="O664" t="n">
        <v>0</v>
      </c>
      <c r="P664" t="n">
        <v>0</v>
      </c>
      <c r="Q664" t="n">
        <v>0</v>
      </c>
      <c r="R664" s="2" t="inlineStr"/>
    </row>
    <row r="665" ht="15" customHeight="1">
      <c r="A665" t="inlineStr">
        <is>
          <t>A 15436-2022</t>
        </is>
      </c>
      <c r="B665" s="1" t="n">
        <v>44659</v>
      </c>
      <c r="C665" s="1" t="n">
        <v>45474</v>
      </c>
      <c r="D665" t="inlineStr">
        <is>
          <t>UPPSALA LÄN</t>
        </is>
      </c>
      <c r="E665" t="inlineStr">
        <is>
          <t>UPPSALA</t>
        </is>
      </c>
      <c r="G665" t="n">
        <v>14.4</v>
      </c>
      <c r="H665" t="n">
        <v>0</v>
      </c>
      <c r="I665" t="n">
        <v>0</v>
      </c>
      <c r="J665" t="n">
        <v>0</v>
      </c>
      <c r="K665" t="n">
        <v>0</v>
      </c>
      <c r="L665" t="n">
        <v>0</v>
      </c>
      <c r="M665" t="n">
        <v>0</v>
      </c>
      <c r="N665" t="n">
        <v>0</v>
      </c>
      <c r="O665" t="n">
        <v>0</v>
      </c>
      <c r="P665" t="n">
        <v>0</v>
      </c>
      <c r="Q665" t="n">
        <v>0</v>
      </c>
      <c r="R665" s="2" t="inlineStr"/>
    </row>
    <row r="666" ht="15" customHeight="1">
      <c r="A666" t="inlineStr">
        <is>
          <t>A 15377-2022</t>
        </is>
      </c>
      <c r="B666" s="1" t="n">
        <v>44659</v>
      </c>
      <c r="C666" s="1" t="n">
        <v>45474</v>
      </c>
      <c r="D666" t="inlineStr">
        <is>
          <t>UPPSALA LÄN</t>
        </is>
      </c>
      <c r="E666" t="inlineStr">
        <is>
          <t>UPPSALA</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15310-2022</t>
        </is>
      </c>
      <c r="B667" s="1" t="n">
        <v>44659</v>
      </c>
      <c r="C667" s="1" t="n">
        <v>45474</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15297-2022</t>
        </is>
      </c>
      <c r="B668" s="1" t="n">
        <v>44659</v>
      </c>
      <c r="C668" s="1" t="n">
        <v>45474</v>
      </c>
      <c r="D668" t="inlineStr">
        <is>
          <t>UPPSALA LÄN</t>
        </is>
      </c>
      <c r="E668" t="inlineStr">
        <is>
          <t>UPPSALA</t>
        </is>
      </c>
      <c r="F668" t="inlineStr">
        <is>
          <t>Övriga Aktiebolag</t>
        </is>
      </c>
      <c r="G668" t="n">
        <v>6.6</v>
      </c>
      <c r="H668" t="n">
        <v>0</v>
      </c>
      <c r="I668" t="n">
        <v>0</v>
      </c>
      <c r="J668" t="n">
        <v>0</v>
      </c>
      <c r="K668" t="n">
        <v>0</v>
      </c>
      <c r="L668" t="n">
        <v>0</v>
      </c>
      <c r="M668" t="n">
        <v>0</v>
      </c>
      <c r="N668" t="n">
        <v>0</v>
      </c>
      <c r="O668" t="n">
        <v>0</v>
      </c>
      <c r="P668" t="n">
        <v>0</v>
      </c>
      <c r="Q668" t="n">
        <v>0</v>
      </c>
      <c r="R668" s="2" t="inlineStr"/>
    </row>
    <row r="669" ht="15" customHeight="1">
      <c r="A669" t="inlineStr">
        <is>
          <t>A 15583-2022</t>
        </is>
      </c>
      <c r="B669" s="1" t="n">
        <v>44662</v>
      </c>
      <c r="C669" s="1" t="n">
        <v>45474</v>
      </c>
      <c r="D669" t="inlineStr">
        <is>
          <t>UPPSALA LÄN</t>
        </is>
      </c>
      <c r="E669" t="inlineStr">
        <is>
          <t>UPPSALA</t>
        </is>
      </c>
      <c r="F669" t="inlineStr">
        <is>
          <t>Övriga Aktiebolag</t>
        </is>
      </c>
      <c r="G669" t="n">
        <v>4.3</v>
      </c>
      <c r="H669" t="n">
        <v>0</v>
      </c>
      <c r="I669" t="n">
        <v>0</v>
      </c>
      <c r="J669" t="n">
        <v>0</v>
      </c>
      <c r="K669" t="n">
        <v>0</v>
      </c>
      <c r="L669" t="n">
        <v>0</v>
      </c>
      <c r="M669" t="n">
        <v>0</v>
      </c>
      <c r="N669" t="n">
        <v>0</v>
      </c>
      <c r="O669" t="n">
        <v>0</v>
      </c>
      <c r="P669" t="n">
        <v>0</v>
      </c>
      <c r="Q669" t="n">
        <v>0</v>
      </c>
      <c r="R669" s="2" t="inlineStr"/>
    </row>
    <row r="670" ht="15" customHeight="1">
      <c r="A670" t="inlineStr">
        <is>
          <t>A 15735-2022</t>
        </is>
      </c>
      <c r="B670" s="1" t="n">
        <v>44663</v>
      </c>
      <c r="C670" s="1" t="n">
        <v>45474</v>
      </c>
      <c r="D670" t="inlineStr">
        <is>
          <t>UPPSALA LÄN</t>
        </is>
      </c>
      <c r="E670" t="inlineStr">
        <is>
          <t>UPPSALA</t>
        </is>
      </c>
      <c r="F670" t="inlineStr">
        <is>
          <t>Bergvik skog öst AB</t>
        </is>
      </c>
      <c r="G670" t="n">
        <v>2.2</v>
      </c>
      <c r="H670" t="n">
        <v>0</v>
      </c>
      <c r="I670" t="n">
        <v>0</v>
      </c>
      <c r="J670" t="n">
        <v>0</v>
      </c>
      <c r="K670" t="n">
        <v>0</v>
      </c>
      <c r="L670" t="n">
        <v>0</v>
      </c>
      <c r="M670" t="n">
        <v>0</v>
      </c>
      <c r="N670" t="n">
        <v>0</v>
      </c>
      <c r="O670" t="n">
        <v>0</v>
      </c>
      <c r="P670" t="n">
        <v>0</v>
      </c>
      <c r="Q670" t="n">
        <v>0</v>
      </c>
      <c r="R670" s="2" t="inlineStr"/>
    </row>
    <row r="671" ht="15" customHeight="1">
      <c r="A671" t="inlineStr">
        <is>
          <t>A 16126-2022</t>
        </is>
      </c>
      <c r="B671" s="1" t="n">
        <v>44665</v>
      </c>
      <c r="C671" s="1" t="n">
        <v>45474</v>
      </c>
      <c r="D671" t="inlineStr">
        <is>
          <t>UPPSALA LÄN</t>
        </is>
      </c>
      <c r="E671" t="inlineStr">
        <is>
          <t>UPPSALA</t>
        </is>
      </c>
      <c r="F671" t="inlineStr">
        <is>
          <t>Bergvik skog öst AB</t>
        </is>
      </c>
      <c r="G671" t="n">
        <v>4.4</v>
      </c>
      <c r="H671" t="n">
        <v>0</v>
      </c>
      <c r="I671" t="n">
        <v>0</v>
      </c>
      <c r="J671" t="n">
        <v>0</v>
      </c>
      <c r="K671" t="n">
        <v>0</v>
      </c>
      <c r="L671" t="n">
        <v>0</v>
      </c>
      <c r="M671" t="n">
        <v>0</v>
      </c>
      <c r="N671" t="n">
        <v>0</v>
      </c>
      <c r="O671" t="n">
        <v>0</v>
      </c>
      <c r="P671" t="n">
        <v>0</v>
      </c>
      <c r="Q671" t="n">
        <v>0</v>
      </c>
      <c r="R671" s="2" t="inlineStr"/>
    </row>
    <row r="672" ht="15" customHeight="1">
      <c r="A672" t="inlineStr">
        <is>
          <t>A 16804-2022</t>
        </is>
      </c>
      <c r="B672" s="1" t="n">
        <v>44673</v>
      </c>
      <c r="C672" s="1" t="n">
        <v>45474</v>
      </c>
      <c r="D672" t="inlineStr">
        <is>
          <t>UPPSALA LÄN</t>
        </is>
      </c>
      <c r="E672" t="inlineStr">
        <is>
          <t>UPPSALA</t>
        </is>
      </c>
      <c r="F672" t="inlineStr">
        <is>
          <t>Bergvik skog öst AB</t>
        </is>
      </c>
      <c r="G672" t="n">
        <v>3.5</v>
      </c>
      <c r="H672" t="n">
        <v>0</v>
      </c>
      <c r="I672" t="n">
        <v>0</v>
      </c>
      <c r="J672" t="n">
        <v>0</v>
      </c>
      <c r="K672" t="n">
        <v>0</v>
      </c>
      <c r="L672" t="n">
        <v>0</v>
      </c>
      <c r="M672" t="n">
        <v>0</v>
      </c>
      <c r="N672" t="n">
        <v>0</v>
      </c>
      <c r="O672" t="n">
        <v>0</v>
      </c>
      <c r="P672" t="n">
        <v>0</v>
      </c>
      <c r="Q672" t="n">
        <v>0</v>
      </c>
      <c r="R672" s="2" t="inlineStr"/>
    </row>
    <row r="673" ht="15" customHeight="1">
      <c r="A673" t="inlineStr">
        <is>
          <t>A 16828-2022</t>
        </is>
      </c>
      <c r="B673" s="1" t="n">
        <v>44673</v>
      </c>
      <c r="C673" s="1" t="n">
        <v>45474</v>
      </c>
      <c r="D673" t="inlineStr">
        <is>
          <t>UPPSALA LÄN</t>
        </is>
      </c>
      <c r="E673" t="inlineStr">
        <is>
          <t>UPPSALA</t>
        </is>
      </c>
      <c r="F673" t="inlineStr">
        <is>
          <t>Bergvik skog öst AB</t>
        </is>
      </c>
      <c r="G673" t="n">
        <v>4.1</v>
      </c>
      <c r="H673" t="n">
        <v>0</v>
      </c>
      <c r="I673" t="n">
        <v>0</v>
      </c>
      <c r="J673" t="n">
        <v>0</v>
      </c>
      <c r="K673" t="n">
        <v>0</v>
      </c>
      <c r="L673" t="n">
        <v>0</v>
      </c>
      <c r="M673" t="n">
        <v>0</v>
      </c>
      <c r="N673" t="n">
        <v>0</v>
      </c>
      <c r="O673" t="n">
        <v>0</v>
      </c>
      <c r="P673" t="n">
        <v>0</v>
      </c>
      <c r="Q673" t="n">
        <v>0</v>
      </c>
      <c r="R673" s="2" t="inlineStr"/>
    </row>
    <row r="674" ht="15" customHeight="1">
      <c r="A674" t="inlineStr">
        <is>
          <t>A 16827-2022</t>
        </is>
      </c>
      <c r="B674" s="1" t="n">
        <v>44673</v>
      </c>
      <c r="C674" s="1" t="n">
        <v>45474</v>
      </c>
      <c r="D674" t="inlineStr">
        <is>
          <t>UPPSALA LÄN</t>
        </is>
      </c>
      <c r="E674" t="inlineStr">
        <is>
          <t>UPPSALA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16831-2022</t>
        </is>
      </c>
      <c r="B675" s="1" t="n">
        <v>44673</v>
      </c>
      <c r="C675" s="1" t="n">
        <v>45474</v>
      </c>
      <c r="D675" t="inlineStr">
        <is>
          <t>UPPSALA LÄN</t>
        </is>
      </c>
      <c r="E675" t="inlineStr">
        <is>
          <t>UPPSALA</t>
        </is>
      </c>
      <c r="F675" t="inlineStr">
        <is>
          <t>Bergvik skog öst AB</t>
        </is>
      </c>
      <c r="G675" t="n">
        <v>5.8</v>
      </c>
      <c r="H675" t="n">
        <v>0</v>
      </c>
      <c r="I675" t="n">
        <v>0</v>
      </c>
      <c r="J675" t="n">
        <v>0</v>
      </c>
      <c r="K675" t="n">
        <v>0</v>
      </c>
      <c r="L675" t="n">
        <v>0</v>
      </c>
      <c r="M675" t="n">
        <v>0</v>
      </c>
      <c r="N675" t="n">
        <v>0</v>
      </c>
      <c r="O675" t="n">
        <v>0</v>
      </c>
      <c r="P675" t="n">
        <v>0</v>
      </c>
      <c r="Q675" t="n">
        <v>0</v>
      </c>
      <c r="R675" s="2" t="inlineStr"/>
    </row>
    <row r="676" ht="15" customHeight="1">
      <c r="A676" t="inlineStr">
        <is>
          <t>A 16826-2022</t>
        </is>
      </c>
      <c r="B676" s="1" t="n">
        <v>44673</v>
      </c>
      <c r="C676" s="1" t="n">
        <v>45474</v>
      </c>
      <c r="D676" t="inlineStr">
        <is>
          <t>UPPSALA LÄN</t>
        </is>
      </c>
      <c r="E676" t="inlineStr">
        <is>
          <t>UPPSALA</t>
        </is>
      </c>
      <c r="F676" t="inlineStr">
        <is>
          <t>Bergvik skog öst AB</t>
        </is>
      </c>
      <c r="G676" t="n">
        <v>7.1</v>
      </c>
      <c r="H676" t="n">
        <v>0</v>
      </c>
      <c r="I676" t="n">
        <v>0</v>
      </c>
      <c r="J676" t="n">
        <v>0</v>
      </c>
      <c r="K676" t="n">
        <v>0</v>
      </c>
      <c r="L676" t="n">
        <v>0</v>
      </c>
      <c r="M676" t="n">
        <v>0</v>
      </c>
      <c r="N676" t="n">
        <v>0</v>
      </c>
      <c r="O676" t="n">
        <v>0</v>
      </c>
      <c r="P676" t="n">
        <v>0</v>
      </c>
      <c r="Q676" t="n">
        <v>0</v>
      </c>
      <c r="R676" s="2" t="inlineStr"/>
    </row>
    <row r="677" ht="15" customHeight="1">
      <c r="A677" t="inlineStr">
        <is>
          <t>A 16761-2022</t>
        </is>
      </c>
      <c r="B677" s="1" t="n">
        <v>44673</v>
      </c>
      <c r="C677" s="1" t="n">
        <v>45474</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16942-2022</t>
        </is>
      </c>
      <c r="B678" s="1" t="n">
        <v>44676</v>
      </c>
      <c r="C678" s="1" t="n">
        <v>45474</v>
      </c>
      <c r="D678" t="inlineStr">
        <is>
          <t>UPPSALA LÄN</t>
        </is>
      </c>
      <c r="E678" t="inlineStr">
        <is>
          <t>UPPSALA</t>
        </is>
      </c>
      <c r="F678" t="inlineStr">
        <is>
          <t>Bergvik skog öst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16892-2022</t>
        </is>
      </c>
      <c r="B679" s="1" t="n">
        <v>44676</v>
      </c>
      <c r="C679" s="1" t="n">
        <v>45474</v>
      </c>
      <c r="D679" t="inlineStr">
        <is>
          <t>UPPSALA LÄN</t>
        </is>
      </c>
      <c r="E679" t="inlineStr">
        <is>
          <t>UPPSALA</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16978-2022</t>
        </is>
      </c>
      <c r="B680" s="1" t="n">
        <v>44676</v>
      </c>
      <c r="C680" s="1" t="n">
        <v>45474</v>
      </c>
      <c r="D680" t="inlineStr">
        <is>
          <t>UPPSALA LÄN</t>
        </is>
      </c>
      <c r="E680" t="inlineStr">
        <is>
          <t>UPPSALA</t>
        </is>
      </c>
      <c r="G680" t="n">
        <v>0.8</v>
      </c>
      <c r="H680" t="n">
        <v>0</v>
      </c>
      <c r="I680" t="n">
        <v>0</v>
      </c>
      <c r="J680" t="n">
        <v>0</v>
      </c>
      <c r="K680" t="n">
        <v>0</v>
      </c>
      <c r="L680" t="n">
        <v>0</v>
      </c>
      <c r="M680" t="n">
        <v>0</v>
      </c>
      <c r="N680" t="n">
        <v>0</v>
      </c>
      <c r="O680" t="n">
        <v>0</v>
      </c>
      <c r="P680" t="n">
        <v>0</v>
      </c>
      <c r="Q680" t="n">
        <v>0</v>
      </c>
      <c r="R680" s="2" t="inlineStr"/>
    </row>
    <row r="681" ht="15" customHeight="1">
      <c r="A681" t="inlineStr">
        <is>
          <t>A 16898-2022</t>
        </is>
      </c>
      <c r="B681" s="1" t="n">
        <v>44676</v>
      </c>
      <c r="C681" s="1" t="n">
        <v>45474</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17232-2022</t>
        </is>
      </c>
      <c r="B682" s="1" t="n">
        <v>44678</v>
      </c>
      <c r="C682" s="1" t="n">
        <v>45474</v>
      </c>
      <c r="D682" t="inlineStr">
        <is>
          <t>UPPSALA LÄN</t>
        </is>
      </c>
      <c r="E682" t="inlineStr">
        <is>
          <t>UPPSALA</t>
        </is>
      </c>
      <c r="F682" t="inlineStr">
        <is>
          <t>Övriga Aktiebolag</t>
        </is>
      </c>
      <c r="G682" t="n">
        <v>7.4</v>
      </c>
      <c r="H682" t="n">
        <v>0</v>
      </c>
      <c r="I682" t="n">
        <v>0</v>
      </c>
      <c r="J682" t="n">
        <v>0</v>
      </c>
      <c r="K682" t="n">
        <v>0</v>
      </c>
      <c r="L682" t="n">
        <v>0</v>
      </c>
      <c r="M682" t="n">
        <v>0</v>
      </c>
      <c r="N682" t="n">
        <v>0</v>
      </c>
      <c r="O682" t="n">
        <v>0</v>
      </c>
      <c r="P682" t="n">
        <v>0</v>
      </c>
      <c r="Q682" t="n">
        <v>0</v>
      </c>
      <c r="R682" s="2" t="inlineStr"/>
    </row>
    <row r="683" ht="15" customHeight="1">
      <c r="A683" t="inlineStr">
        <is>
          <t>A 17562-2022</t>
        </is>
      </c>
      <c r="B683" s="1" t="n">
        <v>44679</v>
      </c>
      <c r="C683" s="1" t="n">
        <v>45474</v>
      </c>
      <c r="D683" t="inlineStr">
        <is>
          <t>UPPSALA LÄN</t>
        </is>
      </c>
      <c r="E683" t="inlineStr">
        <is>
          <t>UPPSALA</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17558-2022</t>
        </is>
      </c>
      <c r="B684" s="1" t="n">
        <v>44679</v>
      </c>
      <c r="C684" s="1" t="n">
        <v>45474</v>
      </c>
      <c r="D684" t="inlineStr">
        <is>
          <t>UPPSALA LÄN</t>
        </is>
      </c>
      <c r="E684" t="inlineStr">
        <is>
          <t>UPPSALA</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17981-2022</t>
        </is>
      </c>
      <c r="B685" s="1" t="n">
        <v>44683</v>
      </c>
      <c r="C685" s="1" t="n">
        <v>45474</v>
      </c>
      <c r="D685" t="inlineStr">
        <is>
          <t>UPPSALA LÄN</t>
        </is>
      </c>
      <c r="E685" t="inlineStr">
        <is>
          <t>UPPSALA</t>
        </is>
      </c>
      <c r="F685" t="inlineStr">
        <is>
          <t>Bergvik skog öst AB</t>
        </is>
      </c>
      <c r="G685" t="n">
        <v>6.7</v>
      </c>
      <c r="H685" t="n">
        <v>0</v>
      </c>
      <c r="I685" t="n">
        <v>0</v>
      </c>
      <c r="J685" t="n">
        <v>0</v>
      </c>
      <c r="K685" t="n">
        <v>0</v>
      </c>
      <c r="L685" t="n">
        <v>0</v>
      </c>
      <c r="M685" t="n">
        <v>0</v>
      </c>
      <c r="N685" t="n">
        <v>0</v>
      </c>
      <c r="O685" t="n">
        <v>0</v>
      </c>
      <c r="P685" t="n">
        <v>0</v>
      </c>
      <c r="Q685" t="n">
        <v>0</v>
      </c>
      <c r="R685" s="2" t="inlineStr"/>
    </row>
    <row r="686" ht="15" customHeight="1">
      <c r="A686" t="inlineStr">
        <is>
          <t>A 18330-2022</t>
        </is>
      </c>
      <c r="B686" s="1" t="n">
        <v>44685</v>
      </c>
      <c r="C686" s="1" t="n">
        <v>45474</v>
      </c>
      <c r="D686" t="inlineStr">
        <is>
          <t>UPPSALA LÄN</t>
        </is>
      </c>
      <c r="E686" t="inlineStr">
        <is>
          <t>UPPSALA</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18521-2022</t>
        </is>
      </c>
      <c r="B687" s="1" t="n">
        <v>44686</v>
      </c>
      <c r="C687" s="1" t="n">
        <v>45474</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18583-2022</t>
        </is>
      </c>
      <c r="B688" s="1" t="n">
        <v>44687</v>
      </c>
      <c r="C688" s="1" t="n">
        <v>45474</v>
      </c>
      <c r="D688" t="inlineStr">
        <is>
          <t>UPPSALA LÄN</t>
        </is>
      </c>
      <c r="E688" t="inlineStr">
        <is>
          <t>UPPSALA</t>
        </is>
      </c>
      <c r="F688" t="inlineStr">
        <is>
          <t>Övriga Aktiebolag</t>
        </is>
      </c>
      <c r="G688" t="n">
        <v>6.4</v>
      </c>
      <c r="H688" t="n">
        <v>0</v>
      </c>
      <c r="I688" t="n">
        <v>0</v>
      </c>
      <c r="J688" t="n">
        <v>0</v>
      </c>
      <c r="K688" t="n">
        <v>0</v>
      </c>
      <c r="L688" t="n">
        <v>0</v>
      </c>
      <c r="M688" t="n">
        <v>0</v>
      </c>
      <c r="N688" t="n">
        <v>0</v>
      </c>
      <c r="O688" t="n">
        <v>0</v>
      </c>
      <c r="P688" t="n">
        <v>0</v>
      </c>
      <c r="Q688" t="n">
        <v>0</v>
      </c>
      <c r="R688" s="2" t="inlineStr"/>
    </row>
    <row r="689" ht="15" customHeight="1">
      <c r="A689" t="inlineStr">
        <is>
          <t>A 18960-2022</t>
        </is>
      </c>
      <c r="B689" s="1" t="n">
        <v>44690</v>
      </c>
      <c r="C689" s="1" t="n">
        <v>45474</v>
      </c>
      <c r="D689" t="inlineStr">
        <is>
          <t>UPPSALA LÄN</t>
        </is>
      </c>
      <c r="E689" t="inlineStr">
        <is>
          <t>UPPSALA</t>
        </is>
      </c>
      <c r="F689" t="inlineStr">
        <is>
          <t>Bergvik skog öst AB</t>
        </is>
      </c>
      <c r="G689" t="n">
        <v>2.7</v>
      </c>
      <c r="H689" t="n">
        <v>0</v>
      </c>
      <c r="I689" t="n">
        <v>0</v>
      </c>
      <c r="J689" t="n">
        <v>0</v>
      </c>
      <c r="K689" t="n">
        <v>0</v>
      </c>
      <c r="L689" t="n">
        <v>0</v>
      </c>
      <c r="M689" t="n">
        <v>0</v>
      </c>
      <c r="N689" t="n">
        <v>0</v>
      </c>
      <c r="O689" t="n">
        <v>0</v>
      </c>
      <c r="P689" t="n">
        <v>0</v>
      </c>
      <c r="Q689" t="n">
        <v>0</v>
      </c>
      <c r="R689" s="2" t="inlineStr"/>
    </row>
    <row r="690" ht="15" customHeight="1">
      <c r="A690" t="inlineStr">
        <is>
          <t>A 19034-2022</t>
        </is>
      </c>
      <c r="B690" s="1" t="n">
        <v>44691</v>
      </c>
      <c r="C690" s="1" t="n">
        <v>45474</v>
      </c>
      <c r="D690" t="inlineStr">
        <is>
          <t>UPPSALA LÄN</t>
        </is>
      </c>
      <c r="E690" t="inlineStr">
        <is>
          <t>UPPSALA</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19240-2022</t>
        </is>
      </c>
      <c r="B691" s="1" t="n">
        <v>44692</v>
      </c>
      <c r="C691" s="1" t="n">
        <v>45474</v>
      </c>
      <c r="D691" t="inlineStr">
        <is>
          <t>UPPSALA LÄN</t>
        </is>
      </c>
      <c r="E691" t="inlineStr">
        <is>
          <t>UPPSALA</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19375-2022</t>
        </is>
      </c>
      <c r="B692" s="1" t="n">
        <v>44692</v>
      </c>
      <c r="C692" s="1" t="n">
        <v>45474</v>
      </c>
      <c r="D692" t="inlineStr">
        <is>
          <t>UPPSALA LÄN</t>
        </is>
      </c>
      <c r="E692" t="inlineStr">
        <is>
          <t>UPPSALA</t>
        </is>
      </c>
      <c r="F692" t="inlineStr">
        <is>
          <t>Bergvik skog öst AB</t>
        </is>
      </c>
      <c r="G692" t="n">
        <v>5</v>
      </c>
      <c r="H692" t="n">
        <v>0</v>
      </c>
      <c r="I692" t="n">
        <v>0</v>
      </c>
      <c r="J692" t="n">
        <v>0</v>
      </c>
      <c r="K692" t="n">
        <v>0</v>
      </c>
      <c r="L692" t="n">
        <v>0</v>
      </c>
      <c r="M692" t="n">
        <v>0</v>
      </c>
      <c r="N692" t="n">
        <v>0</v>
      </c>
      <c r="O692" t="n">
        <v>0</v>
      </c>
      <c r="P692" t="n">
        <v>0</v>
      </c>
      <c r="Q692" t="n">
        <v>0</v>
      </c>
      <c r="R692" s="2" t="inlineStr"/>
    </row>
    <row r="693" ht="15" customHeight="1">
      <c r="A693" t="inlineStr">
        <is>
          <t>A 19380-2022</t>
        </is>
      </c>
      <c r="B693" s="1" t="n">
        <v>44692</v>
      </c>
      <c r="C693" s="1" t="n">
        <v>45474</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19382-2022</t>
        </is>
      </c>
      <c r="B694" s="1" t="n">
        <v>44692</v>
      </c>
      <c r="C694" s="1" t="n">
        <v>45474</v>
      </c>
      <c r="D694" t="inlineStr">
        <is>
          <t>UPPSALA LÄN</t>
        </is>
      </c>
      <c r="E694" t="inlineStr">
        <is>
          <t>UPPSALA</t>
        </is>
      </c>
      <c r="G694" t="n">
        <v>4.3</v>
      </c>
      <c r="H694" t="n">
        <v>0</v>
      </c>
      <c r="I694" t="n">
        <v>0</v>
      </c>
      <c r="J694" t="n">
        <v>0</v>
      </c>
      <c r="K694" t="n">
        <v>0</v>
      </c>
      <c r="L694" t="n">
        <v>0</v>
      </c>
      <c r="M694" t="n">
        <v>0</v>
      </c>
      <c r="N694" t="n">
        <v>0</v>
      </c>
      <c r="O694" t="n">
        <v>0</v>
      </c>
      <c r="P694" t="n">
        <v>0</v>
      </c>
      <c r="Q694" t="n">
        <v>0</v>
      </c>
      <c r="R694" s="2" t="inlineStr"/>
    </row>
    <row r="695" ht="15" customHeight="1">
      <c r="A695" t="inlineStr">
        <is>
          <t>A 20265-2022</t>
        </is>
      </c>
      <c r="B695" s="1" t="n">
        <v>44698</v>
      </c>
      <c r="C695" s="1" t="n">
        <v>45474</v>
      </c>
      <c r="D695" t="inlineStr">
        <is>
          <t>UPPSALA LÄN</t>
        </is>
      </c>
      <c r="E695" t="inlineStr">
        <is>
          <t>UPPSALA</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20497-2022</t>
        </is>
      </c>
      <c r="B696" s="1" t="n">
        <v>44699</v>
      </c>
      <c r="C696" s="1" t="n">
        <v>45474</v>
      </c>
      <c r="D696" t="inlineStr">
        <is>
          <t>UPPSALA LÄN</t>
        </is>
      </c>
      <c r="E696" t="inlineStr">
        <is>
          <t>UPPSALA</t>
        </is>
      </c>
      <c r="F696" t="inlineStr">
        <is>
          <t>Övriga statliga verk och myndigheter</t>
        </is>
      </c>
      <c r="G696" t="n">
        <v>1</v>
      </c>
      <c r="H696" t="n">
        <v>0</v>
      </c>
      <c r="I696" t="n">
        <v>0</v>
      </c>
      <c r="J696" t="n">
        <v>0</v>
      </c>
      <c r="K696" t="n">
        <v>0</v>
      </c>
      <c r="L696" t="n">
        <v>0</v>
      </c>
      <c r="M696" t="n">
        <v>0</v>
      </c>
      <c r="N696" t="n">
        <v>0</v>
      </c>
      <c r="O696" t="n">
        <v>0</v>
      </c>
      <c r="P696" t="n">
        <v>0</v>
      </c>
      <c r="Q696" t="n">
        <v>0</v>
      </c>
      <c r="R696" s="2" t="inlineStr"/>
    </row>
    <row r="697" ht="15" customHeight="1">
      <c r="A697" t="inlineStr">
        <is>
          <t>A 20770-2022</t>
        </is>
      </c>
      <c r="B697" s="1" t="n">
        <v>44700</v>
      </c>
      <c r="C697" s="1" t="n">
        <v>45474</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20764-2022</t>
        </is>
      </c>
      <c r="B698" s="1" t="n">
        <v>44700</v>
      </c>
      <c r="C698" s="1" t="n">
        <v>45474</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20938-2022</t>
        </is>
      </c>
      <c r="B699" s="1" t="n">
        <v>44701</v>
      </c>
      <c r="C699" s="1" t="n">
        <v>45474</v>
      </c>
      <c r="D699" t="inlineStr">
        <is>
          <t>UPPSALA LÄN</t>
        </is>
      </c>
      <c r="E699" t="inlineStr">
        <is>
          <t>UPPSALA</t>
        </is>
      </c>
      <c r="F699" t="inlineStr">
        <is>
          <t>Bergvik skog öst AB</t>
        </is>
      </c>
      <c r="G699" t="n">
        <v>7.2</v>
      </c>
      <c r="H699" t="n">
        <v>0</v>
      </c>
      <c r="I699" t="n">
        <v>0</v>
      </c>
      <c r="J699" t="n">
        <v>0</v>
      </c>
      <c r="K699" t="n">
        <v>0</v>
      </c>
      <c r="L699" t="n">
        <v>0</v>
      </c>
      <c r="M699" t="n">
        <v>0</v>
      </c>
      <c r="N699" t="n">
        <v>0</v>
      </c>
      <c r="O699" t="n">
        <v>0</v>
      </c>
      <c r="P699" t="n">
        <v>0</v>
      </c>
      <c r="Q699" t="n">
        <v>0</v>
      </c>
      <c r="R699" s="2" t="inlineStr"/>
    </row>
    <row r="700" ht="15" customHeight="1">
      <c r="A700" t="inlineStr">
        <is>
          <t>A 20936-2022</t>
        </is>
      </c>
      <c r="B700" s="1" t="n">
        <v>44701</v>
      </c>
      <c r="C700" s="1" t="n">
        <v>45474</v>
      </c>
      <c r="D700" t="inlineStr">
        <is>
          <t>UPPSALA LÄN</t>
        </is>
      </c>
      <c r="E700" t="inlineStr">
        <is>
          <t>UPPSALA</t>
        </is>
      </c>
      <c r="G700" t="n">
        <v>4.8</v>
      </c>
      <c r="H700" t="n">
        <v>0</v>
      </c>
      <c r="I700" t="n">
        <v>0</v>
      </c>
      <c r="J700" t="n">
        <v>0</v>
      </c>
      <c r="K700" t="n">
        <v>0</v>
      </c>
      <c r="L700" t="n">
        <v>0</v>
      </c>
      <c r="M700" t="n">
        <v>0</v>
      </c>
      <c r="N700" t="n">
        <v>0</v>
      </c>
      <c r="O700" t="n">
        <v>0</v>
      </c>
      <c r="P700" t="n">
        <v>0</v>
      </c>
      <c r="Q700" t="n">
        <v>0</v>
      </c>
      <c r="R700" s="2" t="inlineStr"/>
    </row>
    <row r="701" ht="15" customHeight="1">
      <c r="A701" t="inlineStr">
        <is>
          <t>A 20980-2022</t>
        </is>
      </c>
      <c r="B701" s="1" t="n">
        <v>44702</v>
      </c>
      <c r="C701" s="1" t="n">
        <v>45474</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21181-2022</t>
        </is>
      </c>
      <c r="B702" s="1" t="n">
        <v>44704</v>
      </c>
      <c r="C702" s="1" t="n">
        <v>45474</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21228-2022</t>
        </is>
      </c>
      <c r="B703" s="1" t="n">
        <v>44704</v>
      </c>
      <c r="C703" s="1" t="n">
        <v>45474</v>
      </c>
      <c r="D703" t="inlineStr">
        <is>
          <t>UPPSALA LÄN</t>
        </is>
      </c>
      <c r="E703" t="inlineStr">
        <is>
          <t>UPPSALA</t>
        </is>
      </c>
      <c r="G703" t="n">
        <v>0.2</v>
      </c>
      <c r="H703" t="n">
        <v>0</v>
      </c>
      <c r="I703" t="n">
        <v>0</v>
      </c>
      <c r="J703" t="n">
        <v>0</v>
      </c>
      <c r="K703" t="n">
        <v>0</v>
      </c>
      <c r="L703" t="n">
        <v>0</v>
      </c>
      <c r="M703" t="n">
        <v>0</v>
      </c>
      <c r="N703" t="n">
        <v>0</v>
      </c>
      <c r="O703" t="n">
        <v>0</v>
      </c>
      <c r="P703" t="n">
        <v>0</v>
      </c>
      <c r="Q703" t="n">
        <v>0</v>
      </c>
      <c r="R703" s="2" t="inlineStr"/>
    </row>
    <row r="704" ht="15" customHeight="1">
      <c r="A704" t="inlineStr">
        <is>
          <t>A 21387-2022</t>
        </is>
      </c>
      <c r="B704" s="1" t="n">
        <v>44705</v>
      </c>
      <c r="C704" s="1" t="n">
        <v>45474</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21391-2022</t>
        </is>
      </c>
      <c r="B705" s="1" t="n">
        <v>44705</v>
      </c>
      <c r="C705" s="1" t="n">
        <v>45474</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21394-2022</t>
        </is>
      </c>
      <c r="B706" s="1" t="n">
        <v>44705</v>
      </c>
      <c r="C706" s="1" t="n">
        <v>45474</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row>
    <row r="707" ht="15" customHeight="1">
      <c r="A707" t="inlineStr">
        <is>
          <t>A 22021-2022</t>
        </is>
      </c>
      <c r="B707" s="1" t="n">
        <v>44711</v>
      </c>
      <c r="C707" s="1" t="n">
        <v>45474</v>
      </c>
      <c r="D707" t="inlineStr">
        <is>
          <t>UPPSALA LÄN</t>
        </is>
      </c>
      <c r="E707" t="inlineStr">
        <is>
          <t>UPPSALA</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22390-2022</t>
        </is>
      </c>
      <c r="B708" s="1" t="n">
        <v>44713</v>
      </c>
      <c r="C708" s="1" t="n">
        <v>45474</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22429-2022</t>
        </is>
      </c>
      <c r="B709" s="1" t="n">
        <v>44713</v>
      </c>
      <c r="C709" s="1" t="n">
        <v>45474</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22645-2022</t>
        </is>
      </c>
      <c r="B710" s="1" t="n">
        <v>44714</v>
      </c>
      <c r="C710" s="1" t="n">
        <v>45474</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23324-2022</t>
        </is>
      </c>
      <c r="B711" s="1" t="n">
        <v>44720</v>
      </c>
      <c r="C711" s="1" t="n">
        <v>45474</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23289-2022</t>
        </is>
      </c>
      <c r="B712" s="1" t="n">
        <v>44720</v>
      </c>
      <c r="C712" s="1" t="n">
        <v>45474</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23761-2022</t>
        </is>
      </c>
      <c r="B713" s="1" t="n">
        <v>44722</v>
      </c>
      <c r="C713" s="1" t="n">
        <v>45474</v>
      </c>
      <c r="D713" t="inlineStr">
        <is>
          <t>UPPSALA LÄN</t>
        </is>
      </c>
      <c r="E713" t="inlineStr">
        <is>
          <t>UPPSALA</t>
        </is>
      </c>
      <c r="F713" t="inlineStr">
        <is>
          <t>Bergvik skog öst AB</t>
        </is>
      </c>
      <c r="G713" t="n">
        <v>7.3</v>
      </c>
      <c r="H713" t="n">
        <v>0</v>
      </c>
      <c r="I713" t="n">
        <v>0</v>
      </c>
      <c r="J713" t="n">
        <v>0</v>
      </c>
      <c r="K713" t="n">
        <v>0</v>
      </c>
      <c r="L713" t="n">
        <v>0</v>
      </c>
      <c r="M713" t="n">
        <v>0</v>
      </c>
      <c r="N713" t="n">
        <v>0</v>
      </c>
      <c r="O713" t="n">
        <v>0</v>
      </c>
      <c r="P713" t="n">
        <v>0</v>
      </c>
      <c r="Q713" t="n">
        <v>0</v>
      </c>
      <c r="R713" s="2" t="inlineStr"/>
    </row>
    <row r="714" ht="15" customHeight="1">
      <c r="A714" t="inlineStr">
        <is>
          <t>A 23713-2022</t>
        </is>
      </c>
      <c r="B714" s="1" t="n">
        <v>44722</v>
      </c>
      <c r="C714" s="1" t="n">
        <v>45474</v>
      </c>
      <c r="D714" t="inlineStr">
        <is>
          <t>UPPSALA LÄN</t>
        </is>
      </c>
      <c r="E714" t="inlineStr">
        <is>
          <t>UPPSALA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23717-2022</t>
        </is>
      </c>
      <c r="B715" s="1" t="n">
        <v>44722</v>
      </c>
      <c r="C715" s="1" t="n">
        <v>45474</v>
      </c>
      <c r="D715" t="inlineStr">
        <is>
          <t>UPPSALA LÄN</t>
        </is>
      </c>
      <c r="E715" t="inlineStr">
        <is>
          <t>UPPSALA</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23730-2022</t>
        </is>
      </c>
      <c r="B716" s="1" t="n">
        <v>44722</v>
      </c>
      <c r="C716" s="1" t="n">
        <v>45474</v>
      </c>
      <c r="D716" t="inlineStr">
        <is>
          <t>UPPSALA LÄN</t>
        </is>
      </c>
      <c r="E716" t="inlineStr">
        <is>
          <t>UPPSALA</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24420-2022</t>
        </is>
      </c>
      <c r="B717" s="1" t="n">
        <v>44726</v>
      </c>
      <c r="C717" s="1" t="n">
        <v>45474</v>
      </c>
      <c r="D717" t="inlineStr">
        <is>
          <t>UPPSALA LÄN</t>
        </is>
      </c>
      <c r="E717" t="inlineStr">
        <is>
          <t>UPPSALA</t>
        </is>
      </c>
      <c r="F717" t="inlineStr">
        <is>
          <t>Bergvik skog öst AB</t>
        </is>
      </c>
      <c r="G717" t="n">
        <v>2.9</v>
      </c>
      <c r="H717" t="n">
        <v>0</v>
      </c>
      <c r="I717" t="n">
        <v>0</v>
      </c>
      <c r="J717" t="n">
        <v>0</v>
      </c>
      <c r="K717" t="n">
        <v>0</v>
      </c>
      <c r="L717" t="n">
        <v>0</v>
      </c>
      <c r="M717" t="n">
        <v>0</v>
      </c>
      <c r="N717" t="n">
        <v>0</v>
      </c>
      <c r="O717" t="n">
        <v>0</v>
      </c>
      <c r="P717" t="n">
        <v>0</v>
      </c>
      <c r="Q717" t="n">
        <v>0</v>
      </c>
      <c r="R717" s="2" t="inlineStr"/>
    </row>
    <row r="718" ht="15" customHeight="1">
      <c r="A718" t="inlineStr">
        <is>
          <t>A 24401-2022</t>
        </is>
      </c>
      <c r="B718" s="1" t="n">
        <v>44726</v>
      </c>
      <c r="C718" s="1" t="n">
        <v>45474</v>
      </c>
      <c r="D718" t="inlineStr">
        <is>
          <t>UPPSALA LÄN</t>
        </is>
      </c>
      <c r="E718" t="inlineStr">
        <is>
          <t>UPPSALA</t>
        </is>
      </c>
      <c r="F718" t="inlineStr">
        <is>
          <t>Bergvik skog öst AB</t>
        </is>
      </c>
      <c r="G718" t="n">
        <v>4.8</v>
      </c>
      <c r="H718" t="n">
        <v>0</v>
      </c>
      <c r="I718" t="n">
        <v>0</v>
      </c>
      <c r="J718" t="n">
        <v>0</v>
      </c>
      <c r="K718" t="n">
        <v>0</v>
      </c>
      <c r="L718" t="n">
        <v>0</v>
      </c>
      <c r="M718" t="n">
        <v>0</v>
      </c>
      <c r="N718" t="n">
        <v>0</v>
      </c>
      <c r="O718" t="n">
        <v>0</v>
      </c>
      <c r="P718" t="n">
        <v>0</v>
      </c>
      <c r="Q718" t="n">
        <v>0</v>
      </c>
      <c r="R718" s="2" t="inlineStr"/>
    </row>
    <row r="719" ht="15" customHeight="1">
      <c r="A719" t="inlineStr">
        <is>
          <t>A 24409-2022</t>
        </is>
      </c>
      <c r="B719" s="1" t="n">
        <v>44726</v>
      </c>
      <c r="C719" s="1" t="n">
        <v>45474</v>
      </c>
      <c r="D719" t="inlineStr">
        <is>
          <t>UPPSALA LÄN</t>
        </is>
      </c>
      <c r="E719" t="inlineStr">
        <is>
          <t>UPPSALA</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25178-2022</t>
        </is>
      </c>
      <c r="B720" s="1" t="n">
        <v>44729</v>
      </c>
      <c r="C720" s="1" t="n">
        <v>45474</v>
      </c>
      <c r="D720" t="inlineStr">
        <is>
          <t>UPPSALA LÄN</t>
        </is>
      </c>
      <c r="E720" t="inlineStr">
        <is>
          <t>UPPSALA</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25120-2022</t>
        </is>
      </c>
      <c r="B721" s="1" t="n">
        <v>44729</v>
      </c>
      <c r="C721" s="1" t="n">
        <v>45474</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25759-2022</t>
        </is>
      </c>
      <c r="B722" s="1" t="n">
        <v>44733</v>
      </c>
      <c r="C722" s="1" t="n">
        <v>45474</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25809-2022</t>
        </is>
      </c>
      <c r="B723" s="1" t="n">
        <v>44733</v>
      </c>
      <c r="C723" s="1" t="n">
        <v>45474</v>
      </c>
      <c r="D723" t="inlineStr">
        <is>
          <t>UPPSALA LÄN</t>
        </is>
      </c>
      <c r="E723" t="inlineStr">
        <is>
          <t>UPPSALA</t>
        </is>
      </c>
      <c r="F723" t="inlineStr">
        <is>
          <t>Bergvik skog öst AB</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25745-2022</t>
        </is>
      </c>
      <c r="B724" s="1" t="n">
        <v>44733</v>
      </c>
      <c r="C724" s="1" t="n">
        <v>45474</v>
      </c>
      <c r="D724" t="inlineStr">
        <is>
          <t>UPPSALA LÄN</t>
        </is>
      </c>
      <c r="E724" t="inlineStr">
        <is>
          <t>UPPSALA</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25776-2022</t>
        </is>
      </c>
      <c r="B725" s="1" t="n">
        <v>44733</v>
      </c>
      <c r="C725" s="1" t="n">
        <v>45474</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26609-2022</t>
        </is>
      </c>
      <c r="B726" s="1" t="n">
        <v>44739</v>
      </c>
      <c r="C726" s="1" t="n">
        <v>45474</v>
      </c>
      <c r="D726" t="inlineStr">
        <is>
          <t>UPPSALA LÄN</t>
        </is>
      </c>
      <c r="E726" t="inlineStr">
        <is>
          <t>UPPSALA</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26958-2022</t>
        </is>
      </c>
      <c r="B727" s="1" t="n">
        <v>44740</v>
      </c>
      <c r="C727" s="1" t="n">
        <v>45474</v>
      </c>
      <c r="D727" t="inlineStr">
        <is>
          <t>UPPSALA LÄN</t>
        </is>
      </c>
      <c r="E727" t="inlineStr">
        <is>
          <t>UPPSALA</t>
        </is>
      </c>
      <c r="F727" t="inlineStr">
        <is>
          <t>Bergvik skog öst AB</t>
        </is>
      </c>
      <c r="G727" t="n">
        <v>2.7</v>
      </c>
      <c r="H727" t="n">
        <v>0</v>
      </c>
      <c r="I727" t="n">
        <v>0</v>
      </c>
      <c r="J727" t="n">
        <v>0</v>
      </c>
      <c r="K727" t="n">
        <v>0</v>
      </c>
      <c r="L727" t="n">
        <v>0</v>
      </c>
      <c r="M727" t="n">
        <v>0</v>
      </c>
      <c r="N727" t="n">
        <v>0</v>
      </c>
      <c r="O727" t="n">
        <v>0</v>
      </c>
      <c r="P727" t="n">
        <v>0</v>
      </c>
      <c r="Q727" t="n">
        <v>0</v>
      </c>
      <c r="R727" s="2" t="inlineStr"/>
    </row>
    <row r="728" ht="15" customHeight="1">
      <c r="A728" t="inlineStr">
        <is>
          <t>A 26972-2022</t>
        </is>
      </c>
      <c r="B728" s="1" t="n">
        <v>44740</v>
      </c>
      <c r="C728" s="1" t="n">
        <v>45474</v>
      </c>
      <c r="D728" t="inlineStr">
        <is>
          <t>UPPSALA LÄN</t>
        </is>
      </c>
      <c r="E728" t="inlineStr">
        <is>
          <t>UPPSALA</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27372-2022</t>
        </is>
      </c>
      <c r="B729" s="1" t="n">
        <v>44742</v>
      </c>
      <c r="C729" s="1" t="n">
        <v>45474</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27369-2022</t>
        </is>
      </c>
      <c r="B730" s="1" t="n">
        <v>44742</v>
      </c>
      <c r="C730" s="1" t="n">
        <v>45474</v>
      </c>
      <c r="D730" t="inlineStr">
        <is>
          <t>UPPSALA LÄN</t>
        </is>
      </c>
      <c r="E730" t="inlineStr">
        <is>
          <t>UPPSALA</t>
        </is>
      </c>
      <c r="G730" t="n">
        <v>4.5</v>
      </c>
      <c r="H730" t="n">
        <v>0</v>
      </c>
      <c r="I730" t="n">
        <v>0</v>
      </c>
      <c r="J730" t="n">
        <v>0</v>
      </c>
      <c r="K730" t="n">
        <v>0</v>
      </c>
      <c r="L730" t="n">
        <v>0</v>
      </c>
      <c r="M730" t="n">
        <v>0</v>
      </c>
      <c r="N730" t="n">
        <v>0</v>
      </c>
      <c r="O730" t="n">
        <v>0</v>
      </c>
      <c r="P730" t="n">
        <v>0</v>
      </c>
      <c r="Q730" t="n">
        <v>0</v>
      </c>
      <c r="R730" s="2" t="inlineStr"/>
    </row>
    <row r="731" ht="15" customHeight="1">
      <c r="A731" t="inlineStr">
        <is>
          <t>A 27390-2022</t>
        </is>
      </c>
      <c r="B731" s="1" t="n">
        <v>44742</v>
      </c>
      <c r="C731" s="1" t="n">
        <v>45474</v>
      </c>
      <c r="D731" t="inlineStr">
        <is>
          <t>UPPSALA LÄN</t>
        </is>
      </c>
      <c r="E731" t="inlineStr">
        <is>
          <t>UPPSALA</t>
        </is>
      </c>
      <c r="G731" t="n">
        <v>3.3</v>
      </c>
      <c r="H731" t="n">
        <v>0</v>
      </c>
      <c r="I731" t="n">
        <v>0</v>
      </c>
      <c r="J731" t="n">
        <v>0</v>
      </c>
      <c r="K731" t="n">
        <v>0</v>
      </c>
      <c r="L731" t="n">
        <v>0</v>
      </c>
      <c r="M731" t="n">
        <v>0</v>
      </c>
      <c r="N731" t="n">
        <v>0</v>
      </c>
      <c r="O731" t="n">
        <v>0</v>
      </c>
      <c r="P731" t="n">
        <v>0</v>
      </c>
      <c r="Q731" t="n">
        <v>0</v>
      </c>
      <c r="R731" s="2" t="inlineStr"/>
    </row>
    <row r="732" ht="15" customHeight="1">
      <c r="A732" t="inlineStr">
        <is>
          <t>A 27397-2022</t>
        </is>
      </c>
      <c r="B732" s="1" t="n">
        <v>44742</v>
      </c>
      <c r="C732" s="1" t="n">
        <v>45474</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27546-2022</t>
        </is>
      </c>
      <c r="B733" s="1" t="n">
        <v>44742</v>
      </c>
      <c r="C733" s="1" t="n">
        <v>45474</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27543-2022</t>
        </is>
      </c>
      <c r="B734" s="1" t="n">
        <v>44742</v>
      </c>
      <c r="C734" s="1" t="n">
        <v>45474</v>
      </c>
      <c r="D734" t="inlineStr">
        <is>
          <t>UPPSALA LÄN</t>
        </is>
      </c>
      <c r="E734" t="inlineStr">
        <is>
          <t>UPPSALA</t>
        </is>
      </c>
      <c r="F734" t="inlineStr">
        <is>
          <t>Kyrkan</t>
        </is>
      </c>
      <c r="G734" t="n">
        <v>2.6</v>
      </c>
      <c r="H734" t="n">
        <v>0</v>
      </c>
      <c r="I734" t="n">
        <v>0</v>
      </c>
      <c r="J734" t="n">
        <v>0</v>
      </c>
      <c r="K734" t="n">
        <v>0</v>
      </c>
      <c r="L734" t="n">
        <v>0</v>
      </c>
      <c r="M734" t="n">
        <v>0</v>
      </c>
      <c r="N734" t="n">
        <v>0</v>
      </c>
      <c r="O734" t="n">
        <v>0</v>
      </c>
      <c r="P734" t="n">
        <v>0</v>
      </c>
      <c r="Q734" t="n">
        <v>0</v>
      </c>
      <c r="R734" s="2" t="inlineStr"/>
    </row>
    <row r="735" ht="15" customHeight="1">
      <c r="A735" t="inlineStr">
        <is>
          <t>A 27763-2022</t>
        </is>
      </c>
      <c r="B735" s="1" t="n">
        <v>44743</v>
      </c>
      <c r="C735" s="1" t="n">
        <v>45474</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27762-2022</t>
        </is>
      </c>
      <c r="B736" s="1" t="n">
        <v>44743</v>
      </c>
      <c r="C736" s="1" t="n">
        <v>45474</v>
      </c>
      <c r="D736" t="inlineStr">
        <is>
          <t>UPPSALA LÄN</t>
        </is>
      </c>
      <c r="E736" t="inlineStr">
        <is>
          <t>UPPSALA</t>
        </is>
      </c>
      <c r="G736" t="n">
        <v>3.5</v>
      </c>
      <c r="H736" t="n">
        <v>0</v>
      </c>
      <c r="I736" t="n">
        <v>0</v>
      </c>
      <c r="J736" t="n">
        <v>0</v>
      </c>
      <c r="K736" t="n">
        <v>0</v>
      </c>
      <c r="L736" t="n">
        <v>0</v>
      </c>
      <c r="M736" t="n">
        <v>0</v>
      </c>
      <c r="N736" t="n">
        <v>0</v>
      </c>
      <c r="O736" t="n">
        <v>0</v>
      </c>
      <c r="P736" t="n">
        <v>0</v>
      </c>
      <c r="Q736" t="n">
        <v>0</v>
      </c>
      <c r="R736" s="2" t="inlineStr"/>
    </row>
    <row r="737" ht="15" customHeight="1">
      <c r="A737" t="inlineStr">
        <is>
          <t>A 29277-2022</t>
        </is>
      </c>
      <c r="B737" s="1" t="n">
        <v>44750</v>
      </c>
      <c r="C737" s="1" t="n">
        <v>45474</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v>
      </c>
      <c r="C738" s="1" t="n">
        <v>45474</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29986-2022</t>
        </is>
      </c>
      <c r="B739" s="1" t="n">
        <v>44756</v>
      </c>
      <c r="C739" s="1" t="n">
        <v>45474</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29991-2022</t>
        </is>
      </c>
      <c r="B740" s="1" t="n">
        <v>44756</v>
      </c>
      <c r="C740" s="1" t="n">
        <v>45474</v>
      </c>
      <c r="D740" t="inlineStr">
        <is>
          <t>UPPSALA LÄN</t>
        </is>
      </c>
      <c r="E740" t="inlineStr">
        <is>
          <t>UPPSALA</t>
        </is>
      </c>
      <c r="F740" t="inlineStr">
        <is>
          <t>Bergvik skog öst AB</t>
        </is>
      </c>
      <c r="G740" t="n">
        <v>4.1</v>
      </c>
      <c r="H740" t="n">
        <v>0</v>
      </c>
      <c r="I740" t="n">
        <v>0</v>
      </c>
      <c r="J740" t="n">
        <v>0</v>
      </c>
      <c r="K740" t="n">
        <v>0</v>
      </c>
      <c r="L740" t="n">
        <v>0</v>
      </c>
      <c r="M740" t="n">
        <v>0</v>
      </c>
      <c r="N740" t="n">
        <v>0</v>
      </c>
      <c r="O740" t="n">
        <v>0</v>
      </c>
      <c r="P740" t="n">
        <v>0</v>
      </c>
      <c r="Q740" t="n">
        <v>0</v>
      </c>
      <c r="R740" s="2" t="inlineStr"/>
    </row>
    <row r="741" ht="15" customHeight="1">
      <c r="A741" t="inlineStr">
        <is>
          <t>A 30052-2022</t>
        </is>
      </c>
      <c r="B741" s="1" t="n">
        <v>44757</v>
      </c>
      <c r="C741" s="1" t="n">
        <v>45474</v>
      </c>
      <c r="D741" t="inlineStr">
        <is>
          <t>UPPSALA LÄN</t>
        </is>
      </c>
      <c r="E741" t="inlineStr">
        <is>
          <t>UPPSALA</t>
        </is>
      </c>
      <c r="F741" t="inlineStr">
        <is>
          <t>Bergvik skog öst AB</t>
        </is>
      </c>
      <c r="G741" t="n">
        <v>9.6</v>
      </c>
      <c r="H741" t="n">
        <v>0</v>
      </c>
      <c r="I741" t="n">
        <v>0</v>
      </c>
      <c r="J741" t="n">
        <v>0</v>
      </c>
      <c r="K741" t="n">
        <v>0</v>
      </c>
      <c r="L741" t="n">
        <v>0</v>
      </c>
      <c r="M741" t="n">
        <v>0</v>
      </c>
      <c r="N741" t="n">
        <v>0</v>
      </c>
      <c r="O741" t="n">
        <v>0</v>
      </c>
      <c r="P741" t="n">
        <v>0</v>
      </c>
      <c r="Q741" t="n">
        <v>0</v>
      </c>
      <c r="R741" s="2" t="inlineStr"/>
    </row>
    <row r="742" ht="15" customHeight="1">
      <c r="A742" t="inlineStr">
        <is>
          <t>A 30580-2022</t>
        </is>
      </c>
      <c r="B742" s="1" t="n">
        <v>44762</v>
      </c>
      <c r="C742" s="1" t="n">
        <v>45474</v>
      </c>
      <c r="D742" t="inlineStr">
        <is>
          <t>UPPSALA LÄN</t>
        </is>
      </c>
      <c r="E742" t="inlineStr">
        <is>
          <t>UPPSALA</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30783-2022</t>
        </is>
      </c>
      <c r="B743" s="1" t="n">
        <v>44764</v>
      </c>
      <c r="C743" s="1" t="n">
        <v>45474</v>
      </c>
      <c r="D743" t="inlineStr">
        <is>
          <t>UPPSALA LÄN</t>
        </is>
      </c>
      <c r="E743" t="inlineStr">
        <is>
          <t>UPPSALA</t>
        </is>
      </c>
      <c r="F743" t="inlineStr">
        <is>
          <t>Bergvik skog öst AB</t>
        </is>
      </c>
      <c r="G743" t="n">
        <v>1.5</v>
      </c>
      <c r="H743" t="n">
        <v>0</v>
      </c>
      <c r="I743" t="n">
        <v>0</v>
      </c>
      <c r="J743" t="n">
        <v>0</v>
      </c>
      <c r="K743" t="n">
        <v>0</v>
      </c>
      <c r="L743" t="n">
        <v>0</v>
      </c>
      <c r="M743" t="n">
        <v>0</v>
      </c>
      <c r="N743" t="n">
        <v>0</v>
      </c>
      <c r="O743" t="n">
        <v>0</v>
      </c>
      <c r="P743" t="n">
        <v>0</v>
      </c>
      <c r="Q743" t="n">
        <v>0</v>
      </c>
      <c r="R743" s="2" t="inlineStr"/>
    </row>
    <row r="744" ht="15" customHeight="1">
      <c r="A744" t="inlineStr">
        <is>
          <t>A 30775-2022</t>
        </is>
      </c>
      <c r="B744" s="1" t="n">
        <v>44764</v>
      </c>
      <c r="C744" s="1" t="n">
        <v>45474</v>
      </c>
      <c r="D744" t="inlineStr">
        <is>
          <t>UPPSALA LÄN</t>
        </is>
      </c>
      <c r="E744" t="inlineStr">
        <is>
          <t>UPPSALA</t>
        </is>
      </c>
      <c r="F744" t="inlineStr">
        <is>
          <t>Bergvik skog öst AB</t>
        </is>
      </c>
      <c r="G744" t="n">
        <v>4.5</v>
      </c>
      <c r="H744" t="n">
        <v>0</v>
      </c>
      <c r="I744" t="n">
        <v>0</v>
      </c>
      <c r="J744" t="n">
        <v>0</v>
      </c>
      <c r="K744" t="n">
        <v>0</v>
      </c>
      <c r="L744" t="n">
        <v>0</v>
      </c>
      <c r="M744" t="n">
        <v>0</v>
      </c>
      <c r="N744" t="n">
        <v>0</v>
      </c>
      <c r="O744" t="n">
        <v>0</v>
      </c>
      <c r="P744" t="n">
        <v>0</v>
      </c>
      <c r="Q744" t="n">
        <v>0</v>
      </c>
      <c r="R744" s="2" t="inlineStr"/>
    </row>
    <row r="745" ht="15" customHeight="1">
      <c r="A745" t="inlineStr">
        <is>
          <t>A 31113-2022</t>
        </is>
      </c>
      <c r="B745" s="1" t="n">
        <v>44769</v>
      </c>
      <c r="C745" s="1" t="n">
        <v>45474</v>
      </c>
      <c r="D745" t="inlineStr">
        <is>
          <t>UPPSALA LÄN</t>
        </is>
      </c>
      <c r="E745" t="inlineStr">
        <is>
          <t>UPPSALA</t>
        </is>
      </c>
      <c r="F745" t="inlineStr">
        <is>
          <t>Bergvik skog öst AB</t>
        </is>
      </c>
      <c r="G745" t="n">
        <v>4.7</v>
      </c>
      <c r="H745" t="n">
        <v>0</v>
      </c>
      <c r="I745" t="n">
        <v>0</v>
      </c>
      <c r="J745" t="n">
        <v>0</v>
      </c>
      <c r="K745" t="n">
        <v>0</v>
      </c>
      <c r="L745" t="n">
        <v>0</v>
      </c>
      <c r="M745" t="n">
        <v>0</v>
      </c>
      <c r="N745" t="n">
        <v>0</v>
      </c>
      <c r="O745" t="n">
        <v>0</v>
      </c>
      <c r="P745" t="n">
        <v>0</v>
      </c>
      <c r="Q745" t="n">
        <v>0</v>
      </c>
      <c r="R745" s="2" t="inlineStr"/>
    </row>
    <row r="746" ht="15" customHeight="1">
      <c r="A746" t="inlineStr">
        <is>
          <t>A 31263-2022</t>
        </is>
      </c>
      <c r="B746" s="1" t="n">
        <v>44771</v>
      </c>
      <c r="C746" s="1" t="n">
        <v>45474</v>
      </c>
      <c r="D746" t="inlineStr">
        <is>
          <t>UPPSALA LÄN</t>
        </is>
      </c>
      <c r="E746" t="inlineStr">
        <is>
          <t>UPPSALA</t>
        </is>
      </c>
      <c r="F746" t="inlineStr">
        <is>
          <t>Bergvik skog öst AB</t>
        </is>
      </c>
      <c r="G746" t="n">
        <v>2.5</v>
      </c>
      <c r="H746" t="n">
        <v>0</v>
      </c>
      <c r="I746" t="n">
        <v>0</v>
      </c>
      <c r="J746" t="n">
        <v>0</v>
      </c>
      <c r="K746" t="n">
        <v>0</v>
      </c>
      <c r="L746" t="n">
        <v>0</v>
      </c>
      <c r="M746" t="n">
        <v>0</v>
      </c>
      <c r="N746" t="n">
        <v>0</v>
      </c>
      <c r="O746" t="n">
        <v>0</v>
      </c>
      <c r="P746" t="n">
        <v>0</v>
      </c>
      <c r="Q746" t="n">
        <v>0</v>
      </c>
      <c r="R746" s="2" t="inlineStr"/>
    </row>
    <row r="747" ht="15" customHeight="1">
      <c r="A747" t="inlineStr">
        <is>
          <t>A 31261-2022</t>
        </is>
      </c>
      <c r="B747" s="1" t="n">
        <v>44771</v>
      </c>
      <c r="C747" s="1" t="n">
        <v>45474</v>
      </c>
      <c r="D747" t="inlineStr">
        <is>
          <t>UPPSALA LÄN</t>
        </is>
      </c>
      <c r="E747" t="inlineStr">
        <is>
          <t>UPPSALA</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31249-2022</t>
        </is>
      </c>
      <c r="B748" s="1" t="n">
        <v>44771</v>
      </c>
      <c r="C748" s="1" t="n">
        <v>45474</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31253-2022</t>
        </is>
      </c>
      <c r="B749" s="1" t="n">
        <v>44771</v>
      </c>
      <c r="C749" s="1" t="n">
        <v>45474</v>
      </c>
      <c r="D749" t="inlineStr">
        <is>
          <t>UPPSALA LÄN</t>
        </is>
      </c>
      <c r="E749" t="inlineStr">
        <is>
          <t>UPPSALA</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32954-2022</t>
        </is>
      </c>
      <c r="B750" s="1" t="n">
        <v>44784</v>
      </c>
      <c r="C750" s="1" t="n">
        <v>45474</v>
      </c>
      <c r="D750" t="inlineStr">
        <is>
          <t>UPPSALA LÄN</t>
        </is>
      </c>
      <c r="E750" t="inlineStr">
        <is>
          <t>UPPSALA</t>
        </is>
      </c>
      <c r="G750" t="n">
        <v>2.6</v>
      </c>
      <c r="H750" t="n">
        <v>0</v>
      </c>
      <c r="I750" t="n">
        <v>0</v>
      </c>
      <c r="J750" t="n">
        <v>0</v>
      </c>
      <c r="K750" t="n">
        <v>0</v>
      </c>
      <c r="L750" t="n">
        <v>0</v>
      </c>
      <c r="M750" t="n">
        <v>0</v>
      </c>
      <c r="N750" t="n">
        <v>0</v>
      </c>
      <c r="O750" t="n">
        <v>0</v>
      </c>
      <c r="P750" t="n">
        <v>0</v>
      </c>
      <c r="Q750" t="n">
        <v>0</v>
      </c>
      <c r="R750" s="2" t="inlineStr"/>
    </row>
    <row r="751" ht="15" customHeight="1">
      <c r="A751" t="inlineStr">
        <is>
          <t>A 33332-2022</t>
        </is>
      </c>
      <c r="B751" s="1" t="n">
        <v>44788</v>
      </c>
      <c r="C751" s="1" t="n">
        <v>45474</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33283-2022</t>
        </is>
      </c>
      <c r="B752" s="1" t="n">
        <v>44788</v>
      </c>
      <c r="C752" s="1" t="n">
        <v>45474</v>
      </c>
      <c r="D752" t="inlineStr">
        <is>
          <t>UPPSALA LÄN</t>
        </is>
      </c>
      <c r="E752" t="inlineStr">
        <is>
          <t>UPPSALA</t>
        </is>
      </c>
      <c r="G752" t="n">
        <v>20.2</v>
      </c>
      <c r="H752" t="n">
        <v>0</v>
      </c>
      <c r="I752" t="n">
        <v>0</v>
      </c>
      <c r="J752" t="n">
        <v>0</v>
      </c>
      <c r="K752" t="n">
        <v>0</v>
      </c>
      <c r="L752" t="n">
        <v>0</v>
      </c>
      <c r="M752" t="n">
        <v>0</v>
      </c>
      <c r="N752" t="n">
        <v>0</v>
      </c>
      <c r="O752" t="n">
        <v>0</v>
      </c>
      <c r="P752" t="n">
        <v>0</v>
      </c>
      <c r="Q752" t="n">
        <v>0</v>
      </c>
      <c r="R752" s="2" t="inlineStr"/>
    </row>
    <row r="753" ht="15" customHeight="1">
      <c r="A753" t="inlineStr">
        <is>
          <t>A 34061-2022</t>
        </is>
      </c>
      <c r="B753" s="1" t="n">
        <v>44791</v>
      </c>
      <c r="C753" s="1" t="n">
        <v>45474</v>
      </c>
      <c r="D753" t="inlineStr">
        <is>
          <t>UPPSALA LÄN</t>
        </is>
      </c>
      <c r="E753" t="inlineStr">
        <is>
          <t>UPPSALA</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34770-2022</t>
        </is>
      </c>
      <c r="B754" s="1" t="n">
        <v>44795</v>
      </c>
      <c r="C754" s="1" t="n">
        <v>45474</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35212-2022</t>
        </is>
      </c>
      <c r="B755" s="1" t="n">
        <v>44797</v>
      </c>
      <c r="C755" s="1" t="n">
        <v>45474</v>
      </c>
      <c r="D755" t="inlineStr">
        <is>
          <t>UPPSALA LÄN</t>
        </is>
      </c>
      <c r="E755" t="inlineStr">
        <is>
          <t>UPPSALA</t>
        </is>
      </c>
      <c r="G755" t="n">
        <v>2.6</v>
      </c>
      <c r="H755" t="n">
        <v>0</v>
      </c>
      <c r="I755" t="n">
        <v>0</v>
      </c>
      <c r="J755" t="n">
        <v>0</v>
      </c>
      <c r="K755" t="n">
        <v>0</v>
      </c>
      <c r="L755" t="n">
        <v>0</v>
      </c>
      <c r="M755" t="n">
        <v>0</v>
      </c>
      <c r="N755" t="n">
        <v>0</v>
      </c>
      <c r="O755" t="n">
        <v>0</v>
      </c>
      <c r="P755" t="n">
        <v>0</v>
      </c>
      <c r="Q755" t="n">
        <v>0</v>
      </c>
      <c r="R755" s="2" t="inlineStr"/>
    </row>
    <row r="756" ht="15" customHeight="1">
      <c r="A756" t="inlineStr">
        <is>
          <t>A 35411-2022</t>
        </is>
      </c>
      <c r="B756" s="1" t="n">
        <v>44798</v>
      </c>
      <c r="C756" s="1" t="n">
        <v>45474</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35539-2022</t>
        </is>
      </c>
      <c r="B757" s="1" t="n">
        <v>44799</v>
      </c>
      <c r="C757" s="1" t="n">
        <v>45474</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35544-2022</t>
        </is>
      </c>
      <c r="B758" s="1" t="n">
        <v>44799</v>
      </c>
      <c r="C758" s="1" t="n">
        <v>45474</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35542-2022</t>
        </is>
      </c>
      <c r="B759" s="1" t="n">
        <v>44799</v>
      </c>
      <c r="C759" s="1" t="n">
        <v>45474</v>
      </c>
      <c r="D759" t="inlineStr">
        <is>
          <t>UPPSALA LÄN</t>
        </is>
      </c>
      <c r="E759" t="inlineStr">
        <is>
          <t>UPPSALA</t>
        </is>
      </c>
      <c r="G759" t="n">
        <v>3.2</v>
      </c>
      <c r="H759" t="n">
        <v>0</v>
      </c>
      <c r="I759" t="n">
        <v>0</v>
      </c>
      <c r="J759" t="n">
        <v>0</v>
      </c>
      <c r="K759" t="n">
        <v>0</v>
      </c>
      <c r="L759" t="n">
        <v>0</v>
      </c>
      <c r="M759" t="n">
        <v>0</v>
      </c>
      <c r="N759" t="n">
        <v>0</v>
      </c>
      <c r="O759" t="n">
        <v>0</v>
      </c>
      <c r="P759" t="n">
        <v>0</v>
      </c>
      <c r="Q759" t="n">
        <v>0</v>
      </c>
      <c r="R759" s="2" t="inlineStr"/>
    </row>
    <row r="760" ht="15" customHeight="1">
      <c r="A760" t="inlineStr">
        <is>
          <t>A 37187-2022</t>
        </is>
      </c>
      <c r="B760" s="1" t="n">
        <v>44806</v>
      </c>
      <c r="C760" s="1" t="n">
        <v>45474</v>
      </c>
      <c r="D760" t="inlineStr">
        <is>
          <t>UPPSALA LÄN</t>
        </is>
      </c>
      <c r="E760" t="inlineStr">
        <is>
          <t>UPPSALA</t>
        </is>
      </c>
      <c r="F760" t="inlineStr">
        <is>
          <t>Holmen skog AB</t>
        </is>
      </c>
      <c r="G760" t="n">
        <v>0.8</v>
      </c>
      <c r="H760" t="n">
        <v>0</v>
      </c>
      <c r="I760" t="n">
        <v>0</v>
      </c>
      <c r="J760" t="n">
        <v>0</v>
      </c>
      <c r="K760" t="n">
        <v>0</v>
      </c>
      <c r="L760" t="n">
        <v>0</v>
      </c>
      <c r="M760" t="n">
        <v>0</v>
      </c>
      <c r="N760" t="n">
        <v>0</v>
      </c>
      <c r="O760" t="n">
        <v>0</v>
      </c>
      <c r="P760" t="n">
        <v>0</v>
      </c>
      <c r="Q760" t="n">
        <v>0</v>
      </c>
      <c r="R760" s="2" t="inlineStr"/>
    </row>
    <row r="761" ht="15" customHeight="1">
      <c r="A761" t="inlineStr">
        <is>
          <t>A 37316-2022</t>
        </is>
      </c>
      <c r="B761" s="1" t="n">
        <v>44806</v>
      </c>
      <c r="C761" s="1" t="n">
        <v>45474</v>
      </c>
      <c r="D761" t="inlineStr">
        <is>
          <t>UPPSALA LÄN</t>
        </is>
      </c>
      <c r="E761" t="inlineStr">
        <is>
          <t>UPPSALA</t>
        </is>
      </c>
      <c r="G761" t="n">
        <v>10.6</v>
      </c>
      <c r="H761" t="n">
        <v>0</v>
      </c>
      <c r="I761" t="n">
        <v>0</v>
      </c>
      <c r="J761" t="n">
        <v>0</v>
      </c>
      <c r="K761" t="n">
        <v>0</v>
      </c>
      <c r="L761" t="n">
        <v>0</v>
      </c>
      <c r="M761" t="n">
        <v>0</v>
      </c>
      <c r="N761" t="n">
        <v>0</v>
      </c>
      <c r="O761" t="n">
        <v>0</v>
      </c>
      <c r="P761" t="n">
        <v>0</v>
      </c>
      <c r="Q761" t="n">
        <v>0</v>
      </c>
      <c r="R761" s="2" t="inlineStr"/>
    </row>
    <row r="762" ht="15" customHeight="1">
      <c r="A762" t="inlineStr">
        <is>
          <t>A 37188-2022</t>
        </is>
      </c>
      <c r="B762" s="1" t="n">
        <v>44806</v>
      </c>
      <c r="C762" s="1" t="n">
        <v>45474</v>
      </c>
      <c r="D762" t="inlineStr">
        <is>
          <t>UPPSALA LÄN</t>
        </is>
      </c>
      <c r="E762" t="inlineStr">
        <is>
          <t>UPPSALA</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37588-2022</t>
        </is>
      </c>
      <c r="B763" s="1" t="n">
        <v>44810</v>
      </c>
      <c r="C763" s="1" t="n">
        <v>45474</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37761-2022</t>
        </is>
      </c>
      <c r="B764" s="1" t="n">
        <v>44810</v>
      </c>
      <c r="C764" s="1" t="n">
        <v>45474</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37670-2022</t>
        </is>
      </c>
      <c r="B765" s="1" t="n">
        <v>44810</v>
      </c>
      <c r="C765" s="1" t="n">
        <v>45474</v>
      </c>
      <c r="D765" t="inlineStr">
        <is>
          <t>UPPSALA LÄN</t>
        </is>
      </c>
      <c r="E765" t="inlineStr">
        <is>
          <t>UPPSALA</t>
        </is>
      </c>
      <c r="G765" t="n">
        <v>2.4</v>
      </c>
      <c r="H765" t="n">
        <v>0</v>
      </c>
      <c r="I765" t="n">
        <v>0</v>
      </c>
      <c r="J765" t="n">
        <v>0</v>
      </c>
      <c r="K765" t="n">
        <v>0</v>
      </c>
      <c r="L765" t="n">
        <v>0</v>
      </c>
      <c r="M765" t="n">
        <v>0</v>
      </c>
      <c r="N765" t="n">
        <v>0</v>
      </c>
      <c r="O765" t="n">
        <v>0</v>
      </c>
      <c r="P765" t="n">
        <v>0</v>
      </c>
      <c r="Q765" t="n">
        <v>0</v>
      </c>
      <c r="R765" s="2" t="inlineStr"/>
    </row>
    <row r="766" ht="15" customHeight="1">
      <c r="A766" t="inlineStr">
        <is>
          <t>A 38078-2022</t>
        </is>
      </c>
      <c r="B766" s="1" t="n">
        <v>44811</v>
      </c>
      <c r="C766" s="1" t="n">
        <v>45474</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38524-2022</t>
        </is>
      </c>
      <c r="B767" s="1" t="n">
        <v>44813</v>
      </c>
      <c r="C767" s="1" t="n">
        <v>45474</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38865-2022</t>
        </is>
      </c>
      <c r="B768" s="1" t="n">
        <v>44816</v>
      </c>
      <c r="C768" s="1" t="n">
        <v>45474</v>
      </c>
      <c r="D768" t="inlineStr">
        <is>
          <t>UPPSALA LÄN</t>
        </is>
      </c>
      <c r="E768" t="inlineStr">
        <is>
          <t>UPPSALA</t>
        </is>
      </c>
      <c r="G768" t="n">
        <v>14.6</v>
      </c>
      <c r="H768" t="n">
        <v>0</v>
      </c>
      <c r="I768" t="n">
        <v>0</v>
      </c>
      <c r="J768" t="n">
        <v>0</v>
      </c>
      <c r="K768" t="n">
        <v>0</v>
      </c>
      <c r="L768" t="n">
        <v>0</v>
      </c>
      <c r="M768" t="n">
        <v>0</v>
      </c>
      <c r="N768" t="n">
        <v>0</v>
      </c>
      <c r="O768" t="n">
        <v>0</v>
      </c>
      <c r="P768" t="n">
        <v>0</v>
      </c>
      <c r="Q768" t="n">
        <v>0</v>
      </c>
      <c r="R768" s="2" t="inlineStr"/>
    </row>
    <row r="769" ht="15" customHeight="1">
      <c r="A769" t="inlineStr">
        <is>
          <t>A 38892-2022</t>
        </is>
      </c>
      <c r="B769" s="1" t="n">
        <v>44816</v>
      </c>
      <c r="C769" s="1" t="n">
        <v>45474</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38909-2022</t>
        </is>
      </c>
      <c r="B770" s="1" t="n">
        <v>44816</v>
      </c>
      <c r="C770" s="1" t="n">
        <v>45474</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39148-2022</t>
        </is>
      </c>
      <c r="B771" s="1" t="n">
        <v>44816</v>
      </c>
      <c r="C771" s="1" t="n">
        <v>45474</v>
      </c>
      <c r="D771" t="inlineStr">
        <is>
          <t>UPPSALA LÄN</t>
        </is>
      </c>
      <c r="E771" t="inlineStr">
        <is>
          <t>UPPSALA</t>
        </is>
      </c>
      <c r="F771" t="inlineStr">
        <is>
          <t>Övriga statliga verk och myndigheter</t>
        </is>
      </c>
      <c r="G771" t="n">
        <v>1.7</v>
      </c>
      <c r="H771" t="n">
        <v>0</v>
      </c>
      <c r="I771" t="n">
        <v>0</v>
      </c>
      <c r="J771" t="n">
        <v>0</v>
      </c>
      <c r="K771" t="n">
        <v>0</v>
      </c>
      <c r="L771" t="n">
        <v>0</v>
      </c>
      <c r="M771" t="n">
        <v>0</v>
      </c>
      <c r="N771" t="n">
        <v>0</v>
      </c>
      <c r="O771" t="n">
        <v>0</v>
      </c>
      <c r="P771" t="n">
        <v>0</v>
      </c>
      <c r="Q771" t="n">
        <v>0</v>
      </c>
      <c r="R771" s="2" t="inlineStr"/>
    </row>
    <row r="772" ht="15" customHeight="1">
      <c r="A772" t="inlineStr">
        <is>
          <t>A 39144-2022</t>
        </is>
      </c>
      <c r="B772" s="1" t="n">
        <v>44816</v>
      </c>
      <c r="C772" s="1" t="n">
        <v>45474</v>
      </c>
      <c r="D772" t="inlineStr">
        <is>
          <t>UPPSALA LÄN</t>
        </is>
      </c>
      <c r="E772" t="inlineStr">
        <is>
          <t>UPPSALA</t>
        </is>
      </c>
      <c r="G772" t="n">
        <v>8.4</v>
      </c>
      <c r="H772" t="n">
        <v>0</v>
      </c>
      <c r="I772" t="n">
        <v>0</v>
      </c>
      <c r="J772" t="n">
        <v>0</v>
      </c>
      <c r="K772" t="n">
        <v>0</v>
      </c>
      <c r="L772" t="n">
        <v>0</v>
      </c>
      <c r="M772" t="n">
        <v>0</v>
      </c>
      <c r="N772" t="n">
        <v>0</v>
      </c>
      <c r="O772" t="n">
        <v>0</v>
      </c>
      <c r="P772" t="n">
        <v>0</v>
      </c>
      <c r="Q772" t="n">
        <v>0</v>
      </c>
      <c r="R772" s="2" t="inlineStr"/>
    </row>
    <row r="773" ht="15" customHeight="1">
      <c r="A773" t="inlineStr">
        <is>
          <t>A 39454-2022</t>
        </is>
      </c>
      <c r="B773" s="1" t="n">
        <v>44817</v>
      </c>
      <c r="C773" s="1" t="n">
        <v>45474</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39608-2022</t>
        </is>
      </c>
      <c r="B774" s="1" t="n">
        <v>44817</v>
      </c>
      <c r="C774" s="1" t="n">
        <v>45474</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39599-2022</t>
        </is>
      </c>
      <c r="B775" s="1" t="n">
        <v>44817</v>
      </c>
      <c r="C775" s="1" t="n">
        <v>45474</v>
      </c>
      <c r="D775" t="inlineStr">
        <is>
          <t>UPPSALA LÄN</t>
        </is>
      </c>
      <c r="E775" t="inlineStr">
        <is>
          <t>UPPSALA</t>
        </is>
      </c>
      <c r="G775" t="n">
        <v>4.8</v>
      </c>
      <c r="H775" t="n">
        <v>0</v>
      </c>
      <c r="I775" t="n">
        <v>0</v>
      </c>
      <c r="J775" t="n">
        <v>0</v>
      </c>
      <c r="K775" t="n">
        <v>0</v>
      </c>
      <c r="L775" t="n">
        <v>0</v>
      </c>
      <c r="M775" t="n">
        <v>0</v>
      </c>
      <c r="N775" t="n">
        <v>0</v>
      </c>
      <c r="O775" t="n">
        <v>0</v>
      </c>
      <c r="P775" t="n">
        <v>0</v>
      </c>
      <c r="Q775" t="n">
        <v>0</v>
      </c>
      <c r="R775" s="2" t="inlineStr"/>
    </row>
    <row r="776" ht="15" customHeight="1">
      <c r="A776" t="inlineStr">
        <is>
          <t>A 39795-2022</t>
        </is>
      </c>
      <c r="B776" s="1" t="n">
        <v>44819</v>
      </c>
      <c r="C776" s="1" t="n">
        <v>45474</v>
      </c>
      <c r="D776" t="inlineStr">
        <is>
          <t>UPPSALA LÄN</t>
        </is>
      </c>
      <c r="E776" t="inlineStr">
        <is>
          <t>UPPSALA</t>
        </is>
      </c>
      <c r="F776" t="inlineStr">
        <is>
          <t>Övriga Aktiebolag</t>
        </is>
      </c>
      <c r="G776" t="n">
        <v>3.5</v>
      </c>
      <c r="H776" t="n">
        <v>0</v>
      </c>
      <c r="I776" t="n">
        <v>0</v>
      </c>
      <c r="J776" t="n">
        <v>0</v>
      </c>
      <c r="K776" t="n">
        <v>0</v>
      </c>
      <c r="L776" t="n">
        <v>0</v>
      </c>
      <c r="M776" t="n">
        <v>0</v>
      </c>
      <c r="N776" t="n">
        <v>0</v>
      </c>
      <c r="O776" t="n">
        <v>0</v>
      </c>
      <c r="P776" t="n">
        <v>0</v>
      </c>
      <c r="Q776" t="n">
        <v>0</v>
      </c>
      <c r="R776" s="2" t="inlineStr"/>
    </row>
    <row r="777" ht="15" customHeight="1">
      <c r="A777" t="inlineStr">
        <is>
          <t>A 39915-2022</t>
        </is>
      </c>
      <c r="B777" s="1" t="n">
        <v>44819</v>
      </c>
      <c r="C777" s="1" t="n">
        <v>45474</v>
      </c>
      <c r="D777" t="inlineStr">
        <is>
          <t>UPPSALA LÄN</t>
        </is>
      </c>
      <c r="E777" t="inlineStr">
        <is>
          <t>UPPSALA</t>
        </is>
      </c>
      <c r="F777" t="inlineStr">
        <is>
          <t>Allmännings- och besparingsskogar</t>
        </is>
      </c>
      <c r="G777" t="n">
        <v>20.1</v>
      </c>
      <c r="H777" t="n">
        <v>0</v>
      </c>
      <c r="I777" t="n">
        <v>0</v>
      </c>
      <c r="J777" t="n">
        <v>0</v>
      </c>
      <c r="K777" t="n">
        <v>0</v>
      </c>
      <c r="L777" t="n">
        <v>0</v>
      </c>
      <c r="M777" t="n">
        <v>0</v>
      </c>
      <c r="N777" t="n">
        <v>0</v>
      </c>
      <c r="O777" t="n">
        <v>0</v>
      </c>
      <c r="P777" t="n">
        <v>0</v>
      </c>
      <c r="Q777" t="n">
        <v>0</v>
      </c>
      <c r="R777" s="2" t="inlineStr"/>
    </row>
    <row r="778" ht="15" customHeight="1">
      <c r="A778" t="inlineStr">
        <is>
          <t>A 39865-2022</t>
        </is>
      </c>
      <c r="B778" s="1" t="n">
        <v>44819</v>
      </c>
      <c r="C778" s="1" t="n">
        <v>45474</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40100-2022</t>
        </is>
      </c>
      <c r="B779" s="1" t="n">
        <v>44820</v>
      </c>
      <c r="C779" s="1" t="n">
        <v>45474</v>
      </c>
      <c r="D779" t="inlineStr">
        <is>
          <t>UPPSALA LÄN</t>
        </is>
      </c>
      <c r="E779" t="inlineStr">
        <is>
          <t>UPPSALA</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42622-2022</t>
        </is>
      </c>
      <c r="B780" s="1" t="n">
        <v>44831</v>
      </c>
      <c r="C780" s="1" t="n">
        <v>45474</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42772-2022</t>
        </is>
      </c>
      <c r="B781" s="1" t="n">
        <v>44832</v>
      </c>
      <c r="C781" s="1" t="n">
        <v>45474</v>
      </c>
      <c r="D781" t="inlineStr">
        <is>
          <t>UPPSALA LÄN</t>
        </is>
      </c>
      <c r="E781" t="inlineStr">
        <is>
          <t>UPPSALA</t>
        </is>
      </c>
      <c r="G781" t="n">
        <v>17.7</v>
      </c>
      <c r="H781" t="n">
        <v>0</v>
      </c>
      <c r="I781" t="n">
        <v>0</v>
      </c>
      <c r="J781" t="n">
        <v>0</v>
      </c>
      <c r="K781" t="n">
        <v>0</v>
      </c>
      <c r="L781" t="n">
        <v>0</v>
      </c>
      <c r="M781" t="n">
        <v>0</v>
      </c>
      <c r="N781" t="n">
        <v>0</v>
      </c>
      <c r="O781" t="n">
        <v>0</v>
      </c>
      <c r="P781" t="n">
        <v>0</v>
      </c>
      <c r="Q781" t="n">
        <v>0</v>
      </c>
      <c r="R781" s="2" t="inlineStr"/>
    </row>
    <row r="782" ht="15" customHeight="1">
      <c r="A782" t="inlineStr">
        <is>
          <t>A 43032-2022</t>
        </is>
      </c>
      <c r="B782" s="1" t="n">
        <v>44832</v>
      </c>
      <c r="C782" s="1" t="n">
        <v>45474</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43850-2022</t>
        </is>
      </c>
      <c r="B783" s="1" t="n">
        <v>44838</v>
      </c>
      <c r="C783" s="1" t="n">
        <v>45474</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44265-2022</t>
        </is>
      </c>
      <c r="B784" s="1" t="n">
        <v>44839</v>
      </c>
      <c r="C784" s="1" t="n">
        <v>45474</v>
      </c>
      <c r="D784" t="inlineStr">
        <is>
          <t>UPPSALA LÄN</t>
        </is>
      </c>
      <c r="E784" t="inlineStr">
        <is>
          <t>UPPSALA</t>
        </is>
      </c>
      <c r="G784" t="n">
        <v>2</v>
      </c>
      <c r="H784" t="n">
        <v>0</v>
      </c>
      <c r="I784" t="n">
        <v>0</v>
      </c>
      <c r="J784" t="n">
        <v>0</v>
      </c>
      <c r="K784" t="n">
        <v>0</v>
      </c>
      <c r="L784" t="n">
        <v>0</v>
      </c>
      <c r="M784" t="n">
        <v>0</v>
      </c>
      <c r="N784" t="n">
        <v>0</v>
      </c>
      <c r="O784" t="n">
        <v>0</v>
      </c>
      <c r="P784" t="n">
        <v>0</v>
      </c>
      <c r="Q784" t="n">
        <v>0</v>
      </c>
      <c r="R784" s="2" t="inlineStr"/>
    </row>
    <row r="785" ht="15" customHeight="1">
      <c r="A785" t="inlineStr">
        <is>
          <t>A 44817-2022</t>
        </is>
      </c>
      <c r="B785" s="1" t="n">
        <v>44841</v>
      </c>
      <c r="C785" s="1" t="n">
        <v>45474</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45195-2022</t>
        </is>
      </c>
      <c r="B786" s="1" t="n">
        <v>44844</v>
      </c>
      <c r="C786" s="1" t="n">
        <v>45474</v>
      </c>
      <c r="D786" t="inlineStr">
        <is>
          <t>UPPSALA LÄN</t>
        </is>
      </c>
      <c r="E786" t="inlineStr">
        <is>
          <t>UPPSALA</t>
        </is>
      </c>
      <c r="G786" t="n">
        <v>3.3</v>
      </c>
      <c r="H786" t="n">
        <v>0</v>
      </c>
      <c r="I786" t="n">
        <v>0</v>
      </c>
      <c r="J786" t="n">
        <v>0</v>
      </c>
      <c r="K786" t="n">
        <v>0</v>
      </c>
      <c r="L786" t="n">
        <v>0</v>
      </c>
      <c r="M786" t="n">
        <v>0</v>
      </c>
      <c r="N786" t="n">
        <v>0</v>
      </c>
      <c r="O786" t="n">
        <v>0</v>
      </c>
      <c r="P786" t="n">
        <v>0</v>
      </c>
      <c r="Q786" t="n">
        <v>0</v>
      </c>
      <c r="R786" s="2" t="inlineStr"/>
    </row>
    <row r="787" ht="15" customHeight="1">
      <c r="A787" t="inlineStr">
        <is>
          <t>A 45780-2022</t>
        </is>
      </c>
      <c r="B787" s="1" t="n">
        <v>44846</v>
      </c>
      <c r="C787" s="1" t="n">
        <v>45474</v>
      </c>
      <c r="D787" t="inlineStr">
        <is>
          <t>UPPSALA LÄN</t>
        </is>
      </c>
      <c r="E787" t="inlineStr">
        <is>
          <t>UPPSALA</t>
        </is>
      </c>
      <c r="G787" t="n">
        <v>5.8</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45474</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46077-2022</t>
        </is>
      </c>
      <c r="B789" s="1" t="n">
        <v>44847</v>
      </c>
      <c r="C789" s="1" t="n">
        <v>45474</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46069-2022</t>
        </is>
      </c>
      <c r="B790" s="1" t="n">
        <v>44847</v>
      </c>
      <c r="C790" s="1" t="n">
        <v>45474</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v>
      </c>
      <c r="C791" s="1" t="n">
        <v>45474</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46293-2022</t>
        </is>
      </c>
      <c r="B792" s="1" t="n">
        <v>44847</v>
      </c>
      <c r="C792" s="1" t="n">
        <v>45474</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46805-2022</t>
        </is>
      </c>
      <c r="B793" s="1" t="n">
        <v>44847</v>
      </c>
      <c r="C793" s="1" t="n">
        <v>45474</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46807-2022</t>
        </is>
      </c>
      <c r="B794" s="1" t="n">
        <v>44848</v>
      </c>
      <c r="C794" s="1" t="n">
        <v>45474</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46635-2022</t>
        </is>
      </c>
      <c r="B795" s="1" t="n">
        <v>44849</v>
      </c>
      <c r="C795" s="1" t="n">
        <v>45474</v>
      </c>
      <c r="D795" t="inlineStr">
        <is>
          <t>UPPSALA LÄN</t>
        </is>
      </c>
      <c r="E795" t="inlineStr">
        <is>
          <t>UPPSALA</t>
        </is>
      </c>
      <c r="G795" t="n">
        <v>3.4</v>
      </c>
      <c r="H795" t="n">
        <v>0</v>
      </c>
      <c r="I795" t="n">
        <v>0</v>
      </c>
      <c r="J795" t="n">
        <v>0</v>
      </c>
      <c r="K795" t="n">
        <v>0</v>
      </c>
      <c r="L795" t="n">
        <v>0</v>
      </c>
      <c r="M795" t="n">
        <v>0</v>
      </c>
      <c r="N795" t="n">
        <v>0</v>
      </c>
      <c r="O795" t="n">
        <v>0</v>
      </c>
      <c r="P795" t="n">
        <v>0</v>
      </c>
      <c r="Q795" t="n">
        <v>0</v>
      </c>
      <c r="R795" s="2" t="inlineStr"/>
    </row>
    <row r="796" ht="15" customHeight="1">
      <c r="A796" t="inlineStr">
        <is>
          <t>A 47413-2022</t>
        </is>
      </c>
      <c r="B796" s="1" t="n">
        <v>44853</v>
      </c>
      <c r="C796" s="1" t="n">
        <v>45474</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48686-2022</t>
        </is>
      </c>
      <c r="B797" s="1" t="n">
        <v>44859</v>
      </c>
      <c r="C797" s="1" t="n">
        <v>45474</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48588-2022</t>
        </is>
      </c>
      <c r="B798" s="1" t="n">
        <v>44859</v>
      </c>
      <c r="C798" s="1" t="n">
        <v>45474</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48692-2022</t>
        </is>
      </c>
      <c r="B799" s="1" t="n">
        <v>44859</v>
      </c>
      <c r="C799" s="1" t="n">
        <v>45474</v>
      </c>
      <c r="D799" t="inlineStr">
        <is>
          <t>UPPSALA LÄN</t>
        </is>
      </c>
      <c r="E799" t="inlineStr">
        <is>
          <t>UPPSALA</t>
        </is>
      </c>
      <c r="G799" t="n">
        <v>3.1</v>
      </c>
      <c r="H799" t="n">
        <v>0</v>
      </c>
      <c r="I799" t="n">
        <v>0</v>
      </c>
      <c r="J799" t="n">
        <v>0</v>
      </c>
      <c r="K799" t="n">
        <v>0</v>
      </c>
      <c r="L799" t="n">
        <v>0</v>
      </c>
      <c r="M799" t="n">
        <v>0</v>
      </c>
      <c r="N799" t="n">
        <v>0</v>
      </c>
      <c r="O799" t="n">
        <v>0</v>
      </c>
      <c r="P799" t="n">
        <v>0</v>
      </c>
      <c r="Q799" t="n">
        <v>0</v>
      </c>
      <c r="R799" s="2" t="inlineStr"/>
    </row>
    <row r="800" ht="15" customHeight="1">
      <c r="A800" t="inlineStr">
        <is>
          <t>A 48688-2022</t>
        </is>
      </c>
      <c r="B800" s="1" t="n">
        <v>44859</v>
      </c>
      <c r="C800" s="1" t="n">
        <v>45474</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50006-2022</t>
        </is>
      </c>
      <c r="B801" s="1" t="n">
        <v>44865</v>
      </c>
      <c r="C801" s="1" t="n">
        <v>45474</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50092-2022</t>
        </is>
      </c>
      <c r="B802" s="1" t="n">
        <v>44865</v>
      </c>
      <c r="C802" s="1" t="n">
        <v>45474</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50954-2022</t>
        </is>
      </c>
      <c r="B803" s="1" t="n">
        <v>44866</v>
      </c>
      <c r="C803" s="1" t="n">
        <v>45474</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51661-2022</t>
        </is>
      </c>
      <c r="B804" s="1" t="n">
        <v>44872</v>
      </c>
      <c r="C804" s="1" t="n">
        <v>45474</v>
      </c>
      <c r="D804" t="inlineStr">
        <is>
          <t>UPPSALA LÄN</t>
        </is>
      </c>
      <c r="E804" t="inlineStr">
        <is>
          <t>UPPSALA</t>
        </is>
      </c>
      <c r="G804" t="n">
        <v>8.9</v>
      </c>
      <c r="H804" t="n">
        <v>0</v>
      </c>
      <c r="I804" t="n">
        <v>0</v>
      </c>
      <c r="J804" t="n">
        <v>0</v>
      </c>
      <c r="K804" t="n">
        <v>0</v>
      </c>
      <c r="L804" t="n">
        <v>0</v>
      </c>
      <c r="M804" t="n">
        <v>0</v>
      </c>
      <c r="N804" t="n">
        <v>0</v>
      </c>
      <c r="O804" t="n">
        <v>0</v>
      </c>
      <c r="P804" t="n">
        <v>0</v>
      </c>
      <c r="Q804" t="n">
        <v>0</v>
      </c>
      <c r="R804" s="2" t="inlineStr"/>
    </row>
    <row r="805" ht="15" customHeight="1">
      <c r="A805" t="inlineStr">
        <is>
          <t>A 51899-2022</t>
        </is>
      </c>
      <c r="B805" s="1" t="n">
        <v>44872</v>
      </c>
      <c r="C805" s="1" t="n">
        <v>45474</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54715-2022</t>
        </is>
      </c>
      <c r="B806" s="1" t="n">
        <v>44883</v>
      </c>
      <c r="C806" s="1" t="n">
        <v>45474</v>
      </c>
      <c r="D806" t="inlineStr">
        <is>
          <t>UPPSALA LÄN</t>
        </is>
      </c>
      <c r="E806" t="inlineStr">
        <is>
          <t>UPPSALA</t>
        </is>
      </c>
      <c r="F806" t="inlineStr">
        <is>
          <t>Övriga Aktiebolag</t>
        </is>
      </c>
      <c r="G806" t="n">
        <v>9.5</v>
      </c>
      <c r="H806" t="n">
        <v>0</v>
      </c>
      <c r="I806" t="n">
        <v>0</v>
      </c>
      <c r="J806" t="n">
        <v>0</v>
      </c>
      <c r="K806" t="n">
        <v>0</v>
      </c>
      <c r="L806" t="n">
        <v>0</v>
      </c>
      <c r="M806" t="n">
        <v>0</v>
      </c>
      <c r="N806" t="n">
        <v>0</v>
      </c>
      <c r="O806" t="n">
        <v>0</v>
      </c>
      <c r="P806" t="n">
        <v>0</v>
      </c>
      <c r="Q806" t="n">
        <v>0</v>
      </c>
      <c r="R806" s="2" t="inlineStr"/>
    </row>
    <row r="807" ht="15" customHeight="1">
      <c r="A807" t="inlineStr">
        <is>
          <t>A 54732-2022</t>
        </is>
      </c>
      <c r="B807" s="1" t="n">
        <v>44883</v>
      </c>
      <c r="C807" s="1" t="n">
        <v>45474</v>
      </c>
      <c r="D807" t="inlineStr">
        <is>
          <t>UPPSALA LÄN</t>
        </is>
      </c>
      <c r="E807" t="inlineStr">
        <is>
          <t>UPPSALA</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54813-2022</t>
        </is>
      </c>
      <c r="B808" s="1" t="n">
        <v>44883</v>
      </c>
      <c r="C808" s="1" t="n">
        <v>45474</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55021-2022</t>
        </is>
      </c>
      <c r="B809" s="1" t="n">
        <v>44886</v>
      </c>
      <c r="C809" s="1" t="n">
        <v>45474</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55040-2022</t>
        </is>
      </c>
      <c r="B810" s="1" t="n">
        <v>44886</v>
      </c>
      <c r="C810" s="1" t="n">
        <v>45474</v>
      </c>
      <c r="D810" t="inlineStr">
        <is>
          <t>UPPSALA LÄN</t>
        </is>
      </c>
      <c r="E810" t="inlineStr">
        <is>
          <t>UPPSALA</t>
        </is>
      </c>
      <c r="F810" t="inlineStr">
        <is>
          <t>Sveaskog</t>
        </is>
      </c>
      <c r="G810" t="n">
        <v>5.3</v>
      </c>
      <c r="H810" t="n">
        <v>0</v>
      </c>
      <c r="I810" t="n">
        <v>0</v>
      </c>
      <c r="J810" t="n">
        <v>0</v>
      </c>
      <c r="K810" t="n">
        <v>0</v>
      </c>
      <c r="L810" t="n">
        <v>0</v>
      </c>
      <c r="M810" t="n">
        <v>0</v>
      </c>
      <c r="N810" t="n">
        <v>0</v>
      </c>
      <c r="O810" t="n">
        <v>0</v>
      </c>
      <c r="P810" t="n">
        <v>0</v>
      </c>
      <c r="Q810" t="n">
        <v>0</v>
      </c>
      <c r="R810" s="2" t="inlineStr"/>
    </row>
    <row r="811" ht="15" customHeight="1">
      <c r="A811" t="inlineStr">
        <is>
          <t>A 55073-2022</t>
        </is>
      </c>
      <c r="B811" s="1" t="n">
        <v>44886</v>
      </c>
      <c r="C811" s="1" t="n">
        <v>45474</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55066-2022</t>
        </is>
      </c>
      <c r="B812" s="1" t="n">
        <v>44886</v>
      </c>
      <c r="C812" s="1" t="n">
        <v>45474</v>
      </c>
      <c r="D812" t="inlineStr">
        <is>
          <t>UPPSALA LÄN</t>
        </is>
      </c>
      <c r="E812" t="inlineStr">
        <is>
          <t>UPPSALA</t>
        </is>
      </c>
      <c r="G812" t="n">
        <v>0.4</v>
      </c>
      <c r="H812" t="n">
        <v>0</v>
      </c>
      <c r="I812" t="n">
        <v>0</v>
      </c>
      <c r="J812" t="n">
        <v>0</v>
      </c>
      <c r="K812" t="n">
        <v>0</v>
      </c>
      <c r="L812" t="n">
        <v>0</v>
      </c>
      <c r="M812" t="n">
        <v>0</v>
      </c>
      <c r="N812" t="n">
        <v>0</v>
      </c>
      <c r="O812" t="n">
        <v>0</v>
      </c>
      <c r="P812" t="n">
        <v>0</v>
      </c>
      <c r="Q812" t="n">
        <v>0</v>
      </c>
      <c r="R812" s="2" t="inlineStr"/>
    </row>
    <row r="813" ht="15" customHeight="1">
      <c r="A813" t="inlineStr">
        <is>
          <t>A 55401-2022</t>
        </is>
      </c>
      <c r="B813" s="1" t="n">
        <v>44887</v>
      </c>
      <c r="C813" s="1" t="n">
        <v>45474</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55862-2022</t>
        </is>
      </c>
      <c r="B814" s="1" t="n">
        <v>44888</v>
      </c>
      <c r="C814" s="1" t="n">
        <v>45474</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56679-2022</t>
        </is>
      </c>
      <c r="B815" s="1" t="n">
        <v>44893</v>
      </c>
      <c r="C815" s="1" t="n">
        <v>45474</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56889-2022</t>
        </is>
      </c>
      <c r="B816" s="1" t="n">
        <v>44894</v>
      </c>
      <c r="C816" s="1" t="n">
        <v>45474</v>
      </c>
      <c r="D816" t="inlineStr">
        <is>
          <t>UPPSALA LÄN</t>
        </is>
      </c>
      <c r="E816" t="inlineStr">
        <is>
          <t>UPPSALA</t>
        </is>
      </c>
      <c r="F816" t="inlineStr">
        <is>
          <t>Övriga Aktiebolag</t>
        </is>
      </c>
      <c r="G816" t="n">
        <v>21.6</v>
      </c>
      <c r="H816" t="n">
        <v>0</v>
      </c>
      <c r="I816" t="n">
        <v>0</v>
      </c>
      <c r="J816" t="n">
        <v>0</v>
      </c>
      <c r="K816" t="n">
        <v>0</v>
      </c>
      <c r="L816" t="n">
        <v>0</v>
      </c>
      <c r="M816" t="n">
        <v>0</v>
      </c>
      <c r="N816" t="n">
        <v>0</v>
      </c>
      <c r="O816" t="n">
        <v>0</v>
      </c>
      <c r="P816" t="n">
        <v>0</v>
      </c>
      <c r="Q816" t="n">
        <v>0</v>
      </c>
      <c r="R816" s="2" t="inlineStr"/>
    </row>
    <row r="817" ht="15" customHeight="1">
      <c r="A817" t="inlineStr">
        <is>
          <t>A 56795-2022</t>
        </is>
      </c>
      <c r="B817" s="1" t="n">
        <v>44894</v>
      </c>
      <c r="C817" s="1" t="n">
        <v>45474</v>
      </c>
      <c r="D817" t="inlineStr">
        <is>
          <t>UPPSALA LÄN</t>
        </is>
      </c>
      <c r="E817" t="inlineStr">
        <is>
          <t>UPPSALA</t>
        </is>
      </c>
      <c r="F817" t="inlineStr">
        <is>
          <t>Holmen skog AB</t>
        </is>
      </c>
      <c r="G817" t="n">
        <v>4.1</v>
      </c>
      <c r="H817" t="n">
        <v>0</v>
      </c>
      <c r="I817" t="n">
        <v>0</v>
      </c>
      <c r="J817" t="n">
        <v>0</v>
      </c>
      <c r="K817" t="n">
        <v>0</v>
      </c>
      <c r="L817" t="n">
        <v>0</v>
      </c>
      <c r="M817" t="n">
        <v>0</v>
      </c>
      <c r="N817" t="n">
        <v>0</v>
      </c>
      <c r="O817" t="n">
        <v>0</v>
      </c>
      <c r="P817" t="n">
        <v>0</v>
      </c>
      <c r="Q817" t="n">
        <v>0</v>
      </c>
      <c r="R817" s="2" t="inlineStr"/>
    </row>
    <row r="818" ht="15" customHeight="1">
      <c r="A818" t="inlineStr">
        <is>
          <t>A 56779-2022</t>
        </is>
      </c>
      <c r="B818" s="1" t="n">
        <v>44894</v>
      </c>
      <c r="C818" s="1" t="n">
        <v>45474</v>
      </c>
      <c r="D818" t="inlineStr">
        <is>
          <t>UPPSALA LÄN</t>
        </is>
      </c>
      <c r="E818" t="inlineStr">
        <is>
          <t>UPPSALA</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57495-2022</t>
        </is>
      </c>
      <c r="B819" s="1" t="n">
        <v>44896</v>
      </c>
      <c r="C819" s="1" t="n">
        <v>45474</v>
      </c>
      <c r="D819" t="inlineStr">
        <is>
          <t>UPPSALA LÄN</t>
        </is>
      </c>
      <c r="E819" t="inlineStr">
        <is>
          <t>UPPSALA</t>
        </is>
      </c>
      <c r="G819" t="n">
        <v>7</v>
      </c>
      <c r="H819" t="n">
        <v>0</v>
      </c>
      <c r="I819" t="n">
        <v>0</v>
      </c>
      <c r="J819" t="n">
        <v>0</v>
      </c>
      <c r="K819" t="n">
        <v>0</v>
      </c>
      <c r="L819" t="n">
        <v>0</v>
      </c>
      <c r="M819" t="n">
        <v>0</v>
      </c>
      <c r="N819" t="n">
        <v>0</v>
      </c>
      <c r="O819" t="n">
        <v>0</v>
      </c>
      <c r="P819" t="n">
        <v>0</v>
      </c>
      <c r="Q819" t="n">
        <v>0</v>
      </c>
      <c r="R819" s="2" t="inlineStr"/>
    </row>
    <row r="820" ht="15" customHeight="1">
      <c r="A820" t="inlineStr">
        <is>
          <t>A 57714-2022</t>
        </is>
      </c>
      <c r="B820" s="1" t="n">
        <v>44897</v>
      </c>
      <c r="C820" s="1" t="n">
        <v>45474</v>
      </c>
      <c r="D820" t="inlineStr">
        <is>
          <t>UPPSALA LÄN</t>
        </is>
      </c>
      <c r="E820" t="inlineStr">
        <is>
          <t>UPPSALA</t>
        </is>
      </c>
      <c r="G820" t="n">
        <v>8.9</v>
      </c>
      <c r="H820" t="n">
        <v>0</v>
      </c>
      <c r="I820" t="n">
        <v>0</v>
      </c>
      <c r="J820" t="n">
        <v>0</v>
      </c>
      <c r="K820" t="n">
        <v>0</v>
      </c>
      <c r="L820" t="n">
        <v>0</v>
      </c>
      <c r="M820" t="n">
        <v>0</v>
      </c>
      <c r="N820" t="n">
        <v>0</v>
      </c>
      <c r="O820" t="n">
        <v>0</v>
      </c>
      <c r="P820" t="n">
        <v>0</v>
      </c>
      <c r="Q820" t="n">
        <v>0</v>
      </c>
      <c r="R820" s="2" t="inlineStr"/>
    </row>
    <row r="821" ht="15" customHeight="1">
      <c r="A821" t="inlineStr">
        <is>
          <t>A 57809-2022</t>
        </is>
      </c>
      <c r="B821" s="1" t="n">
        <v>44897</v>
      </c>
      <c r="C821" s="1" t="n">
        <v>45474</v>
      </c>
      <c r="D821" t="inlineStr">
        <is>
          <t>UPPSALA LÄN</t>
        </is>
      </c>
      <c r="E821" t="inlineStr">
        <is>
          <t>UPPSALA</t>
        </is>
      </c>
      <c r="G821" t="n">
        <v>8.9</v>
      </c>
      <c r="H821" t="n">
        <v>0</v>
      </c>
      <c r="I821" t="n">
        <v>0</v>
      </c>
      <c r="J821" t="n">
        <v>0</v>
      </c>
      <c r="K821" t="n">
        <v>0</v>
      </c>
      <c r="L821" t="n">
        <v>0</v>
      </c>
      <c r="M821" t="n">
        <v>0</v>
      </c>
      <c r="N821" t="n">
        <v>0</v>
      </c>
      <c r="O821" t="n">
        <v>0</v>
      </c>
      <c r="P821" t="n">
        <v>0</v>
      </c>
      <c r="Q821" t="n">
        <v>0</v>
      </c>
      <c r="R821" s="2" t="inlineStr"/>
    </row>
    <row r="822" ht="15" customHeight="1">
      <c r="A822" t="inlineStr">
        <is>
          <t>A 58023-2022</t>
        </is>
      </c>
      <c r="B822" s="1" t="n">
        <v>44900</v>
      </c>
      <c r="C822" s="1" t="n">
        <v>45474</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58096-2022</t>
        </is>
      </c>
      <c r="B823" s="1" t="n">
        <v>44900</v>
      </c>
      <c r="C823" s="1" t="n">
        <v>45474</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58243-2022</t>
        </is>
      </c>
      <c r="B824" s="1" t="n">
        <v>44901</v>
      </c>
      <c r="C824" s="1" t="n">
        <v>45474</v>
      </c>
      <c r="D824" t="inlineStr">
        <is>
          <t>UPPSALA LÄN</t>
        </is>
      </c>
      <c r="E824" t="inlineStr">
        <is>
          <t>UPPSALA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59133-2022</t>
        </is>
      </c>
      <c r="B825" s="1" t="n">
        <v>44904</v>
      </c>
      <c r="C825" s="1" t="n">
        <v>45474</v>
      </c>
      <c r="D825" t="inlineStr">
        <is>
          <t>UPPSALA LÄN</t>
        </is>
      </c>
      <c r="E825" t="inlineStr">
        <is>
          <t>UPPSALA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59730-2022</t>
        </is>
      </c>
      <c r="B826" s="1" t="n">
        <v>44908</v>
      </c>
      <c r="C826" s="1" t="n">
        <v>45474</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59719-2022</t>
        </is>
      </c>
      <c r="B827" s="1" t="n">
        <v>44908</v>
      </c>
      <c r="C827" s="1" t="n">
        <v>45474</v>
      </c>
      <c r="D827" t="inlineStr">
        <is>
          <t>UPPSALA LÄN</t>
        </is>
      </c>
      <c r="E827" t="inlineStr">
        <is>
          <t>UPPSALA</t>
        </is>
      </c>
      <c r="G827" t="n">
        <v>3.6</v>
      </c>
      <c r="H827" t="n">
        <v>0</v>
      </c>
      <c r="I827" t="n">
        <v>0</v>
      </c>
      <c r="J827" t="n">
        <v>0</v>
      </c>
      <c r="K827" t="n">
        <v>0</v>
      </c>
      <c r="L827" t="n">
        <v>0</v>
      </c>
      <c r="M827" t="n">
        <v>0</v>
      </c>
      <c r="N827" t="n">
        <v>0</v>
      </c>
      <c r="O827" t="n">
        <v>0</v>
      </c>
      <c r="P827" t="n">
        <v>0</v>
      </c>
      <c r="Q827" t="n">
        <v>0</v>
      </c>
      <c r="R827" s="2" t="inlineStr"/>
    </row>
    <row r="828" ht="15" customHeight="1">
      <c r="A828" t="inlineStr">
        <is>
          <t>A 59727-2022</t>
        </is>
      </c>
      <c r="B828" s="1" t="n">
        <v>44908</v>
      </c>
      <c r="C828" s="1" t="n">
        <v>45474</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60056-2022</t>
        </is>
      </c>
      <c r="B829" s="1" t="n">
        <v>44909</v>
      </c>
      <c r="C829" s="1" t="n">
        <v>45474</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60055-2022</t>
        </is>
      </c>
      <c r="B830" s="1" t="n">
        <v>44909</v>
      </c>
      <c r="C830" s="1" t="n">
        <v>45474</v>
      </c>
      <c r="D830" t="inlineStr">
        <is>
          <t>UPPSALA LÄN</t>
        </is>
      </c>
      <c r="E830" t="inlineStr">
        <is>
          <t>UPPSALA</t>
        </is>
      </c>
      <c r="G830" t="n">
        <v>11.4</v>
      </c>
      <c r="H830" t="n">
        <v>0</v>
      </c>
      <c r="I830" t="n">
        <v>0</v>
      </c>
      <c r="J830" t="n">
        <v>0</v>
      </c>
      <c r="K830" t="n">
        <v>0</v>
      </c>
      <c r="L830" t="n">
        <v>0</v>
      </c>
      <c r="M830" t="n">
        <v>0</v>
      </c>
      <c r="N830" t="n">
        <v>0</v>
      </c>
      <c r="O830" t="n">
        <v>0</v>
      </c>
      <c r="P830" t="n">
        <v>0</v>
      </c>
      <c r="Q830" t="n">
        <v>0</v>
      </c>
      <c r="R830" s="2" t="inlineStr"/>
    </row>
    <row r="831" ht="15" customHeight="1">
      <c r="A831" t="inlineStr">
        <is>
          <t>A 60047-2022</t>
        </is>
      </c>
      <c r="B831" s="1" t="n">
        <v>44909</v>
      </c>
      <c r="C831" s="1" t="n">
        <v>45474</v>
      </c>
      <c r="D831" t="inlineStr">
        <is>
          <t>UPPSALA LÄN</t>
        </is>
      </c>
      <c r="E831" t="inlineStr">
        <is>
          <t>UPPSALA</t>
        </is>
      </c>
      <c r="F831" t="inlineStr">
        <is>
          <t>Kyrkan</t>
        </is>
      </c>
      <c r="G831" t="n">
        <v>0.7</v>
      </c>
      <c r="H831" t="n">
        <v>0</v>
      </c>
      <c r="I831" t="n">
        <v>0</v>
      </c>
      <c r="J831" t="n">
        <v>0</v>
      </c>
      <c r="K831" t="n">
        <v>0</v>
      </c>
      <c r="L831" t="n">
        <v>0</v>
      </c>
      <c r="M831" t="n">
        <v>0</v>
      </c>
      <c r="N831" t="n">
        <v>0</v>
      </c>
      <c r="O831" t="n">
        <v>0</v>
      </c>
      <c r="P831" t="n">
        <v>0</v>
      </c>
      <c r="Q831" t="n">
        <v>0</v>
      </c>
      <c r="R831" s="2" t="inlineStr"/>
    </row>
    <row r="832" ht="15" customHeight="1">
      <c r="A832" t="inlineStr">
        <is>
          <t>A 60702-2022</t>
        </is>
      </c>
      <c r="B832" s="1" t="n">
        <v>44912</v>
      </c>
      <c r="C832" s="1" t="n">
        <v>45474</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60701-2022</t>
        </is>
      </c>
      <c r="B833" s="1" t="n">
        <v>44912</v>
      </c>
      <c r="C833" s="1" t="n">
        <v>45474</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60984-2022</t>
        </is>
      </c>
      <c r="B834" s="1" t="n">
        <v>44914</v>
      </c>
      <c r="C834" s="1" t="n">
        <v>45474</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60986-2022</t>
        </is>
      </c>
      <c r="B835" s="1" t="n">
        <v>44914</v>
      </c>
      <c r="C835" s="1" t="n">
        <v>45474</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60988-2022</t>
        </is>
      </c>
      <c r="B836" s="1" t="n">
        <v>44914</v>
      </c>
      <c r="C836" s="1" t="n">
        <v>45474</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61526-2022</t>
        </is>
      </c>
      <c r="B837" s="1" t="n">
        <v>44916</v>
      </c>
      <c r="C837" s="1" t="n">
        <v>45474</v>
      </c>
      <c r="D837" t="inlineStr">
        <is>
          <t>UPPSALA LÄN</t>
        </is>
      </c>
      <c r="E837" t="inlineStr">
        <is>
          <t>UPPSALA</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61578-2022</t>
        </is>
      </c>
      <c r="B838" s="1" t="n">
        <v>44916</v>
      </c>
      <c r="C838" s="1" t="n">
        <v>45474</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62311-2022</t>
        </is>
      </c>
      <c r="B839" s="1" t="n">
        <v>44916</v>
      </c>
      <c r="C839" s="1" t="n">
        <v>45474</v>
      </c>
      <c r="D839" t="inlineStr">
        <is>
          <t>UPPSALA LÄN</t>
        </is>
      </c>
      <c r="E839" t="inlineStr">
        <is>
          <t>UPPSALA</t>
        </is>
      </c>
      <c r="G839" t="n">
        <v>7.6</v>
      </c>
      <c r="H839" t="n">
        <v>0</v>
      </c>
      <c r="I839" t="n">
        <v>0</v>
      </c>
      <c r="J839" t="n">
        <v>0</v>
      </c>
      <c r="K839" t="n">
        <v>0</v>
      </c>
      <c r="L839" t="n">
        <v>0</v>
      </c>
      <c r="M839" t="n">
        <v>0</v>
      </c>
      <c r="N839" t="n">
        <v>0</v>
      </c>
      <c r="O839" t="n">
        <v>0</v>
      </c>
      <c r="P839" t="n">
        <v>0</v>
      </c>
      <c r="Q839" t="n">
        <v>0</v>
      </c>
      <c r="R839" s="2" t="inlineStr"/>
    </row>
    <row r="840" ht="15" customHeight="1">
      <c r="A840" t="inlineStr">
        <is>
          <t>A 111-2023</t>
        </is>
      </c>
      <c r="B840" s="1" t="n">
        <v>44928</v>
      </c>
      <c r="C840" s="1" t="n">
        <v>45474</v>
      </c>
      <c r="D840" t="inlineStr">
        <is>
          <t>UPPSALA LÄN</t>
        </is>
      </c>
      <c r="E840" t="inlineStr">
        <is>
          <t>UPPSALA</t>
        </is>
      </c>
      <c r="F840" t="inlineStr">
        <is>
          <t>Kommuner</t>
        </is>
      </c>
      <c r="G840" t="n">
        <v>4.8</v>
      </c>
      <c r="H840" t="n">
        <v>0</v>
      </c>
      <c r="I840" t="n">
        <v>0</v>
      </c>
      <c r="J840" t="n">
        <v>0</v>
      </c>
      <c r="K840" t="n">
        <v>0</v>
      </c>
      <c r="L840" t="n">
        <v>0</v>
      </c>
      <c r="M840" t="n">
        <v>0</v>
      </c>
      <c r="N840" t="n">
        <v>0</v>
      </c>
      <c r="O840" t="n">
        <v>0</v>
      </c>
      <c r="P840" t="n">
        <v>0</v>
      </c>
      <c r="Q840" t="n">
        <v>0</v>
      </c>
      <c r="R840" s="2" t="inlineStr"/>
    </row>
    <row r="841" ht="15" customHeight="1">
      <c r="A841" t="inlineStr">
        <is>
          <t>A 179-2023</t>
        </is>
      </c>
      <c r="B841" s="1" t="n">
        <v>44928</v>
      </c>
      <c r="C841" s="1" t="n">
        <v>45474</v>
      </c>
      <c r="D841" t="inlineStr">
        <is>
          <t>UPPSALA LÄN</t>
        </is>
      </c>
      <c r="E841" t="inlineStr">
        <is>
          <t>UPPSALA</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367-2023</t>
        </is>
      </c>
      <c r="B842" s="1" t="n">
        <v>44929</v>
      </c>
      <c r="C842" s="1" t="n">
        <v>45474</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554-2023</t>
        </is>
      </c>
      <c r="B843" s="1" t="n">
        <v>44930</v>
      </c>
      <c r="C843" s="1" t="n">
        <v>45474</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686-2023</t>
        </is>
      </c>
      <c r="B844" s="1" t="n">
        <v>44930</v>
      </c>
      <c r="C844" s="1" t="n">
        <v>45474</v>
      </c>
      <c r="D844" t="inlineStr">
        <is>
          <t>UPPSALA LÄN</t>
        </is>
      </c>
      <c r="E844" t="inlineStr">
        <is>
          <t>UPPSALA</t>
        </is>
      </c>
      <c r="F844" t="inlineStr">
        <is>
          <t>Bergvik skog öst AB</t>
        </is>
      </c>
      <c r="G844" t="n">
        <v>4.6</v>
      </c>
      <c r="H844" t="n">
        <v>0</v>
      </c>
      <c r="I844" t="n">
        <v>0</v>
      </c>
      <c r="J844" t="n">
        <v>0</v>
      </c>
      <c r="K844" t="n">
        <v>0</v>
      </c>
      <c r="L844" t="n">
        <v>0</v>
      </c>
      <c r="M844" t="n">
        <v>0</v>
      </c>
      <c r="N844" t="n">
        <v>0</v>
      </c>
      <c r="O844" t="n">
        <v>0</v>
      </c>
      <c r="P844" t="n">
        <v>0</v>
      </c>
      <c r="Q844" t="n">
        <v>0</v>
      </c>
      <c r="R844" s="2" t="inlineStr"/>
    </row>
    <row r="845" ht="15" customHeight="1">
      <c r="A845" t="inlineStr">
        <is>
          <t>A 1032-2023</t>
        </is>
      </c>
      <c r="B845" s="1" t="n">
        <v>44935</v>
      </c>
      <c r="C845" s="1" t="n">
        <v>45474</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1357-2023</t>
        </is>
      </c>
      <c r="B846" s="1" t="n">
        <v>44936</v>
      </c>
      <c r="C846" s="1" t="n">
        <v>45474</v>
      </c>
      <c r="D846" t="inlineStr">
        <is>
          <t>UPPSALA LÄN</t>
        </is>
      </c>
      <c r="E846" t="inlineStr">
        <is>
          <t>UPPSALA</t>
        </is>
      </c>
      <c r="F846" t="inlineStr">
        <is>
          <t>Bergvik skog öst AB</t>
        </is>
      </c>
      <c r="G846" t="n">
        <v>1.9</v>
      </c>
      <c r="H846" t="n">
        <v>0</v>
      </c>
      <c r="I846" t="n">
        <v>0</v>
      </c>
      <c r="J846" t="n">
        <v>0</v>
      </c>
      <c r="K846" t="n">
        <v>0</v>
      </c>
      <c r="L846" t="n">
        <v>0</v>
      </c>
      <c r="M846" t="n">
        <v>0</v>
      </c>
      <c r="N846" t="n">
        <v>0</v>
      </c>
      <c r="O846" t="n">
        <v>0</v>
      </c>
      <c r="P846" t="n">
        <v>0</v>
      </c>
      <c r="Q846" t="n">
        <v>0</v>
      </c>
      <c r="R846" s="2" t="inlineStr"/>
    </row>
    <row r="847" ht="15" customHeight="1">
      <c r="A847" t="inlineStr">
        <is>
          <t>A 2186-2023</t>
        </is>
      </c>
      <c r="B847" s="1" t="n">
        <v>44942</v>
      </c>
      <c r="C847" s="1" t="n">
        <v>45474</v>
      </c>
      <c r="D847" t="inlineStr">
        <is>
          <t>UPPSALA LÄN</t>
        </is>
      </c>
      <c r="E847" t="inlineStr">
        <is>
          <t>UPPSALA</t>
        </is>
      </c>
      <c r="F847" t="inlineStr">
        <is>
          <t>Bergvik skog öst AB</t>
        </is>
      </c>
      <c r="G847" t="n">
        <v>2.5</v>
      </c>
      <c r="H847" t="n">
        <v>0</v>
      </c>
      <c r="I847" t="n">
        <v>0</v>
      </c>
      <c r="J847" t="n">
        <v>0</v>
      </c>
      <c r="K847" t="n">
        <v>0</v>
      </c>
      <c r="L847" t="n">
        <v>0</v>
      </c>
      <c r="M847" t="n">
        <v>0</v>
      </c>
      <c r="N847" t="n">
        <v>0</v>
      </c>
      <c r="O847" t="n">
        <v>0</v>
      </c>
      <c r="P847" t="n">
        <v>0</v>
      </c>
      <c r="Q847" t="n">
        <v>0</v>
      </c>
      <c r="R847" s="2" t="inlineStr"/>
    </row>
    <row r="848" ht="15" customHeight="1">
      <c r="A848" t="inlineStr">
        <is>
          <t>A 2622-2023</t>
        </is>
      </c>
      <c r="B848" s="1" t="n">
        <v>44944</v>
      </c>
      <c r="C848" s="1" t="n">
        <v>45474</v>
      </c>
      <c r="D848" t="inlineStr">
        <is>
          <t>UPPSALA LÄN</t>
        </is>
      </c>
      <c r="E848" t="inlineStr">
        <is>
          <t>UPPSALA</t>
        </is>
      </c>
      <c r="F848" t="inlineStr">
        <is>
          <t>Kommuner</t>
        </is>
      </c>
      <c r="G848" t="n">
        <v>1.3</v>
      </c>
      <c r="H848" t="n">
        <v>0</v>
      </c>
      <c r="I848" t="n">
        <v>0</v>
      </c>
      <c r="J848" t="n">
        <v>0</v>
      </c>
      <c r="K848" t="n">
        <v>0</v>
      </c>
      <c r="L848" t="n">
        <v>0</v>
      </c>
      <c r="M848" t="n">
        <v>0</v>
      </c>
      <c r="N848" t="n">
        <v>0</v>
      </c>
      <c r="O848" t="n">
        <v>0</v>
      </c>
      <c r="P848" t="n">
        <v>0</v>
      </c>
      <c r="Q848" t="n">
        <v>0</v>
      </c>
      <c r="R848" s="2" t="inlineStr"/>
    </row>
    <row r="849" ht="15" customHeight="1">
      <c r="A849" t="inlineStr">
        <is>
          <t>A 2624-2023</t>
        </is>
      </c>
      <c r="B849" s="1" t="n">
        <v>44944</v>
      </c>
      <c r="C849" s="1" t="n">
        <v>45474</v>
      </c>
      <c r="D849" t="inlineStr">
        <is>
          <t>UPPSALA LÄN</t>
        </is>
      </c>
      <c r="E849" t="inlineStr">
        <is>
          <t>UPPSALA</t>
        </is>
      </c>
      <c r="F849" t="inlineStr">
        <is>
          <t>Kommuner</t>
        </is>
      </c>
      <c r="G849" t="n">
        <v>2.9</v>
      </c>
      <c r="H849" t="n">
        <v>0</v>
      </c>
      <c r="I849" t="n">
        <v>0</v>
      </c>
      <c r="J849" t="n">
        <v>0</v>
      </c>
      <c r="K849" t="n">
        <v>0</v>
      </c>
      <c r="L849" t="n">
        <v>0</v>
      </c>
      <c r="M849" t="n">
        <v>0</v>
      </c>
      <c r="N849" t="n">
        <v>0</v>
      </c>
      <c r="O849" t="n">
        <v>0</v>
      </c>
      <c r="P849" t="n">
        <v>0</v>
      </c>
      <c r="Q849" t="n">
        <v>0</v>
      </c>
      <c r="R849" s="2" t="inlineStr"/>
    </row>
    <row r="850" ht="15" customHeight="1">
      <c r="A850" t="inlineStr">
        <is>
          <t>A 5362-2023</t>
        </is>
      </c>
      <c r="B850" s="1" t="n">
        <v>44944</v>
      </c>
      <c r="C850" s="1" t="n">
        <v>45474</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3214-2023</t>
        </is>
      </c>
      <c r="B851" s="1" t="n">
        <v>44944</v>
      </c>
      <c r="C851" s="1" t="n">
        <v>45474</v>
      </c>
      <c r="D851" t="inlineStr">
        <is>
          <t>UPPSALA LÄN</t>
        </is>
      </c>
      <c r="E851" t="inlineStr">
        <is>
          <t>UPPSALA</t>
        </is>
      </c>
      <c r="G851" t="n">
        <v>4.1</v>
      </c>
      <c r="H851" t="n">
        <v>0</v>
      </c>
      <c r="I851" t="n">
        <v>0</v>
      </c>
      <c r="J851" t="n">
        <v>0</v>
      </c>
      <c r="K851" t="n">
        <v>0</v>
      </c>
      <c r="L851" t="n">
        <v>0</v>
      </c>
      <c r="M851" t="n">
        <v>0</v>
      </c>
      <c r="N851" t="n">
        <v>0</v>
      </c>
      <c r="O851" t="n">
        <v>0</v>
      </c>
      <c r="P851" t="n">
        <v>0</v>
      </c>
      <c r="Q851" t="n">
        <v>0</v>
      </c>
      <c r="R851" s="2" t="inlineStr"/>
    </row>
    <row r="852" ht="15" customHeight="1">
      <c r="A852" t="inlineStr">
        <is>
          <t>A 5374-2023</t>
        </is>
      </c>
      <c r="B852" s="1" t="n">
        <v>44944</v>
      </c>
      <c r="C852" s="1" t="n">
        <v>45474</v>
      </c>
      <c r="D852" t="inlineStr">
        <is>
          <t>UPPSALA LÄN</t>
        </is>
      </c>
      <c r="E852" t="inlineStr">
        <is>
          <t>UPPSALA</t>
        </is>
      </c>
      <c r="G852" t="n">
        <v>3.5</v>
      </c>
      <c r="H852" t="n">
        <v>0</v>
      </c>
      <c r="I852" t="n">
        <v>0</v>
      </c>
      <c r="J852" t="n">
        <v>0</v>
      </c>
      <c r="K852" t="n">
        <v>0</v>
      </c>
      <c r="L852" t="n">
        <v>0</v>
      </c>
      <c r="M852" t="n">
        <v>0</v>
      </c>
      <c r="N852" t="n">
        <v>0</v>
      </c>
      <c r="O852" t="n">
        <v>0</v>
      </c>
      <c r="P852" t="n">
        <v>0</v>
      </c>
      <c r="Q852" t="n">
        <v>0</v>
      </c>
      <c r="R852" s="2" t="inlineStr"/>
    </row>
    <row r="853" ht="15" customHeight="1">
      <c r="A853" t="inlineStr">
        <is>
          <t>A 2942-2023</t>
        </is>
      </c>
      <c r="B853" s="1" t="n">
        <v>44945</v>
      </c>
      <c r="C853" s="1" t="n">
        <v>45474</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3040-2023</t>
        </is>
      </c>
      <c r="B854" s="1" t="n">
        <v>44946</v>
      </c>
      <c r="C854" s="1" t="n">
        <v>45474</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3089-2023</t>
        </is>
      </c>
      <c r="B855" s="1" t="n">
        <v>44946</v>
      </c>
      <c r="C855" s="1" t="n">
        <v>45474</v>
      </c>
      <c r="D855" t="inlineStr">
        <is>
          <t>UPPSALA LÄN</t>
        </is>
      </c>
      <c r="E855" t="inlineStr">
        <is>
          <t>UPPSALA</t>
        </is>
      </c>
      <c r="G855" t="n">
        <v>3.7</v>
      </c>
      <c r="H855" t="n">
        <v>0</v>
      </c>
      <c r="I855" t="n">
        <v>0</v>
      </c>
      <c r="J855" t="n">
        <v>0</v>
      </c>
      <c r="K855" t="n">
        <v>0</v>
      </c>
      <c r="L855" t="n">
        <v>0</v>
      </c>
      <c r="M855" t="n">
        <v>0</v>
      </c>
      <c r="N855" t="n">
        <v>0</v>
      </c>
      <c r="O855" t="n">
        <v>0</v>
      </c>
      <c r="P855" t="n">
        <v>0</v>
      </c>
      <c r="Q855" t="n">
        <v>0</v>
      </c>
      <c r="R855" s="2" t="inlineStr"/>
    </row>
    <row r="856" ht="15" customHeight="1">
      <c r="A856" t="inlineStr">
        <is>
          <t>A 3086-2023</t>
        </is>
      </c>
      <c r="B856" s="1" t="n">
        <v>44946</v>
      </c>
      <c r="C856" s="1" t="n">
        <v>45474</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3092-2023</t>
        </is>
      </c>
      <c r="B857" s="1" t="n">
        <v>44946</v>
      </c>
      <c r="C857" s="1" t="n">
        <v>45474</v>
      </c>
      <c r="D857" t="inlineStr">
        <is>
          <t>UPPSALA LÄN</t>
        </is>
      </c>
      <c r="E857" t="inlineStr">
        <is>
          <t>UPPSALA</t>
        </is>
      </c>
      <c r="G857" t="n">
        <v>2.7</v>
      </c>
      <c r="H857" t="n">
        <v>0</v>
      </c>
      <c r="I857" t="n">
        <v>0</v>
      </c>
      <c r="J857" t="n">
        <v>0</v>
      </c>
      <c r="K857" t="n">
        <v>0</v>
      </c>
      <c r="L857" t="n">
        <v>0</v>
      </c>
      <c r="M857" t="n">
        <v>0</v>
      </c>
      <c r="N857" t="n">
        <v>0</v>
      </c>
      <c r="O857" t="n">
        <v>0</v>
      </c>
      <c r="P857" t="n">
        <v>0</v>
      </c>
      <c r="Q857" t="n">
        <v>0</v>
      </c>
      <c r="R857" s="2" t="inlineStr"/>
    </row>
    <row r="858" ht="15" customHeight="1">
      <c r="A858" t="inlineStr">
        <is>
          <t>A 3343-2023</t>
        </is>
      </c>
      <c r="B858" s="1" t="n">
        <v>44949</v>
      </c>
      <c r="C858" s="1" t="n">
        <v>45474</v>
      </c>
      <c r="D858" t="inlineStr">
        <is>
          <t>UPPSALA LÄN</t>
        </is>
      </c>
      <c r="E858" t="inlineStr">
        <is>
          <t>UPPSALA</t>
        </is>
      </c>
      <c r="F858" t="inlineStr">
        <is>
          <t>Allmännings- och besparingsskogar</t>
        </is>
      </c>
      <c r="G858" t="n">
        <v>2.3</v>
      </c>
      <c r="H858" t="n">
        <v>0</v>
      </c>
      <c r="I858" t="n">
        <v>0</v>
      </c>
      <c r="J858" t="n">
        <v>0</v>
      </c>
      <c r="K858" t="n">
        <v>0</v>
      </c>
      <c r="L858" t="n">
        <v>0</v>
      </c>
      <c r="M858" t="n">
        <v>0</v>
      </c>
      <c r="N858" t="n">
        <v>0</v>
      </c>
      <c r="O858" t="n">
        <v>0</v>
      </c>
      <c r="P858" t="n">
        <v>0</v>
      </c>
      <c r="Q858" t="n">
        <v>0</v>
      </c>
      <c r="R858" s="2" t="inlineStr"/>
    </row>
    <row r="859" ht="15" customHeight="1">
      <c r="A859" t="inlineStr">
        <is>
          <t>A 3353-2023</t>
        </is>
      </c>
      <c r="B859" s="1" t="n">
        <v>44949</v>
      </c>
      <c r="C859" s="1" t="n">
        <v>45474</v>
      </c>
      <c r="D859" t="inlineStr">
        <is>
          <t>UPPSALA LÄN</t>
        </is>
      </c>
      <c r="E859" t="inlineStr">
        <is>
          <t>UPPSALA</t>
        </is>
      </c>
      <c r="G859" t="n">
        <v>3</v>
      </c>
      <c r="H859" t="n">
        <v>0</v>
      </c>
      <c r="I859" t="n">
        <v>0</v>
      </c>
      <c r="J859" t="n">
        <v>0</v>
      </c>
      <c r="K859" t="n">
        <v>0</v>
      </c>
      <c r="L859" t="n">
        <v>0</v>
      </c>
      <c r="M859" t="n">
        <v>0</v>
      </c>
      <c r="N859" t="n">
        <v>0</v>
      </c>
      <c r="O859" t="n">
        <v>0</v>
      </c>
      <c r="P859" t="n">
        <v>0</v>
      </c>
      <c r="Q859" t="n">
        <v>0</v>
      </c>
      <c r="R859" s="2" t="inlineStr"/>
    </row>
    <row r="860" ht="15" customHeight="1">
      <c r="A860" t="inlineStr">
        <is>
          <t>A 3661-2023</t>
        </is>
      </c>
      <c r="B860" s="1" t="n">
        <v>44950</v>
      </c>
      <c r="C860" s="1" t="n">
        <v>45474</v>
      </c>
      <c r="D860" t="inlineStr">
        <is>
          <t>UPPSALA LÄN</t>
        </is>
      </c>
      <c r="E860" t="inlineStr">
        <is>
          <t>UPPSALA</t>
        </is>
      </c>
      <c r="F860" t="inlineStr">
        <is>
          <t>Allmännings- och besparingsskogar</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3940-2023</t>
        </is>
      </c>
      <c r="B861" s="1" t="n">
        <v>44952</v>
      </c>
      <c r="C861" s="1" t="n">
        <v>45474</v>
      </c>
      <c r="D861" t="inlineStr">
        <is>
          <t>UPPSALA LÄN</t>
        </is>
      </c>
      <c r="E861" t="inlineStr">
        <is>
          <t>UPPSALA</t>
        </is>
      </c>
      <c r="F861" t="inlineStr">
        <is>
          <t>Bergvik skog öst AB</t>
        </is>
      </c>
      <c r="G861" t="n">
        <v>20.6</v>
      </c>
      <c r="H861" t="n">
        <v>0</v>
      </c>
      <c r="I861" t="n">
        <v>0</v>
      </c>
      <c r="J861" t="n">
        <v>0</v>
      </c>
      <c r="K861" t="n">
        <v>0</v>
      </c>
      <c r="L861" t="n">
        <v>0</v>
      </c>
      <c r="M861" t="n">
        <v>0</v>
      </c>
      <c r="N861" t="n">
        <v>0</v>
      </c>
      <c r="O861" t="n">
        <v>0</v>
      </c>
      <c r="P861" t="n">
        <v>0</v>
      </c>
      <c r="Q861" t="n">
        <v>0</v>
      </c>
      <c r="R861" s="2" t="inlineStr"/>
    </row>
    <row r="862" ht="15" customHeight="1">
      <c r="A862" t="inlineStr">
        <is>
          <t>A 3939-2023</t>
        </is>
      </c>
      <c r="B862" s="1" t="n">
        <v>44952</v>
      </c>
      <c r="C862" s="1" t="n">
        <v>45474</v>
      </c>
      <c r="D862" t="inlineStr">
        <is>
          <t>UPPSALA LÄN</t>
        </is>
      </c>
      <c r="E862" t="inlineStr">
        <is>
          <t>UPPSALA</t>
        </is>
      </c>
      <c r="F862" t="inlineStr">
        <is>
          <t>Bergvik skog öst AB</t>
        </is>
      </c>
      <c r="G862" t="n">
        <v>1.3</v>
      </c>
      <c r="H862" t="n">
        <v>0</v>
      </c>
      <c r="I862" t="n">
        <v>0</v>
      </c>
      <c r="J862" t="n">
        <v>0</v>
      </c>
      <c r="K862" t="n">
        <v>0</v>
      </c>
      <c r="L862" t="n">
        <v>0</v>
      </c>
      <c r="M862" t="n">
        <v>0</v>
      </c>
      <c r="N862" t="n">
        <v>0</v>
      </c>
      <c r="O862" t="n">
        <v>0</v>
      </c>
      <c r="P862" t="n">
        <v>0</v>
      </c>
      <c r="Q862" t="n">
        <v>0</v>
      </c>
      <c r="R862" s="2" t="inlineStr"/>
    </row>
    <row r="863" ht="15" customHeight="1">
      <c r="A863" t="inlineStr">
        <is>
          <t>A 5254-2023</t>
        </is>
      </c>
      <c r="B863" s="1" t="n">
        <v>44959</v>
      </c>
      <c r="C863" s="1" t="n">
        <v>45474</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5258-2023</t>
        </is>
      </c>
      <c r="B864" s="1" t="n">
        <v>44959</v>
      </c>
      <c r="C864" s="1" t="n">
        <v>45474</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5247-2023</t>
        </is>
      </c>
      <c r="B865" s="1" t="n">
        <v>44959</v>
      </c>
      <c r="C865" s="1" t="n">
        <v>45474</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5678-2023</t>
        </is>
      </c>
      <c r="B866" s="1" t="n">
        <v>44960</v>
      </c>
      <c r="C866" s="1" t="n">
        <v>45474</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5682-2023</t>
        </is>
      </c>
      <c r="B867" s="1" t="n">
        <v>44960</v>
      </c>
      <c r="C867" s="1" t="n">
        <v>45474</v>
      </c>
      <c r="D867" t="inlineStr">
        <is>
          <t>UPPSALA LÄN</t>
        </is>
      </c>
      <c r="E867" t="inlineStr">
        <is>
          <t>UPPSALA</t>
        </is>
      </c>
      <c r="F867" t="inlineStr">
        <is>
          <t>Allmännings- och besparingsskogar</t>
        </is>
      </c>
      <c r="G867" t="n">
        <v>14.2</v>
      </c>
      <c r="H867" t="n">
        <v>0</v>
      </c>
      <c r="I867" t="n">
        <v>0</v>
      </c>
      <c r="J867" t="n">
        <v>0</v>
      </c>
      <c r="K867" t="n">
        <v>0</v>
      </c>
      <c r="L867" t="n">
        <v>0</v>
      </c>
      <c r="M867" t="n">
        <v>0</v>
      </c>
      <c r="N867" t="n">
        <v>0</v>
      </c>
      <c r="O867" t="n">
        <v>0</v>
      </c>
      <c r="P867" t="n">
        <v>0</v>
      </c>
      <c r="Q867" t="n">
        <v>0</v>
      </c>
      <c r="R867" s="2" t="inlineStr"/>
    </row>
    <row r="868" ht="15" customHeight="1">
      <c r="A868" t="inlineStr">
        <is>
          <t>A 5663-2023</t>
        </is>
      </c>
      <c r="B868" s="1" t="n">
        <v>44960</v>
      </c>
      <c r="C868" s="1" t="n">
        <v>45474</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5669-2023</t>
        </is>
      </c>
      <c r="B869" s="1" t="n">
        <v>44960</v>
      </c>
      <c r="C869" s="1" t="n">
        <v>45474</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5675-2023</t>
        </is>
      </c>
      <c r="B870" s="1" t="n">
        <v>44960</v>
      </c>
      <c r="C870" s="1" t="n">
        <v>45474</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6213-2023</t>
        </is>
      </c>
      <c r="B871" s="1" t="n">
        <v>44964</v>
      </c>
      <c r="C871" s="1" t="n">
        <v>45474</v>
      </c>
      <c r="D871" t="inlineStr">
        <is>
          <t>UPPSALA LÄN</t>
        </is>
      </c>
      <c r="E871" t="inlineStr">
        <is>
          <t>UPPSALA</t>
        </is>
      </c>
      <c r="G871" t="n">
        <v>3.9</v>
      </c>
      <c r="H871" t="n">
        <v>0</v>
      </c>
      <c r="I871" t="n">
        <v>0</v>
      </c>
      <c r="J871" t="n">
        <v>0</v>
      </c>
      <c r="K871" t="n">
        <v>0</v>
      </c>
      <c r="L871" t="n">
        <v>0</v>
      </c>
      <c r="M871" t="n">
        <v>0</v>
      </c>
      <c r="N871" t="n">
        <v>0</v>
      </c>
      <c r="O871" t="n">
        <v>0</v>
      </c>
      <c r="P871" t="n">
        <v>0</v>
      </c>
      <c r="Q871" t="n">
        <v>0</v>
      </c>
      <c r="R871" s="2" t="inlineStr"/>
    </row>
    <row r="872" ht="15" customHeight="1">
      <c r="A872" t="inlineStr">
        <is>
          <t>A 6155-2023</t>
        </is>
      </c>
      <c r="B872" s="1" t="n">
        <v>44964</v>
      </c>
      <c r="C872" s="1" t="n">
        <v>45474</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6215-2023</t>
        </is>
      </c>
      <c r="B873" s="1" t="n">
        <v>44964</v>
      </c>
      <c r="C873" s="1" t="n">
        <v>45474</v>
      </c>
      <c r="D873" t="inlineStr">
        <is>
          <t>UPPSALA LÄN</t>
        </is>
      </c>
      <c r="E873" t="inlineStr">
        <is>
          <t>UPPSALA</t>
        </is>
      </c>
      <c r="G873" t="n">
        <v>3.1</v>
      </c>
      <c r="H873" t="n">
        <v>0</v>
      </c>
      <c r="I873" t="n">
        <v>0</v>
      </c>
      <c r="J873" t="n">
        <v>0</v>
      </c>
      <c r="K873" t="n">
        <v>0</v>
      </c>
      <c r="L873" t="n">
        <v>0</v>
      </c>
      <c r="M873" t="n">
        <v>0</v>
      </c>
      <c r="N873" t="n">
        <v>0</v>
      </c>
      <c r="O873" t="n">
        <v>0</v>
      </c>
      <c r="P873" t="n">
        <v>0</v>
      </c>
      <c r="Q873" t="n">
        <v>0</v>
      </c>
      <c r="R873" s="2" t="inlineStr"/>
    </row>
    <row r="874" ht="15" customHeight="1">
      <c r="A874" t="inlineStr">
        <is>
          <t>A 6422-2023</t>
        </is>
      </c>
      <c r="B874" s="1" t="n">
        <v>44965</v>
      </c>
      <c r="C874" s="1" t="n">
        <v>45474</v>
      </c>
      <c r="D874" t="inlineStr">
        <is>
          <t>UPPSALA LÄN</t>
        </is>
      </c>
      <c r="E874" t="inlineStr">
        <is>
          <t>UPPSALA</t>
        </is>
      </c>
      <c r="G874" t="n">
        <v>3.1</v>
      </c>
      <c r="H874" t="n">
        <v>0</v>
      </c>
      <c r="I874" t="n">
        <v>0</v>
      </c>
      <c r="J874" t="n">
        <v>0</v>
      </c>
      <c r="K874" t="n">
        <v>0</v>
      </c>
      <c r="L874" t="n">
        <v>0</v>
      </c>
      <c r="M874" t="n">
        <v>0</v>
      </c>
      <c r="N874" t="n">
        <v>0</v>
      </c>
      <c r="O874" t="n">
        <v>0</v>
      </c>
      <c r="P874" t="n">
        <v>0</v>
      </c>
      <c r="Q874" t="n">
        <v>0</v>
      </c>
      <c r="R874" s="2" t="inlineStr"/>
    </row>
    <row r="875" ht="15" customHeight="1">
      <c r="A875" t="inlineStr">
        <is>
          <t>A 6423-2023</t>
        </is>
      </c>
      <c r="B875" s="1" t="n">
        <v>44965</v>
      </c>
      <c r="C875" s="1" t="n">
        <v>45474</v>
      </c>
      <c r="D875" t="inlineStr">
        <is>
          <t>UPPSALA LÄN</t>
        </is>
      </c>
      <c r="E875" t="inlineStr">
        <is>
          <t>UPPSALA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6602-2023</t>
        </is>
      </c>
      <c r="B876" s="1" t="n">
        <v>44966</v>
      </c>
      <c r="C876" s="1" t="n">
        <v>45474</v>
      </c>
      <c r="D876" t="inlineStr">
        <is>
          <t>UPPSALA LÄN</t>
        </is>
      </c>
      <c r="E876" t="inlineStr">
        <is>
          <t>UPPSALA</t>
        </is>
      </c>
      <c r="F876" t="inlineStr">
        <is>
          <t>Allmännings- och besparingsskogar</t>
        </is>
      </c>
      <c r="G876" t="n">
        <v>20.2</v>
      </c>
      <c r="H876" t="n">
        <v>0</v>
      </c>
      <c r="I876" t="n">
        <v>0</v>
      </c>
      <c r="J876" t="n">
        <v>0</v>
      </c>
      <c r="K876" t="n">
        <v>0</v>
      </c>
      <c r="L876" t="n">
        <v>0</v>
      </c>
      <c r="M876" t="n">
        <v>0</v>
      </c>
      <c r="N876" t="n">
        <v>0</v>
      </c>
      <c r="O876" t="n">
        <v>0</v>
      </c>
      <c r="P876" t="n">
        <v>0</v>
      </c>
      <c r="Q876" t="n">
        <v>0</v>
      </c>
      <c r="R876" s="2" t="inlineStr"/>
    </row>
    <row r="877" ht="15" customHeight="1">
      <c r="A877" t="inlineStr">
        <is>
          <t>A 6749-2023</t>
        </is>
      </c>
      <c r="B877" s="1" t="n">
        <v>44966</v>
      </c>
      <c r="C877" s="1" t="n">
        <v>45474</v>
      </c>
      <c r="D877" t="inlineStr">
        <is>
          <t>UPPSALA LÄN</t>
        </is>
      </c>
      <c r="E877" t="inlineStr">
        <is>
          <t>UPPSALA</t>
        </is>
      </c>
      <c r="F877" t="inlineStr">
        <is>
          <t>Allmännings- och besparingsskogar</t>
        </is>
      </c>
      <c r="G877" t="n">
        <v>13.5</v>
      </c>
      <c r="H877" t="n">
        <v>0</v>
      </c>
      <c r="I877" t="n">
        <v>0</v>
      </c>
      <c r="J877" t="n">
        <v>0</v>
      </c>
      <c r="K877" t="n">
        <v>0</v>
      </c>
      <c r="L877" t="n">
        <v>0</v>
      </c>
      <c r="M877" t="n">
        <v>0</v>
      </c>
      <c r="N877" t="n">
        <v>0</v>
      </c>
      <c r="O877" t="n">
        <v>0</v>
      </c>
      <c r="P877" t="n">
        <v>0</v>
      </c>
      <c r="Q877" t="n">
        <v>0</v>
      </c>
      <c r="R877" s="2" t="inlineStr"/>
    </row>
    <row r="878" ht="15" customHeight="1">
      <c r="A878" t="inlineStr">
        <is>
          <t>A 6930-2023</t>
        </is>
      </c>
      <c r="B878" s="1" t="n">
        <v>44967</v>
      </c>
      <c r="C878" s="1" t="n">
        <v>45474</v>
      </c>
      <c r="D878" t="inlineStr">
        <is>
          <t>UPPSALA LÄN</t>
        </is>
      </c>
      <c r="E878" t="inlineStr">
        <is>
          <t>UPPSALA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7000-2023</t>
        </is>
      </c>
      <c r="B879" s="1" t="n">
        <v>44967</v>
      </c>
      <c r="C879" s="1" t="n">
        <v>45474</v>
      </c>
      <c r="D879" t="inlineStr">
        <is>
          <t>UPPSALA LÄN</t>
        </is>
      </c>
      <c r="E879" t="inlineStr">
        <is>
          <t>UPPSALA</t>
        </is>
      </c>
      <c r="G879" t="n">
        <v>7.1</v>
      </c>
      <c r="H879" t="n">
        <v>0</v>
      </c>
      <c r="I879" t="n">
        <v>0</v>
      </c>
      <c r="J879" t="n">
        <v>0</v>
      </c>
      <c r="K879" t="n">
        <v>0</v>
      </c>
      <c r="L879" t="n">
        <v>0</v>
      </c>
      <c r="M879" t="n">
        <v>0</v>
      </c>
      <c r="N879" t="n">
        <v>0</v>
      </c>
      <c r="O879" t="n">
        <v>0</v>
      </c>
      <c r="P879" t="n">
        <v>0</v>
      </c>
      <c r="Q879" t="n">
        <v>0</v>
      </c>
      <c r="R879" s="2" t="inlineStr"/>
    </row>
    <row r="880" ht="15" customHeight="1">
      <c r="A880" t="inlineStr">
        <is>
          <t>A 6999-2023</t>
        </is>
      </c>
      <c r="B880" s="1" t="n">
        <v>44967</v>
      </c>
      <c r="C880" s="1" t="n">
        <v>45474</v>
      </c>
      <c r="D880" t="inlineStr">
        <is>
          <t>UPPSALA LÄN</t>
        </is>
      </c>
      <c r="E880" t="inlineStr">
        <is>
          <t>UPPSALA</t>
        </is>
      </c>
      <c r="G880" t="n">
        <v>1</v>
      </c>
      <c r="H880" t="n">
        <v>0</v>
      </c>
      <c r="I880" t="n">
        <v>0</v>
      </c>
      <c r="J880" t="n">
        <v>0</v>
      </c>
      <c r="K880" t="n">
        <v>0</v>
      </c>
      <c r="L880" t="n">
        <v>0</v>
      </c>
      <c r="M880" t="n">
        <v>0</v>
      </c>
      <c r="N880" t="n">
        <v>0</v>
      </c>
      <c r="O880" t="n">
        <v>0</v>
      </c>
      <c r="P880" t="n">
        <v>0</v>
      </c>
      <c r="Q880" t="n">
        <v>0</v>
      </c>
      <c r="R880" s="2" t="inlineStr"/>
    </row>
    <row r="881" ht="15" customHeight="1">
      <c r="A881" t="inlineStr">
        <is>
          <t>A 6997-2023</t>
        </is>
      </c>
      <c r="B881" s="1" t="n">
        <v>44967</v>
      </c>
      <c r="C881" s="1" t="n">
        <v>45474</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7001-2023</t>
        </is>
      </c>
      <c r="B882" s="1" t="n">
        <v>44967</v>
      </c>
      <c r="C882" s="1" t="n">
        <v>45474</v>
      </c>
      <c r="D882" t="inlineStr">
        <is>
          <t>UPPSALA LÄN</t>
        </is>
      </c>
      <c r="E882" t="inlineStr">
        <is>
          <t>UPPSALA</t>
        </is>
      </c>
      <c r="G882" t="n">
        <v>4.3</v>
      </c>
      <c r="H882" t="n">
        <v>0</v>
      </c>
      <c r="I882" t="n">
        <v>0</v>
      </c>
      <c r="J882" t="n">
        <v>0</v>
      </c>
      <c r="K882" t="n">
        <v>0</v>
      </c>
      <c r="L882" t="n">
        <v>0</v>
      </c>
      <c r="M882" t="n">
        <v>0</v>
      </c>
      <c r="N882" t="n">
        <v>0</v>
      </c>
      <c r="O882" t="n">
        <v>0</v>
      </c>
      <c r="P882" t="n">
        <v>0</v>
      </c>
      <c r="Q882" t="n">
        <v>0</v>
      </c>
      <c r="R882" s="2" t="inlineStr"/>
    </row>
    <row r="883" ht="15" customHeight="1">
      <c r="A883" t="inlineStr">
        <is>
          <t>A 7002-2023</t>
        </is>
      </c>
      <c r="B883" s="1" t="n">
        <v>44967</v>
      </c>
      <c r="C883" s="1" t="n">
        <v>45474</v>
      </c>
      <c r="D883" t="inlineStr">
        <is>
          <t>UPPSALA LÄN</t>
        </is>
      </c>
      <c r="E883" t="inlineStr">
        <is>
          <t>UPPSALA</t>
        </is>
      </c>
      <c r="G883" t="n">
        <v>5</v>
      </c>
      <c r="H883" t="n">
        <v>0</v>
      </c>
      <c r="I883" t="n">
        <v>0</v>
      </c>
      <c r="J883" t="n">
        <v>0</v>
      </c>
      <c r="K883" t="n">
        <v>0</v>
      </c>
      <c r="L883" t="n">
        <v>0</v>
      </c>
      <c r="M883" t="n">
        <v>0</v>
      </c>
      <c r="N883" t="n">
        <v>0</v>
      </c>
      <c r="O883" t="n">
        <v>0</v>
      </c>
      <c r="P883" t="n">
        <v>0</v>
      </c>
      <c r="Q883" t="n">
        <v>0</v>
      </c>
      <c r="R883" s="2" t="inlineStr"/>
    </row>
    <row r="884" ht="15" customHeight="1">
      <c r="A884" t="inlineStr">
        <is>
          <t>A 7611-2023</t>
        </is>
      </c>
      <c r="B884" s="1" t="n">
        <v>44967</v>
      </c>
      <c r="C884" s="1" t="n">
        <v>45474</v>
      </c>
      <c r="D884" t="inlineStr">
        <is>
          <t>UPPSALA LÄN</t>
        </is>
      </c>
      <c r="E884" t="inlineStr">
        <is>
          <t>UPPSALA</t>
        </is>
      </c>
      <c r="G884" t="n">
        <v>3.5</v>
      </c>
      <c r="H884" t="n">
        <v>0</v>
      </c>
      <c r="I884" t="n">
        <v>0</v>
      </c>
      <c r="J884" t="n">
        <v>0</v>
      </c>
      <c r="K884" t="n">
        <v>0</v>
      </c>
      <c r="L884" t="n">
        <v>0</v>
      </c>
      <c r="M884" t="n">
        <v>0</v>
      </c>
      <c r="N884" t="n">
        <v>0</v>
      </c>
      <c r="O884" t="n">
        <v>0</v>
      </c>
      <c r="P884" t="n">
        <v>0</v>
      </c>
      <c r="Q884" t="n">
        <v>0</v>
      </c>
      <c r="R884" s="2" t="inlineStr"/>
    </row>
    <row r="885" ht="15" customHeight="1">
      <c r="A885" t="inlineStr">
        <is>
          <t>A 7607-2023</t>
        </is>
      </c>
      <c r="B885" s="1" t="n">
        <v>44967</v>
      </c>
      <c r="C885" s="1" t="n">
        <v>45474</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7058-2023</t>
        </is>
      </c>
      <c r="B886" s="1" t="n">
        <v>44969</v>
      </c>
      <c r="C886" s="1" t="n">
        <v>45474</v>
      </c>
      <c r="D886" t="inlineStr">
        <is>
          <t>UPPSALA LÄN</t>
        </is>
      </c>
      <c r="E886" t="inlineStr">
        <is>
          <t>UPPSALA</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7084-2023</t>
        </is>
      </c>
      <c r="B887" s="1" t="n">
        <v>44970</v>
      </c>
      <c r="C887" s="1" t="n">
        <v>45474</v>
      </c>
      <c r="D887" t="inlineStr">
        <is>
          <t>UPPSALA LÄN</t>
        </is>
      </c>
      <c r="E887" t="inlineStr">
        <is>
          <t>UPPSALA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8384-2023</t>
        </is>
      </c>
      <c r="B888" s="1" t="n">
        <v>44971</v>
      </c>
      <c r="C888" s="1" t="n">
        <v>45474</v>
      </c>
      <c r="D888" t="inlineStr">
        <is>
          <t>UPPSALA LÄN</t>
        </is>
      </c>
      <c r="E888" t="inlineStr">
        <is>
          <t>UPPSALA</t>
        </is>
      </c>
      <c r="G888" t="n">
        <v>4</v>
      </c>
      <c r="H888" t="n">
        <v>0</v>
      </c>
      <c r="I888" t="n">
        <v>0</v>
      </c>
      <c r="J888" t="n">
        <v>0</v>
      </c>
      <c r="K888" t="n">
        <v>0</v>
      </c>
      <c r="L888" t="n">
        <v>0</v>
      </c>
      <c r="M888" t="n">
        <v>0</v>
      </c>
      <c r="N888" t="n">
        <v>0</v>
      </c>
      <c r="O888" t="n">
        <v>0</v>
      </c>
      <c r="P888" t="n">
        <v>0</v>
      </c>
      <c r="Q888" t="n">
        <v>0</v>
      </c>
      <c r="R888" s="2" t="inlineStr"/>
    </row>
    <row r="889" ht="15" customHeight="1">
      <c r="A889" t="inlineStr">
        <is>
          <t>A 8286-2023</t>
        </is>
      </c>
      <c r="B889" s="1" t="n">
        <v>44971</v>
      </c>
      <c r="C889" s="1" t="n">
        <v>45474</v>
      </c>
      <c r="D889" t="inlineStr">
        <is>
          <t>UPPSALA LÄN</t>
        </is>
      </c>
      <c r="E889" t="inlineStr">
        <is>
          <t>UPPSALA</t>
        </is>
      </c>
      <c r="G889" t="n">
        <v>9</v>
      </c>
      <c r="H889" t="n">
        <v>0</v>
      </c>
      <c r="I889" t="n">
        <v>0</v>
      </c>
      <c r="J889" t="n">
        <v>0</v>
      </c>
      <c r="K889" t="n">
        <v>0</v>
      </c>
      <c r="L889" t="n">
        <v>0</v>
      </c>
      <c r="M889" t="n">
        <v>0</v>
      </c>
      <c r="N889" t="n">
        <v>0</v>
      </c>
      <c r="O889" t="n">
        <v>0</v>
      </c>
      <c r="P889" t="n">
        <v>0</v>
      </c>
      <c r="Q889" t="n">
        <v>0</v>
      </c>
      <c r="R889" s="2" t="inlineStr"/>
    </row>
    <row r="890" ht="15" customHeight="1">
      <c r="A890" t="inlineStr">
        <is>
          <t>A 7577-2023</t>
        </is>
      </c>
      <c r="B890" s="1" t="n">
        <v>44972</v>
      </c>
      <c r="C890" s="1" t="n">
        <v>45474</v>
      </c>
      <c r="D890" t="inlineStr">
        <is>
          <t>UPPSALA LÄN</t>
        </is>
      </c>
      <c r="E890" t="inlineStr">
        <is>
          <t>UPPSALA</t>
        </is>
      </c>
      <c r="G890" t="n">
        <v>5.5</v>
      </c>
      <c r="H890" t="n">
        <v>0</v>
      </c>
      <c r="I890" t="n">
        <v>0</v>
      </c>
      <c r="J890" t="n">
        <v>0</v>
      </c>
      <c r="K890" t="n">
        <v>0</v>
      </c>
      <c r="L890" t="n">
        <v>0</v>
      </c>
      <c r="M890" t="n">
        <v>0</v>
      </c>
      <c r="N890" t="n">
        <v>0</v>
      </c>
      <c r="O890" t="n">
        <v>0</v>
      </c>
      <c r="P890" t="n">
        <v>0</v>
      </c>
      <c r="Q890" t="n">
        <v>0</v>
      </c>
      <c r="R890" s="2" t="inlineStr"/>
    </row>
    <row r="891" ht="15" customHeight="1">
      <c r="A891" t="inlineStr">
        <is>
          <t>A 7663-2023</t>
        </is>
      </c>
      <c r="B891" s="1" t="n">
        <v>44972</v>
      </c>
      <c r="C891" s="1" t="n">
        <v>45474</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7894-2023</t>
        </is>
      </c>
      <c r="B892" s="1" t="n">
        <v>44973</v>
      </c>
      <c r="C892" s="1" t="n">
        <v>45474</v>
      </c>
      <c r="D892" t="inlineStr">
        <is>
          <t>UPPSALA LÄN</t>
        </is>
      </c>
      <c r="E892" t="inlineStr">
        <is>
          <t>UPPSALA</t>
        </is>
      </c>
      <c r="G892" t="n">
        <v>4.4</v>
      </c>
      <c r="H892" t="n">
        <v>0</v>
      </c>
      <c r="I892" t="n">
        <v>0</v>
      </c>
      <c r="J892" t="n">
        <v>0</v>
      </c>
      <c r="K892" t="n">
        <v>0</v>
      </c>
      <c r="L892" t="n">
        <v>0</v>
      </c>
      <c r="M892" t="n">
        <v>0</v>
      </c>
      <c r="N892" t="n">
        <v>0</v>
      </c>
      <c r="O892" t="n">
        <v>0</v>
      </c>
      <c r="P892" t="n">
        <v>0</v>
      </c>
      <c r="Q892" t="n">
        <v>0</v>
      </c>
      <c r="R892" s="2" t="inlineStr"/>
    </row>
    <row r="893" ht="15" customHeight="1">
      <c r="A893" t="inlineStr">
        <is>
          <t>A 8162-2023</t>
        </is>
      </c>
      <c r="B893" s="1" t="n">
        <v>44974</v>
      </c>
      <c r="C893" s="1" t="n">
        <v>45474</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8473-2023</t>
        </is>
      </c>
      <c r="B894" s="1" t="n">
        <v>44977</v>
      </c>
      <c r="C894" s="1" t="n">
        <v>45474</v>
      </c>
      <c r="D894" t="inlineStr">
        <is>
          <t>UPPSALA LÄN</t>
        </is>
      </c>
      <c r="E894" t="inlineStr">
        <is>
          <t>UPPSALA</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9426-2023</t>
        </is>
      </c>
      <c r="B895" s="1" t="n">
        <v>44977</v>
      </c>
      <c r="C895" s="1" t="n">
        <v>45474</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9398-2023</t>
        </is>
      </c>
      <c r="B896" s="1" t="n">
        <v>44977</v>
      </c>
      <c r="C896" s="1" t="n">
        <v>45474</v>
      </c>
      <c r="D896" t="inlineStr">
        <is>
          <t>UPPSALA LÄN</t>
        </is>
      </c>
      <c r="E896" t="inlineStr">
        <is>
          <t>UPPSALA</t>
        </is>
      </c>
      <c r="G896" t="n">
        <v>5.1</v>
      </c>
      <c r="H896" t="n">
        <v>0</v>
      </c>
      <c r="I896" t="n">
        <v>0</v>
      </c>
      <c r="J896" t="n">
        <v>0</v>
      </c>
      <c r="K896" t="n">
        <v>0</v>
      </c>
      <c r="L896" t="n">
        <v>0</v>
      </c>
      <c r="M896" t="n">
        <v>0</v>
      </c>
      <c r="N896" t="n">
        <v>0</v>
      </c>
      <c r="O896" t="n">
        <v>0</v>
      </c>
      <c r="P896" t="n">
        <v>0</v>
      </c>
      <c r="Q896" t="n">
        <v>0</v>
      </c>
      <c r="R896" s="2" t="inlineStr"/>
    </row>
    <row r="897" ht="15" customHeight="1">
      <c r="A897" t="inlineStr">
        <is>
          <t>A 9295-2023</t>
        </is>
      </c>
      <c r="B897" s="1" t="n">
        <v>44980</v>
      </c>
      <c r="C897" s="1" t="n">
        <v>45474</v>
      </c>
      <c r="D897" t="inlineStr">
        <is>
          <t>UPPSALA LÄN</t>
        </is>
      </c>
      <c r="E897" t="inlineStr">
        <is>
          <t>UPPSALA</t>
        </is>
      </c>
      <c r="G897" t="n">
        <v>2.1</v>
      </c>
      <c r="H897" t="n">
        <v>0</v>
      </c>
      <c r="I897" t="n">
        <v>0</v>
      </c>
      <c r="J897" t="n">
        <v>0</v>
      </c>
      <c r="K897" t="n">
        <v>0</v>
      </c>
      <c r="L897" t="n">
        <v>0</v>
      </c>
      <c r="M897" t="n">
        <v>0</v>
      </c>
      <c r="N897" t="n">
        <v>0</v>
      </c>
      <c r="O897" t="n">
        <v>0</v>
      </c>
      <c r="P897" t="n">
        <v>0</v>
      </c>
      <c r="Q897" t="n">
        <v>0</v>
      </c>
      <c r="R897" s="2" t="inlineStr"/>
    </row>
    <row r="898" ht="15" customHeight="1">
      <c r="A898" t="inlineStr">
        <is>
          <t>A 9261-2023</t>
        </is>
      </c>
      <c r="B898" s="1" t="n">
        <v>44980</v>
      </c>
      <c r="C898" s="1" t="n">
        <v>45474</v>
      </c>
      <c r="D898" t="inlineStr">
        <is>
          <t>UPPSALA LÄN</t>
        </is>
      </c>
      <c r="E898" t="inlineStr">
        <is>
          <t>UPPSALA</t>
        </is>
      </c>
      <c r="G898" t="n">
        <v>5.3</v>
      </c>
      <c r="H898" t="n">
        <v>0</v>
      </c>
      <c r="I898" t="n">
        <v>0</v>
      </c>
      <c r="J898" t="n">
        <v>0</v>
      </c>
      <c r="K898" t="n">
        <v>0</v>
      </c>
      <c r="L898" t="n">
        <v>0</v>
      </c>
      <c r="M898" t="n">
        <v>0</v>
      </c>
      <c r="N898" t="n">
        <v>0</v>
      </c>
      <c r="O898" t="n">
        <v>0</v>
      </c>
      <c r="P898" t="n">
        <v>0</v>
      </c>
      <c r="Q898" t="n">
        <v>0</v>
      </c>
      <c r="R898" s="2" t="inlineStr"/>
    </row>
    <row r="899" ht="15" customHeight="1">
      <c r="A899" t="inlineStr">
        <is>
          <t>A 9291-2023</t>
        </is>
      </c>
      <c r="B899" s="1" t="n">
        <v>44980</v>
      </c>
      <c r="C899" s="1" t="n">
        <v>45474</v>
      </c>
      <c r="D899" t="inlineStr">
        <is>
          <t>UPPSALA LÄN</t>
        </is>
      </c>
      <c r="E899" t="inlineStr">
        <is>
          <t>UPPSALA</t>
        </is>
      </c>
      <c r="G899" t="n">
        <v>12.9</v>
      </c>
      <c r="H899" t="n">
        <v>0</v>
      </c>
      <c r="I899" t="n">
        <v>0</v>
      </c>
      <c r="J899" t="n">
        <v>0</v>
      </c>
      <c r="K899" t="n">
        <v>0</v>
      </c>
      <c r="L899" t="n">
        <v>0</v>
      </c>
      <c r="M899" t="n">
        <v>0</v>
      </c>
      <c r="N899" t="n">
        <v>0</v>
      </c>
      <c r="O899" t="n">
        <v>0</v>
      </c>
      <c r="P899" t="n">
        <v>0</v>
      </c>
      <c r="Q899" t="n">
        <v>0</v>
      </c>
      <c r="R899" s="2" t="inlineStr"/>
    </row>
    <row r="900" ht="15" customHeight="1">
      <c r="A900" t="inlineStr">
        <is>
          <t>A 9313-2023</t>
        </is>
      </c>
      <c r="B900" s="1" t="n">
        <v>44980</v>
      </c>
      <c r="C900" s="1" t="n">
        <v>45474</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9817-2023</t>
        </is>
      </c>
      <c r="B901" s="1" t="n">
        <v>44984</v>
      </c>
      <c r="C901" s="1" t="n">
        <v>45474</v>
      </c>
      <c r="D901" t="inlineStr">
        <is>
          <t>UPPSALA LÄN</t>
        </is>
      </c>
      <c r="E901" t="inlineStr">
        <is>
          <t>UPPSALA</t>
        </is>
      </c>
      <c r="F901" t="inlineStr">
        <is>
          <t>Kyrkan</t>
        </is>
      </c>
      <c r="G901" t="n">
        <v>5.3</v>
      </c>
      <c r="H901" t="n">
        <v>0</v>
      </c>
      <c r="I901" t="n">
        <v>0</v>
      </c>
      <c r="J901" t="n">
        <v>0</v>
      </c>
      <c r="K901" t="n">
        <v>0</v>
      </c>
      <c r="L901" t="n">
        <v>0</v>
      </c>
      <c r="M901" t="n">
        <v>0</v>
      </c>
      <c r="N901" t="n">
        <v>0</v>
      </c>
      <c r="O901" t="n">
        <v>0</v>
      </c>
      <c r="P901" t="n">
        <v>0</v>
      </c>
      <c r="Q901" t="n">
        <v>0</v>
      </c>
      <c r="R901" s="2" t="inlineStr"/>
    </row>
    <row r="902" ht="15" customHeight="1">
      <c r="A902" t="inlineStr">
        <is>
          <t>A 9814-2023</t>
        </is>
      </c>
      <c r="B902" s="1" t="n">
        <v>44984</v>
      </c>
      <c r="C902" s="1" t="n">
        <v>45474</v>
      </c>
      <c r="D902" t="inlineStr">
        <is>
          <t>UPPSALA LÄN</t>
        </is>
      </c>
      <c r="E902" t="inlineStr">
        <is>
          <t>UPPSALA</t>
        </is>
      </c>
      <c r="F902" t="inlineStr">
        <is>
          <t>Kyrkan</t>
        </is>
      </c>
      <c r="G902" t="n">
        <v>5</v>
      </c>
      <c r="H902" t="n">
        <v>0</v>
      </c>
      <c r="I902" t="n">
        <v>0</v>
      </c>
      <c r="J902" t="n">
        <v>0</v>
      </c>
      <c r="K902" t="n">
        <v>0</v>
      </c>
      <c r="L902" t="n">
        <v>0</v>
      </c>
      <c r="M902" t="n">
        <v>0</v>
      </c>
      <c r="N902" t="n">
        <v>0</v>
      </c>
      <c r="O902" t="n">
        <v>0</v>
      </c>
      <c r="P902" t="n">
        <v>0</v>
      </c>
      <c r="Q902" t="n">
        <v>0</v>
      </c>
      <c r="R902" s="2" t="inlineStr"/>
    </row>
    <row r="903" ht="15" customHeight="1">
      <c r="A903" t="inlineStr">
        <is>
          <t>A 9811-2023</t>
        </is>
      </c>
      <c r="B903" s="1" t="n">
        <v>44984</v>
      </c>
      <c r="C903" s="1" t="n">
        <v>45474</v>
      </c>
      <c r="D903" t="inlineStr">
        <is>
          <t>UPPSALA LÄN</t>
        </is>
      </c>
      <c r="E903" t="inlineStr">
        <is>
          <t>UPPSALA</t>
        </is>
      </c>
      <c r="G903" t="n">
        <v>5.5</v>
      </c>
      <c r="H903" t="n">
        <v>0</v>
      </c>
      <c r="I903" t="n">
        <v>0</v>
      </c>
      <c r="J903" t="n">
        <v>0</v>
      </c>
      <c r="K903" t="n">
        <v>0</v>
      </c>
      <c r="L903" t="n">
        <v>0</v>
      </c>
      <c r="M903" t="n">
        <v>0</v>
      </c>
      <c r="N903" t="n">
        <v>0</v>
      </c>
      <c r="O903" t="n">
        <v>0</v>
      </c>
      <c r="P903" t="n">
        <v>0</v>
      </c>
      <c r="Q903" t="n">
        <v>0</v>
      </c>
      <c r="R903" s="2" t="inlineStr"/>
    </row>
    <row r="904" ht="15" customHeight="1">
      <c r="A904" t="inlineStr">
        <is>
          <t>A 9820-2023</t>
        </is>
      </c>
      <c r="B904" s="1" t="n">
        <v>44984</v>
      </c>
      <c r="C904" s="1" t="n">
        <v>45474</v>
      </c>
      <c r="D904" t="inlineStr">
        <is>
          <t>UPPSALA LÄN</t>
        </is>
      </c>
      <c r="E904" t="inlineStr">
        <is>
          <t>UPPSALA</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10005-2023</t>
        </is>
      </c>
      <c r="B905" s="1" t="n">
        <v>44985</v>
      </c>
      <c r="C905" s="1" t="n">
        <v>45474</v>
      </c>
      <c r="D905" t="inlineStr">
        <is>
          <t>UPPSALA LÄN</t>
        </is>
      </c>
      <c r="E905" t="inlineStr">
        <is>
          <t>UPPSALA</t>
        </is>
      </c>
      <c r="G905" t="n">
        <v>2.6</v>
      </c>
      <c r="H905" t="n">
        <v>0</v>
      </c>
      <c r="I905" t="n">
        <v>0</v>
      </c>
      <c r="J905" t="n">
        <v>0</v>
      </c>
      <c r="K905" t="n">
        <v>0</v>
      </c>
      <c r="L905" t="n">
        <v>0</v>
      </c>
      <c r="M905" t="n">
        <v>0</v>
      </c>
      <c r="N905" t="n">
        <v>0</v>
      </c>
      <c r="O905" t="n">
        <v>0</v>
      </c>
      <c r="P905" t="n">
        <v>0</v>
      </c>
      <c r="Q905" t="n">
        <v>0</v>
      </c>
      <c r="R905" s="2" t="inlineStr"/>
    </row>
    <row r="906" ht="15" customHeight="1">
      <c r="A906" t="inlineStr">
        <is>
          <t>A 10669-2023</t>
        </is>
      </c>
      <c r="B906" s="1" t="n">
        <v>44988</v>
      </c>
      <c r="C906" s="1" t="n">
        <v>45474</v>
      </c>
      <c r="D906" t="inlineStr">
        <is>
          <t>UPPSALA LÄN</t>
        </is>
      </c>
      <c r="E906" t="inlineStr">
        <is>
          <t>UPPSALA</t>
        </is>
      </c>
      <c r="G906" t="n">
        <v>4.9</v>
      </c>
      <c r="H906" t="n">
        <v>0</v>
      </c>
      <c r="I906" t="n">
        <v>0</v>
      </c>
      <c r="J906" t="n">
        <v>0</v>
      </c>
      <c r="K906" t="n">
        <v>0</v>
      </c>
      <c r="L906" t="n">
        <v>0</v>
      </c>
      <c r="M906" t="n">
        <v>0</v>
      </c>
      <c r="N906" t="n">
        <v>0</v>
      </c>
      <c r="O906" t="n">
        <v>0</v>
      </c>
      <c r="P906" t="n">
        <v>0</v>
      </c>
      <c r="Q906" t="n">
        <v>0</v>
      </c>
      <c r="R906" s="2" t="inlineStr"/>
    </row>
    <row r="907" ht="15" customHeight="1">
      <c r="A907" t="inlineStr">
        <is>
          <t>A 11484-2023</t>
        </is>
      </c>
      <c r="B907" s="1" t="n">
        <v>44991</v>
      </c>
      <c r="C907" s="1" t="n">
        <v>45474</v>
      </c>
      <c r="D907" t="inlineStr">
        <is>
          <t>UPPSALA LÄN</t>
        </is>
      </c>
      <c r="E907" t="inlineStr">
        <is>
          <t>UPPSALA</t>
        </is>
      </c>
      <c r="G907" t="n">
        <v>10.3</v>
      </c>
      <c r="H907" t="n">
        <v>0</v>
      </c>
      <c r="I907" t="n">
        <v>0</v>
      </c>
      <c r="J907" t="n">
        <v>0</v>
      </c>
      <c r="K907" t="n">
        <v>0</v>
      </c>
      <c r="L907" t="n">
        <v>0</v>
      </c>
      <c r="M907" t="n">
        <v>0</v>
      </c>
      <c r="N907" t="n">
        <v>0</v>
      </c>
      <c r="O907" t="n">
        <v>0</v>
      </c>
      <c r="P907" t="n">
        <v>0</v>
      </c>
      <c r="Q907" t="n">
        <v>0</v>
      </c>
      <c r="R907" s="2" t="inlineStr"/>
    </row>
    <row r="908" ht="15" customHeight="1">
      <c r="A908" t="inlineStr">
        <is>
          <t>A 11739-2023</t>
        </is>
      </c>
      <c r="B908" s="1" t="n">
        <v>44993</v>
      </c>
      <c r="C908" s="1" t="n">
        <v>45474</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11744-2023</t>
        </is>
      </c>
      <c r="B909" s="1" t="n">
        <v>44993</v>
      </c>
      <c r="C909" s="1" t="n">
        <v>45474</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11568-2023</t>
        </is>
      </c>
      <c r="B910" s="1" t="n">
        <v>44994</v>
      </c>
      <c r="C910" s="1" t="n">
        <v>45474</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12158-2023</t>
        </is>
      </c>
      <c r="B911" s="1" t="n">
        <v>44998</v>
      </c>
      <c r="C911" s="1" t="n">
        <v>45474</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12604-2023</t>
        </is>
      </c>
      <c r="B912" s="1" t="n">
        <v>45000</v>
      </c>
      <c r="C912" s="1" t="n">
        <v>45474</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12603-2023</t>
        </is>
      </c>
      <c r="B913" s="1" t="n">
        <v>45000</v>
      </c>
      <c r="C913" s="1" t="n">
        <v>45474</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12602-2023</t>
        </is>
      </c>
      <c r="B914" s="1" t="n">
        <v>45000</v>
      </c>
      <c r="C914" s="1" t="n">
        <v>45474</v>
      </c>
      <c r="D914" t="inlineStr">
        <is>
          <t>UPPSALA LÄN</t>
        </is>
      </c>
      <c r="E914" t="inlineStr">
        <is>
          <t>UPPSALA</t>
        </is>
      </c>
      <c r="G914" t="n">
        <v>2.5</v>
      </c>
      <c r="H914" t="n">
        <v>0</v>
      </c>
      <c r="I914" t="n">
        <v>0</v>
      </c>
      <c r="J914" t="n">
        <v>0</v>
      </c>
      <c r="K914" t="n">
        <v>0</v>
      </c>
      <c r="L914" t="n">
        <v>0</v>
      </c>
      <c r="M914" t="n">
        <v>0</v>
      </c>
      <c r="N914" t="n">
        <v>0</v>
      </c>
      <c r="O914" t="n">
        <v>0</v>
      </c>
      <c r="P914" t="n">
        <v>0</v>
      </c>
      <c r="Q914" t="n">
        <v>0</v>
      </c>
      <c r="R914" s="2" t="inlineStr"/>
    </row>
    <row r="915" ht="15" customHeight="1">
      <c r="A915" t="inlineStr">
        <is>
          <t>A 12703-2023</t>
        </is>
      </c>
      <c r="B915" s="1" t="n">
        <v>45000</v>
      </c>
      <c r="C915" s="1" t="n">
        <v>45474</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12606-2023</t>
        </is>
      </c>
      <c r="B916" s="1" t="n">
        <v>45000</v>
      </c>
      <c r="C916" s="1" t="n">
        <v>45474</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13526-2023</t>
        </is>
      </c>
      <c r="B917" s="1" t="n">
        <v>45006</v>
      </c>
      <c r="C917" s="1" t="n">
        <v>45474</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14253-2023</t>
        </is>
      </c>
      <c r="B918" s="1" t="n">
        <v>45009</v>
      </c>
      <c r="C918" s="1" t="n">
        <v>45474</v>
      </c>
      <c r="D918" t="inlineStr">
        <is>
          <t>UPPSALA LÄN</t>
        </is>
      </c>
      <c r="E918" t="inlineStr">
        <is>
          <t>UPPSALA</t>
        </is>
      </c>
      <c r="F918" t="inlineStr">
        <is>
          <t>Allmännings- och besparingsskogar</t>
        </is>
      </c>
      <c r="G918" t="n">
        <v>14</v>
      </c>
      <c r="H918" t="n">
        <v>0</v>
      </c>
      <c r="I918" t="n">
        <v>0</v>
      </c>
      <c r="J918" t="n">
        <v>0</v>
      </c>
      <c r="K918" t="n">
        <v>0</v>
      </c>
      <c r="L918" t="n">
        <v>0</v>
      </c>
      <c r="M918" t="n">
        <v>0</v>
      </c>
      <c r="N918" t="n">
        <v>0</v>
      </c>
      <c r="O918" t="n">
        <v>0</v>
      </c>
      <c r="P918" t="n">
        <v>0</v>
      </c>
      <c r="Q918" t="n">
        <v>0</v>
      </c>
      <c r="R918" s="2" t="inlineStr"/>
    </row>
    <row r="919" ht="15" customHeight="1">
      <c r="A919" t="inlineStr">
        <is>
          <t>A 14784-2023</t>
        </is>
      </c>
      <c r="B919" s="1" t="n">
        <v>45014</v>
      </c>
      <c r="C919" s="1" t="n">
        <v>45474</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14988-2023</t>
        </is>
      </c>
      <c r="B920" s="1" t="n">
        <v>45015</v>
      </c>
      <c r="C920" s="1" t="n">
        <v>45474</v>
      </c>
      <c r="D920" t="inlineStr">
        <is>
          <t>UPPSALA LÄN</t>
        </is>
      </c>
      <c r="E920" t="inlineStr">
        <is>
          <t>UPPSALA</t>
        </is>
      </c>
      <c r="G920" t="n">
        <v>4.2</v>
      </c>
      <c r="H920" t="n">
        <v>0</v>
      </c>
      <c r="I920" t="n">
        <v>0</v>
      </c>
      <c r="J920" t="n">
        <v>0</v>
      </c>
      <c r="K920" t="n">
        <v>0</v>
      </c>
      <c r="L920" t="n">
        <v>0</v>
      </c>
      <c r="M920" t="n">
        <v>0</v>
      </c>
      <c r="N920" t="n">
        <v>0</v>
      </c>
      <c r="O920" t="n">
        <v>0</v>
      </c>
      <c r="P920" t="n">
        <v>0</v>
      </c>
      <c r="Q920" t="n">
        <v>0</v>
      </c>
      <c r="R920" s="2" t="inlineStr"/>
    </row>
    <row r="921" ht="15" customHeight="1">
      <c r="A921" t="inlineStr">
        <is>
          <t>A 15547-2023</t>
        </is>
      </c>
      <c r="B921" s="1" t="n">
        <v>45020</v>
      </c>
      <c r="C921" s="1" t="n">
        <v>45474</v>
      </c>
      <c r="D921" t="inlineStr">
        <is>
          <t>UPPSALA LÄN</t>
        </is>
      </c>
      <c r="E921" t="inlineStr">
        <is>
          <t>UPPSALA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15551-2023</t>
        </is>
      </c>
      <c r="B922" s="1" t="n">
        <v>45020</v>
      </c>
      <c r="C922" s="1" t="n">
        <v>45474</v>
      </c>
      <c r="D922" t="inlineStr">
        <is>
          <t>UPPSALA LÄN</t>
        </is>
      </c>
      <c r="E922" t="inlineStr">
        <is>
          <t>UPPSALA</t>
        </is>
      </c>
      <c r="G922" t="n">
        <v>3.3</v>
      </c>
      <c r="H922" t="n">
        <v>0</v>
      </c>
      <c r="I922" t="n">
        <v>0</v>
      </c>
      <c r="J922" t="n">
        <v>0</v>
      </c>
      <c r="K922" t="n">
        <v>0</v>
      </c>
      <c r="L922" t="n">
        <v>0</v>
      </c>
      <c r="M922" t="n">
        <v>0</v>
      </c>
      <c r="N922" t="n">
        <v>0</v>
      </c>
      <c r="O922" t="n">
        <v>0</v>
      </c>
      <c r="P922" t="n">
        <v>0</v>
      </c>
      <c r="Q922" t="n">
        <v>0</v>
      </c>
      <c r="R922" s="2" t="inlineStr"/>
    </row>
    <row r="923" ht="15" customHeight="1">
      <c r="A923" t="inlineStr">
        <is>
          <t>A 15629-2023</t>
        </is>
      </c>
      <c r="B923" s="1" t="n">
        <v>45021</v>
      </c>
      <c r="C923" s="1" t="n">
        <v>45474</v>
      </c>
      <c r="D923" t="inlineStr">
        <is>
          <t>UPPSALA LÄN</t>
        </is>
      </c>
      <c r="E923" t="inlineStr">
        <is>
          <t>UPPSALA</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16346-2023</t>
        </is>
      </c>
      <c r="B924" s="1" t="n">
        <v>45028</v>
      </c>
      <c r="C924" s="1" t="n">
        <v>45474</v>
      </c>
      <c r="D924" t="inlineStr">
        <is>
          <t>UPPSALA LÄN</t>
        </is>
      </c>
      <c r="E924" t="inlineStr">
        <is>
          <t>UPPSALA</t>
        </is>
      </c>
      <c r="F924" t="inlineStr">
        <is>
          <t>Övriga Aktiebolag</t>
        </is>
      </c>
      <c r="G924" t="n">
        <v>5.7</v>
      </c>
      <c r="H924" t="n">
        <v>0</v>
      </c>
      <c r="I924" t="n">
        <v>0</v>
      </c>
      <c r="J924" t="n">
        <v>0</v>
      </c>
      <c r="K924" t="n">
        <v>0</v>
      </c>
      <c r="L924" t="n">
        <v>0</v>
      </c>
      <c r="M924" t="n">
        <v>0</v>
      </c>
      <c r="N924" t="n">
        <v>0</v>
      </c>
      <c r="O924" t="n">
        <v>0</v>
      </c>
      <c r="P924" t="n">
        <v>0</v>
      </c>
      <c r="Q924" t="n">
        <v>0</v>
      </c>
      <c r="R924" s="2" t="inlineStr"/>
    </row>
    <row r="925" ht="15" customHeight="1">
      <c r="A925" t="inlineStr">
        <is>
          <t>A 16811-2023</t>
        </is>
      </c>
      <c r="B925" s="1" t="n">
        <v>45033</v>
      </c>
      <c r="C925" s="1" t="n">
        <v>45474</v>
      </c>
      <c r="D925" t="inlineStr">
        <is>
          <t>UPPSALA LÄN</t>
        </is>
      </c>
      <c r="E925" t="inlineStr">
        <is>
          <t>UPPSALA</t>
        </is>
      </c>
      <c r="G925" t="n">
        <v>10.1</v>
      </c>
      <c r="H925" t="n">
        <v>0</v>
      </c>
      <c r="I925" t="n">
        <v>0</v>
      </c>
      <c r="J925" t="n">
        <v>0</v>
      </c>
      <c r="K925" t="n">
        <v>0</v>
      </c>
      <c r="L925" t="n">
        <v>0</v>
      </c>
      <c r="M925" t="n">
        <v>0</v>
      </c>
      <c r="N925" t="n">
        <v>0</v>
      </c>
      <c r="O925" t="n">
        <v>0</v>
      </c>
      <c r="P925" t="n">
        <v>0</v>
      </c>
      <c r="Q925" t="n">
        <v>0</v>
      </c>
      <c r="R925" s="2" t="inlineStr"/>
    </row>
    <row r="926" ht="15" customHeight="1">
      <c r="A926" t="inlineStr">
        <is>
          <t>A 17229-2023</t>
        </is>
      </c>
      <c r="B926" s="1" t="n">
        <v>45035</v>
      </c>
      <c r="C926" s="1" t="n">
        <v>45474</v>
      </c>
      <c r="D926" t="inlineStr">
        <is>
          <t>UPPSALA LÄN</t>
        </is>
      </c>
      <c r="E926" t="inlineStr">
        <is>
          <t>UPPSALA</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17280-2023</t>
        </is>
      </c>
      <c r="B927" s="1" t="n">
        <v>45035</v>
      </c>
      <c r="C927" s="1" t="n">
        <v>45474</v>
      </c>
      <c r="D927" t="inlineStr">
        <is>
          <t>UPPSALA LÄN</t>
        </is>
      </c>
      <c r="E927" t="inlineStr">
        <is>
          <t>UPPSALA</t>
        </is>
      </c>
      <c r="G927" t="n">
        <v>5.6</v>
      </c>
      <c r="H927" t="n">
        <v>0</v>
      </c>
      <c r="I927" t="n">
        <v>0</v>
      </c>
      <c r="J927" t="n">
        <v>0</v>
      </c>
      <c r="K927" t="n">
        <v>0</v>
      </c>
      <c r="L927" t="n">
        <v>0</v>
      </c>
      <c r="M927" t="n">
        <v>0</v>
      </c>
      <c r="N927" t="n">
        <v>0</v>
      </c>
      <c r="O927" t="n">
        <v>0</v>
      </c>
      <c r="P927" t="n">
        <v>0</v>
      </c>
      <c r="Q927" t="n">
        <v>0</v>
      </c>
      <c r="R927" s="2" t="inlineStr"/>
    </row>
    <row r="928" ht="15" customHeight="1">
      <c r="A928" t="inlineStr">
        <is>
          <t>A 17277-2023</t>
        </is>
      </c>
      <c r="B928" s="1" t="n">
        <v>45035</v>
      </c>
      <c r="C928" s="1" t="n">
        <v>45474</v>
      </c>
      <c r="D928" t="inlineStr">
        <is>
          <t>UPPSALA LÄN</t>
        </is>
      </c>
      <c r="E928" t="inlineStr">
        <is>
          <t>UPPSALA</t>
        </is>
      </c>
      <c r="F928" t="inlineStr">
        <is>
          <t>Övriga Aktiebolag</t>
        </is>
      </c>
      <c r="G928" t="n">
        <v>6.1</v>
      </c>
      <c r="H928" t="n">
        <v>0</v>
      </c>
      <c r="I928" t="n">
        <v>0</v>
      </c>
      <c r="J928" t="n">
        <v>0</v>
      </c>
      <c r="K928" t="n">
        <v>0</v>
      </c>
      <c r="L928" t="n">
        <v>0</v>
      </c>
      <c r="M928" t="n">
        <v>0</v>
      </c>
      <c r="N928" t="n">
        <v>0</v>
      </c>
      <c r="O928" t="n">
        <v>0</v>
      </c>
      <c r="P928" t="n">
        <v>0</v>
      </c>
      <c r="Q928" t="n">
        <v>0</v>
      </c>
      <c r="R928" s="2" t="inlineStr"/>
    </row>
    <row r="929" ht="15" customHeight="1">
      <c r="A929" t="inlineStr">
        <is>
          <t>A 17481-2023</t>
        </is>
      </c>
      <c r="B929" s="1" t="n">
        <v>45036</v>
      </c>
      <c r="C929" s="1" t="n">
        <v>45474</v>
      </c>
      <c r="D929" t="inlineStr">
        <is>
          <t>UPPSALA LÄN</t>
        </is>
      </c>
      <c r="E929" t="inlineStr">
        <is>
          <t>UPPSALA</t>
        </is>
      </c>
      <c r="G929" t="n">
        <v>1.9</v>
      </c>
      <c r="H929" t="n">
        <v>0</v>
      </c>
      <c r="I929" t="n">
        <v>0</v>
      </c>
      <c r="J929" t="n">
        <v>0</v>
      </c>
      <c r="K929" t="n">
        <v>0</v>
      </c>
      <c r="L929" t="n">
        <v>0</v>
      </c>
      <c r="M929" t="n">
        <v>0</v>
      </c>
      <c r="N929" t="n">
        <v>0</v>
      </c>
      <c r="O929" t="n">
        <v>0</v>
      </c>
      <c r="P929" t="n">
        <v>0</v>
      </c>
      <c r="Q929" t="n">
        <v>0</v>
      </c>
      <c r="R929" s="2" t="inlineStr"/>
    </row>
    <row r="930" ht="15" customHeight="1">
      <c r="A930" t="inlineStr">
        <is>
          <t>A 17788-2023</t>
        </is>
      </c>
      <c r="B930" s="1" t="n">
        <v>45037</v>
      </c>
      <c r="C930" s="1" t="n">
        <v>45474</v>
      </c>
      <c r="D930" t="inlineStr">
        <is>
          <t>UPPSALA LÄN</t>
        </is>
      </c>
      <c r="E930" t="inlineStr">
        <is>
          <t>UPPSALA</t>
        </is>
      </c>
      <c r="F930" t="inlineStr">
        <is>
          <t>Övriga Aktiebolag</t>
        </is>
      </c>
      <c r="G930" t="n">
        <v>3.7</v>
      </c>
      <c r="H930" t="n">
        <v>0</v>
      </c>
      <c r="I930" t="n">
        <v>0</v>
      </c>
      <c r="J930" t="n">
        <v>0</v>
      </c>
      <c r="K930" t="n">
        <v>0</v>
      </c>
      <c r="L930" t="n">
        <v>0</v>
      </c>
      <c r="M930" t="n">
        <v>0</v>
      </c>
      <c r="N930" t="n">
        <v>0</v>
      </c>
      <c r="O930" t="n">
        <v>0</v>
      </c>
      <c r="P930" t="n">
        <v>0</v>
      </c>
      <c r="Q930" t="n">
        <v>0</v>
      </c>
      <c r="R930" s="2" t="inlineStr"/>
    </row>
    <row r="931" ht="15" customHeight="1">
      <c r="A931" t="inlineStr">
        <is>
          <t>A 17938-2023</t>
        </is>
      </c>
      <c r="B931" s="1" t="n">
        <v>45040</v>
      </c>
      <c r="C931" s="1" t="n">
        <v>45474</v>
      </c>
      <c r="D931" t="inlineStr">
        <is>
          <t>UPPSALA LÄN</t>
        </is>
      </c>
      <c r="E931" t="inlineStr">
        <is>
          <t>UPPSALA</t>
        </is>
      </c>
      <c r="G931" t="n">
        <v>2.9</v>
      </c>
      <c r="H931" t="n">
        <v>0</v>
      </c>
      <c r="I931" t="n">
        <v>0</v>
      </c>
      <c r="J931" t="n">
        <v>0</v>
      </c>
      <c r="K931" t="n">
        <v>0</v>
      </c>
      <c r="L931" t="n">
        <v>0</v>
      </c>
      <c r="M931" t="n">
        <v>0</v>
      </c>
      <c r="N931" t="n">
        <v>0</v>
      </c>
      <c r="O931" t="n">
        <v>0</v>
      </c>
      <c r="P931" t="n">
        <v>0</v>
      </c>
      <c r="Q931" t="n">
        <v>0</v>
      </c>
      <c r="R931" s="2" t="inlineStr"/>
    </row>
    <row r="932" ht="15" customHeight="1">
      <c r="A932" t="inlineStr">
        <is>
          <t>A 18277-2023</t>
        </is>
      </c>
      <c r="B932" s="1" t="n">
        <v>45041</v>
      </c>
      <c r="C932" s="1" t="n">
        <v>45474</v>
      </c>
      <c r="D932" t="inlineStr">
        <is>
          <t>UPPSALA LÄN</t>
        </is>
      </c>
      <c r="E932" t="inlineStr">
        <is>
          <t>UPPSALA</t>
        </is>
      </c>
      <c r="G932" t="n">
        <v>1.3</v>
      </c>
      <c r="H932" t="n">
        <v>0</v>
      </c>
      <c r="I932" t="n">
        <v>0</v>
      </c>
      <c r="J932" t="n">
        <v>0</v>
      </c>
      <c r="K932" t="n">
        <v>0</v>
      </c>
      <c r="L932" t="n">
        <v>0</v>
      </c>
      <c r="M932" t="n">
        <v>0</v>
      </c>
      <c r="N932" t="n">
        <v>0</v>
      </c>
      <c r="O932" t="n">
        <v>0</v>
      </c>
      <c r="P932" t="n">
        <v>0</v>
      </c>
      <c r="Q932" t="n">
        <v>0</v>
      </c>
      <c r="R932" s="2" t="inlineStr"/>
    </row>
    <row r="933" ht="15" customHeight="1">
      <c r="A933" t="inlineStr">
        <is>
          <t>A 18275-2023</t>
        </is>
      </c>
      <c r="B933" s="1" t="n">
        <v>45041</v>
      </c>
      <c r="C933" s="1" t="n">
        <v>45474</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18278-2023</t>
        </is>
      </c>
      <c r="B934" s="1" t="n">
        <v>45041</v>
      </c>
      <c r="C934" s="1" t="n">
        <v>45474</v>
      </c>
      <c r="D934" t="inlineStr">
        <is>
          <t>UPPSALA LÄN</t>
        </is>
      </c>
      <c r="E934" t="inlineStr">
        <is>
          <t>UPPSALA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18276-2023</t>
        </is>
      </c>
      <c r="B935" s="1" t="n">
        <v>45041</v>
      </c>
      <c r="C935" s="1" t="n">
        <v>45474</v>
      </c>
      <c r="D935" t="inlineStr">
        <is>
          <t>UPPSALA LÄN</t>
        </is>
      </c>
      <c r="E935" t="inlineStr">
        <is>
          <t>UPPSALA</t>
        </is>
      </c>
      <c r="G935" t="n">
        <v>6.6</v>
      </c>
      <c r="H935" t="n">
        <v>0</v>
      </c>
      <c r="I935" t="n">
        <v>0</v>
      </c>
      <c r="J935" t="n">
        <v>0</v>
      </c>
      <c r="K935" t="n">
        <v>0</v>
      </c>
      <c r="L935" t="n">
        <v>0</v>
      </c>
      <c r="M935" t="n">
        <v>0</v>
      </c>
      <c r="N935" t="n">
        <v>0</v>
      </c>
      <c r="O935" t="n">
        <v>0</v>
      </c>
      <c r="P935" t="n">
        <v>0</v>
      </c>
      <c r="Q935" t="n">
        <v>0</v>
      </c>
      <c r="R935" s="2" t="inlineStr"/>
    </row>
    <row r="936" ht="15" customHeight="1">
      <c r="A936" t="inlineStr">
        <is>
          <t>A 18443-2023</t>
        </is>
      </c>
      <c r="B936" s="1" t="n">
        <v>45042</v>
      </c>
      <c r="C936" s="1" t="n">
        <v>45474</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18496-2023</t>
        </is>
      </c>
      <c r="B937" s="1" t="n">
        <v>45042</v>
      </c>
      <c r="C937" s="1" t="n">
        <v>45474</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18507-2023</t>
        </is>
      </c>
      <c r="B938" s="1" t="n">
        <v>45042</v>
      </c>
      <c r="C938" s="1" t="n">
        <v>45474</v>
      </c>
      <c r="D938" t="inlineStr">
        <is>
          <t>UPPSALA LÄN</t>
        </is>
      </c>
      <c r="E938" t="inlineStr">
        <is>
          <t>UPPSALA</t>
        </is>
      </c>
      <c r="F938" t="inlineStr">
        <is>
          <t>Övriga Aktiebolag</t>
        </is>
      </c>
      <c r="G938" t="n">
        <v>0.9</v>
      </c>
      <c r="H938" t="n">
        <v>0</v>
      </c>
      <c r="I938" t="n">
        <v>0</v>
      </c>
      <c r="J938" t="n">
        <v>0</v>
      </c>
      <c r="K938" t="n">
        <v>0</v>
      </c>
      <c r="L938" t="n">
        <v>0</v>
      </c>
      <c r="M938" t="n">
        <v>0</v>
      </c>
      <c r="N938" t="n">
        <v>0</v>
      </c>
      <c r="O938" t="n">
        <v>0</v>
      </c>
      <c r="P938" t="n">
        <v>0</v>
      </c>
      <c r="Q938" t="n">
        <v>0</v>
      </c>
      <c r="R938" s="2" t="inlineStr"/>
    </row>
    <row r="939" ht="15" customHeight="1">
      <c r="A939" t="inlineStr">
        <is>
          <t>A 18472-2023</t>
        </is>
      </c>
      <c r="B939" s="1" t="n">
        <v>45042</v>
      </c>
      <c r="C939" s="1" t="n">
        <v>45474</v>
      </c>
      <c r="D939" t="inlineStr">
        <is>
          <t>UPPSALA LÄN</t>
        </is>
      </c>
      <c r="E939" t="inlineStr">
        <is>
          <t>UPPSALA</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18710-2023</t>
        </is>
      </c>
      <c r="B940" s="1" t="n">
        <v>45043</v>
      </c>
      <c r="C940" s="1" t="n">
        <v>45474</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19017-2023</t>
        </is>
      </c>
      <c r="B941" s="1" t="n">
        <v>45047</v>
      </c>
      <c r="C941" s="1" t="n">
        <v>45474</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19135-2023</t>
        </is>
      </c>
      <c r="B942" s="1" t="n">
        <v>45048</v>
      </c>
      <c r="C942" s="1" t="n">
        <v>45474</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19139-2023</t>
        </is>
      </c>
      <c r="B943" s="1" t="n">
        <v>45048</v>
      </c>
      <c r="C943" s="1" t="n">
        <v>45474</v>
      </c>
      <c r="D943" t="inlineStr">
        <is>
          <t>UPPSALA LÄN</t>
        </is>
      </c>
      <c r="E943" t="inlineStr">
        <is>
          <t>UPPSALA</t>
        </is>
      </c>
      <c r="G943" t="n">
        <v>3</v>
      </c>
      <c r="H943" t="n">
        <v>0</v>
      </c>
      <c r="I943" t="n">
        <v>0</v>
      </c>
      <c r="J943" t="n">
        <v>0</v>
      </c>
      <c r="K943" t="n">
        <v>0</v>
      </c>
      <c r="L943" t="n">
        <v>0</v>
      </c>
      <c r="M943" t="n">
        <v>0</v>
      </c>
      <c r="N943" t="n">
        <v>0</v>
      </c>
      <c r="O943" t="n">
        <v>0</v>
      </c>
      <c r="P943" t="n">
        <v>0</v>
      </c>
      <c r="Q943" t="n">
        <v>0</v>
      </c>
      <c r="R943" s="2" t="inlineStr"/>
    </row>
    <row r="944" ht="15" customHeight="1">
      <c r="A944" t="inlineStr">
        <is>
          <t>A 19279-2023</t>
        </is>
      </c>
      <c r="B944" s="1" t="n">
        <v>45049</v>
      </c>
      <c r="C944" s="1" t="n">
        <v>45474</v>
      </c>
      <c r="D944" t="inlineStr">
        <is>
          <t>UPPSALA LÄN</t>
        </is>
      </c>
      <c r="E944" t="inlineStr">
        <is>
          <t>UPPSALA</t>
        </is>
      </c>
      <c r="G944" t="n">
        <v>5.8</v>
      </c>
      <c r="H944" t="n">
        <v>0</v>
      </c>
      <c r="I944" t="n">
        <v>0</v>
      </c>
      <c r="J944" t="n">
        <v>0</v>
      </c>
      <c r="K944" t="n">
        <v>0</v>
      </c>
      <c r="L944" t="n">
        <v>0</v>
      </c>
      <c r="M944" t="n">
        <v>0</v>
      </c>
      <c r="N944" t="n">
        <v>0</v>
      </c>
      <c r="O944" t="n">
        <v>0</v>
      </c>
      <c r="P944" t="n">
        <v>0</v>
      </c>
      <c r="Q944" t="n">
        <v>0</v>
      </c>
      <c r="R944" s="2" t="inlineStr"/>
    </row>
    <row r="945" ht="15" customHeight="1">
      <c r="A945" t="inlineStr">
        <is>
          <t>A 19269-2023</t>
        </is>
      </c>
      <c r="B945" s="1" t="n">
        <v>45049</v>
      </c>
      <c r="C945" s="1" t="n">
        <v>45474</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19314-2023</t>
        </is>
      </c>
      <c r="B946" s="1" t="n">
        <v>45049</v>
      </c>
      <c r="C946" s="1" t="n">
        <v>45474</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19320-2023</t>
        </is>
      </c>
      <c r="B947" s="1" t="n">
        <v>45049</v>
      </c>
      <c r="C947" s="1" t="n">
        <v>45474</v>
      </c>
      <c r="D947" t="inlineStr">
        <is>
          <t>UPPSALA LÄN</t>
        </is>
      </c>
      <c r="E947" t="inlineStr">
        <is>
          <t>UPPSALA</t>
        </is>
      </c>
      <c r="G947" t="n">
        <v>17.5</v>
      </c>
      <c r="H947" t="n">
        <v>0</v>
      </c>
      <c r="I947" t="n">
        <v>0</v>
      </c>
      <c r="J947" t="n">
        <v>0</v>
      </c>
      <c r="K947" t="n">
        <v>0</v>
      </c>
      <c r="L947" t="n">
        <v>0</v>
      </c>
      <c r="M947" t="n">
        <v>0</v>
      </c>
      <c r="N947" t="n">
        <v>0</v>
      </c>
      <c r="O947" t="n">
        <v>0</v>
      </c>
      <c r="P947" t="n">
        <v>0</v>
      </c>
      <c r="Q947" t="n">
        <v>0</v>
      </c>
      <c r="R947" s="2" t="inlineStr"/>
    </row>
    <row r="948" ht="15" customHeight="1">
      <c r="A948" t="inlineStr">
        <is>
          <t>A 19339-2023</t>
        </is>
      </c>
      <c r="B948" s="1" t="n">
        <v>45049</v>
      </c>
      <c r="C948" s="1" t="n">
        <v>45474</v>
      </c>
      <c r="D948" t="inlineStr">
        <is>
          <t>UPPSALA LÄN</t>
        </is>
      </c>
      <c r="E948" t="inlineStr">
        <is>
          <t>UPPSALA</t>
        </is>
      </c>
      <c r="G948" t="n">
        <v>6.9</v>
      </c>
      <c r="H948" t="n">
        <v>0</v>
      </c>
      <c r="I948" t="n">
        <v>0</v>
      </c>
      <c r="J948" t="n">
        <v>0</v>
      </c>
      <c r="K948" t="n">
        <v>0</v>
      </c>
      <c r="L948" t="n">
        <v>0</v>
      </c>
      <c r="M948" t="n">
        <v>0</v>
      </c>
      <c r="N948" t="n">
        <v>0</v>
      </c>
      <c r="O948" t="n">
        <v>0</v>
      </c>
      <c r="P948" t="n">
        <v>0</v>
      </c>
      <c r="Q948" t="n">
        <v>0</v>
      </c>
      <c r="R948" s="2" t="inlineStr"/>
    </row>
    <row r="949" ht="15" customHeight="1">
      <c r="A949" t="inlineStr">
        <is>
          <t>A 19380-2023</t>
        </is>
      </c>
      <c r="B949" s="1" t="n">
        <v>45049</v>
      </c>
      <c r="C949" s="1" t="n">
        <v>45474</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19411-2023</t>
        </is>
      </c>
      <c r="B950" s="1" t="n">
        <v>45049</v>
      </c>
      <c r="C950" s="1" t="n">
        <v>45474</v>
      </c>
      <c r="D950" t="inlineStr">
        <is>
          <t>UPPSALA LÄN</t>
        </is>
      </c>
      <c r="E950" t="inlineStr">
        <is>
          <t>UPPSALA</t>
        </is>
      </c>
      <c r="G950" t="n">
        <v>12.6</v>
      </c>
      <c r="H950" t="n">
        <v>0</v>
      </c>
      <c r="I950" t="n">
        <v>0</v>
      </c>
      <c r="J950" t="n">
        <v>0</v>
      </c>
      <c r="K950" t="n">
        <v>0</v>
      </c>
      <c r="L950" t="n">
        <v>0</v>
      </c>
      <c r="M950" t="n">
        <v>0</v>
      </c>
      <c r="N950" t="n">
        <v>0</v>
      </c>
      <c r="O950" t="n">
        <v>0</v>
      </c>
      <c r="P950" t="n">
        <v>0</v>
      </c>
      <c r="Q950" t="n">
        <v>0</v>
      </c>
      <c r="R950" s="2" t="inlineStr"/>
    </row>
    <row r="951" ht="15" customHeight="1">
      <c r="A951" t="inlineStr">
        <is>
          <t>A 19272-2023</t>
        </is>
      </c>
      <c r="B951" s="1" t="n">
        <v>45049</v>
      </c>
      <c r="C951" s="1" t="n">
        <v>45474</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19276-2023</t>
        </is>
      </c>
      <c r="B952" s="1" t="n">
        <v>45049</v>
      </c>
      <c r="C952" s="1" t="n">
        <v>45474</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19317-2023</t>
        </is>
      </c>
      <c r="B953" s="1" t="n">
        <v>45049</v>
      </c>
      <c r="C953" s="1" t="n">
        <v>45474</v>
      </c>
      <c r="D953" t="inlineStr">
        <is>
          <t>UPPSALA LÄN</t>
        </is>
      </c>
      <c r="E953" t="inlineStr">
        <is>
          <t>UPPSALA</t>
        </is>
      </c>
      <c r="G953" t="n">
        <v>15.4</v>
      </c>
      <c r="H953" t="n">
        <v>0</v>
      </c>
      <c r="I953" t="n">
        <v>0</v>
      </c>
      <c r="J953" t="n">
        <v>0</v>
      </c>
      <c r="K953" t="n">
        <v>0</v>
      </c>
      <c r="L953" t="n">
        <v>0</v>
      </c>
      <c r="M953" t="n">
        <v>0</v>
      </c>
      <c r="N953" t="n">
        <v>0</v>
      </c>
      <c r="O953" t="n">
        <v>0</v>
      </c>
      <c r="P953" t="n">
        <v>0</v>
      </c>
      <c r="Q953" t="n">
        <v>0</v>
      </c>
      <c r="R953" s="2" t="inlineStr"/>
    </row>
    <row r="954" ht="15" customHeight="1">
      <c r="A954" t="inlineStr">
        <is>
          <t>A 19409-2023</t>
        </is>
      </c>
      <c r="B954" s="1" t="n">
        <v>45049</v>
      </c>
      <c r="C954" s="1" t="n">
        <v>45474</v>
      </c>
      <c r="D954" t="inlineStr">
        <is>
          <t>UPPSALA LÄN</t>
        </is>
      </c>
      <c r="E954" t="inlineStr">
        <is>
          <t>UPPSALA</t>
        </is>
      </c>
      <c r="G954" t="n">
        <v>0.9</v>
      </c>
      <c r="H954" t="n">
        <v>0</v>
      </c>
      <c r="I954" t="n">
        <v>0</v>
      </c>
      <c r="J954" t="n">
        <v>0</v>
      </c>
      <c r="K954" t="n">
        <v>0</v>
      </c>
      <c r="L954" t="n">
        <v>0</v>
      </c>
      <c r="M954" t="n">
        <v>0</v>
      </c>
      <c r="N954" t="n">
        <v>0</v>
      </c>
      <c r="O954" t="n">
        <v>0</v>
      </c>
      <c r="P954" t="n">
        <v>0</v>
      </c>
      <c r="Q954" t="n">
        <v>0</v>
      </c>
      <c r="R954" s="2" t="inlineStr"/>
    </row>
    <row r="955" ht="15" customHeight="1">
      <c r="A955" t="inlineStr">
        <is>
          <t>A 19455-2023</t>
        </is>
      </c>
      <c r="B955" s="1" t="n">
        <v>45050</v>
      </c>
      <c r="C955" s="1" t="n">
        <v>45474</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19515-2023</t>
        </is>
      </c>
      <c r="B956" s="1" t="n">
        <v>45050</v>
      </c>
      <c r="C956" s="1" t="n">
        <v>45474</v>
      </c>
      <c r="D956" t="inlineStr">
        <is>
          <t>UPPSALA LÄN</t>
        </is>
      </c>
      <c r="E956" t="inlineStr">
        <is>
          <t>UPPSALA</t>
        </is>
      </c>
      <c r="G956" t="n">
        <v>11.2</v>
      </c>
      <c r="H956" t="n">
        <v>0</v>
      </c>
      <c r="I956" t="n">
        <v>0</v>
      </c>
      <c r="J956" t="n">
        <v>0</v>
      </c>
      <c r="K956" t="n">
        <v>0</v>
      </c>
      <c r="L956" t="n">
        <v>0</v>
      </c>
      <c r="M956" t="n">
        <v>0</v>
      </c>
      <c r="N956" t="n">
        <v>0</v>
      </c>
      <c r="O956" t="n">
        <v>0</v>
      </c>
      <c r="P956" t="n">
        <v>0</v>
      </c>
      <c r="Q956" t="n">
        <v>0</v>
      </c>
      <c r="R956" s="2" t="inlineStr"/>
    </row>
    <row r="957" ht="15" customHeight="1">
      <c r="A957" t="inlineStr">
        <is>
          <t>A 19447-2023</t>
        </is>
      </c>
      <c r="B957" s="1" t="n">
        <v>45050</v>
      </c>
      <c r="C957" s="1" t="n">
        <v>45474</v>
      </c>
      <c r="D957" t="inlineStr">
        <is>
          <t>UPPSALA LÄN</t>
        </is>
      </c>
      <c r="E957" t="inlineStr">
        <is>
          <t>UPPSALA</t>
        </is>
      </c>
      <c r="G957" t="n">
        <v>2.3</v>
      </c>
      <c r="H957" t="n">
        <v>0</v>
      </c>
      <c r="I957" t="n">
        <v>0</v>
      </c>
      <c r="J957" t="n">
        <v>0</v>
      </c>
      <c r="K957" t="n">
        <v>0</v>
      </c>
      <c r="L957" t="n">
        <v>0</v>
      </c>
      <c r="M957" t="n">
        <v>0</v>
      </c>
      <c r="N957" t="n">
        <v>0</v>
      </c>
      <c r="O957" t="n">
        <v>0</v>
      </c>
      <c r="P957" t="n">
        <v>0</v>
      </c>
      <c r="Q957" t="n">
        <v>0</v>
      </c>
      <c r="R957" s="2" t="inlineStr"/>
    </row>
    <row r="958" ht="15" customHeight="1">
      <c r="A958" t="inlineStr">
        <is>
          <t>A 19513-2023</t>
        </is>
      </c>
      <c r="B958" s="1" t="n">
        <v>45050</v>
      </c>
      <c r="C958" s="1" t="n">
        <v>45474</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19516-2023</t>
        </is>
      </c>
      <c r="B959" s="1" t="n">
        <v>45050</v>
      </c>
      <c r="C959" s="1" t="n">
        <v>45474</v>
      </c>
      <c r="D959" t="inlineStr">
        <is>
          <t>UPPSALA LÄN</t>
        </is>
      </c>
      <c r="E959" t="inlineStr">
        <is>
          <t>UPPSALA</t>
        </is>
      </c>
      <c r="G959" t="n">
        <v>4.5</v>
      </c>
      <c r="H959" t="n">
        <v>0</v>
      </c>
      <c r="I959" t="n">
        <v>0</v>
      </c>
      <c r="J959" t="n">
        <v>0</v>
      </c>
      <c r="K959" t="n">
        <v>0</v>
      </c>
      <c r="L959" t="n">
        <v>0</v>
      </c>
      <c r="M959" t="n">
        <v>0</v>
      </c>
      <c r="N959" t="n">
        <v>0</v>
      </c>
      <c r="O959" t="n">
        <v>0</v>
      </c>
      <c r="P959" t="n">
        <v>0</v>
      </c>
      <c r="Q959" t="n">
        <v>0</v>
      </c>
      <c r="R959" s="2" t="inlineStr"/>
    </row>
    <row r="960" ht="15" customHeight="1">
      <c r="A960" t="inlineStr">
        <is>
          <t>A 19920-2023</t>
        </is>
      </c>
      <c r="B960" s="1" t="n">
        <v>45054</v>
      </c>
      <c r="C960" s="1" t="n">
        <v>45474</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20087-2023</t>
        </is>
      </c>
      <c r="B961" s="1" t="n">
        <v>45055</v>
      </c>
      <c r="C961" s="1" t="n">
        <v>45474</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20102-2023</t>
        </is>
      </c>
      <c r="B962" s="1" t="n">
        <v>45055</v>
      </c>
      <c r="C962" s="1" t="n">
        <v>45474</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20105-2023</t>
        </is>
      </c>
      <c r="B963" s="1" t="n">
        <v>45055</v>
      </c>
      <c r="C963" s="1" t="n">
        <v>45474</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20206-2023</t>
        </is>
      </c>
      <c r="B964" s="1" t="n">
        <v>45055</v>
      </c>
      <c r="C964" s="1" t="n">
        <v>45474</v>
      </c>
      <c r="D964" t="inlineStr">
        <is>
          <t>UPPSALA LÄN</t>
        </is>
      </c>
      <c r="E964" t="inlineStr">
        <is>
          <t>UPPSALA</t>
        </is>
      </c>
      <c r="G964" t="n">
        <v>5.7</v>
      </c>
      <c r="H964" t="n">
        <v>0</v>
      </c>
      <c r="I964" t="n">
        <v>0</v>
      </c>
      <c r="J964" t="n">
        <v>0</v>
      </c>
      <c r="K964" t="n">
        <v>0</v>
      </c>
      <c r="L964" t="n">
        <v>0</v>
      </c>
      <c r="M964" t="n">
        <v>0</v>
      </c>
      <c r="N964" t="n">
        <v>0</v>
      </c>
      <c r="O964" t="n">
        <v>0</v>
      </c>
      <c r="P964" t="n">
        <v>0</v>
      </c>
      <c r="Q964" t="n">
        <v>0</v>
      </c>
      <c r="R964" s="2" t="inlineStr"/>
    </row>
    <row r="965" ht="15" customHeight="1">
      <c r="A965" t="inlineStr">
        <is>
          <t>A 20438-2023</t>
        </is>
      </c>
      <c r="B965" s="1" t="n">
        <v>45056</v>
      </c>
      <c r="C965" s="1" t="n">
        <v>45474</v>
      </c>
      <c r="D965" t="inlineStr">
        <is>
          <t>UPPSALA LÄN</t>
        </is>
      </c>
      <c r="E965" t="inlineStr">
        <is>
          <t>UPPSALA</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20440-2023</t>
        </is>
      </c>
      <c r="B966" s="1" t="n">
        <v>45056</v>
      </c>
      <c r="C966" s="1" t="n">
        <v>45474</v>
      </c>
      <c r="D966" t="inlineStr">
        <is>
          <t>UPPSALA LÄN</t>
        </is>
      </c>
      <c r="E966" t="inlineStr">
        <is>
          <t>UPPSALA</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20437-2023</t>
        </is>
      </c>
      <c r="B967" s="1" t="n">
        <v>45056</v>
      </c>
      <c r="C967" s="1" t="n">
        <v>45474</v>
      </c>
      <c r="D967" t="inlineStr">
        <is>
          <t>UPPSALA LÄN</t>
        </is>
      </c>
      <c r="E967" t="inlineStr">
        <is>
          <t>UPPSALA</t>
        </is>
      </c>
      <c r="F967" t="inlineStr">
        <is>
          <t>Holmen skog AB</t>
        </is>
      </c>
      <c r="G967" t="n">
        <v>20.1</v>
      </c>
      <c r="H967" t="n">
        <v>0</v>
      </c>
      <c r="I967" t="n">
        <v>0</v>
      </c>
      <c r="J967" t="n">
        <v>0</v>
      </c>
      <c r="K967" t="n">
        <v>0</v>
      </c>
      <c r="L967" t="n">
        <v>0</v>
      </c>
      <c r="M967" t="n">
        <v>0</v>
      </c>
      <c r="N967" t="n">
        <v>0</v>
      </c>
      <c r="O967" t="n">
        <v>0</v>
      </c>
      <c r="P967" t="n">
        <v>0</v>
      </c>
      <c r="Q967" t="n">
        <v>0</v>
      </c>
      <c r="R967" s="2" t="inlineStr"/>
    </row>
    <row r="968" ht="15" customHeight="1">
      <c r="A968" t="inlineStr">
        <is>
          <t>A 20550-2023</t>
        </is>
      </c>
      <c r="B968" s="1" t="n">
        <v>45057</v>
      </c>
      <c r="C968" s="1" t="n">
        <v>45474</v>
      </c>
      <c r="D968" t="inlineStr">
        <is>
          <t>UPPSALA LÄN</t>
        </is>
      </c>
      <c r="E968" t="inlineStr">
        <is>
          <t>UPPSALA</t>
        </is>
      </c>
      <c r="F968" t="inlineStr">
        <is>
          <t>Övriga Aktiebolag</t>
        </is>
      </c>
      <c r="G968" t="n">
        <v>12.2</v>
      </c>
      <c r="H968" t="n">
        <v>0</v>
      </c>
      <c r="I968" t="n">
        <v>0</v>
      </c>
      <c r="J968" t="n">
        <v>0</v>
      </c>
      <c r="K968" t="n">
        <v>0</v>
      </c>
      <c r="L968" t="n">
        <v>0</v>
      </c>
      <c r="M968" t="n">
        <v>0</v>
      </c>
      <c r="N968" t="n">
        <v>0</v>
      </c>
      <c r="O968" t="n">
        <v>0</v>
      </c>
      <c r="P968" t="n">
        <v>0</v>
      </c>
      <c r="Q968" t="n">
        <v>0</v>
      </c>
      <c r="R968" s="2" t="inlineStr"/>
    </row>
    <row r="969" ht="15" customHeight="1">
      <c r="A969" t="inlineStr">
        <is>
          <t>A 20670-2023</t>
        </is>
      </c>
      <c r="B969" s="1" t="n">
        <v>45058</v>
      </c>
      <c r="C969" s="1" t="n">
        <v>45474</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20692-2023</t>
        </is>
      </c>
      <c r="B970" s="1" t="n">
        <v>45058</v>
      </c>
      <c r="C970" s="1" t="n">
        <v>45474</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20667-2023</t>
        </is>
      </c>
      <c r="B971" s="1" t="n">
        <v>45058</v>
      </c>
      <c r="C971" s="1" t="n">
        <v>45474</v>
      </c>
      <c r="D971" t="inlineStr">
        <is>
          <t>UPPSALA LÄN</t>
        </is>
      </c>
      <c r="E971" t="inlineStr">
        <is>
          <t>UPPSALA</t>
        </is>
      </c>
      <c r="G971" t="n">
        <v>6.8</v>
      </c>
      <c r="H971" t="n">
        <v>0</v>
      </c>
      <c r="I971" t="n">
        <v>0</v>
      </c>
      <c r="J971" t="n">
        <v>0</v>
      </c>
      <c r="K971" t="n">
        <v>0</v>
      </c>
      <c r="L971" t="n">
        <v>0</v>
      </c>
      <c r="M971" t="n">
        <v>0</v>
      </c>
      <c r="N971" t="n">
        <v>0</v>
      </c>
      <c r="O971" t="n">
        <v>0</v>
      </c>
      <c r="P971" t="n">
        <v>0</v>
      </c>
      <c r="Q971" t="n">
        <v>0</v>
      </c>
      <c r="R971" s="2" t="inlineStr"/>
    </row>
    <row r="972" ht="15" customHeight="1">
      <c r="A972" t="inlineStr">
        <is>
          <t>A 20708-2023</t>
        </is>
      </c>
      <c r="B972" s="1" t="n">
        <v>45058</v>
      </c>
      <c r="C972" s="1" t="n">
        <v>45474</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20669-2023</t>
        </is>
      </c>
      <c r="B973" s="1" t="n">
        <v>45058</v>
      </c>
      <c r="C973" s="1" t="n">
        <v>45474</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20786-2023</t>
        </is>
      </c>
      <c r="B974" s="1" t="n">
        <v>45058</v>
      </c>
      <c r="C974" s="1" t="n">
        <v>45474</v>
      </c>
      <c r="D974" t="inlineStr">
        <is>
          <t>UPPSALA LÄN</t>
        </is>
      </c>
      <c r="E974" t="inlineStr">
        <is>
          <t>UPPSALA</t>
        </is>
      </c>
      <c r="G974" t="n">
        <v>4.1</v>
      </c>
      <c r="H974" t="n">
        <v>0</v>
      </c>
      <c r="I974" t="n">
        <v>0</v>
      </c>
      <c r="J974" t="n">
        <v>0</v>
      </c>
      <c r="K974" t="n">
        <v>0</v>
      </c>
      <c r="L974" t="n">
        <v>0</v>
      </c>
      <c r="M974" t="n">
        <v>0</v>
      </c>
      <c r="N974" t="n">
        <v>0</v>
      </c>
      <c r="O974" t="n">
        <v>0</v>
      </c>
      <c r="P974" t="n">
        <v>0</v>
      </c>
      <c r="Q974" t="n">
        <v>0</v>
      </c>
      <c r="R974" s="2" t="inlineStr"/>
    </row>
    <row r="975" ht="15" customHeight="1">
      <c r="A975" t="inlineStr">
        <is>
          <t>A 20900-2023</t>
        </is>
      </c>
      <c r="B975" s="1" t="n">
        <v>45060</v>
      </c>
      <c r="C975" s="1" t="n">
        <v>45474</v>
      </c>
      <c r="D975" t="inlineStr">
        <is>
          <t>UPPSALA LÄN</t>
        </is>
      </c>
      <c r="E975" t="inlineStr">
        <is>
          <t>UPPSALA</t>
        </is>
      </c>
      <c r="G975" t="n">
        <v>3.2</v>
      </c>
      <c r="H975" t="n">
        <v>0</v>
      </c>
      <c r="I975" t="n">
        <v>0</v>
      </c>
      <c r="J975" t="n">
        <v>0</v>
      </c>
      <c r="K975" t="n">
        <v>0</v>
      </c>
      <c r="L975" t="n">
        <v>0</v>
      </c>
      <c r="M975" t="n">
        <v>0</v>
      </c>
      <c r="N975" t="n">
        <v>0</v>
      </c>
      <c r="O975" t="n">
        <v>0</v>
      </c>
      <c r="P975" t="n">
        <v>0</v>
      </c>
      <c r="Q975" t="n">
        <v>0</v>
      </c>
      <c r="R975" s="2" t="inlineStr"/>
    </row>
    <row r="976" ht="15" customHeight="1">
      <c r="A976" t="inlineStr">
        <is>
          <t>A 21052-2023</t>
        </is>
      </c>
      <c r="B976" s="1" t="n">
        <v>45061</v>
      </c>
      <c r="C976" s="1" t="n">
        <v>45474</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21416-2023</t>
        </is>
      </c>
      <c r="B977" s="1" t="n">
        <v>45063</v>
      </c>
      <c r="C977" s="1" t="n">
        <v>45474</v>
      </c>
      <c r="D977" t="inlineStr">
        <is>
          <t>UPPSALA LÄN</t>
        </is>
      </c>
      <c r="E977" t="inlineStr">
        <is>
          <t>UPPSALA</t>
        </is>
      </c>
      <c r="G977" t="n">
        <v>13.9</v>
      </c>
      <c r="H977" t="n">
        <v>0</v>
      </c>
      <c r="I977" t="n">
        <v>0</v>
      </c>
      <c r="J977" t="n">
        <v>0</v>
      </c>
      <c r="K977" t="n">
        <v>0</v>
      </c>
      <c r="L977" t="n">
        <v>0</v>
      </c>
      <c r="M977" t="n">
        <v>0</v>
      </c>
      <c r="N977" t="n">
        <v>0</v>
      </c>
      <c r="O977" t="n">
        <v>0</v>
      </c>
      <c r="P977" t="n">
        <v>0</v>
      </c>
      <c r="Q977" t="n">
        <v>0</v>
      </c>
      <c r="R977" s="2" t="inlineStr"/>
    </row>
    <row r="978" ht="15" customHeight="1">
      <c r="A978" t="inlineStr">
        <is>
          <t>A 21424-2023</t>
        </is>
      </c>
      <c r="B978" s="1" t="n">
        <v>45063</v>
      </c>
      <c r="C978" s="1" t="n">
        <v>45474</v>
      </c>
      <c r="D978" t="inlineStr">
        <is>
          <t>UPPSALA LÄN</t>
        </is>
      </c>
      <c r="E978" t="inlineStr">
        <is>
          <t>UPPSALA</t>
        </is>
      </c>
      <c r="G978" t="n">
        <v>4</v>
      </c>
      <c r="H978" t="n">
        <v>0</v>
      </c>
      <c r="I978" t="n">
        <v>0</v>
      </c>
      <c r="J978" t="n">
        <v>0</v>
      </c>
      <c r="K978" t="n">
        <v>0</v>
      </c>
      <c r="L978" t="n">
        <v>0</v>
      </c>
      <c r="M978" t="n">
        <v>0</v>
      </c>
      <c r="N978" t="n">
        <v>0</v>
      </c>
      <c r="O978" t="n">
        <v>0</v>
      </c>
      <c r="P978" t="n">
        <v>0</v>
      </c>
      <c r="Q978" t="n">
        <v>0</v>
      </c>
      <c r="R978" s="2" t="inlineStr"/>
    </row>
    <row r="979" ht="15" customHeight="1">
      <c r="A979" t="inlineStr">
        <is>
          <t>A 21727-2023</t>
        </is>
      </c>
      <c r="B979" s="1" t="n">
        <v>45065</v>
      </c>
      <c r="C979" s="1" t="n">
        <v>45474</v>
      </c>
      <c r="D979" t="inlineStr">
        <is>
          <t>UPPSALA LÄN</t>
        </is>
      </c>
      <c r="E979" t="inlineStr">
        <is>
          <t>UPPSALA</t>
        </is>
      </c>
      <c r="G979" t="n">
        <v>1.5</v>
      </c>
      <c r="H979" t="n">
        <v>0</v>
      </c>
      <c r="I979" t="n">
        <v>0</v>
      </c>
      <c r="J979" t="n">
        <v>0</v>
      </c>
      <c r="K979" t="n">
        <v>0</v>
      </c>
      <c r="L979" t="n">
        <v>0</v>
      </c>
      <c r="M979" t="n">
        <v>0</v>
      </c>
      <c r="N979" t="n">
        <v>0</v>
      </c>
      <c r="O979" t="n">
        <v>0</v>
      </c>
      <c r="P979" t="n">
        <v>0</v>
      </c>
      <c r="Q979" t="n">
        <v>0</v>
      </c>
      <c r="R979" s="2" t="inlineStr"/>
    </row>
    <row r="980" ht="15" customHeight="1">
      <c r="A980" t="inlineStr">
        <is>
          <t>A 21935-2023</t>
        </is>
      </c>
      <c r="B980" s="1" t="n">
        <v>45068</v>
      </c>
      <c r="C980" s="1" t="n">
        <v>45474</v>
      </c>
      <c r="D980" t="inlineStr">
        <is>
          <t>UPPSALA LÄN</t>
        </is>
      </c>
      <c r="E980" t="inlineStr">
        <is>
          <t>UPPSALA</t>
        </is>
      </c>
      <c r="G980" t="n">
        <v>2.6</v>
      </c>
      <c r="H980" t="n">
        <v>0</v>
      </c>
      <c r="I980" t="n">
        <v>0</v>
      </c>
      <c r="J980" t="n">
        <v>0</v>
      </c>
      <c r="K980" t="n">
        <v>0</v>
      </c>
      <c r="L980" t="n">
        <v>0</v>
      </c>
      <c r="M980" t="n">
        <v>0</v>
      </c>
      <c r="N980" t="n">
        <v>0</v>
      </c>
      <c r="O980" t="n">
        <v>0</v>
      </c>
      <c r="P980" t="n">
        <v>0</v>
      </c>
      <c r="Q980" t="n">
        <v>0</v>
      </c>
      <c r="R980" s="2" t="inlineStr"/>
    </row>
    <row r="981" ht="15" customHeight="1">
      <c r="A981" t="inlineStr">
        <is>
          <t>A 22450-2023</t>
        </is>
      </c>
      <c r="B981" s="1" t="n">
        <v>45070</v>
      </c>
      <c r="C981" s="1" t="n">
        <v>45474</v>
      </c>
      <c r="D981" t="inlineStr">
        <is>
          <t>UPPSALA LÄN</t>
        </is>
      </c>
      <c r="E981" t="inlineStr">
        <is>
          <t>UPPSALA</t>
        </is>
      </c>
      <c r="F981" t="inlineStr">
        <is>
          <t>Allmännings- och besparingsskogar</t>
        </is>
      </c>
      <c r="G981" t="n">
        <v>10</v>
      </c>
      <c r="H981" t="n">
        <v>0</v>
      </c>
      <c r="I981" t="n">
        <v>0</v>
      </c>
      <c r="J981" t="n">
        <v>0</v>
      </c>
      <c r="K981" t="n">
        <v>0</v>
      </c>
      <c r="L981" t="n">
        <v>0</v>
      </c>
      <c r="M981" t="n">
        <v>0</v>
      </c>
      <c r="N981" t="n">
        <v>0</v>
      </c>
      <c r="O981" t="n">
        <v>0</v>
      </c>
      <c r="P981" t="n">
        <v>0</v>
      </c>
      <c r="Q981" t="n">
        <v>0</v>
      </c>
      <c r="R981" s="2" t="inlineStr"/>
    </row>
    <row r="982" ht="15" customHeight="1">
      <c r="A982" t="inlineStr">
        <is>
          <t>A 23159-2023</t>
        </is>
      </c>
      <c r="B982" s="1" t="n">
        <v>45075</v>
      </c>
      <c r="C982" s="1" t="n">
        <v>45474</v>
      </c>
      <c r="D982" t="inlineStr">
        <is>
          <t>UPPSALA LÄN</t>
        </is>
      </c>
      <c r="E982" t="inlineStr">
        <is>
          <t>UPPSALA</t>
        </is>
      </c>
      <c r="G982" t="n">
        <v>4.1</v>
      </c>
      <c r="H982" t="n">
        <v>0</v>
      </c>
      <c r="I982" t="n">
        <v>0</v>
      </c>
      <c r="J982" t="n">
        <v>0</v>
      </c>
      <c r="K982" t="n">
        <v>0</v>
      </c>
      <c r="L982" t="n">
        <v>0</v>
      </c>
      <c r="M982" t="n">
        <v>0</v>
      </c>
      <c r="N982" t="n">
        <v>0</v>
      </c>
      <c r="O982" t="n">
        <v>0</v>
      </c>
      <c r="P982" t="n">
        <v>0</v>
      </c>
      <c r="Q982" t="n">
        <v>0</v>
      </c>
      <c r="R982" s="2" t="inlineStr"/>
    </row>
    <row r="983" ht="15" customHeight="1">
      <c r="A983" t="inlineStr">
        <is>
          <t>A 23157-2023</t>
        </is>
      </c>
      <c r="B983" s="1" t="n">
        <v>45075</v>
      </c>
      <c r="C983" s="1" t="n">
        <v>45474</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23929-2023</t>
        </is>
      </c>
      <c r="B984" s="1" t="n">
        <v>45078</v>
      </c>
      <c r="C984" s="1" t="n">
        <v>45474</v>
      </c>
      <c r="D984" t="inlineStr">
        <is>
          <t>UPPSALA LÄN</t>
        </is>
      </c>
      <c r="E984" t="inlineStr">
        <is>
          <t>UPPSALA</t>
        </is>
      </c>
      <c r="G984" t="n">
        <v>12.7</v>
      </c>
      <c r="H984" t="n">
        <v>0</v>
      </c>
      <c r="I984" t="n">
        <v>0</v>
      </c>
      <c r="J984" t="n">
        <v>0</v>
      </c>
      <c r="K984" t="n">
        <v>0</v>
      </c>
      <c r="L984" t="n">
        <v>0</v>
      </c>
      <c r="M984" t="n">
        <v>0</v>
      </c>
      <c r="N984" t="n">
        <v>0</v>
      </c>
      <c r="O984" t="n">
        <v>0</v>
      </c>
      <c r="P984" t="n">
        <v>0</v>
      </c>
      <c r="Q984" t="n">
        <v>0</v>
      </c>
      <c r="R984" s="2" t="inlineStr"/>
    </row>
    <row r="985" ht="15" customHeight="1">
      <c r="A985" t="inlineStr">
        <is>
          <t>A 24012-2023</t>
        </is>
      </c>
      <c r="B985" s="1" t="n">
        <v>45078</v>
      </c>
      <c r="C985" s="1" t="n">
        <v>45474</v>
      </c>
      <c r="D985" t="inlineStr">
        <is>
          <t>UPPSALA LÄN</t>
        </is>
      </c>
      <c r="E985" t="inlineStr">
        <is>
          <t>UPPSALA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24016-2023</t>
        </is>
      </c>
      <c r="B986" s="1" t="n">
        <v>45078</v>
      </c>
      <c r="C986" s="1" t="n">
        <v>45474</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24009-2023</t>
        </is>
      </c>
      <c r="B987" s="1" t="n">
        <v>45078</v>
      </c>
      <c r="C987" s="1" t="n">
        <v>45474</v>
      </c>
      <c r="D987" t="inlineStr">
        <is>
          <t>UPPSALA LÄN</t>
        </is>
      </c>
      <c r="E987" t="inlineStr">
        <is>
          <t>UPPSALA</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24174-2023</t>
        </is>
      </c>
      <c r="B988" s="1" t="n">
        <v>45079</v>
      </c>
      <c r="C988" s="1" t="n">
        <v>45474</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24670-2023</t>
        </is>
      </c>
      <c r="B989" s="1" t="n">
        <v>45084</v>
      </c>
      <c r="C989" s="1" t="n">
        <v>45474</v>
      </c>
      <c r="D989" t="inlineStr">
        <is>
          <t>UPPSALA LÄN</t>
        </is>
      </c>
      <c r="E989" t="inlineStr">
        <is>
          <t>UPPSALA</t>
        </is>
      </c>
      <c r="F989" t="inlineStr">
        <is>
          <t>Holmen skog AB</t>
        </is>
      </c>
      <c r="G989" t="n">
        <v>4</v>
      </c>
      <c r="H989" t="n">
        <v>0</v>
      </c>
      <c r="I989" t="n">
        <v>0</v>
      </c>
      <c r="J989" t="n">
        <v>0</v>
      </c>
      <c r="K989" t="n">
        <v>0</v>
      </c>
      <c r="L989" t="n">
        <v>0</v>
      </c>
      <c r="M989" t="n">
        <v>0</v>
      </c>
      <c r="N989" t="n">
        <v>0</v>
      </c>
      <c r="O989" t="n">
        <v>0</v>
      </c>
      <c r="P989" t="n">
        <v>0</v>
      </c>
      <c r="Q989" t="n">
        <v>0</v>
      </c>
      <c r="R989" s="2" t="inlineStr"/>
    </row>
    <row r="990" ht="15" customHeight="1">
      <c r="A990" t="inlineStr">
        <is>
          <t>A 25264-2023</t>
        </is>
      </c>
      <c r="B990" s="1" t="n">
        <v>45086</v>
      </c>
      <c r="C990" s="1" t="n">
        <v>45474</v>
      </c>
      <c r="D990" t="inlineStr">
        <is>
          <t>UPPSALA LÄN</t>
        </is>
      </c>
      <c r="E990" t="inlineStr">
        <is>
          <t>UPPSALA</t>
        </is>
      </c>
      <c r="F990" t="inlineStr">
        <is>
          <t>Holmen skog AB</t>
        </is>
      </c>
      <c r="G990" t="n">
        <v>5.9</v>
      </c>
      <c r="H990" t="n">
        <v>0</v>
      </c>
      <c r="I990" t="n">
        <v>0</v>
      </c>
      <c r="J990" t="n">
        <v>0</v>
      </c>
      <c r="K990" t="n">
        <v>0</v>
      </c>
      <c r="L990" t="n">
        <v>0</v>
      </c>
      <c r="M990" t="n">
        <v>0</v>
      </c>
      <c r="N990" t="n">
        <v>0</v>
      </c>
      <c r="O990" t="n">
        <v>0</v>
      </c>
      <c r="P990" t="n">
        <v>0</v>
      </c>
      <c r="Q990" t="n">
        <v>0</v>
      </c>
      <c r="R990" s="2" t="inlineStr"/>
    </row>
    <row r="991" ht="15" customHeight="1">
      <c r="A991" t="inlineStr">
        <is>
          <t>A 25280-2023</t>
        </is>
      </c>
      <c r="B991" s="1" t="n">
        <v>45086</v>
      </c>
      <c r="C991" s="1" t="n">
        <v>45474</v>
      </c>
      <c r="D991" t="inlineStr">
        <is>
          <t>UPPSALA LÄN</t>
        </is>
      </c>
      <c r="E991" t="inlineStr">
        <is>
          <t>UPPSALA</t>
        </is>
      </c>
      <c r="F991" t="inlineStr">
        <is>
          <t>Holmen skog AB</t>
        </is>
      </c>
      <c r="G991" t="n">
        <v>3.2</v>
      </c>
      <c r="H991" t="n">
        <v>0</v>
      </c>
      <c r="I991" t="n">
        <v>0</v>
      </c>
      <c r="J991" t="n">
        <v>0</v>
      </c>
      <c r="K991" t="n">
        <v>0</v>
      </c>
      <c r="L991" t="n">
        <v>0</v>
      </c>
      <c r="M991" t="n">
        <v>0</v>
      </c>
      <c r="N991" t="n">
        <v>0</v>
      </c>
      <c r="O991" t="n">
        <v>0</v>
      </c>
      <c r="P991" t="n">
        <v>0</v>
      </c>
      <c r="Q991" t="n">
        <v>0</v>
      </c>
      <c r="R991" s="2" t="inlineStr"/>
    </row>
    <row r="992" ht="15" customHeight="1">
      <c r="A992" t="inlineStr">
        <is>
          <t>A 25380-2023</t>
        </is>
      </c>
      <c r="B992" s="1" t="n">
        <v>45089</v>
      </c>
      <c r="C992" s="1" t="n">
        <v>45474</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25381-2023</t>
        </is>
      </c>
      <c r="B993" s="1" t="n">
        <v>45089</v>
      </c>
      <c r="C993" s="1" t="n">
        <v>45474</v>
      </c>
      <c r="D993" t="inlineStr">
        <is>
          <t>UPPSALA LÄN</t>
        </is>
      </c>
      <c r="E993" t="inlineStr">
        <is>
          <t>UPPSALA</t>
        </is>
      </c>
      <c r="G993" t="n">
        <v>3.9</v>
      </c>
      <c r="H993" t="n">
        <v>0</v>
      </c>
      <c r="I993" t="n">
        <v>0</v>
      </c>
      <c r="J993" t="n">
        <v>0</v>
      </c>
      <c r="K993" t="n">
        <v>0</v>
      </c>
      <c r="L993" t="n">
        <v>0</v>
      </c>
      <c r="M993" t="n">
        <v>0</v>
      </c>
      <c r="N993" t="n">
        <v>0</v>
      </c>
      <c r="O993" t="n">
        <v>0</v>
      </c>
      <c r="P993" t="n">
        <v>0</v>
      </c>
      <c r="Q993" t="n">
        <v>0</v>
      </c>
      <c r="R993" s="2" t="inlineStr"/>
    </row>
    <row r="994" ht="15" customHeight="1">
      <c r="A994" t="inlineStr">
        <is>
          <t>A 25446-2023</t>
        </is>
      </c>
      <c r="B994" s="1" t="n">
        <v>45089</v>
      </c>
      <c r="C994" s="1" t="n">
        <v>45474</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25462-2023</t>
        </is>
      </c>
      <c r="B995" s="1" t="n">
        <v>45089</v>
      </c>
      <c r="C995" s="1" t="n">
        <v>45474</v>
      </c>
      <c r="D995" t="inlineStr">
        <is>
          <t>UPPSALA LÄN</t>
        </is>
      </c>
      <c r="E995" t="inlineStr">
        <is>
          <t>UPPSALA</t>
        </is>
      </c>
      <c r="G995" t="n">
        <v>1.3</v>
      </c>
      <c r="H995" t="n">
        <v>0</v>
      </c>
      <c r="I995" t="n">
        <v>0</v>
      </c>
      <c r="J995" t="n">
        <v>0</v>
      </c>
      <c r="K995" t="n">
        <v>0</v>
      </c>
      <c r="L995" t="n">
        <v>0</v>
      </c>
      <c r="M995" t="n">
        <v>0</v>
      </c>
      <c r="N995" t="n">
        <v>0</v>
      </c>
      <c r="O995" t="n">
        <v>0</v>
      </c>
      <c r="P995" t="n">
        <v>0</v>
      </c>
      <c r="Q995" t="n">
        <v>0</v>
      </c>
      <c r="R995" s="2" t="inlineStr"/>
    </row>
    <row r="996" ht="15" customHeight="1">
      <c r="A996" t="inlineStr">
        <is>
          <t>A 25939-2023</t>
        </is>
      </c>
      <c r="B996" s="1" t="n">
        <v>45090</v>
      </c>
      <c r="C996" s="1" t="n">
        <v>45474</v>
      </c>
      <c r="D996" t="inlineStr">
        <is>
          <t>UPPSALA LÄN</t>
        </is>
      </c>
      <c r="E996" t="inlineStr">
        <is>
          <t>UPPSALA</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26208-2023</t>
        </is>
      </c>
      <c r="B997" s="1" t="n">
        <v>45091</v>
      </c>
      <c r="C997" s="1" t="n">
        <v>45474</v>
      </c>
      <c r="D997" t="inlineStr">
        <is>
          <t>UPPSALA LÄN</t>
        </is>
      </c>
      <c r="E997" t="inlineStr">
        <is>
          <t>UPPSALA</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26298-2023</t>
        </is>
      </c>
      <c r="B998" s="1" t="n">
        <v>45091</v>
      </c>
      <c r="C998" s="1" t="n">
        <v>45474</v>
      </c>
      <c r="D998" t="inlineStr">
        <is>
          <t>UPPSALA LÄN</t>
        </is>
      </c>
      <c r="E998" t="inlineStr">
        <is>
          <t>UPPSALA</t>
        </is>
      </c>
      <c r="G998" t="n">
        <v>10.8</v>
      </c>
      <c r="H998" t="n">
        <v>0</v>
      </c>
      <c r="I998" t="n">
        <v>0</v>
      </c>
      <c r="J998" t="n">
        <v>0</v>
      </c>
      <c r="K998" t="n">
        <v>0</v>
      </c>
      <c r="L998" t="n">
        <v>0</v>
      </c>
      <c r="M998" t="n">
        <v>0</v>
      </c>
      <c r="N998" t="n">
        <v>0</v>
      </c>
      <c r="O998" t="n">
        <v>0</v>
      </c>
      <c r="P998" t="n">
        <v>0</v>
      </c>
      <c r="Q998" t="n">
        <v>0</v>
      </c>
      <c r="R998" s="2" t="inlineStr"/>
    </row>
    <row r="999" ht="15" customHeight="1">
      <c r="A999" t="inlineStr">
        <is>
          <t>A 26323-2023</t>
        </is>
      </c>
      <c r="B999" s="1" t="n">
        <v>45091</v>
      </c>
      <c r="C999" s="1" t="n">
        <v>45474</v>
      </c>
      <c r="D999" t="inlineStr">
        <is>
          <t>UPPSALA LÄN</t>
        </is>
      </c>
      <c r="E999" t="inlineStr">
        <is>
          <t>UPPSALA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26081-2023</t>
        </is>
      </c>
      <c r="B1000" s="1" t="n">
        <v>45091</v>
      </c>
      <c r="C1000" s="1" t="n">
        <v>45474</v>
      </c>
      <c r="D1000" t="inlineStr">
        <is>
          <t>UPPSALA LÄN</t>
        </is>
      </c>
      <c r="E1000" t="inlineStr">
        <is>
          <t>UPPSALA</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26143-2023</t>
        </is>
      </c>
      <c r="B1001" s="1" t="n">
        <v>45091</v>
      </c>
      <c r="C1001" s="1" t="n">
        <v>45474</v>
      </c>
      <c r="D1001" t="inlineStr">
        <is>
          <t>UPPSALA LÄN</t>
        </is>
      </c>
      <c r="E1001" t="inlineStr">
        <is>
          <t>UPPSALA</t>
        </is>
      </c>
      <c r="F1001" t="inlineStr">
        <is>
          <t>Holmen skog AB</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26134-2023</t>
        </is>
      </c>
      <c r="B1002" s="1" t="n">
        <v>45091</v>
      </c>
      <c r="C1002" s="1" t="n">
        <v>45474</v>
      </c>
      <c r="D1002" t="inlineStr">
        <is>
          <t>UPPSALA LÄN</t>
        </is>
      </c>
      <c r="E1002" t="inlineStr">
        <is>
          <t>UPPSALA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26759-2023</t>
        </is>
      </c>
      <c r="B1003" s="1" t="n">
        <v>45093</v>
      </c>
      <c r="C1003" s="1" t="n">
        <v>45474</v>
      </c>
      <c r="D1003" t="inlineStr">
        <is>
          <t>UPPSALA LÄN</t>
        </is>
      </c>
      <c r="E1003" t="inlineStr">
        <is>
          <t>UPPSALA</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26762-2023</t>
        </is>
      </c>
      <c r="B1004" s="1" t="n">
        <v>45093</v>
      </c>
      <c r="C1004" s="1" t="n">
        <v>45474</v>
      </c>
      <c r="D1004" t="inlineStr">
        <is>
          <t>UPPSALA LÄN</t>
        </is>
      </c>
      <c r="E1004" t="inlineStr">
        <is>
          <t>UPPSALA</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27128-2023</t>
        </is>
      </c>
      <c r="B1005" s="1" t="n">
        <v>45096</v>
      </c>
      <c r="C1005" s="1" t="n">
        <v>45474</v>
      </c>
      <c r="D1005" t="inlineStr">
        <is>
          <t>UPPSALA LÄN</t>
        </is>
      </c>
      <c r="E1005" t="inlineStr">
        <is>
          <t>UPPSALA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27068-2023</t>
        </is>
      </c>
      <c r="B1006" s="1" t="n">
        <v>45096</v>
      </c>
      <c r="C1006" s="1" t="n">
        <v>45474</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27119-2023</t>
        </is>
      </c>
      <c r="B1007" s="1" t="n">
        <v>45096</v>
      </c>
      <c r="C1007" s="1" t="n">
        <v>45474</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27123-2023</t>
        </is>
      </c>
      <c r="B1008" s="1" t="n">
        <v>45096</v>
      </c>
      <c r="C1008" s="1" t="n">
        <v>45474</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27126-2023</t>
        </is>
      </c>
      <c r="B1009" s="1" t="n">
        <v>45096</v>
      </c>
      <c r="C1009" s="1" t="n">
        <v>45474</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27104-2023</t>
        </is>
      </c>
      <c r="B1010" s="1" t="n">
        <v>45096</v>
      </c>
      <c r="C1010" s="1" t="n">
        <v>45474</v>
      </c>
      <c r="D1010" t="inlineStr">
        <is>
          <t>UPPSALA LÄN</t>
        </is>
      </c>
      <c r="E1010" t="inlineStr">
        <is>
          <t>UPPSALA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27121-2023</t>
        </is>
      </c>
      <c r="B1011" s="1" t="n">
        <v>45096</v>
      </c>
      <c r="C1011" s="1" t="n">
        <v>45474</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27125-2023</t>
        </is>
      </c>
      <c r="B1012" s="1" t="n">
        <v>45096</v>
      </c>
      <c r="C1012" s="1" t="n">
        <v>45474</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27254-2023</t>
        </is>
      </c>
      <c r="B1013" s="1" t="n">
        <v>45096</v>
      </c>
      <c r="C1013" s="1" t="n">
        <v>45474</v>
      </c>
      <c r="D1013" t="inlineStr">
        <is>
          <t>UPPSALA LÄN</t>
        </is>
      </c>
      <c r="E1013" t="inlineStr">
        <is>
          <t>UPPSALA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27467-2023</t>
        </is>
      </c>
      <c r="B1014" s="1" t="n">
        <v>45097</v>
      </c>
      <c r="C1014" s="1" t="n">
        <v>45474</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27617-2023</t>
        </is>
      </c>
      <c r="B1015" s="1" t="n">
        <v>45097</v>
      </c>
      <c r="C1015" s="1" t="n">
        <v>45474</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27622-2023</t>
        </is>
      </c>
      <c r="B1016" s="1" t="n">
        <v>45097</v>
      </c>
      <c r="C1016" s="1" t="n">
        <v>45474</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27599-2023</t>
        </is>
      </c>
      <c r="B1017" s="1" t="n">
        <v>45097</v>
      </c>
      <c r="C1017" s="1" t="n">
        <v>45474</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27620-2023</t>
        </is>
      </c>
      <c r="B1018" s="1" t="n">
        <v>45097</v>
      </c>
      <c r="C1018" s="1" t="n">
        <v>45474</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27912-2023</t>
        </is>
      </c>
      <c r="B1019" s="1" t="n">
        <v>45098</v>
      </c>
      <c r="C1019" s="1" t="n">
        <v>45474</v>
      </c>
      <c r="D1019" t="inlineStr">
        <is>
          <t>UPPSALA LÄN</t>
        </is>
      </c>
      <c r="E1019" t="inlineStr">
        <is>
          <t>UPPSALA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27903-2023</t>
        </is>
      </c>
      <c r="B1020" s="1" t="n">
        <v>45098</v>
      </c>
      <c r="C1020" s="1" t="n">
        <v>45474</v>
      </c>
      <c r="D1020" t="inlineStr">
        <is>
          <t>UPPSALA LÄN</t>
        </is>
      </c>
      <c r="E1020" t="inlineStr">
        <is>
          <t>UPPSALA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27930-2023</t>
        </is>
      </c>
      <c r="B1021" s="1" t="n">
        <v>45098</v>
      </c>
      <c r="C1021" s="1" t="n">
        <v>45474</v>
      </c>
      <c r="D1021" t="inlineStr">
        <is>
          <t>UPPSALA LÄN</t>
        </is>
      </c>
      <c r="E1021" t="inlineStr">
        <is>
          <t>UPPSALA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28186-2023</t>
        </is>
      </c>
      <c r="B1022" s="1" t="n">
        <v>45099</v>
      </c>
      <c r="C1022" s="1" t="n">
        <v>45474</v>
      </c>
      <c r="D1022" t="inlineStr">
        <is>
          <t>UPPSALA LÄN</t>
        </is>
      </c>
      <c r="E1022" t="inlineStr">
        <is>
          <t>UPPSALA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28577-2023</t>
        </is>
      </c>
      <c r="B1023" s="1" t="n">
        <v>45103</v>
      </c>
      <c r="C1023" s="1" t="n">
        <v>45474</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28701-2023</t>
        </is>
      </c>
      <c r="B1024" s="1" t="n">
        <v>45103</v>
      </c>
      <c r="C1024" s="1" t="n">
        <v>45474</v>
      </c>
      <c r="D1024" t="inlineStr">
        <is>
          <t>UPPSALA LÄN</t>
        </is>
      </c>
      <c r="E1024" t="inlineStr">
        <is>
          <t>UPPSALA</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29019-2023</t>
        </is>
      </c>
      <c r="B1025" s="1" t="n">
        <v>45104</v>
      </c>
      <c r="C1025" s="1" t="n">
        <v>45474</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31599-2023</t>
        </is>
      </c>
      <c r="B1026" s="1" t="n">
        <v>45105</v>
      </c>
      <c r="C1026" s="1" t="n">
        <v>45474</v>
      </c>
      <c r="D1026" t="inlineStr">
        <is>
          <t>UPPSALA LÄN</t>
        </is>
      </c>
      <c r="E1026" t="inlineStr">
        <is>
          <t>UPPSALA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29282-2023</t>
        </is>
      </c>
      <c r="B1027" s="1" t="n">
        <v>45105</v>
      </c>
      <c r="C1027" s="1" t="n">
        <v>45474</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31630-2023</t>
        </is>
      </c>
      <c r="B1028" s="1" t="n">
        <v>45105</v>
      </c>
      <c r="C1028" s="1" t="n">
        <v>45474</v>
      </c>
      <c r="D1028" t="inlineStr">
        <is>
          <t>UPPSALA LÄN</t>
        </is>
      </c>
      <c r="E1028" t="inlineStr">
        <is>
          <t>UPPSALA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29579-2023</t>
        </is>
      </c>
      <c r="B1029" s="1" t="n">
        <v>45106</v>
      </c>
      <c r="C1029" s="1" t="n">
        <v>45474</v>
      </c>
      <c r="D1029" t="inlineStr">
        <is>
          <t>UPPSALA LÄN</t>
        </is>
      </c>
      <c r="E1029" t="inlineStr">
        <is>
          <t>UPPSALA</t>
        </is>
      </c>
      <c r="F1029" t="inlineStr">
        <is>
          <t>Kyrkan</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29815-2023</t>
        </is>
      </c>
      <c r="B1030" s="1" t="n">
        <v>45107</v>
      </c>
      <c r="C1030" s="1" t="n">
        <v>45474</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29901-2023</t>
        </is>
      </c>
      <c r="B1031" s="1" t="n">
        <v>45107</v>
      </c>
      <c r="C1031" s="1" t="n">
        <v>45474</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29868-2023</t>
        </is>
      </c>
      <c r="B1032" s="1" t="n">
        <v>45107</v>
      </c>
      <c r="C1032" s="1" t="n">
        <v>45474</v>
      </c>
      <c r="D1032" t="inlineStr">
        <is>
          <t>UPPSALA LÄN</t>
        </is>
      </c>
      <c r="E1032" t="inlineStr">
        <is>
          <t>UPPSALA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29799-2023</t>
        </is>
      </c>
      <c r="B1033" s="1" t="n">
        <v>45107</v>
      </c>
      <c r="C1033" s="1" t="n">
        <v>45474</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29808-2023</t>
        </is>
      </c>
      <c r="B1034" s="1" t="n">
        <v>45107</v>
      </c>
      <c r="C1034" s="1" t="n">
        <v>45474</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29902-2023</t>
        </is>
      </c>
      <c r="B1035" s="1" t="n">
        <v>45107</v>
      </c>
      <c r="C1035" s="1" t="n">
        <v>45474</v>
      </c>
      <c r="D1035" t="inlineStr">
        <is>
          <t>UPPSALA LÄN</t>
        </is>
      </c>
      <c r="E1035" t="inlineStr">
        <is>
          <t>UPPSALA</t>
        </is>
      </c>
      <c r="F1035" t="inlineStr">
        <is>
          <t>Kyrkan</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29926-2023</t>
        </is>
      </c>
      <c r="B1036" s="1" t="n">
        <v>45107</v>
      </c>
      <c r="C1036" s="1" t="n">
        <v>45474</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29927-2023</t>
        </is>
      </c>
      <c r="B1037" s="1" t="n">
        <v>45107</v>
      </c>
      <c r="C1037" s="1" t="n">
        <v>45474</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32428-2023</t>
        </is>
      </c>
      <c r="B1038" s="1" t="n">
        <v>45110</v>
      </c>
      <c r="C1038" s="1" t="n">
        <v>45474</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30629-2023</t>
        </is>
      </c>
      <c r="B1039" s="1" t="n">
        <v>45112</v>
      </c>
      <c r="C1039" s="1" t="n">
        <v>45474</v>
      </c>
      <c r="D1039" t="inlineStr">
        <is>
          <t>UPPSALA LÄN</t>
        </is>
      </c>
      <c r="E1039" t="inlineStr">
        <is>
          <t>UPPSALA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32689-2023</t>
        </is>
      </c>
      <c r="B1040" s="1" t="n">
        <v>45112</v>
      </c>
      <c r="C1040" s="1" t="n">
        <v>45474</v>
      </c>
      <c r="D1040" t="inlineStr">
        <is>
          <t>UPPSALA LÄN</t>
        </is>
      </c>
      <c r="E1040" t="inlineStr">
        <is>
          <t>UPPSALA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31157-2023</t>
        </is>
      </c>
      <c r="B1041" s="1" t="n">
        <v>45113</v>
      </c>
      <c r="C1041" s="1" t="n">
        <v>45474</v>
      </c>
      <c r="D1041" t="inlineStr">
        <is>
          <t>UPPSALA LÄN</t>
        </is>
      </c>
      <c r="E1041" t="inlineStr">
        <is>
          <t>UPPSALA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31161-2023</t>
        </is>
      </c>
      <c r="B1042" s="1" t="n">
        <v>45113</v>
      </c>
      <c r="C1042" s="1" t="n">
        <v>45474</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33689-2023</t>
        </is>
      </c>
      <c r="B1043" s="1" t="n">
        <v>45119</v>
      </c>
      <c r="C1043" s="1" t="n">
        <v>45474</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32413-2023</t>
        </is>
      </c>
      <c r="B1044" s="1" t="n">
        <v>45120</v>
      </c>
      <c r="C1044" s="1" t="n">
        <v>45474</v>
      </c>
      <c r="D1044" t="inlineStr">
        <is>
          <t>UPPSALA LÄN</t>
        </is>
      </c>
      <c r="E1044" t="inlineStr">
        <is>
          <t>UPPSALA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32640-2023</t>
        </is>
      </c>
      <c r="B1045" s="1" t="n">
        <v>45121</v>
      </c>
      <c r="C1045" s="1" t="n">
        <v>45474</v>
      </c>
      <c r="D1045" t="inlineStr">
        <is>
          <t>UPPSALA LÄN</t>
        </is>
      </c>
      <c r="E1045" t="inlineStr">
        <is>
          <t>UPPSALA</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32674-2023</t>
        </is>
      </c>
      <c r="B1046" s="1" t="n">
        <v>45121</v>
      </c>
      <c r="C1046" s="1" t="n">
        <v>45474</v>
      </c>
      <c r="D1046" t="inlineStr">
        <is>
          <t>UPPSALA LÄN</t>
        </is>
      </c>
      <c r="E1046" t="inlineStr">
        <is>
          <t>UPPSALA</t>
        </is>
      </c>
      <c r="F1046" t="inlineStr">
        <is>
          <t>Holmen skog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32688-2023</t>
        </is>
      </c>
      <c r="B1047" s="1" t="n">
        <v>45121</v>
      </c>
      <c r="C1047" s="1" t="n">
        <v>45474</v>
      </c>
      <c r="D1047" t="inlineStr">
        <is>
          <t>UPPSALA LÄN</t>
        </is>
      </c>
      <c r="E1047" t="inlineStr">
        <is>
          <t>UPPSALA</t>
        </is>
      </c>
      <c r="F1047" t="inlineStr">
        <is>
          <t>Holmen skog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32755-2023</t>
        </is>
      </c>
      <c r="B1048" s="1" t="n">
        <v>45123</v>
      </c>
      <c r="C1048" s="1" t="n">
        <v>45474</v>
      </c>
      <c r="D1048" t="inlineStr">
        <is>
          <t>UPPSALA LÄN</t>
        </is>
      </c>
      <c r="E1048" t="inlineStr">
        <is>
          <t>UPPSALA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33191-2023</t>
        </is>
      </c>
      <c r="B1049" s="1" t="n">
        <v>45127</v>
      </c>
      <c r="C1049" s="1" t="n">
        <v>45474</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33189-2023</t>
        </is>
      </c>
      <c r="B1050" s="1" t="n">
        <v>45127</v>
      </c>
      <c r="C1050" s="1" t="n">
        <v>45474</v>
      </c>
      <c r="D1050" t="inlineStr">
        <is>
          <t>UPPSALA LÄN</t>
        </is>
      </c>
      <c r="E1050" t="inlineStr">
        <is>
          <t>UPPSALA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34282-2023</t>
        </is>
      </c>
      <c r="B1051" s="1" t="n">
        <v>45128</v>
      </c>
      <c r="C1051" s="1" t="n">
        <v>45474</v>
      </c>
      <c r="D1051" t="inlineStr">
        <is>
          <t>UPPSALA LÄN</t>
        </is>
      </c>
      <c r="E1051" t="inlineStr">
        <is>
          <t>UPPSALA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33562-2023</t>
        </is>
      </c>
      <c r="B1052" s="1" t="n">
        <v>45131</v>
      </c>
      <c r="C1052" s="1" t="n">
        <v>45474</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33700-2023</t>
        </is>
      </c>
      <c r="B1053" s="1" t="n">
        <v>45132</v>
      </c>
      <c r="C1053" s="1" t="n">
        <v>45474</v>
      </c>
      <c r="D1053" t="inlineStr">
        <is>
          <t>UPPSALA LÄN</t>
        </is>
      </c>
      <c r="E1053" t="inlineStr">
        <is>
          <t>UPPSALA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34509-2023</t>
        </is>
      </c>
      <c r="B1054" s="1" t="n">
        <v>45133</v>
      </c>
      <c r="C1054" s="1" t="n">
        <v>45474</v>
      </c>
      <c r="D1054" t="inlineStr">
        <is>
          <t>UPPSALA LÄN</t>
        </is>
      </c>
      <c r="E1054" t="inlineStr">
        <is>
          <t>UPPSALA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33941-2023</t>
        </is>
      </c>
      <c r="B1055" s="1" t="n">
        <v>45134</v>
      </c>
      <c r="C1055" s="1" t="n">
        <v>45474</v>
      </c>
      <c r="D1055" t="inlineStr">
        <is>
          <t>UPPSALA LÄN</t>
        </is>
      </c>
      <c r="E1055" t="inlineStr">
        <is>
          <t>UPPSALA</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33982-2023</t>
        </is>
      </c>
      <c r="B1056" s="1" t="n">
        <v>45134</v>
      </c>
      <c r="C1056" s="1" t="n">
        <v>45474</v>
      </c>
      <c r="D1056" t="inlineStr">
        <is>
          <t>UPPSALA LÄN</t>
        </is>
      </c>
      <c r="E1056" t="inlineStr">
        <is>
          <t>UPPSALA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35142-2023</t>
        </is>
      </c>
      <c r="B1057" s="1" t="n">
        <v>45145</v>
      </c>
      <c r="C1057" s="1" t="n">
        <v>45474</v>
      </c>
      <c r="D1057" t="inlineStr">
        <is>
          <t>UPPSALA LÄN</t>
        </is>
      </c>
      <c r="E1057" t="inlineStr">
        <is>
          <t>UPPSALA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35471-2023</t>
        </is>
      </c>
      <c r="B1058" s="1" t="n">
        <v>45146</v>
      </c>
      <c r="C1058" s="1" t="n">
        <v>45474</v>
      </c>
      <c r="D1058" t="inlineStr">
        <is>
          <t>UPPSALA LÄN</t>
        </is>
      </c>
      <c r="E1058" t="inlineStr">
        <is>
          <t>UPPSALA</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35472-2023</t>
        </is>
      </c>
      <c r="B1059" s="1" t="n">
        <v>45146</v>
      </c>
      <c r="C1059" s="1" t="n">
        <v>45474</v>
      </c>
      <c r="D1059" t="inlineStr">
        <is>
          <t>UPPSALA LÄN</t>
        </is>
      </c>
      <c r="E1059" t="inlineStr">
        <is>
          <t>UPPSALA</t>
        </is>
      </c>
      <c r="F1059" t="inlineStr">
        <is>
          <t>Sveaskog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35473-2023</t>
        </is>
      </c>
      <c r="B1060" s="1" t="n">
        <v>45146</v>
      </c>
      <c r="C1060" s="1" t="n">
        <v>45474</v>
      </c>
      <c r="D1060" t="inlineStr">
        <is>
          <t>UPPSALA LÄN</t>
        </is>
      </c>
      <c r="E1060" t="inlineStr">
        <is>
          <t>UPPSALA</t>
        </is>
      </c>
      <c r="F1060" t="inlineStr">
        <is>
          <t>Sveaskog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35549-2023</t>
        </is>
      </c>
      <c r="B1061" s="1" t="n">
        <v>45147</v>
      </c>
      <c r="C1061" s="1" t="n">
        <v>45474</v>
      </c>
      <c r="D1061" t="inlineStr">
        <is>
          <t>UPPSALA LÄN</t>
        </is>
      </c>
      <c r="E1061" t="inlineStr">
        <is>
          <t>UPPSALA</t>
        </is>
      </c>
      <c r="F1061" t="inlineStr">
        <is>
          <t>Allmännings- och besparingsskogar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35902-2023</t>
        </is>
      </c>
      <c r="B1062" s="1" t="n">
        <v>45148</v>
      </c>
      <c r="C1062" s="1" t="n">
        <v>45474</v>
      </c>
      <c r="D1062" t="inlineStr">
        <is>
          <t>UPPSALA LÄN</t>
        </is>
      </c>
      <c r="E1062" t="inlineStr">
        <is>
          <t>UPPSALA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35906-2023</t>
        </is>
      </c>
      <c r="B1063" s="1" t="n">
        <v>45148</v>
      </c>
      <c r="C1063" s="1" t="n">
        <v>45474</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35914-2023</t>
        </is>
      </c>
      <c r="B1064" s="1" t="n">
        <v>45148</v>
      </c>
      <c r="C1064" s="1" t="n">
        <v>45474</v>
      </c>
      <c r="D1064" t="inlineStr">
        <is>
          <t>UPPSALA LÄN</t>
        </is>
      </c>
      <c r="E1064" t="inlineStr">
        <is>
          <t>UPPSALA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35922-2023</t>
        </is>
      </c>
      <c r="B1065" s="1" t="n">
        <v>45148</v>
      </c>
      <c r="C1065" s="1" t="n">
        <v>45474</v>
      </c>
      <c r="D1065" t="inlineStr">
        <is>
          <t>UPPSALA LÄN</t>
        </is>
      </c>
      <c r="E1065" t="inlineStr">
        <is>
          <t>UPPSALA</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35916-2023</t>
        </is>
      </c>
      <c r="B1066" s="1" t="n">
        <v>45148</v>
      </c>
      <c r="C1066" s="1" t="n">
        <v>45474</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36028-2023</t>
        </is>
      </c>
      <c r="B1067" s="1" t="n">
        <v>45149</v>
      </c>
      <c r="C1067" s="1" t="n">
        <v>45474</v>
      </c>
      <c r="D1067" t="inlineStr">
        <is>
          <t>UPPSALA LÄN</t>
        </is>
      </c>
      <c r="E1067" t="inlineStr">
        <is>
          <t>UPPSALA</t>
        </is>
      </c>
      <c r="F1067" t="inlineStr">
        <is>
          <t>Allmännings- och besparingsskogar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36123-2023</t>
        </is>
      </c>
      <c r="B1068" s="1" t="n">
        <v>45149</v>
      </c>
      <c r="C1068" s="1" t="n">
        <v>45474</v>
      </c>
      <c r="D1068" t="inlineStr">
        <is>
          <t>UPPSALA LÄN</t>
        </is>
      </c>
      <c r="E1068" t="inlineStr">
        <is>
          <t>UPPSALA</t>
        </is>
      </c>
      <c r="F1068" t="inlineStr">
        <is>
          <t>Allmännings- och besparingsskogar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36159-2023</t>
        </is>
      </c>
      <c r="B1069" s="1" t="n">
        <v>45149</v>
      </c>
      <c r="C1069" s="1" t="n">
        <v>45474</v>
      </c>
      <c r="D1069" t="inlineStr">
        <is>
          <t>UPPSALA LÄN</t>
        </is>
      </c>
      <c r="E1069" t="inlineStr">
        <is>
          <t>UPPSALA</t>
        </is>
      </c>
      <c r="F1069" t="inlineStr">
        <is>
          <t>Övriga statliga verk och myndigheter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36388-2023</t>
        </is>
      </c>
      <c r="B1070" s="1" t="n">
        <v>45152</v>
      </c>
      <c r="C1070" s="1" t="n">
        <v>45474</v>
      </c>
      <c r="D1070" t="inlineStr">
        <is>
          <t>UPPSALA LÄN</t>
        </is>
      </c>
      <c r="E1070" t="inlineStr">
        <is>
          <t>UPPSALA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36392-2023</t>
        </is>
      </c>
      <c r="B1071" s="1" t="n">
        <v>45152</v>
      </c>
      <c r="C1071" s="1" t="n">
        <v>45474</v>
      </c>
      <c r="D1071" t="inlineStr">
        <is>
          <t>UPPSALA LÄN</t>
        </is>
      </c>
      <c r="E1071" t="inlineStr">
        <is>
          <t>UPPSALA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36479-2023</t>
        </is>
      </c>
      <c r="B1072" s="1" t="n">
        <v>45152</v>
      </c>
      <c r="C1072" s="1" t="n">
        <v>45474</v>
      </c>
      <c r="D1072" t="inlineStr">
        <is>
          <t>UPPSALA LÄN</t>
        </is>
      </c>
      <c r="E1072" t="inlineStr">
        <is>
          <t>UPPSALA</t>
        </is>
      </c>
      <c r="F1072" t="inlineStr">
        <is>
          <t>Allmännings- och besparingsskogar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36478-2023</t>
        </is>
      </c>
      <c r="B1073" s="1" t="n">
        <v>45152</v>
      </c>
      <c r="C1073" s="1" t="n">
        <v>45474</v>
      </c>
      <c r="D1073" t="inlineStr">
        <is>
          <t>UPPSALA LÄN</t>
        </is>
      </c>
      <c r="E1073" t="inlineStr">
        <is>
          <t>UPPSALA</t>
        </is>
      </c>
      <c r="F1073" t="inlineStr">
        <is>
          <t>Allmännings- och besparingsskogar</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36438-2023</t>
        </is>
      </c>
      <c r="B1074" s="1" t="n">
        <v>45152</v>
      </c>
      <c r="C1074" s="1" t="n">
        <v>45474</v>
      </c>
      <c r="D1074" t="inlineStr">
        <is>
          <t>UPPSALA LÄN</t>
        </is>
      </c>
      <c r="E1074" t="inlineStr">
        <is>
          <t>UPPSALA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36738-2023</t>
        </is>
      </c>
      <c r="B1075" s="1" t="n">
        <v>45153</v>
      </c>
      <c r="C1075" s="1" t="n">
        <v>45474</v>
      </c>
      <c r="D1075" t="inlineStr">
        <is>
          <t>UPPSALA LÄN</t>
        </is>
      </c>
      <c r="E1075" t="inlineStr">
        <is>
          <t>UPPSALA</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36739-2023</t>
        </is>
      </c>
      <c r="B1076" s="1" t="n">
        <v>45153</v>
      </c>
      <c r="C1076" s="1" t="n">
        <v>45474</v>
      </c>
      <c r="D1076" t="inlineStr">
        <is>
          <t>UPPSALA LÄN</t>
        </is>
      </c>
      <c r="E1076" t="inlineStr">
        <is>
          <t>UPPSALA</t>
        </is>
      </c>
      <c r="F1076" t="inlineStr">
        <is>
          <t>Allmännings- och besparingsskogar</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36781-2023</t>
        </is>
      </c>
      <c r="B1077" s="1" t="n">
        <v>45154</v>
      </c>
      <c r="C1077" s="1" t="n">
        <v>45474</v>
      </c>
      <c r="D1077" t="inlineStr">
        <is>
          <t>UPPSALA LÄN</t>
        </is>
      </c>
      <c r="E1077" t="inlineStr">
        <is>
          <t>UPPSALA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36782-2023</t>
        </is>
      </c>
      <c r="B1078" s="1" t="n">
        <v>45154</v>
      </c>
      <c r="C1078" s="1" t="n">
        <v>45474</v>
      </c>
      <c r="D1078" t="inlineStr">
        <is>
          <t>UPPSALA LÄN</t>
        </is>
      </c>
      <c r="E1078" t="inlineStr">
        <is>
          <t>UPPSALA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36860-2023</t>
        </is>
      </c>
      <c r="B1079" s="1" t="n">
        <v>45154</v>
      </c>
      <c r="C1079" s="1" t="n">
        <v>45474</v>
      </c>
      <c r="D1079" t="inlineStr">
        <is>
          <t>UPPSALA LÄN</t>
        </is>
      </c>
      <c r="E1079" t="inlineStr">
        <is>
          <t>UPPSALA</t>
        </is>
      </c>
      <c r="F1079" t="inlineStr">
        <is>
          <t>Allmännings- och besparingsskogar</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37626-2023</t>
        </is>
      </c>
      <c r="B1080" s="1" t="n">
        <v>45159</v>
      </c>
      <c r="C1080" s="1" t="n">
        <v>45474</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37618-2023</t>
        </is>
      </c>
      <c r="B1081" s="1" t="n">
        <v>45159</v>
      </c>
      <c r="C1081" s="1" t="n">
        <v>45474</v>
      </c>
      <c r="D1081" t="inlineStr">
        <is>
          <t>UPPSALA LÄN</t>
        </is>
      </c>
      <c r="E1081" t="inlineStr">
        <is>
          <t>UPPSALA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38016-2023</t>
        </is>
      </c>
      <c r="B1082" s="1" t="n">
        <v>45160</v>
      </c>
      <c r="C1082" s="1" t="n">
        <v>45474</v>
      </c>
      <c r="D1082" t="inlineStr">
        <is>
          <t>UPPSALA LÄN</t>
        </is>
      </c>
      <c r="E1082" t="inlineStr">
        <is>
          <t>UPPSALA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38190-2023</t>
        </is>
      </c>
      <c r="B1083" s="1" t="n">
        <v>45161</v>
      </c>
      <c r="C1083" s="1" t="n">
        <v>45474</v>
      </c>
      <c r="D1083" t="inlineStr">
        <is>
          <t>UPPSALA LÄN</t>
        </is>
      </c>
      <c r="E1083" t="inlineStr">
        <is>
          <t>UPPSALA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38493-2023</t>
        </is>
      </c>
      <c r="B1084" s="1" t="n">
        <v>45162</v>
      </c>
      <c r="C1084" s="1" t="n">
        <v>45474</v>
      </c>
      <c r="D1084" t="inlineStr">
        <is>
          <t>UPPSALA LÄN</t>
        </is>
      </c>
      <c r="E1084" t="inlineStr">
        <is>
          <t>UPPSALA</t>
        </is>
      </c>
      <c r="F1084" t="inlineStr">
        <is>
          <t>Allmännings- och besparingsskogar</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38644-2023</t>
        </is>
      </c>
      <c r="B1085" s="1" t="n">
        <v>45162</v>
      </c>
      <c r="C1085" s="1" t="n">
        <v>45474</v>
      </c>
      <c r="D1085" t="inlineStr">
        <is>
          <t>UPPSALA LÄN</t>
        </is>
      </c>
      <c r="E1085" t="inlineStr">
        <is>
          <t>UPPSALA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38645-2023</t>
        </is>
      </c>
      <c r="B1086" s="1" t="n">
        <v>45162</v>
      </c>
      <c r="C1086" s="1" t="n">
        <v>45474</v>
      </c>
      <c r="D1086" t="inlineStr">
        <is>
          <t>UPPSALA LÄN</t>
        </is>
      </c>
      <c r="E1086" t="inlineStr">
        <is>
          <t>UPPSALA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38664-2023</t>
        </is>
      </c>
      <c r="B1087" s="1" t="n">
        <v>45162</v>
      </c>
      <c r="C1087" s="1" t="n">
        <v>45474</v>
      </c>
      <c r="D1087" t="inlineStr">
        <is>
          <t>UPPSALA LÄN</t>
        </is>
      </c>
      <c r="E1087" t="inlineStr">
        <is>
          <t>UPPSALA</t>
        </is>
      </c>
      <c r="F1087" t="inlineStr">
        <is>
          <t>Bergvik skog öst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38663-2023</t>
        </is>
      </c>
      <c r="B1088" s="1" t="n">
        <v>45162</v>
      </c>
      <c r="C1088" s="1" t="n">
        <v>45474</v>
      </c>
      <c r="D1088" t="inlineStr">
        <is>
          <t>UPPSALA LÄN</t>
        </is>
      </c>
      <c r="E1088" t="inlineStr">
        <is>
          <t>UPPSALA</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38665-2023</t>
        </is>
      </c>
      <c r="B1089" s="1" t="n">
        <v>45162</v>
      </c>
      <c r="C1089" s="1" t="n">
        <v>45474</v>
      </c>
      <c r="D1089" t="inlineStr">
        <is>
          <t>UPPSALA LÄN</t>
        </is>
      </c>
      <c r="E1089" t="inlineStr">
        <is>
          <t>UPPSALA</t>
        </is>
      </c>
      <c r="F1089" t="inlineStr">
        <is>
          <t>Bergvik skog öst AB</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38661-2023</t>
        </is>
      </c>
      <c r="B1090" s="1" t="n">
        <v>45162</v>
      </c>
      <c r="C1090" s="1" t="n">
        <v>45474</v>
      </c>
      <c r="D1090" t="inlineStr">
        <is>
          <t>UPPSALA LÄN</t>
        </is>
      </c>
      <c r="E1090" t="inlineStr">
        <is>
          <t>UPPSALA</t>
        </is>
      </c>
      <c r="F1090" t="inlineStr">
        <is>
          <t>Bergvik skog öst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38643-2023</t>
        </is>
      </c>
      <c r="B1091" s="1" t="n">
        <v>45162</v>
      </c>
      <c r="C1091" s="1" t="n">
        <v>45474</v>
      </c>
      <c r="D1091" t="inlineStr">
        <is>
          <t>UPPSALA LÄN</t>
        </is>
      </c>
      <c r="E1091" t="inlineStr">
        <is>
          <t>UPPSALA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38934-2023</t>
        </is>
      </c>
      <c r="B1092" s="1" t="n">
        <v>45163</v>
      </c>
      <c r="C1092" s="1" t="n">
        <v>45474</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39108-2023</t>
        </is>
      </c>
      <c r="B1093" s="1" t="n">
        <v>45164</v>
      </c>
      <c r="C1093" s="1" t="n">
        <v>45474</v>
      </c>
      <c r="D1093" t="inlineStr">
        <is>
          <t>UPPSALA LÄN</t>
        </is>
      </c>
      <c r="E1093" t="inlineStr">
        <is>
          <t>UPPSALA</t>
        </is>
      </c>
      <c r="F1093" t="inlineStr">
        <is>
          <t>Bergvik skog öst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39107-2023</t>
        </is>
      </c>
      <c r="B1094" s="1" t="n">
        <v>45164</v>
      </c>
      <c r="C1094" s="1" t="n">
        <v>45474</v>
      </c>
      <c r="D1094" t="inlineStr">
        <is>
          <t>UPPSALA LÄN</t>
        </is>
      </c>
      <c r="E1094" t="inlineStr">
        <is>
          <t>UPPSALA</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39548-2023</t>
        </is>
      </c>
      <c r="B1095" s="1" t="n">
        <v>45167</v>
      </c>
      <c r="C1095" s="1" t="n">
        <v>45474</v>
      </c>
      <c r="D1095" t="inlineStr">
        <is>
          <t>UPPSALA LÄN</t>
        </is>
      </c>
      <c r="E1095" t="inlineStr">
        <is>
          <t>UPPSALA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39592-2023</t>
        </is>
      </c>
      <c r="B1096" s="1" t="n">
        <v>45167</v>
      </c>
      <c r="C1096" s="1" t="n">
        <v>45474</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39739-2023</t>
        </is>
      </c>
      <c r="B1097" s="1" t="n">
        <v>45167</v>
      </c>
      <c r="C1097" s="1" t="n">
        <v>45474</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39926-2023</t>
        </is>
      </c>
      <c r="B1098" s="1" t="n">
        <v>45168</v>
      </c>
      <c r="C1098" s="1" t="n">
        <v>45474</v>
      </c>
      <c r="D1098" t="inlineStr">
        <is>
          <t>UPPSALA LÄN</t>
        </is>
      </c>
      <c r="E1098" t="inlineStr">
        <is>
          <t>UPPSALA</t>
        </is>
      </c>
      <c r="F1098" t="inlineStr">
        <is>
          <t>Holmen skog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39918-2023</t>
        </is>
      </c>
      <c r="B1099" s="1" t="n">
        <v>45168</v>
      </c>
      <c r="C1099" s="1" t="n">
        <v>45474</v>
      </c>
      <c r="D1099" t="inlineStr">
        <is>
          <t>UPPSALA LÄN</t>
        </is>
      </c>
      <c r="E1099" t="inlineStr">
        <is>
          <t>UPPSALA</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40369-2023</t>
        </is>
      </c>
      <c r="B1100" s="1" t="n">
        <v>45169</v>
      </c>
      <c r="C1100" s="1" t="n">
        <v>45474</v>
      </c>
      <c r="D1100" t="inlineStr">
        <is>
          <t>UPPSALA LÄN</t>
        </is>
      </c>
      <c r="E1100" t="inlineStr">
        <is>
          <t>UPPSALA</t>
        </is>
      </c>
      <c r="F1100" t="inlineStr">
        <is>
          <t>Allmännings- och besparingsskogar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40312-2023</t>
        </is>
      </c>
      <c r="B1101" s="1" t="n">
        <v>45169</v>
      </c>
      <c r="C1101" s="1" t="n">
        <v>45474</v>
      </c>
      <c r="D1101" t="inlineStr">
        <is>
          <t>UPPSALA LÄN</t>
        </is>
      </c>
      <c r="E1101" t="inlineStr">
        <is>
          <t>UPPSALA</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40124-2023</t>
        </is>
      </c>
      <c r="B1102" s="1" t="n">
        <v>45169</v>
      </c>
      <c r="C1102" s="1" t="n">
        <v>45474</v>
      </c>
      <c r="D1102" t="inlineStr">
        <is>
          <t>UPPSALA LÄN</t>
        </is>
      </c>
      <c r="E1102" t="inlineStr">
        <is>
          <t>UPPSALA</t>
        </is>
      </c>
      <c r="F1102" t="inlineStr">
        <is>
          <t>Allmännings- och besparingsskogar</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40325-2023</t>
        </is>
      </c>
      <c r="B1103" s="1" t="n">
        <v>45169</v>
      </c>
      <c r="C1103" s="1" t="n">
        <v>45474</v>
      </c>
      <c r="D1103" t="inlineStr">
        <is>
          <t>UPPSALA LÄN</t>
        </is>
      </c>
      <c r="E1103" t="inlineStr">
        <is>
          <t>UPPSALA</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40872-2023</t>
        </is>
      </c>
      <c r="B1104" s="1" t="n">
        <v>45173</v>
      </c>
      <c r="C1104" s="1" t="n">
        <v>45474</v>
      </c>
      <c r="D1104" t="inlineStr">
        <is>
          <t>UPPSALA LÄN</t>
        </is>
      </c>
      <c r="E1104" t="inlineStr">
        <is>
          <t>UPPSALA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41002-2023</t>
        </is>
      </c>
      <c r="B1105" s="1" t="n">
        <v>45173</v>
      </c>
      <c r="C1105" s="1" t="n">
        <v>45474</v>
      </c>
      <c r="D1105" t="inlineStr">
        <is>
          <t>UPPSALA LÄN</t>
        </is>
      </c>
      <c r="E1105" t="inlineStr">
        <is>
          <t>UPPSALA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41349-2023</t>
        </is>
      </c>
      <c r="B1106" s="1" t="n">
        <v>45174</v>
      </c>
      <c r="C1106" s="1" t="n">
        <v>45474</v>
      </c>
      <c r="D1106" t="inlineStr">
        <is>
          <t>UPPSALA LÄN</t>
        </is>
      </c>
      <c r="E1106" t="inlineStr">
        <is>
          <t>UPPSALA</t>
        </is>
      </c>
      <c r="F1106" t="inlineStr">
        <is>
          <t>Allmännings- och besparingsskogar</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41346-2023</t>
        </is>
      </c>
      <c r="B1107" s="1" t="n">
        <v>45174</v>
      </c>
      <c r="C1107" s="1" t="n">
        <v>45474</v>
      </c>
      <c r="D1107" t="inlineStr">
        <is>
          <t>UPPSALA LÄN</t>
        </is>
      </c>
      <c r="E1107" t="inlineStr">
        <is>
          <t>UPPSALA</t>
        </is>
      </c>
      <c r="F1107" t="inlineStr">
        <is>
          <t>Allmännings- och besparingsskogar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41506-2023</t>
        </is>
      </c>
      <c r="B1108" s="1" t="n">
        <v>45175</v>
      </c>
      <c r="C1108" s="1" t="n">
        <v>45474</v>
      </c>
      <c r="D1108" t="inlineStr">
        <is>
          <t>UPPSALA LÄN</t>
        </is>
      </c>
      <c r="E1108" t="inlineStr">
        <is>
          <t>UPPSALA</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41541-2023</t>
        </is>
      </c>
      <c r="B1109" s="1" t="n">
        <v>45175</v>
      </c>
      <c r="C1109" s="1" t="n">
        <v>45474</v>
      </c>
      <c r="D1109" t="inlineStr">
        <is>
          <t>UPPSALA LÄN</t>
        </is>
      </c>
      <c r="E1109" t="inlineStr">
        <is>
          <t>UPPSALA</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41545-2023</t>
        </is>
      </c>
      <c r="B1110" s="1" t="n">
        <v>45175</v>
      </c>
      <c r="C1110" s="1" t="n">
        <v>45474</v>
      </c>
      <c r="D1110" t="inlineStr">
        <is>
          <t>UPPSALA LÄN</t>
        </is>
      </c>
      <c r="E1110" t="inlineStr">
        <is>
          <t>UPPSALA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41422-2023</t>
        </is>
      </c>
      <c r="B1111" s="1" t="n">
        <v>45175</v>
      </c>
      <c r="C1111" s="1" t="n">
        <v>45474</v>
      </c>
      <c r="D1111" t="inlineStr">
        <is>
          <t>UPPSALA LÄN</t>
        </is>
      </c>
      <c r="E1111" t="inlineStr">
        <is>
          <t>UPPSALA</t>
        </is>
      </c>
      <c r="F1111" t="inlineStr">
        <is>
          <t>Kyrkan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41538-2023</t>
        </is>
      </c>
      <c r="B1112" s="1" t="n">
        <v>45175</v>
      </c>
      <c r="C1112" s="1" t="n">
        <v>45474</v>
      </c>
      <c r="D1112" t="inlineStr">
        <is>
          <t>UPPSALA LÄN</t>
        </is>
      </c>
      <c r="E1112" t="inlineStr">
        <is>
          <t>UPPSALA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42283-2023</t>
        </is>
      </c>
      <c r="B1113" s="1" t="n">
        <v>45175</v>
      </c>
      <c r="C1113" s="1" t="n">
        <v>45474</v>
      </c>
      <c r="D1113" t="inlineStr">
        <is>
          <t>UPPSALA LÄN</t>
        </is>
      </c>
      <c r="E1113" t="inlineStr">
        <is>
          <t>UPPSALA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41669-2023</t>
        </is>
      </c>
      <c r="B1114" s="1" t="n">
        <v>45176</v>
      </c>
      <c r="C1114" s="1" t="n">
        <v>45474</v>
      </c>
      <c r="D1114" t="inlineStr">
        <is>
          <t>UPPSALA LÄN</t>
        </is>
      </c>
      <c r="E1114" t="inlineStr">
        <is>
          <t>UPPSALA</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41802-2023</t>
        </is>
      </c>
      <c r="B1115" s="1" t="n">
        <v>45176</v>
      </c>
      <c r="C1115" s="1" t="n">
        <v>45474</v>
      </c>
      <c r="D1115" t="inlineStr">
        <is>
          <t>UPPSALA LÄN</t>
        </is>
      </c>
      <c r="E1115" t="inlineStr">
        <is>
          <t>UPPSALA</t>
        </is>
      </c>
      <c r="G1115" t="n">
        <v>23.9</v>
      </c>
      <c r="H1115" t="n">
        <v>0</v>
      </c>
      <c r="I1115" t="n">
        <v>0</v>
      </c>
      <c r="J1115" t="n">
        <v>0</v>
      </c>
      <c r="K1115" t="n">
        <v>0</v>
      </c>
      <c r="L1115" t="n">
        <v>0</v>
      </c>
      <c r="M1115" t="n">
        <v>0</v>
      </c>
      <c r="N1115" t="n">
        <v>0</v>
      </c>
      <c r="O1115" t="n">
        <v>0</v>
      </c>
      <c r="P1115" t="n">
        <v>0</v>
      </c>
      <c r="Q1115" t="n">
        <v>0</v>
      </c>
      <c r="R1115" s="2" t="inlineStr"/>
    </row>
    <row r="1116" ht="15" customHeight="1">
      <c r="A1116" t="inlineStr">
        <is>
          <t>A 41816-2023</t>
        </is>
      </c>
      <c r="B1116" s="1" t="n">
        <v>45176</v>
      </c>
      <c r="C1116" s="1" t="n">
        <v>45474</v>
      </c>
      <c r="D1116" t="inlineStr">
        <is>
          <t>UPPSALA LÄN</t>
        </is>
      </c>
      <c r="E1116" t="inlineStr">
        <is>
          <t>UPPSALA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41950-2023</t>
        </is>
      </c>
      <c r="B1117" s="1" t="n">
        <v>45177</v>
      </c>
      <c r="C1117" s="1" t="n">
        <v>45474</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42134-2023</t>
        </is>
      </c>
      <c r="B1118" s="1" t="n">
        <v>45177</v>
      </c>
      <c r="C1118" s="1" t="n">
        <v>45474</v>
      </c>
      <c r="D1118" t="inlineStr">
        <is>
          <t>UPPSALA LÄN</t>
        </is>
      </c>
      <c r="E1118" t="inlineStr">
        <is>
          <t>UPPSALA</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42063-2023</t>
        </is>
      </c>
      <c r="B1119" s="1" t="n">
        <v>45177</v>
      </c>
      <c r="C1119" s="1" t="n">
        <v>45474</v>
      </c>
      <c r="D1119" t="inlineStr">
        <is>
          <t>UPPSALA LÄN</t>
        </is>
      </c>
      <c r="E1119" t="inlineStr">
        <is>
          <t>UPPSALA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42131-2023</t>
        </is>
      </c>
      <c r="B1120" s="1" t="n">
        <v>45177</v>
      </c>
      <c r="C1120" s="1" t="n">
        <v>45474</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42273-2023</t>
        </is>
      </c>
      <c r="B1121" s="1" t="n">
        <v>45180</v>
      </c>
      <c r="C1121" s="1" t="n">
        <v>45474</v>
      </c>
      <c r="D1121" t="inlineStr">
        <is>
          <t>UPPSALA LÄN</t>
        </is>
      </c>
      <c r="E1121" t="inlineStr">
        <is>
          <t>UPPSALA</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42436-2023</t>
        </is>
      </c>
      <c r="B1122" s="1" t="n">
        <v>45180</v>
      </c>
      <c r="C1122" s="1" t="n">
        <v>45474</v>
      </c>
      <c r="D1122" t="inlineStr">
        <is>
          <t>UPPSALA LÄN</t>
        </is>
      </c>
      <c r="E1122" t="inlineStr">
        <is>
          <t>UPPSALA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42282-2023</t>
        </is>
      </c>
      <c r="B1123" s="1" t="n">
        <v>45180</v>
      </c>
      <c r="C1123" s="1" t="n">
        <v>45474</v>
      </c>
      <c r="D1123" t="inlineStr">
        <is>
          <t>UPPSALA LÄN</t>
        </is>
      </c>
      <c r="E1123" t="inlineStr">
        <is>
          <t>UPPSALA</t>
        </is>
      </c>
      <c r="F1123" t="inlineStr">
        <is>
          <t>Bergvik skog öst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42274-2023</t>
        </is>
      </c>
      <c r="B1124" s="1" t="n">
        <v>45180</v>
      </c>
      <c r="C1124" s="1" t="n">
        <v>45474</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42285-2023</t>
        </is>
      </c>
      <c r="B1125" s="1" t="n">
        <v>45180</v>
      </c>
      <c r="C1125" s="1" t="n">
        <v>45474</v>
      </c>
      <c r="D1125" t="inlineStr">
        <is>
          <t>UPPSALA LÄN</t>
        </is>
      </c>
      <c r="E1125" t="inlineStr">
        <is>
          <t>UPPSALA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42376-2023</t>
        </is>
      </c>
      <c r="B1126" s="1" t="n">
        <v>45180</v>
      </c>
      <c r="C1126" s="1" t="n">
        <v>45474</v>
      </c>
      <c r="D1126" t="inlineStr">
        <is>
          <t>UPPSALA LÄN</t>
        </is>
      </c>
      <c r="E1126" t="inlineStr">
        <is>
          <t>UPPSALA</t>
        </is>
      </c>
      <c r="F1126" t="inlineStr">
        <is>
          <t>Bergvik skog öst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42495-2023</t>
        </is>
      </c>
      <c r="B1127" s="1" t="n">
        <v>45180</v>
      </c>
      <c r="C1127" s="1" t="n">
        <v>45474</v>
      </c>
      <c r="D1127" t="inlineStr">
        <is>
          <t>UPPSALA LÄN</t>
        </is>
      </c>
      <c r="E1127" t="inlineStr">
        <is>
          <t>UPPSALA</t>
        </is>
      </c>
      <c r="F1127" t="inlineStr">
        <is>
          <t>Allmännings- och besparingsskogar</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42379-2023</t>
        </is>
      </c>
      <c r="B1128" s="1" t="n">
        <v>45180</v>
      </c>
      <c r="C1128" s="1" t="n">
        <v>45474</v>
      </c>
      <c r="D1128" t="inlineStr">
        <is>
          <t>UPPSALA LÄN</t>
        </is>
      </c>
      <c r="E1128" t="inlineStr">
        <is>
          <t>UPPSALA</t>
        </is>
      </c>
      <c r="F1128" t="inlineStr">
        <is>
          <t>Bergvik skog öst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42528-2023</t>
        </is>
      </c>
      <c r="B1129" s="1" t="n">
        <v>45181</v>
      </c>
      <c r="C1129" s="1" t="n">
        <v>45474</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42630-2023</t>
        </is>
      </c>
      <c r="B1130" s="1" t="n">
        <v>45181</v>
      </c>
      <c r="C1130" s="1" t="n">
        <v>45474</v>
      </c>
      <c r="D1130" t="inlineStr">
        <is>
          <t>UPPSALA LÄN</t>
        </is>
      </c>
      <c r="E1130" t="inlineStr">
        <is>
          <t>UPPSALA</t>
        </is>
      </c>
      <c r="F1130" t="inlineStr">
        <is>
          <t>Holmen skog AB</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42681-2023</t>
        </is>
      </c>
      <c r="B1131" s="1" t="n">
        <v>45181</v>
      </c>
      <c r="C1131" s="1" t="n">
        <v>45474</v>
      </c>
      <c r="D1131" t="inlineStr">
        <is>
          <t>UPPSALA LÄN</t>
        </is>
      </c>
      <c r="E1131" t="inlineStr">
        <is>
          <t>UPPSALA</t>
        </is>
      </c>
      <c r="F1131" t="inlineStr">
        <is>
          <t>Bergvik skog öst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42543-2023</t>
        </is>
      </c>
      <c r="B1132" s="1" t="n">
        <v>45181</v>
      </c>
      <c r="C1132" s="1" t="n">
        <v>45474</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42730-2023</t>
        </is>
      </c>
      <c r="B1133" s="1" t="n">
        <v>45181</v>
      </c>
      <c r="C1133" s="1" t="n">
        <v>45474</v>
      </c>
      <c r="D1133" t="inlineStr">
        <is>
          <t>UPPSALA LÄN</t>
        </is>
      </c>
      <c r="E1133" t="inlineStr">
        <is>
          <t>UPPSALA</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42734-2023</t>
        </is>
      </c>
      <c r="B1134" s="1" t="n">
        <v>45181</v>
      </c>
      <c r="C1134" s="1" t="n">
        <v>45474</v>
      </c>
      <c r="D1134" t="inlineStr">
        <is>
          <t>UPPSALA LÄN</t>
        </is>
      </c>
      <c r="E1134" t="inlineStr">
        <is>
          <t>UPPSALA</t>
        </is>
      </c>
      <c r="F1134" t="inlineStr">
        <is>
          <t>Bergvik skog öst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42682-2023</t>
        </is>
      </c>
      <c r="B1135" s="1" t="n">
        <v>45181</v>
      </c>
      <c r="C1135" s="1" t="n">
        <v>45474</v>
      </c>
      <c r="D1135" t="inlineStr">
        <is>
          <t>UPPSALA LÄN</t>
        </is>
      </c>
      <c r="E1135" t="inlineStr">
        <is>
          <t>UPPSALA</t>
        </is>
      </c>
      <c r="F1135" t="inlineStr">
        <is>
          <t>Bergvik skog öst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42722-2023</t>
        </is>
      </c>
      <c r="B1136" s="1" t="n">
        <v>45181</v>
      </c>
      <c r="C1136" s="1" t="n">
        <v>45474</v>
      </c>
      <c r="D1136" t="inlineStr">
        <is>
          <t>UPPSALA LÄN</t>
        </is>
      </c>
      <c r="E1136" t="inlineStr">
        <is>
          <t>UPPSALA</t>
        </is>
      </c>
      <c r="F1136" t="inlineStr">
        <is>
          <t>Holmen skog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42756-2023</t>
        </is>
      </c>
      <c r="B1137" s="1" t="n">
        <v>45181</v>
      </c>
      <c r="C1137" s="1" t="n">
        <v>45474</v>
      </c>
      <c r="D1137" t="inlineStr">
        <is>
          <t>UPPSALA LÄN</t>
        </is>
      </c>
      <c r="E1137" t="inlineStr">
        <is>
          <t>UPPSALA</t>
        </is>
      </c>
      <c r="F1137" t="inlineStr">
        <is>
          <t>Holmen skog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42971-2023</t>
        </is>
      </c>
      <c r="B1138" s="1" t="n">
        <v>45182</v>
      </c>
      <c r="C1138" s="1" t="n">
        <v>45474</v>
      </c>
      <c r="D1138" t="inlineStr">
        <is>
          <t>UPPSALA LÄN</t>
        </is>
      </c>
      <c r="E1138" t="inlineStr">
        <is>
          <t>UPPSALA</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43026-2023</t>
        </is>
      </c>
      <c r="B1139" s="1" t="n">
        <v>45182</v>
      </c>
      <c r="C1139" s="1" t="n">
        <v>45474</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42963-2023</t>
        </is>
      </c>
      <c r="B1140" s="1" t="n">
        <v>45182</v>
      </c>
      <c r="C1140" s="1" t="n">
        <v>45474</v>
      </c>
      <c r="D1140" t="inlineStr">
        <is>
          <t>UPPSALA LÄN</t>
        </is>
      </c>
      <c r="E1140" t="inlineStr">
        <is>
          <t>UPPSALA</t>
        </is>
      </c>
      <c r="F1140" t="inlineStr">
        <is>
          <t>Sveaskog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42967-2023</t>
        </is>
      </c>
      <c r="B1141" s="1" t="n">
        <v>45182</v>
      </c>
      <c r="C1141" s="1" t="n">
        <v>45474</v>
      </c>
      <c r="D1141" t="inlineStr">
        <is>
          <t>UPPSALA LÄN</t>
        </is>
      </c>
      <c r="E1141" t="inlineStr">
        <is>
          <t>UPPSALA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43031-2023</t>
        </is>
      </c>
      <c r="B1142" s="1" t="n">
        <v>45182</v>
      </c>
      <c r="C1142" s="1" t="n">
        <v>45474</v>
      </c>
      <c r="D1142" t="inlineStr">
        <is>
          <t>UPPSALA LÄN</t>
        </is>
      </c>
      <c r="E1142" t="inlineStr">
        <is>
          <t>UPPSALA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43035-2023</t>
        </is>
      </c>
      <c r="B1143" s="1" t="n">
        <v>45182</v>
      </c>
      <c r="C1143" s="1" t="n">
        <v>45474</v>
      </c>
      <c r="D1143" t="inlineStr">
        <is>
          <t>UPPSALA LÄN</t>
        </is>
      </c>
      <c r="E1143" t="inlineStr">
        <is>
          <t>UPPSALA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43049-2023</t>
        </is>
      </c>
      <c r="B1144" s="1" t="n">
        <v>45182</v>
      </c>
      <c r="C1144" s="1" t="n">
        <v>45474</v>
      </c>
      <c r="D1144" t="inlineStr">
        <is>
          <t>UPPSALA LÄN</t>
        </is>
      </c>
      <c r="E1144" t="inlineStr">
        <is>
          <t>UPPSALA</t>
        </is>
      </c>
      <c r="F1144" t="inlineStr">
        <is>
          <t>Allmännings- och besparingsskogar</t>
        </is>
      </c>
      <c r="G1144" t="n">
        <v>14.5</v>
      </c>
      <c r="H1144" t="n">
        <v>0</v>
      </c>
      <c r="I1144" t="n">
        <v>0</v>
      </c>
      <c r="J1144" t="n">
        <v>0</v>
      </c>
      <c r="K1144" t="n">
        <v>0</v>
      </c>
      <c r="L1144" t="n">
        <v>0</v>
      </c>
      <c r="M1144" t="n">
        <v>0</v>
      </c>
      <c r="N1144" t="n">
        <v>0</v>
      </c>
      <c r="O1144" t="n">
        <v>0</v>
      </c>
      <c r="P1144" t="n">
        <v>0</v>
      </c>
      <c r="Q1144" t="n">
        <v>0</v>
      </c>
      <c r="R1144" s="2" t="inlineStr"/>
    </row>
    <row r="1145" ht="15" customHeight="1">
      <c r="A1145" t="inlineStr">
        <is>
          <t>A 42974-2023</t>
        </is>
      </c>
      <c r="B1145" s="1" t="n">
        <v>45182</v>
      </c>
      <c r="C1145" s="1" t="n">
        <v>45474</v>
      </c>
      <c r="D1145" t="inlineStr">
        <is>
          <t>UPPSALA LÄN</t>
        </is>
      </c>
      <c r="E1145" t="inlineStr">
        <is>
          <t>UPPSALA</t>
        </is>
      </c>
      <c r="F1145" t="inlineStr">
        <is>
          <t>Sveaskog</t>
        </is>
      </c>
      <c r="G1145" t="n">
        <v>3.7</v>
      </c>
      <c r="H1145" t="n">
        <v>0</v>
      </c>
      <c r="I1145" t="n">
        <v>0</v>
      </c>
      <c r="J1145" t="n">
        <v>0</v>
      </c>
      <c r="K1145" t="n">
        <v>0</v>
      </c>
      <c r="L1145" t="n">
        <v>0</v>
      </c>
      <c r="M1145" t="n">
        <v>0</v>
      </c>
      <c r="N1145" t="n">
        <v>0</v>
      </c>
      <c r="O1145" t="n">
        <v>0</v>
      </c>
      <c r="P1145" t="n">
        <v>0</v>
      </c>
      <c r="Q1145" t="n">
        <v>0</v>
      </c>
      <c r="R1145" s="2" t="inlineStr"/>
      <c r="U1145">
        <f>HYPERLINK("https://klasma.github.io/Logging_0380/knärot/A 42974-2023 karta knärot.png", "A 42974-2023")</f>
        <v/>
      </c>
      <c r="V1145">
        <f>HYPERLINK("https://klasma.github.io/Logging_0380/klagomål/A 42974-2023 FSC-klagomål.docx", "A 42974-2023")</f>
        <v/>
      </c>
      <c r="W1145">
        <f>HYPERLINK("https://klasma.github.io/Logging_0380/klagomålsmail/A 42974-2023 FSC-klagomål mail.docx", "A 42974-2023")</f>
        <v/>
      </c>
      <c r="X1145">
        <f>HYPERLINK("https://klasma.github.io/Logging_0380/tillsyn/A 42974-2023 tillsynsbegäran.docx", "A 42974-2023")</f>
        <v/>
      </c>
      <c r="Y1145">
        <f>HYPERLINK("https://klasma.github.io/Logging_0380/tillsynsmail/A 42974-2023 tillsynsbegäran mail.docx", "A 42974-2023")</f>
        <v/>
      </c>
    </row>
    <row r="1146" ht="15" customHeight="1">
      <c r="A1146" t="inlineStr">
        <is>
          <t>A 42978-2023</t>
        </is>
      </c>
      <c r="B1146" s="1" t="n">
        <v>45182</v>
      </c>
      <c r="C1146" s="1" t="n">
        <v>45474</v>
      </c>
      <c r="D1146" t="inlineStr">
        <is>
          <t>UPPSALA LÄN</t>
        </is>
      </c>
      <c r="E1146" t="inlineStr">
        <is>
          <t>UPPSALA</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43029-2023</t>
        </is>
      </c>
      <c r="B1147" s="1" t="n">
        <v>45182</v>
      </c>
      <c r="C1147" s="1" t="n">
        <v>45474</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43818-2023</t>
        </is>
      </c>
      <c r="B1148" s="1" t="n">
        <v>45182</v>
      </c>
      <c r="C1148" s="1" t="n">
        <v>45474</v>
      </c>
      <c r="D1148" t="inlineStr">
        <is>
          <t>UPPSALA LÄN</t>
        </is>
      </c>
      <c r="E1148" t="inlineStr">
        <is>
          <t>UPPSALA</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43795-2023</t>
        </is>
      </c>
      <c r="B1149" s="1" t="n">
        <v>45182</v>
      </c>
      <c r="C1149" s="1" t="n">
        <v>45474</v>
      </c>
      <c r="D1149" t="inlineStr">
        <is>
          <t>UPPSALA LÄN</t>
        </is>
      </c>
      <c r="E1149" t="inlineStr">
        <is>
          <t>UPPSALA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43316-2023</t>
        </is>
      </c>
      <c r="B1150" s="1" t="n">
        <v>45183</v>
      </c>
      <c r="C1150" s="1" t="n">
        <v>45474</v>
      </c>
      <c r="D1150" t="inlineStr">
        <is>
          <t>UPPSALA LÄN</t>
        </is>
      </c>
      <c r="E1150" t="inlineStr">
        <is>
          <t>UPPSALA</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43944-2023</t>
        </is>
      </c>
      <c r="B1151" s="1" t="n">
        <v>45187</v>
      </c>
      <c r="C1151" s="1" t="n">
        <v>45474</v>
      </c>
      <c r="D1151" t="inlineStr">
        <is>
          <t>UPPSALA LÄN</t>
        </is>
      </c>
      <c r="E1151" t="inlineStr">
        <is>
          <t>UPPSALA</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43775-2023</t>
        </is>
      </c>
      <c r="B1152" s="1" t="n">
        <v>45187</v>
      </c>
      <c r="C1152" s="1" t="n">
        <v>45474</v>
      </c>
      <c r="D1152" t="inlineStr">
        <is>
          <t>UPPSALA LÄN</t>
        </is>
      </c>
      <c r="E1152" t="inlineStr">
        <is>
          <t>UPPSALA</t>
        </is>
      </c>
      <c r="F1152" t="inlineStr">
        <is>
          <t>Bergvik skog öst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43779-2023</t>
        </is>
      </c>
      <c r="B1153" s="1" t="n">
        <v>45187</v>
      </c>
      <c r="C1153" s="1" t="n">
        <v>45474</v>
      </c>
      <c r="D1153" t="inlineStr">
        <is>
          <t>UPPSALA LÄN</t>
        </is>
      </c>
      <c r="E1153" t="inlineStr">
        <is>
          <t>UPPSALA</t>
        </is>
      </c>
      <c r="F1153" t="inlineStr">
        <is>
          <t>Bergvik skog öst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43776-2023</t>
        </is>
      </c>
      <c r="B1154" s="1" t="n">
        <v>45187</v>
      </c>
      <c r="C1154" s="1" t="n">
        <v>45474</v>
      </c>
      <c r="D1154" t="inlineStr">
        <is>
          <t>UPPSALA LÄN</t>
        </is>
      </c>
      <c r="E1154" t="inlineStr">
        <is>
          <t>UPPSALA</t>
        </is>
      </c>
      <c r="F1154" t="inlineStr">
        <is>
          <t>Bergvik skog öst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43855-2023</t>
        </is>
      </c>
      <c r="B1155" s="1" t="n">
        <v>45187</v>
      </c>
      <c r="C1155" s="1" t="n">
        <v>45474</v>
      </c>
      <c r="D1155" t="inlineStr">
        <is>
          <t>UPPSALA LÄN</t>
        </is>
      </c>
      <c r="E1155" t="inlineStr">
        <is>
          <t>UPPSALA</t>
        </is>
      </c>
      <c r="F1155" t="inlineStr">
        <is>
          <t>Bergvik skog öst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43778-2023</t>
        </is>
      </c>
      <c r="B1156" s="1" t="n">
        <v>45187</v>
      </c>
      <c r="C1156" s="1" t="n">
        <v>45474</v>
      </c>
      <c r="D1156" t="inlineStr">
        <is>
          <t>UPPSALA LÄN</t>
        </is>
      </c>
      <c r="E1156" t="inlineStr">
        <is>
          <t>UPPSALA</t>
        </is>
      </c>
      <c r="F1156" t="inlineStr">
        <is>
          <t>Bergvik skog öst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44875-2023</t>
        </is>
      </c>
      <c r="B1157" s="1" t="n">
        <v>45187</v>
      </c>
      <c r="C1157" s="1" t="n">
        <v>45474</v>
      </c>
      <c r="D1157" t="inlineStr">
        <is>
          <t>UPPSALA LÄN</t>
        </is>
      </c>
      <c r="E1157" t="inlineStr">
        <is>
          <t>UPPSALA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44080-2023</t>
        </is>
      </c>
      <c r="B1158" s="1" t="n">
        <v>45188</v>
      </c>
      <c r="C1158" s="1" t="n">
        <v>45474</v>
      </c>
      <c r="D1158" t="inlineStr">
        <is>
          <t>UPPSALA LÄN</t>
        </is>
      </c>
      <c r="E1158" t="inlineStr">
        <is>
          <t>UPPSALA</t>
        </is>
      </c>
      <c r="G1158" t="n">
        <v>13.3</v>
      </c>
      <c r="H1158" t="n">
        <v>0</v>
      </c>
      <c r="I1158" t="n">
        <v>0</v>
      </c>
      <c r="J1158" t="n">
        <v>0</v>
      </c>
      <c r="K1158" t="n">
        <v>0</v>
      </c>
      <c r="L1158" t="n">
        <v>0</v>
      </c>
      <c r="M1158" t="n">
        <v>0</v>
      </c>
      <c r="N1158" t="n">
        <v>0</v>
      </c>
      <c r="O1158" t="n">
        <v>0</v>
      </c>
      <c r="P1158" t="n">
        <v>0</v>
      </c>
      <c r="Q1158" t="n">
        <v>0</v>
      </c>
      <c r="R1158" s="2" t="inlineStr"/>
    </row>
    <row r="1159" ht="15" customHeight="1">
      <c r="A1159" t="inlineStr">
        <is>
          <t>A 44115-2023</t>
        </is>
      </c>
      <c r="B1159" s="1" t="n">
        <v>45188</v>
      </c>
      <c r="C1159" s="1" t="n">
        <v>45474</v>
      </c>
      <c r="D1159" t="inlineStr">
        <is>
          <t>UPPSALA LÄN</t>
        </is>
      </c>
      <c r="E1159" t="inlineStr">
        <is>
          <t>UPPSALA</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44232-2023</t>
        </is>
      </c>
      <c r="B1160" s="1" t="n">
        <v>45188</v>
      </c>
      <c r="C1160" s="1" t="n">
        <v>45474</v>
      </c>
      <c r="D1160" t="inlineStr">
        <is>
          <t>UPPSALA LÄN</t>
        </is>
      </c>
      <c r="E1160" t="inlineStr">
        <is>
          <t>UPPSALA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44105-2023</t>
        </is>
      </c>
      <c r="B1161" s="1" t="n">
        <v>45188</v>
      </c>
      <c r="C1161" s="1" t="n">
        <v>45474</v>
      </c>
      <c r="D1161" t="inlineStr">
        <is>
          <t>UPPSALA LÄN</t>
        </is>
      </c>
      <c r="E1161" t="inlineStr">
        <is>
          <t>UPPSALA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44333-2023</t>
        </is>
      </c>
      <c r="B1162" s="1" t="n">
        <v>45188</v>
      </c>
      <c r="C1162" s="1" t="n">
        <v>45474</v>
      </c>
      <c r="D1162" t="inlineStr">
        <is>
          <t>UPPSALA LÄN</t>
        </is>
      </c>
      <c r="E1162" t="inlineStr">
        <is>
          <t>UPPSALA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44337-2023</t>
        </is>
      </c>
      <c r="B1163" s="1" t="n">
        <v>45188</v>
      </c>
      <c r="C1163" s="1" t="n">
        <v>45474</v>
      </c>
      <c r="D1163" t="inlineStr">
        <is>
          <t>UPPSALA LÄN</t>
        </is>
      </c>
      <c r="E1163" t="inlineStr">
        <is>
          <t>UPPSALA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44257-2023</t>
        </is>
      </c>
      <c r="B1164" s="1" t="n">
        <v>45188</v>
      </c>
      <c r="C1164" s="1" t="n">
        <v>45474</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44815-2023</t>
        </is>
      </c>
      <c r="B1165" s="1" t="n">
        <v>45190</v>
      </c>
      <c r="C1165" s="1" t="n">
        <v>45474</v>
      </c>
      <c r="D1165" t="inlineStr">
        <is>
          <t>UPPSALA LÄN</t>
        </is>
      </c>
      <c r="E1165" t="inlineStr">
        <is>
          <t>UPPSALA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44830-2023</t>
        </is>
      </c>
      <c r="B1166" s="1" t="n">
        <v>45190</v>
      </c>
      <c r="C1166" s="1" t="n">
        <v>45474</v>
      </c>
      <c r="D1166" t="inlineStr">
        <is>
          <t>UPPSALA LÄN</t>
        </is>
      </c>
      <c r="E1166" t="inlineStr">
        <is>
          <t>UPPSALA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44785-2023</t>
        </is>
      </c>
      <c r="B1167" s="1" t="n">
        <v>45190</v>
      </c>
      <c r="C1167" s="1" t="n">
        <v>45474</v>
      </c>
      <c r="D1167" t="inlineStr">
        <is>
          <t>UPPSALA LÄN</t>
        </is>
      </c>
      <c r="E1167" t="inlineStr">
        <is>
          <t>UPPSALA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45244-2023</t>
        </is>
      </c>
      <c r="B1168" s="1" t="n">
        <v>45191</v>
      </c>
      <c r="C1168" s="1" t="n">
        <v>45474</v>
      </c>
      <c r="D1168" t="inlineStr">
        <is>
          <t>UPPSALA LÄN</t>
        </is>
      </c>
      <c r="E1168" t="inlineStr">
        <is>
          <t>UPPSALA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45223-2023</t>
        </is>
      </c>
      <c r="B1169" s="1" t="n">
        <v>45191</v>
      </c>
      <c r="C1169" s="1" t="n">
        <v>45474</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45489-2023</t>
        </is>
      </c>
      <c r="B1170" s="1" t="n">
        <v>45194</v>
      </c>
      <c r="C1170" s="1" t="n">
        <v>45474</v>
      </c>
      <c r="D1170" t="inlineStr">
        <is>
          <t>UPPSALA LÄN</t>
        </is>
      </c>
      <c r="E1170" t="inlineStr">
        <is>
          <t>UPPSALA</t>
        </is>
      </c>
      <c r="F1170" t="inlineStr">
        <is>
          <t>Allmännings- och besparingsskogar</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45575-2023</t>
        </is>
      </c>
      <c r="B1171" s="1" t="n">
        <v>45194</v>
      </c>
      <c r="C1171" s="1" t="n">
        <v>45474</v>
      </c>
      <c r="D1171" t="inlineStr">
        <is>
          <t>UPPSALA LÄN</t>
        </is>
      </c>
      <c r="E1171" t="inlineStr">
        <is>
          <t>UPPSALA</t>
        </is>
      </c>
      <c r="F1171" t="inlineStr">
        <is>
          <t>Bergvik skog öst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45578-2023</t>
        </is>
      </c>
      <c r="B1172" s="1" t="n">
        <v>45194</v>
      </c>
      <c r="C1172" s="1" t="n">
        <v>45474</v>
      </c>
      <c r="D1172" t="inlineStr">
        <is>
          <t>UPPSALA LÄN</t>
        </is>
      </c>
      <c r="E1172" t="inlineStr">
        <is>
          <t>UPPSALA</t>
        </is>
      </c>
      <c r="F1172" t="inlineStr">
        <is>
          <t>Bergvik skog öst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45592-2023</t>
        </is>
      </c>
      <c r="B1173" s="1" t="n">
        <v>45194</v>
      </c>
      <c r="C1173" s="1" t="n">
        <v>45474</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45662-2023</t>
        </is>
      </c>
      <c r="B1174" s="1" t="n">
        <v>45194</v>
      </c>
      <c r="C1174" s="1" t="n">
        <v>45474</v>
      </c>
      <c r="D1174" t="inlineStr">
        <is>
          <t>UPPSALA LÄN</t>
        </is>
      </c>
      <c r="E1174" t="inlineStr">
        <is>
          <t>UPPSALA</t>
        </is>
      </c>
      <c r="F1174" t="inlineStr">
        <is>
          <t>Bergvik skog öst AB</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45661-2023</t>
        </is>
      </c>
      <c r="B1175" s="1" t="n">
        <v>45194</v>
      </c>
      <c r="C1175" s="1" t="n">
        <v>45474</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45892-2023</t>
        </is>
      </c>
      <c r="B1176" s="1" t="n">
        <v>45195</v>
      </c>
      <c r="C1176" s="1" t="n">
        <v>45474</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45885-2023</t>
        </is>
      </c>
      <c r="B1177" s="1" t="n">
        <v>45195</v>
      </c>
      <c r="C1177" s="1" t="n">
        <v>45474</v>
      </c>
      <c r="D1177" t="inlineStr">
        <is>
          <t>UPPSALA LÄN</t>
        </is>
      </c>
      <c r="E1177" t="inlineStr">
        <is>
          <t>UPPSALA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46335-2023</t>
        </is>
      </c>
      <c r="B1178" s="1" t="n">
        <v>45197</v>
      </c>
      <c r="C1178" s="1" t="n">
        <v>45474</v>
      </c>
      <c r="D1178" t="inlineStr">
        <is>
          <t>UPPSALA LÄN</t>
        </is>
      </c>
      <c r="E1178" t="inlineStr">
        <is>
          <t>UPPSALA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46869-2023</t>
        </is>
      </c>
      <c r="B1179" s="1" t="n">
        <v>45200</v>
      </c>
      <c r="C1179" s="1" t="n">
        <v>45474</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46995-2023</t>
        </is>
      </c>
      <c r="B1180" s="1" t="n">
        <v>45201</v>
      </c>
      <c r="C1180" s="1" t="n">
        <v>45474</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47083-2023</t>
        </is>
      </c>
      <c r="B1181" s="1" t="n">
        <v>45201</v>
      </c>
      <c r="C1181" s="1" t="n">
        <v>45474</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47221-2023</t>
        </is>
      </c>
      <c r="B1182" s="1" t="n">
        <v>45202</v>
      </c>
      <c r="C1182" s="1" t="n">
        <v>45474</v>
      </c>
      <c r="D1182" t="inlineStr">
        <is>
          <t>UPPSALA LÄN</t>
        </is>
      </c>
      <c r="E1182" t="inlineStr">
        <is>
          <t>UPPSALA</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47314-2023</t>
        </is>
      </c>
      <c r="B1183" s="1" t="n">
        <v>45202</v>
      </c>
      <c r="C1183" s="1" t="n">
        <v>45474</v>
      </c>
      <c r="D1183" t="inlineStr">
        <is>
          <t>UPPSALA LÄN</t>
        </is>
      </c>
      <c r="E1183" t="inlineStr">
        <is>
          <t>UPPSALA</t>
        </is>
      </c>
      <c r="F1183" t="inlineStr">
        <is>
          <t>Bergvik skog öst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47287-2023</t>
        </is>
      </c>
      <c r="B1184" s="1" t="n">
        <v>45202</v>
      </c>
      <c r="C1184" s="1" t="n">
        <v>45474</v>
      </c>
      <c r="D1184" t="inlineStr">
        <is>
          <t>UPPSALA LÄN</t>
        </is>
      </c>
      <c r="E1184" t="inlineStr">
        <is>
          <t>UPPSALA</t>
        </is>
      </c>
      <c r="F1184" t="inlineStr">
        <is>
          <t>Holmen skog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47316-2023</t>
        </is>
      </c>
      <c r="B1185" s="1" t="n">
        <v>45202</v>
      </c>
      <c r="C1185" s="1" t="n">
        <v>45474</v>
      </c>
      <c r="D1185" t="inlineStr">
        <is>
          <t>UPPSALA LÄN</t>
        </is>
      </c>
      <c r="E1185" t="inlineStr">
        <is>
          <t>UPPSALA</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47618-2023</t>
        </is>
      </c>
      <c r="B1186" s="1" t="n">
        <v>45203</v>
      </c>
      <c r="C1186" s="1" t="n">
        <v>45474</v>
      </c>
      <c r="D1186" t="inlineStr">
        <is>
          <t>UPPSALA LÄN</t>
        </is>
      </c>
      <c r="E1186" t="inlineStr">
        <is>
          <t>UPPSALA</t>
        </is>
      </c>
      <c r="F1186" t="inlineStr">
        <is>
          <t>Bergvik skog öst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48562-2023</t>
        </is>
      </c>
      <c r="B1187" s="1" t="n">
        <v>45208</v>
      </c>
      <c r="C1187" s="1" t="n">
        <v>45474</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48564-2023</t>
        </is>
      </c>
      <c r="B1188" s="1" t="n">
        <v>45208</v>
      </c>
      <c r="C1188" s="1" t="n">
        <v>45474</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48571-2023</t>
        </is>
      </c>
      <c r="B1189" s="1" t="n">
        <v>45208</v>
      </c>
      <c r="C1189" s="1" t="n">
        <v>45474</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48584-2023</t>
        </is>
      </c>
      <c r="B1190" s="1" t="n">
        <v>45208</v>
      </c>
      <c r="C1190" s="1" t="n">
        <v>45474</v>
      </c>
      <c r="D1190" t="inlineStr">
        <is>
          <t>UPPSALA LÄN</t>
        </is>
      </c>
      <c r="E1190" t="inlineStr">
        <is>
          <t>UPPSALA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49189-2023</t>
        </is>
      </c>
      <c r="B1191" s="1" t="n">
        <v>45210</v>
      </c>
      <c r="C1191" s="1" t="n">
        <v>45474</v>
      </c>
      <c r="D1191" t="inlineStr">
        <is>
          <t>UPPSALA LÄN</t>
        </is>
      </c>
      <c r="E1191" t="inlineStr">
        <is>
          <t>UPPSALA</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49201-2023</t>
        </is>
      </c>
      <c r="B1192" s="1" t="n">
        <v>45210</v>
      </c>
      <c r="C1192" s="1" t="n">
        <v>45474</v>
      </c>
      <c r="D1192" t="inlineStr">
        <is>
          <t>UPPSALA LÄN</t>
        </is>
      </c>
      <c r="E1192" t="inlineStr">
        <is>
          <t>UPPSALA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49682-2023</t>
        </is>
      </c>
      <c r="B1193" s="1" t="n">
        <v>45212</v>
      </c>
      <c r="C1193" s="1" t="n">
        <v>45474</v>
      </c>
      <c r="D1193" t="inlineStr">
        <is>
          <t>UPPSALA LÄN</t>
        </is>
      </c>
      <c r="E1193" t="inlineStr">
        <is>
          <t>UPPSALA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49996-2023</t>
        </is>
      </c>
      <c r="B1194" s="1" t="n">
        <v>45215</v>
      </c>
      <c r="C1194" s="1" t="n">
        <v>45474</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49990-2023</t>
        </is>
      </c>
      <c r="B1195" s="1" t="n">
        <v>45215</v>
      </c>
      <c r="C1195" s="1" t="n">
        <v>45474</v>
      </c>
      <c r="D1195" t="inlineStr">
        <is>
          <t>UPPSALA LÄN</t>
        </is>
      </c>
      <c r="E1195" t="inlineStr">
        <is>
          <t>UPPSALA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50118-2023</t>
        </is>
      </c>
      <c r="B1196" s="1" t="n">
        <v>45215</v>
      </c>
      <c r="C1196" s="1" t="n">
        <v>45474</v>
      </c>
      <c r="D1196" t="inlineStr">
        <is>
          <t>UPPSALA LÄN</t>
        </is>
      </c>
      <c r="E1196" t="inlineStr">
        <is>
          <t>UPPSALA</t>
        </is>
      </c>
      <c r="G1196" t="n">
        <v>12.7</v>
      </c>
      <c r="H1196" t="n">
        <v>0</v>
      </c>
      <c r="I1196" t="n">
        <v>0</v>
      </c>
      <c r="J1196" t="n">
        <v>0</v>
      </c>
      <c r="K1196" t="n">
        <v>0</v>
      </c>
      <c r="L1196" t="n">
        <v>0</v>
      </c>
      <c r="M1196" t="n">
        <v>0</v>
      </c>
      <c r="N1196" t="n">
        <v>0</v>
      </c>
      <c r="O1196" t="n">
        <v>0</v>
      </c>
      <c r="P1196" t="n">
        <v>0</v>
      </c>
      <c r="Q1196" t="n">
        <v>0</v>
      </c>
      <c r="R1196" s="2" t="inlineStr"/>
    </row>
    <row r="1197" ht="15" customHeight="1">
      <c r="A1197" t="inlineStr">
        <is>
          <t>A 51843-2023</t>
        </is>
      </c>
      <c r="B1197" s="1" t="n">
        <v>45215</v>
      </c>
      <c r="C1197" s="1" t="n">
        <v>45474</v>
      </c>
      <c r="D1197" t="inlineStr">
        <is>
          <t>UPPSALA LÄN</t>
        </is>
      </c>
      <c r="E1197" t="inlineStr">
        <is>
          <t>UPPSALA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50267-2023</t>
        </is>
      </c>
      <c r="B1198" s="1" t="n">
        <v>45216</v>
      </c>
      <c r="C1198" s="1" t="n">
        <v>45474</v>
      </c>
      <c r="D1198" t="inlineStr">
        <is>
          <t>UPPSALA LÄN</t>
        </is>
      </c>
      <c r="E1198" t="inlineStr">
        <is>
          <t>UPPSALA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50473-2023</t>
        </is>
      </c>
      <c r="B1199" s="1" t="n">
        <v>45216</v>
      </c>
      <c r="C1199" s="1" t="n">
        <v>45474</v>
      </c>
      <c r="D1199" t="inlineStr">
        <is>
          <t>UPPSALA LÄN</t>
        </is>
      </c>
      <c r="E1199" t="inlineStr">
        <is>
          <t>UPPSALA</t>
        </is>
      </c>
      <c r="F1199" t="inlineStr">
        <is>
          <t>Allmännings- och besparingsskogar</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50395-2023</t>
        </is>
      </c>
      <c r="B1200" s="1" t="n">
        <v>45216</v>
      </c>
      <c r="C1200" s="1" t="n">
        <v>45474</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51016-2023</t>
        </is>
      </c>
      <c r="B1201" s="1" t="n">
        <v>45218</v>
      </c>
      <c r="C1201" s="1" t="n">
        <v>45474</v>
      </c>
      <c r="D1201" t="inlineStr">
        <is>
          <t>UPPSALA LÄN</t>
        </is>
      </c>
      <c r="E1201" t="inlineStr">
        <is>
          <t>UPPSALA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51006-2023</t>
        </is>
      </c>
      <c r="B1202" s="1" t="n">
        <v>45218</v>
      </c>
      <c r="C1202" s="1" t="n">
        <v>45474</v>
      </c>
      <c r="D1202" t="inlineStr">
        <is>
          <t>UPPSALA LÄN</t>
        </is>
      </c>
      <c r="E1202" t="inlineStr">
        <is>
          <t>UPPSALA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51542-2023</t>
        </is>
      </c>
      <c r="B1203" s="1" t="n">
        <v>45222</v>
      </c>
      <c r="C1203" s="1" t="n">
        <v>45474</v>
      </c>
      <c r="D1203" t="inlineStr">
        <is>
          <t>UPPSALA LÄN</t>
        </is>
      </c>
      <c r="E1203" t="inlineStr">
        <is>
          <t>UPPSALA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51734-2023</t>
        </is>
      </c>
      <c r="B1204" s="1" t="n">
        <v>45222</v>
      </c>
      <c r="C1204" s="1" t="n">
        <v>45474</v>
      </c>
      <c r="D1204" t="inlineStr">
        <is>
          <t>UPPSALA LÄN</t>
        </is>
      </c>
      <c r="E1204" t="inlineStr">
        <is>
          <t>UPPSALA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51731-2023</t>
        </is>
      </c>
      <c r="B1205" s="1" t="n">
        <v>45222</v>
      </c>
      <c r="C1205" s="1" t="n">
        <v>45474</v>
      </c>
      <c r="D1205" t="inlineStr">
        <is>
          <t>UPPSALA LÄN</t>
        </is>
      </c>
      <c r="E1205" t="inlineStr">
        <is>
          <t>UPPSALA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51576-2023</t>
        </is>
      </c>
      <c r="B1206" s="1" t="n">
        <v>45222</v>
      </c>
      <c r="C1206" s="1" t="n">
        <v>45474</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51697-2023</t>
        </is>
      </c>
      <c r="B1207" s="1" t="n">
        <v>45222</v>
      </c>
      <c r="C1207" s="1" t="n">
        <v>45474</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51935-2023</t>
        </is>
      </c>
      <c r="B1208" s="1" t="n">
        <v>45223</v>
      </c>
      <c r="C1208" s="1" t="n">
        <v>45474</v>
      </c>
      <c r="D1208" t="inlineStr">
        <is>
          <t>UPPSALA LÄN</t>
        </is>
      </c>
      <c r="E1208" t="inlineStr">
        <is>
          <t>UPPSALA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52273-2023</t>
        </is>
      </c>
      <c r="B1209" s="1" t="n">
        <v>45224</v>
      </c>
      <c r="C1209" s="1" t="n">
        <v>45474</v>
      </c>
      <c r="D1209" t="inlineStr">
        <is>
          <t>UPPSALA LÄN</t>
        </is>
      </c>
      <c r="E1209" t="inlineStr">
        <is>
          <t>UPPSALA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52492-2023</t>
        </is>
      </c>
      <c r="B1210" s="1" t="n">
        <v>45225</v>
      </c>
      <c r="C1210" s="1" t="n">
        <v>45474</v>
      </c>
      <c r="D1210" t="inlineStr">
        <is>
          <t>UPPSALA LÄN</t>
        </is>
      </c>
      <c r="E1210" t="inlineStr">
        <is>
          <t>UPPSALA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52503-2023</t>
        </is>
      </c>
      <c r="B1211" s="1" t="n">
        <v>45225</v>
      </c>
      <c r="C1211" s="1" t="n">
        <v>45474</v>
      </c>
      <c r="D1211" t="inlineStr">
        <is>
          <t>UPPSALA LÄN</t>
        </is>
      </c>
      <c r="E1211" t="inlineStr">
        <is>
          <t>UPPSALA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52518-2023</t>
        </is>
      </c>
      <c r="B1212" s="1" t="n">
        <v>45225</v>
      </c>
      <c r="C1212" s="1" t="n">
        <v>45474</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53893-2023</t>
        </is>
      </c>
      <c r="B1213" s="1" t="n">
        <v>45231</v>
      </c>
      <c r="C1213" s="1" t="n">
        <v>45474</v>
      </c>
      <c r="D1213" t="inlineStr">
        <is>
          <t>UPPSALA LÄN</t>
        </is>
      </c>
      <c r="E1213" t="inlineStr">
        <is>
          <t>UPPSALA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53919-2023</t>
        </is>
      </c>
      <c r="B1214" s="1" t="n">
        <v>45231</v>
      </c>
      <c r="C1214" s="1" t="n">
        <v>45474</v>
      </c>
      <c r="D1214" t="inlineStr">
        <is>
          <t>UPPSALA LÄN</t>
        </is>
      </c>
      <c r="E1214" t="inlineStr">
        <is>
          <t>UPPSALA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53982-2023</t>
        </is>
      </c>
      <c r="B1215" s="1" t="n">
        <v>45231</v>
      </c>
      <c r="C1215" s="1" t="n">
        <v>45474</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53882-2023</t>
        </is>
      </c>
      <c r="B1216" s="1" t="n">
        <v>45231</v>
      </c>
      <c r="C1216" s="1" t="n">
        <v>45474</v>
      </c>
      <c r="D1216" t="inlineStr">
        <is>
          <t>UPPSALA LÄN</t>
        </is>
      </c>
      <c r="E1216" t="inlineStr">
        <is>
          <t>UPPSALA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53900-2023</t>
        </is>
      </c>
      <c r="B1217" s="1" t="n">
        <v>45231</v>
      </c>
      <c r="C1217" s="1" t="n">
        <v>45474</v>
      </c>
      <c r="D1217" t="inlineStr">
        <is>
          <t>UPPSALA LÄN</t>
        </is>
      </c>
      <c r="E1217" t="inlineStr">
        <is>
          <t>UPPSALA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53963-2023</t>
        </is>
      </c>
      <c r="B1218" s="1" t="n">
        <v>45231</v>
      </c>
      <c r="C1218" s="1" t="n">
        <v>45474</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53967-2023</t>
        </is>
      </c>
      <c r="B1219" s="1" t="n">
        <v>45231</v>
      </c>
      <c r="C1219" s="1" t="n">
        <v>45474</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53803-2023</t>
        </is>
      </c>
      <c r="B1220" s="1" t="n">
        <v>45231</v>
      </c>
      <c r="C1220" s="1" t="n">
        <v>45474</v>
      </c>
      <c r="D1220" t="inlineStr">
        <is>
          <t>UPPSALA LÄN</t>
        </is>
      </c>
      <c r="E1220" t="inlineStr">
        <is>
          <t>UPPSALA</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53906-2023</t>
        </is>
      </c>
      <c r="B1221" s="1" t="n">
        <v>45231</v>
      </c>
      <c r="C1221" s="1" t="n">
        <v>45474</v>
      </c>
      <c r="D1221" t="inlineStr">
        <is>
          <t>UPPSALA LÄN</t>
        </is>
      </c>
      <c r="E1221" t="inlineStr">
        <is>
          <t>UPPSALA</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54231-2023</t>
        </is>
      </c>
      <c r="B1222" s="1" t="n">
        <v>45232</v>
      </c>
      <c r="C1222" s="1" t="n">
        <v>45474</v>
      </c>
      <c r="D1222" t="inlineStr">
        <is>
          <t>UPPSALA LÄN</t>
        </is>
      </c>
      <c r="E1222" t="inlineStr">
        <is>
          <t>UPPSALA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55529-2023</t>
        </is>
      </c>
      <c r="B1223" s="1" t="n">
        <v>45232</v>
      </c>
      <c r="C1223" s="1" t="n">
        <v>45474</v>
      </c>
      <c r="D1223" t="inlineStr">
        <is>
          <t>UPPSALA LÄN</t>
        </is>
      </c>
      <c r="E1223" t="inlineStr">
        <is>
          <t>UPPSALA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54375-2023</t>
        </is>
      </c>
      <c r="B1224" s="1" t="n">
        <v>45233</v>
      </c>
      <c r="C1224" s="1" t="n">
        <v>45474</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54474-2023</t>
        </is>
      </c>
      <c r="B1225" s="1" t="n">
        <v>45233</v>
      </c>
      <c r="C1225" s="1" t="n">
        <v>45474</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54461-2023</t>
        </is>
      </c>
      <c r="B1226" s="1" t="n">
        <v>45233</v>
      </c>
      <c r="C1226" s="1" t="n">
        <v>45474</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54808-2023</t>
        </is>
      </c>
      <c r="B1227" s="1" t="n">
        <v>45236</v>
      </c>
      <c r="C1227" s="1" t="n">
        <v>45474</v>
      </c>
      <c r="D1227" t="inlineStr">
        <is>
          <t>UPPSALA LÄN</t>
        </is>
      </c>
      <c r="E1227" t="inlineStr">
        <is>
          <t>UPPSALA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54704-2023</t>
        </is>
      </c>
      <c r="B1228" s="1" t="n">
        <v>45236</v>
      </c>
      <c r="C1228" s="1" t="n">
        <v>45474</v>
      </c>
      <c r="D1228" t="inlineStr">
        <is>
          <t>UPPSALA LÄN</t>
        </is>
      </c>
      <c r="E1228" t="inlineStr">
        <is>
          <t>UPPSALA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54783-2023</t>
        </is>
      </c>
      <c r="B1229" s="1" t="n">
        <v>45236</v>
      </c>
      <c r="C1229" s="1" t="n">
        <v>45474</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55598-2023</t>
        </is>
      </c>
      <c r="B1230" s="1" t="n">
        <v>45238</v>
      </c>
      <c r="C1230" s="1" t="n">
        <v>45474</v>
      </c>
      <c r="D1230" t="inlineStr">
        <is>
          <t>UPPSALA LÄN</t>
        </is>
      </c>
      <c r="E1230" t="inlineStr">
        <is>
          <t>UPPSALA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56084-2023</t>
        </is>
      </c>
      <c r="B1231" s="1" t="n">
        <v>45240</v>
      </c>
      <c r="C1231" s="1" t="n">
        <v>45474</v>
      </c>
      <c r="D1231" t="inlineStr">
        <is>
          <t>UPPSALA LÄN</t>
        </is>
      </c>
      <c r="E1231" t="inlineStr">
        <is>
          <t>UPPSALA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56082-2023</t>
        </is>
      </c>
      <c r="B1232" s="1" t="n">
        <v>45240</v>
      </c>
      <c r="C1232" s="1" t="n">
        <v>45474</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56105-2023</t>
        </is>
      </c>
      <c r="B1233" s="1" t="n">
        <v>45240</v>
      </c>
      <c r="C1233" s="1" t="n">
        <v>45474</v>
      </c>
      <c r="D1233" t="inlineStr">
        <is>
          <t>UPPSALA LÄN</t>
        </is>
      </c>
      <c r="E1233" t="inlineStr">
        <is>
          <t>UPPSALA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56077-2023</t>
        </is>
      </c>
      <c r="B1234" s="1" t="n">
        <v>45240</v>
      </c>
      <c r="C1234" s="1" t="n">
        <v>45474</v>
      </c>
      <c r="D1234" t="inlineStr">
        <is>
          <t>UPPSALA LÄN</t>
        </is>
      </c>
      <c r="E1234" t="inlineStr">
        <is>
          <t>UPPSALA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56278-2023</t>
        </is>
      </c>
      <c r="B1235" s="1" t="n">
        <v>45241</v>
      </c>
      <c r="C1235" s="1" t="n">
        <v>45474</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56642-2023</t>
        </is>
      </c>
      <c r="B1236" s="1" t="n">
        <v>45243</v>
      </c>
      <c r="C1236" s="1" t="n">
        <v>45474</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56852-2023</t>
        </is>
      </c>
      <c r="B1237" s="1" t="n">
        <v>45244</v>
      </c>
      <c r="C1237" s="1" t="n">
        <v>45474</v>
      </c>
      <c r="D1237" t="inlineStr">
        <is>
          <t>UPPSALA LÄN</t>
        </is>
      </c>
      <c r="E1237" t="inlineStr">
        <is>
          <t>UPPSALA</t>
        </is>
      </c>
      <c r="F1237" t="inlineStr">
        <is>
          <t>Holmen skog AB</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56872-2023</t>
        </is>
      </c>
      <c r="B1238" s="1" t="n">
        <v>45244</v>
      </c>
      <c r="C1238" s="1" t="n">
        <v>45474</v>
      </c>
      <c r="D1238" t="inlineStr">
        <is>
          <t>UPPSALA LÄN</t>
        </is>
      </c>
      <c r="E1238" t="inlineStr">
        <is>
          <t>UPPSALA</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57186-2023</t>
        </is>
      </c>
      <c r="B1239" s="1" t="n">
        <v>45245</v>
      </c>
      <c r="C1239" s="1" t="n">
        <v>45474</v>
      </c>
      <c r="D1239" t="inlineStr">
        <is>
          <t>UPPSALA LÄN</t>
        </is>
      </c>
      <c r="E1239" t="inlineStr">
        <is>
          <t>UPPSALA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57182-2023</t>
        </is>
      </c>
      <c r="B1240" s="1" t="n">
        <v>45245</v>
      </c>
      <c r="C1240" s="1" t="n">
        <v>45474</v>
      </c>
      <c r="D1240" t="inlineStr">
        <is>
          <t>UPPSALA LÄN</t>
        </is>
      </c>
      <c r="E1240" t="inlineStr">
        <is>
          <t>UPPSALA</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59240-2023</t>
        </is>
      </c>
      <c r="B1241" s="1" t="n">
        <v>45253</v>
      </c>
      <c r="C1241" s="1" t="n">
        <v>45474</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59511-2023</t>
        </is>
      </c>
      <c r="B1242" s="1" t="n">
        <v>45254</v>
      </c>
      <c r="C1242" s="1" t="n">
        <v>45474</v>
      </c>
      <c r="D1242" t="inlineStr">
        <is>
          <t>UPPSALA LÄN</t>
        </is>
      </c>
      <c r="E1242" t="inlineStr">
        <is>
          <t>UPPSALA</t>
        </is>
      </c>
      <c r="G1242" t="n">
        <v>14.6</v>
      </c>
      <c r="H1242" t="n">
        <v>0</v>
      </c>
      <c r="I1242" t="n">
        <v>0</v>
      </c>
      <c r="J1242" t="n">
        <v>0</v>
      </c>
      <c r="K1242" t="n">
        <v>0</v>
      </c>
      <c r="L1242" t="n">
        <v>0</v>
      </c>
      <c r="M1242" t="n">
        <v>0</v>
      </c>
      <c r="N1242" t="n">
        <v>0</v>
      </c>
      <c r="O1242" t="n">
        <v>0</v>
      </c>
      <c r="P1242" t="n">
        <v>0</v>
      </c>
      <c r="Q1242" t="n">
        <v>0</v>
      </c>
      <c r="R1242" s="2" t="inlineStr"/>
    </row>
    <row r="1243" ht="15" customHeight="1">
      <c r="A1243" t="inlineStr">
        <is>
          <t>A 59521-2023</t>
        </is>
      </c>
      <c r="B1243" s="1" t="n">
        <v>45254</v>
      </c>
      <c r="C1243" s="1" t="n">
        <v>45474</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59564-2023</t>
        </is>
      </c>
      <c r="B1244" s="1" t="n">
        <v>45254</v>
      </c>
      <c r="C1244" s="1" t="n">
        <v>45474</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59570-2023</t>
        </is>
      </c>
      <c r="B1245" s="1" t="n">
        <v>45254</v>
      </c>
      <c r="C1245" s="1" t="n">
        <v>45474</v>
      </c>
      <c r="D1245" t="inlineStr">
        <is>
          <t>UPPSALA LÄN</t>
        </is>
      </c>
      <c r="E1245" t="inlineStr">
        <is>
          <t>UPPSALA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59585-2023</t>
        </is>
      </c>
      <c r="B1246" s="1" t="n">
        <v>45254</v>
      </c>
      <c r="C1246" s="1" t="n">
        <v>45474</v>
      </c>
      <c r="D1246" t="inlineStr">
        <is>
          <t>UPPSALA LÄN</t>
        </is>
      </c>
      <c r="E1246" t="inlineStr">
        <is>
          <t>UPPSALA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59489-2023</t>
        </is>
      </c>
      <c r="B1247" s="1" t="n">
        <v>45254</v>
      </c>
      <c r="C1247" s="1" t="n">
        <v>45474</v>
      </c>
      <c r="D1247" t="inlineStr">
        <is>
          <t>UPPSALA LÄN</t>
        </is>
      </c>
      <c r="E1247" t="inlineStr">
        <is>
          <t>UPPSALA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59856-2023</t>
        </is>
      </c>
      <c r="B1248" s="1" t="n">
        <v>45257</v>
      </c>
      <c r="C1248" s="1" t="n">
        <v>45474</v>
      </c>
      <c r="D1248" t="inlineStr">
        <is>
          <t>UPPSALA LÄN</t>
        </is>
      </c>
      <c r="E1248" t="inlineStr">
        <is>
          <t>UPPSALA</t>
        </is>
      </c>
      <c r="F1248" t="inlineStr">
        <is>
          <t>Allmännings- och besparingsskogar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59810-2023</t>
        </is>
      </c>
      <c r="B1249" s="1" t="n">
        <v>45257</v>
      </c>
      <c r="C1249" s="1" t="n">
        <v>45474</v>
      </c>
      <c r="D1249" t="inlineStr">
        <is>
          <t>UPPSALA LÄN</t>
        </is>
      </c>
      <c r="E1249" t="inlineStr">
        <is>
          <t>UPPSALA</t>
        </is>
      </c>
      <c r="F1249" t="inlineStr">
        <is>
          <t>Allmännings- och besparingsskogar</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60444-2023</t>
        </is>
      </c>
      <c r="B1250" s="1" t="n">
        <v>45259</v>
      </c>
      <c r="C1250" s="1" t="n">
        <v>45474</v>
      </c>
      <c r="D1250" t="inlineStr">
        <is>
          <t>UPPSALA LÄN</t>
        </is>
      </c>
      <c r="E1250" t="inlineStr">
        <is>
          <t>UPPSALA</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60447-2023</t>
        </is>
      </c>
      <c r="B1251" s="1" t="n">
        <v>45259</v>
      </c>
      <c r="C1251" s="1" t="n">
        <v>45474</v>
      </c>
      <c r="D1251" t="inlineStr">
        <is>
          <t>UPPSALA LÄN</t>
        </is>
      </c>
      <c r="E1251" t="inlineStr">
        <is>
          <t>UPPSALA</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60714-2023</t>
        </is>
      </c>
      <c r="B1252" s="1" t="n">
        <v>45259</v>
      </c>
      <c r="C1252" s="1" t="n">
        <v>45474</v>
      </c>
      <c r="D1252" t="inlineStr">
        <is>
          <t>UPPSALA LÄN</t>
        </is>
      </c>
      <c r="E1252" t="inlineStr">
        <is>
          <t>UPPSALA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60814-2023</t>
        </is>
      </c>
      <c r="B1253" s="1" t="n">
        <v>45259</v>
      </c>
      <c r="C1253" s="1" t="n">
        <v>45474</v>
      </c>
      <c r="D1253" t="inlineStr">
        <is>
          <t>UPPSALA LÄN</t>
        </is>
      </c>
      <c r="E1253" t="inlineStr">
        <is>
          <t>UPPSALA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60781-2023</t>
        </is>
      </c>
      <c r="B1254" s="1" t="n">
        <v>45259</v>
      </c>
      <c r="C1254" s="1" t="n">
        <v>45474</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61067-2023</t>
        </is>
      </c>
      <c r="B1255" s="1" t="n">
        <v>45259</v>
      </c>
      <c r="C1255" s="1" t="n">
        <v>45474</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61066-2023</t>
        </is>
      </c>
      <c r="B1256" s="1" t="n">
        <v>45259</v>
      </c>
      <c r="C1256" s="1" t="n">
        <v>45474</v>
      </c>
      <c r="D1256" t="inlineStr">
        <is>
          <t>UPPSALA LÄN</t>
        </is>
      </c>
      <c r="E1256" t="inlineStr">
        <is>
          <t>UPPSALA</t>
        </is>
      </c>
      <c r="F1256" t="inlineStr">
        <is>
          <t>Övriga Aktiebolag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60707-2023</t>
        </is>
      </c>
      <c r="B1257" s="1" t="n">
        <v>45260</v>
      </c>
      <c r="C1257" s="1" t="n">
        <v>45474</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61947-2023</t>
        </is>
      </c>
      <c r="B1258" s="1" t="n">
        <v>45266</v>
      </c>
      <c r="C1258" s="1" t="n">
        <v>45474</v>
      </c>
      <c r="D1258" t="inlineStr">
        <is>
          <t>UPPSALA LÄN</t>
        </is>
      </c>
      <c r="E1258" t="inlineStr">
        <is>
          <t>UPPSALA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62287-2023</t>
        </is>
      </c>
      <c r="B1259" s="1" t="n">
        <v>45267</v>
      </c>
      <c r="C1259" s="1" t="n">
        <v>45474</v>
      </c>
      <c r="D1259" t="inlineStr">
        <is>
          <t>UPPSALA LÄN</t>
        </is>
      </c>
      <c r="E1259" t="inlineStr">
        <is>
          <t>UPPSALA</t>
        </is>
      </c>
      <c r="F1259" t="inlineStr">
        <is>
          <t>Allmännings- och besparingsskogar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62627-2023</t>
        </is>
      </c>
      <c r="B1260" s="1" t="n">
        <v>45268</v>
      </c>
      <c r="C1260" s="1" t="n">
        <v>45474</v>
      </c>
      <c r="D1260" t="inlineStr">
        <is>
          <t>UPPSALA LÄN</t>
        </is>
      </c>
      <c r="E1260" t="inlineStr">
        <is>
          <t>UPPSALA</t>
        </is>
      </c>
      <c r="G1260" t="n">
        <v>7.6</v>
      </c>
      <c r="H1260" t="n">
        <v>0</v>
      </c>
      <c r="I1260" t="n">
        <v>0</v>
      </c>
      <c r="J1260" t="n">
        <v>0</v>
      </c>
      <c r="K1260" t="n">
        <v>0</v>
      </c>
      <c r="L1260" t="n">
        <v>0</v>
      </c>
      <c r="M1260" t="n">
        <v>0</v>
      </c>
      <c r="N1260" t="n">
        <v>0</v>
      </c>
      <c r="O1260" t="n">
        <v>0</v>
      </c>
      <c r="P1260" t="n">
        <v>0</v>
      </c>
      <c r="Q1260" t="n">
        <v>0</v>
      </c>
      <c r="R1260" s="2" t="inlineStr"/>
      <c r="U1260">
        <f>HYPERLINK("https://klasma.github.io/Logging_0380/knärot/A 62627-2023 karta knärot.png", "A 62627-2023")</f>
        <v/>
      </c>
      <c r="V1260">
        <f>HYPERLINK("https://klasma.github.io/Logging_0380/klagomål/A 62627-2023 FSC-klagomål.docx", "A 62627-2023")</f>
        <v/>
      </c>
      <c r="W1260">
        <f>HYPERLINK("https://klasma.github.io/Logging_0380/klagomålsmail/A 62627-2023 FSC-klagomål mail.docx", "A 62627-2023")</f>
        <v/>
      </c>
      <c r="X1260">
        <f>HYPERLINK("https://klasma.github.io/Logging_0380/tillsyn/A 62627-2023 tillsynsbegäran.docx", "A 62627-2023")</f>
        <v/>
      </c>
      <c r="Y1260">
        <f>HYPERLINK("https://klasma.github.io/Logging_0380/tillsynsmail/A 62627-2023 tillsynsbegäran mail.docx", "A 62627-2023")</f>
        <v/>
      </c>
    </row>
    <row r="1261" ht="15" customHeight="1">
      <c r="A1261" t="inlineStr">
        <is>
          <t>A 62636-2023</t>
        </is>
      </c>
      <c r="B1261" s="1" t="n">
        <v>45268</v>
      </c>
      <c r="C1261" s="1" t="n">
        <v>45474</v>
      </c>
      <c r="D1261" t="inlineStr">
        <is>
          <t>UPPSALA LÄN</t>
        </is>
      </c>
      <c r="E1261" t="inlineStr">
        <is>
          <t>UPPSALA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62691-2023</t>
        </is>
      </c>
      <c r="B1262" s="1" t="n">
        <v>45268</v>
      </c>
      <c r="C1262" s="1" t="n">
        <v>45474</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62694-2023</t>
        </is>
      </c>
      <c r="B1263" s="1" t="n">
        <v>45268</v>
      </c>
      <c r="C1263" s="1" t="n">
        <v>45474</v>
      </c>
      <c r="D1263" t="inlineStr">
        <is>
          <t>UPPSALA LÄN</t>
        </is>
      </c>
      <c r="E1263" t="inlineStr">
        <is>
          <t>UPPSALA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62714-2023</t>
        </is>
      </c>
      <c r="B1264" s="1" t="n">
        <v>45271</v>
      </c>
      <c r="C1264" s="1" t="n">
        <v>45474</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63163-2023</t>
        </is>
      </c>
      <c r="B1265" s="1" t="n">
        <v>45273</v>
      </c>
      <c r="C1265" s="1" t="n">
        <v>45474</v>
      </c>
      <c r="D1265" t="inlineStr">
        <is>
          <t>UPPSALA LÄN</t>
        </is>
      </c>
      <c r="E1265" t="inlineStr">
        <is>
          <t>UPPSALA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63578-2023</t>
        </is>
      </c>
      <c r="B1266" s="1" t="n">
        <v>45275</v>
      </c>
      <c r="C1266" s="1" t="n">
        <v>45474</v>
      </c>
      <c r="D1266" t="inlineStr">
        <is>
          <t>UPPSALA LÄN</t>
        </is>
      </c>
      <c r="E1266" t="inlineStr">
        <is>
          <t>UPPSALA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63579-2023</t>
        </is>
      </c>
      <c r="B1267" s="1" t="n">
        <v>45275</v>
      </c>
      <c r="C1267" s="1" t="n">
        <v>45474</v>
      </c>
      <c r="D1267" t="inlineStr">
        <is>
          <t>UPPSALA LÄN</t>
        </is>
      </c>
      <c r="E1267" t="inlineStr">
        <is>
          <t>UPPSALA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63576-2023</t>
        </is>
      </c>
      <c r="B1268" s="1" t="n">
        <v>45275</v>
      </c>
      <c r="C1268" s="1" t="n">
        <v>45474</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63588-2023</t>
        </is>
      </c>
      <c r="B1269" s="1" t="n">
        <v>45275</v>
      </c>
      <c r="C1269" s="1" t="n">
        <v>45474</v>
      </c>
      <c r="D1269" t="inlineStr">
        <is>
          <t>UPPSALA LÄN</t>
        </is>
      </c>
      <c r="E1269" t="inlineStr">
        <is>
          <t>UPPSALA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63698-2023</t>
        </is>
      </c>
      <c r="B1270" s="1" t="n">
        <v>45275</v>
      </c>
      <c r="C1270" s="1" t="n">
        <v>45474</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64079-2023</t>
        </is>
      </c>
      <c r="B1271" s="1" t="n">
        <v>45279</v>
      </c>
      <c r="C1271" s="1" t="n">
        <v>45474</v>
      </c>
      <c r="D1271" t="inlineStr">
        <is>
          <t>UPPSALA LÄN</t>
        </is>
      </c>
      <c r="E1271" t="inlineStr">
        <is>
          <t>UPPSALA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64806-2023</t>
        </is>
      </c>
      <c r="B1272" s="1" t="n">
        <v>45282</v>
      </c>
      <c r="C1272" s="1" t="n">
        <v>45474</v>
      </c>
      <c r="D1272" t="inlineStr">
        <is>
          <t>UPPSALA LÄN</t>
        </is>
      </c>
      <c r="E1272" t="inlineStr">
        <is>
          <t>UPPSALA</t>
        </is>
      </c>
      <c r="F1272" t="inlineStr">
        <is>
          <t>Kyrkan</t>
        </is>
      </c>
      <c r="G1272" t="n">
        <v>19.3</v>
      </c>
      <c r="H1272" t="n">
        <v>0</v>
      </c>
      <c r="I1272" t="n">
        <v>0</v>
      </c>
      <c r="J1272" t="n">
        <v>0</v>
      </c>
      <c r="K1272" t="n">
        <v>0</v>
      </c>
      <c r="L1272" t="n">
        <v>0</v>
      </c>
      <c r="M1272" t="n">
        <v>0</v>
      </c>
      <c r="N1272" t="n">
        <v>0</v>
      </c>
      <c r="O1272" t="n">
        <v>0</v>
      </c>
      <c r="P1272" t="n">
        <v>0</v>
      </c>
      <c r="Q1272" t="n">
        <v>0</v>
      </c>
      <c r="R1272" s="2" t="inlineStr"/>
    </row>
    <row r="1273" ht="15" customHeight="1">
      <c r="A1273" t="inlineStr">
        <is>
          <t>A 64880-2023</t>
        </is>
      </c>
      <c r="B1273" s="1" t="n">
        <v>45282</v>
      </c>
      <c r="C1273" s="1" t="n">
        <v>45474</v>
      </c>
      <c r="D1273" t="inlineStr">
        <is>
          <t>UPPSALA LÄN</t>
        </is>
      </c>
      <c r="E1273" t="inlineStr">
        <is>
          <t>UPPSALA</t>
        </is>
      </c>
      <c r="F1273" t="inlineStr">
        <is>
          <t>Kommuner</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65149-2023</t>
        </is>
      </c>
      <c r="B1274" s="1" t="n">
        <v>45288</v>
      </c>
      <c r="C1274" s="1" t="n">
        <v>45474</v>
      </c>
      <c r="D1274" t="inlineStr">
        <is>
          <t>UPPSALA LÄN</t>
        </is>
      </c>
      <c r="E1274" t="inlineStr">
        <is>
          <t>UPPSALA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45-2024</t>
        </is>
      </c>
      <c r="B1275" s="1" t="n">
        <v>45293</v>
      </c>
      <c r="C1275" s="1" t="n">
        <v>45474</v>
      </c>
      <c r="D1275" t="inlineStr">
        <is>
          <t>UPPSALA LÄN</t>
        </is>
      </c>
      <c r="E1275" t="inlineStr">
        <is>
          <t>UPPSALA</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43-2024</t>
        </is>
      </c>
      <c r="B1276" s="1" t="n">
        <v>45293</v>
      </c>
      <c r="C1276" s="1" t="n">
        <v>45474</v>
      </c>
      <c r="D1276" t="inlineStr">
        <is>
          <t>UPPSALA LÄN</t>
        </is>
      </c>
      <c r="E1276" t="inlineStr">
        <is>
          <t>UPPSALA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88-2024</t>
        </is>
      </c>
      <c r="B1277" s="1" t="n">
        <v>45293</v>
      </c>
      <c r="C1277" s="1" t="n">
        <v>45474</v>
      </c>
      <c r="D1277" t="inlineStr">
        <is>
          <t>UPPSALA LÄN</t>
        </is>
      </c>
      <c r="E1277" t="inlineStr">
        <is>
          <t>UPPSALA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179-2024</t>
        </is>
      </c>
      <c r="B1278" s="1" t="n">
        <v>45294</v>
      </c>
      <c r="C1278" s="1" t="n">
        <v>45474</v>
      </c>
      <c r="D1278" t="inlineStr">
        <is>
          <t>UPPSALA LÄN</t>
        </is>
      </c>
      <c r="E1278" t="inlineStr">
        <is>
          <t>UPPSALA</t>
        </is>
      </c>
      <c r="F1278" t="inlineStr">
        <is>
          <t>Bergvik skog öst AB</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341-2024</t>
        </is>
      </c>
      <c r="B1279" s="1" t="n">
        <v>45295</v>
      </c>
      <c r="C1279" s="1" t="n">
        <v>45474</v>
      </c>
      <c r="D1279" t="inlineStr">
        <is>
          <t>UPPSALA LÄN</t>
        </is>
      </c>
      <c r="E1279" t="inlineStr">
        <is>
          <t>UPPSALA</t>
        </is>
      </c>
      <c r="F1279" t="inlineStr">
        <is>
          <t>Allmännings- och besparingsskogar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358-2024</t>
        </is>
      </c>
      <c r="B1280" s="1" t="n">
        <v>45295</v>
      </c>
      <c r="C1280" s="1" t="n">
        <v>45474</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446-2024</t>
        </is>
      </c>
      <c r="B1281" s="1" t="n">
        <v>45296</v>
      </c>
      <c r="C1281" s="1" t="n">
        <v>45474</v>
      </c>
      <c r="D1281" t="inlineStr">
        <is>
          <t>UPPSALA LÄN</t>
        </is>
      </c>
      <c r="E1281" t="inlineStr">
        <is>
          <t>UPPSALA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449-2024</t>
        </is>
      </c>
      <c r="B1282" s="1" t="n">
        <v>45296</v>
      </c>
      <c r="C1282" s="1" t="n">
        <v>45474</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c r="U1282">
        <f>HYPERLINK("https://klasma.github.io/Logging_0380/knärot/A 449-2024 karta knärot.png", "A 449-2024")</f>
        <v/>
      </c>
      <c r="V1282">
        <f>HYPERLINK("https://klasma.github.io/Logging_0380/klagomål/A 449-2024 FSC-klagomål.docx", "A 449-2024")</f>
        <v/>
      </c>
      <c r="W1282">
        <f>HYPERLINK("https://klasma.github.io/Logging_0380/klagomålsmail/A 449-2024 FSC-klagomål mail.docx", "A 449-2024")</f>
        <v/>
      </c>
      <c r="X1282">
        <f>HYPERLINK("https://klasma.github.io/Logging_0380/tillsyn/A 449-2024 tillsynsbegäran.docx", "A 449-2024")</f>
        <v/>
      </c>
      <c r="Y1282">
        <f>HYPERLINK("https://klasma.github.io/Logging_0380/tillsynsmail/A 449-2024 tillsynsbegäran mail.docx", "A 449-2024")</f>
        <v/>
      </c>
    </row>
    <row r="1283" ht="15" customHeight="1">
      <c r="A1283" t="inlineStr">
        <is>
          <t>A 600-2024</t>
        </is>
      </c>
      <c r="B1283" s="1" t="n">
        <v>45299</v>
      </c>
      <c r="C1283" s="1" t="n">
        <v>45474</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787-2024</t>
        </is>
      </c>
      <c r="B1284" s="1" t="n">
        <v>45300</v>
      </c>
      <c r="C1284" s="1" t="n">
        <v>45474</v>
      </c>
      <c r="D1284" t="inlineStr">
        <is>
          <t>UPPSALA LÄN</t>
        </is>
      </c>
      <c r="E1284" t="inlineStr">
        <is>
          <t>UPPSALA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784-2024</t>
        </is>
      </c>
      <c r="B1285" s="1" t="n">
        <v>45300</v>
      </c>
      <c r="C1285" s="1" t="n">
        <v>45474</v>
      </c>
      <c r="D1285" t="inlineStr">
        <is>
          <t>UPPSALA LÄN</t>
        </is>
      </c>
      <c r="E1285" t="inlineStr">
        <is>
          <t>UPPSALA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781-2024</t>
        </is>
      </c>
      <c r="B1286" s="1" t="n">
        <v>45300</v>
      </c>
      <c r="C1286" s="1" t="n">
        <v>45474</v>
      </c>
      <c r="D1286" t="inlineStr">
        <is>
          <t>UPPSALA LÄN</t>
        </is>
      </c>
      <c r="E1286" t="inlineStr">
        <is>
          <t>UPPSALA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1825-2024</t>
        </is>
      </c>
      <c r="B1287" s="1" t="n">
        <v>45307</v>
      </c>
      <c r="C1287" s="1" t="n">
        <v>45474</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1806-2024</t>
        </is>
      </c>
      <c r="B1288" s="1" t="n">
        <v>45307</v>
      </c>
      <c r="C1288" s="1" t="n">
        <v>45474</v>
      </c>
      <c r="D1288" t="inlineStr">
        <is>
          <t>UPPSALA LÄN</t>
        </is>
      </c>
      <c r="E1288" t="inlineStr">
        <is>
          <t>UPPSALA</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1838-2024</t>
        </is>
      </c>
      <c r="B1289" s="1" t="n">
        <v>45307</v>
      </c>
      <c r="C1289" s="1" t="n">
        <v>45474</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1994-2024</t>
        </is>
      </c>
      <c r="B1290" s="1" t="n">
        <v>45308</v>
      </c>
      <c r="C1290" s="1" t="n">
        <v>45474</v>
      </c>
      <c r="D1290" t="inlineStr">
        <is>
          <t>UPPSALA LÄN</t>
        </is>
      </c>
      <c r="E1290" t="inlineStr">
        <is>
          <t>UPPSALA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2294-2024</t>
        </is>
      </c>
      <c r="B1291" s="1" t="n">
        <v>45310</v>
      </c>
      <c r="C1291" s="1" t="n">
        <v>45474</v>
      </c>
      <c r="D1291" t="inlineStr">
        <is>
          <t>UPPSALA LÄN</t>
        </is>
      </c>
      <c r="E1291" t="inlineStr">
        <is>
          <t>UPPSALA</t>
        </is>
      </c>
      <c r="F1291" t="inlineStr">
        <is>
          <t>Allmännings- och besparingsskogar</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2327-2024</t>
        </is>
      </c>
      <c r="B1292" s="1" t="n">
        <v>45310</v>
      </c>
      <c r="C1292" s="1" t="n">
        <v>45474</v>
      </c>
      <c r="D1292" t="inlineStr">
        <is>
          <t>UPPSALA LÄN</t>
        </is>
      </c>
      <c r="E1292" t="inlineStr">
        <is>
          <t>UPPSALA</t>
        </is>
      </c>
      <c r="F1292" t="inlineStr">
        <is>
          <t>Kyrkan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2339-2024</t>
        </is>
      </c>
      <c r="B1293" s="1" t="n">
        <v>45310</v>
      </c>
      <c r="C1293" s="1" t="n">
        <v>45474</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2357-2024</t>
        </is>
      </c>
      <c r="B1294" s="1" t="n">
        <v>45310</v>
      </c>
      <c r="C1294" s="1" t="n">
        <v>45474</v>
      </c>
      <c r="D1294" t="inlineStr">
        <is>
          <t>UPPSALA LÄN</t>
        </is>
      </c>
      <c r="E1294" t="inlineStr">
        <is>
          <t>UPPSALA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2729-2024</t>
        </is>
      </c>
      <c r="B1295" s="1" t="n">
        <v>45314</v>
      </c>
      <c r="C1295" s="1" t="n">
        <v>45474</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2740-2024</t>
        </is>
      </c>
      <c r="B1296" s="1" t="n">
        <v>45314</v>
      </c>
      <c r="C1296" s="1" t="n">
        <v>45474</v>
      </c>
      <c r="D1296" t="inlineStr">
        <is>
          <t>UPPSALA LÄN</t>
        </is>
      </c>
      <c r="E1296" t="inlineStr">
        <is>
          <t>UPPSALA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2735-2024</t>
        </is>
      </c>
      <c r="B1297" s="1" t="n">
        <v>45314</v>
      </c>
      <c r="C1297" s="1" t="n">
        <v>45474</v>
      </c>
      <c r="D1297" t="inlineStr">
        <is>
          <t>UPPSALA LÄN</t>
        </is>
      </c>
      <c r="E1297" t="inlineStr">
        <is>
          <t>UPPSALA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2769-2024</t>
        </is>
      </c>
      <c r="B1298" s="1" t="n">
        <v>45314</v>
      </c>
      <c r="C1298" s="1" t="n">
        <v>45474</v>
      </c>
      <c r="D1298" t="inlineStr">
        <is>
          <t>UPPSALA LÄN</t>
        </is>
      </c>
      <c r="E1298" t="inlineStr">
        <is>
          <t>UPPSALA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2785-2024</t>
        </is>
      </c>
      <c r="B1299" s="1" t="n">
        <v>45314</v>
      </c>
      <c r="C1299" s="1" t="n">
        <v>45474</v>
      </c>
      <c r="D1299" t="inlineStr">
        <is>
          <t>UPPSALA LÄN</t>
        </is>
      </c>
      <c r="E1299" t="inlineStr">
        <is>
          <t>UPPSALA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3175-2024</t>
        </is>
      </c>
      <c r="B1300" s="1" t="n">
        <v>45316</v>
      </c>
      <c r="C1300" s="1" t="n">
        <v>45474</v>
      </c>
      <c r="D1300" t="inlineStr">
        <is>
          <t>UPPSALA LÄN</t>
        </is>
      </c>
      <c r="E1300" t="inlineStr">
        <is>
          <t>UPPSALA</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3183-2024</t>
        </is>
      </c>
      <c r="B1301" s="1" t="n">
        <v>45316</v>
      </c>
      <c r="C1301" s="1" t="n">
        <v>45474</v>
      </c>
      <c r="D1301" t="inlineStr">
        <is>
          <t>UPPSALA LÄN</t>
        </is>
      </c>
      <c r="E1301" t="inlineStr">
        <is>
          <t>UPPSALA</t>
        </is>
      </c>
      <c r="F1301" t="inlineStr">
        <is>
          <t>Bergvik skog öst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3261-2024</t>
        </is>
      </c>
      <c r="B1302" s="1" t="n">
        <v>45317</v>
      </c>
      <c r="C1302" s="1" t="n">
        <v>45474</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3260-2024</t>
        </is>
      </c>
      <c r="B1303" s="1" t="n">
        <v>45317</v>
      </c>
      <c r="C1303" s="1" t="n">
        <v>45474</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3813-2024</t>
        </is>
      </c>
      <c r="B1304" s="1" t="n">
        <v>45321</v>
      </c>
      <c r="C1304" s="1" t="n">
        <v>45474</v>
      </c>
      <c r="D1304" t="inlineStr">
        <is>
          <t>UPPSALA LÄN</t>
        </is>
      </c>
      <c r="E1304" t="inlineStr">
        <is>
          <t>UPPSALA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4065-2024</t>
        </is>
      </c>
      <c r="B1305" s="1" t="n">
        <v>45323</v>
      </c>
      <c r="C1305" s="1" t="n">
        <v>45474</v>
      </c>
      <c r="D1305" t="inlineStr">
        <is>
          <t>UPPSALA LÄN</t>
        </is>
      </c>
      <c r="E1305" t="inlineStr">
        <is>
          <t>UPPSALA</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4216-2024</t>
        </is>
      </c>
      <c r="B1306" s="1" t="n">
        <v>45324</v>
      </c>
      <c r="C1306" s="1" t="n">
        <v>45474</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4412-2024</t>
        </is>
      </c>
      <c r="B1307" s="1" t="n">
        <v>45327</v>
      </c>
      <c r="C1307" s="1" t="n">
        <v>45474</v>
      </c>
      <c r="D1307" t="inlineStr">
        <is>
          <t>UPPSALA LÄN</t>
        </is>
      </c>
      <c r="E1307" t="inlineStr">
        <is>
          <t>UPPSALA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4425-2024</t>
        </is>
      </c>
      <c r="B1308" s="1" t="n">
        <v>45327</v>
      </c>
      <c r="C1308" s="1" t="n">
        <v>45474</v>
      </c>
      <c r="D1308" t="inlineStr">
        <is>
          <t>UPPSALA LÄN</t>
        </is>
      </c>
      <c r="E1308" t="inlineStr">
        <is>
          <t>UPPSALA</t>
        </is>
      </c>
      <c r="F1308" t="inlineStr">
        <is>
          <t>Allmännings- och besparingsskogar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4461-2024</t>
        </is>
      </c>
      <c r="B1309" s="1" t="n">
        <v>45327</v>
      </c>
      <c r="C1309" s="1" t="n">
        <v>45474</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4503-2024</t>
        </is>
      </c>
      <c r="B1310" s="1" t="n">
        <v>45327</v>
      </c>
      <c r="C1310" s="1" t="n">
        <v>45474</v>
      </c>
      <c r="D1310" t="inlineStr">
        <is>
          <t>UPPSALA LÄN</t>
        </is>
      </c>
      <c r="E1310" t="inlineStr">
        <is>
          <t>UPPSALA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4509-2024</t>
        </is>
      </c>
      <c r="B1311" s="1" t="n">
        <v>45327</v>
      </c>
      <c r="C1311" s="1" t="n">
        <v>45474</v>
      </c>
      <c r="D1311" t="inlineStr">
        <is>
          <t>UPPSALA LÄN</t>
        </is>
      </c>
      <c r="E1311" t="inlineStr">
        <is>
          <t>UPPSALA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4980-2024</t>
        </is>
      </c>
      <c r="B1312" s="1" t="n">
        <v>45329</v>
      </c>
      <c r="C1312" s="1" t="n">
        <v>45474</v>
      </c>
      <c r="D1312" t="inlineStr">
        <is>
          <t>UPPSALA LÄN</t>
        </is>
      </c>
      <c r="E1312" t="inlineStr">
        <is>
          <t>UPPSALA</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5185-2024</t>
        </is>
      </c>
      <c r="B1313" s="1" t="n">
        <v>45330</v>
      </c>
      <c r="C1313" s="1" t="n">
        <v>45474</v>
      </c>
      <c r="D1313" t="inlineStr">
        <is>
          <t>UPPSALA LÄN</t>
        </is>
      </c>
      <c r="E1313" t="inlineStr">
        <is>
          <t>UPPSALA</t>
        </is>
      </c>
      <c r="F1313" t="inlineStr">
        <is>
          <t>Övriga Aktiebolag</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5475-2024</t>
        </is>
      </c>
      <c r="B1314" s="1" t="n">
        <v>45333</v>
      </c>
      <c r="C1314" s="1" t="n">
        <v>45474</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5848-2024</t>
        </is>
      </c>
      <c r="B1315" s="1" t="n">
        <v>45335</v>
      </c>
      <c r="C1315" s="1" t="n">
        <v>45474</v>
      </c>
      <c r="D1315" t="inlineStr">
        <is>
          <t>UPPSALA LÄN</t>
        </is>
      </c>
      <c r="E1315" t="inlineStr">
        <is>
          <t>UPPSALA</t>
        </is>
      </c>
      <c r="F1315" t="inlineStr">
        <is>
          <t>Kyrkan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5899-2024</t>
        </is>
      </c>
      <c r="B1316" s="1" t="n">
        <v>45335</v>
      </c>
      <c r="C1316" s="1" t="n">
        <v>45474</v>
      </c>
      <c r="D1316" t="inlineStr">
        <is>
          <t>UPPSALA LÄN</t>
        </is>
      </c>
      <c r="E1316" t="inlineStr">
        <is>
          <t>UPPSALA</t>
        </is>
      </c>
      <c r="F1316" t="inlineStr">
        <is>
          <t>Allmännings- och besparingsskogar</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5876-2024</t>
        </is>
      </c>
      <c r="B1317" s="1" t="n">
        <v>45335</v>
      </c>
      <c r="C1317" s="1" t="n">
        <v>45474</v>
      </c>
      <c r="D1317" t="inlineStr">
        <is>
          <t>UPPSALA LÄN</t>
        </is>
      </c>
      <c r="E1317" t="inlineStr">
        <is>
          <t>UPPSALA</t>
        </is>
      </c>
      <c r="F1317" t="inlineStr">
        <is>
          <t>Kyrkan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5896-2024</t>
        </is>
      </c>
      <c r="B1318" s="1" t="n">
        <v>45335</v>
      </c>
      <c r="C1318" s="1" t="n">
        <v>45474</v>
      </c>
      <c r="D1318" t="inlineStr">
        <is>
          <t>UPPSALA LÄN</t>
        </is>
      </c>
      <c r="E1318" t="inlineStr">
        <is>
          <t>UPPSALA</t>
        </is>
      </c>
      <c r="F1318" t="inlineStr">
        <is>
          <t>Allmännings- och besparingsskogar</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5974-2024</t>
        </is>
      </c>
      <c r="B1319" s="1" t="n">
        <v>45336</v>
      </c>
      <c r="C1319" s="1" t="n">
        <v>45474</v>
      </c>
      <c r="D1319" t="inlineStr">
        <is>
          <t>UPPSALA LÄN</t>
        </is>
      </c>
      <c r="E1319" t="inlineStr">
        <is>
          <t>UPPSALA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5975-2024</t>
        </is>
      </c>
      <c r="B1320" s="1" t="n">
        <v>45336</v>
      </c>
      <c r="C1320" s="1" t="n">
        <v>45474</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6024-2024</t>
        </is>
      </c>
      <c r="B1321" s="1" t="n">
        <v>45336</v>
      </c>
      <c r="C1321" s="1" t="n">
        <v>45474</v>
      </c>
      <c r="D1321" t="inlineStr">
        <is>
          <t>UPPSALA LÄN</t>
        </is>
      </c>
      <c r="E1321" t="inlineStr">
        <is>
          <t>UPPSALA</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6199-2024</t>
        </is>
      </c>
      <c r="B1322" s="1" t="n">
        <v>45337</v>
      </c>
      <c r="C1322" s="1" t="n">
        <v>45474</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6211-2024</t>
        </is>
      </c>
      <c r="B1323" s="1" t="n">
        <v>45337</v>
      </c>
      <c r="C1323" s="1" t="n">
        <v>45474</v>
      </c>
      <c r="D1323" t="inlineStr">
        <is>
          <t>UPPSALA LÄN</t>
        </is>
      </c>
      <c r="E1323" t="inlineStr">
        <is>
          <t>UPPSALA</t>
        </is>
      </c>
      <c r="G1323" t="n">
        <v>14.8</v>
      </c>
      <c r="H1323" t="n">
        <v>0</v>
      </c>
      <c r="I1323" t="n">
        <v>0</v>
      </c>
      <c r="J1323" t="n">
        <v>0</v>
      </c>
      <c r="K1323" t="n">
        <v>0</v>
      </c>
      <c r="L1323" t="n">
        <v>0</v>
      </c>
      <c r="M1323" t="n">
        <v>0</v>
      </c>
      <c r="N1323" t="n">
        <v>0</v>
      </c>
      <c r="O1323" t="n">
        <v>0</v>
      </c>
      <c r="P1323" t="n">
        <v>0</v>
      </c>
      <c r="Q1323" t="n">
        <v>0</v>
      </c>
      <c r="R1323" s="2" t="inlineStr"/>
    </row>
    <row r="1324" ht="15" customHeight="1">
      <c r="A1324" t="inlineStr">
        <is>
          <t>A 6098-2024</t>
        </is>
      </c>
      <c r="B1324" s="1" t="n">
        <v>45337</v>
      </c>
      <c r="C1324" s="1" t="n">
        <v>45474</v>
      </c>
      <c r="D1324" t="inlineStr">
        <is>
          <t>UPPSALA LÄN</t>
        </is>
      </c>
      <c r="E1324" t="inlineStr">
        <is>
          <t>UPPSALA</t>
        </is>
      </c>
      <c r="F1324" t="inlineStr">
        <is>
          <t>Övriga Aktiebolag</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6363-2024</t>
        </is>
      </c>
      <c r="B1325" s="1" t="n">
        <v>45338</v>
      </c>
      <c r="C1325" s="1" t="n">
        <v>45474</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6501-2024</t>
        </is>
      </c>
      <c r="B1326" s="1" t="n">
        <v>45339</v>
      </c>
      <c r="C1326" s="1" t="n">
        <v>45474</v>
      </c>
      <c r="D1326" t="inlineStr">
        <is>
          <t>UPPSALA LÄN</t>
        </is>
      </c>
      <c r="E1326" t="inlineStr">
        <is>
          <t>UPPSALA</t>
        </is>
      </c>
      <c r="F1326" t="inlineStr">
        <is>
          <t>Bergvik skog öst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6506-2024</t>
        </is>
      </c>
      <c r="B1327" s="1" t="n">
        <v>45339</v>
      </c>
      <c r="C1327" s="1" t="n">
        <v>45474</v>
      </c>
      <c r="D1327" t="inlineStr">
        <is>
          <t>UPPSALA LÄN</t>
        </is>
      </c>
      <c r="E1327" t="inlineStr">
        <is>
          <t>UPPSALA</t>
        </is>
      </c>
      <c r="F1327" t="inlineStr">
        <is>
          <t>Bergvik skog öst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6505-2024</t>
        </is>
      </c>
      <c r="B1328" s="1" t="n">
        <v>45339</v>
      </c>
      <c r="C1328" s="1" t="n">
        <v>45474</v>
      </c>
      <c r="D1328" t="inlineStr">
        <is>
          <t>UPPSALA LÄN</t>
        </is>
      </c>
      <c r="E1328" t="inlineStr">
        <is>
          <t>UPPSALA</t>
        </is>
      </c>
      <c r="F1328" t="inlineStr">
        <is>
          <t>Bergvik skog öst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6500-2024</t>
        </is>
      </c>
      <c r="B1329" s="1" t="n">
        <v>45339</v>
      </c>
      <c r="C1329" s="1" t="n">
        <v>45474</v>
      </c>
      <c r="D1329" t="inlineStr">
        <is>
          <t>UPPSALA LÄN</t>
        </is>
      </c>
      <c r="E1329" t="inlineStr">
        <is>
          <t>UPPSALA</t>
        </is>
      </c>
      <c r="F1329" t="inlineStr">
        <is>
          <t>Bergvik skog öst AB</t>
        </is>
      </c>
      <c r="G1329" t="n">
        <v>23.7</v>
      </c>
      <c r="H1329" t="n">
        <v>0</v>
      </c>
      <c r="I1329" t="n">
        <v>0</v>
      </c>
      <c r="J1329" t="n">
        <v>0</v>
      </c>
      <c r="K1329" t="n">
        <v>0</v>
      </c>
      <c r="L1329" t="n">
        <v>0</v>
      </c>
      <c r="M1329" t="n">
        <v>0</v>
      </c>
      <c r="N1329" t="n">
        <v>0</v>
      </c>
      <c r="O1329" t="n">
        <v>0</v>
      </c>
      <c r="P1329" t="n">
        <v>0</v>
      </c>
      <c r="Q1329" t="n">
        <v>0</v>
      </c>
      <c r="R1329" s="2" t="inlineStr"/>
    </row>
    <row r="1330" ht="15" customHeight="1">
      <c r="A1330" t="inlineStr">
        <is>
          <t>A 6504-2024</t>
        </is>
      </c>
      <c r="B1330" s="1" t="n">
        <v>45339</v>
      </c>
      <c r="C1330" s="1" t="n">
        <v>45474</v>
      </c>
      <c r="D1330" t="inlineStr">
        <is>
          <t>UPPSALA LÄN</t>
        </is>
      </c>
      <c r="E1330" t="inlineStr">
        <is>
          <t>UPPSALA</t>
        </is>
      </c>
      <c r="F1330" t="inlineStr">
        <is>
          <t>Bergvik skog öst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6503-2024</t>
        </is>
      </c>
      <c r="B1331" s="1" t="n">
        <v>45339</v>
      </c>
      <c r="C1331" s="1" t="n">
        <v>45474</v>
      </c>
      <c r="D1331" t="inlineStr">
        <is>
          <t>UPPSALA LÄN</t>
        </is>
      </c>
      <c r="E1331" t="inlineStr">
        <is>
          <t>UPPSALA</t>
        </is>
      </c>
      <c r="F1331" t="inlineStr">
        <is>
          <t>Bergvik skog öst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6507-2024</t>
        </is>
      </c>
      <c r="B1332" s="1" t="n">
        <v>45339</v>
      </c>
      <c r="C1332" s="1" t="n">
        <v>45474</v>
      </c>
      <c r="D1332" t="inlineStr">
        <is>
          <t>UPPSALA LÄN</t>
        </is>
      </c>
      <c r="E1332" t="inlineStr">
        <is>
          <t>UPPSALA</t>
        </is>
      </c>
      <c r="F1332" t="inlineStr">
        <is>
          <t>Bergvik skog öst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6628-2024</t>
        </is>
      </c>
      <c r="B1333" s="1" t="n">
        <v>45341</v>
      </c>
      <c r="C1333" s="1" t="n">
        <v>45474</v>
      </c>
      <c r="D1333" t="inlineStr">
        <is>
          <t>UPPSALA LÄN</t>
        </is>
      </c>
      <c r="E1333" t="inlineStr">
        <is>
          <t>UPPSALA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6630-2024</t>
        </is>
      </c>
      <c r="B1334" s="1" t="n">
        <v>45341</v>
      </c>
      <c r="C1334" s="1" t="n">
        <v>45474</v>
      </c>
      <c r="D1334" t="inlineStr">
        <is>
          <t>UPPSALA LÄN</t>
        </is>
      </c>
      <c r="E1334" t="inlineStr">
        <is>
          <t>UPPSALA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6650-2024</t>
        </is>
      </c>
      <c r="B1335" s="1" t="n">
        <v>45341</v>
      </c>
      <c r="C1335" s="1" t="n">
        <v>45474</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6676-2024</t>
        </is>
      </c>
      <c r="B1336" s="1" t="n">
        <v>45341</v>
      </c>
      <c r="C1336" s="1" t="n">
        <v>45474</v>
      </c>
      <c r="D1336" t="inlineStr">
        <is>
          <t>UPPSALA LÄN</t>
        </is>
      </c>
      <c r="E1336" t="inlineStr">
        <is>
          <t>UPPSALA</t>
        </is>
      </c>
      <c r="F1336" t="inlineStr">
        <is>
          <t>Bergvik skog öst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6609-2024</t>
        </is>
      </c>
      <c r="B1337" s="1" t="n">
        <v>45341</v>
      </c>
      <c r="C1337" s="1" t="n">
        <v>45474</v>
      </c>
      <c r="D1337" t="inlineStr">
        <is>
          <t>UPPSALA LÄN</t>
        </is>
      </c>
      <c r="E1337" t="inlineStr">
        <is>
          <t>UPPSALA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6679-2024</t>
        </is>
      </c>
      <c r="B1338" s="1" t="n">
        <v>45341</v>
      </c>
      <c r="C1338" s="1" t="n">
        <v>45474</v>
      </c>
      <c r="D1338" t="inlineStr">
        <is>
          <t>UPPSALA LÄN</t>
        </is>
      </c>
      <c r="E1338" t="inlineStr">
        <is>
          <t>UPPSALA</t>
        </is>
      </c>
      <c r="F1338" t="inlineStr">
        <is>
          <t>Bergvik skog öst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6677-2024</t>
        </is>
      </c>
      <c r="B1339" s="1" t="n">
        <v>45341</v>
      </c>
      <c r="C1339" s="1" t="n">
        <v>45474</v>
      </c>
      <c r="D1339" t="inlineStr">
        <is>
          <t>UPPSALA LÄN</t>
        </is>
      </c>
      <c r="E1339" t="inlineStr">
        <is>
          <t>UPPSALA</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6678-2024</t>
        </is>
      </c>
      <c r="B1340" s="1" t="n">
        <v>45341</v>
      </c>
      <c r="C1340" s="1" t="n">
        <v>45474</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6966-2024</t>
        </is>
      </c>
      <c r="B1341" s="1" t="n">
        <v>45343</v>
      </c>
      <c r="C1341" s="1" t="n">
        <v>45474</v>
      </c>
      <c r="D1341" t="inlineStr">
        <is>
          <t>UPPSALA LÄN</t>
        </is>
      </c>
      <c r="E1341" t="inlineStr">
        <is>
          <t>UPPSALA</t>
        </is>
      </c>
      <c r="F1341" t="inlineStr">
        <is>
          <t>Holmen skog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7253-2024</t>
        </is>
      </c>
      <c r="B1342" s="1" t="n">
        <v>45344</v>
      </c>
      <c r="C1342" s="1" t="n">
        <v>45474</v>
      </c>
      <c r="D1342" t="inlineStr">
        <is>
          <t>UPPSALA LÄN</t>
        </is>
      </c>
      <c r="E1342" t="inlineStr">
        <is>
          <t>UPPSALA</t>
        </is>
      </c>
      <c r="F1342" t="inlineStr">
        <is>
          <t>Kyrkan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7158-2024</t>
        </is>
      </c>
      <c r="B1343" s="1" t="n">
        <v>45344</v>
      </c>
      <c r="C1343" s="1" t="n">
        <v>45474</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7175-2024</t>
        </is>
      </c>
      <c r="B1344" s="1" t="n">
        <v>45344</v>
      </c>
      <c r="C1344" s="1" t="n">
        <v>45474</v>
      </c>
      <c r="D1344" t="inlineStr">
        <is>
          <t>UPPSALA LÄN</t>
        </is>
      </c>
      <c r="E1344" t="inlineStr">
        <is>
          <t>UPPSALA</t>
        </is>
      </c>
      <c r="F1344" t="inlineStr">
        <is>
          <t>Kyrkan</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7275-2024</t>
        </is>
      </c>
      <c r="B1345" s="1" t="n">
        <v>45344</v>
      </c>
      <c r="C1345" s="1" t="n">
        <v>45474</v>
      </c>
      <c r="D1345" t="inlineStr">
        <is>
          <t>UPPSALA LÄN</t>
        </is>
      </c>
      <c r="E1345" t="inlineStr">
        <is>
          <t>UPPSALA</t>
        </is>
      </c>
      <c r="F1345" t="inlineStr">
        <is>
          <t>Bergvik skog öst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7226-2024</t>
        </is>
      </c>
      <c r="B1346" s="1" t="n">
        <v>45344</v>
      </c>
      <c r="C1346" s="1" t="n">
        <v>45474</v>
      </c>
      <c r="D1346" t="inlineStr">
        <is>
          <t>UPPSALA LÄN</t>
        </is>
      </c>
      <c r="E1346" t="inlineStr">
        <is>
          <t>UPPSALA</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7274-2024</t>
        </is>
      </c>
      <c r="B1347" s="1" t="n">
        <v>45344</v>
      </c>
      <c r="C1347" s="1" t="n">
        <v>45474</v>
      </c>
      <c r="D1347" t="inlineStr">
        <is>
          <t>UPPSALA LÄN</t>
        </is>
      </c>
      <c r="E1347" t="inlineStr">
        <is>
          <t>UPPSALA</t>
        </is>
      </c>
      <c r="F1347" t="inlineStr">
        <is>
          <t>Bergvik skog öst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7278-2024</t>
        </is>
      </c>
      <c r="B1348" s="1" t="n">
        <v>45344</v>
      </c>
      <c r="C1348" s="1" t="n">
        <v>45474</v>
      </c>
      <c r="D1348" t="inlineStr">
        <is>
          <t>UPPSALA LÄN</t>
        </is>
      </c>
      <c r="E1348" t="inlineStr">
        <is>
          <t>UPPSALA</t>
        </is>
      </c>
      <c r="F1348" t="inlineStr">
        <is>
          <t>Bergvik skog öst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7276-2024</t>
        </is>
      </c>
      <c r="B1349" s="1" t="n">
        <v>45344</v>
      </c>
      <c r="C1349" s="1" t="n">
        <v>45474</v>
      </c>
      <c r="D1349" t="inlineStr">
        <is>
          <t>UPPSALA LÄN</t>
        </is>
      </c>
      <c r="E1349" t="inlineStr">
        <is>
          <t>UPPSALA</t>
        </is>
      </c>
      <c r="F1349" t="inlineStr">
        <is>
          <t>Bergvik skog öst AB</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7389-2024</t>
        </is>
      </c>
      <c r="B1350" s="1" t="n">
        <v>45345</v>
      </c>
      <c r="C1350" s="1" t="n">
        <v>45474</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7390-2024</t>
        </is>
      </c>
      <c r="B1351" s="1" t="n">
        <v>45345</v>
      </c>
      <c r="C1351" s="1" t="n">
        <v>45474</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7400-2024</t>
        </is>
      </c>
      <c r="B1352" s="1" t="n">
        <v>45345</v>
      </c>
      <c r="C1352" s="1" t="n">
        <v>45474</v>
      </c>
      <c r="D1352" t="inlineStr">
        <is>
          <t>UPPSALA LÄN</t>
        </is>
      </c>
      <c r="E1352" t="inlineStr">
        <is>
          <t>UPPSALA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7388-2024</t>
        </is>
      </c>
      <c r="B1353" s="1" t="n">
        <v>45345</v>
      </c>
      <c r="C1353" s="1" t="n">
        <v>45474</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7407-2024</t>
        </is>
      </c>
      <c r="B1354" s="1" t="n">
        <v>45345</v>
      </c>
      <c r="C1354" s="1" t="n">
        <v>45474</v>
      </c>
      <c r="D1354" t="inlineStr">
        <is>
          <t>UPPSALA LÄN</t>
        </is>
      </c>
      <c r="E1354" t="inlineStr">
        <is>
          <t>UPPSALA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7403-2024</t>
        </is>
      </c>
      <c r="B1355" s="1" t="n">
        <v>45345</v>
      </c>
      <c r="C1355" s="1" t="n">
        <v>45474</v>
      </c>
      <c r="D1355" t="inlineStr">
        <is>
          <t>UPPSALA LÄN</t>
        </is>
      </c>
      <c r="E1355" t="inlineStr">
        <is>
          <t>UPPSALA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7649-2024</t>
        </is>
      </c>
      <c r="B1356" s="1" t="n">
        <v>45348</v>
      </c>
      <c r="C1356" s="1" t="n">
        <v>45474</v>
      </c>
      <c r="D1356" t="inlineStr">
        <is>
          <t>UPPSALA LÄN</t>
        </is>
      </c>
      <c r="E1356" t="inlineStr">
        <is>
          <t>UPPSALA</t>
        </is>
      </c>
      <c r="F1356" t="inlineStr">
        <is>
          <t>Kyrkan</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7654-2024</t>
        </is>
      </c>
      <c r="B1357" s="1" t="n">
        <v>45348</v>
      </c>
      <c r="C1357" s="1" t="n">
        <v>45474</v>
      </c>
      <c r="D1357" t="inlineStr">
        <is>
          <t>UPPSALA LÄN</t>
        </is>
      </c>
      <c r="E1357" t="inlineStr">
        <is>
          <t>UPPSALA</t>
        </is>
      </c>
      <c r="F1357" t="inlineStr">
        <is>
          <t>Kyrkan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7732-2024</t>
        </is>
      </c>
      <c r="B1358" s="1" t="n">
        <v>45349</v>
      </c>
      <c r="C1358" s="1" t="n">
        <v>45474</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7727-2024</t>
        </is>
      </c>
      <c r="B1359" s="1" t="n">
        <v>45349</v>
      </c>
      <c r="C1359" s="1" t="n">
        <v>45474</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7750-2024</t>
        </is>
      </c>
      <c r="B1360" s="1" t="n">
        <v>45349</v>
      </c>
      <c r="C1360" s="1" t="n">
        <v>45474</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7974-2024</t>
        </is>
      </c>
      <c r="B1361" s="1" t="n">
        <v>45350</v>
      </c>
      <c r="C1361" s="1" t="n">
        <v>45474</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8132-2024</t>
        </is>
      </c>
      <c r="B1362" s="1" t="n">
        <v>45351</v>
      </c>
      <c r="C1362" s="1" t="n">
        <v>45474</v>
      </c>
      <c r="D1362" t="inlineStr">
        <is>
          <t>UPPSALA LÄN</t>
        </is>
      </c>
      <c r="E1362" t="inlineStr">
        <is>
          <t>UPPSALA</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8109-2024</t>
        </is>
      </c>
      <c r="B1363" s="1" t="n">
        <v>45351</v>
      </c>
      <c r="C1363" s="1" t="n">
        <v>45474</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8672-2024</t>
        </is>
      </c>
      <c r="B1364" s="1" t="n">
        <v>45352</v>
      </c>
      <c r="C1364" s="1" t="n">
        <v>45474</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8338-2024</t>
        </is>
      </c>
      <c r="B1365" s="1" t="n">
        <v>45352</v>
      </c>
      <c r="C1365" s="1" t="n">
        <v>45474</v>
      </c>
      <c r="D1365" t="inlineStr">
        <is>
          <t>UPPSALA LÄN</t>
        </is>
      </c>
      <c r="E1365" t="inlineStr">
        <is>
          <t>UPPSALA</t>
        </is>
      </c>
      <c r="F1365" t="inlineStr">
        <is>
          <t>Kyrkan</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9235-2024</t>
        </is>
      </c>
      <c r="B1366" s="1" t="n">
        <v>45357</v>
      </c>
      <c r="C1366" s="1" t="n">
        <v>45474</v>
      </c>
      <c r="D1366" t="inlineStr">
        <is>
          <t>UPPSALA LÄN</t>
        </is>
      </c>
      <c r="E1366" t="inlineStr">
        <is>
          <t>UPPSALA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9201-2024</t>
        </is>
      </c>
      <c r="B1367" s="1" t="n">
        <v>45358</v>
      </c>
      <c r="C1367" s="1" t="n">
        <v>45474</v>
      </c>
      <c r="D1367" t="inlineStr">
        <is>
          <t>UPPSALA LÄN</t>
        </is>
      </c>
      <c r="E1367" t="inlineStr">
        <is>
          <t>UPPSALA</t>
        </is>
      </c>
      <c r="F1367" t="inlineStr">
        <is>
          <t>Allmännings- och besparingsskogar</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9195-2024</t>
        </is>
      </c>
      <c r="B1368" s="1" t="n">
        <v>45358</v>
      </c>
      <c r="C1368" s="1" t="n">
        <v>45474</v>
      </c>
      <c r="D1368" t="inlineStr">
        <is>
          <t>UPPSALA LÄN</t>
        </is>
      </c>
      <c r="E1368" t="inlineStr">
        <is>
          <t>UPPSALA</t>
        </is>
      </c>
      <c r="F1368" t="inlineStr">
        <is>
          <t>Allmännings- och besparingsskogar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9255-2024</t>
        </is>
      </c>
      <c r="B1369" s="1" t="n">
        <v>45358</v>
      </c>
      <c r="C1369" s="1" t="n">
        <v>45474</v>
      </c>
      <c r="D1369" t="inlineStr">
        <is>
          <t>UPPSALA LÄN</t>
        </is>
      </c>
      <c r="E1369" t="inlineStr">
        <is>
          <t>UPPSALA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9428-2024</t>
        </is>
      </c>
      <c r="B1370" s="1" t="n">
        <v>45359</v>
      </c>
      <c r="C1370" s="1" t="n">
        <v>45474</v>
      </c>
      <c r="D1370" t="inlineStr">
        <is>
          <t>UPPSALA LÄN</t>
        </is>
      </c>
      <c r="E1370" t="inlineStr">
        <is>
          <t>UPPSALA</t>
        </is>
      </c>
      <c r="F1370" t="inlineStr">
        <is>
          <t>Bergvik skog öst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9453-2024</t>
        </is>
      </c>
      <c r="B1371" s="1" t="n">
        <v>45359</v>
      </c>
      <c r="C1371" s="1" t="n">
        <v>45474</v>
      </c>
      <c r="D1371" t="inlineStr">
        <is>
          <t>UPPSALA LÄN</t>
        </is>
      </c>
      <c r="E1371" t="inlineStr">
        <is>
          <t>UPPSALA</t>
        </is>
      </c>
      <c r="F1371" t="inlineStr">
        <is>
          <t>Bergvik skog öst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9608-2024</t>
        </is>
      </c>
      <c r="B1372" s="1" t="n">
        <v>45361</v>
      </c>
      <c r="C1372" s="1" t="n">
        <v>45474</v>
      </c>
      <c r="D1372" t="inlineStr">
        <is>
          <t>UPPSALA LÄN</t>
        </is>
      </c>
      <c r="E1372" t="inlineStr">
        <is>
          <t>UPPSALA</t>
        </is>
      </c>
      <c r="F1372" t="inlineStr">
        <is>
          <t>Bergvik skog öst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9609-2024</t>
        </is>
      </c>
      <c r="B1373" s="1" t="n">
        <v>45361</v>
      </c>
      <c r="C1373" s="1" t="n">
        <v>45474</v>
      </c>
      <c r="D1373" t="inlineStr">
        <is>
          <t>UPPSALA LÄN</t>
        </is>
      </c>
      <c r="E1373" t="inlineStr">
        <is>
          <t>UPPSALA</t>
        </is>
      </c>
      <c r="F1373" t="inlineStr">
        <is>
          <t>Bergvik skog öst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9610-2024</t>
        </is>
      </c>
      <c r="B1374" s="1" t="n">
        <v>45361</v>
      </c>
      <c r="C1374" s="1" t="n">
        <v>45474</v>
      </c>
      <c r="D1374" t="inlineStr">
        <is>
          <t>UPPSALA LÄN</t>
        </is>
      </c>
      <c r="E1374" t="inlineStr">
        <is>
          <t>UPPSALA</t>
        </is>
      </c>
      <c r="F1374" t="inlineStr">
        <is>
          <t>Bergvik skog öst AB</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9625-2024</t>
        </is>
      </c>
      <c r="B1375" s="1" t="n">
        <v>45361</v>
      </c>
      <c r="C1375" s="1" t="n">
        <v>45474</v>
      </c>
      <c r="D1375" t="inlineStr">
        <is>
          <t>UPPSALA LÄN</t>
        </is>
      </c>
      <c r="E1375" t="inlineStr">
        <is>
          <t>UPPSALA</t>
        </is>
      </c>
      <c r="F1375" t="inlineStr">
        <is>
          <t>Bergvik skog öst AB</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9611-2024</t>
        </is>
      </c>
      <c r="B1376" s="1" t="n">
        <v>45361</v>
      </c>
      <c r="C1376" s="1" t="n">
        <v>45474</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9735-2024</t>
        </is>
      </c>
      <c r="B1377" s="1" t="n">
        <v>45362</v>
      </c>
      <c r="C1377" s="1" t="n">
        <v>45474</v>
      </c>
      <c r="D1377" t="inlineStr">
        <is>
          <t>UPPSALA LÄN</t>
        </is>
      </c>
      <c r="E1377" t="inlineStr">
        <is>
          <t>UPPSALA</t>
        </is>
      </c>
      <c r="F1377" t="inlineStr">
        <is>
          <t>Bergvik skog öst AB</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9675-2024</t>
        </is>
      </c>
      <c r="B1378" s="1" t="n">
        <v>45362</v>
      </c>
      <c r="C1378" s="1" t="n">
        <v>45474</v>
      </c>
      <c r="D1378" t="inlineStr">
        <is>
          <t>UPPSALA LÄN</t>
        </is>
      </c>
      <c r="E1378" t="inlineStr">
        <is>
          <t>UPPSALA</t>
        </is>
      </c>
      <c r="F1378" t="inlineStr">
        <is>
          <t>Bergvik skog öst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9914-2024</t>
        </is>
      </c>
      <c r="B1379" s="1" t="n">
        <v>45363</v>
      </c>
      <c r="C1379" s="1" t="n">
        <v>45474</v>
      </c>
      <c r="D1379" t="inlineStr">
        <is>
          <t>UPPSALA LÄN</t>
        </is>
      </c>
      <c r="E1379" t="inlineStr">
        <is>
          <t>UPPSALA</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9917-2024</t>
        </is>
      </c>
      <c r="B1380" s="1" t="n">
        <v>45363</v>
      </c>
      <c r="C1380" s="1" t="n">
        <v>45474</v>
      </c>
      <c r="D1380" t="inlineStr">
        <is>
          <t>UPPSALA LÄN</t>
        </is>
      </c>
      <c r="E1380" t="inlineStr">
        <is>
          <t>UPPSALA</t>
        </is>
      </c>
      <c r="F1380" t="inlineStr">
        <is>
          <t>Bergvik skog väst AB</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10086-2024</t>
        </is>
      </c>
      <c r="B1381" s="1" t="n">
        <v>45364</v>
      </c>
      <c r="C1381" s="1" t="n">
        <v>45474</v>
      </c>
      <c r="D1381" t="inlineStr">
        <is>
          <t>UPPSALA LÄN</t>
        </is>
      </c>
      <c r="E1381" t="inlineStr">
        <is>
          <t>UPPSALA</t>
        </is>
      </c>
      <c r="F1381" t="inlineStr">
        <is>
          <t>Bergvik skog öst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10146-2024</t>
        </is>
      </c>
      <c r="B1382" s="1" t="n">
        <v>45364</v>
      </c>
      <c r="C1382" s="1" t="n">
        <v>45474</v>
      </c>
      <c r="D1382" t="inlineStr">
        <is>
          <t>UPPSALA LÄN</t>
        </is>
      </c>
      <c r="E1382" t="inlineStr">
        <is>
          <t>UPPSALA</t>
        </is>
      </c>
      <c r="F1382" t="inlineStr">
        <is>
          <t>Bergvik skog öst AB</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10477-2024</t>
        </is>
      </c>
      <c r="B1383" s="1" t="n">
        <v>45366</v>
      </c>
      <c r="C1383" s="1" t="n">
        <v>45474</v>
      </c>
      <c r="D1383" t="inlineStr">
        <is>
          <t>UPPSALA LÄN</t>
        </is>
      </c>
      <c r="E1383" t="inlineStr">
        <is>
          <t>UPPSALA</t>
        </is>
      </c>
      <c r="F1383" t="inlineStr">
        <is>
          <t>Holmen skog AB</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10474-2024</t>
        </is>
      </c>
      <c r="B1384" s="1" t="n">
        <v>45366</v>
      </c>
      <c r="C1384" s="1" t="n">
        <v>45474</v>
      </c>
      <c r="D1384" t="inlineStr">
        <is>
          <t>UPPSALA LÄN</t>
        </is>
      </c>
      <c r="E1384" t="inlineStr">
        <is>
          <t>UPPSALA</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10650-2024</t>
        </is>
      </c>
      <c r="B1385" s="1" t="n">
        <v>45368</v>
      </c>
      <c r="C1385" s="1" t="n">
        <v>45474</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10651-2024</t>
        </is>
      </c>
      <c r="B1386" s="1" t="n">
        <v>45368</v>
      </c>
      <c r="C1386" s="1" t="n">
        <v>45474</v>
      </c>
      <c r="D1386" t="inlineStr">
        <is>
          <t>UPPSALA LÄN</t>
        </is>
      </c>
      <c r="E1386" t="inlineStr">
        <is>
          <t>UPPSALA</t>
        </is>
      </c>
      <c r="F1386" t="inlineStr">
        <is>
          <t>Bergvik skog öst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10653-2024</t>
        </is>
      </c>
      <c r="B1387" s="1" t="n">
        <v>45368</v>
      </c>
      <c r="C1387" s="1" t="n">
        <v>45474</v>
      </c>
      <c r="D1387" t="inlineStr">
        <is>
          <t>UPPSALA LÄN</t>
        </is>
      </c>
      <c r="E1387" t="inlineStr">
        <is>
          <t>UPPSALA</t>
        </is>
      </c>
      <c r="F1387" t="inlineStr">
        <is>
          <t>Bergvik skog öst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10652-2024</t>
        </is>
      </c>
      <c r="B1388" s="1" t="n">
        <v>45368</v>
      </c>
      <c r="C1388" s="1" t="n">
        <v>45474</v>
      </c>
      <c r="D1388" t="inlineStr">
        <is>
          <t>UPPSALA LÄN</t>
        </is>
      </c>
      <c r="E1388" t="inlineStr">
        <is>
          <t>UPPSALA</t>
        </is>
      </c>
      <c r="F1388" t="inlineStr">
        <is>
          <t>Bergvik skog öst AB</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10827-2024</t>
        </is>
      </c>
      <c r="B1389" s="1" t="n">
        <v>45369</v>
      </c>
      <c r="C1389" s="1" t="n">
        <v>45474</v>
      </c>
      <c r="D1389" t="inlineStr">
        <is>
          <t>UPPSALA LÄN</t>
        </is>
      </c>
      <c r="E1389" t="inlineStr">
        <is>
          <t>UPPSALA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10782-2024</t>
        </is>
      </c>
      <c r="B1390" s="1" t="n">
        <v>45369</v>
      </c>
      <c r="C1390" s="1" t="n">
        <v>45474</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11169-2024</t>
        </is>
      </c>
      <c r="B1391" s="1" t="n">
        <v>45371</v>
      </c>
      <c r="C1391" s="1" t="n">
        <v>45474</v>
      </c>
      <c r="D1391" t="inlineStr">
        <is>
          <t>UPPSALA LÄN</t>
        </is>
      </c>
      <c r="E1391" t="inlineStr">
        <is>
          <t>UPPSALA</t>
        </is>
      </c>
      <c r="F1391" t="inlineStr">
        <is>
          <t>Bergvik skog öst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11173-2024</t>
        </is>
      </c>
      <c r="B1392" s="1" t="n">
        <v>45371</v>
      </c>
      <c r="C1392" s="1" t="n">
        <v>45474</v>
      </c>
      <c r="D1392" t="inlineStr">
        <is>
          <t>UPPSALA LÄN</t>
        </is>
      </c>
      <c r="E1392" t="inlineStr">
        <is>
          <t>UPPSALA</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11159-2024</t>
        </is>
      </c>
      <c r="B1393" s="1" t="n">
        <v>45371</v>
      </c>
      <c r="C1393" s="1" t="n">
        <v>45474</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11191-2024</t>
        </is>
      </c>
      <c r="B1394" s="1" t="n">
        <v>45371</v>
      </c>
      <c r="C1394" s="1" t="n">
        <v>45474</v>
      </c>
      <c r="D1394" t="inlineStr">
        <is>
          <t>UPPSALA LÄN</t>
        </is>
      </c>
      <c r="E1394" t="inlineStr">
        <is>
          <t>UPPSALA</t>
        </is>
      </c>
      <c r="F1394" t="inlineStr">
        <is>
          <t>Allmännings- och besparingsskogar</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11166-2024</t>
        </is>
      </c>
      <c r="B1395" s="1" t="n">
        <v>45371</v>
      </c>
      <c r="C1395" s="1" t="n">
        <v>45474</v>
      </c>
      <c r="D1395" t="inlineStr">
        <is>
          <t>UPPSALA LÄN</t>
        </is>
      </c>
      <c r="E1395" t="inlineStr">
        <is>
          <t>UPPSALA</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11201-2024</t>
        </is>
      </c>
      <c r="B1396" s="1" t="n">
        <v>45371</v>
      </c>
      <c r="C1396" s="1" t="n">
        <v>45474</v>
      </c>
      <c r="D1396" t="inlineStr">
        <is>
          <t>UPPSALA LÄN</t>
        </is>
      </c>
      <c r="E1396" t="inlineStr">
        <is>
          <t>UPPSALA</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11277-2024</t>
        </is>
      </c>
      <c r="B1397" s="1" t="n">
        <v>45371</v>
      </c>
      <c r="C1397" s="1" t="n">
        <v>45474</v>
      </c>
      <c r="D1397" t="inlineStr">
        <is>
          <t>UPPSALA LÄN</t>
        </is>
      </c>
      <c r="E1397" t="inlineStr">
        <is>
          <t>UPPSALA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11289-2024</t>
        </is>
      </c>
      <c r="B1398" s="1" t="n">
        <v>45371</v>
      </c>
      <c r="C1398" s="1" t="n">
        <v>45474</v>
      </c>
      <c r="D1398" t="inlineStr">
        <is>
          <t>UPPSALA LÄN</t>
        </is>
      </c>
      <c r="E1398" t="inlineStr">
        <is>
          <t>UPPSALA</t>
        </is>
      </c>
      <c r="F1398" t="inlineStr">
        <is>
          <t>Allmännings- och besparingsskogar</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11200-2024</t>
        </is>
      </c>
      <c r="B1399" s="1" t="n">
        <v>45371</v>
      </c>
      <c r="C1399" s="1" t="n">
        <v>45474</v>
      </c>
      <c r="D1399" t="inlineStr">
        <is>
          <t>UPPSALA LÄN</t>
        </is>
      </c>
      <c r="E1399" t="inlineStr">
        <is>
          <t>UPPSALA</t>
        </is>
      </c>
      <c r="F1399" t="inlineStr">
        <is>
          <t>Allmännings- och besparingsskogar</t>
        </is>
      </c>
      <c r="G1399" t="n">
        <v>22.8</v>
      </c>
      <c r="H1399" t="n">
        <v>0</v>
      </c>
      <c r="I1399" t="n">
        <v>0</v>
      </c>
      <c r="J1399" t="n">
        <v>0</v>
      </c>
      <c r="K1399" t="n">
        <v>0</v>
      </c>
      <c r="L1399" t="n">
        <v>0</v>
      </c>
      <c r="M1399" t="n">
        <v>0</v>
      </c>
      <c r="N1399" t="n">
        <v>0</v>
      </c>
      <c r="O1399" t="n">
        <v>0</v>
      </c>
      <c r="P1399" t="n">
        <v>0</v>
      </c>
      <c r="Q1399" t="n">
        <v>0</v>
      </c>
      <c r="R1399" s="2" t="inlineStr"/>
    </row>
    <row r="1400" ht="15" customHeight="1">
      <c r="A1400" t="inlineStr">
        <is>
          <t>A 11260-2024</t>
        </is>
      </c>
      <c r="B1400" s="1" t="n">
        <v>45371</v>
      </c>
      <c r="C1400" s="1" t="n">
        <v>45474</v>
      </c>
      <c r="D1400" t="inlineStr">
        <is>
          <t>UPPSALA LÄN</t>
        </is>
      </c>
      <c r="E1400" t="inlineStr">
        <is>
          <t>UPPSALA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11457-2024</t>
        </is>
      </c>
      <c r="B1401" s="1" t="n">
        <v>45372</v>
      </c>
      <c r="C1401" s="1" t="n">
        <v>45474</v>
      </c>
      <c r="D1401" t="inlineStr">
        <is>
          <t>UPPSALA LÄN</t>
        </is>
      </c>
      <c r="E1401" t="inlineStr">
        <is>
          <t>UPPSALA</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11677-2024</t>
        </is>
      </c>
      <c r="B1402" s="1" t="n">
        <v>45373</v>
      </c>
      <c r="C1402" s="1" t="n">
        <v>45474</v>
      </c>
      <c r="D1402" t="inlineStr">
        <is>
          <t>UPPSALA LÄN</t>
        </is>
      </c>
      <c r="E1402" t="inlineStr">
        <is>
          <t>UPPSALA</t>
        </is>
      </c>
      <c r="F1402" t="inlineStr">
        <is>
          <t>Holmen skog AB</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11719-2024</t>
        </is>
      </c>
      <c r="B1403" s="1" t="n">
        <v>45373</v>
      </c>
      <c r="C1403" s="1" t="n">
        <v>45474</v>
      </c>
      <c r="D1403" t="inlineStr">
        <is>
          <t>UPPSALA LÄN</t>
        </is>
      </c>
      <c r="E1403" t="inlineStr">
        <is>
          <t>UPPSALA</t>
        </is>
      </c>
      <c r="F1403" t="inlineStr">
        <is>
          <t>Holmen skog AB</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12345-2024</t>
        </is>
      </c>
      <c r="B1404" s="1" t="n">
        <v>45378</v>
      </c>
      <c r="C1404" s="1" t="n">
        <v>45474</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12346-2024</t>
        </is>
      </c>
      <c r="B1405" s="1" t="n">
        <v>45378</v>
      </c>
      <c r="C1405" s="1" t="n">
        <v>45474</v>
      </c>
      <c r="D1405" t="inlineStr">
        <is>
          <t>UPPSALA LÄN</t>
        </is>
      </c>
      <c r="E1405" t="inlineStr">
        <is>
          <t>UPPSALA</t>
        </is>
      </c>
      <c r="F1405" t="inlineStr">
        <is>
          <t>Bergvik skog öst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12347-2024</t>
        </is>
      </c>
      <c r="B1406" s="1" t="n">
        <v>45378</v>
      </c>
      <c r="C1406" s="1" t="n">
        <v>45474</v>
      </c>
      <c r="D1406" t="inlineStr">
        <is>
          <t>UPPSALA LÄN</t>
        </is>
      </c>
      <c r="E1406" t="inlineStr">
        <is>
          <t>UPPSALA</t>
        </is>
      </c>
      <c r="F1406" t="inlineStr">
        <is>
          <t>Bergvik skog öst AB</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12507-2024</t>
        </is>
      </c>
      <c r="B1407" s="1" t="n">
        <v>45379</v>
      </c>
      <c r="C1407" s="1" t="n">
        <v>45474</v>
      </c>
      <c r="D1407" t="inlineStr">
        <is>
          <t>UPPSALA LÄN</t>
        </is>
      </c>
      <c r="E1407" t="inlineStr">
        <is>
          <t>UPPSALA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13100-2024</t>
        </is>
      </c>
      <c r="B1408" s="1" t="n">
        <v>45385</v>
      </c>
      <c r="C1408" s="1" t="n">
        <v>45474</v>
      </c>
      <c r="D1408" t="inlineStr">
        <is>
          <t>UPPSALA LÄN</t>
        </is>
      </c>
      <c r="E1408" t="inlineStr">
        <is>
          <t>UPPSALA</t>
        </is>
      </c>
      <c r="F1408" t="inlineStr">
        <is>
          <t>Holmen skog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13305-2024</t>
        </is>
      </c>
      <c r="B1409" s="1" t="n">
        <v>45386</v>
      </c>
      <c r="C1409" s="1" t="n">
        <v>45474</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13303-2024</t>
        </is>
      </c>
      <c r="B1410" s="1" t="n">
        <v>45386</v>
      </c>
      <c r="C1410" s="1" t="n">
        <v>45474</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13302-2024</t>
        </is>
      </c>
      <c r="B1411" s="1" t="n">
        <v>45386</v>
      </c>
      <c r="C1411" s="1" t="n">
        <v>45474</v>
      </c>
      <c r="D1411" t="inlineStr">
        <is>
          <t>UPPSALA LÄN</t>
        </is>
      </c>
      <c r="E1411" t="inlineStr">
        <is>
          <t>UPPSALA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13379-2024</t>
        </is>
      </c>
      <c r="B1412" s="1" t="n">
        <v>45387</v>
      </c>
      <c r="C1412" s="1" t="n">
        <v>45474</v>
      </c>
      <c r="D1412" t="inlineStr">
        <is>
          <t>UPPSALA LÄN</t>
        </is>
      </c>
      <c r="E1412" t="inlineStr">
        <is>
          <t>UPPSALA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13644-2024</t>
        </is>
      </c>
      <c r="B1413" s="1" t="n">
        <v>45390</v>
      </c>
      <c r="C1413" s="1" t="n">
        <v>45474</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13799-2024</t>
        </is>
      </c>
      <c r="B1414" s="1" t="n">
        <v>45391</v>
      </c>
      <c r="C1414" s="1" t="n">
        <v>45474</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14533-2024</t>
        </is>
      </c>
      <c r="B1415" s="1" t="n">
        <v>45394</v>
      </c>
      <c r="C1415" s="1" t="n">
        <v>45474</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14401-2024</t>
        </is>
      </c>
      <c r="B1416" s="1" t="n">
        <v>45394</v>
      </c>
      <c r="C1416" s="1" t="n">
        <v>45474</v>
      </c>
      <c r="D1416" t="inlineStr">
        <is>
          <t>UPPSALA LÄN</t>
        </is>
      </c>
      <c r="E1416" t="inlineStr">
        <is>
          <t>UPPSALA</t>
        </is>
      </c>
      <c r="F1416" t="inlineStr">
        <is>
          <t>Övriga statliga verk och myndigheter</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14528-2024</t>
        </is>
      </c>
      <c r="B1417" s="1" t="n">
        <v>45394</v>
      </c>
      <c r="C1417" s="1" t="n">
        <v>45474</v>
      </c>
      <c r="D1417" t="inlineStr">
        <is>
          <t>UPPSALA LÄN</t>
        </is>
      </c>
      <c r="E1417" t="inlineStr">
        <is>
          <t>UPPSALA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14404-2024</t>
        </is>
      </c>
      <c r="B1418" s="1" t="n">
        <v>45394</v>
      </c>
      <c r="C1418" s="1" t="n">
        <v>45474</v>
      </c>
      <c r="D1418" t="inlineStr">
        <is>
          <t>UPPSALA LÄN</t>
        </is>
      </c>
      <c r="E1418" t="inlineStr">
        <is>
          <t>UPPSALA</t>
        </is>
      </c>
      <c r="F1418" t="inlineStr">
        <is>
          <t>Övriga statliga verk och myndigheter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14523-2024</t>
        </is>
      </c>
      <c r="B1419" s="1" t="n">
        <v>45394</v>
      </c>
      <c r="C1419" s="1" t="n">
        <v>45474</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14643-2024</t>
        </is>
      </c>
      <c r="B1420" s="1" t="n">
        <v>45397</v>
      </c>
      <c r="C1420" s="1" t="n">
        <v>45474</v>
      </c>
      <c r="D1420" t="inlineStr">
        <is>
          <t>UPPSALA LÄN</t>
        </is>
      </c>
      <c r="E1420" t="inlineStr">
        <is>
          <t>UPPSALA</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14672-2024</t>
        </is>
      </c>
      <c r="B1421" s="1" t="n">
        <v>45397</v>
      </c>
      <c r="C1421" s="1" t="n">
        <v>45474</v>
      </c>
      <c r="D1421" t="inlineStr">
        <is>
          <t>UPPSALA LÄN</t>
        </is>
      </c>
      <c r="E1421" t="inlineStr">
        <is>
          <t>UPPSALA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15254-2024</t>
        </is>
      </c>
      <c r="B1422" s="1" t="n">
        <v>45400</v>
      </c>
      <c r="C1422" s="1" t="n">
        <v>45474</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15255-2024</t>
        </is>
      </c>
      <c r="B1423" s="1" t="n">
        <v>45400</v>
      </c>
      <c r="C1423" s="1" t="n">
        <v>45474</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15544-2024</t>
        </is>
      </c>
      <c r="B1424" s="1" t="n">
        <v>45401</v>
      </c>
      <c r="C1424" s="1" t="n">
        <v>45474</v>
      </c>
      <c r="D1424" t="inlineStr">
        <is>
          <t>UPPSALA LÄN</t>
        </is>
      </c>
      <c r="E1424" t="inlineStr">
        <is>
          <t>UPPSALA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16434-2024</t>
        </is>
      </c>
      <c r="B1425" s="1" t="n">
        <v>45407</v>
      </c>
      <c r="C1425" s="1" t="n">
        <v>45474</v>
      </c>
      <c r="D1425" t="inlineStr">
        <is>
          <t>UPPSALA LÄN</t>
        </is>
      </c>
      <c r="E1425" t="inlineStr">
        <is>
          <t>UPPSALA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16324-2024</t>
        </is>
      </c>
      <c r="B1426" s="1" t="n">
        <v>45407</v>
      </c>
      <c r="C1426" s="1" t="n">
        <v>45474</v>
      </c>
      <c r="D1426" t="inlineStr">
        <is>
          <t>UPPSALA LÄN</t>
        </is>
      </c>
      <c r="E1426" t="inlineStr">
        <is>
          <t>UPPSALA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17146-2024</t>
        </is>
      </c>
      <c r="B1427" s="1" t="n">
        <v>45412</v>
      </c>
      <c r="C1427" s="1" t="n">
        <v>45474</v>
      </c>
      <c r="D1427" t="inlineStr">
        <is>
          <t>UPPSALA LÄN</t>
        </is>
      </c>
      <c r="E1427" t="inlineStr">
        <is>
          <t>UPPSALA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17287-2024</t>
        </is>
      </c>
      <c r="B1428" s="1" t="n">
        <v>45414</v>
      </c>
      <c r="C1428" s="1" t="n">
        <v>45474</v>
      </c>
      <c r="D1428" t="inlineStr">
        <is>
          <t>UPPSALA LÄN</t>
        </is>
      </c>
      <c r="E1428" t="inlineStr">
        <is>
          <t>UPPSALA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17761-2024</t>
        </is>
      </c>
      <c r="B1429" s="1" t="n">
        <v>45418</v>
      </c>
      <c r="C1429" s="1" t="n">
        <v>45474</v>
      </c>
      <c r="D1429" t="inlineStr">
        <is>
          <t>UPPSALA LÄN</t>
        </is>
      </c>
      <c r="E1429" t="inlineStr">
        <is>
          <t>UPPSALA</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18069-2024</t>
        </is>
      </c>
      <c r="B1430" s="1" t="n">
        <v>45420</v>
      </c>
      <c r="C1430" s="1" t="n">
        <v>45474</v>
      </c>
      <c r="D1430" t="inlineStr">
        <is>
          <t>UPPSALA LÄN</t>
        </is>
      </c>
      <c r="E1430" t="inlineStr">
        <is>
          <t>UPPSALA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18354-2024</t>
        </is>
      </c>
      <c r="B1431" s="1" t="n">
        <v>45422</v>
      </c>
      <c r="C1431" s="1" t="n">
        <v>45474</v>
      </c>
      <c r="D1431" t="inlineStr">
        <is>
          <t>UPPSALA LÄN</t>
        </is>
      </c>
      <c r="E1431" t="inlineStr">
        <is>
          <t>UPPSALA</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18607-2024</t>
        </is>
      </c>
      <c r="B1432" s="1" t="n">
        <v>45426</v>
      </c>
      <c r="C1432" s="1" t="n">
        <v>45474</v>
      </c>
      <c r="D1432" t="inlineStr">
        <is>
          <t>UPPSALA LÄN</t>
        </is>
      </c>
      <c r="E1432" t="inlineStr">
        <is>
          <t>UPPSALA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18677-2024</t>
        </is>
      </c>
      <c r="B1433" s="1" t="n">
        <v>45426</v>
      </c>
      <c r="C1433" s="1" t="n">
        <v>45474</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18667-2024</t>
        </is>
      </c>
      <c r="B1434" s="1" t="n">
        <v>45426</v>
      </c>
      <c r="C1434" s="1" t="n">
        <v>45474</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18670-2024</t>
        </is>
      </c>
      <c r="B1435" s="1" t="n">
        <v>45426</v>
      </c>
      <c r="C1435" s="1" t="n">
        <v>45474</v>
      </c>
      <c r="D1435" t="inlineStr">
        <is>
          <t>UPPSALA LÄN</t>
        </is>
      </c>
      <c r="E1435" t="inlineStr">
        <is>
          <t>UPPSALA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18675-2024</t>
        </is>
      </c>
      <c r="B1436" s="1" t="n">
        <v>45426</v>
      </c>
      <c r="C1436" s="1" t="n">
        <v>45474</v>
      </c>
      <c r="D1436" t="inlineStr">
        <is>
          <t>UPPSALA LÄN</t>
        </is>
      </c>
      <c r="E1436" t="inlineStr">
        <is>
          <t>UPPSALA</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18808-2024</t>
        </is>
      </c>
      <c r="B1437" s="1" t="n">
        <v>45426</v>
      </c>
      <c r="C1437" s="1" t="n">
        <v>45474</v>
      </c>
      <c r="D1437" t="inlineStr">
        <is>
          <t>UPPSALA LÄN</t>
        </is>
      </c>
      <c r="E1437" t="inlineStr">
        <is>
          <t>UPPSALA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18668-2024</t>
        </is>
      </c>
      <c r="B1438" s="1" t="n">
        <v>45426</v>
      </c>
      <c r="C1438" s="1" t="n">
        <v>45474</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19164-2024</t>
        </is>
      </c>
      <c r="B1439" s="1" t="n">
        <v>45428</v>
      </c>
      <c r="C1439" s="1" t="n">
        <v>45474</v>
      </c>
      <c r="D1439" t="inlineStr">
        <is>
          <t>UPPSALA LÄN</t>
        </is>
      </c>
      <c r="E1439" t="inlineStr">
        <is>
          <t>UPPSALA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19126-2024</t>
        </is>
      </c>
      <c r="B1440" s="1" t="n">
        <v>45428</v>
      </c>
      <c r="C1440" s="1" t="n">
        <v>45474</v>
      </c>
      <c r="D1440" t="inlineStr">
        <is>
          <t>UPPSALA LÄN</t>
        </is>
      </c>
      <c r="E1440" t="inlineStr">
        <is>
          <t>UPPSALA</t>
        </is>
      </c>
      <c r="F1440" t="inlineStr">
        <is>
          <t>Allmännings- och besparingsskogar</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19414-2024</t>
        </is>
      </c>
      <c r="B1441" s="1" t="n">
        <v>45429</v>
      </c>
      <c r="C1441" s="1" t="n">
        <v>45474</v>
      </c>
      <c r="D1441" t="inlineStr">
        <is>
          <t>UPPSALA LÄN</t>
        </is>
      </c>
      <c r="E1441" t="inlineStr">
        <is>
          <t>UPPSALA</t>
        </is>
      </c>
      <c r="F1441" t="inlineStr">
        <is>
          <t>Kyrkan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19539-2024</t>
        </is>
      </c>
      <c r="B1442" s="1" t="n">
        <v>45429</v>
      </c>
      <c r="C1442" s="1" t="n">
        <v>45474</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20466-2024</t>
        </is>
      </c>
      <c r="B1443" s="1" t="n">
        <v>45435</v>
      </c>
      <c r="C1443" s="1" t="n">
        <v>45474</v>
      </c>
      <c r="D1443" t="inlineStr">
        <is>
          <t>UPPSALA LÄN</t>
        </is>
      </c>
      <c r="E1443" t="inlineStr">
        <is>
          <t>UPPSALA</t>
        </is>
      </c>
      <c r="F1443" t="inlineStr">
        <is>
          <t>Holmen skog AB</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20297-2024</t>
        </is>
      </c>
      <c r="B1444" s="1" t="n">
        <v>45435</v>
      </c>
      <c r="C1444" s="1" t="n">
        <v>45474</v>
      </c>
      <c r="D1444" t="inlineStr">
        <is>
          <t>UPPSALA LÄN</t>
        </is>
      </c>
      <c r="E1444" t="inlineStr">
        <is>
          <t>UPPSALA</t>
        </is>
      </c>
      <c r="F1444" t="inlineStr">
        <is>
          <t>Kyrkan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20301-2024</t>
        </is>
      </c>
      <c r="B1445" s="1" t="n">
        <v>45435</v>
      </c>
      <c r="C1445" s="1" t="n">
        <v>45474</v>
      </c>
      <c r="D1445" t="inlineStr">
        <is>
          <t>UPPSALA LÄN</t>
        </is>
      </c>
      <c r="E1445" t="inlineStr">
        <is>
          <t>UPPSALA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20375-2024</t>
        </is>
      </c>
      <c r="B1446" s="1" t="n">
        <v>45435</v>
      </c>
      <c r="C1446" s="1" t="n">
        <v>45474</v>
      </c>
      <c r="D1446" t="inlineStr">
        <is>
          <t>UPPSALA LÄN</t>
        </is>
      </c>
      <c r="E1446" t="inlineStr">
        <is>
          <t>UPPSALA</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20459-2024</t>
        </is>
      </c>
      <c r="B1447" s="1" t="n">
        <v>45435</v>
      </c>
      <c r="C1447" s="1" t="n">
        <v>45474</v>
      </c>
      <c r="D1447" t="inlineStr">
        <is>
          <t>UPPSALA LÄN</t>
        </is>
      </c>
      <c r="E1447" t="inlineStr">
        <is>
          <t>UPPSALA</t>
        </is>
      </c>
      <c r="F1447" t="inlineStr">
        <is>
          <t>Kyrkan</t>
        </is>
      </c>
      <c r="G1447" t="n">
        <v>15.8</v>
      </c>
      <c r="H1447" t="n">
        <v>0</v>
      </c>
      <c r="I1447" t="n">
        <v>0</v>
      </c>
      <c r="J1447" t="n">
        <v>0</v>
      </c>
      <c r="K1447" t="n">
        <v>0</v>
      </c>
      <c r="L1447" t="n">
        <v>0</v>
      </c>
      <c r="M1447" t="n">
        <v>0</v>
      </c>
      <c r="N1447" t="n">
        <v>0</v>
      </c>
      <c r="O1447" t="n">
        <v>0</v>
      </c>
      <c r="P1447" t="n">
        <v>0</v>
      </c>
      <c r="Q1447" t="n">
        <v>0</v>
      </c>
      <c r="R1447" s="2" t="inlineStr"/>
    </row>
    <row r="1448" ht="15" customHeight="1">
      <c r="A1448" t="inlineStr">
        <is>
          <t>A 20458-2024</t>
        </is>
      </c>
      <c r="B1448" s="1" t="n">
        <v>45435</v>
      </c>
      <c r="C1448" s="1" t="n">
        <v>45474</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20711-2024</t>
        </is>
      </c>
      <c r="B1449" s="1" t="n">
        <v>45436</v>
      </c>
      <c r="C1449" s="1" t="n">
        <v>45474</v>
      </c>
      <c r="D1449" t="inlineStr">
        <is>
          <t>UPPSALA LÄN</t>
        </is>
      </c>
      <c r="E1449" t="inlineStr">
        <is>
          <t>UPPSALA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20851-2024</t>
        </is>
      </c>
      <c r="B1450" s="1" t="n">
        <v>45439</v>
      </c>
      <c r="C1450" s="1" t="n">
        <v>45474</v>
      </c>
      <c r="D1450" t="inlineStr">
        <is>
          <t>UPPSALA LÄN</t>
        </is>
      </c>
      <c r="E1450" t="inlineStr">
        <is>
          <t>UPPSALA</t>
        </is>
      </c>
      <c r="F1450" t="inlineStr">
        <is>
          <t>Holmen skog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21015-2024</t>
        </is>
      </c>
      <c r="B1451" s="1" t="n">
        <v>45439</v>
      </c>
      <c r="C1451" s="1" t="n">
        <v>45474</v>
      </c>
      <c r="D1451" t="inlineStr">
        <is>
          <t>UPPSALA LÄN</t>
        </is>
      </c>
      <c r="E1451" t="inlineStr">
        <is>
          <t>UPPSALA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20903-2024</t>
        </is>
      </c>
      <c r="B1452" s="1" t="n">
        <v>45439</v>
      </c>
      <c r="C1452" s="1" t="n">
        <v>45474</v>
      </c>
      <c r="D1452" t="inlineStr">
        <is>
          <t>UPPSALA LÄN</t>
        </is>
      </c>
      <c r="E1452" t="inlineStr">
        <is>
          <t>UPPSALA</t>
        </is>
      </c>
      <c r="F1452" t="inlineStr">
        <is>
          <t>Holmen skog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21182-2024</t>
        </is>
      </c>
      <c r="B1453" s="1" t="n">
        <v>45440</v>
      </c>
      <c r="C1453" s="1" t="n">
        <v>45474</v>
      </c>
      <c r="D1453" t="inlineStr">
        <is>
          <t>UPPSALA LÄN</t>
        </is>
      </c>
      <c r="E1453" t="inlineStr">
        <is>
          <t>UPPSALA</t>
        </is>
      </c>
      <c r="F1453" t="inlineStr">
        <is>
          <t>Holmen skog AB</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21310-2024</t>
        </is>
      </c>
      <c r="B1454" s="1" t="n">
        <v>45440</v>
      </c>
      <c r="C1454" s="1" t="n">
        <v>45474</v>
      </c>
      <c r="D1454" t="inlineStr">
        <is>
          <t>UPPSALA LÄN</t>
        </is>
      </c>
      <c r="E1454" t="inlineStr">
        <is>
          <t>UPPSALA</t>
        </is>
      </c>
      <c r="F1454" t="inlineStr">
        <is>
          <t>Holmen skog AB</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21526-2024</t>
        </is>
      </c>
      <c r="B1455" s="1" t="n">
        <v>45441</v>
      </c>
      <c r="C1455" s="1" t="n">
        <v>45474</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21555-2024</t>
        </is>
      </c>
      <c r="B1456" s="1" t="n">
        <v>45441</v>
      </c>
      <c r="C1456" s="1" t="n">
        <v>45474</v>
      </c>
      <c r="D1456" t="inlineStr">
        <is>
          <t>UPPSALA LÄN</t>
        </is>
      </c>
      <c r="E1456" t="inlineStr">
        <is>
          <t>UPPSALA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21657-2024</t>
        </is>
      </c>
      <c r="B1457" s="1" t="n">
        <v>45442</v>
      </c>
      <c r="C1457" s="1" t="n">
        <v>45474</v>
      </c>
      <c r="D1457" t="inlineStr">
        <is>
          <t>UPPSALA LÄN</t>
        </is>
      </c>
      <c r="E1457" t="inlineStr">
        <is>
          <t>UPPSALA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21786-2024</t>
        </is>
      </c>
      <c r="B1458" s="1" t="n">
        <v>45442</v>
      </c>
      <c r="C1458" s="1" t="n">
        <v>45474</v>
      </c>
      <c r="D1458" t="inlineStr">
        <is>
          <t>UPPSALA LÄN</t>
        </is>
      </c>
      <c r="E1458" t="inlineStr">
        <is>
          <t>UPPSALA</t>
        </is>
      </c>
      <c r="F1458" t="inlineStr">
        <is>
          <t>Allmännings- och besparingsskogar</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21641-2024</t>
        </is>
      </c>
      <c r="B1459" s="1" t="n">
        <v>45442</v>
      </c>
      <c r="C1459" s="1" t="n">
        <v>45474</v>
      </c>
      <c r="D1459" t="inlineStr">
        <is>
          <t>UPPSALA LÄN</t>
        </is>
      </c>
      <c r="E1459" t="inlineStr">
        <is>
          <t>UPPSALA</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21859-2024</t>
        </is>
      </c>
      <c r="B1460" s="1" t="n">
        <v>45443</v>
      </c>
      <c r="C1460" s="1" t="n">
        <v>45474</v>
      </c>
      <c r="D1460" t="inlineStr">
        <is>
          <t>UPPSALA LÄN</t>
        </is>
      </c>
      <c r="E1460" t="inlineStr">
        <is>
          <t>UPPSALA</t>
        </is>
      </c>
      <c r="F1460" t="inlineStr">
        <is>
          <t>Kyrkan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22431-2024</t>
        </is>
      </c>
      <c r="B1461" s="1" t="n">
        <v>45446</v>
      </c>
      <c r="C1461" s="1" t="n">
        <v>45474</v>
      </c>
      <c r="D1461" t="inlineStr">
        <is>
          <t>UPPSALA LÄN</t>
        </is>
      </c>
      <c r="E1461" t="inlineStr">
        <is>
          <t>UPPSALA</t>
        </is>
      </c>
      <c r="F1461" t="inlineStr">
        <is>
          <t>Bergvik skog öst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22433-2024</t>
        </is>
      </c>
      <c r="B1462" s="1" t="n">
        <v>45446</v>
      </c>
      <c r="C1462" s="1" t="n">
        <v>45474</v>
      </c>
      <c r="D1462" t="inlineStr">
        <is>
          <t>UPPSALA LÄN</t>
        </is>
      </c>
      <c r="E1462" t="inlineStr">
        <is>
          <t>UPPSALA</t>
        </is>
      </c>
      <c r="F1462" t="inlineStr">
        <is>
          <t>Bergvik skog öst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22437-2024</t>
        </is>
      </c>
      <c r="B1463" s="1" t="n">
        <v>45446</v>
      </c>
      <c r="C1463" s="1" t="n">
        <v>45474</v>
      </c>
      <c r="D1463" t="inlineStr">
        <is>
          <t>UPPSALA LÄN</t>
        </is>
      </c>
      <c r="E1463" t="inlineStr">
        <is>
          <t>UPPSALA</t>
        </is>
      </c>
      <c r="F1463" t="inlineStr">
        <is>
          <t>Bergvik skog öst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22432-2024</t>
        </is>
      </c>
      <c r="B1464" s="1" t="n">
        <v>45446</v>
      </c>
      <c r="C1464" s="1" t="n">
        <v>45474</v>
      </c>
      <c r="D1464" t="inlineStr">
        <is>
          <t>UPPSALA LÄN</t>
        </is>
      </c>
      <c r="E1464" t="inlineStr">
        <is>
          <t>UPPSALA</t>
        </is>
      </c>
      <c r="F1464" t="inlineStr">
        <is>
          <t>Bergvik skog öst AB</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22900-2024</t>
        </is>
      </c>
      <c r="B1465" s="1" t="n">
        <v>45448</v>
      </c>
      <c r="C1465" s="1" t="n">
        <v>45474</v>
      </c>
      <c r="D1465" t="inlineStr">
        <is>
          <t>UPPSALA LÄN</t>
        </is>
      </c>
      <c r="E1465" t="inlineStr">
        <is>
          <t>UPPSALA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23291-2024</t>
        </is>
      </c>
      <c r="B1466" s="1" t="n">
        <v>45453</v>
      </c>
      <c r="C1466" s="1" t="n">
        <v>45474</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23494-2024</t>
        </is>
      </c>
      <c r="B1467" s="1" t="n">
        <v>45453</v>
      </c>
      <c r="C1467" s="1" t="n">
        <v>45474</v>
      </c>
      <c r="D1467" t="inlineStr">
        <is>
          <t>UPPSALA LÄN</t>
        </is>
      </c>
      <c r="E1467" t="inlineStr">
        <is>
          <t>UPPSALA</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24091-2024</t>
        </is>
      </c>
      <c r="B1468" s="1" t="n">
        <v>45456</v>
      </c>
      <c r="C1468" s="1" t="n">
        <v>45474</v>
      </c>
      <c r="D1468" t="inlineStr">
        <is>
          <t>UPPSALA LÄN</t>
        </is>
      </c>
      <c r="E1468" t="inlineStr">
        <is>
          <t>UPPSALA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24098-2024</t>
        </is>
      </c>
      <c r="B1469" s="1" t="n">
        <v>45456</v>
      </c>
      <c r="C1469" s="1" t="n">
        <v>45474</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24787-2024</t>
        </is>
      </c>
      <c r="B1470" s="1" t="n">
        <v>45460</v>
      </c>
      <c r="C1470" s="1" t="n">
        <v>45474</v>
      </c>
      <c r="D1470" t="inlineStr">
        <is>
          <t>UPPSALA LÄN</t>
        </is>
      </c>
      <c r="E1470" t="inlineStr">
        <is>
          <t>UPPSALA</t>
        </is>
      </c>
      <c r="F1470" t="inlineStr">
        <is>
          <t>Övriga Aktiebolag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25403-2024</t>
        </is>
      </c>
      <c r="B1471" s="1" t="n">
        <v>45463</v>
      </c>
      <c r="C1471" s="1" t="n">
        <v>45474</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25537-2024</t>
        </is>
      </c>
      <c r="B1472" s="1" t="n">
        <v>45463</v>
      </c>
      <c r="C1472" s="1" t="n">
        <v>45474</v>
      </c>
      <c r="D1472" t="inlineStr">
        <is>
          <t>UPPSALA LÄN</t>
        </is>
      </c>
      <c r="E1472" t="inlineStr">
        <is>
          <t>UPPSALA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25490-2024</t>
        </is>
      </c>
      <c r="B1473" s="1" t="n">
        <v>45463</v>
      </c>
      <c r="C1473" s="1" t="n">
        <v>45474</v>
      </c>
      <c r="D1473" t="inlineStr">
        <is>
          <t>UPPSALA LÄN</t>
        </is>
      </c>
      <c r="E1473" t="inlineStr">
        <is>
          <t>UPPSALA</t>
        </is>
      </c>
      <c r="F1473" t="inlineStr">
        <is>
          <t>Övriga Aktiebolag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45474</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25487-2024</t>
        </is>
      </c>
      <c r="B1475" s="1" t="n">
        <v>45463</v>
      </c>
      <c r="C1475" s="1" t="n">
        <v>45474</v>
      </c>
      <c r="D1475" t="inlineStr">
        <is>
          <t>UPPSALA LÄN</t>
        </is>
      </c>
      <c r="E1475" t="inlineStr">
        <is>
          <t>UPPSALA</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45474</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c r="A1477" t="inlineStr">
        <is>
          <t>A 26099-2024</t>
        </is>
      </c>
      <c r="B1477" s="1" t="n">
        <v>45468</v>
      </c>
      <c r="C1477" s="1" t="n">
        <v>45474</v>
      </c>
      <c r="D1477" t="inlineStr">
        <is>
          <t>UPPSALA LÄN</t>
        </is>
      </c>
      <c r="E1477" t="inlineStr">
        <is>
          <t>UPPSALA</t>
        </is>
      </c>
      <c r="G1477" t="n">
        <v>0.3</v>
      </c>
      <c r="H1477" t="n">
        <v>0</v>
      </c>
      <c r="I1477" t="n">
        <v>0</v>
      </c>
      <c r="J1477" t="n">
        <v>0</v>
      </c>
      <c r="K1477" t="n">
        <v>0</v>
      </c>
      <c r="L1477" t="n">
        <v>0</v>
      </c>
      <c r="M1477" t="n">
        <v>0</v>
      </c>
      <c r="N1477" t="n">
        <v>0</v>
      </c>
      <c r="O1477" t="n">
        <v>0</v>
      </c>
      <c r="P1477" t="n">
        <v>0</v>
      </c>
      <c r="Q1477" t="n">
        <v>0</v>
      </c>
      <c r="R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2024-07-01T10:12:45Z</dcterms:created>
  <dcterms:modified xmlns:dcterms="http://purl.org/dc/terms/" xmlns:xsi="http://www.w3.org/2001/XMLSchema-instance" xsi:type="dcterms:W3CDTF">2024-07-01T10:12:47Z</dcterms:modified>
</cp:coreProperties>
</file>