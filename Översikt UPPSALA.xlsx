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45724</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45724</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45724</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45724</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45724</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45724</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45724</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45724</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45724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45724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45724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45724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45724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45724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45724</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45724</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45724</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45724</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45724</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45724</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45724</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45724</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45724</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45724</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45724</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45724</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45724</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45724</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45724</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45724</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45724</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45724</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45724</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45724</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45724</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45724</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45724</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45724</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45724</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45724</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45724</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45724</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45724</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45724</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45724</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45724</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45724</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45724</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45724</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45724</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45724</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45724</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45724</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45724</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45724</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45724</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45724</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45724</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45724</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45724</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45724</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45724</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45724</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45724</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45724</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45724</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45724</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45724</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45724</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45724</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45724</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45724</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45724</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45724</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45724</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45724</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45724</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45724</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45724</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45724</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45724</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45724</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45724</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45724</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45724</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45724</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45724</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45724</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45724</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45724</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45724</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45724</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45724</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45724</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45724</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45724</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45724</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45724</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45724</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45724</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45724</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45724</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45724</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45724</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45724</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45724</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45724</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45724</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45724</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45724</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45724</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45724</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45724</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45724</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45724</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45724</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45724</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45724</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45724</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45724</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45724</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45724</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45724</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45724</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45724</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45724</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45724</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45724</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45724</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45724</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45724</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45724</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45724</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45724</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45724</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45724</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45724</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45724</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45724</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45724</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45724</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45724</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45724</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45724</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45724</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45724</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45724</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45724</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45724</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45724</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45724</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45724</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45724</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45724</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45724</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45724</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45724</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45724</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45724</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45724</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45724</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45724</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45724</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45724</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45724</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45724</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45724</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45724</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45724</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45724</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45724</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45724</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45724</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45724</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45724</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45724</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45724</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45724</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45724</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5624-2025</t>
        </is>
      </c>
      <c r="B196" s="1" t="n">
        <v>45693</v>
      </c>
      <c r="C196" s="1" t="n">
        <v>45724</v>
      </c>
      <c r="D196" t="inlineStr">
        <is>
          <t>UPPSALA LÄN</t>
        </is>
      </c>
      <c r="E196" t="inlineStr">
        <is>
          <t>UPPSALA</t>
        </is>
      </c>
      <c r="G196" t="n">
        <v>6.1</v>
      </c>
      <c r="H196" t="n">
        <v>0</v>
      </c>
      <c r="I196" t="n">
        <v>1</v>
      </c>
      <c r="J196" t="n">
        <v>0</v>
      </c>
      <c r="K196" t="n">
        <v>0</v>
      </c>
      <c r="L196" t="n">
        <v>0</v>
      </c>
      <c r="M196" t="n">
        <v>0</v>
      </c>
      <c r="N196" t="n">
        <v>0</v>
      </c>
      <c r="O196" t="n">
        <v>0</v>
      </c>
      <c r="P196" t="n">
        <v>0</v>
      </c>
      <c r="Q196" t="n">
        <v>1</v>
      </c>
      <c r="R196" s="2" t="inlineStr">
        <is>
          <t>Mindre märgborre</t>
        </is>
      </c>
      <c r="S196">
        <f>HYPERLINK("https://klasma.github.io/Logging_0380/artfynd/A 5624-2025 artfynd.xlsx", "A 5624-2025")</f>
        <v/>
      </c>
      <c r="T196">
        <f>HYPERLINK("https://klasma.github.io/Logging_0380/kartor/A 5624-2025 karta.png", "A 5624-2025")</f>
        <v/>
      </c>
      <c r="V196">
        <f>HYPERLINK("https://klasma.github.io/Logging_0380/klagomål/A 5624-2025 FSC-klagomål.docx", "A 5624-2025")</f>
        <v/>
      </c>
      <c r="W196">
        <f>HYPERLINK("https://klasma.github.io/Logging_0380/klagomålsmail/A 5624-2025 FSC-klagomål mail.docx", "A 5624-2025")</f>
        <v/>
      </c>
      <c r="X196">
        <f>HYPERLINK("https://klasma.github.io/Logging_0380/tillsyn/A 5624-2025 tillsynsbegäran.docx", "A 5624-2025")</f>
        <v/>
      </c>
      <c r="Y196">
        <f>HYPERLINK("https://klasma.github.io/Logging_0380/tillsynsmail/A 5624-2025 tillsynsbegäran mail.docx", "A 5624-2025")</f>
        <v/>
      </c>
    </row>
    <row r="197" ht="15" customHeight="1">
      <c r="A197" t="inlineStr">
        <is>
          <t>A 5732-2025</t>
        </is>
      </c>
      <c r="B197" s="1" t="n">
        <v>45694</v>
      </c>
      <c r="C197" s="1" t="n">
        <v>45724</v>
      </c>
      <c r="D197" t="inlineStr">
        <is>
          <t>UPPSALA LÄN</t>
        </is>
      </c>
      <c r="E197" t="inlineStr">
        <is>
          <t>UPPSALA</t>
        </is>
      </c>
      <c r="G197" t="n">
        <v>1.9</v>
      </c>
      <c r="H197" t="n">
        <v>0</v>
      </c>
      <c r="I197" t="n">
        <v>1</v>
      </c>
      <c r="J197" t="n">
        <v>0</v>
      </c>
      <c r="K197" t="n">
        <v>0</v>
      </c>
      <c r="L197" t="n">
        <v>0</v>
      </c>
      <c r="M197" t="n">
        <v>0</v>
      </c>
      <c r="N197" t="n">
        <v>0</v>
      </c>
      <c r="O197" t="n">
        <v>0</v>
      </c>
      <c r="P197" t="n">
        <v>0</v>
      </c>
      <c r="Q197" t="n">
        <v>1</v>
      </c>
      <c r="R197" s="2" t="inlineStr">
        <is>
          <t>Fällmossa</t>
        </is>
      </c>
      <c r="S197">
        <f>HYPERLINK("https://klasma.github.io/Logging_0380/artfynd/A 5732-2025 artfynd.xlsx", "A 5732-2025")</f>
        <v/>
      </c>
      <c r="T197">
        <f>HYPERLINK("https://klasma.github.io/Logging_0380/kartor/A 5732-2025 karta.png", "A 5732-2025")</f>
        <v/>
      </c>
      <c r="V197">
        <f>HYPERLINK("https://klasma.github.io/Logging_0380/klagomål/A 5732-2025 FSC-klagomål.docx", "A 5732-2025")</f>
        <v/>
      </c>
      <c r="W197">
        <f>HYPERLINK("https://klasma.github.io/Logging_0380/klagomålsmail/A 5732-2025 FSC-klagomål mail.docx", "A 5732-2025")</f>
        <v/>
      </c>
      <c r="X197">
        <f>HYPERLINK("https://klasma.github.io/Logging_0380/tillsyn/A 5732-2025 tillsynsbegäran.docx", "A 5732-2025")</f>
        <v/>
      </c>
      <c r="Y197">
        <f>HYPERLINK("https://klasma.github.io/Logging_0380/tillsynsmail/A 5732-2025 tillsynsbegäran mail.docx", "A 5732-2025")</f>
        <v/>
      </c>
    </row>
    <row r="198" ht="15" customHeight="1">
      <c r="A198" t="inlineStr">
        <is>
          <t>A 17828-2019</t>
        </is>
      </c>
      <c r="B198" s="1" t="n">
        <v>43556</v>
      </c>
      <c r="C198" s="1" t="n">
        <v>45724</v>
      </c>
      <c r="D198" t="inlineStr">
        <is>
          <t>UPPSALA LÄN</t>
        </is>
      </c>
      <c r="E198" t="inlineStr">
        <is>
          <t>UPPSALA</t>
        </is>
      </c>
      <c r="G198" t="n">
        <v>2.8</v>
      </c>
      <c r="H198" t="n">
        <v>0</v>
      </c>
      <c r="I198" t="n">
        <v>0</v>
      </c>
      <c r="J198" t="n">
        <v>0</v>
      </c>
      <c r="K198" t="n">
        <v>0</v>
      </c>
      <c r="L198" t="n">
        <v>0</v>
      </c>
      <c r="M198" t="n">
        <v>0</v>
      </c>
      <c r="N198" t="n">
        <v>0</v>
      </c>
      <c r="O198" t="n">
        <v>0</v>
      </c>
      <c r="P198" t="n">
        <v>0</v>
      </c>
      <c r="Q198" t="n">
        <v>0</v>
      </c>
      <c r="R198" s="2" t="inlineStr"/>
    </row>
    <row r="199" ht="15" customHeight="1">
      <c r="A199" t="inlineStr">
        <is>
          <t>A 18446-2019</t>
        </is>
      </c>
      <c r="B199" s="1" t="n">
        <v>43559</v>
      </c>
      <c r="C199" s="1" t="n">
        <v>45724</v>
      </c>
      <c r="D199" t="inlineStr">
        <is>
          <t>UPPSALA LÄN</t>
        </is>
      </c>
      <c r="E199" t="inlineStr">
        <is>
          <t>UPPSALA</t>
        </is>
      </c>
      <c r="G199" t="n">
        <v>9.1</v>
      </c>
      <c r="H199" t="n">
        <v>0</v>
      </c>
      <c r="I199" t="n">
        <v>0</v>
      </c>
      <c r="J199" t="n">
        <v>0</v>
      </c>
      <c r="K199" t="n">
        <v>0</v>
      </c>
      <c r="L199" t="n">
        <v>0</v>
      </c>
      <c r="M199" t="n">
        <v>0</v>
      </c>
      <c r="N199" t="n">
        <v>0</v>
      </c>
      <c r="O199" t="n">
        <v>0</v>
      </c>
      <c r="P199" t="n">
        <v>0</v>
      </c>
      <c r="Q199" t="n">
        <v>0</v>
      </c>
      <c r="R199" s="2" t="inlineStr"/>
    </row>
    <row r="200" ht="15" customHeight="1">
      <c r="A200" t="inlineStr">
        <is>
          <t>A 18554-2019</t>
        </is>
      </c>
      <c r="B200" s="1" t="n">
        <v>43559</v>
      </c>
      <c r="C200" s="1" t="n">
        <v>45724</v>
      </c>
      <c r="D200" t="inlineStr">
        <is>
          <t>UPPSALA LÄN</t>
        </is>
      </c>
      <c r="E200" t="inlineStr">
        <is>
          <t>UPPSALA</t>
        </is>
      </c>
      <c r="G200" t="n">
        <v>5.6</v>
      </c>
      <c r="H200" t="n">
        <v>0</v>
      </c>
      <c r="I200" t="n">
        <v>0</v>
      </c>
      <c r="J200" t="n">
        <v>0</v>
      </c>
      <c r="K200" t="n">
        <v>0</v>
      </c>
      <c r="L200" t="n">
        <v>0</v>
      </c>
      <c r="M200" t="n">
        <v>0</v>
      </c>
      <c r="N200" t="n">
        <v>0</v>
      </c>
      <c r="O200" t="n">
        <v>0</v>
      </c>
      <c r="P200" t="n">
        <v>0</v>
      </c>
      <c r="Q200" t="n">
        <v>0</v>
      </c>
      <c r="R200" s="2" t="inlineStr"/>
    </row>
    <row r="201" ht="15" customHeight="1">
      <c r="A201" t="inlineStr">
        <is>
          <t>A 18810-2019</t>
        </is>
      </c>
      <c r="B201" s="1" t="n">
        <v>43560</v>
      </c>
      <c r="C201" s="1" t="n">
        <v>45724</v>
      </c>
      <c r="D201" t="inlineStr">
        <is>
          <t>UPPSALA LÄN</t>
        </is>
      </c>
      <c r="E201" t="inlineStr">
        <is>
          <t>UPPSALA</t>
        </is>
      </c>
      <c r="G201" t="n">
        <v>4</v>
      </c>
      <c r="H201" t="n">
        <v>0</v>
      </c>
      <c r="I201" t="n">
        <v>0</v>
      </c>
      <c r="J201" t="n">
        <v>0</v>
      </c>
      <c r="K201" t="n">
        <v>0</v>
      </c>
      <c r="L201" t="n">
        <v>0</v>
      </c>
      <c r="M201" t="n">
        <v>0</v>
      </c>
      <c r="N201" t="n">
        <v>0</v>
      </c>
      <c r="O201" t="n">
        <v>0</v>
      </c>
      <c r="P201" t="n">
        <v>0</v>
      </c>
      <c r="Q201" t="n">
        <v>0</v>
      </c>
      <c r="R201" s="2" t="inlineStr"/>
    </row>
    <row r="202" ht="15" customHeight="1">
      <c r="A202" t="inlineStr">
        <is>
          <t>A 20011-2019</t>
        </is>
      </c>
      <c r="B202" s="1" t="n">
        <v>43570</v>
      </c>
      <c r="C202" s="1" t="n">
        <v>45724</v>
      </c>
      <c r="D202" t="inlineStr">
        <is>
          <t>UPPSALA LÄN</t>
        </is>
      </c>
      <c r="E202" t="inlineStr">
        <is>
          <t>UPPSALA</t>
        </is>
      </c>
      <c r="G202" t="n">
        <v>6.3</v>
      </c>
      <c r="H202" t="n">
        <v>0</v>
      </c>
      <c r="I202" t="n">
        <v>0</v>
      </c>
      <c r="J202" t="n">
        <v>0</v>
      </c>
      <c r="K202" t="n">
        <v>0</v>
      </c>
      <c r="L202" t="n">
        <v>0</v>
      </c>
      <c r="M202" t="n">
        <v>0</v>
      </c>
      <c r="N202" t="n">
        <v>0</v>
      </c>
      <c r="O202" t="n">
        <v>0</v>
      </c>
      <c r="P202" t="n">
        <v>0</v>
      </c>
      <c r="Q202" t="n">
        <v>0</v>
      </c>
      <c r="R202" s="2" t="inlineStr"/>
    </row>
    <row r="203" ht="15" customHeight="1">
      <c r="A203" t="inlineStr">
        <is>
          <t>A 21087-2019</t>
        </is>
      </c>
      <c r="B203" s="1" t="n">
        <v>43578</v>
      </c>
      <c r="C203" s="1" t="n">
        <v>45724</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21082-2019</t>
        </is>
      </c>
      <c r="B204" s="1" t="n">
        <v>43578</v>
      </c>
      <c r="C204" s="1" t="n">
        <v>45724</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22153-2019</t>
        </is>
      </c>
      <c r="B205" s="1" t="n">
        <v>43585</v>
      </c>
      <c r="C205" s="1" t="n">
        <v>45724</v>
      </c>
      <c r="D205" t="inlineStr">
        <is>
          <t>UPPSALA LÄN</t>
        </is>
      </c>
      <c r="E205" t="inlineStr">
        <is>
          <t>UPPSALA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23042-2019</t>
        </is>
      </c>
      <c r="B206" s="1" t="n">
        <v>43591</v>
      </c>
      <c r="C206" s="1" t="n">
        <v>45724</v>
      </c>
      <c r="D206" t="inlineStr">
        <is>
          <t>UPPSALA LÄN</t>
        </is>
      </c>
      <c r="E206" t="inlineStr">
        <is>
          <t>UPPSALA</t>
        </is>
      </c>
      <c r="G206" t="n">
        <v>2.7</v>
      </c>
      <c r="H206" t="n">
        <v>0</v>
      </c>
      <c r="I206" t="n">
        <v>0</v>
      </c>
      <c r="J206" t="n">
        <v>0</v>
      </c>
      <c r="K206" t="n">
        <v>0</v>
      </c>
      <c r="L206" t="n">
        <v>0</v>
      </c>
      <c r="M206" t="n">
        <v>0</v>
      </c>
      <c r="N206" t="n">
        <v>0</v>
      </c>
      <c r="O206" t="n">
        <v>0</v>
      </c>
      <c r="P206" t="n">
        <v>0</v>
      </c>
      <c r="Q206" t="n">
        <v>0</v>
      </c>
      <c r="R206" s="2" t="inlineStr"/>
    </row>
    <row r="207" ht="15" customHeight="1">
      <c r="A207" t="inlineStr">
        <is>
          <t>A 23262-2019</t>
        </is>
      </c>
      <c r="B207" s="1" t="n">
        <v>43592</v>
      </c>
      <c r="C207" s="1" t="n">
        <v>45724</v>
      </c>
      <c r="D207" t="inlineStr">
        <is>
          <t>UPPSALA LÄN</t>
        </is>
      </c>
      <c r="E207" t="inlineStr">
        <is>
          <t>UPPSALA</t>
        </is>
      </c>
      <c r="F207" t="inlineStr">
        <is>
          <t>Kyrkan</t>
        </is>
      </c>
      <c r="G207" t="n">
        <v>7.6</v>
      </c>
      <c r="H207" t="n">
        <v>0</v>
      </c>
      <c r="I207" t="n">
        <v>0</v>
      </c>
      <c r="J207" t="n">
        <v>0</v>
      </c>
      <c r="K207" t="n">
        <v>0</v>
      </c>
      <c r="L207" t="n">
        <v>0</v>
      </c>
      <c r="M207" t="n">
        <v>0</v>
      </c>
      <c r="N207" t="n">
        <v>0</v>
      </c>
      <c r="O207" t="n">
        <v>0</v>
      </c>
      <c r="P207" t="n">
        <v>0</v>
      </c>
      <c r="Q207" t="n">
        <v>0</v>
      </c>
      <c r="R207" s="2" t="inlineStr"/>
    </row>
    <row r="208" ht="15" customHeight="1">
      <c r="A208" t="inlineStr">
        <is>
          <t>A 24998-2019</t>
        </is>
      </c>
      <c r="B208" s="1" t="n">
        <v>43600</v>
      </c>
      <c r="C208" s="1" t="n">
        <v>45724</v>
      </c>
      <c r="D208" t="inlineStr">
        <is>
          <t>UPPSALA LÄN</t>
        </is>
      </c>
      <c r="E208" t="inlineStr">
        <is>
          <t>UPPSALA</t>
        </is>
      </c>
      <c r="G208" t="n">
        <v>0.9</v>
      </c>
      <c r="H208" t="n">
        <v>0</v>
      </c>
      <c r="I208" t="n">
        <v>0</v>
      </c>
      <c r="J208" t="n">
        <v>0</v>
      </c>
      <c r="K208" t="n">
        <v>0</v>
      </c>
      <c r="L208" t="n">
        <v>0</v>
      </c>
      <c r="M208" t="n">
        <v>0</v>
      </c>
      <c r="N208" t="n">
        <v>0</v>
      </c>
      <c r="O208" t="n">
        <v>0</v>
      </c>
      <c r="P208" t="n">
        <v>0</v>
      </c>
      <c r="Q208" t="n">
        <v>0</v>
      </c>
      <c r="R208" s="2" t="inlineStr"/>
    </row>
    <row r="209" ht="15" customHeight="1">
      <c r="A209" t="inlineStr">
        <is>
          <t>A 25164-2019</t>
        </is>
      </c>
      <c r="B209" s="1" t="n">
        <v>43605</v>
      </c>
      <c r="C209" s="1" t="n">
        <v>45724</v>
      </c>
      <c r="D209" t="inlineStr">
        <is>
          <t>UPPSALA LÄN</t>
        </is>
      </c>
      <c r="E209" t="inlineStr">
        <is>
          <t>UPPSALA</t>
        </is>
      </c>
      <c r="G209" t="n">
        <v>1.6</v>
      </c>
      <c r="H209" t="n">
        <v>0</v>
      </c>
      <c r="I209" t="n">
        <v>0</v>
      </c>
      <c r="J209" t="n">
        <v>0</v>
      </c>
      <c r="K209" t="n">
        <v>0</v>
      </c>
      <c r="L209" t="n">
        <v>0</v>
      </c>
      <c r="M209" t="n">
        <v>0</v>
      </c>
      <c r="N209" t="n">
        <v>0</v>
      </c>
      <c r="O209" t="n">
        <v>0</v>
      </c>
      <c r="P209" t="n">
        <v>0</v>
      </c>
      <c r="Q209" t="n">
        <v>0</v>
      </c>
      <c r="R209" s="2" t="inlineStr"/>
    </row>
    <row r="210" ht="15" customHeight="1">
      <c r="A210" t="inlineStr">
        <is>
          <t>A 25157-2019</t>
        </is>
      </c>
      <c r="B210" s="1" t="n">
        <v>43605</v>
      </c>
      <c r="C210" s="1" t="n">
        <v>45724</v>
      </c>
      <c r="D210" t="inlineStr">
        <is>
          <t>UPPSALA LÄN</t>
        </is>
      </c>
      <c r="E210" t="inlineStr">
        <is>
          <t>UPPSALA</t>
        </is>
      </c>
      <c r="G210" t="n">
        <v>3</v>
      </c>
      <c r="H210" t="n">
        <v>0</v>
      </c>
      <c r="I210" t="n">
        <v>0</v>
      </c>
      <c r="J210" t="n">
        <v>0</v>
      </c>
      <c r="K210" t="n">
        <v>0</v>
      </c>
      <c r="L210" t="n">
        <v>0</v>
      </c>
      <c r="M210" t="n">
        <v>0</v>
      </c>
      <c r="N210" t="n">
        <v>0</v>
      </c>
      <c r="O210" t="n">
        <v>0</v>
      </c>
      <c r="P210" t="n">
        <v>0</v>
      </c>
      <c r="Q210" t="n">
        <v>0</v>
      </c>
      <c r="R210" s="2" t="inlineStr"/>
    </row>
    <row r="211" ht="15" customHeight="1">
      <c r="A211" t="inlineStr">
        <is>
          <t>A 25667-2019</t>
        </is>
      </c>
      <c r="B211" s="1" t="n">
        <v>43607</v>
      </c>
      <c r="C211" s="1" t="n">
        <v>45724</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29105-2019</t>
        </is>
      </c>
      <c r="B212" s="1" t="n">
        <v>43628</v>
      </c>
      <c r="C212" s="1" t="n">
        <v>45724</v>
      </c>
      <c r="D212" t="inlineStr">
        <is>
          <t>UPPSALA LÄN</t>
        </is>
      </c>
      <c r="E212" t="inlineStr">
        <is>
          <t>UPPSALA</t>
        </is>
      </c>
      <c r="G212" t="n">
        <v>2.1</v>
      </c>
      <c r="H212" t="n">
        <v>0</v>
      </c>
      <c r="I212" t="n">
        <v>0</v>
      </c>
      <c r="J212" t="n">
        <v>0</v>
      </c>
      <c r="K212" t="n">
        <v>0</v>
      </c>
      <c r="L212" t="n">
        <v>0</v>
      </c>
      <c r="M212" t="n">
        <v>0</v>
      </c>
      <c r="N212" t="n">
        <v>0</v>
      </c>
      <c r="O212" t="n">
        <v>0</v>
      </c>
      <c r="P212" t="n">
        <v>0</v>
      </c>
      <c r="Q212" t="n">
        <v>0</v>
      </c>
      <c r="R212" s="2" t="inlineStr"/>
    </row>
    <row r="213" ht="15" customHeight="1">
      <c r="A213" t="inlineStr">
        <is>
          <t>A 29183-2019</t>
        </is>
      </c>
      <c r="B213" s="1" t="n">
        <v>43628</v>
      </c>
      <c r="C213" s="1" t="n">
        <v>45724</v>
      </c>
      <c r="D213" t="inlineStr">
        <is>
          <t>UPPSALA LÄN</t>
        </is>
      </c>
      <c r="E213" t="inlineStr">
        <is>
          <t>UPPSALA</t>
        </is>
      </c>
      <c r="F213" t="inlineStr">
        <is>
          <t>Allmännings- och besparingsskogar</t>
        </is>
      </c>
      <c r="G213" t="n">
        <v>6.3</v>
      </c>
      <c r="H213" t="n">
        <v>0</v>
      </c>
      <c r="I213" t="n">
        <v>0</v>
      </c>
      <c r="J213" t="n">
        <v>0</v>
      </c>
      <c r="K213" t="n">
        <v>0</v>
      </c>
      <c r="L213" t="n">
        <v>0</v>
      </c>
      <c r="M213" t="n">
        <v>0</v>
      </c>
      <c r="N213" t="n">
        <v>0</v>
      </c>
      <c r="O213" t="n">
        <v>0</v>
      </c>
      <c r="P213" t="n">
        <v>0</v>
      </c>
      <c r="Q213" t="n">
        <v>0</v>
      </c>
      <c r="R213" s="2" t="inlineStr"/>
    </row>
    <row r="214" ht="15" customHeight="1">
      <c r="A214" t="inlineStr">
        <is>
          <t>A 29081-2019</t>
        </is>
      </c>
      <c r="B214" s="1" t="n">
        <v>43628</v>
      </c>
      <c r="C214" s="1" t="n">
        <v>45724</v>
      </c>
      <c r="D214" t="inlineStr">
        <is>
          <t>UPPSALA LÄN</t>
        </is>
      </c>
      <c r="E214" t="inlineStr">
        <is>
          <t>UPPSALA</t>
        </is>
      </c>
      <c r="G214" t="n">
        <v>8.4</v>
      </c>
      <c r="H214" t="n">
        <v>0</v>
      </c>
      <c r="I214" t="n">
        <v>0</v>
      </c>
      <c r="J214" t="n">
        <v>0</v>
      </c>
      <c r="K214" t="n">
        <v>0</v>
      </c>
      <c r="L214" t="n">
        <v>0</v>
      </c>
      <c r="M214" t="n">
        <v>0</v>
      </c>
      <c r="N214" t="n">
        <v>0</v>
      </c>
      <c r="O214" t="n">
        <v>0</v>
      </c>
      <c r="P214" t="n">
        <v>0</v>
      </c>
      <c r="Q214" t="n">
        <v>0</v>
      </c>
      <c r="R214" s="2" t="inlineStr"/>
    </row>
    <row r="215" ht="15" customHeight="1">
      <c r="A215" t="inlineStr">
        <is>
          <t>A 29719-2019</t>
        </is>
      </c>
      <c r="B215" s="1" t="n">
        <v>43630</v>
      </c>
      <c r="C215" s="1" t="n">
        <v>45724</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29713-2019</t>
        </is>
      </c>
      <c r="B216" s="1" t="n">
        <v>43630</v>
      </c>
      <c r="C216" s="1" t="n">
        <v>45724</v>
      </c>
      <c r="D216" t="inlineStr">
        <is>
          <t>UPPSALA LÄN</t>
        </is>
      </c>
      <c r="E216" t="inlineStr">
        <is>
          <t>UPPSALA</t>
        </is>
      </c>
      <c r="G216" t="n">
        <v>1</v>
      </c>
      <c r="H216" t="n">
        <v>0</v>
      </c>
      <c r="I216" t="n">
        <v>0</v>
      </c>
      <c r="J216" t="n">
        <v>0</v>
      </c>
      <c r="K216" t="n">
        <v>0</v>
      </c>
      <c r="L216" t="n">
        <v>0</v>
      </c>
      <c r="M216" t="n">
        <v>0</v>
      </c>
      <c r="N216" t="n">
        <v>0</v>
      </c>
      <c r="O216" t="n">
        <v>0</v>
      </c>
      <c r="P216" t="n">
        <v>0</v>
      </c>
      <c r="Q216" t="n">
        <v>0</v>
      </c>
      <c r="R216" s="2" t="inlineStr"/>
    </row>
    <row r="217" ht="15" customHeight="1">
      <c r="A217" t="inlineStr">
        <is>
          <t>A 32558-2019</t>
        </is>
      </c>
      <c r="B217" s="1" t="n">
        <v>43647</v>
      </c>
      <c r="C217" s="1" t="n">
        <v>45724</v>
      </c>
      <c r="D217" t="inlineStr">
        <is>
          <t>UPPSALA LÄN</t>
        </is>
      </c>
      <c r="E217" t="inlineStr">
        <is>
          <t>UPPSALA</t>
        </is>
      </c>
      <c r="G217" t="n">
        <v>4.2</v>
      </c>
      <c r="H217" t="n">
        <v>0</v>
      </c>
      <c r="I217" t="n">
        <v>0</v>
      </c>
      <c r="J217" t="n">
        <v>0</v>
      </c>
      <c r="K217" t="n">
        <v>0</v>
      </c>
      <c r="L217" t="n">
        <v>0</v>
      </c>
      <c r="M217" t="n">
        <v>0</v>
      </c>
      <c r="N217" t="n">
        <v>0</v>
      </c>
      <c r="O217" t="n">
        <v>0</v>
      </c>
      <c r="P217" t="n">
        <v>0</v>
      </c>
      <c r="Q217" t="n">
        <v>0</v>
      </c>
      <c r="R217" s="2" t="inlineStr"/>
    </row>
    <row r="218" ht="15" customHeight="1">
      <c r="A218" t="inlineStr">
        <is>
          <t>A 34560-2019</t>
        </is>
      </c>
      <c r="B218" s="1" t="n">
        <v>43647</v>
      </c>
      <c r="C218" s="1" t="n">
        <v>45724</v>
      </c>
      <c r="D218" t="inlineStr">
        <is>
          <t>UPPSALA LÄN</t>
        </is>
      </c>
      <c r="E218" t="inlineStr">
        <is>
          <t>UPPSALA</t>
        </is>
      </c>
      <c r="G218" t="n">
        <v>8.6</v>
      </c>
      <c r="H218" t="n">
        <v>0</v>
      </c>
      <c r="I218" t="n">
        <v>0</v>
      </c>
      <c r="J218" t="n">
        <v>0</v>
      </c>
      <c r="K218" t="n">
        <v>0</v>
      </c>
      <c r="L218" t="n">
        <v>0</v>
      </c>
      <c r="M218" t="n">
        <v>0</v>
      </c>
      <c r="N218" t="n">
        <v>0</v>
      </c>
      <c r="O218" t="n">
        <v>0</v>
      </c>
      <c r="P218" t="n">
        <v>0</v>
      </c>
      <c r="Q218" t="n">
        <v>0</v>
      </c>
      <c r="R218" s="2" t="inlineStr"/>
    </row>
    <row r="219" ht="15" customHeight="1">
      <c r="A219" t="inlineStr">
        <is>
          <t>A 32830-2019</t>
        </is>
      </c>
      <c r="B219" s="1" t="n">
        <v>43648</v>
      </c>
      <c r="C219" s="1" t="n">
        <v>45724</v>
      </c>
      <c r="D219" t="inlineStr">
        <is>
          <t>UPPSALA LÄN</t>
        </is>
      </c>
      <c r="E219" t="inlineStr">
        <is>
          <t>UPPSALA</t>
        </is>
      </c>
      <c r="G219" t="n">
        <v>13.6</v>
      </c>
      <c r="H219" t="n">
        <v>0</v>
      </c>
      <c r="I219" t="n">
        <v>0</v>
      </c>
      <c r="J219" t="n">
        <v>0</v>
      </c>
      <c r="K219" t="n">
        <v>0</v>
      </c>
      <c r="L219" t="n">
        <v>0</v>
      </c>
      <c r="M219" t="n">
        <v>0</v>
      </c>
      <c r="N219" t="n">
        <v>0</v>
      </c>
      <c r="O219" t="n">
        <v>0</v>
      </c>
      <c r="P219" t="n">
        <v>0</v>
      </c>
      <c r="Q219" t="n">
        <v>0</v>
      </c>
      <c r="R219" s="2" t="inlineStr"/>
    </row>
    <row r="220" ht="15" customHeight="1">
      <c r="A220" t="inlineStr">
        <is>
          <t>A 33602-2019</t>
        </is>
      </c>
      <c r="B220" s="1" t="n">
        <v>43651</v>
      </c>
      <c r="C220" s="1" t="n">
        <v>45724</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33614-2019</t>
        </is>
      </c>
      <c r="B221" s="1" t="n">
        <v>43651</v>
      </c>
      <c r="C221" s="1" t="n">
        <v>45724</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33615-2019</t>
        </is>
      </c>
      <c r="B222" s="1" t="n">
        <v>43651</v>
      </c>
      <c r="C222" s="1" t="n">
        <v>45724</v>
      </c>
      <c r="D222" t="inlineStr">
        <is>
          <t>UPPSALA LÄN</t>
        </is>
      </c>
      <c r="E222" t="inlineStr">
        <is>
          <t>UPPSALA</t>
        </is>
      </c>
      <c r="G222" t="n">
        <v>1.4</v>
      </c>
      <c r="H222" t="n">
        <v>0</v>
      </c>
      <c r="I222" t="n">
        <v>0</v>
      </c>
      <c r="J222" t="n">
        <v>0</v>
      </c>
      <c r="K222" t="n">
        <v>0</v>
      </c>
      <c r="L222" t="n">
        <v>0</v>
      </c>
      <c r="M222" t="n">
        <v>0</v>
      </c>
      <c r="N222" t="n">
        <v>0</v>
      </c>
      <c r="O222" t="n">
        <v>0</v>
      </c>
      <c r="P222" t="n">
        <v>0</v>
      </c>
      <c r="Q222" t="n">
        <v>0</v>
      </c>
      <c r="R222" s="2" t="inlineStr"/>
    </row>
    <row r="223" ht="15" customHeight="1">
      <c r="A223" t="inlineStr">
        <is>
          <t>A 33596-2019</t>
        </is>
      </c>
      <c r="B223" s="1" t="n">
        <v>43651</v>
      </c>
      <c r="C223" s="1" t="n">
        <v>45724</v>
      </c>
      <c r="D223" t="inlineStr">
        <is>
          <t>UPPSALA LÄN</t>
        </is>
      </c>
      <c r="E223" t="inlineStr">
        <is>
          <t>UPPSALA</t>
        </is>
      </c>
      <c r="G223" t="n">
        <v>1.3</v>
      </c>
      <c r="H223" t="n">
        <v>0</v>
      </c>
      <c r="I223" t="n">
        <v>0</v>
      </c>
      <c r="J223" t="n">
        <v>0</v>
      </c>
      <c r="K223" t="n">
        <v>0</v>
      </c>
      <c r="L223" t="n">
        <v>0</v>
      </c>
      <c r="M223" t="n">
        <v>0</v>
      </c>
      <c r="N223" t="n">
        <v>0</v>
      </c>
      <c r="O223" t="n">
        <v>0</v>
      </c>
      <c r="P223" t="n">
        <v>0</v>
      </c>
      <c r="Q223" t="n">
        <v>0</v>
      </c>
      <c r="R223" s="2" t="inlineStr"/>
    </row>
    <row r="224" ht="15" customHeight="1">
      <c r="A224" t="inlineStr">
        <is>
          <t>A 34007-2019</t>
        </is>
      </c>
      <c r="B224" s="1" t="n">
        <v>43654</v>
      </c>
      <c r="C224" s="1" t="n">
        <v>45724</v>
      </c>
      <c r="D224" t="inlineStr">
        <is>
          <t>UPPSALA LÄN</t>
        </is>
      </c>
      <c r="E224" t="inlineStr">
        <is>
          <t>UPPSALA</t>
        </is>
      </c>
      <c r="G224" t="n">
        <v>2</v>
      </c>
      <c r="H224" t="n">
        <v>0</v>
      </c>
      <c r="I224" t="n">
        <v>0</v>
      </c>
      <c r="J224" t="n">
        <v>0</v>
      </c>
      <c r="K224" t="n">
        <v>0</v>
      </c>
      <c r="L224" t="n">
        <v>0</v>
      </c>
      <c r="M224" t="n">
        <v>0</v>
      </c>
      <c r="N224" t="n">
        <v>0</v>
      </c>
      <c r="O224" t="n">
        <v>0</v>
      </c>
      <c r="P224" t="n">
        <v>0</v>
      </c>
      <c r="Q224" t="n">
        <v>0</v>
      </c>
      <c r="R224" s="2" t="inlineStr"/>
    </row>
    <row r="225" ht="15" customHeight="1">
      <c r="A225" t="inlineStr">
        <is>
          <t>A 34063-2019</t>
        </is>
      </c>
      <c r="B225" s="1" t="n">
        <v>43654</v>
      </c>
      <c r="C225" s="1" t="n">
        <v>45724</v>
      </c>
      <c r="D225" t="inlineStr">
        <is>
          <t>UPPSALA LÄN</t>
        </is>
      </c>
      <c r="E225" t="inlineStr">
        <is>
          <t>UPPSALA</t>
        </is>
      </c>
      <c r="G225" t="n">
        <v>1.5</v>
      </c>
      <c r="H225" t="n">
        <v>0</v>
      </c>
      <c r="I225" t="n">
        <v>0</v>
      </c>
      <c r="J225" t="n">
        <v>0</v>
      </c>
      <c r="K225" t="n">
        <v>0</v>
      </c>
      <c r="L225" t="n">
        <v>0</v>
      </c>
      <c r="M225" t="n">
        <v>0</v>
      </c>
      <c r="N225" t="n">
        <v>0</v>
      </c>
      <c r="O225" t="n">
        <v>0</v>
      </c>
      <c r="P225" t="n">
        <v>0</v>
      </c>
      <c r="Q225" t="n">
        <v>0</v>
      </c>
      <c r="R225" s="2" t="inlineStr"/>
    </row>
    <row r="226" ht="15" customHeight="1">
      <c r="A226" t="inlineStr">
        <is>
          <t>A 34331-2019</t>
        </is>
      </c>
      <c r="B226" s="1" t="n">
        <v>43656</v>
      </c>
      <c r="C226" s="1" t="n">
        <v>45724</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36345-2019</t>
        </is>
      </c>
      <c r="B227" s="1" t="n">
        <v>43661</v>
      </c>
      <c r="C227" s="1" t="n">
        <v>45724</v>
      </c>
      <c r="D227" t="inlineStr">
        <is>
          <t>UPPSALA LÄN</t>
        </is>
      </c>
      <c r="E227" t="inlineStr">
        <is>
          <t>UPPSALA</t>
        </is>
      </c>
      <c r="G227" t="n">
        <v>5.3</v>
      </c>
      <c r="H227" t="n">
        <v>0</v>
      </c>
      <c r="I227" t="n">
        <v>0</v>
      </c>
      <c r="J227" t="n">
        <v>0</v>
      </c>
      <c r="K227" t="n">
        <v>0</v>
      </c>
      <c r="L227" t="n">
        <v>0</v>
      </c>
      <c r="M227" t="n">
        <v>0</v>
      </c>
      <c r="N227" t="n">
        <v>0</v>
      </c>
      <c r="O227" t="n">
        <v>0</v>
      </c>
      <c r="P227" t="n">
        <v>0</v>
      </c>
      <c r="Q227" t="n">
        <v>0</v>
      </c>
      <c r="R227" s="2" t="inlineStr"/>
    </row>
    <row r="228" ht="15" customHeight="1">
      <c r="A228" t="inlineStr">
        <is>
          <t>A 36394-2019</t>
        </is>
      </c>
      <c r="B228" s="1" t="n">
        <v>43663</v>
      </c>
      <c r="C228" s="1" t="n">
        <v>45724</v>
      </c>
      <c r="D228" t="inlineStr">
        <is>
          <t>UPPSALA LÄN</t>
        </is>
      </c>
      <c r="E228" t="inlineStr">
        <is>
          <t>UPPSALA</t>
        </is>
      </c>
      <c r="G228" t="n">
        <v>2.4</v>
      </c>
      <c r="H228" t="n">
        <v>0</v>
      </c>
      <c r="I228" t="n">
        <v>0</v>
      </c>
      <c r="J228" t="n">
        <v>0</v>
      </c>
      <c r="K228" t="n">
        <v>0</v>
      </c>
      <c r="L228" t="n">
        <v>0</v>
      </c>
      <c r="M228" t="n">
        <v>0</v>
      </c>
      <c r="N228" t="n">
        <v>0</v>
      </c>
      <c r="O228" t="n">
        <v>0</v>
      </c>
      <c r="P228" t="n">
        <v>0</v>
      </c>
      <c r="Q228" t="n">
        <v>0</v>
      </c>
      <c r="R228" s="2" t="inlineStr"/>
    </row>
    <row r="229" ht="15" customHeight="1">
      <c r="A229" t="inlineStr">
        <is>
          <t>A 37234-2019</t>
        </is>
      </c>
      <c r="B229" s="1" t="n">
        <v>43677</v>
      </c>
      <c r="C229" s="1" t="n">
        <v>45724</v>
      </c>
      <c r="D229" t="inlineStr">
        <is>
          <t>UPPSALA LÄN</t>
        </is>
      </c>
      <c r="E229" t="inlineStr">
        <is>
          <t>UPPSALA</t>
        </is>
      </c>
      <c r="G229" t="n">
        <v>3.2</v>
      </c>
      <c r="H229" t="n">
        <v>0</v>
      </c>
      <c r="I229" t="n">
        <v>0</v>
      </c>
      <c r="J229" t="n">
        <v>0</v>
      </c>
      <c r="K229" t="n">
        <v>0</v>
      </c>
      <c r="L229" t="n">
        <v>0</v>
      </c>
      <c r="M229" t="n">
        <v>0</v>
      </c>
      <c r="N229" t="n">
        <v>0</v>
      </c>
      <c r="O229" t="n">
        <v>0</v>
      </c>
      <c r="P229" t="n">
        <v>0</v>
      </c>
      <c r="Q229" t="n">
        <v>0</v>
      </c>
      <c r="R229" s="2" t="inlineStr"/>
    </row>
    <row r="230" ht="15" customHeight="1">
      <c r="A230" t="inlineStr">
        <is>
          <t>A 37711-2019</t>
        </is>
      </c>
      <c r="B230" s="1" t="n">
        <v>43682</v>
      </c>
      <c r="C230" s="1" t="n">
        <v>45724</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38684-2019</t>
        </is>
      </c>
      <c r="B231" s="1" t="n">
        <v>43686</v>
      </c>
      <c r="C231" s="1" t="n">
        <v>45724</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40151-2019</t>
        </is>
      </c>
      <c r="B232" s="1" t="n">
        <v>43693</v>
      </c>
      <c r="C232" s="1" t="n">
        <v>45724</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41609-2019</t>
        </is>
      </c>
      <c r="B233" s="1" t="n">
        <v>43696</v>
      </c>
      <c r="C233" s="1" t="n">
        <v>45724</v>
      </c>
      <c r="D233" t="inlineStr">
        <is>
          <t>UPPSALA LÄN</t>
        </is>
      </c>
      <c r="E233" t="inlineStr">
        <is>
          <t>UPPSALA</t>
        </is>
      </c>
      <c r="F233" t="inlineStr">
        <is>
          <t>Övriga Aktiebolag</t>
        </is>
      </c>
      <c r="G233" t="n">
        <v>1.7</v>
      </c>
      <c r="H233" t="n">
        <v>0</v>
      </c>
      <c r="I233" t="n">
        <v>0</v>
      </c>
      <c r="J233" t="n">
        <v>0</v>
      </c>
      <c r="K233" t="n">
        <v>0</v>
      </c>
      <c r="L233" t="n">
        <v>0</v>
      </c>
      <c r="M233" t="n">
        <v>0</v>
      </c>
      <c r="N233" t="n">
        <v>0</v>
      </c>
      <c r="O233" t="n">
        <v>0</v>
      </c>
      <c r="P233" t="n">
        <v>0</v>
      </c>
      <c r="Q233" t="n">
        <v>0</v>
      </c>
      <c r="R233" s="2" t="inlineStr"/>
    </row>
    <row r="234" ht="15" customHeight="1">
      <c r="A234" t="inlineStr">
        <is>
          <t>A 41653-2019</t>
        </is>
      </c>
      <c r="B234" s="1" t="n">
        <v>43696</v>
      </c>
      <c r="C234" s="1" t="n">
        <v>45724</v>
      </c>
      <c r="D234" t="inlineStr">
        <is>
          <t>UPPSALA LÄN</t>
        </is>
      </c>
      <c r="E234" t="inlineStr">
        <is>
          <t>UPPSALA</t>
        </is>
      </c>
      <c r="G234" t="n">
        <v>5.2</v>
      </c>
      <c r="H234" t="n">
        <v>0</v>
      </c>
      <c r="I234" t="n">
        <v>0</v>
      </c>
      <c r="J234" t="n">
        <v>0</v>
      </c>
      <c r="K234" t="n">
        <v>0</v>
      </c>
      <c r="L234" t="n">
        <v>0</v>
      </c>
      <c r="M234" t="n">
        <v>0</v>
      </c>
      <c r="N234" t="n">
        <v>0</v>
      </c>
      <c r="O234" t="n">
        <v>0</v>
      </c>
      <c r="P234" t="n">
        <v>0</v>
      </c>
      <c r="Q234" t="n">
        <v>0</v>
      </c>
      <c r="R234" s="2" t="inlineStr"/>
    </row>
    <row r="235" ht="15" customHeight="1">
      <c r="A235" t="inlineStr">
        <is>
          <t>A 41524-2019</t>
        </is>
      </c>
      <c r="B235" s="1" t="n">
        <v>43699</v>
      </c>
      <c r="C235" s="1" t="n">
        <v>45724</v>
      </c>
      <c r="D235" t="inlineStr">
        <is>
          <t>UPPSALA LÄN</t>
        </is>
      </c>
      <c r="E235" t="inlineStr">
        <is>
          <t>UPPSALA</t>
        </is>
      </c>
      <c r="G235" t="n">
        <v>2.4</v>
      </c>
      <c r="H235" t="n">
        <v>0</v>
      </c>
      <c r="I235" t="n">
        <v>0</v>
      </c>
      <c r="J235" t="n">
        <v>0</v>
      </c>
      <c r="K235" t="n">
        <v>0</v>
      </c>
      <c r="L235" t="n">
        <v>0</v>
      </c>
      <c r="M235" t="n">
        <v>0</v>
      </c>
      <c r="N235" t="n">
        <v>0</v>
      </c>
      <c r="O235" t="n">
        <v>0</v>
      </c>
      <c r="P235" t="n">
        <v>0</v>
      </c>
      <c r="Q235" t="n">
        <v>0</v>
      </c>
      <c r="R235" s="2" t="inlineStr"/>
    </row>
    <row r="236" ht="15" customHeight="1">
      <c r="A236" t="inlineStr">
        <is>
          <t>A 41535-2019</t>
        </is>
      </c>
      <c r="B236" s="1" t="n">
        <v>43699</v>
      </c>
      <c r="C236" s="1" t="n">
        <v>45724</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41695-2019</t>
        </is>
      </c>
      <c r="B237" s="1" t="n">
        <v>43699</v>
      </c>
      <c r="C237" s="1" t="n">
        <v>45724</v>
      </c>
      <c r="D237" t="inlineStr">
        <is>
          <t>UPPSALA LÄN</t>
        </is>
      </c>
      <c r="E237" t="inlineStr">
        <is>
          <t>UPPSALA</t>
        </is>
      </c>
      <c r="G237" t="n">
        <v>3.1</v>
      </c>
      <c r="H237" t="n">
        <v>0</v>
      </c>
      <c r="I237" t="n">
        <v>0</v>
      </c>
      <c r="J237" t="n">
        <v>0</v>
      </c>
      <c r="K237" t="n">
        <v>0</v>
      </c>
      <c r="L237" t="n">
        <v>0</v>
      </c>
      <c r="M237" t="n">
        <v>0</v>
      </c>
      <c r="N237" t="n">
        <v>0</v>
      </c>
      <c r="O237" t="n">
        <v>0</v>
      </c>
      <c r="P237" t="n">
        <v>0</v>
      </c>
      <c r="Q237" t="n">
        <v>0</v>
      </c>
      <c r="R237" s="2" t="inlineStr"/>
    </row>
    <row r="238" ht="15" customHeight="1">
      <c r="A238" t="inlineStr">
        <is>
          <t>A 42111-2019</t>
        </is>
      </c>
      <c r="B238" s="1" t="n">
        <v>43703</v>
      </c>
      <c r="C238" s="1" t="n">
        <v>45724</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42986-2019</t>
        </is>
      </c>
      <c r="B239" s="1" t="n">
        <v>43705</v>
      </c>
      <c r="C239" s="1" t="n">
        <v>45724</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43222-2019</t>
        </is>
      </c>
      <c r="B240" s="1" t="n">
        <v>43706</v>
      </c>
      <c r="C240" s="1" t="n">
        <v>45724</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43410-2019</t>
        </is>
      </c>
      <c r="B241" s="1" t="n">
        <v>43706</v>
      </c>
      <c r="C241" s="1" t="n">
        <v>45724</v>
      </c>
      <c r="D241" t="inlineStr">
        <is>
          <t>UPPSALA LÄN</t>
        </is>
      </c>
      <c r="E241" t="inlineStr">
        <is>
          <t>UPPSALA</t>
        </is>
      </c>
      <c r="F241" t="inlineStr">
        <is>
          <t>Övriga statliga verk och myndigheter</t>
        </is>
      </c>
      <c r="G241" t="n">
        <v>8.6</v>
      </c>
      <c r="H241" t="n">
        <v>0</v>
      </c>
      <c r="I241" t="n">
        <v>0</v>
      </c>
      <c r="J241" t="n">
        <v>0</v>
      </c>
      <c r="K241" t="n">
        <v>0</v>
      </c>
      <c r="L241" t="n">
        <v>0</v>
      </c>
      <c r="M241" t="n">
        <v>0</v>
      </c>
      <c r="N241" t="n">
        <v>0</v>
      </c>
      <c r="O241" t="n">
        <v>0</v>
      </c>
      <c r="P241" t="n">
        <v>0</v>
      </c>
      <c r="Q241" t="n">
        <v>0</v>
      </c>
      <c r="R241" s="2" t="inlineStr"/>
    </row>
    <row r="242" ht="15" customHeight="1">
      <c r="A242" t="inlineStr">
        <is>
          <t>A 43715-2019</t>
        </is>
      </c>
      <c r="B242" s="1" t="n">
        <v>43706</v>
      </c>
      <c r="C242" s="1" t="n">
        <v>45724</v>
      </c>
      <c r="D242" t="inlineStr">
        <is>
          <t>UPPSALA LÄN</t>
        </is>
      </c>
      <c r="E242" t="inlineStr">
        <is>
          <t>UPPSALA</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43224-2019</t>
        </is>
      </c>
      <c r="B243" s="1" t="n">
        <v>43706</v>
      </c>
      <c r="C243" s="1" t="n">
        <v>45724</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43435-2019</t>
        </is>
      </c>
      <c r="B244" s="1" t="n">
        <v>43706</v>
      </c>
      <c r="C244" s="1" t="n">
        <v>45724</v>
      </c>
      <c r="D244" t="inlineStr">
        <is>
          <t>UPPSALA LÄN</t>
        </is>
      </c>
      <c r="E244" t="inlineStr">
        <is>
          <t>UPPSALA</t>
        </is>
      </c>
      <c r="G244" t="n">
        <v>5.4</v>
      </c>
      <c r="H244" t="n">
        <v>0</v>
      </c>
      <c r="I244" t="n">
        <v>0</v>
      </c>
      <c r="J244" t="n">
        <v>0</v>
      </c>
      <c r="K244" t="n">
        <v>0</v>
      </c>
      <c r="L244" t="n">
        <v>0</v>
      </c>
      <c r="M244" t="n">
        <v>0</v>
      </c>
      <c r="N244" t="n">
        <v>0</v>
      </c>
      <c r="O244" t="n">
        <v>0</v>
      </c>
      <c r="P244" t="n">
        <v>0</v>
      </c>
      <c r="Q244" t="n">
        <v>0</v>
      </c>
      <c r="R244" s="2" t="inlineStr"/>
    </row>
    <row r="245" ht="15" customHeight="1">
      <c r="A245" t="inlineStr">
        <is>
          <t>A 43722-2019</t>
        </is>
      </c>
      <c r="B245" s="1" t="n">
        <v>43706</v>
      </c>
      <c r="C245" s="1" t="n">
        <v>45724</v>
      </c>
      <c r="D245" t="inlineStr">
        <is>
          <t>UPPSALA LÄN</t>
        </is>
      </c>
      <c r="E245" t="inlineStr">
        <is>
          <t>UPPSALA</t>
        </is>
      </c>
      <c r="F245" t="inlineStr">
        <is>
          <t>Övriga statliga verk och myndigheter</t>
        </is>
      </c>
      <c r="G245" t="n">
        <v>0.6</v>
      </c>
      <c r="H245" t="n">
        <v>0</v>
      </c>
      <c r="I245" t="n">
        <v>0</v>
      </c>
      <c r="J245" t="n">
        <v>0</v>
      </c>
      <c r="K245" t="n">
        <v>0</v>
      </c>
      <c r="L245" t="n">
        <v>0</v>
      </c>
      <c r="M245" t="n">
        <v>0</v>
      </c>
      <c r="N245" t="n">
        <v>0</v>
      </c>
      <c r="O245" t="n">
        <v>0</v>
      </c>
      <c r="P245" t="n">
        <v>0</v>
      </c>
      <c r="Q245" t="n">
        <v>0</v>
      </c>
      <c r="R245" s="2" t="inlineStr"/>
    </row>
    <row r="246" ht="15" customHeight="1">
      <c r="A246" t="inlineStr">
        <is>
          <t>A 43704-2019</t>
        </is>
      </c>
      <c r="B246" s="1" t="n">
        <v>43707</v>
      </c>
      <c r="C246" s="1" t="n">
        <v>45724</v>
      </c>
      <c r="D246" t="inlineStr">
        <is>
          <t>UPPSALA LÄN</t>
        </is>
      </c>
      <c r="E246" t="inlineStr">
        <is>
          <t>UPPSALA</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43725-2019</t>
        </is>
      </c>
      <c r="B247" s="1" t="n">
        <v>43707</v>
      </c>
      <c r="C247" s="1" t="n">
        <v>45724</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44109-2019</t>
        </is>
      </c>
      <c r="B248" s="1" t="n">
        <v>43707</v>
      </c>
      <c r="C248" s="1" t="n">
        <v>45724</v>
      </c>
      <c r="D248" t="inlineStr">
        <is>
          <t>UPPSALA LÄN</t>
        </is>
      </c>
      <c r="E248" t="inlineStr">
        <is>
          <t>UPPSALA</t>
        </is>
      </c>
      <c r="F248" t="inlineStr">
        <is>
          <t>Allmännings- och besparingsskogar</t>
        </is>
      </c>
      <c r="G248" t="n">
        <v>81.3</v>
      </c>
      <c r="H248" t="n">
        <v>0</v>
      </c>
      <c r="I248" t="n">
        <v>0</v>
      </c>
      <c r="J248" t="n">
        <v>0</v>
      </c>
      <c r="K248" t="n">
        <v>0</v>
      </c>
      <c r="L248" t="n">
        <v>0</v>
      </c>
      <c r="M248" t="n">
        <v>0</v>
      </c>
      <c r="N248" t="n">
        <v>0</v>
      </c>
      <c r="O248" t="n">
        <v>0</v>
      </c>
      <c r="P248" t="n">
        <v>0</v>
      </c>
      <c r="Q248" t="n">
        <v>0</v>
      </c>
      <c r="R248" s="2" t="inlineStr"/>
    </row>
    <row r="249" ht="15" customHeight="1">
      <c r="A249" t="inlineStr">
        <is>
          <t>A 43713-2019</t>
        </is>
      </c>
      <c r="B249" s="1" t="n">
        <v>43707</v>
      </c>
      <c r="C249" s="1" t="n">
        <v>45724</v>
      </c>
      <c r="D249" t="inlineStr">
        <is>
          <t>UPPSALA LÄN</t>
        </is>
      </c>
      <c r="E249" t="inlineStr">
        <is>
          <t>UPPSALA</t>
        </is>
      </c>
      <c r="F249" t="inlineStr">
        <is>
          <t>Bergvik skog öst AB</t>
        </is>
      </c>
      <c r="G249" t="n">
        <v>7.9</v>
      </c>
      <c r="H249" t="n">
        <v>0</v>
      </c>
      <c r="I249" t="n">
        <v>0</v>
      </c>
      <c r="J249" t="n">
        <v>0</v>
      </c>
      <c r="K249" t="n">
        <v>0</v>
      </c>
      <c r="L249" t="n">
        <v>0</v>
      </c>
      <c r="M249" t="n">
        <v>0</v>
      </c>
      <c r="N249" t="n">
        <v>0</v>
      </c>
      <c r="O249" t="n">
        <v>0</v>
      </c>
      <c r="P249" t="n">
        <v>0</v>
      </c>
      <c r="Q249" t="n">
        <v>0</v>
      </c>
      <c r="R249" s="2" t="inlineStr"/>
    </row>
    <row r="250" ht="15" customHeight="1">
      <c r="A250" t="inlineStr">
        <is>
          <t>A 43853-2019</t>
        </is>
      </c>
      <c r="B250" s="1" t="n">
        <v>43707</v>
      </c>
      <c r="C250" s="1" t="n">
        <v>45724</v>
      </c>
      <c r="D250" t="inlineStr">
        <is>
          <t>UPPSALA LÄN</t>
        </is>
      </c>
      <c r="E250" t="inlineStr">
        <is>
          <t>UPPSALA</t>
        </is>
      </c>
      <c r="F250" t="inlineStr">
        <is>
          <t>Övriga statliga verk och myndigheter</t>
        </is>
      </c>
      <c r="G250" t="n">
        <v>1.8</v>
      </c>
      <c r="H250" t="n">
        <v>0</v>
      </c>
      <c r="I250" t="n">
        <v>0</v>
      </c>
      <c r="J250" t="n">
        <v>0</v>
      </c>
      <c r="K250" t="n">
        <v>0</v>
      </c>
      <c r="L250" t="n">
        <v>0</v>
      </c>
      <c r="M250" t="n">
        <v>0</v>
      </c>
      <c r="N250" t="n">
        <v>0</v>
      </c>
      <c r="O250" t="n">
        <v>0</v>
      </c>
      <c r="P250" t="n">
        <v>0</v>
      </c>
      <c r="Q250" t="n">
        <v>0</v>
      </c>
      <c r="R250" s="2" t="inlineStr"/>
    </row>
    <row r="251" ht="15" customHeight="1">
      <c r="A251" t="inlineStr">
        <is>
          <t>A 44141-2019</t>
        </is>
      </c>
      <c r="B251" s="1" t="n">
        <v>43710</v>
      </c>
      <c r="C251" s="1" t="n">
        <v>45724</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44701-2019</t>
        </is>
      </c>
      <c r="B252" s="1" t="n">
        <v>43712</v>
      </c>
      <c r="C252" s="1" t="n">
        <v>45724</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44687-2019</t>
        </is>
      </c>
      <c r="B253" s="1" t="n">
        <v>43712</v>
      </c>
      <c r="C253" s="1" t="n">
        <v>45724</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45010-2019</t>
        </is>
      </c>
      <c r="B254" s="1" t="n">
        <v>43713</v>
      </c>
      <c r="C254" s="1" t="n">
        <v>45724</v>
      </c>
      <c r="D254" t="inlineStr">
        <is>
          <t>UPPSALA LÄN</t>
        </is>
      </c>
      <c r="E254" t="inlineStr">
        <is>
          <t>UPPSALA</t>
        </is>
      </c>
      <c r="G254" t="n">
        <v>1</v>
      </c>
      <c r="H254" t="n">
        <v>0</v>
      </c>
      <c r="I254" t="n">
        <v>0</v>
      </c>
      <c r="J254" t="n">
        <v>0</v>
      </c>
      <c r="K254" t="n">
        <v>0</v>
      </c>
      <c r="L254" t="n">
        <v>0</v>
      </c>
      <c r="M254" t="n">
        <v>0</v>
      </c>
      <c r="N254" t="n">
        <v>0</v>
      </c>
      <c r="O254" t="n">
        <v>0</v>
      </c>
      <c r="P254" t="n">
        <v>0</v>
      </c>
      <c r="Q254" t="n">
        <v>0</v>
      </c>
      <c r="R254" s="2" t="inlineStr"/>
    </row>
    <row r="255" ht="15" customHeight="1">
      <c r="A255" t="inlineStr">
        <is>
          <t>A 45574-2019</t>
        </is>
      </c>
      <c r="B255" s="1" t="n">
        <v>43716</v>
      </c>
      <c r="C255" s="1" t="n">
        <v>45724</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46311-2019</t>
        </is>
      </c>
      <c r="B256" s="1" t="n">
        <v>43718</v>
      </c>
      <c r="C256" s="1" t="n">
        <v>45724</v>
      </c>
      <c r="D256" t="inlineStr">
        <is>
          <t>UPPSALA LÄN</t>
        </is>
      </c>
      <c r="E256" t="inlineStr">
        <is>
          <t>UPPSALA</t>
        </is>
      </c>
      <c r="G256" t="n">
        <v>1.1</v>
      </c>
      <c r="H256" t="n">
        <v>0</v>
      </c>
      <c r="I256" t="n">
        <v>0</v>
      </c>
      <c r="J256" t="n">
        <v>0</v>
      </c>
      <c r="K256" t="n">
        <v>0</v>
      </c>
      <c r="L256" t="n">
        <v>0</v>
      </c>
      <c r="M256" t="n">
        <v>0</v>
      </c>
      <c r="N256" t="n">
        <v>0</v>
      </c>
      <c r="O256" t="n">
        <v>0</v>
      </c>
      <c r="P256" t="n">
        <v>0</v>
      </c>
      <c r="Q256" t="n">
        <v>0</v>
      </c>
      <c r="R256" s="2" t="inlineStr"/>
    </row>
    <row r="257" ht="15" customHeight="1">
      <c r="A257" t="inlineStr">
        <is>
          <t>A 46307-2019</t>
        </is>
      </c>
      <c r="B257" s="1" t="n">
        <v>43718</v>
      </c>
      <c r="C257" s="1" t="n">
        <v>45724</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46151-2019</t>
        </is>
      </c>
      <c r="B258" s="1" t="n">
        <v>43718</v>
      </c>
      <c r="C258" s="1" t="n">
        <v>45724</v>
      </c>
      <c r="D258" t="inlineStr">
        <is>
          <t>UPPSALA LÄN</t>
        </is>
      </c>
      <c r="E258" t="inlineStr">
        <is>
          <t>UPPSALA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46157-2019</t>
        </is>
      </c>
      <c r="B259" s="1" t="n">
        <v>43718</v>
      </c>
      <c r="C259" s="1" t="n">
        <v>45724</v>
      </c>
      <c r="D259" t="inlineStr">
        <is>
          <t>UPPSALA LÄN</t>
        </is>
      </c>
      <c r="E259" t="inlineStr">
        <is>
          <t>UPPSALA</t>
        </is>
      </c>
      <c r="F259" t="inlineStr">
        <is>
          <t>Övriga Aktiebolag</t>
        </is>
      </c>
      <c r="G259" t="n">
        <v>4.5</v>
      </c>
      <c r="H259" t="n">
        <v>0</v>
      </c>
      <c r="I259" t="n">
        <v>0</v>
      </c>
      <c r="J259" t="n">
        <v>0</v>
      </c>
      <c r="K259" t="n">
        <v>0</v>
      </c>
      <c r="L259" t="n">
        <v>0</v>
      </c>
      <c r="M259" t="n">
        <v>0</v>
      </c>
      <c r="N259" t="n">
        <v>0</v>
      </c>
      <c r="O259" t="n">
        <v>0</v>
      </c>
      <c r="P259" t="n">
        <v>0</v>
      </c>
      <c r="Q259" t="n">
        <v>0</v>
      </c>
      <c r="R259" s="2" t="inlineStr"/>
    </row>
    <row r="260" ht="15" customHeight="1">
      <c r="A260" t="inlineStr">
        <is>
          <t>A 46310-2019</t>
        </is>
      </c>
      <c r="B260" s="1" t="n">
        <v>43718</v>
      </c>
      <c r="C260" s="1" t="n">
        <v>45724</v>
      </c>
      <c r="D260" t="inlineStr">
        <is>
          <t>UPPSALA LÄN</t>
        </is>
      </c>
      <c r="E260" t="inlineStr">
        <is>
          <t>UPPSALA</t>
        </is>
      </c>
      <c r="G260" t="n">
        <v>7</v>
      </c>
      <c r="H260" t="n">
        <v>0</v>
      </c>
      <c r="I260" t="n">
        <v>0</v>
      </c>
      <c r="J260" t="n">
        <v>0</v>
      </c>
      <c r="K260" t="n">
        <v>0</v>
      </c>
      <c r="L260" t="n">
        <v>0</v>
      </c>
      <c r="M260" t="n">
        <v>0</v>
      </c>
      <c r="N260" t="n">
        <v>0</v>
      </c>
      <c r="O260" t="n">
        <v>0</v>
      </c>
      <c r="P260" t="n">
        <v>0</v>
      </c>
      <c r="Q260" t="n">
        <v>0</v>
      </c>
      <c r="R260" s="2" t="inlineStr"/>
    </row>
    <row r="261" ht="15" customHeight="1">
      <c r="A261" t="inlineStr">
        <is>
          <t>A 46147-2019</t>
        </is>
      </c>
      <c r="B261" s="1" t="n">
        <v>43718</v>
      </c>
      <c r="C261" s="1" t="n">
        <v>45724</v>
      </c>
      <c r="D261" t="inlineStr">
        <is>
          <t>UPPSALA LÄN</t>
        </is>
      </c>
      <c r="E261" t="inlineStr">
        <is>
          <t>UPPSALA</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46877-2019</t>
        </is>
      </c>
      <c r="B262" s="1" t="n">
        <v>43720</v>
      </c>
      <c r="C262" s="1" t="n">
        <v>45724</v>
      </c>
      <c r="D262" t="inlineStr">
        <is>
          <t>UPPSALA LÄN</t>
        </is>
      </c>
      <c r="E262" t="inlineStr">
        <is>
          <t>UPPSALA</t>
        </is>
      </c>
      <c r="G262" t="n">
        <v>1.9</v>
      </c>
      <c r="H262" t="n">
        <v>0</v>
      </c>
      <c r="I262" t="n">
        <v>0</v>
      </c>
      <c r="J262" t="n">
        <v>0</v>
      </c>
      <c r="K262" t="n">
        <v>0</v>
      </c>
      <c r="L262" t="n">
        <v>0</v>
      </c>
      <c r="M262" t="n">
        <v>0</v>
      </c>
      <c r="N262" t="n">
        <v>0</v>
      </c>
      <c r="O262" t="n">
        <v>0</v>
      </c>
      <c r="P262" t="n">
        <v>0</v>
      </c>
      <c r="Q262" t="n">
        <v>0</v>
      </c>
      <c r="R262" s="2" t="inlineStr"/>
    </row>
    <row r="263" ht="15" customHeight="1">
      <c r="A263" t="inlineStr">
        <is>
          <t>A 46896-2019</t>
        </is>
      </c>
      <c r="B263" s="1" t="n">
        <v>43720</v>
      </c>
      <c r="C263" s="1" t="n">
        <v>45724</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48485-2019</t>
        </is>
      </c>
      <c r="B264" s="1" t="n">
        <v>43727</v>
      </c>
      <c r="C264" s="1" t="n">
        <v>45724</v>
      </c>
      <c r="D264" t="inlineStr">
        <is>
          <t>UPPSALA LÄN</t>
        </is>
      </c>
      <c r="E264" t="inlineStr">
        <is>
          <t>UPPSALA</t>
        </is>
      </c>
      <c r="G264" t="n">
        <v>3</v>
      </c>
      <c r="H264" t="n">
        <v>0</v>
      </c>
      <c r="I264" t="n">
        <v>0</v>
      </c>
      <c r="J264" t="n">
        <v>0</v>
      </c>
      <c r="K264" t="n">
        <v>0</v>
      </c>
      <c r="L264" t="n">
        <v>0</v>
      </c>
      <c r="M264" t="n">
        <v>0</v>
      </c>
      <c r="N264" t="n">
        <v>0</v>
      </c>
      <c r="O264" t="n">
        <v>0</v>
      </c>
      <c r="P264" t="n">
        <v>0</v>
      </c>
      <c r="Q264" t="n">
        <v>0</v>
      </c>
      <c r="R264" s="2" t="inlineStr"/>
    </row>
    <row r="265" ht="15" customHeight="1">
      <c r="A265" t="inlineStr">
        <is>
          <t>A 49567-2019</t>
        </is>
      </c>
      <c r="B265" s="1" t="n">
        <v>43730</v>
      </c>
      <c r="C265" s="1" t="n">
        <v>45724</v>
      </c>
      <c r="D265" t="inlineStr">
        <is>
          <t>UPPSALA LÄN</t>
        </is>
      </c>
      <c r="E265" t="inlineStr">
        <is>
          <t>UPPSALA</t>
        </is>
      </c>
      <c r="G265" t="n">
        <v>6</v>
      </c>
      <c r="H265" t="n">
        <v>0</v>
      </c>
      <c r="I265" t="n">
        <v>0</v>
      </c>
      <c r="J265" t="n">
        <v>0</v>
      </c>
      <c r="K265" t="n">
        <v>0</v>
      </c>
      <c r="L265" t="n">
        <v>0</v>
      </c>
      <c r="M265" t="n">
        <v>0</v>
      </c>
      <c r="N265" t="n">
        <v>0</v>
      </c>
      <c r="O265" t="n">
        <v>0</v>
      </c>
      <c r="P265" t="n">
        <v>0</v>
      </c>
      <c r="Q265" t="n">
        <v>0</v>
      </c>
      <c r="R265" s="2" t="inlineStr"/>
    </row>
    <row r="266" ht="15" customHeight="1">
      <c r="A266" t="inlineStr">
        <is>
          <t>A 50180-2019</t>
        </is>
      </c>
      <c r="B266" s="1" t="n">
        <v>43733</v>
      </c>
      <c r="C266" s="1" t="n">
        <v>45724</v>
      </c>
      <c r="D266" t="inlineStr">
        <is>
          <t>UPPSALA LÄN</t>
        </is>
      </c>
      <c r="E266" t="inlineStr">
        <is>
          <t>UPPSALA</t>
        </is>
      </c>
      <c r="F266" t="inlineStr">
        <is>
          <t>Allmännings- och besparingsskogar</t>
        </is>
      </c>
      <c r="G266" t="n">
        <v>3.7</v>
      </c>
      <c r="H266" t="n">
        <v>0</v>
      </c>
      <c r="I266" t="n">
        <v>0</v>
      </c>
      <c r="J266" t="n">
        <v>0</v>
      </c>
      <c r="K266" t="n">
        <v>0</v>
      </c>
      <c r="L266" t="n">
        <v>0</v>
      </c>
      <c r="M266" t="n">
        <v>0</v>
      </c>
      <c r="N266" t="n">
        <v>0</v>
      </c>
      <c r="O266" t="n">
        <v>0</v>
      </c>
      <c r="P266" t="n">
        <v>0</v>
      </c>
      <c r="Q266" t="n">
        <v>0</v>
      </c>
      <c r="R266" s="2" t="inlineStr"/>
    </row>
    <row r="267" ht="15" customHeight="1">
      <c r="A267" t="inlineStr">
        <is>
          <t>A 50387-2019</t>
        </is>
      </c>
      <c r="B267" s="1" t="n">
        <v>43735</v>
      </c>
      <c r="C267" s="1" t="n">
        <v>45724</v>
      </c>
      <c r="D267" t="inlineStr">
        <is>
          <t>UPPSALA LÄN</t>
        </is>
      </c>
      <c r="E267" t="inlineStr">
        <is>
          <t>UPPSALA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50415-2019</t>
        </is>
      </c>
      <c r="B268" s="1" t="n">
        <v>43735</v>
      </c>
      <c r="C268" s="1" t="n">
        <v>45724</v>
      </c>
      <c r="D268" t="inlineStr">
        <is>
          <t>UPPSALA LÄN</t>
        </is>
      </c>
      <c r="E268" t="inlineStr">
        <is>
          <t>UPPSALA</t>
        </is>
      </c>
      <c r="F268" t="inlineStr">
        <is>
          <t>Kyrkan</t>
        </is>
      </c>
      <c r="G268" t="n">
        <v>13.6</v>
      </c>
      <c r="H268" t="n">
        <v>0</v>
      </c>
      <c r="I268" t="n">
        <v>0</v>
      </c>
      <c r="J268" t="n">
        <v>0</v>
      </c>
      <c r="K268" t="n">
        <v>0</v>
      </c>
      <c r="L268" t="n">
        <v>0</v>
      </c>
      <c r="M268" t="n">
        <v>0</v>
      </c>
      <c r="N268" t="n">
        <v>0</v>
      </c>
      <c r="O268" t="n">
        <v>0</v>
      </c>
      <c r="P268" t="n">
        <v>0</v>
      </c>
      <c r="Q268" t="n">
        <v>0</v>
      </c>
      <c r="R268" s="2" t="inlineStr"/>
    </row>
    <row r="269" ht="15" customHeight="1">
      <c r="A269" t="inlineStr">
        <is>
          <t>A 50616-2019</t>
        </is>
      </c>
      <c r="B269" s="1" t="n">
        <v>43736</v>
      </c>
      <c r="C269" s="1" t="n">
        <v>45724</v>
      </c>
      <c r="D269" t="inlineStr">
        <is>
          <t>UPPSALA LÄN</t>
        </is>
      </c>
      <c r="E269" t="inlineStr">
        <is>
          <t>UPPSALA</t>
        </is>
      </c>
      <c r="G269" t="n">
        <v>4.8</v>
      </c>
      <c r="H269" t="n">
        <v>0</v>
      </c>
      <c r="I269" t="n">
        <v>0</v>
      </c>
      <c r="J269" t="n">
        <v>0</v>
      </c>
      <c r="K269" t="n">
        <v>0</v>
      </c>
      <c r="L269" t="n">
        <v>0</v>
      </c>
      <c r="M269" t="n">
        <v>0</v>
      </c>
      <c r="N269" t="n">
        <v>0</v>
      </c>
      <c r="O269" t="n">
        <v>0</v>
      </c>
      <c r="P269" t="n">
        <v>0</v>
      </c>
      <c r="Q269" t="n">
        <v>0</v>
      </c>
      <c r="R269" s="2" t="inlineStr"/>
    </row>
    <row r="270" ht="15" customHeight="1">
      <c r="A270" t="inlineStr">
        <is>
          <t>A 52386-2019</t>
        </is>
      </c>
      <c r="B270" s="1" t="n">
        <v>43745</v>
      </c>
      <c r="C270" s="1" t="n">
        <v>45724</v>
      </c>
      <c r="D270" t="inlineStr">
        <is>
          <t>UPPSALA LÄN</t>
        </is>
      </c>
      <c r="E270" t="inlineStr">
        <is>
          <t>UPPSALA</t>
        </is>
      </c>
      <c r="G270" t="n">
        <v>15.7</v>
      </c>
      <c r="H270" t="n">
        <v>0</v>
      </c>
      <c r="I270" t="n">
        <v>0</v>
      </c>
      <c r="J270" t="n">
        <v>0</v>
      </c>
      <c r="K270" t="n">
        <v>0</v>
      </c>
      <c r="L270" t="n">
        <v>0</v>
      </c>
      <c r="M270" t="n">
        <v>0</v>
      </c>
      <c r="N270" t="n">
        <v>0</v>
      </c>
      <c r="O270" t="n">
        <v>0</v>
      </c>
      <c r="P270" t="n">
        <v>0</v>
      </c>
      <c r="Q270" t="n">
        <v>0</v>
      </c>
      <c r="R270" s="2" t="inlineStr"/>
    </row>
    <row r="271" ht="15" customHeight="1">
      <c r="A271" t="inlineStr">
        <is>
          <t>A 52419-2019</t>
        </is>
      </c>
      <c r="B271" s="1" t="n">
        <v>43745</v>
      </c>
      <c r="C271" s="1" t="n">
        <v>45724</v>
      </c>
      <c r="D271" t="inlineStr">
        <is>
          <t>UPPSALA LÄN</t>
        </is>
      </c>
      <c r="E271" t="inlineStr">
        <is>
          <t>UPPSALA</t>
        </is>
      </c>
      <c r="F271" t="inlineStr">
        <is>
          <t>Allmännings- och besparingsskogar</t>
        </is>
      </c>
      <c r="G271" t="n">
        <v>5.3</v>
      </c>
      <c r="H271" t="n">
        <v>0</v>
      </c>
      <c r="I271" t="n">
        <v>0</v>
      </c>
      <c r="J271" t="n">
        <v>0</v>
      </c>
      <c r="K271" t="n">
        <v>0</v>
      </c>
      <c r="L271" t="n">
        <v>0</v>
      </c>
      <c r="M271" t="n">
        <v>0</v>
      </c>
      <c r="N271" t="n">
        <v>0</v>
      </c>
      <c r="O271" t="n">
        <v>0</v>
      </c>
      <c r="P271" t="n">
        <v>0</v>
      </c>
      <c r="Q271" t="n">
        <v>0</v>
      </c>
      <c r="R271" s="2" t="inlineStr"/>
    </row>
    <row r="272" ht="15" customHeight="1">
      <c r="A272" t="inlineStr">
        <is>
          <t>A 52950-2019</t>
        </is>
      </c>
      <c r="B272" s="1" t="n">
        <v>43747</v>
      </c>
      <c r="C272" s="1" t="n">
        <v>45724</v>
      </c>
      <c r="D272" t="inlineStr">
        <is>
          <t>UPPSALA LÄN</t>
        </is>
      </c>
      <c r="E272" t="inlineStr">
        <is>
          <t>UPPSALA</t>
        </is>
      </c>
      <c r="G272" t="n">
        <v>0.2</v>
      </c>
      <c r="H272" t="n">
        <v>0</v>
      </c>
      <c r="I272" t="n">
        <v>0</v>
      </c>
      <c r="J272" t="n">
        <v>0</v>
      </c>
      <c r="K272" t="n">
        <v>0</v>
      </c>
      <c r="L272" t="n">
        <v>0</v>
      </c>
      <c r="M272" t="n">
        <v>0</v>
      </c>
      <c r="N272" t="n">
        <v>0</v>
      </c>
      <c r="O272" t="n">
        <v>0</v>
      </c>
      <c r="P272" t="n">
        <v>0</v>
      </c>
      <c r="Q272" t="n">
        <v>0</v>
      </c>
      <c r="R272" s="2" t="inlineStr"/>
    </row>
    <row r="273" ht="15" customHeight="1">
      <c r="A273" t="inlineStr">
        <is>
          <t>A 53303-2019</t>
        </is>
      </c>
      <c r="B273" s="1" t="n">
        <v>43747</v>
      </c>
      <c r="C273" s="1" t="n">
        <v>45724</v>
      </c>
      <c r="D273" t="inlineStr">
        <is>
          <t>UPPSALA LÄN</t>
        </is>
      </c>
      <c r="E273" t="inlineStr">
        <is>
          <t>UPPSALA</t>
        </is>
      </c>
      <c r="F273" t="inlineStr">
        <is>
          <t>Allmännings- och besparingsskogar</t>
        </is>
      </c>
      <c r="G273" t="n">
        <v>17.5</v>
      </c>
      <c r="H273" t="n">
        <v>0</v>
      </c>
      <c r="I273" t="n">
        <v>0</v>
      </c>
      <c r="J273" t="n">
        <v>0</v>
      </c>
      <c r="K273" t="n">
        <v>0</v>
      </c>
      <c r="L273" t="n">
        <v>0</v>
      </c>
      <c r="M273" t="n">
        <v>0</v>
      </c>
      <c r="N273" t="n">
        <v>0</v>
      </c>
      <c r="O273" t="n">
        <v>0</v>
      </c>
      <c r="P273" t="n">
        <v>0</v>
      </c>
      <c r="Q273" t="n">
        <v>0</v>
      </c>
      <c r="R273" s="2" t="inlineStr"/>
    </row>
    <row r="274" ht="15" customHeight="1">
      <c r="A274" t="inlineStr">
        <is>
          <t>A 53316-2019</t>
        </is>
      </c>
      <c r="B274" s="1" t="n">
        <v>43748</v>
      </c>
      <c r="C274" s="1" t="n">
        <v>45724</v>
      </c>
      <c r="D274" t="inlineStr">
        <is>
          <t>UPPSALA LÄN</t>
        </is>
      </c>
      <c r="E274" t="inlineStr">
        <is>
          <t>UPPSALA</t>
        </is>
      </c>
      <c r="G274" t="n">
        <v>2.3</v>
      </c>
      <c r="H274" t="n">
        <v>0</v>
      </c>
      <c r="I274" t="n">
        <v>0</v>
      </c>
      <c r="J274" t="n">
        <v>0</v>
      </c>
      <c r="K274" t="n">
        <v>0</v>
      </c>
      <c r="L274" t="n">
        <v>0</v>
      </c>
      <c r="M274" t="n">
        <v>0</v>
      </c>
      <c r="N274" t="n">
        <v>0</v>
      </c>
      <c r="O274" t="n">
        <v>0</v>
      </c>
      <c r="P274" t="n">
        <v>0</v>
      </c>
      <c r="Q274" t="n">
        <v>0</v>
      </c>
      <c r="R274" s="2" t="inlineStr"/>
    </row>
    <row r="275" ht="15" customHeight="1">
      <c r="A275" t="inlineStr">
        <is>
          <t>A 54757-2019</t>
        </is>
      </c>
      <c r="B275" s="1" t="n">
        <v>43755</v>
      </c>
      <c r="C275" s="1" t="n">
        <v>45724</v>
      </c>
      <c r="D275" t="inlineStr">
        <is>
          <t>UPPSALA LÄN</t>
        </is>
      </c>
      <c r="E275" t="inlineStr">
        <is>
          <t>UPPSALA</t>
        </is>
      </c>
      <c r="F275" t="inlineStr">
        <is>
          <t>Övriga statliga verk och myndigheter</t>
        </is>
      </c>
      <c r="G275" t="n">
        <v>1.5</v>
      </c>
      <c r="H275" t="n">
        <v>0</v>
      </c>
      <c r="I275" t="n">
        <v>0</v>
      </c>
      <c r="J275" t="n">
        <v>0</v>
      </c>
      <c r="K275" t="n">
        <v>0</v>
      </c>
      <c r="L275" t="n">
        <v>0</v>
      </c>
      <c r="M275" t="n">
        <v>0</v>
      </c>
      <c r="N275" t="n">
        <v>0</v>
      </c>
      <c r="O275" t="n">
        <v>0</v>
      </c>
      <c r="P275" t="n">
        <v>0</v>
      </c>
      <c r="Q275" t="n">
        <v>0</v>
      </c>
      <c r="R275" s="2" t="inlineStr"/>
    </row>
    <row r="276" ht="15" customHeight="1">
      <c r="A276" t="inlineStr">
        <is>
          <t>A 56041-2019</t>
        </is>
      </c>
      <c r="B276" s="1" t="n">
        <v>43759</v>
      </c>
      <c r="C276" s="1" t="n">
        <v>45724</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56634-2019</t>
        </is>
      </c>
      <c r="B277" s="1" t="n">
        <v>43763</v>
      </c>
      <c r="C277" s="1" t="n">
        <v>45724</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58445-2019</t>
        </is>
      </c>
      <c r="B278" s="1" t="n">
        <v>43773</v>
      </c>
      <c r="C278" s="1" t="n">
        <v>45724</v>
      </c>
      <c r="D278" t="inlineStr">
        <is>
          <t>UPPSALA LÄN</t>
        </is>
      </c>
      <c r="E278" t="inlineStr">
        <is>
          <t>UPPSALA</t>
        </is>
      </c>
      <c r="G278" t="n">
        <v>5</v>
      </c>
      <c r="H278" t="n">
        <v>0</v>
      </c>
      <c r="I278" t="n">
        <v>0</v>
      </c>
      <c r="J278" t="n">
        <v>0</v>
      </c>
      <c r="K278" t="n">
        <v>0</v>
      </c>
      <c r="L278" t="n">
        <v>0</v>
      </c>
      <c r="M278" t="n">
        <v>0</v>
      </c>
      <c r="N278" t="n">
        <v>0</v>
      </c>
      <c r="O278" t="n">
        <v>0</v>
      </c>
      <c r="P278" t="n">
        <v>0</v>
      </c>
      <c r="Q278" t="n">
        <v>0</v>
      </c>
      <c r="R278" s="2" t="inlineStr"/>
    </row>
    <row r="279" ht="15" customHeight="1">
      <c r="A279" t="inlineStr">
        <is>
          <t>A 58527-2019</t>
        </is>
      </c>
      <c r="B279" s="1" t="n">
        <v>43773</v>
      </c>
      <c r="C279" s="1" t="n">
        <v>45724</v>
      </c>
      <c r="D279" t="inlineStr">
        <is>
          <t>UPPSALA LÄN</t>
        </is>
      </c>
      <c r="E279" t="inlineStr">
        <is>
          <t>UPPSALA</t>
        </is>
      </c>
      <c r="G279" t="n">
        <v>0.6</v>
      </c>
      <c r="H279" t="n">
        <v>0</v>
      </c>
      <c r="I279" t="n">
        <v>0</v>
      </c>
      <c r="J279" t="n">
        <v>0</v>
      </c>
      <c r="K279" t="n">
        <v>0</v>
      </c>
      <c r="L279" t="n">
        <v>0</v>
      </c>
      <c r="M279" t="n">
        <v>0</v>
      </c>
      <c r="N279" t="n">
        <v>0</v>
      </c>
      <c r="O279" t="n">
        <v>0</v>
      </c>
      <c r="P279" t="n">
        <v>0</v>
      </c>
      <c r="Q279" t="n">
        <v>0</v>
      </c>
      <c r="R279" s="2" t="inlineStr"/>
    </row>
    <row r="280" ht="15" customHeight="1">
      <c r="A280" t="inlineStr">
        <is>
          <t>A 58903-2019</t>
        </is>
      </c>
      <c r="B280" s="1" t="n">
        <v>43773</v>
      </c>
      <c r="C280" s="1" t="n">
        <v>45724</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60011-2019</t>
        </is>
      </c>
      <c r="B281" s="1" t="n">
        <v>43777</v>
      </c>
      <c r="C281" s="1" t="n">
        <v>45724</v>
      </c>
      <c r="D281" t="inlineStr">
        <is>
          <t>UPPSALA LÄN</t>
        </is>
      </c>
      <c r="E281" t="inlineStr">
        <is>
          <t>UPPSALA</t>
        </is>
      </c>
      <c r="G281" t="n">
        <v>1.5</v>
      </c>
      <c r="H281" t="n">
        <v>0</v>
      </c>
      <c r="I281" t="n">
        <v>0</v>
      </c>
      <c r="J281" t="n">
        <v>0</v>
      </c>
      <c r="K281" t="n">
        <v>0</v>
      </c>
      <c r="L281" t="n">
        <v>0</v>
      </c>
      <c r="M281" t="n">
        <v>0</v>
      </c>
      <c r="N281" t="n">
        <v>0</v>
      </c>
      <c r="O281" t="n">
        <v>0</v>
      </c>
      <c r="P281" t="n">
        <v>0</v>
      </c>
      <c r="Q281" t="n">
        <v>0</v>
      </c>
      <c r="R281" s="2" t="inlineStr"/>
    </row>
    <row r="282" ht="15" customHeight="1">
      <c r="A282" t="inlineStr">
        <is>
          <t>A 60159-2019</t>
        </is>
      </c>
      <c r="B282" s="1" t="n">
        <v>43777</v>
      </c>
      <c r="C282" s="1" t="n">
        <v>45724</v>
      </c>
      <c r="D282" t="inlineStr">
        <is>
          <t>UPPSALA LÄN</t>
        </is>
      </c>
      <c r="E282" t="inlineStr">
        <is>
          <t>UPPSALA</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60163-2019</t>
        </is>
      </c>
      <c r="B283" s="1" t="n">
        <v>43780</v>
      </c>
      <c r="C283" s="1" t="n">
        <v>45724</v>
      </c>
      <c r="D283" t="inlineStr">
        <is>
          <t>UPPSALA LÄN</t>
        </is>
      </c>
      <c r="E283" t="inlineStr">
        <is>
          <t>UPPSALA</t>
        </is>
      </c>
      <c r="F283" t="inlineStr">
        <is>
          <t>Övriga Aktiebolag</t>
        </is>
      </c>
      <c r="G283" t="n">
        <v>2</v>
      </c>
      <c r="H283" t="n">
        <v>0</v>
      </c>
      <c r="I283" t="n">
        <v>0</v>
      </c>
      <c r="J283" t="n">
        <v>0</v>
      </c>
      <c r="K283" t="n">
        <v>0</v>
      </c>
      <c r="L283" t="n">
        <v>0</v>
      </c>
      <c r="M283" t="n">
        <v>0</v>
      </c>
      <c r="N283" t="n">
        <v>0</v>
      </c>
      <c r="O283" t="n">
        <v>0</v>
      </c>
      <c r="P283" t="n">
        <v>0</v>
      </c>
      <c r="Q283" t="n">
        <v>0</v>
      </c>
      <c r="R283" s="2" t="inlineStr"/>
    </row>
    <row r="284" ht="15" customHeight="1">
      <c r="A284" t="inlineStr">
        <is>
          <t>A 60579-2019</t>
        </is>
      </c>
      <c r="B284" s="1" t="n">
        <v>43780</v>
      </c>
      <c r="C284" s="1" t="n">
        <v>45724</v>
      </c>
      <c r="D284" t="inlineStr">
        <is>
          <t>UPPSALA LÄN</t>
        </is>
      </c>
      <c r="E284" t="inlineStr">
        <is>
          <t>UPPSALA</t>
        </is>
      </c>
      <c r="F284" t="inlineStr">
        <is>
          <t>Övriga Aktiebolag</t>
        </is>
      </c>
      <c r="G284" t="n">
        <v>3.8</v>
      </c>
      <c r="H284" t="n">
        <v>0</v>
      </c>
      <c r="I284" t="n">
        <v>0</v>
      </c>
      <c r="J284" t="n">
        <v>0</v>
      </c>
      <c r="K284" t="n">
        <v>0</v>
      </c>
      <c r="L284" t="n">
        <v>0</v>
      </c>
      <c r="M284" t="n">
        <v>0</v>
      </c>
      <c r="N284" t="n">
        <v>0</v>
      </c>
      <c r="O284" t="n">
        <v>0</v>
      </c>
      <c r="P284" t="n">
        <v>0</v>
      </c>
      <c r="Q284" t="n">
        <v>0</v>
      </c>
      <c r="R284" s="2" t="inlineStr"/>
    </row>
    <row r="285" ht="15" customHeight="1">
      <c r="A285" t="inlineStr">
        <is>
          <t>A 62308-2019</t>
        </is>
      </c>
      <c r="B285" s="1" t="n">
        <v>43782</v>
      </c>
      <c r="C285" s="1" t="n">
        <v>45724</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61667-2019</t>
        </is>
      </c>
      <c r="B286" s="1" t="n">
        <v>43784</v>
      </c>
      <c r="C286" s="1" t="n">
        <v>45724</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63145-2019</t>
        </is>
      </c>
      <c r="B287" s="1" t="n">
        <v>43791</v>
      </c>
      <c r="C287" s="1" t="n">
        <v>45724</v>
      </c>
      <c r="D287" t="inlineStr">
        <is>
          <t>UPPSALA LÄN</t>
        </is>
      </c>
      <c r="E287" t="inlineStr">
        <is>
          <t>UPPSALA</t>
        </is>
      </c>
      <c r="G287" t="n">
        <v>1.8</v>
      </c>
      <c r="H287" t="n">
        <v>0</v>
      </c>
      <c r="I287" t="n">
        <v>0</v>
      </c>
      <c r="J287" t="n">
        <v>0</v>
      </c>
      <c r="K287" t="n">
        <v>0</v>
      </c>
      <c r="L287" t="n">
        <v>0</v>
      </c>
      <c r="M287" t="n">
        <v>0</v>
      </c>
      <c r="N287" t="n">
        <v>0</v>
      </c>
      <c r="O287" t="n">
        <v>0</v>
      </c>
      <c r="P287" t="n">
        <v>0</v>
      </c>
      <c r="Q287" t="n">
        <v>0</v>
      </c>
      <c r="R287" s="2" t="inlineStr"/>
    </row>
    <row r="288" ht="15" customHeight="1">
      <c r="A288" t="inlineStr">
        <is>
          <t>A 63091-2019</t>
        </is>
      </c>
      <c r="B288" s="1" t="n">
        <v>43791</v>
      </c>
      <c r="C288" s="1" t="n">
        <v>45724</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63099-2019</t>
        </is>
      </c>
      <c r="B289" s="1" t="n">
        <v>43791</v>
      </c>
      <c r="C289" s="1" t="n">
        <v>45724</v>
      </c>
      <c r="D289" t="inlineStr">
        <is>
          <t>UPPSALA LÄN</t>
        </is>
      </c>
      <c r="E289" t="inlineStr">
        <is>
          <t>UPPSALA</t>
        </is>
      </c>
      <c r="G289" t="n">
        <v>4.4</v>
      </c>
      <c r="H289" t="n">
        <v>0</v>
      </c>
      <c r="I289" t="n">
        <v>0</v>
      </c>
      <c r="J289" t="n">
        <v>0</v>
      </c>
      <c r="K289" t="n">
        <v>0</v>
      </c>
      <c r="L289" t="n">
        <v>0</v>
      </c>
      <c r="M289" t="n">
        <v>0</v>
      </c>
      <c r="N289" t="n">
        <v>0</v>
      </c>
      <c r="O289" t="n">
        <v>0</v>
      </c>
      <c r="P289" t="n">
        <v>0</v>
      </c>
      <c r="Q289" t="n">
        <v>0</v>
      </c>
      <c r="R289" s="2" t="inlineStr"/>
    </row>
    <row r="290" ht="15" customHeight="1">
      <c r="A290" t="inlineStr">
        <is>
          <t>A 63118-2019</t>
        </is>
      </c>
      <c r="B290" s="1" t="n">
        <v>43791</v>
      </c>
      <c r="C290" s="1" t="n">
        <v>45724</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63589-2019</t>
        </is>
      </c>
      <c r="B291" s="1" t="n">
        <v>43795</v>
      </c>
      <c r="C291" s="1" t="n">
        <v>45724</v>
      </c>
      <c r="D291" t="inlineStr">
        <is>
          <t>UPPSALA LÄN</t>
        </is>
      </c>
      <c r="E291" t="inlineStr">
        <is>
          <t>UPPSALA</t>
        </is>
      </c>
      <c r="G291" t="n">
        <v>3.8</v>
      </c>
      <c r="H291" t="n">
        <v>0</v>
      </c>
      <c r="I291" t="n">
        <v>0</v>
      </c>
      <c r="J291" t="n">
        <v>0</v>
      </c>
      <c r="K291" t="n">
        <v>0</v>
      </c>
      <c r="L291" t="n">
        <v>0</v>
      </c>
      <c r="M291" t="n">
        <v>0</v>
      </c>
      <c r="N291" t="n">
        <v>0</v>
      </c>
      <c r="O291" t="n">
        <v>0</v>
      </c>
      <c r="P291" t="n">
        <v>0</v>
      </c>
      <c r="Q291" t="n">
        <v>0</v>
      </c>
      <c r="R291" s="2" t="inlineStr"/>
    </row>
    <row r="292" ht="15" customHeight="1">
      <c r="A292" t="inlineStr">
        <is>
          <t>A 63757-2019</t>
        </is>
      </c>
      <c r="B292" s="1" t="n">
        <v>43795</v>
      </c>
      <c r="C292" s="1" t="n">
        <v>45724</v>
      </c>
      <c r="D292" t="inlineStr">
        <is>
          <t>UPPSALA LÄN</t>
        </is>
      </c>
      <c r="E292" t="inlineStr">
        <is>
          <t>UPPSALA</t>
        </is>
      </c>
      <c r="G292" t="n">
        <v>6.9</v>
      </c>
      <c r="H292" t="n">
        <v>0</v>
      </c>
      <c r="I292" t="n">
        <v>0</v>
      </c>
      <c r="J292" t="n">
        <v>0</v>
      </c>
      <c r="K292" t="n">
        <v>0</v>
      </c>
      <c r="L292" t="n">
        <v>0</v>
      </c>
      <c r="M292" t="n">
        <v>0</v>
      </c>
      <c r="N292" t="n">
        <v>0</v>
      </c>
      <c r="O292" t="n">
        <v>0</v>
      </c>
      <c r="P292" t="n">
        <v>0</v>
      </c>
      <c r="Q292" t="n">
        <v>0</v>
      </c>
      <c r="R292" s="2" t="inlineStr"/>
    </row>
    <row r="293" ht="15" customHeight="1">
      <c r="A293" t="inlineStr">
        <is>
          <t>A 63756-2019</t>
        </is>
      </c>
      <c r="B293" s="1" t="n">
        <v>43795</v>
      </c>
      <c r="C293" s="1" t="n">
        <v>45724</v>
      </c>
      <c r="D293" t="inlineStr">
        <is>
          <t>UPPSALA LÄN</t>
        </is>
      </c>
      <c r="E293" t="inlineStr">
        <is>
          <t>UPPSALA</t>
        </is>
      </c>
      <c r="G293" t="n">
        <v>6.5</v>
      </c>
      <c r="H293" t="n">
        <v>0</v>
      </c>
      <c r="I293" t="n">
        <v>0</v>
      </c>
      <c r="J293" t="n">
        <v>0</v>
      </c>
      <c r="K293" t="n">
        <v>0</v>
      </c>
      <c r="L293" t="n">
        <v>0</v>
      </c>
      <c r="M293" t="n">
        <v>0</v>
      </c>
      <c r="N293" t="n">
        <v>0</v>
      </c>
      <c r="O293" t="n">
        <v>0</v>
      </c>
      <c r="P293" t="n">
        <v>0</v>
      </c>
      <c r="Q293" t="n">
        <v>0</v>
      </c>
      <c r="R293" s="2" t="inlineStr"/>
    </row>
    <row r="294" ht="15" customHeight="1">
      <c r="A294" t="inlineStr">
        <is>
          <t>A 64836-2019</t>
        </is>
      </c>
      <c r="B294" s="1" t="n">
        <v>43801</v>
      </c>
      <c r="C294" s="1" t="n">
        <v>45724</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64834-2019</t>
        </is>
      </c>
      <c r="B295" s="1" t="n">
        <v>43801</v>
      </c>
      <c r="C295" s="1" t="n">
        <v>45724</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65527-2019</t>
        </is>
      </c>
      <c r="B296" s="1" t="n">
        <v>43803</v>
      </c>
      <c r="C296" s="1" t="n">
        <v>45724</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65668-2019</t>
        </is>
      </c>
      <c r="B297" s="1" t="n">
        <v>43804</v>
      </c>
      <c r="C297" s="1" t="n">
        <v>45724</v>
      </c>
      <c r="D297" t="inlineStr">
        <is>
          <t>UPPSALA LÄN</t>
        </is>
      </c>
      <c r="E297" t="inlineStr">
        <is>
          <t>UPPSALA</t>
        </is>
      </c>
      <c r="G297" t="n">
        <v>7.6</v>
      </c>
      <c r="H297" t="n">
        <v>0</v>
      </c>
      <c r="I297" t="n">
        <v>0</v>
      </c>
      <c r="J297" t="n">
        <v>0</v>
      </c>
      <c r="K297" t="n">
        <v>0</v>
      </c>
      <c r="L297" t="n">
        <v>0</v>
      </c>
      <c r="M297" t="n">
        <v>0</v>
      </c>
      <c r="N297" t="n">
        <v>0</v>
      </c>
      <c r="O297" t="n">
        <v>0</v>
      </c>
      <c r="P297" t="n">
        <v>0</v>
      </c>
      <c r="Q297" t="n">
        <v>0</v>
      </c>
      <c r="R297" s="2" t="inlineStr"/>
    </row>
    <row r="298" ht="15" customHeight="1">
      <c r="A298" t="inlineStr">
        <is>
          <t>A 66167-2019</t>
        </is>
      </c>
      <c r="B298" s="1" t="n">
        <v>43808</v>
      </c>
      <c r="C298" s="1" t="n">
        <v>45724</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66270-2019</t>
        </is>
      </c>
      <c r="B299" s="1" t="n">
        <v>43808</v>
      </c>
      <c r="C299" s="1" t="n">
        <v>45724</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67108-2019</t>
        </is>
      </c>
      <c r="B300" s="1" t="n">
        <v>43811</v>
      </c>
      <c r="C300" s="1" t="n">
        <v>45724</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67281-2019</t>
        </is>
      </c>
      <c r="B301" s="1" t="n">
        <v>43812</v>
      </c>
      <c r="C301" s="1" t="n">
        <v>45724</v>
      </c>
      <c r="D301" t="inlineStr">
        <is>
          <t>UPPSALA LÄN</t>
        </is>
      </c>
      <c r="E301" t="inlineStr">
        <is>
          <t>UPPSALA</t>
        </is>
      </c>
      <c r="F301" t="inlineStr">
        <is>
          <t>Allmännings- och besparingsskogar</t>
        </is>
      </c>
      <c r="G301" t="n">
        <v>1.2</v>
      </c>
      <c r="H301" t="n">
        <v>0</v>
      </c>
      <c r="I301" t="n">
        <v>0</v>
      </c>
      <c r="J301" t="n">
        <v>0</v>
      </c>
      <c r="K301" t="n">
        <v>0</v>
      </c>
      <c r="L301" t="n">
        <v>0</v>
      </c>
      <c r="M301" t="n">
        <v>0</v>
      </c>
      <c r="N301" t="n">
        <v>0</v>
      </c>
      <c r="O301" t="n">
        <v>0</v>
      </c>
      <c r="P301" t="n">
        <v>0</v>
      </c>
      <c r="Q301" t="n">
        <v>0</v>
      </c>
      <c r="R301" s="2" t="inlineStr"/>
    </row>
    <row r="302" ht="15" customHeight="1">
      <c r="A302" t="inlineStr">
        <is>
          <t>A 67508-2019</t>
        </is>
      </c>
      <c r="B302" s="1" t="n">
        <v>43814</v>
      </c>
      <c r="C302" s="1" t="n">
        <v>45724</v>
      </c>
      <c r="D302" t="inlineStr">
        <is>
          <t>UPPSALA LÄN</t>
        </is>
      </c>
      <c r="E302" t="inlineStr">
        <is>
          <t>UPPSALA</t>
        </is>
      </c>
      <c r="F302" t="inlineStr">
        <is>
          <t>Allmännings- och besparingsskogar</t>
        </is>
      </c>
      <c r="G302" t="n">
        <v>4.9</v>
      </c>
      <c r="H302" t="n">
        <v>0</v>
      </c>
      <c r="I302" t="n">
        <v>0</v>
      </c>
      <c r="J302" t="n">
        <v>0</v>
      </c>
      <c r="K302" t="n">
        <v>0</v>
      </c>
      <c r="L302" t="n">
        <v>0</v>
      </c>
      <c r="M302" t="n">
        <v>0</v>
      </c>
      <c r="N302" t="n">
        <v>0</v>
      </c>
      <c r="O302" t="n">
        <v>0</v>
      </c>
      <c r="P302" t="n">
        <v>0</v>
      </c>
      <c r="Q302" t="n">
        <v>0</v>
      </c>
      <c r="R302" s="2" t="inlineStr"/>
    </row>
    <row r="303" ht="15" customHeight="1">
      <c r="A303" t="inlineStr">
        <is>
          <t>A 67504-2019</t>
        </is>
      </c>
      <c r="B303" s="1" t="n">
        <v>43814</v>
      </c>
      <c r="C303" s="1" t="n">
        <v>45724</v>
      </c>
      <c r="D303" t="inlineStr">
        <is>
          <t>UPPSALA LÄN</t>
        </is>
      </c>
      <c r="E303" t="inlineStr">
        <is>
          <t>UPPSALA</t>
        </is>
      </c>
      <c r="F303" t="inlineStr">
        <is>
          <t>Allmännings- och besparingsskogar</t>
        </is>
      </c>
      <c r="G303" t="n">
        <v>21.9</v>
      </c>
      <c r="H303" t="n">
        <v>0</v>
      </c>
      <c r="I303" t="n">
        <v>0</v>
      </c>
      <c r="J303" t="n">
        <v>0</v>
      </c>
      <c r="K303" t="n">
        <v>0</v>
      </c>
      <c r="L303" t="n">
        <v>0</v>
      </c>
      <c r="M303" t="n">
        <v>0</v>
      </c>
      <c r="N303" t="n">
        <v>0</v>
      </c>
      <c r="O303" t="n">
        <v>0</v>
      </c>
      <c r="P303" t="n">
        <v>0</v>
      </c>
      <c r="Q303" t="n">
        <v>0</v>
      </c>
      <c r="R303" s="2" t="inlineStr"/>
    </row>
    <row r="304" ht="15" customHeight="1">
      <c r="A304" t="inlineStr">
        <is>
          <t>A 67720-2019</t>
        </is>
      </c>
      <c r="B304" s="1" t="n">
        <v>43815</v>
      </c>
      <c r="C304" s="1" t="n">
        <v>45724</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67592-2019</t>
        </is>
      </c>
      <c r="B305" s="1" t="n">
        <v>43815</v>
      </c>
      <c r="C305" s="1" t="n">
        <v>45724</v>
      </c>
      <c r="D305" t="inlineStr">
        <is>
          <t>UPPSALA LÄN</t>
        </is>
      </c>
      <c r="E305" t="inlineStr">
        <is>
          <t>UPPSALA</t>
        </is>
      </c>
      <c r="F305" t="inlineStr">
        <is>
          <t>Övriga statliga verk och myndigheter</t>
        </is>
      </c>
      <c r="G305" t="n">
        <v>0.8</v>
      </c>
      <c r="H305" t="n">
        <v>0</v>
      </c>
      <c r="I305" t="n">
        <v>0</v>
      </c>
      <c r="J305" t="n">
        <v>0</v>
      </c>
      <c r="K305" t="n">
        <v>0</v>
      </c>
      <c r="L305" t="n">
        <v>0</v>
      </c>
      <c r="M305" t="n">
        <v>0</v>
      </c>
      <c r="N305" t="n">
        <v>0</v>
      </c>
      <c r="O305" t="n">
        <v>0</v>
      </c>
      <c r="P305" t="n">
        <v>0</v>
      </c>
      <c r="Q305" t="n">
        <v>0</v>
      </c>
      <c r="R305" s="2" t="inlineStr"/>
    </row>
    <row r="306" ht="15" customHeight="1">
      <c r="A306" t="inlineStr">
        <is>
          <t>A 68264-2019</t>
        </is>
      </c>
      <c r="B306" s="1" t="n">
        <v>43817</v>
      </c>
      <c r="C306" s="1" t="n">
        <v>45724</v>
      </c>
      <c r="D306" t="inlineStr">
        <is>
          <t>UPPSALA LÄN</t>
        </is>
      </c>
      <c r="E306" t="inlineStr">
        <is>
          <t>UPPSALA</t>
        </is>
      </c>
      <c r="G306" t="n">
        <v>2.9</v>
      </c>
      <c r="H306" t="n">
        <v>0</v>
      </c>
      <c r="I306" t="n">
        <v>0</v>
      </c>
      <c r="J306" t="n">
        <v>0</v>
      </c>
      <c r="K306" t="n">
        <v>0</v>
      </c>
      <c r="L306" t="n">
        <v>0</v>
      </c>
      <c r="M306" t="n">
        <v>0</v>
      </c>
      <c r="N306" t="n">
        <v>0</v>
      </c>
      <c r="O306" t="n">
        <v>0</v>
      </c>
      <c r="P306" t="n">
        <v>0</v>
      </c>
      <c r="Q306" t="n">
        <v>0</v>
      </c>
      <c r="R306" s="2" t="inlineStr"/>
    </row>
    <row r="307" ht="15" customHeight="1">
      <c r="A307" t="inlineStr">
        <is>
          <t>A 68265-2019</t>
        </is>
      </c>
      <c r="B307" s="1" t="n">
        <v>43817</v>
      </c>
      <c r="C307" s="1" t="n">
        <v>45724</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68317-2019</t>
        </is>
      </c>
      <c r="B308" s="1" t="n">
        <v>43818</v>
      </c>
      <c r="C308" s="1" t="n">
        <v>45724</v>
      </c>
      <c r="D308" t="inlineStr">
        <is>
          <t>UPPSALA LÄN</t>
        </is>
      </c>
      <c r="E308" t="inlineStr">
        <is>
          <t>UPPSALA</t>
        </is>
      </c>
      <c r="G308" t="n">
        <v>1.1</v>
      </c>
      <c r="H308" t="n">
        <v>0</v>
      </c>
      <c r="I308" t="n">
        <v>0</v>
      </c>
      <c r="J308" t="n">
        <v>0</v>
      </c>
      <c r="K308" t="n">
        <v>0</v>
      </c>
      <c r="L308" t="n">
        <v>0</v>
      </c>
      <c r="M308" t="n">
        <v>0</v>
      </c>
      <c r="N308" t="n">
        <v>0</v>
      </c>
      <c r="O308" t="n">
        <v>0</v>
      </c>
      <c r="P308" t="n">
        <v>0</v>
      </c>
      <c r="Q308" t="n">
        <v>0</v>
      </c>
      <c r="R308" s="2" t="inlineStr"/>
    </row>
    <row r="309" ht="15" customHeight="1">
      <c r="A309" t="inlineStr">
        <is>
          <t>A 68316-2019</t>
        </is>
      </c>
      <c r="B309" s="1" t="n">
        <v>43818</v>
      </c>
      <c r="C309" s="1" t="n">
        <v>45724</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68908-2019</t>
        </is>
      </c>
      <c r="B310" s="1" t="n">
        <v>43822</v>
      </c>
      <c r="C310" s="1" t="n">
        <v>45724</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529-2020</t>
        </is>
      </c>
      <c r="B311" s="1" t="n">
        <v>43837</v>
      </c>
      <c r="C311" s="1" t="n">
        <v>45724</v>
      </c>
      <c r="D311" t="inlineStr">
        <is>
          <t>UPPSALA LÄN</t>
        </is>
      </c>
      <c r="E311" t="inlineStr">
        <is>
          <t>UPPSALA</t>
        </is>
      </c>
      <c r="G311" t="n">
        <v>1.6</v>
      </c>
      <c r="H311" t="n">
        <v>0</v>
      </c>
      <c r="I311" t="n">
        <v>0</v>
      </c>
      <c r="J311" t="n">
        <v>0</v>
      </c>
      <c r="K311" t="n">
        <v>0</v>
      </c>
      <c r="L311" t="n">
        <v>0</v>
      </c>
      <c r="M311" t="n">
        <v>0</v>
      </c>
      <c r="N311" t="n">
        <v>0</v>
      </c>
      <c r="O311" t="n">
        <v>0</v>
      </c>
      <c r="P311" t="n">
        <v>0</v>
      </c>
      <c r="Q311" t="n">
        <v>0</v>
      </c>
      <c r="R311" s="2" t="inlineStr"/>
    </row>
    <row r="312" ht="15" customHeight="1">
      <c r="A312" t="inlineStr">
        <is>
          <t>A 1891-2020</t>
        </is>
      </c>
      <c r="B312" s="1" t="n">
        <v>43837</v>
      </c>
      <c r="C312" s="1" t="n">
        <v>45724</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701-2020</t>
        </is>
      </c>
      <c r="B313" s="1" t="n">
        <v>43838</v>
      </c>
      <c r="C313" s="1" t="n">
        <v>45724</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1171-2020</t>
        </is>
      </c>
      <c r="B314" s="1" t="n">
        <v>43840</v>
      </c>
      <c r="C314" s="1" t="n">
        <v>45724</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1688-2020</t>
        </is>
      </c>
      <c r="B315" s="1" t="n">
        <v>43844</v>
      </c>
      <c r="C315" s="1" t="n">
        <v>45724</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2162-2020</t>
        </is>
      </c>
      <c r="B316" s="1" t="n">
        <v>43846</v>
      </c>
      <c r="C316" s="1" t="n">
        <v>45724</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2895-2020</t>
        </is>
      </c>
      <c r="B317" s="1" t="n">
        <v>43850</v>
      </c>
      <c r="C317" s="1" t="n">
        <v>45724</v>
      </c>
      <c r="D317" t="inlineStr">
        <is>
          <t>UPPSALA LÄN</t>
        </is>
      </c>
      <c r="E317" t="inlineStr">
        <is>
          <t>UPPSALA</t>
        </is>
      </c>
      <c r="G317" t="n">
        <v>3.8</v>
      </c>
      <c r="H317" t="n">
        <v>0</v>
      </c>
      <c r="I317" t="n">
        <v>0</v>
      </c>
      <c r="J317" t="n">
        <v>0</v>
      </c>
      <c r="K317" t="n">
        <v>0</v>
      </c>
      <c r="L317" t="n">
        <v>0</v>
      </c>
      <c r="M317" t="n">
        <v>0</v>
      </c>
      <c r="N317" t="n">
        <v>0</v>
      </c>
      <c r="O317" t="n">
        <v>0</v>
      </c>
      <c r="P317" t="n">
        <v>0</v>
      </c>
      <c r="Q317" t="n">
        <v>0</v>
      </c>
      <c r="R317" s="2" t="inlineStr"/>
    </row>
    <row r="318" ht="15" customHeight="1">
      <c r="A318" t="inlineStr">
        <is>
          <t>A 3693-2020</t>
        </is>
      </c>
      <c r="B318" s="1" t="n">
        <v>43853</v>
      </c>
      <c r="C318" s="1" t="n">
        <v>45724</v>
      </c>
      <c r="D318" t="inlineStr">
        <is>
          <t>UPPSALA LÄN</t>
        </is>
      </c>
      <c r="E318" t="inlineStr">
        <is>
          <t>UPPSALA</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3516-2020</t>
        </is>
      </c>
      <c r="B319" s="1" t="n">
        <v>43853</v>
      </c>
      <c r="C319" s="1" t="n">
        <v>45724</v>
      </c>
      <c r="D319" t="inlineStr">
        <is>
          <t>UPPSALA LÄN</t>
        </is>
      </c>
      <c r="E319" t="inlineStr">
        <is>
          <t>UPPSALA</t>
        </is>
      </c>
      <c r="G319" t="n">
        <v>9.4</v>
      </c>
      <c r="H319" t="n">
        <v>0</v>
      </c>
      <c r="I319" t="n">
        <v>0</v>
      </c>
      <c r="J319" t="n">
        <v>0</v>
      </c>
      <c r="K319" t="n">
        <v>0</v>
      </c>
      <c r="L319" t="n">
        <v>0</v>
      </c>
      <c r="M319" t="n">
        <v>0</v>
      </c>
      <c r="N319" t="n">
        <v>0</v>
      </c>
      <c r="O319" t="n">
        <v>0</v>
      </c>
      <c r="P319" t="n">
        <v>0</v>
      </c>
      <c r="Q319" t="n">
        <v>0</v>
      </c>
      <c r="R319" s="2" t="inlineStr"/>
    </row>
    <row r="320" ht="15" customHeight="1">
      <c r="A320" t="inlineStr">
        <is>
          <t>A 6313-2020</t>
        </is>
      </c>
      <c r="B320" s="1" t="n">
        <v>43866</v>
      </c>
      <c r="C320" s="1" t="n">
        <v>45724</v>
      </c>
      <c r="D320" t="inlineStr">
        <is>
          <t>UPPSALA LÄN</t>
        </is>
      </c>
      <c r="E320" t="inlineStr">
        <is>
          <t>UPPSALA</t>
        </is>
      </c>
      <c r="F320" t="inlineStr">
        <is>
          <t>Övriga statliga verk och myndigheter</t>
        </is>
      </c>
      <c r="G320" t="n">
        <v>3.4</v>
      </c>
      <c r="H320" t="n">
        <v>0</v>
      </c>
      <c r="I320" t="n">
        <v>0</v>
      </c>
      <c r="J320" t="n">
        <v>0</v>
      </c>
      <c r="K320" t="n">
        <v>0</v>
      </c>
      <c r="L320" t="n">
        <v>0</v>
      </c>
      <c r="M320" t="n">
        <v>0</v>
      </c>
      <c r="N320" t="n">
        <v>0</v>
      </c>
      <c r="O320" t="n">
        <v>0</v>
      </c>
      <c r="P320" t="n">
        <v>0</v>
      </c>
      <c r="Q320" t="n">
        <v>0</v>
      </c>
      <c r="R320" s="2" t="inlineStr"/>
    </row>
    <row r="321" ht="15" customHeight="1">
      <c r="A321" t="inlineStr">
        <is>
          <t>A 6315-2020</t>
        </is>
      </c>
      <c r="B321" s="1" t="n">
        <v>43866</v>
      </c>
      <c r="C321" s="1" t="n">
        <v>45724</v>
      </c>
      <c r="D321" t="inlineStr">
        <is>
          <t>UPPSALA LÄN</t>
        </is>
      </c>
      <c r="E321" t="inlineStr">
        <is>
          <t>UPPSALA</t>
        </is>
      </c>
      <c r="F321" t="inlineStr">
        <is>
          <t>Övriga statliga verk och myndigheter</t>
        </is>
      </c>
      <c r="G321" t="n">
        <v>1.9</v>
      </c>
      <c r="H321" t="n">
        <v>0</v>
      </c>
      <c r="I321" t="n">
        <v>0</v>
      </c>
      <c r="J321" t="n">
        <v>0</v>
      </c>
      <c r="K321" t="n">
        <v>0</v>
      </c>
      <c r="L321" t="n">
        <v>0</v>
      </c>
      <c r="M321" t="n">
        <v>0</v>
      </c>
      <c r="N321" t="n">
        <v>0</v>
      </c>
      <c r="O321" t="n">
        <v>0</v>
      </c>
      <c r="P321" t="n">
        <v>0</v>
      </c>
      <c r="Q321" t="n">
        <v>0</v>
      </c>
      <c r="R321" s="2" t="inlineStr"/>
    </row>
    <row r="322" ht="15" customHeight="1">
      <c r="A322" t="inlineStr">
        <is>
          <t>A 6655-2020</t>
        </is>
      </c>
      <c r="B322" s="1" t="n">
        <v>43867</v>
      </c>
      <c r="C322" s="1" t="n">
        <v>45724</v>
      </c>
      <c r="D322" t="inlineStr">
        <is>
          <t>UPPSALA LÄN</t>
        </is>
      </c>
      <c r="E322" t="inlineStr">
        <is>
          <t>UPPSALA</t>
        </is>
      </c>
      <c r="G322" t="n">
        <v>7.3</v>
      </c>
      <c r="H322" t="n">
        <v>0</v>
      </c>
      <c r="I322" t="n">
        <v>0</v>
      </c>
      <c r="J322" t="n">
        <v>0</v>
      </c>
      <c r="K322" t="n">
        <v>0</v>
      </c>
      <c r="L322" t="n">
        <v>0</v>
      </c>
      <c r="M322" t="n">
        <v>0</v>
      </c>
      <c r="N322" t="n">
        <v>0</v>
      </c>
      <c r="O322" t="n">
        <v>0</v>
      </c>
      <c r="P322" t="n">
        <v>0</v>
      </c>
      <c r="Q322" t="n">
        <v>0</v>
      </c>
      <c r="R322" s="2" t="inlineStr"/>
    </row>
    <row r="323" ht="15" customHeight="1">
      <c r="A323" t="inlineStr">
        <is>
          <t>A 8261-2020</t>
        </is>
      </c>
      <c r="B323" s="1" t="n">
        <v>43874</v>
      </c>
      <c r="C323" s="1" t="n">
        <v>45724</v>
      </c>
      <c r="D323" t="inlineStr">
        <is>
          <t>UPPSALA LÄN</t>
        </is>
      </c>
      <c r="E323" t="inlineStr">
        <is>
          <t>UPPSALA</t>
        </is>
      </c>
      <c r="G323" t="n">
        <v>5.1</v>
      </c>
      <c r="H323" t="n">
        <v>0</v>
      </c>
      <c r="I323" t="n">
        <v>0</v>
      </c>
      <c r="J323" t="n">
        <v>0</v>
      </c>
      <c r="K323" t="n">
        <v>0</v>
      </c>
      <c r="L323" t="n">
        <v>0</v>
      </c>
      <c r="M323" t="n">
        <v>0</v>
      </c>
      <c r="N323" t="n">
        <v>0</v>
      </c>
      <c r="O323" t="n">
        <v>0</v>
      </c>
      <c r="P323" t="n">
        <v>0</v>
      </c>
      <c r="Q323" t="n">
        <v>0</v>
      </c>
      <c r="R323" s="2" t="inlineStr"/>
    </row>
    <row r="324" ht="15" customHeight="1">
      <c r="A324" t="inlineStr">
        <is>
          <t>A 8646-2020</t>
        </is>
      </c>
      <c r="B324" s="1" t="n">
        <v>43878</v>
      </c>
      <c r="C324" s="1" t="n">
        <v>45724</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8902-2020</t>
        </is>
      </c>
      <c r="B325" s="1" t="n">
        <v>43878</v>
      </c>
      <c r="C325" s="1" t="n">
        <v>45724</v>
      </c>
      <c r="D325" t="inlineStr">
        <is>
          <t>UPPSALA LÄN</t>
        </is>
      </c>
      <c r="E325" t="inlineStr">
        <is>
          <t>UPPSALA</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9011-2020</t>
        </is>
      </c>
      <c r="B326" s="1" t="n">
        <v>43879</v>
      </c>
      <c r="C326" s="1" t="n">
        <v>45724</v>
      </c>
      <c r="D326" t="inlineStr">
        <is>
          <t>UPPSALA LÄN</t>
        </is>
      </c>
      <c r="E326" t="inlineStr">
        <is>
          <t>UPPSALA</t>
        </is>
      </c>
      <c r="F326" t="inlineStr">
        <is>
          <t>Övriga statliga verk och myndigheter</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9084-2020</t>
        </is>
      </c>
      <c r="B327" s="1" t="n">
        <v>43879</v>
      </c>
      <c r="C327" s="1" t="n">
        <v>45724</v>
      </c>
      <c r="D327" t="inlineStr">
        <is>
          <t>UPPSALA LÄN</t>
        </is>
      </c>
      <c r="E327" t="inlineStr">
        <is>
          <t>UPPSALA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9257-2020</t>
        </is>
      </c>
      <c r="B328" s="1" t="n">
        <v>43879</v>
      </c>
      <c r="C328" s="1" t="n">
        <v>45724</v>
      </c>
      <c r="D328" t="inlineStr">
        <is>
          <t>UPPSALA LÄN</t>
        </is>
      </c>
      <c r="E328" t="inlineStr">
        <is>
          <t>UPPSALA</t>
        </is>
      </c>
      <c r="F328" t="inlineStr">
        <is>
          <t>Bergvik skog öst AB</t>
        </is>
      </c>
      <c r="G328" t="n">
        <v>5.8</v>
      </c>
      <c r="H328" t="n">
        <v>0</v>
      </c>
      <c r="I328" t="n">
        <v>0</v>
      </c>
      <c r="J328" t="n">
        <v>0</v>
      </c>
      <c r="K328" t="n">
        <v>0</v>
      </c>
      <c r="L328" t="n">
        <v>0</v>
      </c>
      <c r="M328" t="n">
        <v>0</v>
      </c>
      <c r="N328" t="n">
        <v>0</v>
      </c>
      <c r="O328" t="n">
        <v>0</v>
      </c>
      <c r="P328" t="n">
        <v>0</v>
      </c>
      <c r="Q328" t="n">
        <v>0</v>
      </c>
      <c r="R328" s="2" t="inlineStr"/>
    </row>
    <row r="329" ht="15" customHeight="1">
      <c r="A329" t="inlineStr">
        <is>
          <t>A 9658-2020</t>
        </is>
      </c>
      <c r="B329" s="1" t="n">
        <v>43881</v>
      </c>
      <c r="C329" s="1" t="n">
        <v>45724</v>
      </c>
      <c r="D329" t="inlineStr">
        <is>
          <t>UPPSALA LÄN</t>
        </is>
      </c>
      <c r="E329" t="inlineStr">
        <is>
          <t>UPPSALA</t>
        </is>
      </c>
      <c r="G329" t="n">
        <v>3.6</v>
      </c>
      <c r="H329" t="n">
        <v>0</v>
      </c>
      <c r="I329" t="n">
        <v>0</v>
      </c>
      <c r="J329" t="n">
        <v>0</v>
      </c>
      <c r="K329" t="n">
        <v>0</v>
      </c>
      <c r="L329" t="n">
        <v>0</v>
      </c>
      <c r="M329" t="n">
        <v>0</v>
      </c>
      <c r="N329" t="n">
        <v>0</v>
      </c>
      <c r="O329" t="n">
        <v>0</v>
      </c>
      <c r="P329" t="n">
        <v>0</v>
      </c>
      <c r="Q329" t="n">
        <v>0</v>
      </c>
      <c r="R329" s="2" t="inlineStr"/>
    </row>
    <row r="330" ht="15" customHeight="1">
      <c r="A330" t="inlineStr">
        <is>
          <t>A 10003-2020</t>
        </is>
      </c>
      <c r="B330" s="1" t="n">
        <v>43882</v>
      </c>
      <c r="C330" s="1" t="n">
        <v>45724</v>
      </c>
      <c r="D330" t="inlineStr">
        <is>
          <t>UPPSALA LÄN</t>
        </is>
      </c>
      <c r="E330" t="inlineStr">
        <is>
          <t>UPPSALA</t>
        </is>
      </c>
      <c r="F330" t="inlineStr">
        <is>
          <t>Kyrkan</t>
        </is>
      </c>
      <c r="G330" t="n">
        <v>5.2</v>
      </c>
      <c r="H330" t="n">
        <v>0</v>
      </c>
      <c r="I330" t="n">
        <v>0</v>
      </c>
      <c r="J330" t="n">
        <v>0</v>
      </c>
      <c r="K330" t="n">
        <v>0</v>
      </c>
      <c r="L330" t="n">
        <v>0</v>
      </c>
      <c r="M330" t="n">
        <v>0</v>
      </c>
      <c r="N330" t="n">
        <v>0</v>
      </c>
      <c r="O330" t="n">
        <v>0</v>
      </c>
      <c r="P330" t="n">
        <v>0</v>
      </c>
      <c r="Q330" t="n">
        <v>0</v>
      </c>
      <c r="R330" s="2" t="inlineStr"/>
    </row>
    <row r="331" ht="15" customHeight="1">
      <c r="A331" t="inlineStr">
        <is>
          <t>A 9949-2020</t>
        </is>
      </c>
      <c r="B331" s="1" t="n">
        <v>43882</v>
      </c>
      <c r="C331" s="1" t="n">
        <v>45724</v>
      </c>
      <c r="D331" t="inlineStr">
        <is>
          <t>UPPSALA LÄN</t>
        </is>
      </c>
      <c r="E331" t="inlineStr">
        <is>
          <t>UPPSALA</t>
        </is>
      </c>
      <c r="F331" t="inlineStr">
        <is>
          <t>Kyrkan</t>
        </is>
      </c>
      <c r="G331" t="n">
        <v>2.2</v>
      </c>
      <c r="H331" t="n">
        <v>0</v>
      </c>
      <c r="I331" t="n">
        <v>0</v>
      </c>
      <c r="J331" t="n">
        <v>0</v>
      </c>
      <c r="K331" t="n">
        <v>0</v>
      </c>
      <c r="L331" t="n">
        <v>0</v>
      </c>
      <c r="M331" t="n">
        <v>0</v>
      </c>
      <c r="N331" t="n">
        <v>0</v>
      </c>
      <c r="O331" t="n">
        <v>0</v>
      </c>
      <c r="P331" t="n">
        <v>0</v>
      </c>
      <c r="Q331" t="n">
        <v>0</v>
      </c>
      <c r="R331" s="2" t="inlineStr"/>
    </row>
    <row r="332" ht="15" customHeight="1">
      <c r="A332" t="inlineStr">
        <is>
          <t>A 10033-2020</t>
        </is>
      </c>
      <c r="B332" s="1" t="n">
        <v>43882</v>
      </c>
      <c r="C332" s="1" t="n">
        <v>45724</v>
      </c>
      <c r="D332" t="inlineStr">
        <is>
          <t>UPPSALA LÄN</t>
        </is>
      </c>
      <c r="E332" t="inlineStr">
        <is>
          <t>UPPSALA</t>
        </is>
      </c>
      <c r="G332" t="n">
        <v>4.6</v>
      </c>
      <c r="H332" t="n">
        <v>0</v>
      </c>
      <c r="I332" t="n">
        <v>0</v>
      </c>
      <c r="J332" t="n">
        <v>0</v>
      </c>
      <c r="K332" t="n">
        <v>0</v>
      </c>
      <c r="L332" t="n">
        <v>0</v>
      </c>
      <c r="M332" t="n">
        <v>0</v>
      </c>
      <c r="N332" t="n">
        <v>0</v>
      </c>
      <c r="O332" t="n">
        <v>0</v>
      </c>
      <c r="P332" t="n">
        <v>0</v>
      </c>
      <c r="Q332" t="n">
        <v>0</v>
      </c>
      <c r="R332" s="2" t="inlineStr"/>
    </row>
    <row r="333" ht="15" customHeight="1">
      <c r="A333" t="inlineStr">
        <is>
          <t>A 10478-2020</t>
        </is>
      </c>
      <c r="B333" s="1" t="n">
        <v>43886</v>
      </c>
      <c r="C333" s="1" t="n">
        <v>45724</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11540-2020</t>
        </is>
      </c>
      <c r="B334" s="1" t="n">
        <v>43887</v>
      </c>
      <c r="C334" s="1" t="n">
        <v>45724</v>
      </c>
      <c r="D334" t="inlineStr">
        <is>
          <t>UPPSALA LÄN</t>
        </is>
      </c>
      <c r="E334" t="inlineStr">
        <is>
          <t>UPPSALA</t>
        </is>
      </c>
      <c r="G334" t="n">
        <v>2.1</v>
      </c>
      <c r="H334" t="n">
        <v>0</v>
      </c>
      <c r="I334" t="n">
        <v>0</v>
      </c>
      <c r="J334" t="n">
        <v>0</v>
      </c>
      <c r="K334" t="n">
        <v>0</v>
      </c>
      <c r="L334" t="n">
        <v>0</v>
      </c>
      <c r="M334" t="n">
        <v>0</v>
      </c>
      <c r="N334" t="n">
        <v>0</v>
      </c>
      <c r="O334" t="n">
        <v>0</v>
      </c>
      <c r="P334" t="n">
        <v>0</v>
      </c>
      <c r="Q334" t="n">
        <v>0</v>
      </c>
      <c r="R334" s="2" t="inlineStr"/>
    </row>
    <row r="335" ht="15" customHeight="1">
      <c r="A335" t="inlineStr">
        <is>
          <t>A 11174-2020</t>
        </is>
      </c>
      <c r="B335" s="1" t="n">
        <v>43891</v>
      </c>
      <c r="C335" s="1" t="n">
        <v>45724</v>
      </c>
      <c r="D335" t="inlineStr">
        <is>
          <t>UPPSALA LÄN</t>
        </is>
      </c>
      <c r="E335" t="inlineStr">
        <is>
          <t>UPPSALA</t>
        </is>
      </c>
      <c r="F335" t="inlineStr">
        <is>
          <t>Övriga statliga verk och myndigheter</t>
        </is>
      </c>
      <c r="G335" t="n">
        <v>2.8</v>
      </c>
      <c r="H335" t="n">
        <v>0</v>
      </c>
      <c r="I335" t="n">
        <v>0</v>
      </c>
      <c r="J335" t="n">
        <v>0</v>
      </c>
      <c r="K335" t="n">
        <v>0</v>
      </c>
      <c r="L335" t="n">
        <v>0</v>
      </c>
      <c r="M335" t="n">
        <v>0</v>
      </c>
      <c r="N335" t="n">
        <v>0</v>
      </c>
      <c r="O335" t="n">
        <v>0</v>
      </c>
      <c r="P335" t="n">
        <v>0</v>
      </c>
      <c r="Q335" t="n">
        <v>0</v>
      </c>
      <c r="R335" s="2" t="inlineStr"/>
    </row>
    <row r="336" ht="15" customHeight="1">
      <c r="A336" t="inlineStr">
        <is>
          <t>A 12626-2020</t>
        </is>
      </c>
      <c r="B336" s="1" t="n">
        <v>43892</v>
      </c>
      <c r="C336" s="1" t="n">
        <v>45724</v>
      </c>
      <c r="D336" t="inlineStr">
        <is>
          <t>UPPSALA LÄN</t>
        </is>
      </c>
      <c r="E336" t="inlineStr">
        <is>
          <t>UPPSALA</t>
        </is>
      </c>
      <c r="G336" t="n">
        <v>11.4</v>
      </c>
      <c r="H336" t="n">
        <v>0</v>
      </c>
      <c r="I336" t="n">
        <v>0</v>
      </c>
      <c r="J336" t="n">
        <v>0</v>
      </c>
      <c r="K336" t="n">
        <v>0</v>
      </c>
      <c r="L336" t="n">
        <v>0</v>
      </c>
      <c r="M336" t="n">
        <v>0</v>
      </c>
      <c r="N336" t="n">
        <v>0</v>
      </c>
      <c r="O336" t="n">
        <v>0</v>
      </c>
      <c r="P336" t="n">
        <v>0</v>
      </c>
      <c r="Q336" t="n">
        <v>0</v>
      </c>
      <c r="R336" s="2" t="inlineStr"/>
    </row>
    <row r="337" ht="15" customHeight="1">
      <c r="A337" t="inlineStr">
        <is>
          <t>A 11336-2020</t>
        </is>
      </c>
      <c r="B337" s="1" t="n">
        <v>43892</v>
      </c>
      <c r="C337" s="1" t="n">
        <v>45724</v>
      </c>
      <c r="D337" t="inlineStr">
        <is>
          <t>UPPSALA LÄN</t>
        </is>
      </c>
      <c r="E337" t="inlineStr">
        <is>
          <t>UPPSALA</t>
        </is>
      </c>
      <c r="F337" t="inlineStr">
        <is>
          <t>Kyrkan</t>
        </is>
      </c>
      <c r="G337" t="n">
        <v>3.2</v>
      </c>
      <c r="H337" t="n">
        <v>0</v>
      </c>
      <c r="I337" t="n">
        <v>0</v>
      </c>
      <c r="J337" t="n">
        <v>0</v>
      </c>
      <c r="K337" t="n">
        <v>0</v>
      </c>
      <c r="L337" t="n">
        <v>0</v>
      </c>
      <c r="M337" t="n">
        <v>0</v>
      </c>
      <c r="N337" t="n">
        <v>0</v>
      </c>
      <c r="O337" t="n">
        <v>0</v>
      </c>
      <c r="P337" t="n">
        <v>0</v>
      </c>
      <c r="Q337" t="n">
        <v>0</v>
      </c>
      <c r="R337" s="2" t="inlineStr"/>
    </row>
    <row r="338" ht="15" customHeight="1">
      <c r="A338" t="inlineStr">
        <is>
          <t>A 11320-2020</t>
        </is>
      </c>
      <c r="B338" s="1" t="n">
        <v>43892</v>
      </c>
      <c r="C338" s="1" t="n">
        <v>45724</v>
      </c>
      <c r="D338" t="inlineStr">
        <is>
          <t>UPPSALA LÄN</t>
        </is>
      </c>
      <c r="E338" t="inlineStr">
        <is>
          <t>UPPSALA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12028-2020</t>
        </is>
      </c>
      <c r="B339" s="1" t="n">
        <v>43894</v>
      </c>
      <c r="C339" s="1" t="n">
        <v>45724</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12055-2020</t>
        </is>
      </c>
      <c r="B340" s="1" t="n">
        <v>43894</v>
      </c>
      <c r="C340" s="1" t="n">
        <v>45724</v>
      </c>
      <c r="D340" t="inlineStr">
        <is>
          <t>UPPSALA LÄN</t>
        </is>
      </c>
      <c r="E340" t="inlineStr">
        <is>
          <t>UPPSALA</t>
        </is>
      </c>
      <c r="G340" t="n">
        <v>6.2</v>
      </c>
      <c r="H340" t="n">
        <v>0</v>
      </c>
      <c r="I340" t="n">
        <v>0</v>
      </c>
      <c r="J340" t="n">
        <v>0</v>
      </c>
      <c r="K340" t="n">
        <v>0</v>
      </c>
      <c r="L340" t="n">
        <v>0</v>
      </c>
      <c r="M340" t="n">
        <v>0</v>
      </c>
      <c r="N340" t="n">
        <v>0</v>
      </c>
      <c r="O340" t="n">
        <v>0</v>
      </c>
      <c r="P340" t="n">
        <v>0</v>
      </c>
      <c r="Q340" t="n">
        <v>0</v>
      </c>
      <c r="R340" s="2" t="inlineStr"/>
    </row>
    <row r="341" ht="15" customHeight="1">
      <c r="A341" t="inlineStr">
        <is>
          <t>A 12848-2020</t>
        </is>
      </c>
      <c r="B341" s="1" t="n">
        <v>43899</v>
      </c>
      <c r="C341" s="1" t="n">
        <v>45724</v>
      </c>
      <c r="D341" t="inlineStr">
        <is>
          <t>UPPSALA LÄN</t>
        </is>
      </c>
      <c r="E341" t="inlineStr">
        <is>
          <t>UPPSALA</t>
        </is>
      </c>
      <c r="G341" t="n">
        <v>10.3</v>
      </c>
      <c r="H341" t="n">
        <v>0</v>
      </c>
      <c r="I341" t="n">
        <v>0</v>
      </c>
      <c r="J341" t="n">
        <v>0</v>
      </c>
      <c r="K341" t="n">
        <v>0</v>
      </c>
      <c r="L341" t="n">
        <v>0</v>
      </c>
      <c r="M341" t="n">
        <v>0</v>
      </c>
      <c r="N341" t="n">
        <v>0</v>
      </c>
      <c r="O341" t="n">
        <v>0</v>
      </c>
      <c r="P341" t="n">
        <v>0</v>
      </c>
      <c r="Q341" t="n">
        <v>0</v>
      </c>
      <c r="R341" s="2" t="inlineStr"/>
    </row>
    <row r="342" ht="15" customHeight="1">
      <c r="A342" t="inlineStr">
        <is>
          <t>A 12781-2020</t>
        </is>
      </c>
      <c r="B342" s="1" t="n">
        <v>43899</v>
      </c>
      <c r="C342" s="1" t="n">
        <v>45724</v>
      </c>
      <c r="D342" t="inlineStr">
        <is>
          <t>UPPSALA LÄN</t>
        </is>
      </c>
      <c r="E342" t="inlineStr">
        <is>
          <t>UPPSALA</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13636-2020</t>
        </is>
      </c>
      <c r="B343" s="1" t="n">
        <v>43903</v>
      </c>
      <c r="C343" s="1" t="n">
        <v>45724</v>
      </c>
      <c r="D343" t="inlineStr">
        <is>
          <t>UPPSALA LÄN</t>
        </is>
      </c>
      <c r="E343" t="inlineStr">
        <is>
          <t>UPPSALA</t>
        </is>
      </c>
      <c r="G343" t="n">
        <v>2.7</v>
      </c>
      <c r="H343" t="n">
        <v>0</v>
      </c>
      <c r="I343" t="n">
        <v>0</v>
      </c>
      <c r="J343" t="n">
        <v>0</v>
      </c>
      <c r="K343" t="n">
        <v>0</v>
      </c>
      <c r="L343" t="n">
        <v>0</v>
      </c>
      <c r="M343" t="n">
        <v>0</v>
      </c>
      <c r="N343" t="n">
        <v>0</v>
      </c>
      <c r="O343" t="n">
        <v>0</v>
      </c>
      <c r="P343" t="n">
        <v>0</v>
      </c>
      <c r="Q343" t="n">
        <v>0</v>
      </c>
      <c r="R343" s="2" t="inlineStr"/>
    </row>
    <row r="344" ht="15" customHeight="1">
      <c r="A344" t="inlineStr">
        <is>
          <t>A 14469-2020</t>
        </is>
      </c>
      <c r="B344" s="1" t="n">
        <v>43908</v>
      </c>
      <c r="C344" s="1" t="n">
        <v>45724</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14423-2020</t>
        </is>
      </c>
      <c r="B345" s="1" t="n">
        <v>43908</v>
      </c>
      <c r="C345" s="1" t="n">
        <v>45724</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14472-2020</t>
        </is>
      </c>
      <c r="B346" s="1" t="n">
        <v>43908</v>
      </c>
      <c r="C346" s="1" t="n">
        <v>45724</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14427-2020</t>
        </is>
      </c>
      <c r="B347" s="1" t="n">
        <v>43908</v>
      </c>
      <c r="C347" s="1" t="n">
        <v>45724</v>
      </c>
      <c r="D347" t="inlineStr">
        <is>
          <t>UPPSALA LÄN</t>
        </is>
      </c>
      <c r="E347" t="inlineStr">
        <is>
          <t>UPPSALA</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15344-2020</t>
        </is>
      </c>
      <c r="B348" s="1" t="n">
        <v>43913</v>
      </c>
      <c r="C348" s="1" t="n">
        <v>45724</v>
      </c>
      <c r="D348" t="inlineStr">
        <is>
          <t>UPPSALA LÄN</t>
        </is>
      </c>
      <c r="E348" t="inlineStr">
        <is>
          <t>UPPSALA</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18106-2020</t>
        </is>
      </c>
      <c r="B349" s="1" t="n">
        <v>43927</v>
      </c>
      <c r="C349" s="1" t="n">
        <v>45724</v>
      </c>
      <c r="D349" t="inlineStr">
        <is>
          <t>UPPSALA LÄN</t>
        </is>
      </c>
      <c r="E349" t="inlineStr">
        <is>
          <t>UPPSALA</t>
        </is>
      </c>
      <c r="G349" t="n">
        <v>0.7</v>
      </c>
      <c r="H349" t="n">
        <v>0</v>
      </c>
      <c r="I349" t="n">
        <v>0</v>
      </c>
      <c r="J349" t="n">
        <v>0</v>
      </c>
      <c r="K349" t="n">
        <v>0</v>
      </c>
      <c r="L349" t="n">
        <v>0</v>
      </c>
      <c r="M349" t="n">
        <v>0</v>
      </c>
      <c r="N349" t="n">
        <v>0</v>
      </c>
      <c r="O349" t="n">
        <v>0</v>
      </c>
      <c r="P349" t="n">
        <v>0</v>
      </c>
      <c r="Q349" t="n">
        <v>0</v>
      </c>
      <c r="R349" s="2" t="inlineStr"/>
    </row>
    <row r="350" ht="15" customHeight="1">
      <c r="A350" t="inlineStr">
        <is>
          <t>A 18114-2020</t>
        </is>
      </c>
      <c r="B350" s="1" t="n">
        <v>43927</v>
      </c>
      <c r="C350" s="1" t="n">
        <v>45724</v>
      </c>
      <c r="D350" t="inlineStr">
        <is>
          <t>UPPSALA LÄN</t>
        </is>
      </c>
      <c r="E350" t="inlineStr">
        <is>
          <t>UPPSALA</t>
        </is>
      </c>
      <c r="G350" t="n">
        <v>1.6</v>
      </c>
      <c r="H350" t="n">
        <v>0</v>
      </c>
      <c r="I350" t="n">
        <v>0</v>
      </c>
      <c r="J350" t="n">
        <v>0</v>
      </c>
      <c r="K350" t="n">
        <v>0</v>
      </c>
      <c r="L350" t="n">
        <v>0</v>
      </c>
      <c r="M350" t="n">
        <v>0</v>
      </c>
      <c r="N350" t="n">
        <v>0</v>
      </c>
      <c r="O350" t="n">
        <v>0</v>
      </c>
      <c r="P350" t="n">
        <v>0</v>
      </c>
      <c r="Q350" t="n">
        <v>0</v>
      </c>
      <c r="R350" s="2" t="inlineStr"/>
    </row>
    <row r="351" ht="15" customHeight="1">
      <c r="A351" t="inlineStr">
        <is>
          <t>A 18469-2020</t>
        </is>
      </c>
      <c r="B351" s="1" t="n">
        <v>43929</v>
      </c>
      <c r="C351" s="1" t="n">
        <v>45724</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19210-2020</t>
        </is>
      </c>
      <c r="B352" s="1" t="n">
        <v>43937</v>
      </c>
      <c r="C352" s="1" t="n">
        <v>45724</v>
      </c>
      <c r="D352" t="inlineStr">
        <is>
          <t>UPPSALA LÄN</t>
        </is>
      </c>
      <c r="E352" t="inlineStr">
        <is>
          <t>UPPSALA</t>
        </is>
      </c>
      <c r="G352" t="n">
        <v>3.7</v>
      </c>
      <c r="H352" t="n">
        <v>0</v>
      </c>
      <c r="I352" t="n">
        <v>0</v>
      </c>
      <c r="J352" t="n">
        <v>0</v>
      </c>
      <c r="K352" t="n">
        <v>0</v>
      </c>
      <c r="L352" t="n">
        <v>0</v>
      </c>
      <c r="M352" t="n">
        <v>0</v>
      </c>
      <c r="N352" t="n">
        <v>0</v>
      </c>
      <c r="O352" t="n">
        <v>0</v>
      </c>
      <c r="P352" t="n">
        <v>0</v>
      </c>
      <c r="Q352" t="n">
        <v>0</v>
      </c>
      <c r="R352" s="2" t="inlineStr"/>
    </row>
    <row r="353" ht="15" customHeight="1">
      <c r="A353" t="inlineStr">
        <is>
          <t>A 20218-2020</t>
        </is>
      </c>
      <c r="B353" s="1" t="n">
        <v>43944</v>
      </c>
      <c r="C353" s="1" t="n">
        <v>45724</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20506-2020</t>
        </is>
      </c>
      <c r="B354" s="1" t="n">
        <v>43948</v>
      </c>
      <c r="C354" s="1" t="n">
        <v>45724</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20490-2020</t>
        </is>
      </c>
      <c r="B355" s="1" t="n">
        <v>43948</v>
      </c>
      <c r="C355" s="1" t="n">
        <v>45724</v>
      </c>
      <c r="D355" t="inlineStr">
        <is>
          <t>UPPSALA LÄN</t>
        </is>
      </c>
      <c r="E355" t="inlineStr">
        <is>
          <t>UPPSALA</t>
        </is>
      </c>
      <c r="G355" t="n">
        <v>2.8</v>
      </c>
      <c r="H355" t="n">
        <v>0</v>
      </c>
      <c r="I355" t="n">
        <v>0</v>
      </c>
      <c r="J355" t="n">
        <v>0</v>
      </c>
      <c r="K355" t="n">
        <v>0</v>
      </c>
      <c r="L355" t="n">
        <v>0</v>
      </c>
      <c r="M355" t="n">
        <v>0</v>
      </c>
      <c r="N355" t="n">
        <v>0</v>
      </c>
      <c r="O355" t="n">
        <v>0</v>
      </c>
      <c r="P355" t="n">
        <v>0</v>
      </c>
      <c r="Q355" t="n">
        <v>0</v>
      </c>
      <c r="R355" s="2" t="inlineStr"/>
    </row>
    <row r="356" ht="15" customHeight="1">
      <c r="A356" t="inlineStr">
        <is>
          <t>A 20960-2020</t>
        </is>
      </c>
      <c r="B356" s="1" t="n">
        <v>43950</v>
      </c>
      <c r="C356" s="1" t="n">
        <v>45724</v>
      </c>
      <c r="D356" t="inlineStr">
        <is>
          <t>UPPSALA LÄN</t>
        </is>
      </c>
      <c r="E356" t="inlineStr">
        <is>
          <t>UPPSALA</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24300-2020</t>
        </is>
      </c>
      <c r="B357" s="1" t="n">
        <v>43973</v>
      </c>
      <c r="C357" s="1" t="n">
        <v>45724</v>
      </c>
      <c r="D357" t="inlineStr">
        <is>
          <t>UPPSALA LÄN</t>
        </is>
      </c>
      <c r="E357" t="inlineStr">
        <is>
          <t>UPPSALA</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24287-2020</t>
        </is>
      </c>
      <c r="B358" s="1" t="n">
        <v>43976</v>
      </c>
      <c r="C358" s="1" t="n">
        <v>45724</v>
      </c>
      <c r="D358" t="inlineStr">
        <is>
          <t>UPPSALA LÄN</t>
        </is>
      </c>
      <c r="E358" t="inlineStr">
        <is>
          <t>UPPSALA</t>
        </is>
      </c>
      <c r="G358" t="n">
        <v>1</v>
      </c>
      <c r="H358" t="n">
        <v>0</v>
      </c>
      <c r="I358" t="n">
        <v>0</v>
      </c>
      <c r="J358" t="n">
        <v>0</v>
      </c>
      <c r="K358" t="n">
        <v>0</v>
      </c>
      <c r="L358" t="n">
        <v>0</v>
      </c>
      <c r="M358" t="n">
        <v>0</v>
      </c>
      <c r="N358" t="n">
        <v>0</v>
      </c>
      <c r="O358" t="n">
        <v>0</v>
      </c>
      <c r="P358" t="n">
        <v>0</v>
      </c>
      <c r="Q358" t="n">
        <v>0</v>
      </c>
      <c r="R358" s="2" t="inlineStr"/>
    </row>
    <row r="359" ht="15" customHeight="1">
      <c r="A359" t="inlineStr">
        <is>
          <t>A 25798-2020</t>
        </is>
      </c>
      <c r="B359" s="1" t="n">
        <v>43984</v>
      </c>
      <c r="C359" s="1" t="n">
        <v>45724</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26488-2020</t>
        </is>
      </c>
      <c r="B360" s="1" t="n">
        <v>43987</v>
      </c>
      <c r="C360" s="1" t="n">
        <v>45724</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26492-2020</t>
        </is>
      </c>
      <c r="B361" s="1" t="n">
        <v>43987</v>
      </c>
      <c r="C361" s="1" t="n">
        <v>45724</v>
      </c>
      <c r="D361" t="inlineStr">
        <is>
          <t>UPPSALA LÄN</t>
        </is>
      </c>
      <c r="E361" t="inlineStr">
        <is>
          <t>UPPSALA</t>
        </is>
      </c>
      <c r="G361" t="n">
        <v>9.5</v>
      </c>
      <c r="H361" t="n">
        <v>0</v>
      </c>
      <c r="I361" t="n">
        <v>0</v>
      </c>
      <c r="J361" t="n">
        <v>0</v>
      </c>
      <c r="K361" t="n">
        <v>0</v>
      </c>
      <c r="L361" t="n">
        <v>0</v>
      </c>
      <c r="M361" t="n">
        <v>0</v>
      </c>
      <c r="N361" t="n">
        <v>0</v>
      </c>
      <c r="O361" t="n">
        <v>0</v>
      </c>
      <c r="P361" t="n">
        <v>0</v>
      </c>
      <c r="Q361" t="n">
        <v>0</v>
      </c>
      <c r="R361" s="2" t="inlineStr"/>
    </row>
    <row r="362" ht="15" customHeight="1">
      <c r="A362" t="inlineStr">
        <is>
          <t>A 26856-2020</t>
        </is>
      </c>
      <c r="B362" s="1" t="n">
        <v>43990</v>
      </c>
      <c r="C362" s="1" t="n">
        <v>45724</v>
      </c>
      <c r="D362" t="inlineStr">
        <is>
          <t>UPPSALA LÄN</t>
        </is>
      </c>
      <c r="E362" t="inlineStr">
        <is>
          <t>UPPSALA</t>
        </is>
      </c>
      <c r="G362" t="n">
        <v>1.5</v>
      </c>
      <c r="H362" t="n">
        <v>0</v>
      </c>
      <c r="I362" t="n">
        <v>0</v>
      </c>
      <c r="J362" t="n">
        <v>0</v>
      </c>
      <c r="K362" t="n">
        <v>0</v>
      </c>
      <c r="L362" t="n">
        <v>0</v>
      </c>
      <c r="M362" t="n">
        <v>0</v>
      </c>
      <c r="N362" t="n">
        <v>0</v>
      </c>
      <c r="O362" t="n">
        <v>0</v>
      </c>
      <c r="P362" t="n">
        <v>0</v>
      </c>
      <c r="Q362" t="n">
        <v>0</v>
      </c>
      <c r="R362" s="2" t="inlineStr"/>
    </row>
    <row r="363" ht="15" customHeight="1">
      <c r="A363" t="inlineStr">
        <is>
          <t>A 28565-2020</t>
        </is>
      </c>
      <c r="B363" s="1" t="n">
        <v>43999</v>
      </c>
      <c r="C363" s="1" t="n">
        <v>45724</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28514-2020</t>
        </is>
      </c>
      <c r="B364" s="1" t="n">
        <v>43999</v>
      </c>
      <c r="C364" s="1" t="n">
        <v>45724</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28993-2020</t>
        </is>
      </c>
      <c r="B365" s="1" t="n">
        <v>44000</v>
      </c>
      <c r="C365" s="1" t="n">
        <v>45724</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29034-2020</t>
        </is>
      </c>
      <c r="B366" s="1" t="n">
        <v>44000</v>
      </c>
      <c r="C366" s="1" t="n">
        <v>45724</v>
      </c>
      <c r="D366" t="inlineStr">
        <is>
          <t>UPPSALA LÄN</t>
        </is>
      </c>
      <c r="E366" t="inlineStr">
        <is>
          <t>UPPSALA</t>
        </is>
      </c>
      <c r="G366" t="n">
        <v>2</v>
      </c>
      <c r="H366" t="n">
        <v>0</v>
      </c>
      <c r="I366" t="n">
        <v>0</v>
      </c>
      <c r="J366" t="n">
        <v>0</v>
      </c>
      <c r="K366" t="n">
        <v>0</v>
      </c>
      <c r="L366" t="n">
        <v>0</v>
      </c>
      <c r="M366" t="n">
        <v>0</v>
      </c>
      <c r="N366" t="n">
        <v>0</v>
      </c>
      <c r="O366" t="n">
        <v>0</v>
      </c>
      <c r="P366" t="n">
        <v>0</v>
      </c>
      <c r="Q366" t="n">
        <v>0</v>
      </c>
      <c r="R366" s="2" t="inlineStr"/>
    </row>
    <row r="367" ht="15" customHeight="1">
      <c r="A367" t="inlineStr">
        <is>
          <t>A 30196-2020</t>
        </is>
      </c>
      <c r="B367" s="1" t="n">
        <v>44007</v>
      </c>
      <c r="C367" s="1" t="n">
        <v>45724</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30208-2020</t>
        </is>
      </c>
      <c r="B368" s="1" t="n">
        <v>44007</v>
      </c>
      <c r="C368" s="1" t="n">
        <v>45724</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31219-2020</t>
        </is>
      </c>
      <c r="B369" s="1" t="n">
        <v>44012</v>
      </c>
      <c r="C369" s="1" t="n">
        <v>45724</v>
      </c>
      <c r="D369" t="inlineStr">
        <is>
          <t>UPPSALA LÄN</t>
        </is>
      </c>
      <c r="E369" t="inlineStr">
        <is>
          <t>UPPSALA</t>
        </is>
      </c>
      <c r="F369" t="inlineStr">
        <is>
          <t>Bergvik skog öst AB</t>
        </is>
      </c>
      <c r="G369" t="n">
        <v>7.4</v>
      </c>
      <c r="H369" t="n">
        <v>0</v>
      </c>
      <c r="I369" t="n">
        <v>0</v>
      </c>
      <c r="J369" t="n">
        <v>0</v>
      </c>
      <c r="K369" t="n">
        <v>0</v>
      </c>
      <c r="L369" t="n">
        <v>0</v>
      </c>
      <c r="M369" t="n">
        <v>0</v>
      </c>
      <c r="N369" t="n">
        <v>0</v>
      </c>
      <c r="O369" t="n">
        <v>0</v>
      </c>
      <c r="P369" t="n">
        <v>0</v>
      </c>
      <c r="Q369" t="n">
        <v>0</v>
      </c>
      <c r="R369" s="2" t="inlineStr"/>
    </row>
    <row r="370" ht="15" customHeight="1">
      <c r="A370" t="inlineStr">
        <is>
          <t>A 31430-2020</t>
        </is>
      </c>
      <c r="B370" s="1" t="n">
        <v>44013</v>
      </c>
      <c r="C370" s="1" t="n">
        <v>45724</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31932-2020</t>
        </is>
      </c>
      <c r="B371" s="1" t="n">
        <v>44014</v>
      </c>
      <c r="C371" s="1" t="n">
        <v>45724</v>
      </c>
      <c r="D371" t="inlineStr">
        <is>
          <t>UPPSALA LÄN</t>
        </is>
      </c>
      <c r="E371" t="inlineStr">
        <is>
          <t>UPPSALA</t>
        </is>
      </c>
      <c r="G371" t="n">
        <v>5.6</v>
      </c>
      <c r="H371" t="n">
        <v>0</v>
      </c>
      <c r="I371" t="n">
        <v>0</v>
      </c>
      <c r="J371" t="n">
        <v>0</v>
      </c>
      <c r="K371" t="n">
        <v>0</v>
      </c>
      <c r="L371" t="n">
        <v>0</v>
      </c>
      <c r="M371" t="n">
        <v>0</v>
      </c>
      <c r="N371" t="n">
        <v>0</v>
      </c>
      <c r="O371" t="n">
        <v>0</v>
      </c>
      <c r="P371" t="n">
        <v>0</v>
      </c>
      <c r="Q371" t="n">
        <v>0</v>
      </c>
      <c r="R371" s="2" t="inlineStr"/>
    </row>
    <row r="372" ht="15" customHeight="1">
      <c r="A372" t="inlineStr">
        <is>
          <t>A 32235-2020</t>
        </is>
      </c>
      <c r="B372" s="1" t="n">
        <v>44015</v>
      </c>
      <c r="C372" s="1" t="n">
        <v>45724</v>
      </c>
      <c r="D372" t="inlineStr">
        <is>
          <t>UPPSALA LÄN</t>
        </is>
      </c>
      <c r="E372" t="inlineStr">
        <is>
          <t>UPPSALA</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32340-2020</t>
        </is>
      </c>
      <c r="B373" s="1" t="n">
        <v>44016</v>
      </c>
      <c r="C373" s="1" t="n">
        <v>45724</v>
      </c>
      <c r="D373" t="inlineStr">
        <is>
          <t>UPPSALA LÄN</t>
        </is>
      </c>
      <c r="E373" t="inlineStr">
        <is>
          <t>UPPSALA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32608-2020</t>
        </is>
      </c>
      <c r="B374" s="1" t="n">
        <v>44019</v>
      </c>
      <c r="C374" s="1" t="n">
        <v>45724</v>
      </c>
      <c r="D374" t="inlineStr">
        <is>
          <t>UPPSALA LÄN</t>
        </is>
      </c>
      <c r="E374" t="inlineStr">
        <is>
          <t>UPPSALA</t>
        </is>
      </c>
      <c r="F374" t="inlineStr">
        <is>
          <t>Bergvik skog öst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33658-2020</t>
        </is>
      </c>
      <c r="B375" s="1" t="n">
        <v>44026</v>
      </c>
      <c r="C375" s="1" t="n">
        <v>45724</v>
      </c>
      <c r="D375" t="inlineStr">
        <is>
          <t>UPPSALA LÄN</t>
        </is>
      </c>
      <c r="E375" t="inlineStr">
        <is>
          <t>UPPSALA</t>
        </is>
      </c>
      <c r="G375" t="n">
        <v>2.2</v>
      </c>
      <c r="H375" t="n">
        <v>0</v>
      </c>
      <c r="I375" t="n">
        <v>0</v>
      </c>
      <c r="J375" t="n">
        <v>0</v>
      </c>
      <c r="K375" t="n">
        <v>0</v>
      </c>
      <c r="L375" t="n">
        <v>0</v>
      </c>
      <c r="M375" t="n">
        <v>0</v>
      </c>
      <c r="N375" t="n">
        <v>0</v>
      </c>
      <c r="O375" t="n">
        <v>0</v>
      </c>
      <c r="P375" t="n">
        <v>0</v>
      </c>
      <c r="Q375" t="n">
        <v>0</v>
      </c>
      <c r="R375" s="2" t="inlineStr"/>
    </row>
    <row r="376" ht="15" customHeight="1">
      <c r="A376" t="inlineStr">
        <is>
          <t>A 34205-2020</t>
        </is>
      </c>
      <c r="B376" s="1" t="n">
        <v>44029</v>
      </c>
      <c r="C376" s="1" t="n">
        <v>45724</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34565-2020</t>
        </is>
      </c>
      <c r="B377" s="1" t="n">
        <v>44033</v>
      </c>
      <c r="C377" s="1" t="n">
        <v>45724</v>
      </c>
      <c r="D377" t="inlineStr">
        <is>
          <t>UPPSALA LÄN</t>
        </is>
      </c>
      <c r="E377" t="inlineStr">
        <is>
          <t>UPPSALA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34753-2020</t>
        </is>
      </c>
      <c r="B378" s="1" t="n">
        <v>44035</v>
      </c>
      <c r="C378" s="1" t="n">
        <v>45724</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34749-2020</t>
        </is>
      </c>
      <c r="B379" s="1" t="n">
        <v>44035</v>
      </c>
      <c r="C379" s="1" t="n">
        <v>45724</v>
      </c>
      <c r="D379" t="inlineStr">
        <is>
          <t>UPPSALA LÄN</t>
        </is>
      </c>
      <c r="E379" t="inlineStr">
        <is>
          <t>UPPSALA</t>
        </is>
      </c>
      <c r="G379" t="n">
        <v>5.5</v>
      </c>
      <c r="H379" t="n">
        <v>0</v>
      </c>
      <c r="I379" t="n">
        <v>0</v>
      </c>
      <c r="J379" t="n">
        <v>0</v>
      </c>
      <c r="K379" t="n">
        <v>0</v>
      </c>
      <c r="L379" t="n">
        <v>0</v>
      </c>
      <c r="M379" t="n">
        <v>0</v>
      </c>
      <c r="N379" t="n">
        <v>0</v>
      </c>
      <c r="O379" t="n">
        <v>0</v>
      </c>
      <c r="P379" t="n">
        <v>0</v>
      </c>
      <c r="Q379" t="n">
        <v>0</v>
      </c>
      <c r="R379" s="2" t="inlineStr"/>
    </row>
    <row r="380" ht="15" customHeight="1">
      <c r="A380" t="inlineStr">
        <is>
          <t>A 35281-2020</t>
        </is>
      </c>
      <c r="B380" s="1" t="n">
        <v>44041</v>
      </c>
      <c r="C380" s="1" t="n">
        <v>45724</v>
      </c>
      <c r="D380" t="inlineStr">
        <is>
          <t>UPPSALA LÄN</t>
        </is>
      </c>
      <c r="E380" t="inlineStr">
        <is>
          <t>UPPSALA</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36035-2020</t>
        </is>
      </c>
      <c r="B381" s="1" t="n">
        <v>44048</v>
      </c>
      <c r="C381" s="1" t="n">
        <v>45724</v>
      </c>
      <c r="D381" t="inlineStr">
        <is>
          <t>UPPSALA LÄN</t>
        </is>
      </c>
      <c r="E381" t="inlineStr">
        <is>
          <t>UPPSALA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36202-2020</t>
        </is>
      </c>
      <c r="B382" s="1" t="n">
        <v>44048</v>
      </c>
      <c r="C382" s="1" t="n">
        <v>45724</v>
      </c>
      <c r="D382" t="inlineStr">
        <is>
          <t>UPPSALA LÄN</t>
        </is>
      </c>
      <c r="E382" t="inlineStr">
        <is>
          <t>UPPSALA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36198-2020</t>
        </is>
      </c>
      <c r="B383" s="1" t="n">
        <v>44048</v>
      </c>
      <c r="C383" s="1" t="n">
        <v>45724</v>
      </c>
      <c r="D383" t="inlineStr">
        <is>
          <t>UPPSALA LÄN</t>
        </is>
      </c>
      <c r="E383" t="inlineStr">
        <is>
          <t>UPPSALA</t>
        </is>
      </c>
      <c r="F383" t="inlineStr">
        <is>
          <t>Bergvik skog öst AB</t>
        </is>
      </c>
      <c r="G383" t="n">
        <v>0.3</v>
      </c>
      <c r="H383" t="n">
        <v>0</v>
      </c>
      <c r="I383" t="n">
        <v>0</v>
      </c>
      <c r="J383" t="n">
        <v>0</v>
      </c>
      <c r="K383" t="n">
        <v>0</v>
      </c>
      <c r="L383" t="n">
        <v>0</v>
      </c>
      <c r="M383" t="n">
        <v>0</v>
      </c>
      <c r="N383" t="n">
        <v>0</v>
      </c>
      <c r="O383" t="n">
        <v>0</v>
      </c>
      <c r="P383" t="n">
        <v>0</v>
      </c>
      <c r="Q383" t="n">
        <v>0</v>
      </c>
      <c r="R383" s="2" t="inlineStr"/>
    </row>
    <row r="384" ht="15" customHeight="1">
      <c r="A384" t="inlineStr">
        <is>
          <t>A 36350-2020</t>
        </is>
      </c>
      <c r="B384" s="1" t="n">
        <v>44049</v>
      </c>
      <c r="C384" s="1" t="n">
        <v>45724</v>
      </c>
      <c r="D384" t="inlineStr">
        <is>
          <t>UPPSALA LÄN</t>
        </is>
      </c>
      <c r="E384" t="inlineStr">
        <is>
          <t>UPPSALA</t>
        </is>
      </c>
      <c r="G384" t="n">
        <v>1.9</v>
      </c>
      <c r="H384" t="n">
        <v>0</v>
      </c>
      <c r="I384" t="n">
        <v>0</v>
      </c>
      <c r="J384" t="n">
        <v>0</v>
      </c>
      <c r="K384" t="n">
        <v>0</v>
      </c>
      <c r="L384" t="n">
        <v>0</v>
      </c>
      <c r="M384" t="n">
        <v>0</v>
      </c>
      <c r="N384" t="n">
        <v>0</v>
      </c>
      <c r="O384" t="n">
        <v>0</v>
      </c>
      <c r="P384" t="n">
        <v>0</v>
      </c>
      <c r="Q384" t="n">
        <v>0</v>
      </c>
      <c r="R384" s="2" t="inlineStr"/>
    </row>
    <row r="385" ht="15" customHeight="1">
      <c r="A385" t="inlineStr">
        <is>
          <t>A 36512-2020</t>
        </is>
      </c>
      <c r="B385" s="1" t="n">
        <v>44050</v>
      </c>
      <c r="C385" s="1" t="n">
        <v>45724</v>
      </c>
      <c r="D385" t="inlineStr">
        <is>
          <t>UPPSALA LÄN</t>
        </is>
      </c>
      <c r="E385" t="inlineStr">
        <is>
          <t>UPPSALA</t>
        </is>
      </c>
      <c r="G385" t="n">
        <v>5.8</v>
      </c>
      <c r="H385" t="n">
        <v>0</v>
      </c>
      <c r="I385" t="n">
        <v>0</v>
      </c>
      <c r="J385" t="n">
        <v>0</v>
      </c>
      <c r="K385" t="n">
        <v>0</v>
      </c>
      <c r="L385" t="n">
        <v>0</v>
      </c>
      <c r="M385" t="n">
        <v>0</v>
      </c>
      <c r="N385" t="n">
        <v>0</v>
      </c>
      <c r="O385" t="n">
        <v>0</v>
      </c>
      <c r="P385" t="n">
        <v>0</v>
      </c>
      <c r="Q385" t="n">
        <v>0</v>
      </c>
      <c r="R385" s="2" t="inlineStr"/>
    </row>
    <row r="386" ht="15" customHeight="1">
      <c r="A386" t="inlineStr">
        <is>
          <t>A 37276-2020</t>
        </is>
      </c>
      <c r="B386" s="1" t="n">
        <v>44055</v>
      </c>
      <c r="C386" s="1" t="n">
        <v>45724</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37669-2020</t>
        </is>
      </c>
      <c r="B387" s="1" t="n">
        <v>44056</v>
      </c>
      <c r="C387" s="1" t="n">
        <v>45724</v>
      </c>
      <c r="D387" t="inlineStr">
        <is>
          <t>UPPSALA LÄN</t>
        </is>
      </c>
      <c r="E387" t="inlineStr">
        <is>
          <t>UPPSALA</t>
        </is>
      </c>
      <c r="G387" t="n">
        <v>5.1</v>
      </c>
      <c r="H387" t="n">
        <v>0</v>
      </c>
      <c r="I387" t="n">
        <v>0</v>
      </c>
      <c r="J387" t="n">
        <v>0</v>
      </c>
      <c r="K387" t="n">
        <v>0</v>
      </c>
      <c r="L387" t="n">
        <v>0</v>
      </c>
      <c r="M387" t="n">
        <v>0</v>
      </c>
      <c r="N387" t="n">
        <v>0</v>
      </c>
      <c r="O387" t="n">
        <v>0</v>
      </c>
      <c r="P387" t="n">
        <v>0</v>
      </c>
      <c r="Q387" t="n">
        <v>0</v>
      </c>
      <c r="R387" s="2" t="inlineStr"/>
    </row>
    <row r="388" ht="15" customHeight="1">
      <c r="A388" t="inlineStr">
        <is>
          <t>A 39233-2020</t>
        </is>
      </c>
      <c r="B388" s="1" t="n">
        <v>44063</v>
      </c>
      <c r="C388" s="1" t="n">
        <v>45724</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39178-2020</t>
        </is>
      </c>
      <c r="B389" s="1" t="n">
        <v>44063</v>
      </c>
      <c r="C389" s="1" t="n">
        <v>45724</v>
      </c>
      <c r="D389" t="inlineStr">
        <is>
          <t>UPPSALA LÄN</t>
        </is>
      </c>
      <c r="E389" t="inlineStr">
        <is>
          <t>UPPSALA</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39236-2020</t>
        </is>
      </c>
      <c r="B390" s="1" t="n">
        <v>44063</v>
      </c>
      <c r="C390" s="1" t="n">
        <v>45724</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39272-2020</t>
        </is>
      </c>
      <c r="B391" s="1" t="n">
        <v>44063</v>
      </c>
      <c r="C391" s="1" t="n">
        <v>45724</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40894-2020</t>
        </is>
      </c>
      <c r="B392" s="1" t="n">
        <v>44070</v>
      </c>
      <c r="C392" s="1" t="n">
        <v>45724</v>
      </c>
      <c r="D392" t="inlineStr">
        <is>
          <t>UPPSALA LÄN</t>
        </is>
      </c>
      <c r="E392" t="inlineStr">
        <is>
          <t>UPPSALA</t>
        </is>
      </c>
      <c r="G392" t="n">
        <v>7.1</v>
      </c>
      <c r="H392" t="n">
        <v>0</v>
      </c>
      <c r="I392" t="n">
        <v>0</v>
      </c>
      <c r="J392" t="n">
        <v>0</v>
      </c>
      <c r="K392" t="n">
        <v>0</v>
      </c>
      <c r="L392" t="n">
        <v>0</v>
      </c>
      <c r="M392" t="n">
        <v>0</v>
      </c>
      <c r="N392" t="n">
        <v>0</v>
      </c>
      <c r="O392" t="n">
        <v>0</v>
      </c>
      <c r="P392" t="n">
        <v>0</v>
      </c>
      <c r="Q392" t="n">
        <v>0</v>
      </c>
      <c r="R392" s="2" t="inlineStr"/>
    </row>
    <row r="393" ht="15" customHeight="1">
      <c r="A393" t="inlineStr">
        <is>
          <t>A 42341-2020</t>
        </is>
      </c>
      <c r="B393" s="1" t="n">
        <v>44076</v>
      </c>
      <c r="C393" s="1" t="n">
        <v>45724</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43968-2020</t>
        </is>
      </c>
      <c r="B394" s="1" t="n">
        <v>44083</v>
      </c>
      <c r="C394" s="1" t="n">
        <v>45724</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45930-2020</t>
        </is>
      </c>
      <c r="B395" s="1" t="n">
        <v>44091</v>
      </c>
      <c r="C395" s="1" t="n">
        <v>45724</v>
      </c>
      <c r="D395" t="inlineStr">
        <is>
          <t>UPPSALA LÄN</t>
        </is>
      </c>
      <c r="E395" t="inlineStr">
        <is>
          <t>UPPSALA</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46633-2020</t>
        </is>
      </c>
      <c r="B396" s="1" t="n">
        <v>44095</v>
      </c>
      <c r="C396" s="1" t="n">
        <v>45724</v>
      </c>
      <c r="D396" t="inlineStr">
        <is>
          <t>UPPSALA LÄN</t>
        </is>
      </c>
      <c r="E396" t="inlineStr">
        <is>
          <t>UPPSALA</t>
        </is>
      </c>
      <c r="G396" t="n">
        <v>4.2</v>
      </c>
      <c r="H396" t="n">
        <v>0</v>
      </c>
      <c r="I396" t="n">
        <v>0</v>
      </c>
      <c r="J396" t="n">
        <v>0</v>
      </c>
      <c r="K396" t="n">
        <v>0</v>
      </c>
      <c r="L396" t="n">
        <v>0</v>
      </c>
      <c r="M396" t="n">
        <v>0</v>
      </c>
      <c r="N396" t="n">
        <v>0</v>
      </c>
      <c r="O396" t="n">
        <v>0</v>
      </c>
      <c r="P396" t="n">
        <v>0</v>
      </c>
      <c r="Q396" t="n">
        <v>0</v>
      </c>
      <c r="R396" s="2" t="inlineStr"/>
    </row>
    <row r="397" ht="15" customHeight="1">
      <c r="A397" t="inlineStr">
        <is>
          <t>A 46647-2020</t>
        </is>
      </c>
      <c r="B397" s="1" t="n">
        <v>44095</v>
      </c>
      <c r="C397" s="1" t="n">
        <v>45724</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48786-2020</t>
        </is>
      </c>
      <c r="B398" s="1" t="n">
        <v>44103</v>
      </c>
      <c r="C398" s="1" t="n">
        <v>45724</v>
      </c>
      <c r="D398" t="inlineStr">
        <is>
          <t>UPPSALA LÄN</t>
        </is>
      </c>
      <c r="E398" t="inlineStr">
        <is>
          <t>UPPSALA</t>
        </is>
      </c>
      <c r="G398" t="n">
        <v>0.4</v>
      </c>
      <c r="H398" t="n">
        <v>0</v>
      </c>
      <c r="I398" t="n">
        <v>0</v>
      </c>
      <c r="J398" t="n">
        <v>0</v>
      </c>
      <c r="K398" t="n">
        <v>0</v>
      </c>
      <c r="L398" t="n">
        <v>0</v>
      </c>
      <c r="M398" t="n">
        <v>0</v>
      </c>
      <c r="N398" t="n">
        <v>0</v>
      </c>
      <c r="O398" t="n">
        <v>0</v>
      </c>
      <c r="P398" t="n">
        <v>0</v>
      </c>
      <c r="Q398" t="n">
        <v>0</v>
      </c>
      <c r="R398" s="2" t="inlineStr"/>
    </row>
    <row r="399" ht="15" customHeight="1">
      <c r="A399" t="inlineStr">
        <is>
          <t>A 49363-2020</t>
        </is>
      </c>
      <c r="B399" s="1" t="n">
        <v>44105</v>
      </c>
      <c r="C399" s="1" t="n">
        <v>45724</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49409-2020</t>
        </is>
      </c>
      <c r="B400" s="1" t="n">
        <v>44105</v>
      </c>
      <c r="C400" s="1" t="n">
        <v>45724</v>
      </c>
      <c r="D400" t="inlineStr">
        <is>
          <t>UPPSALA LÄN</t>
        </is>
      </c>
      <c r="E400" t="inlineStr">
        <is>
          <t>UPPSALA</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49404-2020</t>
        </is>
      </c>
      <c r="B401" s="1" t="n">
        <v>44105</v>
      </c>
      <c r="C401" s="1" t="n">
        <v>45724</v>
      </c>
      <c r="D401" t="inlineStr">
        <is>
          <t>UPPSALA LÄN</t>
        </is>
      </c>
      <c r="E401" t="inlineStr">
        <is>
          <t>UPPSALA</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49821-2020</t>
        </is>
      </c>
      <c r="B402" s="1" t="n">
        <v>44106</v>
      </c>
      <c r="C402" s="1" t="n">
        <v>45724</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49931-2020</t>
        </is>
      </c>
      <c r="B403" s="1" t="n">
        <v>44109</v>
      </c>
      <c r="C403" s="1" t="n">
        <v>45724</v>
      </c>
      <c r="D403" t="inlineStr">
        <is>
          <t>UPPSALA LÄN</t>
        </is>
      </c>
      <c r="E403" t="inlineStr">
        <is>
          <t>UPPSALA</t>
        </is>
      </c>
      <c r="G403" t="n">
        <v>3.4</v>
      </c>
      <c r="H403" t="n">
        <v>0</v>
      </c>
      <c r="I403" t="n">
        <v>0</v>
      </c>
      <c r="J403" t="n">
        <v>0</v>
      </c>
      <c r="K403" t="n">
        <v>0</v>
      </c>
      <c r="L403" t="n">
        <v>0</v>
      </c>
      <c r="M403" t="n">
        <v>0</v>
      </c>
      <c r="N403" t="n">
        <v>0</v>
      </c>
      <c r="O403" t="n">
        <v>0</v>
      </c>
      <c r="P403" t="n">
        <v>0</v>
      </c>
      <c r="Q403" t="n">
        <v>0</v>
      </c>
      <c r="R403" s="2" t="inlineStr"/>
    </row>
    <row r="404" ht="15" customHeight="1">
      <c r="A404" t="inlineStr">
        <is>
          <t>A 52717-2020</t>
        </is>
      </c>
      <c r="B404" s="1" t="n">
        <v>44119</v>
      </c>
      <c r="C404" s="1" t="n">
        <v>45724</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53346-2020</t>
        </is>
      </c>
      <c r="B405" s="1" t="n">
        <v>44123</v>
      </c>
      <c r="C405" s="1" t="n">
        <v>45724</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53379-2020</t>
        </is>
      </c>
      <c r="B406" s="1" t="n">
        <v>44123</v>
      </c>
      <c r="C406" s="1" t="n">
        <v>45724</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54742-2020</t>
        </is>
      </c>
      <c r="B407" s="1" t="n">
        <v>44126</v>
      </c>
      <c r="C407" s="1" t="n">
        <v>45724</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55220-2020</t>
        </is>
      </c>
      <c r="B408" s="1" t="n">
        <v>44130</v>
      </c>
      <c r="C408" s="1" t="n">
        <v>45724</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55953-2020</t>
        </is>
      </c>
      <c r="B409" s="1" t="n">
        <v>44131</v>
      </c>
      <c r="C409" s="1" t="n">
        <v>45724</v>
      </c>
      <c r="D409" t="inlineStr">
        <is>
          <t>UPPSALA LÄN</t>
        </is>
      </c>
      <c r="E409" t="inlineStr">
        <is>
          <t>UPPSALA</t>
        </is>
      </c>
      <c r="F409" t="inlineStr">
        <is>
          <t>Allmännings- och besparingsskogar</t>
        </is>
      </c>
      <c r="G409" t="n">
        <v>74.40000000000001</v>
      </c>
      <c r="H409" t="n">
        <v>0</v>
      </c>
      <c r="I409" t="n">
        <v>0</v>
      </c>
      <c r="J409" t="n">
        <v>0</v>
      </c>
      <c r="K409" t="n">
        <v>0</v>
      </c>
      <c r="L409" t="n">
        <v>0</v>
      </c>
      <c r="M409" t="n">
        <v>0</v>
      </c>
      <c r="N409" t="n">
        <v>0</v>
      </c>
      <c r="O409" t="n">
        <v>0</v>
      </c>
      <c r="P409" t="n">
        <v>0</v>
      </c>
      <c r="Q409" t="n">
        <v>0</v>
      </c>
      <c r="R409" s="2" t="inlineStr"/>
    </row>
    <row r="410" ht="15" customHeight="1">
      <c r="A410" t="inlineStr">
        <is>
          <t>A 56097-2020</t>
        </is>
      </c>
      <c r="B410" s="1" t="n">
        <v>44131</v>
      </c>
      <c r="C410" s="1" t="n">
        <v>45724</v>
      </c>
      <c r="D410" t="inlineStr">
        <is>
          <t>UPPSALA LÄN</t>
        </is>
      </c>
      <c r="E410" t="inlineStr">
        <is>
          <t>UPPSALA</t>
        </is>
      </c>
      <c r="F410" t="inlineStr">
        <is>
          <t>Allmännings- och besparingsskogar</t>
        </is>
      </c>
      <c r="G410" t="n">
        <v>10.6</v>
      </c>
      <c r="H410" t="n">
        <v>0</v>
      </c>
      <c r="I410" t="n">
        <v>0</v>
      </c>
      <c r="J410" t="n">
        <v>0</v>
      </c>
      <c r="K410" t="n">
        <v>0</v>
      </c>
      <c r="L410" t="n">
        <v>0</v>
      </c>
      <c r="M410" t="n">
        <v>0</v>
      </c>
      <c r="N410" t="n">
        <v>0</v>
      </c>
      <c r="O410" t="n">
        <v>0</v>
      </c>
      <c r="P410" t="n">
        <v>0</v>
      </c>
      <c r="Q410" t="n">
        <v>0</v>
      </c>
      <c r="R410" s="2" t="inlineStr"/>
    </row>
    <row r="411" ht="15" customHeight="1">
      <c r="A411" t="inlineStr">
        <is>
          <t>A 56466-2020</t>
        </is>
      </c>
      <c r="B411" s="1" t="n">
        <v>44134</v>
      </c>
      <c r="C411" s="1" t="n">
        <v>45724</v>
      </c>
      <c r="D411" t="inlineStr">
        <is>
          <t>UPPSALA LÄN</t>
        </is>
      </c>
      <c r="E411" t="inlineStr">
        <is>
          <t>UPPSALA</t>
        </is>
      </c>
      <c r="F411" t="inlineStr">
        <is>
          <t>Övriga Aktiebolag</t>
        </is>
      </c>
      <c r="G411" t="n">
        <v>3.3</v>
      </c>
      <c r="H411" t="n">
        <v>0</v>
      </c>
      <c r="I411" t="n">
        <v>0</v>
      </c>
      <c r="J411" t="n">
        <v>0</v>
      </c>
      <c r="K411" t="n">
        <v>0</v>
      </c>
      <c r="L411" t="n">
        <v>0</v>
      </c>
      <c r="M411" t="n">
        <v>0</v>
      </c>
      <c r="N411" t="n">
        <v>0</v>
      </c>
      <c r="O411" t="n">
        <v>0</v>
      </c>
      <c r="P411" t="n">
        <v>0</v>
      </c>
      <c r="Q411" t="n">
        <v>0</v>
      </c>
      <c r="R411" s="2" t="inlineStr"/>
    </row>
    <row r="412" ht="15" customHeight="1">
      <c r="A412" t="inlineStr">
        <is>
          <t>A 57041-2020</t>
        </is>
      </c>
      <c r="B412" s="1" t="n">
        <v>44137</v>
      </c>
      <c r="C412" s="1" t="n">
        <v>45724</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57271-2020</t>
        </is>
      </c>
      <c r="B413" s="1" t="n">
        <v>44139</v>
      </c>
      <c r="C413" s="1" t="n">
        <v>45724</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57451-2020</t>
        </is>
      </c>
      <c r="B414" s="1" t="n">
        <v>44139</v>
      </c>
      <c r="C414" s="1" t="n">
        <v>45724</v>
      </c>
      <c r="D414" t="inlineStr">
        <is>
          <t>UPPSALA LÄN</t>
        </is>
      </c>
      <c r="E414" t="inlineStr">
        <is>
          <t>UPPSALA</t>
        </is>
      </c>
      <c r="G414" t="n">
        <v>1.5</v>
      </c>
      <c r="H414" t="n">
        <v>0</v>
      </c>
      <c r="I414" t="n">
        <v>0</v>
      </c>
      <c r="J414" t="n">
        <v>0</v>
      </c>
      <c r="K414" t="n">
        <v>0</v>
      </c>
      <c r="L414" t="n">
        <v>0</v>
      </c>
      <c r="M414" t="n">
        <v>0</v>
      </c>
      <c r="N414" t="n">
        <v>0</v>
      </c>
      <c r="O414" t="n">
        <v>0</v>
      </c>
      <c r="P414" t="n">
        <v>0</v>
      </c>
      <c r="Q414" t="n">
        <v>0</v>
      </c>
      <c r="R414" s="2" t="inlineStr"/>
    </row>
    <row r="415" ht="15" customHeight="1">
      <c r="A415" t="inlineStr">
        <is>
          <t>A 57466-2020</t>
        </is>
      </c>
      <c r="B415" s="1" t="n">
        <v>44139</v>
      </c>
      <c r="C415" s="1" t="n">
        <v>45724</v>
      </c>
      <c r="D415" t="inlineStr">
        <is>
          <t>UPPSALA LÄN</t>
        </is>
      </c>
      <c r="E415" t="inlineStr">
        <is>
          <t>UPPSALA</t>
        </is>
      </c>
      <c r="G415" t="n">
        <v>2.5</v>
      </c>
      <c r="H415" t="n">
        <v>0</v>
      </c>
      <c r="I415" t="n">
        <v>0</v>
      </c>
      <c r="J415" t="n">
        <v>0</v>
      </c>
      <c r="K415" t="n">
        <v>0</v>
      </c>
      <c r="L415" t="n">
        <v>0</v>
      </c>
      <c r="M415" t="n">
        <v>0</v>
      </c>
      <c r="N415" t="n">
        <v>0</v>
      </c>
      <c r="O415" t="n">
        <v>0</v>
      </c>
      <c r="P415" t="n">
        <v>0</v>
      </c>
      <c r="Q415" t="n">
        <v>0</v>
      </c>
      <c r="R415" s="2" t="inlineStr"/>
    </row>
    <row r="416" ht="15" customHeight="1">
      <c r="A416" t="inlineStr">
        <is>
          <t>A 58070-2020</t>
        </is>
      </c>
      <c r="B416" s="1" t="n">
        <v>44140</v>
      </c>
      <c r="C416" s="1" t="n">
        <v>45724</v>
      </c>
      <c r="D416" t="inlineStr">
        <is>
          <t>UPPSALA LÄN</t>
        </is>
      </c>
      <c r="E416" t="inlineStr">
        <is>
          <t>UPPSALA</t>
        </is>
      </c>
      <c r="G416" t="n">
        <v>4</v>
      </c>
      <c r="H416" t="n">
        <v>0</v>
      </c>
      <c r="I416" t="n">
        <v>0</v>
      </c>
      <c r="J416" t="n">
        <v>0</v>
      </c>
      <c r="K416" t="n">
        <v>0</v>
      </c>
      <c r="L416" t="n">
        <v>0</v>
      </c>
      <c r="M416" t="n">
        <v>0</v>
      </c>
      <c r="N416" t="n">
        <v>0</v>
      </c>
      <c r="O416" t="n">
        <v>0</v>
      </c>
      <c r="P416" t="n">
        <v>0</v>
      </c>
      <c r="Q416" t="n">
        <v>0</v>
      </c>
      <c r="R416" s="2" t="inlineStr"/>
    </row>
    <row r="417" ht="15" customHeight="1">
      <c r="A417" t="inlineStr">
        <is>
          <t>A 58058-2020</t>
        </is>
      </c>
      <c r="B417" s="1" t="n">
        <v>44144</v>
      </c>
      <c r="C417" s="1" t="n">
        <v>45724</v>
      </c>
      <c r="D417" t="inlineStr">
        <is>
          <t>UPPSALA LÄN</t>
        </is>
      </c>
      <c r="E417" t="inlineStr">
        <is>
          <t>UPPSALA</t>
        </is>
      </c>
      <c r="G417" t="n">
        <v>4.4</v>
      </c>
      <c r="H417" t="n">
        <v>0</v>
      </c>
      <c r="I417" t="n">
        <v>0</v>
      </c>
      <c r="J417" t="n">
        <v>0</v>
      </c>
      <c r="K417" t="n">
        <v>0</v>
      </c>
      <c r="L417" t="n">
        <v>0</v>
      </c>
      <c r="M417" t="n">
        <v>0</v>
      </c>
      <c r="N417" t="n">
        <v>0</v>
      </c>
      <c r="O417" t="n">
        <v>0</v>
      </c>
      <c r="P417" t="n">
        <v>0</v>
      </c>
      <c r="Q417" t="n">
        <v>0</v>
      </c>
      <c r="R417" s="2" t="inlineStr"/>
    </row>
    <row r="418" ht="15" customHeight="1">
      <c r="A418" t="inlineStr">
        <is>
          <t>A 58056-2020</t>
        </is>
      </c>
      <c r="B418" s="1" t="n">
        <v>44144</v>
      </c>
      <c r="C418" s="1" t="n">
        <v>45724</v>
      </c>
      <c r="D418" t="inlineStr">
        <is>
          <t>UPPSALA LÄN</t>
        </is>
      </c>
      <c r="E418" t="inlineStr">
        <is>
          <t>UPPSALA</t>
        </is>
      </c>
      <c r="G418" t="n">
        <v>5.5</v>
      </c>
      <c r="H418" t="n">
        <v>0</v>
      </c>
      <c r="I418" t="n">
        <v>0</v>
      </c>
      <c r="J418" t="n">
        <v>0</v>
      </c>
      <c r="K418" t="n">
        <v>0</v>
      </c>
      <c r="L418" t="n">
        <v>0</v>
      </c>
      <c r="M418" t="n">
        <v>0</v>
      </c>
      <c r="N418" t="n">
        <v>0</v>
      </c>
      <c r="O418" t="n">
        <v>0</v>
      </c>
      <c r="P418" t="n">
        <v>0</v>
      </c>
      <c r="Q418" t="n">
        <v>0</v>
      </c>
      <c r="R418" s="2" t="inlineStr"/>
    </row>
    <row r="419" ht="15" customHeight="1">
      <c r="A419" t="inlineStr">
        <is>
          <t>A 58288-2020</t>
        </is>
      </c>
      <c r="B419" s="1" t="n">
        <v>44144</v>
      </c>
      <c r="C419" s="1" t="n">
        <v>45724</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58928-2020</t>
        </is>
      </c>
      <c r="B420" s="1" t="n">
        <v>44146</v>
      </c>
      <c r="C420" s="1" t="n">
        <v>45724</v>
      </c>
      <c r="D420" t="inlineStr">
        <is>
          <t>UPPSALA LÄN</t>
        </is>
      </c>
      <c r="E420" t="inlineStr">
        <is>
          <t>UPPSALA</t>
        </is>
      </c>
      <c r="G420" t="n">
        <v>10.6</v>
      </c>
      <c r="H420" t="n">
        <v>0</v>
      </c>
      <c r="I420" t="n">
        <v>0</v>
      </c>
      <c r="J420" t="n">
        <v>0</v>
      </c>
      <c r="K420" t="n">
        <v>0</v>
      </c>
      <c r="L420" t="n">
        <v>0</v>
      </c>
      <c r="M420" t="n">
        <v>0</v>
      </c>
      <c r="N420" t="n">
        <v>0</v>
      </c>
      <c r="O420" t="n">
        <v>0</v>
      </c>
      <c r="P420" t="n">
        <v>0</v>
      </c>
      <c r="Q420" t="n">
        <v>0</v>
      </c>
      <c r="R420" s="2" t="inlineStr"/>
    </row>
    <row r="421" ht="15" customHeight="1">
      <c r="A421" t="inlineStr">
        <is>
          <t>A 59952-2020</t>
        </is>
      </c>
      <c r="B421" s="1" t="n">
        <v>44151</v>
      </c>
      <c r="C421" s="1" t="n">
        <v>45724</v>
      </c>
      <c r="D421" t="inlineStr">
        <is>
          <t>UPPSALA LÄN</t>
        </is>
      </c>
      <c r="E421" t="inlineStr">
        <is>
          <t>UPPSALA</t>
        </is>
      </c>
      <c r="G421" t="n">
        <v>25.8</v>
      </c>
      <c r="H421" t="n">
        <v>0</v>
      </c>
      <c r="I421" t="n">
        <v>0</v>
      </c>
      <c r="J421" t="n">
        <v>0</v>
      </c>
      <c r="K421" t="n">
        <v>0</v>
      </c>
      <c r="L421" t="n">
        <v>0</v>
      </c>
      <c r="M421" t="n">
        <v>0</v>
      </c>
      <c r="N421" t="n">
        <v>0</v>
      </c>
      <c r="O421" t="n">
        <v>0</v>
      </c>
      <c r="P421" t="n">
        <v>0</v>
      </c>
      <c r="Q421" t="n">
        <v>0</v>
      </c>
      <c r="R421" s="2" t="inlineStr"/>
    </row>
    <row r="422" ht="15" customHeight="1">
      <c r="A422" t="inlineStr">
        <is>
          <t>A 60702-2020</t>
        </is>
      </c>
      <c r="B422" s="1" t="n">
        <v>44153</v>
      </c>
      <c r="C422" s="1" t="n">
        <v>45724</v>
      </c>
      <c r="D422" t="inlineStr">
        <is>
          <t>UPPSALA LÄN</t>
        </is>
      </c>
      <c r="E422" t="inlineStr">
        <is>
          <t>UPPSALA</t>
        </is>
      </c>
      <c r="F422" t="inlineStr">
        <is>
          <t>Övriga statliga verk och myndigheter</t>
        </is>
      </c>
      <c r="G422" t="n">
        <v>1.4</v>
      </c>
      <c r="H422" t="n">
        <v>0</v>
      </c>
      <c r="I422" t="n">
        <v>0</v>
      </c>
      <c r="J422" t="n">
        <v>0</v>
      </c>
      <c r="K422" t="n">
        <v>0</v>
      </c>
      <c r="L422" t="n">
        <v>0</v>
      </c>
      <c r="M422" t="n">
        <v>0</v>
      </c>
      <c r="N422" t="n">
        <v>0</v>
      </c>
      <c r="O422" t="n">
        <v>0</v>
      </c>
      <c r="P422" t="n">
        <v>0</v>
      </c>
      <c r="Q422" t="n">
        <v>0</v>
      </c>
      <c r="R422" s="2" t="inlineStr"/>
    </row>
    <row r="423" ht="15" customHeight="1">
      <c r="A423" t="inlineStr">
        <is>
          <t>A 61265-2020</t>
        </is>
      </c>
      <c r="B423" s="1" t="n">
        <v>44155</v>
      </c>
      <c r="C423" s="1" t="n">
        <v>45724</v>
      </c>
      <c r="D423" t="inlineStr">
        <is>
          <t>UPPSALA LÄN</t>
        </is>
      </c>
      <c r="E423" t="inlineStr">
        <is>
          <t>UPPSALA</t>
        </is>
      </c>
      <c r="G423" t="n">
        <v>4.7</v>
      </c>
      <c r="H423" t="n">
        <v>0</v>
      </c>
      <c r="I423" t="n">
        <v>0</v>
      </c>
      <c r="J423" t="n">
        <v>0</v>
      </c>
      <c r="K423" t="n">
        <v>0</v>
      </c>
      <c r="L423" t="n">
        <v>0</v>
      </c>
      <c r="M423" t="n">
        <v>0</v>
      </c>
      <c r="N423" t="n">
        <v>0</v>
      </c>
      <c r="O423" t="n">
        <v>0</v>
      </c>
      <c r="P423" t="n">
        <v>0</v>
      </c>
      <c r="Q423" t="n">
        <v>0</v>
      </c>
      <c r="R423" s="2" t="inlineStr"/>
    </row>
    <row r="424" ht="15" customHeight="1">
      <c r="A424" t="inlineStr">
        <is>
          <t>A 61271-2020</t>
        </is>
      </c>
      <c r="B424" s="1" t="n">
        <v>44155</v>
      </c>
      <c r="C424" s="1" t="n">
        <v>45724</v>
      </c>
      <c r="D424" t="inlineStr">
        <is>
          <t>UPPSALA LÄN</t>
        </is>
      </c>
      <c r="E424" t="inlineStr">
        <is>
          <t>UPPSALA</t>
        </is>
      </c>
      <c r="G424" t="n">
        <v>3.5</v>
      </c>
      <c r="H424" t="n">
        <v>0</v>
      </c>
      <c r="I424" t="n">
        <v>0</v>
      </c>
      <c r="J424" t="n">
        <v>0</v>
      </c>
      <c r="K424" t="n">
        <v>0</v>
      </c>
      <c r="L424" t="n">
        <v>0</v>
      </c>
      <c r="M424" t="n">
        <v>0</v>
      </c>
      <c r="N424" t="n">
        <v>0</v>
      </c>
      <c r="O424" t="n">
        <v>0</v>
      </c>
      <c r="P424" t="n">
        <v>0</v>
      </c>
      <c r="Q424" t="n">
        <v>0</v>
      </c>
      <c r="R424" s="2" t="inlineStr"/>
    </row>
    <row r="425" ht="15" customHeight="1">
      <c r="A425" t="inlineStr">
        <is>
          <t>A 62094-2020</t>
        </is>
      </c>
      <c r="B425" s="1" t="n">
        <v>44159</v>
      </c>
      <c r="C425" s="1" t="n">
        <v>45724</v>
      </c>
      <c r="D425" t="inlineStr">
        <is>
          <t>UPPSALA LÄN</t>
        </is>
      </c>
      <c r="E425" t="inlineStr">
        <is>
          <t>UPPSALA</t>
        </is>
      </c>
      <c r="F425" t="inlineStr">
        <is>
          <t>Bergvik skog öst AB</t>
        </is>
      </c>
      <c r="G425" t="n">
        <v>3.4</v>
      </c>
      <c r="H425" t="n">
        <v>0</v>
      </c>
      <c r="I425" t="n">
        <v>0</v>
      </c>
      <c r="J425" t="n">
        <v>0</v>
      </c>
      <c r="K425" t="n">
        <v>0</v>
      </c>
      <c r="L425" t="n">
        <v>0</v>
      </c>
      <c r="M425" t="n">
        <v>0</v>
      </c>
      <c r="N425" t="n">
        <v>0</v>
      </c>
      <c r="O425" t="n">
        <v>0</v>
      </c>
      <c r="P425" t="n">
        <v>0</v>
      </c>
      <c r="Q425" t="n">
        <v>0</v>
      </c>
      <c r="R425" s="2" t="inlineStr"/>
    </row>
    <row r="426" ht="15" customHeight="1">
      <c r="A426" t="inlineStr">
        <is>
          <t>A 62352-2020</t>
        </is>
      </c>
      <c r="B426" s="1" t="n">
        <v>44159</v>
      </c>
      <c r="C426" s="1" t="n">
        <v>45724</v>
      </c>
      <c r="D426" t="inlineStr">
        <is>
          <t>UPPSALA LÄN</t>
        </is>
      </c>
      <c r="E426" t="inlineStr">
        <is>
          <t>UPPSALA</t>
        </is>
      </c>
      <c r="F426" t="inlineStr">
        <is>
          <t>Allmännings- och besparingsskogar</t>
        </is>
      </c>
      <c r="G426" t="n">
        <v>12.9</v>
      </c>
      <c r="H426" t="n">
        <v>0</v>
      </c>
      <c r="I426" t="n">
        <v>0</v>
      </c>
      <c r="J426" t="n">
        <v>0</v>
      </c>
      <c r="K426" t="n">
        <v>0</v>
      </c>
      <c r="L426" t="n">
        <v>0</v>
      </c>
      <c r="M426" t="n">
        <v>0</v>
      </c>
      <c r="N426" t="n">
        <v>0</v>
      </c>
      <c r="O426" t="n">
        <v>0</v>
      </c>
      <c r="P426" t="n">
        <v>0</v>
      </c>
      <c r="Q426" t="n">
        <v>0</v>
      </c>
      <c r="R426" s="2" t="inlineStr"/>
    </row>
    <row r="427" ht="15" customHeight="1">
      <c r="A427" t="inlineStr">
        <is>
          <t>A 62504-2020</t>
        </is>
      </c>
      <c r="B427" s="1" t="n">
        <v>44160</v>
      </c>
      <c r="C427" s="1" t="n">
        <v>45724</v>
      </c>
      <c r="D427" t="inlineStr">
        <is>
          <t>UPPSALA LÄN</t>
        </is>
      </c>
      <c r="E427" t="inlineStr">
        <is>
          <t>UPPSALA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62729-2020</t>
        </is>
      </c>
      <c r="B428" s="1" t="n">
        <v>44161</v>
      </c>
      <c r="C428" s="1" t="n">
        <v>45724</v>
      </c>
      <c r="D428" t="inlineStr">
        <is>
          <t>UPPSALA LÄN</t>
        </is>
      </c>
      <c r="E428" t="inlineStr">
        <is>
          <t>UPPSALA</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62655-2020</t>
        </is>
      </c>
      <c r="B429" s="1" t="n">
        <v>44161</v>
      </c>
      <c r="C429" s="1" t="n">
        <v>45724</v>
      </c>
      <c r="D429" t="inlineStr">
        <is>
          <t>UPPSALA LÄN</t>
        </is>
      </c>
      <c r="E429" t="inlineStr">
        <is>
          <t>UPPSALA</t>
        </is>
      </c>
      <c r="F429" t="inlineStr">
        <is>
          <t>Holmen skog AB</t>
        </is>
      </c>
      <c r="G429" t="n">
        <v>2.7</v>
      </c>
      <c r="H429" t="n">
        <v>0</v>
      </c>
      <c r="I429" t="n">
        <v>0</v>
      </c>
      <c r="J429" t="n">
        <v>0</v>
      </c>
      <c r="K429" t="n">
        <v>0</v>
      </c>
      <c r="L429" t="n">
        <v>0</v>
      </c>
      <c r="M429" t="n">
        <v>0</v>
      </c>
      <c r="N429" t="n">
        <v>0</v>
      </c>
      <c r="O429" t="n">
        <v>0</v>
      </c>
      <c r="P429" t="n">
        <v>0</v>
      </c>
      <c r="Q429" t="n">
        <v>0</v>
      </c>
      <c r="R429" s="2" t="inlineStr"/>
    </row>
    <row r="430" ht="15" customHeight="1">
      <c r="A430" t="inlineStr">
        <is>
          <t>A 63145-2020</t>
        </is>
      </c>
      <c r="B430" s="1" t="n">
        <v>44162</v>
      </c>
      <c r="C430" s="1" t="n">
        <v>45724</v>
      </c>
      <c r="D430" t="inlineStr">
        <is>
          <t>UPPSALA LÄN</t>
        </is>
      </c>
      <c r="E430" t="inlineStr">
        <is>
          <t>UPPSALA</t>
        </is>
      </c>
      <c r="G430" t="n">
        <v>2.6</v>
      </c>
      <c r="H430" t="n">
        <v>0</v>
      </c>
      <c r="I430" t="n">
        <v>0</v>
      </c>
      <c r="J430" t="n">
        <v>0</v>
      </c>
      <c r="K430" t="n">
        <v>0</v>
      </c>
      <c r="L430" t="n">
        <v>0</v>
      </c>
      <c r="M430" t="n">
        <v>0</v>
      </c>
      <c r="N430" t="n">
        <v>0</v>
      </c>
      <c r="O430" t="n">
        <v>0</v>
      </c>
      <c r="P430" t="n">
        <v>0</v>
      </c>
      <c r="Q430" t="n">
        <v>0</v>
      </c>
      <c r="R430" s="2" t="inlineStr"/>
    </row>
    <row r="431" ht="15" customHeight="1">
      <c r="A431" t="inlineStr">
        <is>
          <t>A 63529-2020</t>
        </is>
      </c>
      <c r="B431" s="1" t="n">
        <v>44165</v>
      </c>
      <c r="C431" s="1" t="n">
        <v>45724</v>
      </c>
      <c r="D431" t="inlineStr">
        <is>
          <t>UPPSALA LÄN</t>
        </is>
      </c>
      <c r="E431" t="inlineStr">
        <is>
          <t>UPPSALA</t>
        </is>
      </c>
      <c r="F431" t="inlineStr">
        <is>
          <t>Övriga statliga verk och myndigheter</t>
        </is>
      </c>
      <c r="G431" t="n">
        <v>2.4</v>
      </c>
      <c r="H431" t="n">
        <v>0</v>
      </c>
      <c r="I431" t="n">
        <v>0</v>
      </c>
      <c r="J431" t="n">
        <v>0</v>
      </c>
      <c r="K431" t="n">
        <v>0</v>
      </c>
      <c r="L431" t="n">
        <v>0</v>
      </c>
      <c r="M431" t="n">
        <v>0</v>
      </c>
      <c r="N431" t="n">
        <v>0</v>
      </c>
      <c r="O431" t="n">
        <v>0</v>
      </c>
      <c r="P431" t="n">
        <v>0</v>
      </c>
      <c r="Q431" t="n">
        <v>0</v>
      </c>
      <c r="R431" s="2" t="inlineStr"/>
    </row>
    <row r="432" ht="15" customHeight="1">
      <c r="A432" t="inlineStr">
        <is>
          <t>A 63749-2020</t>
        </is>
      </c>
      <c r="B432" s="1" t="n">
        <v>44166</v>
      </c>
      <c r="C432" s="1" t="n">
        <v>45724</v>
      </c>
      <c r="D432" t="inlineStr">
        <is>
          <t>UPPSALA LÄN</t>
        </is>
      </c>
      <c r="E432" t="inlineStr">
        <is>
          <t>UPPSALA</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64128-2020</t>
        </is>
      </c>
      <c r="B433" s="1" t="n">
        <v>44167</v>
      </c>
      <c r="C433" s="1" t="n">
        <v>45724</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64353-2020</t>
        </is>
      </c>
      <c r="B434" s="1" t="n">
        <v>44168</v>
      </c>
      <c r="C434" s="1" t="n">
        <v>45724</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64333-2020</t>
        </is>
      </c>
      <c r="B435" s="1" t="n">
        <v>44168</v>
      </c>
      <c r="C435" s="1" t="n">
        <v>45724</v>
      </c>
      <c r="D435" t="inlineStr">
        <is>
          <t>UPPSALA LÄN</t>
        </is>
      </c>
      <c r="E435" t="inlineStr">
        <is>
          <t>UPPSALA</t>
        </is>
      </c>
      <c r="G435" t="n">
        <v>7.1</v>
      </c>
      <c r="H435" t="n">
        <v>0</v>
      </c>
      <c r="I435" t="n">
        <v>0</v>
      </c>
      <c r="J435" t="n">
        <v>0</v>
      </c>
      <c r="K435" t="n">
        <v>0</v>
      </c>
      <c r="L435" t="n">
        <v>0</v>
      </c>
      <c r="M435" t="n">
        <v>0</v>
      </c>
      <c r="N435" t="n">
        <v>0</v>
      </c>
      <c r="O435" t="n">
        <v>0</v>
      </c>
      <c r="P435" t="n">
        <v>0</v>
      </c>
      <c r="Q435" t="n">
        <v>0</v>
      </c>
      <c r="R435" s="2" t="inlineStr"/>
    </row>
    <row r="436" ht="15" customHeight="1">
      <c r="A436" t="inlineStr">
        <is>
          <t>A 66984-2020</t>
        </is>
      </c>
      <c r="B436" s="1" t="n">
        <v>44180</v>
      </c>
      <c r="C436" s="1" t="n">
        <v>45724</v>
      </c>
      <c r="D436" t="inlineStr">
        <is>
          <t>UPPSALA LÄN</t>
        </is>
      </c>
      <c r="E436" t="inlineStr">
        <is>
          <t>UPPSALA</t>
        </is>
      </c>
      <c r="F436" t="inlineStr">
        <is>
          <t>Övriga statliga verk och myndigheter</t>
        </is>
      </c>
      <c r="G436" t="n">
        <v>2.1</v>
      </c>
      <c r="H436" t="n">
        <v>0</v>
      </c>
      <c r="I436" t="n">
        <v>0</v>
      </c>
      <c r="J436" t="n">
        <v>0</v>
      </c>
      <c r="K436" t="n">
        <v>0</v>
      </c>
      <c r="L436" t="n">
        <v>0</v>
      </c>
      <c r="M436" t="n">
        <v>0</v>
      </c>
      <c r="N436" t="n">
        <v>0</v>
      </c>
      <c r="O436" t="n">
        <v>0</v>
      </c>
      <c r="P436" t="n">
        <v>0</v>
      </c>
      <c r="Q436" t="n">
        <v>0</v>
      </c>
      <c r="R436" s="2" t="inlineStr"/>
    </row>
    <row r="437" ht="15" customHeight="1">
      <c r="A437" t="inlineStr">
        <is>
          <t>A 265-2021</t>
        </is>
      </c>
      <c r="B437" s="1" t="n">
        <v>44200</v>
      </c>
      <c r="C437" s="1" t="n">
        <v>45724</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1020-2021</t>
        </is>
      </c>
      <c r="B438" s="1" t="n">
        <v>44207</v>
      </c>
      <c r="C438" s="1" t="n">
        <v>45724</v>
      </c>
      <c r="D438" t="inlineStr">
        <is>
          <t>UPPSALA LÄN</t>
        </is>
      </c>
      <c r="E438" t="inlineStr">
        <is>
          <t>UPPSALA</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1573-2021</t>
        </is>
      </c>
      <c r="B439" s="1" t="n">
        <v>44209</v>
      </c>
      <c r="C439" s="1" t="n">
        <v>45724</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1617-2021</t>
        </is>
      </c>
      <c r="B440" s="1" t="n">
        <v>44209</v>
      </c>
      <c r="C440" s="1" t="n">
        <v>45724</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1855-2021</t>
        </is>
      </c>
      <c r="B441" s="1" t="n">
        <v>44210</v>
      </c>
      <c r="C441" s="1" t="n">
        <v>45724</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2169-2021</t>
        </is>
      </c>
      <c r="B442" s="1" t="n">
        <v>44211</v>
      </c>
      <c r="C442" s="1" t="n">
        <v>45724</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3864-2021</t>
        </is>
      </c>
      <c r="B443" s="1" t="n">
        <v>44216</v>
      </c>
      <c r="C443" s="1" t="n">
        <v>45724</v>
      </c>
      <c r="D443" t="inlineStr">
        <is>
          <t>UPPSALA LÄN</t>
        </is>
      </c>
      <c r="E443" t="inlineStr">
        <is>
          <t>UPPSALA</t>
        </is>
      </c>
      <c r="G443" t="n">
        <v>2.9</v>
      </c>
      <c r="H443" t="n">
        <v>0</v>
      </c>
      <c r="I443" t="n">
        <v>0</v>
      </c>
      <c r="J443" t="n">
        <v>0</v>
      </c>
      <c r="K443" t="n">
        <v>0</v>
      </c>
      <c r="L443" t="n">
        <v>0</v>
      </c>
      <c r="M443" t="n">
        <v>0</v>
      </c>
      <c r="N443" t="n">
        <v>0</v>
      </c>
      <c r="O443" t="n">
        <v>0</v>
      </c>
      <c r="P443" t="n">
        <v>0</v>
      </c>
      <c r="Q443" t="n">
        <v>0</v>
      </c>
      <c r="R443" s="2" t="inlineStr"/>
    </row>
    <row r="444" ht="15" customHeight="1">
      <c r="A444" t="inlineStr">
        <is>
          <t>A 3874-2021</t>
        </is>
      </c>
      <c r="B444" s="1" t="n">
        <v>44216</v>
      </c>
      <c r="C444" s="1" t="n">
        <v>45724</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3955-2021</t>
        </is>
      </c>
      <c r="B445" s="1" t="n">
        <v>44222</v>
      </c>
      <c r="C445" s="1" t="n">
        <v>45724</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4875-2021</t>
        </is>
      </c>
      <c r="B446" s="1" t="n">
        <v>44223</v>
      </c>
      <c r="C446" s="1" t="n">
        <v>45724</v>
      </c>
      <c r="D446" t="inlineStr">
        <is>
          <t>UPPSALA LÄN</t>
        </is>
      </c>
      <c r="E446" t="inlineStr">
        <is>
          <t>UPPSALA</t>
        </is>
      </c>
      <c r="G446" t="n">
        <v>0.4</v>
      </c>
      <c r="H446" t="n">
        <v>0</v>
      </c>
      <c r="I446" t="n">
        <v>0</v>
      </c>
      <c r="J446" t="n">
        <v>0</v>
      </c>
      <c r="K446" t="n">
        <v>0</v>
      </c>
      <c r="L446" t="n">
        <v>0</v>
      </c>
      <c r="M446" t="n">
        <v>0</v>
      </c>
      <c r="N446" t="n">
        <v>0</v>
      </c>
      <c r="O446" t="n">
        <v>0</v>
      </c>
      <c r="P446" t="n">
        <v>0</v>
      </c>
      <c r="Q446" t="n">
        <v>0</v>
      </c>
      <c r="R446" s="2" t="inlineStr"/>
    </row>
    <row r="447" ht="15" customHeight="1">
      <c r="A447" t="inlineStr">
        <is>
          <t>A 5663-2021</t>
        </is>
      </c>
      <c r="B447" s="1" t="n">
        <v>44230</v>
      </c>
      <c r="C447" s="1" t="n">
        <v>45724</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8114-2021</t>
        </is>
      </c>
      <c r="B448" s="1" t="n">
        <v>44243</v>
      </c>
      <c r="C448" s="1" t="n">
        <v>45724</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8494-2021</t>
        </is>
      </c>
      <c r="B449" s="1" t="n">
        <v>44245</v>
      </c>
      <c r="C449" s="1" t="n">
        <v>45724</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9700-2021</t>
        </is>
      </c>
      <c r="B450" s="1" t="n">
        <v>44252</v>
      </c>
      <c r="C450" s="1" t="n">
        <v>45724</v>
      </c>
      <c r="D450" t="inlineStr">
        <is>
          <t>UPPSALA LÄN</t>
        </is>
      </c>
      <c r="E450" t="inlineStr">
        <is>
          <t>UPPSALA</t>
        </is>
      </c>
      <c r="G450" t="n">
        <v>3.3</v>
      </c>
      <c r="H450" t="n">
        <v>0</v>
      </c>
      <c r="I450" t="n">
        <v>0</v>
      </c>
      <c r="J450" t="n">
        <v>0</v>
      </c>
      <c r="K450" t="n">
        <v>0</v>
      </c>
      <c r="L450" t="n">
        <v>0</v>
      </c>
      <c r="M450" t="n">
        <v>0</v>
      </c>
      <c r="N450" t="n">
        <v>0</v>
      </c>
      <c r="O450" t="n">
        <v>0</v>
      </c>
      <c r="P450" t="n">
        <v>0</v>
      </c>
      <c r="Q450" t="n">
        <v>0</v>
      </c>
      <c r="R450" s="2" t="inlineStr"/>
    </row>
    <row r="451" ht="15" customHeight="1">
      <c r="A451" t="inlineStr">
        <is>
          <t>A 9712-2021</t>
        </is>
      </c>
      <c r="B451" s="1" t="n">
        <v>44252</v>
      </c>
      <c r="C451" s="1" t="n">
        <v>45724</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12225-2021</t>
        </is>
      </c>
      <c r="B452" s="1" t="n">
        <v>44266</v>
      </c>
      <c r="C452" s="1" t="n">
        <v>45724</v>
      </c>
      <c r="D452" t="inlineStr">
        <is>
          <t>UPPSALA LÄN</t>
        </is>
      </c>
      <c r="E452" t="inlineStr">
        <is>
          <t>UPPSALA</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12152-2021</t>
        </is>
      </c>
      <c r="B453" s="1" t="n">
        <v>44266</v>
      </c>
      <c r="C453" s="1" t="n">
        <v>45724</v>
      </c>
      <c r="D453" t="inlineStr">
        <is>
          <t>UPPSALA LÄN</t>
        </is>
      </c>
      <c r="E453" t="inlineStr">
        <is>
          <t>UPPSALA</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12172-2021</t>
        </is>
      </c>
      <c r="B454" s="1" t="n">
        <v>44266</v>
      </c>
      <c r="C454" s="1" t="n">
        <v>45724</v>
      </c>
      <c r="D454" t="inlineStr">
        <is>
          <t>UPPSALA LÄN</t>
        </is>
      </c>
      <c r="E454" t="inlineStr">
        <is>
          <t>UPPSALA</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12194-2021</t>
        </is>
      </c>
      <c r="B455" s="1" t="n">
        <v>44266</v>
      </c>
      <c r="C455" s="1" t="n">
        <v>45724</v>
      </c>
      <c r="D455" t="inlineStr">
        <is>
          <t>UPPSALA LÄN</t>
        </is>
      </c>
      <c r="E455" t="inlineStr">
        <is>
          <t>UPPSALA</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12313-2021</t>
        </is>
      </c>
      <c r="B456" s="1" t="n">
        <v>44266</v>
      </c>
      <c r="C456" s="1" t="n">
        <v>45724</v>
      </c>
      <c r="D456" t="inlineStr">
        <is>
          <t>UPPSALA LÄN</t>
        </is>
      </c>
      <c r="E456" t="inlineStr">
        <is>
          <t>UPPSALA</t>
        </is>
      </c>
      <c r="G456" t="n">
        <v>23.6</v>
      </c>
      <c r="H456" t="n">
        <v>0</v>
      </c>
      <c r="I456" t="n">
        <v>0</v>
      </c>
      <c r="J456" t="n">
        <v>0</v>
      </c>
      <c r="K456" t="n">
        <v>0</v>
      </c>
      <c r="L456" t="n">
        <v>0</v>
      </c>
      <c r="M456" t="n">
        <v>0</v>
      </c>
      <c r="N456" t="n">
        <v>0</v>
      </c>
      <c r="O456" t="n">
        <v>0</v>
      </c>
      <c r="P456" t="n">
        <v>0</v>
      </c>
      <c r="Q456" t="n">
        <v>0</v>
      </c>
      <c r="R456" s="2" t="inlineStr"/>
    </row>
    <row r="457" ht="15" customHeight="1">
      <c r="A457" t="inlineStr">
        <is>
          <t>A 13010-2021</t>
        </is>
      </c>
      <c r="B457" s="1" t="n">
        <v>44271</v>
      </c>
      <c r="C457" s="1" t="n">
        <v>45724</v>
      </c>
      <c r="D457" t="inlineStr">
        <is>
          <t>UPPSALA LÄN</t>
        </is>
      </c>
      <c r="E457" t="inlineStr">
        <is>
          <t>UPPSALA</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45724</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14026-2021</t>
        </is>
      </c>
      <c r="B459" s="1" t="n">
        <v>44277</v>
      </c>
      <c r="C459" s="1" t="n">
        <v>45724</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14022-2021</t>
        </is>
      </c>
      <c r="B460" s="1" t="n">
        <v>44277</v>
      </c>
      <c r="C460" s="1" t="n">
        <v>45724</v>
      </c>
      <c r="D460" t="inlineStr">
        <is>
          <t>UPPSALA LÄN</t>
        </is>
      </c>
      <c r="E460" t="inlineStr">
        <is>
          <t>UPPSALA</t>
        </is>
      </c>
      <c r="G460" t="n">
        <v>11.1</v>
      </c>
      <c r="H460" t="n">
        <v>0</v>
      </c>
      <c r="I460" t="n">
        <v>0</v>
      </c>
      <c r="J460" t="n">
        <v>0</v>
      </c>
      <c r="K460" t="n">
        <v>0</v>
      </c>
      <c r="L460" t="n">
        <v>0</v>
      </c>
      <c r="M460" t="n">
        <v>0</v>
      </c>
      <c r="N460" t="n">
        <v>0</v>
      </c>
      <c r="O460" t="n">
        <v>0</v>
      </c>
      <c r="P460" t="n">
        <v>0</v>
      </c>
      <c r="Q460" t="n">
        <v>0</v>
      </c>
      <c r="R460" s="2" t="inlineStr"/>
    </row>
    <row r="461" ht="15" customHeight="1">
      <c r="A461" t="inlineStr">
        <is>
          <t>A 14341-2021</t>
        </is>
      </c>
      <c r="B461" s="1" t="n">
        <v>44279</v>
      </c>
      <c r="C461" s="1" t="n">
        <v>45724</v>
      </c>
      <c r="D461" t="inlineStr">
        <is>
          <t>UPPSALA LÄN</t>
        </is>
      </c>
      <c r="E461" t="inlineStr">
        <is>
          <t>UPPSALA</t>
        </is>
      </c>
      <c r="G461" t="n">
        <v>8.9</v>
      </c>
      <c r="H461" t="n">
        <v>0</v>
      </c>
      <c r="I461" t="n">
        <v>0</v>
      </c>
      <c r="J461" t="n">
        <v>0</v>
      </c>
      <c r="K461" t="n">
        <v>0</v>
      </c>
      <c r="L461" t="n">
        <v>0</v>
      </c>
      <c r="M461" t="n">
        <v>0</v>
      </c>
      <c r="N461" t="n">
        <v>0</v>
      </c>
      <c r="O461" t="n">
        <v>0</v>
      </c>
      <c r="P461" t="n">
        <v>0</v>
      </c>
      <c r="Q461" t="n">
        <v>0</v>
      </c>
      <c r="R461" s="2" t="inlineStr"/>
    </row>
    <row r="462" ht="15" customHeight="1">
      <c r="A462" t="inlineStr">
        <is>
          <t>A 14941-2021</t>
        </is>
      </c>
      <c r="B462" s="1" t="n">
        <v>44281</v>
      </c>
      <c r="C462" s="1" t="n">
        <v>45724</v>
      </c>
      <c r="D462" t="inlineStr">
        <is>
          <t>UPPSALA LÄN</t>
        </is>
      </c>
      <c r="E462" t="inlineStr">
        <is>
          <t>UPPSALA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15816-2021</t>
        </is>
      </c>
      <c r="B463" s="1" t="n">
        <v>44286</v>
      </c>
      <c r="C463" s="1" t="n">
        <v>45724</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15820-2021</t>
        </is>
      </c>
      <c r="B464" s="1" t="n">
        <v>44286</v>
      </c>
      <c r="C464" s="1" t="n">
        <v>45724</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16592-2021</t>
        </is>
      </c>
      <c r="B465" s="1" t="n">
        <v>44294</v>
      </c>
      <c r="C465" s="1" t="n">
        <v>45724</v>
      </c>
      <c r="D465" t="inlineStr">
        <is>
          <t>UPPSALA LÄN</t>
        </is>
      </c>
      <c r="E465" t="inlineStr">
        <is>
          <t>UPPSALA</t>
        </is>
      </c>
      <c r="F465" t="inlineStr">
        <is>
          <t>Övriga Aktiebolag</t>
        </is>
      </c>
      <c r="G465" t="n">
        <v>1.6</v>
      </c>
      <c r="H465" t="n">
        <v>0</v>
      </c>
      <c r="I465" t="n">
        <v>0</v>
      </c>
      <c r="J465" t="n">
        <v>0</v>
      </c>
      <c r="K465" t="n">
        <v>0</v>
      </c>
      <c r="L465" t="n">
        <v>0</v>
      </c>
      <c r="M465" t="n">
        <v>0</v>
      </c>
      <c r="N465" t="n">
        <v>0</v>
      </c>
      <c r="O465" t="n">
        <v>0</v>
      </c>
      <c r="P465" t="n">
        <v>0</v>
      </c>
      <c r="Q465" t="n">
        <v>0</v>
      </c>
      <c r="R465" s="2" t="inlineStr"/>
    </row>
    <row r="466" ht="15" customHeight="1">
      <c r="A466" t="inlineStr">
        <is>
          <t>A 16615-2021</t>
        </is>
      </c>
      <c r="B466" s="1" t="n">
        <v>44294</v>
      </c>
      <c r="C466" s="1" t="n">
        <v>45724</v>
      </c>
      <c r="D466" t="inlineStr">
        <is>
          <t>UPPSALA LÄN</t>
        </is>
      </c>
      <c r="E466" t="inlineStr">
        <is>
          <t>UPPSALA</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16684-2021</t>
        </is>
      </c>
      <c r="B467" s="1" t="n">
        <v>44294</v>
      </c>
      <c r="C467" s="1" t="n">
        <v>45724</v>
      </c>
      <c r="D467" t="inlineStr">
        <is>
          <t>UPPSALA LÄN</t>
        </is>
      </c>
      <c r="E467" t="inlineStr">
        <is>
          <t>UPPSALA</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17262-2021</t>
        </is>
      </c>
      <c r="B468" s="1" t="n">
        <v>44297</v>
      </c>
      <c r="C468" s="1" t="n">
        <v>45724</v>
      </c>
      <c r="D468" t="inlineStr">
        <is>
          <t>UPPSALA LÄN</t>
        </is>
      </c>
      <c r="E468" t="inlineStr">
        <is>
          <t>UPPSALA</t>
        </is>
      </c>
      <c r="F468" t="inlineStr">
        <is>
          <t>Allmännings- och besparingsskogar</t>
        </is>
      </c>
      <c r="G468" t="n">
        <v>1</v>
      </c>
      <c r="H468" t="n">
        <v>0</v>
      </c>
      <c r="I468" t="n">
        <v>0</v>
      </c>
      <c r="J468" t="n">
        <v>0</v>
      </c>
      <c r="K468" t="n">
        <v>0</v>
      </c>
      <c r="L468" t="n">
        <v>0</v>
      </c>
      <c r="M468" t="n">
        <v>0</v>
      </c>
      <c r="N468" t="n">
        <v>0</v>
      </c>
      <c r="O468" t="n">
        <v>0</v>
      </c>
      <c r="P468" t="n">
        <v>0</v>
      </c>
      <c r="Q468" t="n">
        <v>0</v>
      </c>
      <c r="R468" s="2" t="inlineStr"/>
    </row>
    <row r="469" ht="15" customHeight="1">
      <c r="A469" t="inlineStr">
        <is>
          <t>A 17250-2021</t>
        </is>
      </c>
      <c r="B469" s="1" t="n">
        <v>44297</v>
      </c>
      <c r="C469" s="1" t="n">
        <v>45724</v>
      </c>
      <c r="D469" t="inlineStr">
        <is>
          <t>UPPSALA LÄN</t>
        </is>
      </c>
      <c r="E469" t="inlineStr">
        <is>
          <t>UPPSALA</t>
        </is>
      </c>
      <c r="G469" t="n">
        <v>3.6</v>
      </c>
      <c r="H469" t="n">
        <v>0</v>
      </c>
      <c r="I469" t="n">
        <v>0</v>
      </c>
      <c r="J469" t="n">
        <v>0</v>
      </c>
      <c r="K469" t="n">
        <v>0</v>
      </c>
      <c r="L469" t="n">
        <v>0</v>
      </c>
      <c r="M469" t="n">
        <v>0</v>
      </c>
      <c r="N469" t="n">
        <v>0</v>
      </c>
      <c r="O469" t="n">
        <v>0</v>
      </c>
      <c r="P469" t="n">
        <v>0</v>
      </c>
      <c r="Q469" t="n">
        <v>0</v>
      </c>
      <c r="R469" s="2" t="inlineStr"/>
    </row>
    <row r="470" ht="15" customHeight="1">
      <c r="A470" t="inlineStr">
        <is>
          <t>A 17536-2021</t>
        </is>
      </c>
      <c r="B470" s="1" t="n">
        <v>44299</v>
      </c>
      <c r="C470" s="1" t="n">
        <v>45724</v>
      </c>
      <c r="D470" t="inlineStr">
        <is>
          <t>UPPSALA LÄN</t>
        </is>
      </c>
      <c r="E470" t="inlineStr">
        <is>
          <t>UPPSALA</t>
        </is>
      </c>
      <c r="F470" t="inlineStr">
        <is>
          <t>Holmen skog AB</t>
        </is>
      </c>
      <c r="G470" t="n">
        <v>7.6</v>
      </c>
      <c r="H470" t="n">
        <v>0</v>
      </c>
      <c r="I470" t="n">
        <v>0</v>
      </c>
      <c r="J470" t="n">
        <v>0</v>
      </c>
      <c r="K470" t="n">
        <v>0</v>
      </c>
      <c r="L470" t="n">
        <v>0</v>
      </c>
      <c r="M470" t="n">
        <v>0</v>
      </c>
      <c r="N470" t="n">
        <v>0</v>
      </c>
      <c r="O470" t="n">
        <v>0</v>
      </c>
      <c r="P470" t="n">
        <v>0</v>
      </c>
      <c r="Q470" t="n">
        <v>0</v>
      </c>
      <c r="R470" s="2" t="inlineStr"/>
    </row>
    <row r="471" ht="15" customHeight="1">
      <c r="A471" t="inlineStr">
        <is>
          <t>A 18906-2021</t>
        </is>
      </c>
      <c r="B471" s="1" t="n">
        <v>44308</v>
      </c>
      <c r="C471" s="1" t="n">
        <v>45724</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19927-2021</t>
        </is>
      </c>
      <c r="B472" s="1" t="n">
        <v>44313</v>
      </c>
      <c r="C472" s="1" t="n">
        <v>45724</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19947-2021</t>
        </is>
      </c>
      <c r="B473" s="1" t="n">
        <v>44313</v>
      </c>
      <c r="C473" s="1" t="n">
        <v>45724</v>
      </c>
      <c r="D473" t="inlineStr">
        <is>
          <t>UPPSALA LÄN</t>
        </is>
      </c>
      <c r="E473" t="inlineStr">
        <is>
          <t>UPPSALA</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20276-2021</t>
        </is>
      </c>
      <c r="B474" s="1" t="n">
        <v>44314</v>
      </c>
      <c r="C474" s="1" t="n">
        <v>45724</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20271-2021</t>
        </is>
      </c>
      <c r="B475" s="1" t="n">
        <v>44314</v>
      </c>
      <c r="C475" s="1" t="n">
        <v>45724</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20609-2021</t>
        </is>
      </c>
      <c r="B476" s="1" t="n">
        <v>44316</v>
      </c>
      <c r="C476" s="1" t="n">
        <v>45724</v>
      </c>
      <c r="D476" t="inlineStr">
        <is>
          <t>UPPSALA LÄN</t>
        </is>
      </c>
      <c r="E476" t="inlineStr">
        <is>
          <t>UPPSALA</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22070-2021</t>
        </is>
      </c>
      <c r="B477" s="1" t="n">
        <v>44323</v>
      </c>
      <c r="C477" s="1" t="n">
        <v>45724</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22946-2021</t>
        </is>
      </c>
      <c r="B478" s="1" t="n">
        <v>44328</v>
      </c>
      <c r="C478" s="1" t="n">
        <v>45724</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23877-2021</t>
        </is>
      </c>
      <c r="B479" s="1" t="n">
        <v>44335</v>
      </c>
      <c r="C479" s="1" t="n">
        <v>45724</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25613-2021</t>
        </is>
      </c>
      <c r="B480" s="1" t="n">
        <v>44343</v>
      </c>
      <c r="C480" s="1" t="n">
        <v>45724</v>
      </c>
      <c r="D480" t="inlineStr">
        <is>
          <t>UPPSALA LÄN</t>
        </is>
      </c>
      <c r="E480" t="inlineStr">
        <is>
          <t>UPPSALA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26785-2021</t>
        </is>
      </c>
      <c r="B481" s="1" t="n">
        <v>44349</v>
      </c>
      <c r="C481" s="1" t="n">
        <v>45724</v>
      </c>
      <c r="D481" t="inlineStr">
        <is>
          <t>UPPSALA LÄN</t>
        </is>
      </c>
      <c r="E481" t="inlineStr">
        <is>
          <t>UPPSALA</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27365-2021</t>
        </is>
      </c>
      <c r="B482" s="1" t="n">
        <v>44351</v>
      </c>
      <c r="C482" s="1" t="n">
        <v>45724</v>
      </c>
      <c r="D482" t="inlineStr">
        <is>
          <t>UPPSALA LÄN</t>
        </is>
      </c>
      <c r="E482" t="inlineStr">
        <is>
          <t>UPPSALA</t>
        </is>
      </c>
      <c r="F482" t="inlineStr">
        <is>
          <t>Allmännings- och besparingsskogar</t>
        </is>
      </c>
      <c r="G482" t="n">
        <v>20.5</v>
      </c>
      <c r="H482" t="n">
        <v>0</v>
      </c>
      <c r="I482" t="n">
        <v>0</v>
      </c>
      <c r="J482" t="n">
        <v>0</v>
      </c>
      <c r="K482" t="n">
        <v>0</v>
      </c>
      <c r="L482" t="n">
        <v>0</v>
      </c>
      <c r="M482" t="n">
        <v>0</v>
      </c>
      <c r="N482" t="n">
        <v>0</v>
      </c>
      <c r="O482" t="n">
        <v>0</v>
      </c>
      <c r="P482" t="n">
        <v>0</v>
      </c>
      <c r="Q482" t="n">
        <v>0</v>
      </c>
      <c r="R482" s="2" t="inlineStr"/>
    </row>
    <row r="483" ht="15" customHeight="1">
      <c r="A483" t="inlineStr">
        <is>
          <t>A 28694-2021</t>
        </is>
      </c>
      <c r="B483" s="1" t="n">
        <v>44357</v>
      </c>
      <c r="C483" s="1" t="n">
        <v>45724</v>
      </c>
      <c r="D483" t="inlineStr">
        <is>
          <t>UPPSALA LÄN</t>
        </is>
      </c>
      <c r="E483" t="inlineStr">
        <is>
          <t>UPPSALA</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29145-2021</t>
        </is>
      </c>
      <c r="B484" s="1" t="n">
        <v>44358</v>
      </c>
      <c r="C484" s="1" t="n">
        <v>45724</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30655-2021</t>
        </is>
      </c>
      <c r="B485" s="1" t="n">
        <v>44365</v>
      </c>
      <c r="C485" s="1" t="n">
        <v>45724</v>
      </c>
      <c r="D485" t="inlineStr">
        <is>
          <t>UPPSALA LÄN</t>
        </is>
      </c>
      <c r="E485" t="inlineStr">
        <is>
          <t>UPPSALA</t>
        </is>
      </c>
      <c r="F485" t="inlineStr">
        <is>
          <t>Holmen skog AB</t>
        </is>
      </c>
      <c r="G485" t="n">
        <v>5.8</v>
      </c>
      <c r="H485" t="n">
        <v>0</v>
      </c>
      <c r="I485" t="n">
        <v>0</v>
      </c>
      <c r="J485" t="n">
        <v>0</v>
      </c>
      <c r="K485" t="n">
        <v>0</v>
      </c>
      <c r="L485" t="n">
        <v>0</v>
      </c>
      <c r="M485" t="n">
        <v>0</v>
      </c>
      <c r="N485" t="n">
        <v>0</v>
      </c>
      <c r="O485" t="n">
        <v>0</v>
      </c>
      <c r="P485" t="n">
        <v>0</v>
      </c>
      <c r="Q485" t="n">
        <v>0</v>
      </c>
      <c r="R485" s="2" t="inlineStr"/>
    </row>
    <row r="486" ht="15" customHeight="1">
      <c r="A486" t="inlineStr">
        <is>
          <t>A 30656-2021</t>
        </is>
      </c>
      <c r="B486" s="1" t="n">
        <v>44365</v>
      </c>
      <c r="C486" s="1" t="n">
        <v>45724</v>
      </c>
      <c r="D486" t="inlineStr">
        <is>
          <t>UPPSALA LÄN</t>
        </is>
      </c>
      <c r="E486" t="inlineStr">
        <is>
          <t>UPPSALA</t>
        </is>
      </c>
      <c r="G486" t="n">
        <v>6.7</v>
      </c>
      <c r="H486" t="n">
        <v>0</v>
      </c>
      <c r="I486" t="n">
        <v>0</v>
      </c>
      <c r="J486" t="n">
        <v>0</v>
      </c>
      <c r="K486" t="n">
        <v>0</v>
      </c>
      <c r="L486" t="n">
        <v>0</v>
      </c>
      <c r="M486" t="n">
        <v>0</v>
      </c>
      <c r="N486" t="n">
        <v>0</v>
      </c>
      <c r="O486" t="n">
        <v>0</v>
      </c>
      <c r="P486" t="n">
        <v>0</v>
      </c>
      <c r="Q486" t="n">
        <v>0</v>
      </c>
      <c r="R486" s="2" t="inlineStr"/>
    </row>
    <row r="487" ht="15" customHeight="1">
      <c r="A487" t="inlineStr">
        <is>
          <t>A 31646-2021</t>
        </is>
      </c>
      <c r="B487" s="1" t="n">
        <v>44369</v>
      </c>
      <c r="C487" s="1" t="n">
        <v>45724</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31662-2021</t>
        </is>
      </c>
      <c r="B488" s="1" t="n">
        <v>44369</v>
      </c>
      <c r="C488" s="1" t="n">
        <v>45724</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31829-2021</t>
        </is>
      </c>
      <c r="B489" s="1" t="n">
        <v>44370</v>
      </c>
      <c r="C489" s="1" t="n">
        <v>45724</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32276-2021</t>
        </is>
      </c>
      <c r="B490" s="1" t="n">
        <v>44371</v>
      </c>
      <c r="C490" s="1" t="n">
        <v>45724</v>
      </c>
      <c r="D490" t="inlineStr">
        <is>
          <t>UPPSALA LÄN</t>
        </is>
      </c>
      <c r="E490" t="inlineStr">
        <is>
          <t>UPPSALA</t>
        </is>
      </c>
      <c r="G490" t="n">
        <v>3.7</v>
      </c>
      <c r="H490" t="n">
        <v>0</v>
      </c>
      <c r="I490" t="n">
        <v>0</v>
      </c>
      <c r="J490" t="n">
        <v>0</v>
      </c>
      <c r="K490" t="n">
        <v>0</v>
      </c>
      <c r="L490" t="n">
        <v>0</v>
      </c>
      <c r="M490" t="n">
        <v>0</v>
      </c>
      <c r="N490" t="n">
        <v>0</v>
      </c>
      <c r="O490" t="n">
        <v>0</v>
      </c>
      <c r="P490" t="n">
        <v>0</v>
      </c>
      <c r="Q490" t="n">
        <v>0</v>
      </c>
      <c r="R490" s="2" t="inlineStr"/>
    </row>
    <row r="491" ht="15" customHeight="1">
      <c r="A491" t="inlineStr">
        <is>
          <t>A 32428-2021</t>
        </is>
      </c>
      <c r="B491" s="1" t="n">
        <v>44371</v>
      </c>
      <c r="C491" s="1" t="n">
        <v>45724</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32955-2021</t>
        </is>
      </c>
      <c r="B492" s="1" t="n">
        <v>44376</v>
      </c>
      <c r="C492" s="1" t="n">
        <v>45724</v>
      </c>
      <c r="D492" t="inlineStr">
        <is>
          <t>UPPSALA LÄN</t>
        </is>
      </c>
      <c r="E492" t="inlineStr">
        <is>
          <t>UPPSALA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33797-2021</t>
        </is>
      </c>
      <c r="B493" s="1" t="n">
        <v>44378</v>
      </c>
      <c r="C493" s="1" t="n">
        <v>45724</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33920-2021</t>
        </is>
      </c>
      <c r="B494" s="1" t="n">
        <v>44378</v>
      </c>
      <c r="C494" s="1" t="n">
        <v>45724</v>
      </c>
      <c r="D494" t="inlineStr">
        <is>
          <t>UPPSALA LÄN</t>
        </is>
      </c>
      <c r="E494" t="inlineStr">
        <is>
          <t>UPPSALA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34039-2021</t>
        </is>
      </c>
      <c r="B495" s="1" t="n">
        <v>44379</v>
      </c>
      <c r="C495" s="1" t="n">
        <v>45724</v>
      </c>
      <c r="D495" t="inlineStr">
        <is>
          <t>UPPSALA LÄN</t>
        </is>
      </c>
      <c r="E495" t="inlineStr">
        <is>
          <t>UPPSALA</t>
        </is>
      </c>
      <c r="G495" t="n">
        <v>0.7</v>
      </c>
      <c r="H495" t="n">
        <v>0</v>
      </c>
      <c r="I495" t="n">
        <v>0</v>
      </c>
      <c r="J495" t="n">
        <v>0</v>
      </c>
      <c r="K495" t="n">
        <v>0</v>
      </c>
      <c r="L495" t="n">
        <v>0</v>
      </c>
      <c r="M495" t="n">
        <v>0</v>
      </c>
      <c r="N495" t="n">
        <v>0</v>
      </c>
      <c r="O495" t="n">
        <v>0</v>
      </c>
      <c r="P495" t="n">
        <v>0</v>
      </c>
      <c r="Q495" t="n">
        <v>0</v>
      </c>
      <c r="R495" s="2" t="inlineStr"/>
    </row>
    <row r="496" ht="15" customHeight="1">
      <c r="A496" t="inlineStr">
        <is>
          <t>A 34043-2021</t>
        </is>
      </c>
      <c r="B496" s="1" t="n">
        <v>44379</v>
      </c>
      <c r="C496" s="1" t="n">
        <v>45724</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34265-2021</t>
        </is>
      </c>
      <c r="B497" s="1" t="n">
        <v>44379</v>
      </c>
      <c r="C497" s="1" t="n">
        <v>45724</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34249-2021</t>
        </is>
      </c>
      <c r="B498" s="1" t="n">
        <v>44379</v>
      </c>
      <c r="C498" s="1" t="n">
        <v>45724</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34243-2021</t>
        </is>
      </c>
      <c r="B499" s="1" t="n">
        <v>44379</v>
      </c>
      <c r="C499" s="1" t="n">
        <v>45724</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34263-2021</t>
        </is>
      </c>
      <c r="B500" s="1" t="n">
        <v>44379</v>
      </c>
      <c r="C500" s="1" t="n">
        <v>45724</v>
      </c>
      <c r="D500" t="inlineStr">
        <is>
          <t>UPPSALA LÄN</t>
        </is>
      </c>
      <c r="E500" t="inlineStr">
        <is>
          <t>UPPSALA</t>
        </is>
      </c>
      <c r="G500" t="n">
        <v>5.8</v>
      </c>
      <c r="H500" t="n">
        <v>0</v>
      </c>
      <c r="I500" t="n">
        <v>0</v>
      </c>
      <c r="J500" t="n">
        <v>0</v>
      </c>
      <c r="K500" t="n">
        <v>0</v>
      </c>
      <c r="L500" t="n">
        <v>0</v>
      </c>
      <c r="M500" t="n">
        <v>0</v>
      </c>
      <c r="N500" t="n">
        <v>0</v>
      </c>
      <c r="O500" t="n">
        <v>0</v>
      </c>
      <c r="P500" t="n">
        <v>0</v>
      </c>
      <c r="Q500" t="n">
        <v>0</v>
      </c>
      <c r="R500" s="2" t="inlineStr"/>
    </row>
    <row r="501" ht="15" customHeight="1">
      <c r="A501" t="inlineStr">
        <is>
          <t>A 34838-2021</t>
        </is>
      </c>
      <c r="B501" s="1" t="n">
        <v>44383</v>
      </c>
      <c r="C501" s="1" t="n">
        <v>45724</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34825-2021</t>
        </is>
      </c>
      <c r="B502" s="1" t="n">
        <v>44383</v>
      </c>
      <c r="C502" s="1" t="n">
        <v>45724</v>
      </c>
      <c r="D502" t="inlineStr">
        <is>
          <t>UPPSALA LÄN</t>
        </is>
      </c>
      <c r="E502" t="inlineStr">
        <is>
          <t>UPPSALA</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35630-2021</t>
        </is>
      </c>
      <c r="B503" s="1" t="n">
        <v>44386</v>
      </c>
      <c r="C503" s="1" t="n">
        <v>45724</v>
      </c>
      <c r="D503" t="inlineStr">
        <is>
          <t>UPPSALA LÄN</t>
        </is>
      </c>
      <c r="E503" t="inlineStr">
        <is>
          <t>UPPSALA</t>
        </is>
      </c>
      <c r="G503" t="n">
        <v>6</v>
      </c>
      <c r="H503" t="n">
        <v>0</v>
      </c>
      <c r="I503" t="n">
        <v>0</v>
      </c>
      <c r="J503" t="n">
        <v>0</v>
      </c>
      <c r="K503" t="n">
        <v>0</v>
      </c>
      <c r="L503" t="n">
        <v>0</v>
      </c>
      <c r="M503" t="n">
        <v>0</v>
      </c>
      <c r="N503" t="n">
        <v>0</v>
      </c>
      <c r="O503" t="n">
        <v>0</v>
      </c>
      <c r="P503" t="n">
        <v>0</v>
      </c>
      <c r="Q503" t="n">
        <v>0</v>
      </c>
      <c r="R503" s="2" t="inlineStr"/>
    </row>
    <row r="504" ht="15" customHeight="1">
      <c r="A504" t="inlineStr">
        <is>
          <t>A 36304-2021</t>
        </is>
      </c>
      <c r="B504" s="1" t="n">
        <v>44390</v>
      </c>
      <c r="C504" s="1" t="n">
        <v>45724</v>
      </c>
      <c r="D504" t="inlineStr">
        <is>
          <t>UPPSALA LÄN</t>
        </is>
      </c>
      <c r="E504" t="inlineStr">
        <is>
          <t>UPPSALA</t>
        </is>
      </c>
      <c r="G504" t="n">
        <v>7.4</v>
      </c>
      <c r="H504" t="n">
        <v>0</v>
      </c>
      <c r="I504" t="n">
        <v>0</v>
      </c>
      <c r="J504" t="n">
        <v>0</v>
      </c>
      <c r="K504" t="n">
        <v>0</v>
      </c>
      <c r="L504" t="n">
        <v>0</v>
      </c>
      <c r="M504" t="n">
        <v>0</v>
      </c>
      <c r="N504" t="n">
        <v>0</v>
      </c>
      <c r="O504" t="n">
        <v>0</v>
      </c>
      <c r="P504" t="n">
        <v>0</v>
      </c>
      <c r="Q504" t="n">
        <v>0</v>
      </c>
      <c r="R504" s="2" t="inlineStr"/>
    </row>
    <row r="505" ht="15" customHeight="1">
      <c r="A505" t="inlineStr">
        <is>
          <t>A 36721-2021</t>
        </is>
      </c>
      <c r="B505" s="1" t="n">
        <v>44392</v>
      </c>
      <c r="C505" s="1" t="n">
        <v>45724</v>
      </c>
      <c r="D505" t="inlineStr">
        <is>
          <t>UPPSALA LÄN</t>
        </is>
      </c>
      <c r="E505" t="inlineStr">
        <is>
          <t>UPPSALA</t>
        </is>
      </c>
      <c r="F505" t="inlineStr">
        <is>
          <t>Bergvik skog öst AB</t>
        </is>
      </c>
      <c r="G505" t="n">
        <v>5.8</v>
      </c>
      <c r="H505" t="n">
        <v>0</v>
      </c>
      <c r="I505" t="n">
        <v>0</v>
      </c>
      <c r="J505" t="n">
        <v>0</v>
      </c>
      <c r="K505" t="n">
        <v>0</v>
      </c>
      <c r="L505" t="n">
        <v>0</v>
      </c>
      <c r="M505" t="n">
        <v>0</v>
      </c>
      <c r="N505" t="n">
        <v>0</v>
      </c>
      <c r="O505" t="n">
        <v>0</v>
      </c>
      <c r="P505" t="n">
        <v>0</v>
      </c>
      <c r="Q505" t="n">
        <v>0</v>
      </c>
      <c r="R505" s="2" t="inlineStr"/>
    </row>
    <row r="506" ht="15" customHeight="1">
      <c r="A506" t="inlineStr">
        <is>
          <t>A 36998-2021</t>
        </is>
      </c>
      <c r="B506" s="1" t="n">
        <v>44393</v>
      </c>
      <c r="C506" s="1" t="n">
        <v>45724</v>
      </c>
      <c r="D506" t="inlineStr">
        <is>
          <t>UPPSALA LÄN</t>
        </is>
      </c>
      <c r="E506" t="inlineStr">
        <is>
          <t>UPPSALA</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37162-2021</t>
        </is>
      </c>
      <c r="B507" s="1" t="n">
        <v>44395</v>
      </c>
      <c r="C507" s="1" t="n">
        <v>45724</v>
      </c>
      <c r="D507" t="inlineStr">
        <is>
          <t>UPPSALA LÄN</t>
        </is>
      </c>
      <c r="E507" t="inlineStr">
        <is>
          <t>UPPSALA</t>
        </is>
      </c>
      <c r="G507" t="n">
        <v>3.5</v>
      </c>
      <c r="H507" t="n">
        <v>0</v>
      </c>
      <c r="I507" t="n">
        <v>0</v>
      </c>
      <c r="J507" t="n">
        <v>0</v>
      </c>
      <c r="K507" t="n">
        <v>0</v>
      </c>
      <c r="L507" t="n">
        <v>0</v>
      </c>
      <c r="M507" t="n">
        <v>0</v>
      </c>
      <c r="N507" t="n">
        <v>0</v>
      </c>
      <c r="O507" t="n">
        <v>0</v>
      </c>
      <c r="P507" t="n">
        <v>0</v>
      </c>
      <c r="Q507" t="n">
        <v>0</v>
      </c>
      <c r="R507" s="2" t="inlineStr"/>
    </row>
    <row r="508" ht="15" customHeight="1">
      <c r="A508" t="inlineStr">
        <is>
          <t>A 37763-2021</t>
        </is>
      </c>
      <c r="B508" s="1" t="n">
        <v>44400</v>
      </c>
      <c r="C508" s="1" t="n">
        <v>45724</v>
      </c>
      <c r="D508" t="inlineStr">
        <is>
          <t>UPPSALA LÄN</t>
        </is>
      </c>
      <c r="E508" t="inlineStr">
        <is>
          <t>UPPSALA</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37819-2021</t>
        </is>
      </c>
      <c r="B509" s="1" t="n">
        <v>44403</v>
      </c>
      <c r="C509" s="1" t="n">
        <v>45724</v>
      </c>
      <c r="D509" t="inlineStr">
        <is>
          <t>UPPSALA LÄN</t>
        </is>
      </c>
      <c r="E509" t="inlineStr">
        <is>
          <t>UPPSALA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37820-2021</t>
        </is>
      </c>
      <c r="B510" s="1" t="n">
        <v>44403</v>
      </c>
      <c r="C510" s="1" t="n">
        <v>45724</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45724</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38463-2021</t>
        </is>
      </c>
      <c r="B512" s="1" t="n">
        <v>44407</v>
      </c>
      <c r="C512" s="1" t="n">
        <v>45724</v>
      </c>
      <c r="D512" t="inlineStr">
        <is>
          <t>UPPSALA LÄN</t>
        </is>
      </c>
      <c r="E512" t="inlineStr">
        <is>
          <t>UPPSALA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40500-2021</t>
        </is>
      </c>
      <c r="B513" s="1" t="n">
        <v>44420</v>
      </c>
      <c r="C513" s="1" t="n">
        <v>45724</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40507-2021</t>
        </is>
      </c>
      <c r="B514" s="1" t="n">
        <v>44420</v>
      </c>
      <c r="C514" s="1" t="n">
        <v>45724</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45724</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42294-2021</t>
        </is>
      </c>
      <c r="B516" s="1" t="n">
        <v>44427</v>
      </c>
      <c r="C516" s="1" t="n">
        <v>45724</v>
      </c>
      <c r="D516" t="inlineStr">
        <is>
          <t>UPPSALA LÄN</t>
        </is>
      </c>
      <c r="E516" t="inlineStr">
        <is>
          <t>UPPSALA</t>
        </is>
      </c>
      <c r="G516" t="n">
        <v>1.6</v>
      </c>
      <c r="H516" t="n">
        <v>0</v>
      </c>
      <c r="I516" t="n">
        <v>0</v>
      </c>
      <c r="J516" t="n">
        <v>0</v>
      </c>
      <c r="K516" t="n">
        <v>0</v>
      </c>
      <c r="L516" t="n">
        <v>0</v>
      </c>
      <c r="M516" t="n">
        <v>0</v>
      </c>
      <c r="N516" t="n">
        <v>0</v>
      </c>
      <c r="O516" t="n">
        <v>0</v>
      </c>
      <c r="P516" t="n">
        <v>0</v>
      </c>
      <c r="Q516" t="n">
        <v>0</v>
      </c>
      <c r="R516" s="2" t="inlineStr"/>
    </row>
    <row r="517" ht="15" customHeight="1">
      <c r="A517" t="inlineStr">
        <is>
          <t>A 44315-2021</t>
        </is>
      </c>
      <c r="B517" s="1" t="n">
        <v>44435</v>
      </c>
      <c r="C517" s="1" t="n">
        <v>45724</v>
      </c>
      <c r="D517" t="inlineStr">
        <is>
          <t>UPPSALA LÄN</t>
        </is>
      </c>
      <c r="E517" t="inlineStr">
        <is>
          <t>UPPSALA</t>
        </is>
      </c>
      <c r="G517" t="n">
        <v>5.2</v>
      </c>
      <c r="H517" t="n">
        <v>0</v>
      </c>
      <c r="I517" t="n">
        <v>0</v>
      </c>
      <c r="J517" t="n">
        <v>0</v>
      </c>
      <c r="K517" t="n">
        <v>0</v>
      </c>
      <c r="L517" t="n">
        <v>0</v>
      </c>
      <c r="M517" t="n">
        <v>0</v>
      </c>
      <c r="N517" t="n">
        <v>0</v>
      </c>
      <c r="O517" t="n">
        <v>0</v>
      </c>
      <c r="P517" t="n">
        <v>0</v>
      </c>
      <c r="Q517" t="n">
        <v>0</v>
      </c>
      <c r="R517" s="2" t="inlineStr"/>
    </row>
    <row r="518" ht="15" customHeight="1">
      <c r="A518" t="inlineStr">
        <is>
          <t>A 44781-2021</t>
        </is>
      </c>
      <c r="B518" s="1" t="n">
        <v>44438</v>
      </c>
      <c r="C518" s="1" t="n">
        <v>45724</v>
      </c>
      <c r="D518" t="inlineStr">
        <is>
          <t>UPPSALA LÄN</t>
        </is>
      </c>
      <c r="E518" t="inlineStr">
        <is>
          <t>UPPSALA</t>
        </is>
      </c>
      <c r="F518" t="inlineStr">
        <is>
          <t>Sveaskog</t>
        </is>
      </c>
      <c r="G518" t="n">
        <v>0.1</v>
      </c>
      <c r="H518" t="n">
        <v>0</v>
      </c>
      <c r="I518" t="n">
        <v>0</v>
      </c>
      <c r="J518" t="n">
        <v>0</v>
      </c>
      <c r="K518" t="n">
        <v>0</v>
      </c>
      <c r="L518" t="n">
        <v>0</v>
      </c>
      <c r="M518" t="n">
        <v>0</v>
      </c>
      <c r="N518" t="n">
        <v>0</v>
      </c>
      <c r="O518" t="n">
        <v>0</v>
      </c>
      <c r="P518" t="n">
        <v>0</v>
      </c>
      <c r="Q518" t="n">
        <v>0</v>
      </c>
      <c r="R518" s="2" t="inlineStr"/>
    </row>
    <row r="519" ht="15" customHeight="1">
      <c r="A519" t="inlineStr">
        <is>
          <t>A 46097-2021</t>
        </is>
      </c>
      <c r="B519" s="1" t="n">
        <v>44442</v>
      </c>
      <c r="C519" s="1" t="n">
        <v>45724</v>
      </c>
      <c r="D519" t="inlineStr">
        <is>
          <t>UPPSALA LÄN</t>
        </is>
      </c>
      <c r="E519" t="inlineStr">
        <is>
          <t>UPPSALA</t>
        </is>
      </c>
      <c r="G519" t="n">
        <v>0.5</v>
      </c>
      <c r="H519" t="n">
        <v>0</v>
      </c>
      <c r="I519" t="n">
        <v>0</v>
      </c>
      <c r="J519" t="n">
        <v>0</v>
      </c>
      <c r="K519" t="n">
        <v>0</v>
      </c>
      <c r="L519" t="n">
        <v>0</v>
      </c>
      <c r="M519" t="n">
        <v>0</v>
      </c>
      <c r="N519" t="n">
        <v>0</v>
      </c>
      <c r="O519" t="n">
        <v>0</v>
      </c>
      <c r="P519" t="n">
        <v>0</v>
      </c>
      <c r="Q519" t="n">
        <v>0</v>
      </c>
      <c r="R519" s="2" t="inlineStr"/>
    </row>
    <row r="520" ht="15" customHeight="1">
      <c r="A520" t="inlineStr">
        <is>
          <t>A 46099-2021</t>
        </is>
      </c>
      <c r="B520" s="1" t="n">
        <v>44442</v>
      </c>
      <c r="C520" s="1" t="n">
        <v>45724</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46553-2021</t>
        </is>
      </c>
      <c r="B521" s="1" t="n">
        <v>44445</v>
      </c>
      <c r="C521" s="1" t="n">
        <v>45724</v>
      </c>
      <c r="D521" t="inlineStr">
        <is>
          <t>UPPSALA LÄN</t>
        </is>
      </c>
      <c r="E521" t="inlineStr">
        <is>
          <t>UPPSALA</t>
        </is>
      </c>
      <c r="G521" t="n">
        <v>0.8</v>
      </c>
      <c r="H521" t="n">
        <v>0</v>
      </c>
      <c r="I521" t="n">
        <v>0</v>
      </c>
      <c r="J521" t="n">
        <v>0</v>
      </c>
      <c r="K521" t="n">
        <v>0</v>
      </c>
      <c r="L521" t="n">
        <v>0</v>
      </c>
      <c r="M521" t="n">
        <v>0</v>
      </c>
      <c r="N521" t="n">
        <v>0</v>
      </c>
      <c r="O521" t="n">
        <v>0</v>
      </c>
      <c r="P521" t="n">
        <v>0</v>
      </c>
      <c r="Q521" t="n">
        <v>0</v>
      </c>
      <c r="R521" s="2" t="inlineStr"/>
    </row>
    <row r="522" ht="15" customHeight="1">
      <c r="A522" t="inlineStr">
        <is>
          <t>A 46920-2021</t>
        </is>
      </c>
      <c r="B522" s="1" t="n">
        <v>44446</v>
      </c>
      <c r="C522" s="1" t="n">
        <v>45724</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46916-2021</t>
        </is>
      </c>
      <c r="B523" s="1" t="n">
        <v>44446</v>
      </c>
      <c r="C523" s="1" t="n">
        <v>45724</v>
      </c>
      <c r="D523" t="inlineStr">
        <is>
          <t>UPPSALA LÄN</t>
        </is>
      </c>
      <c r="E523" t="inlineStr">
        <is>
          <t>UPPSALA</t>
        </is>
      </c>
      <c r="G523" t="n">
        <v>2.2</v>
      </c>
      <c r="H523" t="n">
        <v>0</v>
      </c>
      <c r="I523" t="n">
        <v>0</v>
      </c>
      <c r="J523" t="n">
        <v>0</v>
      </c>
      <c r="K523" t="n">
        <v>0</v>
      </c>
      <c r="L523" t="n">
        <v>0</v>
      </c>
      <c r="M523" t="n">
        <v>0</v>
      </c>
      <c r="N523" t="n">
        <v>0</v>
      </c>
      <c r="O523" t="n">
        <v>0</v>
      </c>
      <c r="P523" t="n">
        <v>0</v>
      </c>
      <c r="Q523" t="n">
        <v>0</v>
      </c>
      <c r="R523" s="2" t="inlineStr"/>
    </row>
    <row r="524" ht="15" customHeight="1">
      <c r="A524" t="inlineStr">
        <is>
          <t>A 47367-2021</t>
        </is>
      </c>
      <c r="B524" s="1" t="n">
        <v>44447</v>
      </c>
      <c r="C524" s="1" t="n">
        <v>45724</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48918-2021</t>
        </is>
      </c>
      <c r="B525" s="1" t="n">
        <v>44453</v>
      </c>
      <c r="C525" s="1" t="n">
        <v>45724</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49274-2021</t>
        </is>
      </c>
      <c r="B526" s="1" t="n">
        <v>44454</v>
      </c>
      <c r="C526" s="1" t="n">
        <v>45724</v>
      </c>
      <c r="D526" t="inlineStr">
        <is>
          <t>UPPSALA LÄN</t>
        </is>
      </c>
      <c r="E526" t="inlineStr">
        <is>
          <t>UPPSALA</t>
        </is>
      </c>
      <c r="G526" t="n">
        <v>8.5</v>
      </c>
      <c r="H526" t="n">
        <v>0</v>
      </c>
      <c r="I526" t="n">
        <v>0</v>
      </c>
      <c r="J526" t="n">
        <v>0</v>
      </c>
      <c r="K526" t="n">
        <v>0</v>
      </c>
      <c r="L526" t="n">
        <v>0</v>
      </c>
      <c r="M526" t="n">
        <v>0</v>
      </c>
      <c r="N526" t="n">
        <v>0</v>
      </c>
      <c r="O526" t="n">
        <v>0</v>
      </c>
      <c r="P526" t="n">
        <v>0</v>
      </c>
      <c r="Q526" t="n">
        <v>0</v>
      </c>
      <c r="R526" s="2" t="inlineStr"/>
    </row>
    <row r="527" ht="15" customHeight="1">
      <c r="A527" t="inlineStr">
        <is>
          <t>A 51050-2021</t>
        </is>
      </c>
      <c r="B527" s="1" t="n">
        <v>44459</v>
      </c>
      <c r="C527" s="1" t="n">
        <v>45724</v>
      </c>
      <c r="D527" t="inlineStr">
        <is>
          <t>UPPSALA LÄN</t>
        </is>
      </c>
      <c r="E527" t="inlineStr">
        <is>
          <t>UPPSALA</t>
        </is>
      </c>
      <c r="F527" t="inlineStr">
        <is>
          <t>Övriga Aktiebolag</t>
        </is>
      </c>
      <c r="G527" t="n">
        <v>7.5</v>
      </c>
      <c r="H527" t="n">
        <v>0</v>
      </c>
      <c r="I527" t="n">
        <v>0</v>
      </c>
      <c r="J527" t="n">
        <v>0</v>
      </c>
      <c r="K527" t="n">
        <v>0</v>
      </c>
      <c r="L527" t="n">
        <v>0</v>
      </c>
      <c r="M527" t="n">
        <v>0</v>
      </c>
      <c r="N527" t="n">
        <v>0</v>
      </c>
      <c r="O527" t="n">
        <v>0</v>
      </c>
      <c r="P527" t="n">
        <v>0</v>
      </c>
      <c r="Q527" t="n">
        <v>0</v>
      </c>
      <c r="R527" s="2" t="inlineStr"/>
    </row>
    <row r="528" ht="15" customHeight="1">
      <c r="A528" t="inlineStr">
        <is>
          <t>A 51821-2021</t>
        </is>
      </c>
      <c r="B528" s="1" t="n">
        <v>44461</v>
      </c>
      <c r="C528" s="1" t="n">
        <v>45724</v>
      </c>
      <c r="D528" t="inlineStr">
        <is>
          <t>UPPSALA LÄN</t>
        </is>
      </c>
      <c r="E528" t="inlineStr">
        <is>
          <t>UPPSALA</t>
        </is>
      </c>
      <c r="F528" t="inlineStr">
        <is>
          <t>Övriga Aktiebolag</t>
        </is>
      </c>
      <c r="G528" t="n">
        <v>5.3</v>
      </c>
      <c r="H528" t="n">
        <v>0</v>
      </c>
      <c r="I528" t="n">
        <v>0</v>
      </c>
      <c r="J528" t="n">
        <v>0</v>
      </c>
      <c r="K528" t="n">
        <v>0</v>
      </c>
      <c r="L528" t="n">
        <v>0</v>
      </c>
      <c r="M528" t="n">
        <v>0</v>
      </c>
      <c r="N528" t="n">
        <v>0</v>
      </c>
      <c r="O528" t="n">
        <v>0</v>
      </c>
      <c r="P528" t="n">
        <v>0</v>
      </c>
      <c r="Q528" t="n">
        <v>0</v>
      </c>
      <c r="R528" s="2" t="inlineStr"/>
    </row>
    <row r="529" ht="15" customHeight="1">
      <c r="A529" t="inlineStr">
        <is>
          <t>A 51396-2021</t>
        </is>
      </c>
      <c r="B529" s="1" t="n">
        <v>44461</v>
      </c>
      <c r="C529" s="1" t="n">
        <v>45724</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52083-2021</t>
        </is>
      </c>
      <c r="B530" s="1" t="n">
        <v>44463</v>
      </c>
      <c r="C530" s="1" t="n">
        <v>45724</v>
      </c>
      <c r="D530" t="inlineStr">
        <is>
          <t>UPPSALA LÄN</t>
        </is>
      </c>
      <c r="E530" t="inlineStr">
        <is>
          <t>UPPSALA</t>
        </is>
      </c>
      <c r="G530" t="n">
        <v>3.6</v>
      </c>
      <c r="H530" t="n">
        <v>0</v>
      </c>
      <c r="I530" t="n">
        <v>0</v>
      </c>
      <c r="J530" t="n">
        <v>0</v>
      </c>
      <c r="K530" t="n">
        <v>0</v>
      </c>
      <c r="L530" t="n">
        <v>0</v>
      </c>
      <c r="M530" t="n">
        <v>0</v>
      </c>
      <c r="N530" t="n">
        <v>0</v>
      </c>
      <c r="O530" t="n">
        <v>0</v>
      </c>
      <c r="P530" t="n">
        <v>0</v>
      </c>
      <c r="Q530" t="n">
        <v>0</v>
      </c>
      <c r="R530" s="2" t="inlineStr"/>
    </row>
    <row r="531" ht="15" customHeight="1">
      <c r="A531" t="inlineStr">
        <is>
          <t>A 54168-2021</t>
        </is>
      </c>
      <c r="B531" s="1" t="n">
        <v>44470</v>
      </c>
      <c r="C531" s="1" t="n">
        <v>45724</v>
      </c>
      <c r="D531" t="inlineStr">
        <is>
          <t>UPPSALA LÄN</t>
        </is>
      </c>
      <c r="E531" t="inlineStr">
        <is>
          <t>UPPSALA</t>
        </is>
      </c>
      <c r="G531" t="n">
        <v>7.5</v>
      </c>
      <c r="H531" t="n">
        <v>0</v>
      </c>
      <c r="I531" t="n">
        <v>0</v>
      </c>
      <c r="J531" t="n">
        <v>0</v>
      </c>
      <c r="K531" t="n">
        <v>0</v>
      </c>
      <c r="L531" t="n">
        <v>0</v>
      </c>
      <c r="M531" t="n">
        <v>0</v>
      </c>
      <c r="N531" t="n">
        <v>0</v>
      </c>
      <c r="O531" t="n">
        <v>0</v>
      </c>
      <c r="P531" t="n">
        <v>0</v>
      </c>
      <c r="Q531" t="n">
        <v>0</v>
      </c>
      <c r="R531" s="2" t="inlineStr"/>
    </row>
    <row r="532" ht="15" customHeight="1">
      <c r="A532" t="inlineStr">
        <is>
          <t>A 55823-2021</t>
        </is>
      </c>
      <c r="B532" s="1" t="n">
        <v>44476</v>
      </c>
      <c r="C532" s="1" t="n">
        <v>45724</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56042-2021</t>
        </is>
      </c>
      <c r="B533" s="1" t="n">
        <v>44477</v>
      </c>
      <c r="C533" s="1" t="n">
        <v>45724</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56049-2021</t>
        </is>
      </c>
      <c r="B534" s="1" t="n">
        <v>44477</v>
      </c>
      <c r="C534" s="1" t="n">
        <v>45724</v>
      </c>
      <c r="D534" t="inlineStr">
        <is>
          <t>UPPSALA LÄN</t>
        </is>
      </c>
      <c r="E534" t="inlineStr">
        <is>
          <t>UPPSALA</t>
        </is>
      </c>
      <c r="G534" t="n">
        <v>1.4</v>
      </c>
      <c r="H534" t="n">
        <v>0</v>
      </c>
      <c r="I534" t="n">
        <v>0</v>
      </c>
      <c r="J534" t="n">
        <v>0</v>
      </c>
      <c r="K534" t="n">
        <v>0</v>
      </c>
      <c r="L534" t="n">
        <v>0</v>
      </c>
      <c r="M534" t="n">
        <v>0</v>
      </c>
      <c r="N534" t="n">
        <v>0</v>
      </c>
      <c r="O534" t="n">
        <v>0</v>
      </c>
      <c r="P534" t="n">
        <v>0</v>
      </c>
      <c r="Q534" t="n">
        <v>0</v>
      </c>
      <c r="R534" s="2" t="inlineStr"/>
    </row>
    <row r="535" ht="15" customHeight="1">
      <c r="A535" t="inlineStr">
        <is>
          <t>A 56463-2021</t>
        </is>
      </c>
      <c r="B535" s="1" t="n">
        <v>44479</v>
      </c>
      <c r="C535" s="1" t="n">
        <v>45724</v>
      </c>
      <c r="D535" t="inlineStr">
        <is>
          <t>UPPSALA LÄN</t>
        </is>
      </c>
      <c r="E535" t="inlineStr">
        <is>
          <t>UPPSALA</t>
        </is>
      </c>
      <c r="G535" t="n">
        <v>6.4</v>
      </c>
      <c r="H535" t="n">
        <v>0</v>
      </c>
      <c r="I535" t="n">
        <v>0</v>
      </c>
      <c r="J535" t="n">
        <v>0</v>
      </c>
      <c r="K535" t="n">
        <v>0</v>
      </c>
      <c r="L535" t="n">
        <v>0</v>
      </c>
      <c r="M535" t="n">
        <v>0</v>
      </c>
      <c r="N535" t="n">
        <v>0</v>
      </c>
      <c r="O535" t="n">
        <v>0</v>
      </c>
      <c r="P535" t="n">
        <v>0</v>
      </c>
      <c r="Q535" t="n">
        <v>0</v>
      </c>
      <c r="R535" s="2" t="inlineStr"/>
    </row>
    <row r="536" ht="15" customHeight="1">
      <c r="A536" t="inlineStr">
        <is>
          <t>A 56769-2021</t>
        </is>
      </c>
      <c r="B536" s="1" t="n">
        <v>44481</v>
      </c>
      <c r="C536" s="1" t="n">
        <v>45724</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57647-2021</t>
        </is>
      </c>
      <c r="B537" s="1" t="n">
        <v>44484</v>
      </c>
      <c r="C537" s="1" t="n">
        <v>45724</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57890-2021</t>
        </is>
      </c>
      <c r="B538" s="1" t="n">
        <v>44486</v>
      </c>
      <c r="C538" s="1" t="n">
        <v>45724</v>
      </c>
      <c r="D538" t="inlineStr">
        <is>
          <t>UPPSALA LÄN</t>
        </is>
      </c>
      <c r="E538" t="inlineStr">
        <is>
          <t>UPPSALA</t>
        </is>
      </c>
      <c r="G538" t="n">
        <v>0.8</v>
      </c>
      <c r="H538" t="n">
        <v>0</v>
      </c>
      <c r="I538" t="n">
        <v>0</v>
      </c>
      <c r="J538" t="n">
        <v>0</v>
      </c>
      <c r="K538" t="n">
        <v>0</v>
      </c>
      <c r="L538" t="n">
        <v>0</v>
      </c>
      <c r="M538" t="n">
        <v>0</v>
      </c>
      <c r="N538" t="n">
        <v>0</v>
      </c>
      <c r="O538" t="n">
        <v>0</v>
      </c>
      <c r="P538" t="n">
        <v>0</v>
      </c>
      <c r="Q538" t="n">
        <v>0</v>
      </c>
      <c r="R538" s="2" t="inlineStr"/>
    </row>
    <row r="539" ht="15" customHeight="1">
      <c r="A539" t="inlineStr">
        <is>
          <t>A 58767-2021</t>
        </is>
      </c>
      <c r="B539" s="1" t="n">
        <v>44489</v>
      </c>
      <c r="C539" s="1" t="n">
        <v>45724</v>
      </c>
      <c r="D539" t="inlineStr">
        <is>
          <t>UPPSALA LÄN</t>
        </is>
      </c>
      <c r="E539" t="inlineStr">
        <is>
          <t>UPPSALA</t>
        </is>
      </c>
      <c r="G539" t="n">
        <v>4.8</v>
      </c>
      <c r="H539" t="n">
        <v>0</v>
      </c>
      <c r="I539" t="n">
        <v>0</v>
      </c>
      <c r="J539" t="n">
        <v>0</v>
      </c>
      <c r="K539" t="n">
        <v>0</v>
      </c>
      <c r="L539" t="n">
        <v>0</v>
      </c>
      <c r="M539" t="n">
        <v>0</v>
      </c>
      <c r="N539" t="n">
        <v>0</v>
      </c>
      <c r="O539" t="n">
        <v>0</v>
      </c>
      <c r="P539" t="n">
        <v>0</v>
      </c>
      <c r="Q539" t="n">
        <v>0</v>
      </c>
      <c r="R539" s="2" t="inlineStr"/>
    </row>
    <row r="540" ht="15" customHeight="1">
      <c r="A540" t="inlineStr">
        <is>
          <t>A 58897-2021</t>
        </is>
      </c>
      <c r="B540" s="1" t="n">
        <v>44489</v>
      </c>
      <c r="C540" s="1" t="n">
        <v>45724</v>
      </c>
      <c r="D540" t="inlineStr">
        <is>
          <t>UPPSALA LÄN</t>
        </is>
      </c>
      <c r="E540" t="inlineStr">
        <is>
          <t>UPPSALA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59241-2021</t>
        </is>
      </c>
      <c r="B541" s="1" t="n">
        <v>44490</v>
      </c>
      <c r="C541" s="1" t="n">
        <v>45724</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59484-2021</t>
        </is>
      </c>
      <c r="B542" s="1" t="n">
        <v>44491</v>
      </c>
      <c r="C542" s="1" t="n">
        <v>45724</v>
      </c>
      <c r="D542" t="inlineStr">
        <is>
          <t>UPPSALA LÄN</t>
        </is>
      </c>
      <c r="E542" t="inlineStr">
        <is>
          <t>UPPSALA</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59500-2021</t>
        </is>
      </c>
      <c r="B543" s="1" t="n">
        <v>44491</v>
      </c>
      <c r="C543" s="1" t="n">
        <v>45724</v>
      </c>
      <c r="D543" t="inlineStr">
        <is>
          <t>UPPSALA LÄN</t>
        </is>
      </c>
      <c r="E543" t="inlineStr">
        <is>
          <t>UPPSALA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59479-2021</t>
        </is>
      </c>
      <c r="B544" s="1" t="n">
        <v>44491</v>
      </c>
      <c r="C544" s="1" t="n">
        <v>45724</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45724</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60032-2021</t>
        </is>
      </c>
      <c r="B546" s="1" t="n">
        <v>44495</v>
      </c>
      <c r="C546" s="1" t="n">
        <v>45724</v>
      </c>
      <c r="D546" t="inlineStr">
        <is>
          <t>UPPSALA LÄN</t>
        </is>
      </c>
      <c r="E546" t="inlineStr">
        <is>
          <t>UPPSALA</t>
        </is>
      </c>
      <c r="G546" t="n">
        <v>1.8</v>
      </c>
      <c r="H546" t="n">
        <v>0</v>
      </c>
      <c r="I546" t="n">
        <v>0</v>
      </c>
      <c r="J546" t="n">
        <v>0</v>
      </c>
      <c r="K546" t="n">
        <v>0</v>
      </c>
      <c r="L546" t="n">
        <v>0</v>
      </c>
      <c r="M546" t="n">
        <v>0</v>
      </c>
      <c r="N546" t="n">
        <v>0</v>
      </c>
      <c r="O546" t="n">
        <v>0</v>
      </c>
      <c r="P546" t="n">
        <v>0</v>
      </c>
      <c r="Q546" t="n">
        <v>0</v>
      </c>
      <c r="R546" s="2" t="inlineStr"/>
    </row>
    <row r="547" ht="15" customHeight="1">
      <c r="A547" t="inlineStr">
        <is>
          <t>A 61008-2021</t>
        </is>
      </c>
      <c r="B547" s="1" t="n">
        <v>44497</v>
      </c>
      <c r="C547" s="1" t="n">
        <v>45724</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60917-2021</t>
        </is>
      </c>
      <c r="B548" s="1" t="n">
        <v>44497</v>
      </c>
      <c r="C548" s="1" t="n">
        <v>45724</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60925-2021</t>
        </is>
      </c>
      <c r="B549" s="1" t="n">
        <v>44497</v>
      </c>
      <c r="C549" s="1" t="n">
        <v>45724</v>
      </c>
      <c r="D549" t="inlineStr">
        <is>
          <t>UPPSALA LÄN</t>
        </is>
      </c>
      <c r="E549" t="inlineStr">
        <is>
          <t>UPPSALA</t>
        </is>
      </c>
      <c r="G549" t="n">
        <v>3.7</v>
      </c>
      <c r="H549" t="n">
        <v>0</v>
      </c>
      <c r="I549" t="n">
        <v>0</v>
      </c>
      <c r="J549" t="n">
        <v>0</v>
      </c>
      <c r="K549" t="n">
        <v>0</v>
      </c>
      <c r="L549" t="n">
        <v>0</v>
      </c>
      <c r="M549" t="n">
        <v>0</v>
      </c>
      <c r="N549" t="n">
        <v>0</v>
      </c>
      <c r="O549" t="n">
        <v>0</v>
      </c>
      <c r="P549" t="n">
        <v>0</v>
      </c>
      <c r="Q549" t="n">
        <v>0</v>
      </c>
      <c r="R549" s="2" t="inlineStr"/>
    </row>
    <row r="550" ht="15" customHeight="1">
      <c r="A550" t="inlineStr">
        <is>
          <t>A 61805-2021</t>
        </is>
      </c>
      <c r="B550" s="1" t="n">
        <v>44501</v>
      </c>
      <c r="C550" s="1" t="n">
        <v>45724</v>
      </c>
      <c r="D550" t="inlineStr">
        <is>
          <t>UPPSALA LÄN</t>
        </is>
      </c>
      <c r="E550" t="inlineStr">
        <is>
          <t>UPPSALA</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62471-2021</t>
        </is>
      </c>
      <c r="B551" s="1" t="n">
        <v>44503</v>
      </c>
      <c r="C551" s="1" t="n">
        <v>45724</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62865-2021</t>
        </is>
      </c>
      <c r="B552" s="1" t="n">
        <v>44504</v>
      </c>
      <c r="C552" s="1" t="n">
        <v>45724</v>
      </c>
      <c r="D552" t="inlineStr">
        <is>
          <t>UPPSALA LÄN</t>
        </is>
      </c>
      <c r="E552" t="inlineStr">
        <is>
          <t>UPPSALA</t>
        </is>
      </c>
      <c r="F552" t="inlineStr">
        <is>
          <t>Bergvik skog öst AB</t>
        </is>
      </c>
      <c r="G552" t="n">
        <v>1.7</v>
      </c>
      <c r="H552" t="n">
        <v>0</v>
      </c>
      <c r="I552" t="n">
        <v>0</v>
      </c>
      <c r="J552" t="n">
        <v>0</v>
      </c>
      <c r="K552" t="n">
        <v>0</v>
      </c>
      <c r="L552" t="n">
        <v>0</v>
      </c>
      <c r="M552" t="n">
        <v>0</v>
      </c>
      <c r="N552" t="n">
        <v>0</v>
      </c>
      <c r="O552" t="n">
        <v>0</v>
      </c>
      <c r="P552" t="n">
        <v>0</v>
      </c>
      <c r="Q552" t="n">
        <v>0</v>
      </c>
      <c r="R552" s="2" t="inlineStr"/>
    </row>
    <row r="553" ht="15" customHeight="1">
      <c r="A553" t="inlineStr">
        <is>
          <t>A 63011-2021</t>
        </is>
      </c>
      <c r="B553" s="1" t="n">
        <v>44504</v>
      </c>
      <c r="C553" s="1" t="n">
        <v>45724</v>
      </c>
      <c r="D553" t="inlineStr">
        <is>
          <t>UPPSALA LÄN</t>
        </is>
      </c>
      <c r="E553" t="inlineStr">
        <is>
          <t>UPPSALA</t>
        </is>
      </c>
      <c r="G553" t="n">
        <v>11.2</v>
      </c>
      <c r="H553" t="n">
        <v>0</v>
      </c>
      <c r="I553" t="n">
        <v>0</v>
      </c>
      <c r="J553" t="n">
        <v>0</v>
      </c>
      <c r="K553" t="n">
        <v>0</v>
      </c>
      <c r="L553" t="n">
        <v>0</v>
      </c>
      <c r="M553" t="n">
        <v>0</v>
      </c>
      <c r="N553" t="n">
        <v>0</v>
      </c>
      <c r="O553" t="n">
        <v>0</v>
      </c>
      <c r="P553" t="n">
        <v>0</v>
      </c>
      <c r="Q553" t="n">
        <v>0</v>
      </c>
      <c r="R553" s="2" t="inlineStr"/>
    </row>
    <row r="554" ht="15" customHeight="1">
      <c r="A554" t="inlineStr">
        <is>
          <t>A 63307-2021</t>
        </is>
      </c>
      <c r="B554" s="1" t="n">
        <v>44508</v>
      </c>
      <c r="C554" s="1" t="n">
        <v>45724</v>
      </c>
      <c r="D554" t="inlineStr">
        <is>
          <t>UPPSALA LÄN</t>
        </is>
      </c>
      <c r="E554" t="inlineStr">
        <is>
          <t>UPPSALA</t>
        </is>
      </c>
      <c r="F554" t="inlineStr">
        <is>
          <t>Bergvik skog öst AB</t>
        </is>
      </c>
      <c r="G554" t="n">
        <v>2.8</v>
      </c>
      <c r="H554" t="n">
        <v>0</v>
      </c>
      <c r="I554" t="n">
        <v>0</v>
      </c>
      <c r="J554" t="n">
        <v>0</v>
      </c>
      <c r="K554" t="n">
        <v>0</v>
      </c>
      <c r="L554" t="n">
        <v>0</v>
      </c>
      <c r="M554" t="n">
        <v>0</v>
      </c>
      <c r="N554" t="n">
        <v>0</v>
      </c>
      <c r="O554" t="n">
        <v>0</v>
      </c>
      <c r="P554" t="n">
        <v>0</v>
      </c>
      <c r="Q554" t="n">
        <v>0</v>
      </c>
      <c r="R554" s="2" t="inlineStr"/>
    </row>
    <row r="555" ht="15" customHeight="1">
      <c r="A555" t="inlineStr">
        <is>
          <t>A 64016-2021</t>
        </is>
      </c>
      <c r="B555" s="1" t="n">
        <v>44510</v>
      </c>
      <c r="C555" s="1" t="n">
        <v>45724</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64857-2021</t>
        </is>
      </c>
      <c r="B556" s="1" t="n">
        <v>44512</v>
      </c>
      <c r="C556" s="1" t="n">
        <v>45724</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64856-2021</t>
        </is>
      </c>
      <c r="B557" s="1" t="n">
        <v>44512</v>
      </c>
      <c r="C557" s="1" t="n">
        <v>45724</v>
      </c>
      <c r="D557" t="inlineStr">
        <is>
          <t>UPPSALA LÄN</t>
        </is>
      </c>
      <c r="E557" t="inlineStr">
        <is>
          <t>UPPSALA</t>
        </is>
      </c>
      <c r="G557" t="n">
        <v>4.1</v>
      </c>
      <c r="H557" t="n">
        <v>0</v>
      </c>
      <c r="I557" t="n">
        <v>0</v>
      </c>
      <c r="J557" t="n">
        <v>0</v>
      </c>
      <c r="K557" t="n">
        <v>0</v>
      </c>
      <c r="L557" t="n">
        <v>0</v>
      </c>
      <c r="M557" t="n">
        <v>0</v>
      </c>
      <c r="N557" t="n">
        <v>0</v>
      </c>
      <c r="O557" t="n">
        <v>0</v>
      </c>
      <c r="P557" t="n">
        <v>0</v>
      </c>
      <c r="Q557" t="n">
        <v>0</v>
      </c>
      <c r="R557" s="2" t="inlineStr"/>
    </row>
    <row r="558" ht="15" customHeight="1">
      <c r="A558" t="inlineStr">
        <is>
          <t>A 64858-2021</t>
        </is>
      </c>
      <c r="B558" s="1" t="n">
        <v>44512</v>
      </c>
      <c r="C558" s="1" t="n">
        <v>45724</v>
      </c>
      <c r="D558" t="inlineStr">
        <is>
          <t>UPPSALA LÄN</t>
        </is>
      </c>
      <c r="E558" t="inlineStr">
        <is>
          <t>UPPSALA</t>
        </is>
      </c>
      <c r="G558" t="n">
        <v>1.2</v>
      </c>
      <c r="H558" t="n">
        <v>0</v>
      </c>
      <c r="I558" t="n">
        <v>0</v>
      </c>
      <c r="J558" t="n">
        <v>0</v>
      </c>
      <c r="K558" t="n">
        <v>0</v>
      </c>
      <c r="L558" t="n">
        <v>0</v>
      </c>
      <c r="M558" t="n">
        <v>0</v>
      </c>
      <c r="N558" t="n">
        <v>0</v>
      </c>
      <c r="O558" t="n">
        <v>0</v>
      </c>
      <c r="P558" t="n">
        <v>0</v>
      </c>
      <c r="Q558" t="n">
        <v>0</v>
      </c>
      <c r="R558" s="2" t="inlineStr"/>
    </row>
    <row r="559" ht="15" customHeight="1">
      <c r="A559" t="inlineStr">
        <is>
          <t>A 64855-2021</t>
        </is>
      </c>
      <c r="B559" s="1" t="n">
        <v>44512</v>
      </c>
      <c r="C559" s="1" t="n">
        <v>45724</v>
      </c>
      <c r="D559" t="inlineStr">
        <is>
          <t>UPPSALA LÄN</t>
        </is>
      </c>
      <c r="E559" t="inlineStr">
        <is>
          <t>UPPSALA</t>
        </is>
      </c>
      <c r="G559" t="n">
        <v>3.1</v>
      </c>
      <c r="H559" t="n">
        <v>0</v>
      </c>
      <c r="I559" t="n">
        <v>0</v>
      </c>
      <c r="J559" t="n">
        <v>0</v>
      </c>
      <c r="K559" t="n">
        <v>0</v>
      </c>
      <c r="L559" t="n">
        <v>0</v>
      </c>
      <c r="M559" t="n">
        <v>0</v>
      </c>
      <c r="N559" t="n">
        <v>0</v>
      </c>
      <c r="O559" t="n">
        <v>0</v>
      </c>
      <c r="P559" t="n">
        <v>0</v>
      </c>
      <c r="Q559" t="n">
        <v>0</v>
      </c>
      <c r="R559" s="2" t="inlineStr"/>
    </row>
    <row r="560" ht="15" customHeight="1">
      <c r="A560" t="inlineStr">
        <is>
          <t>A 65132-2021</t>
        </is>
      </c>
      <c r="B560" s="1" t="n">
        <v>44515</v>
      </c>
      <c r="C560" s="1" t="n">
        <v>45724</v>
      </c>
      <c r="D560" t="inlineStr">
        <is>
          <t>UPPSALA LÄN</t>
        </is>
      </c>
      <c r="E560" t="inlineStr">
        <is>
          <t>UPPSALA</t>
        </is>
      </c>
      <c r="G560" t="n">
        <v>1.9</v>
      </c>
      <c r="H560" t="n">
        <v>0</v>
      </c>
      <c r="I560" t="n">
        <v>0</v>
      </c>
      <c r="J560" t="n">
        <v>0</v>
      </c>
      <c r="K560" t="n">
        <v>0</v>
      </c>
      <c r="L560" t="n">
        <v>0</v>
      </c>
      <c r="M560" t="n">
        <v>0</v>
      </c>
      <c r="N560" t="n">
        <v>0</v>
      </c>
      <c r="O560" t="n">
        <v>0</v>
      </c>
      <c r="P560" t="n">
        <v>0</v>
      </c>
      <c r="Q560" t="n">
        <v>0</v>
      </c>
      <c r="R560" s="2" t="inlineStr"/>
    </row>
    <row r="561" ht="15" customHeight="1">
      <c r="A561" t="inlineStr">
        <is>
          <t>A 65659-2021</t>
        </is>
      </c>
      <c r="B561" s="1" t="n">
        <v>44516</v>
      </c>
      <c r="C561" s="1" t="n">
        <v>45724</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65695-2021</t>
        </is>
      </c>
      <c r="B562" s="1" t="n">
        <v>44516</v>
      </c>
      <c r="C562" s="1" t="n">
        <v>45724</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65809-2021</t>
        </is>
      </c>
      <c r="B563" s="1" t="n">
        <v>44517</v>
      </c>
      <c r="C563" s="1" t="n">
        <v>45724</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65811-2021</t>
        </is>
      </c>
      <c r="B564" s="1" t="n">
        <v>44517</v>
      </c>
      <c r="C564" s="1" t="n">
        <v>45724</v>
      </c>
      <c r="D564" t="inlineStr">
        <is>
          <t>UPPSALA LÄN</t>
        </is>
      </c>
      <c r="E564" t="inlineStr">
        <is>
          <t>UPPSALA</t>
        </is>
      </c>
      <c r="G564" t="n">
        <v>0.3</v>
      </c>
      <c r="H564" t="n">
        <v>0</v>
      </c>
      <c r="I564" t="n">
        <v>0</v>
      </c>
      <c r="J564" t="n">
        <v>0</v>
      </c>
      <c r="K564" t="n">
        <v>0</v>
      </c>
      <c r="L564" t="n">
        <v>0</v>
      </c>
      <c r="M564" t="n">
        <v>0</v>
      </c>
      <c r="N564" t="n">
        <v>0</v>
      </c>
      <c r="O564" t="n">
        <v>0</v>
      </c>
      <c r="P564" t="n">
        <v>0</v>
      </c>
      <c r="Q564" t="n">
        <v>0</v>
      </c>
      <c r="R564" s="2" t="inlineStr"/>
    </row>
    <row r="565" ht="15" customHeight="1">
      <c r="A565" t="inlineStr">
        <is>
          <t>A 65964-2021</t>
        </is>
      </c>
      <c r="B565" s="1" t="n">
        <v>44517</v>
      </c>
      <c r="C565" s="1" t="n">
        <v>45724</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66239-2021</t>
        </is>
      </c>
      <c r="B566" s="1" t="n">
        <v>44518</v>
      </c>
      <c r="C566" s="1" t="n">
        <v>45724</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66690-2021</t>
        </is>
      </c>
      <c r="B567" s="1" t="n">
        <v>44519</v>
      </c>
      <c r="C567" s="1" t="n">
        <v>45724</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66686-2021</t>
        </is>
      </c>
      <c r="B568" s="1" t="n">
        <v>44519</v>
      </c>
      <c r="C568" s="1" t="n">
        <v>45724</v>
      </c>
      <c r="D568" t="inlineStr">
        <is>
          <t>UPPSALA LÄN</t>
        </is>
      </c>
      <c r="E568" t="inlineStr">
        <is>
          <t>UPPSALA</t>
        </is>
      </c>
      <c r="G568" t="n">
        <v>6.4</v>
      </c>
      <c r="H568" t="n">
        <v>0</v>
      </c>
      <c r="I568" t="n">
        <v>0</v>
      </c>
      <c r="J568" t="n">
        <v>0</v>
      </c>
      <c r="K568" t="n">
        <v>0</v>
      </c>
      <c r="L568" t="n">
        <v>0</v>
      </c>
      <c r="M568" t="n">
        <v>0</v>
      </c>
      <c r="N568" t="n">
        <v>0</v>
      </c>
      <c r="O568" t="n">
        <v>0</v>
      </c>
      <c r="P568" t="n">
        <v>0</v>
      </c>
      <c r="Q568" t="n">
        <v>0</v>
      </c>
      <c r="R568" s="2" t="inlineStr"/>
    </row>
    <row r="569" ht="15" customHeight="1">
      <c r="A569" t="inlineStr">
        <is>
          <t>A 66794-2021</t>
        </is>
      </c>
      <c r="B569" s="1" t="n">
        <v>44522</v>
      </c>
      <c r="C569" s="1" t="n">
        <v>45724</v>
      </c>
      <c r="D569" t="inlineStr">
        <is>
          <t>UPPSALA LÄN</t>
        </is>
      </c>
      <c r="E569" t="inlineStr">
        <is>
          <t>UPPSALA</t>
        </is>
      </c>
      <c r="G569" t="n">
        <v>4.9</v>
      </c>
      <c r="H569" t="n">
        <v>0</v>
      </c>
      <c r="I569" t="n">
        <v>0</v>
      </c>
      <c r="J569" t="n">
        <v>0</v>
      </c>
      <c r="K569" t="n">
        <v>0</v>
      </c>
      <c r="L569" t="n">
        <v>0</v>
      </c>
      <c r="M569" t="n">
        <v>0</v>
      </c>
      <c r="N569" t="n">
        <v>0</v>
      </c>
      <c r="O569" t="n">
        <v>0</v>
      </c>
      <c r="P569" t="n">
        <v>0</v>
      </c>
      <c r="Q569" t="n">
        <v>0</v>
      </c>
      <c r="R569" s="2" t="inlineStr"/>
    </row>
    <row r="570" ht="15" customHeight="1">
      <c r="A570" t="inlineStr">
        <is>
          <t>A 66927-2021</t>
        </is>
      </c>
      <c r="B570" s="1" t="n">
        <v>44522</v>
      </c>
      <c r="C570" s="1" t="n">
        <v>45724</v>
      </c>
      <c r="D570" t="inlineStr">
        <is>
          <t>UPPSALA LÄN</t>
        </is>
      </c>
      <c r="E570" t="inlineStr">
        <is>
          <t>UPPSALA</t>
        </is>
      </c>
      <c r="G570" t="n">
        <v>2.9</v>
      </c>
      <c r="H570" t="n">
        <v>0</v>
      </c>
      <c r="I570" t="n">
        <v>0</v>
      </c>
      <c r="J570" t="n">
        <v>0</v>
      </c>
      <c r="K570" t="n">
        <v>0</v>
      </c>
      <c r="L570" t="n">
        <v>0</v>
      </c>
      <c r="M570" t="n">
        <v>0</v>
      </c>
      <c r="N570" t="n">
        <v>0</v>
      </c>
      <c r="O570" t="n">
        <v>0</v>
      </c>
      <c r="P570" t="n">
        <v>0</v>
      </c>
      <c r="Q570" t="n">
        <v>0</v>
      </c>
      <c r="R570" s="2" t="inlineStr"/>
    </row>
    <row r="571" ht="15" customHeight="1">
      <c r="A571" t="inlineStr">
        <is>
          <t>A 66983-2021</t>
        </is>
      </c>
      <c r="B571" s="1" t="n">
        <v>44522</v>
      </c>
      <c r="C571" s="1" t="n">
        <v>45724</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67991-2021</t>
        </is>
      </c>
      <c r="B572" s="1" t="n">
        <v>44525</v>
      </c>
      <c r="C572" s="1" t="n">
        <v>45724</v>
      </c>
      <c r="D572" t="inlineStr">
        <is>
          <t>UPPSALA LÄN</t>
        </is>
      </c>
      <c r="E572" t="inlineStr">
        <is>
          <t>UPPSALA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68696-2021</t>
        </is>
      </c>
      <c r="B573" s="1" t="n">
        <v>44526</v>
      </c>
      <c r="C573" s="1" t="n">
        <v>45724</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68139-2021</t>
        </is>
      </c>
      <c r="B574" s="1" t="n">
        <v>44526</v>
      </c>
      <c r="C574" s="1" t="n">
        <v>45724</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68296-2021</t>
        </is>
      </c>
      <c r="B575" s="1" t="n">
        <v>44526</v>
      </c>
      <c r="C575" s="1" t="n">
        <v>45724</v>
      </c>
      <c r="D575" t="inlineStr">
        <is>
          <t>UPPSALA LÄN</t>
        </is>
      </c>
      <c r="E575" t="inlineStr">
        <is>
          <t>UPPSALA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69067-2021</t>
        </is>
      </c>
      <c r="B576" s="1" t="n">
        <v>44530</v>
      </c>
      <c r="C576" s="1" t="n">
        <v>45724</v>
      </c>
      <c r="D576" t="inlineStr">
        <is>
          <t>UPPSALA LÄN</t>
        </is>
      </c>
      <c r="E576" t="inlineStr">
        <is>
          <t>UPPSALA</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69432-2021</t>
        </is>
      </c>
      <c r="B577" s="1" t="n">
        <v>44531</v>
      </c>
      <c r="C577" s="1" t="n">
        <v>45724</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69214-2021</t>
        </is>
      </c>
      <c r="B578" s="1" t="n">
        <v>44531</v>
      </c>
      <c r="C578" s="1" t="n">
        <v>45724</v>
      </c>
      <c r="D578" t="inlineStr">
        <is>
          <t>UPPSALA LÄN</t>
        </is>
      </c>
      <c r="E578" t="inlineStr">
        <is>
          <t>UPPSALA</t>
        </is>
      </c>
      <c r="F578" t="inlineStr">
        <is>
          <t>Bergvik skog öst AB</t>
        </is>
      </c>
      <c r="G578" t="n">
        <v>3.4</v>
      </c>
      <c r="H578" t="n">
        <v>0</v>
      </c>
      <c r="I578" t="n">
        <v>0</v>
      </c>
      <c r="J578" t="n">
        <v>0</v>
      </c>
      <c r="K578" t="n">
        <v>0</v>
      </c>
      <c r="L578" t="n">
        <v>0</v>
      </c>
      <c r="M578" t="n">
        <v>0</v>
      </c>
      <c r="N578" t="n">
        <v>0</v>
      </c>
      <c r="O578" t="n">
        <v>0</v>
      </c>
      <c r="P578" t="n">
        <v>0</v>
      </c>
      <c r="Q578" t="n">
        <v>0</v>
      </c>
      <c r="R578" s="2" t="inlineStr"/>
    </row>
    <row r="579" ht="15" customHeight="1">
      <c r="A579" t="inlineStr">
        <is>
          <t>A 69397-2021</t>
        </is>
      </c>
      <c r="B579" s="1" t="n">
        <v>44531</v>
      </c>
      <c r="C579" s="1" t="n">
        <v>45724</v>
      </c>
      <c r="D579" t="inlineStr">
        <is>
          <t>UPPSALA LÄN</t>
        </is>
      </c>
      <c r="E579" t="inlineStr">
        <is>
          <t>UPPSALA</t>
        </is>
      </c>
      <c r="F579" t="inlineStr">
        <is>
          <t>Bergvik skog öst AB</t>
        </is>
      </c>
      <c r="G579" t="n">
        <v>3.3</v>
      </c>
      <c r="H579" t="n">
        <v>0</v>
      </c>
      <c r="I579" t="n">
        <v>0</v>
      </c>
      <c r="J579" t="n">
        <v>0</v>
      </c>
      <c r="K579" t="n">
        <v>0</v>
      </c>
      <c r="L579" t="n">
        <v>0</v>
      </c>
      <c r="M579" t="n">
        <v>0</v>
      </c>
      <c r="N579" t="n">
        <v>0</v>
      </c>
      <c r="O579" t="n">
        <v>0</v>
      </c>
      <c r="P579" t="n">
        <v>0</v>
      </c>
      <c r="Q579" t="n">
        <v>0</v>
      </c>
      <c r="R579" s="2" t="inlineStr"/>
    </row>
    <row r="580" ht="15" customHeight="1">
      <c r="A580" t="inlineStr">
        <is>
          <t>A 69436-2021</t>
        </is>
      </c>
      <c r="B580" s="1" t="n">
        <v>44531</v>
      </c>
      <c r="C580" s="1" t="n">
        <v>45724</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69439-2021</t>
        </is>
      </c>
      <c r="B581" s="1" t="n">
        <v>44531</v>
      </c>
      <c r="C581" s="1" t="n">
        <v>45724</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69711-2021</t>
        </is>
      </c>
      <c r="B582" s="1" t="n">
        <v>44532</v>
      </c>
      <c r="C582" s="1" t="n">
        <v>45724</v>
      </c>
      <c r="D582" t="inlineStr">
        <is>
          <t>UPPSALA LÄN</t>
        </is>
      </c>
      <c r="E582" t="inlineStr">
        <is>
          <t>UPPSALA</t>
        </is>
      </c>
      <c r="G582" t="n">
        <v>10.2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45724</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45724</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45724</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45724</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45724</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45724</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45724</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45724</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45724</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45724</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45724</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45724</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45724</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45724</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45724</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45724</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45724</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45724</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45724</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45724</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45724</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45724</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45724</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45724</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45724</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45724</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45724</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45724</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45724</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45724</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45724</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45724</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45724</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45724</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45724</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45724</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45724</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45724</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45724</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45724</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45724</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45724</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45724</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45724</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45724</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45724</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45724</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45724</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45724</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45724</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45724</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45724</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45724</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45724</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45724</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45724</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45724</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45724</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45724</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45724</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45724</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45724</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45724</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45724</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45724</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45724</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45724</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45724</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45724</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45724</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45724</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45724</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45724</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45724</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45724</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45724</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45724</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45724</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45724</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45724</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45724</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45724</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45724</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45724</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45724</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45724</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45724</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45724</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45724</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45724</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45724</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45724</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45724</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45724</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45724</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45724</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45724</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45724</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45724</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45724</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45724</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45724</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45724</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45724</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45724</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45724</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45724</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45724</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45724</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45724</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45724</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45724</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45724</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45724</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45724</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45724</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45724</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45724</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45724</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45724</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45724</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45724</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45724</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45724</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45724</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45724</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45724</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45724</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45724</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45724</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45724</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45724</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45724</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45724</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45724</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45724</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45724</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45724</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45724</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45724</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45724</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45724</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45724</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45724</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45724</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45724</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45724</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45724</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45724</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45724</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45724</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45724</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45724</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45724</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45724</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45724</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45724</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45724</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45724</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45724</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45724</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45724</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45724</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45724</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45724</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45724</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45724</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45724</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45724</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45724</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45724</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45724</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45724</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45724</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45724</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45724</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45724</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45724</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45724</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45724</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45724</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45724</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45724</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45724</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45724</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45724</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45724</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45724</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45724</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45724</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45724</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45724</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45724</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45724</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45724</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45724</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45724</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45724</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45724</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45724</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45724</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45724</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45724</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45724</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45724</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45724</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45724</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45724</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45724</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45724</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45724</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45724</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45724</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45724</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45724</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45724</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45724</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45724</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45724</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45724</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45724</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45724</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45724</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45724</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45724</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45724</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45724</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45724</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45724</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45724</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45724</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45724</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45724</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45724</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45724</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45724</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45724</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45724</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45724</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45724</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45724</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45724</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45724</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45724</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45724</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45724</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45724</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45724</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45724</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45724</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45724</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45724</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45724</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45724</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45724</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45724</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45724</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45724</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45724</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45724</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45724</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45724</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45724</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45724</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45724</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45724</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45724</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45724</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45724</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45724</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45724</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45724</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45724</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45724</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45724</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45724</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45724</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45724</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45724</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45724</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45724</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45724</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45724</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45724</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45724</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45724</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45724</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45724</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45724</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45724</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45724</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45724</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45724</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45724</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45724</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45724</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45724</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45724</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45724</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45724</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45724</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45724</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45724</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45724</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45724</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45724</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45724</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45724</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45724</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45724</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45724</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45724</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45724</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45724</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45724</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45724</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45724</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45724</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45724</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45724</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45724</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45724</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45724</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45724</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45724</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45724</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45724</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45724</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45724</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45724</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45724</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45724</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45724</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45724</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45724</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45724</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45724</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45724</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45724</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45724</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45724</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45724</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45724</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45724</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45724</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45724</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45724</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45724</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45724</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45724</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45724</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45724</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45724</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45724</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45724</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45724</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45724</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45724</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45724</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45724</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45724</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45724</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45724</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45724</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45724</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45724</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45724</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45724</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45724</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45724</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45724</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45724</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45724</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45724</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45724</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45724</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45724</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45724</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45724</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45724</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45724</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45724</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45724</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45724</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45724</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45724</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45724</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45724</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45724</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45724</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45724</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45724</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45724</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45724</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45724</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45724</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45724</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45724</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45724</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45724</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45724</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45724</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45724</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45724</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45724</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45724</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45724</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45724</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45724</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45724</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45724</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45724</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45724</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45724</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45724</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45724</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45724</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45724</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45724</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45724</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45724</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45724</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45724</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45724</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45724</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45724</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45724</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45724</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45724</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45724</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45724</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45724</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45724</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45724</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45724</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45724</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45724</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45724</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45724</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45724</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45724</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45724</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45724</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45724</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45724</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45724</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45724</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45724</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45724</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45724</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45724</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45724</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45724</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45724</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45724</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45724</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45724</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45724</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45724</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45724</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45724</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45724</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45724</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45724</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45724</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45724</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45724</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45724</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45724</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45724</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45724</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45724</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45724</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45724</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45724</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45724</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45724</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45724</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45724</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45724</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45724</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45724</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45724</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45724</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45724</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45724</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45724</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45724</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45724</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45724</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45724</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45724</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45724</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45724</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45724</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45724</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45724</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45724</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45724</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45724</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45724</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45724</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45724</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45724</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45724</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45724</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45724</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45724</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45724</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45724</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45724</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45724</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45724</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45724</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45724</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45724</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45724</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45724</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45724</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45724</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45724</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45724</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45724</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45724</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45724</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45724</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45724</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45724</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45724</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45724</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45724</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45724</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45724</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45724</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45724</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45724</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45724</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45724</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45724</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45724</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45724</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45724</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45724</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45724</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45724</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45724</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45724</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45724</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45724</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45724</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45724</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45724</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45724</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45724</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45724</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45724</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45724</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45724</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45724</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45724</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45724</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45724</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45724</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45724</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45724</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45724</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45724</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45724</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45724</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45724</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45724</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45724</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45724</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45724</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45724</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45724</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45724</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45724</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45724</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45724</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45724</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45724</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45724</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45724</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45724</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45724</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45724</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45724</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45724</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45724</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45724</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45724</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45724</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45724</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45724</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45724</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45724</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45724</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45724</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45724</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45724</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45724</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45724</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45724</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45724</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45724</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45724</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45724</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45724</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45724</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45724</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45724</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45724</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45724</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45724</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45724</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45724</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45724</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45724</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45724</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45724</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45724</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45724</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45724</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45724</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45724</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45724</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45724</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45724</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45724</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45724</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45724</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45724</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45724</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45724</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45724</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45724</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45724</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45724</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45724</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45724</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45724</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45724</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45724</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45724</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45724</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45724</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45724</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45724</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45724</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45724</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45724</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45724</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45724</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45724</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45724</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45724</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45724</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45724</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45724</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45724</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45724</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45724</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45724</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45724</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45724</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45724</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45724</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45724</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45724</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45724</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45724</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45724</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45724</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45724</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45724</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45724</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45724</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45724</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45724</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45724</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45724</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45724</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45724</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45724</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45724</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45724</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45724</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45724</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45724</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45724</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45724</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45724</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45724</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45724</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45724</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45724</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45724</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45724</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45724</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45724</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45724</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45724</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45724</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45724</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45724</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45724</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45724</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45724</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45724</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45724</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45724</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45724</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45724</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45724</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45724</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45724</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45724</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45724</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45724</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45724</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45724</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45724</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45724</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45724</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45724</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45724</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45724</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45724</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45724</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45724</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45724</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45724</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45724</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45724</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45724</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45724</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45724</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45724</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45724</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45724</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45724</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45724</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45724</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45724</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45724</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45724</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45724</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45724</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45724</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45724</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45724</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45724</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45724</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45724</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45724</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45724</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45724</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45724</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45724</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45724</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45724</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45724</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45724</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45724</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45724</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45724</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45724</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45724</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45724</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45724</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45724</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45724</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45724</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45724</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45724</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45724</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45724</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45724</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45724</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45724</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45724</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45724</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45724</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45724</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45724</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45724</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45724</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45724</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45724</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45724</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45724</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45724</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45724</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45724</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45724</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45724</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45724</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45724</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45724</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45724</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45724</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45724</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45724</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45724</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45724</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45724</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45724</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45724</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45724</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45724</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45724</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45724</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45724</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45724</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45724</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45724</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45724</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45724</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45724</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45724</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45724</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45724</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45724</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45724</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45724</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45724</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45724</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45724</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45724</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45724</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45724</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45724</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45724</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45724</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45724</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45724</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45724</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45724</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45724</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45724</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45724</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45724</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45724</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45724</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45724</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45724</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45724</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45724</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45724</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45724</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45724</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45724</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45724</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45724</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45724</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45724</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45724</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45724</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45724</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45724</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45724</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45724</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45724</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45724</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45724</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45724</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45724</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45724</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45724</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45724</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45724</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45724</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45724</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45724</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45724</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45724</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45724</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45724</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45724</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45724</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45724</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45724</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45724</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45724</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45724</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45724</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45724</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45724</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45724</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45724</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45724</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45724</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45724</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45724</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45724</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45724</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45724</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45724</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45724</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45724</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45724</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45724</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45724</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45724</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45724</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45724</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45724</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45724</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45724</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45724</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45724</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45724</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45724</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45724</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45724</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45724</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45724</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45724</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45724</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45724</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45724</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45724</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45724</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45724</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45724</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45724</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45724</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45724</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45724</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45724</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45724</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45724</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45724</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45724</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45724</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45724</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45724</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45724</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45724</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45724</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45724</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45724</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45724</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45724</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45724</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45724</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45724</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45724</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45724</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45724</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45724</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45724</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45724</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45724</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45724</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45724</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45724</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45724</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45724</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45724</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45724</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45724</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45724</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45724</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45724</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45724</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45724</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45724</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45724</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45724</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45724</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45724</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45724</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45724</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45724</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45724</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45724</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45724</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45724</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45724</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45724</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45724</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45724</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45724</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45724</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45724</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45724</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45724</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45724</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45724</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45724</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45724</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45724</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45724</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45724</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45724</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45724</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45724</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45724</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45724</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45724</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45724</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45724</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45724</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45724</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45724</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45724</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45724</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45724</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45724</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45724</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45724</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45724</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45724</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45724</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45724</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45724</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45724</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45724</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45724</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45724</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45724</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45724</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45724</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45724</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45724</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45724</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45724</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45724</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45724</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45724</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45724</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45724</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45724</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45724</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45724</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45724</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45724</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45724</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45724</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45724</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45724</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45724</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45724</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45724</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45724</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45724</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45724</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45724</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45724</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45724</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45724</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45724</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45724</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45724</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45724</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45724</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45724</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45724</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45724</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45724</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45724</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45724</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45724</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45724</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45724</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45724</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45724</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45724</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45724</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45724</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45724</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45724</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45724</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45724</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45724</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45724</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45724</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45724</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45724</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45724</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45724</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45724</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45724</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45724</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45724</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45724</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45724</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45724</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45724</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45724</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45724</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45724</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45724</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45724</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45724</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45724</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45724</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45724</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45724</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45724</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45724</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45724</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45724</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45724</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45724</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45724</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45724</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45724</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45724</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45724</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45724</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45724</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45724</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45724</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45724</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45724</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45724</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45724</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45724</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45724</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45724</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45724</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45724</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45724</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45724</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45724</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45724</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45724</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45724</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45724</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45724</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9414-2025</t>
        </is>
      </c>
      <c r="B1716" s="1" t="n">
        <v>45715</v>
      </c>
      <c r="C1716" s="1" t="n">
        <v>45724</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45724</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9409-2025</t>
        </is>
      </c>
      <c r="B1718" s="1" t="n">
        <v>45715</v>
      </c>
      <c r="C1718" s="1" t="n">
        <v>45724</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9981-2025</t>
        </is>
      </c>
      <c r="B1719" s="1" t="n">
        <v>45719</v>
      </c>
      <c r="C1719" s="1" t="n">
        <v>45724</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9993-2025</t>
        </is>
      </c>
      <c r="B1720" s="1" t="n">
        <v>45719</v>
      </c>
      <c r="C1720" s="1" t="n">
        <v>45724</v>
      </c>
      <c r="D1720" t="inlineStr">
        <is>
          <t>UPPSALA LÄN</t>
        </is>
      </c>
      <c r="E1720" t="inlineStr">
        <is>
          <t>UPPSALA</t>
        </is>
      </c>
      <c r="F1720" t="inlineStr">
        <is>
          <t>Kyrkan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9984-2025</t>
        </is>
      </c>
      <c r="B1721" s="1" t="n">
        <v>45719</v>
      </c>
      <c r="C1721" s="1" t="n">
        <v>45724</v>
      </c>
      <c r="D1721" t="inlineStr">
        <is>
          <t>UPPSALA LÄN</t>
        </is>
      </c>
      <c r="E1721" t="inlineStr">
        <is>
          <t>UPPSALA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9991-2025</t>
        </is>
      </c>
      <c r="B1722" s="1" t="n">
        <v>45719</v>
      </c>
      <c r="C1722" s="1" t="n">
        <v>45724</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9995-2025</t>
        </is>
      </c>
      <c r="B1723" s="1" t="n">
        <v>45719</v>
      </c>
      <c r="C1723" s="1" t="n">
        <v>45724</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45724</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45724</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10490-2025</t>
        </is>
      </c>
      <c r="B1726" s="1" t="n">
        <v>45721</v>
      </c>
      <c r="C1726" s="1" t="n">
        <v>45724</v>
      </c>
      <c r="D1726" t="inlineStr">
        <is>
          <t>UPPSALA LÄN</t>
        </is>
      </c>
      <c r="E1726" t="inlineStr">
        <is>
          <t>UPPSALA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10489-2025</t>
        </is>
      </c>
      <c r="B1727" s="1" t="n">
        <v>45721</v>
      </c>
      <c r="C1727" s="1" t="n">
        <v>45724</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45724</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10488-2025</t>
        </is>
      </c>
      <c r="B1729" s="1" t="n">
        <v>45721</v>
      </c>
      <c r="C1729" s="1" t="n">
        <v>45724</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11119-2025</t>
        </is>
      </c>
      <c r="B1730" s="1" t="n">
        <v>45723</v>
      </c>
      <c r="C1730" s="1" t="n">
        <v>45724</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c r="A1731" t="inlineStr">
        <is>
          <t>A 11103-2025</t>
        </is>
      </c>
      <c r="B1731" s="1" t="n">
        <v>45723</v>
      </c>
      <c r="C1731" s="1" t="n">
        <v>45724</v>
      </c>
      <c r="D1731" t="inlineStr">
        <is>
          <t>UPPSALA LÄN</t>
        </is>
      </c>
      <c r="E1731" t="inlineStr">
        <is>
          <t>UPPSALA</t>
        </is>
      </c>
      <c r="G1731" t="n">
        <v>7.9</v>
      </c>
      <c r="H1731" t="n">
        <v>0</v>
      </c>
      <c r="I1731" t="n">
        <v>0</v>
      </c>
      <c r="J1731" t="n">
        <v>0</v>
      </c>
      <c r="K1731" t="n">
        <v>0</v>
      </c>
      <c r="L1731" t="n">
        <v>0</v>
      </c>
      <c r="M1731" t="n">
        <v>0</v>
      </c>
      <c r="N1731" t="n">
        <v>0</v>
      </c>
      <c r="O1731" t="n">
        <v>0</v>
      </c>
      <c r="P1731" t="n">
        <v>0</v>
      </c>
      <c r="Q1731" t="n">
        <v>0</v>
      </c>
      <c r="R1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2025-03-08T17:59:48Z</dcterms:created>
  <dcterms:modified xmlns:dcterms="http://purl.org/dc/terms/" xmlns:xsi="http://www.w3.org/2001/XMLSchema-instance" xsi:type="dcterms:W3CDTF">2025-03-08T17:59:49Z</dcterms:modified>
</cp:coreProperties>
</file>