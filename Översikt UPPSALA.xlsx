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45907</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45907</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45907</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45907</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45907</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45907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45907</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38085-2025</t>
        </is>
      </c>
      <c r="B11" s="1" t="n">
        <v>45882.47538194444</v>
      </c>
      <c r="C11" s="1" t="n">
        <v>45907</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45907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45907</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45907</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45907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45907</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45907</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45907</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45907</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45907</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45907</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45907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45907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45907</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45907</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45907</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45907</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45907</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45907</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45907</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45907</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45907</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45907</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45907</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45907</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33636-2025</t>
        </is>
      </c>
      <c r="B38" s="1" t="n">
        <v>45841.64539351852</v>
      </c>
      <c r="C38" s="1" t="n">
        <v>45907</v>
      </c>
      <c r="D38" t="inlineStr">
        <is>
          <t>UPPSALA LÄN</t>
        </is>
      </c>
      <c r="E38" t="inlineStr">
        <is>
          <t>UPPSALA</t>
        </is>
      </c>
      <c r="F38" t="inlineStr">
        <is>
          <t>Holmen skog AB</t>
        </is>
      </c>
      <c r="G38" t="n">
        <v>13.3</v>
      </c>
      <c r="H38" t="n">
        <v>0</v>
      </c>
      <c r="I38" t="n">
        <v>3</v>
      </c>
      <c r="J38" t="n">
        <v>2</v>
      </c>
      <c r="K38" t="n">
        <v>0</v>
      </c>
      <c r="L38" t="n">
        <v>0</v>
      </c>
      <c r="M38" t="n">
        <v>0</v>
      </c>
      <c r="N38" t="n">
        <v>0</v>
      </c>
      <c r="O38" t="n">
        <v>2</v>
      </c>
      <c r="P38" t="n">
        <v>0</v>
      </c>
      <c r="Q38" t="n">
        <v>5</v>
      </c>
      <c r="R38" s="2" t="inlineStr">
        <is>
          <t>Lunglav
Rödbrun blekspik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1725-2022</t>
        </is>
      </c>
      <c r="B39" s="1" t="n">
        <v>44574</v>
      </c>
      <c r="C39" s="1" t="n">
        <v>45907</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45907</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27389-2021</t>
        </is>
      </c>
      <c r="B41" s="1" t="n">
        <v>44351</v>
      </c>
      <c r="C41" s="1" t="n">
        <v>45907</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23153-2022</t>
        </is>
      </c>
      <c r="B42" s="1" t="n">
        <v>44719</v>
      </c>
      <c r="C42" s="1" t="n">
        <v>45907</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45907</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45907</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45907</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45907</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45907</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45907</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34147-2022</t>
        </is>
      </c>
      <c r="B49" s="1" t="n">
        <v>44791</v>
      </c>
      <c r="C49" s="1" t="n">
        <v>45907</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45907</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45907</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45907</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30716-2025</t>
        </is>
      </c>
      <c r="B53" s="1" t="n">
        <v>45831.55982638889</v>
      </c>
      <c r="C53" s="1" t="n">
        <v>45907</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45907</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18079-2022</t>
        </is>
      </c>
      <c r="B55" s="1" t="n">
        <v>44684</v>
      </c>
      <c r="C55" s="1" t="n">
        <v>45907</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45907</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45907</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45907</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25660-2025</t>
        </is>
      </c>
      <c r="B59" s="1" t="n">
        <v>45803.61554398148</v>
      </c>
      <c r="C59" s="1" t="n">
        <v>45907</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9401-2025</t>
        </is>
      </c>
      <c r="B60" s="1" t="n">
        <v>45715.38105324074</v>
      </c>
      <c r="C60" s="1" t="n">
        <v>45907</v>
      </c>
      <c r="D60" t="inlineStr">
        <is>
          <t>UPPSALA LÄN</t>
        </is>
      </c>
      <c r="E60" t="inlineStr">
        <is>
          <t>UPPSALA</t>
        </is>
      </c>
      <c r="G60" t="n">
        <v>3.1</v>
      </c>
      <c r="H60" t="n">
        <v>2</v>
      </c>
      <c r="I60" t="n">
        <v>0</v>
      </c>
      <c r="J60" t="n">
        <v>0</v>
      </c>
      <c r="K60" t="n">
        <v>0</v>
      </c>
      <c r="L60" t="n">
        <v>0</v>
      </c>
      <c r="M60" t="n">
        <v>0</v>
      </c>
      <c r="N60" t="n">
        <v>0</v>
      </c>
      <c r="O60" t="n">
        <v>0</v>
      </c>
      <c r="P60" t="n">
        <v>0</v>
      </c>
      <c r="Q60" t="n">
        <v>2</v>
      </c>
      <c r="R60" s="2" t="inlineStr">
        <is>
          <t>Vanlig padda
Blåsippa</t>
        </is>
      </c>
      <c r="S60">
        <f>HYPERLINK("https://klasma.github.io/Logging_0380/artfynd/A 9401-2025 artfynd.xlsx", "A 9401-2025")</f>
        <v/>
      </c>
      <c r="T60">
        <f>HYPERLINK("https://klasma.github.io/Logging_0380/kartor/A 9401-2025 karta.png", "A 9401-2025")</f>
        <v/>
      </c>
      <c r="V60">
        <f>HYPERLINK("https://klasma.github.io/Logging_0380/klagomål/A 9401-2025 FSC-klagomål.docx", "A 9401-2025")</f>
        <v/>
      </c>
      <c r="W60">
        <f>HYPERLINK("https://klasma.github.io/Logging_0380/klagomålsmail/A 9401-2025 FSC-klagomål mail.docx", "A 9401-2025")</f>
        <v/>
      </c>
      <c r="X60">
        <f>HYPERLINK("https://klasma.github.io/Logging_0380/tillsyn/A 9401-2025 tillsynsbegäran.docx", "A 9401-2025")</f>
        <v/>
      </c>
      <c r="Y60">
        <f>HYPERLINK("https://klasma.github.io/Logging_0380/tillsynsmail/A 9401-2025 tillsynsbegäran mail.docx", "A 9401-2025")</f>
        <v/>
      </c>
    </row>
    <row r="61" ht="15" customHeight="1">
      <c r="A61" t="inlineStr">
        <is>
          <t>A 5755-2025</t>
        </is>
      </c>
      <c r="B61" s="1" t="n">
        <v>45694.55559027778</v>
      </c>
      <c r="C61" s="1" t="n">
        <v>45907</v>
      </c>
      <c r="D61" t="inlineStr">
        <is>
          <t>UPPSALA LÄN</t>
        </is>
      </c>
      <c r="E61" t="inlineStr">
        <is>
          <t>UPPSALA</t>
        </is>
      </c>
      <c r="G61" t="n">
        <v>1.3</v>
      </c>
      <c r="H61" t="n">
        <v>0</v>
      </c>
      <c r="I61" t="n">
        <v>2</v>
      </c>
      <c r="J61" t="n">
        <v>0</v>
      </c>
      <c r="K61" t="n">
        <v>0</v>
      </c>
      <c r="L61" t="n">
        <v>0</v>
      </c>
      <c r="M61" t="n">
        <v>0</v>
      </c>
      <c r="N61" t="n">
        <v>0</v>
      </c>
      <c r="O61" t="n">
        <v>0</v>
      </c>
      <c r="P61" t="n">
        <v>0</v>
      </c>
      <c r="Q61" t="n">
        <v>2</v>
      </c>
      <c r="R61" s="2" t="inlineStr">
        <is>
          <t>Fällmossa
Hasselticka</t>
        </is>
      </c>
      <c r="S61">
        <f>HYPERLINK("https://klasma.github.io/Logging_0380/artfynd/A 5755-2025 artfynd.xlsx", "A 5755-2025")</f>
        <v/>
      </c>
      <c r="T61">
        <f>HYPERLINK("https://klasma.github.io/Logging_0380/kartor/A 5755-2025 karta.png", "A 5755-2025")</f>
        <v/>
      </c>
      <c r="V61">
        <f>HYPERLINK("https://klasma.github.io/Logging_0380/klagomål/A 5755-2025 FSC-klagomål.docx", "A 5755-2025")</f>
        <v/>
      </c>
      <c r="W61">
        <f>HYPERLINK("https://klasma.github.io/Logging_0380/klagomålsmail/A 5755-2025 FSC-klagomål mail.docx", "A 5755-2025")</f>
        <v/>
      </c>
      <c r="X61">
        <f>HYPERLINK("https://klasma.github.io/Logging_0380/tillsyn/A 5755-2025 tillsynsbegäran.docx", "A 5755-2025")</f>
        <v/>
      </c>
      <c r="Y61">
        <f>HYPERLINK("https://klasma.github.io/Logging_0380/tillsynsmail/A 5755-2025 tillsynsbegäran mail.docx", "A 5755-2025")</f>
        <v/>
      </c>
    </row>
    <row r="62" ht="15" customHeight="1">
      <c r="A62" t="inlineStr">
        <is>
          <t>A 39933-2023</t>
        </is>
      </c>
      <c r="B62" s="1" t="n">
        <v>45168.50667824074</v>
      </c>
      <c r="C62" s="1" t="n">
        <v>45907</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58906-2021</t>
        </is>
      </c>
      <c r="B63" s="1" t="n">
        <v>44489</v>
      </c>
      <c r="C63" s="1" t="n">
        <v>45907</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45907</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44675-2023</t>
        </is>
      </c>
      <c r="B65" s="1" t="n">
        <v>45189</v>
      </c>
      <c r="C65" s="1" t="n">
        <v>45907</v>
      </c>
      <c r="D65" t="inlineStr">
        <is>
          <t>UPPSALA LÄN</t>
        </is>
      </c>
      <c r="E65" t="inlineStr">
        <is>
          <t>UPPSALA</t>
        </is>
      </c>
      <c r="G65" t="n">
        <v>7.1</v>
      </c>
      <c r="H65" t="n">
        <v>2</v>
      </c>
      <c r="I65" t="n">
        <v>0</v>
      </c>
      <c r="J65" t="n">
        <v>1</v>
      </c>
      <c r="K65" t="n">
        <v>1</v>
      </c>
      <c r="L65" t="n">
        <v>0</v>
      </c>
      <c r="M65" t="n">
        <v>0</v>
      </c>
      <c r="N65" t="n">
        <v>0</v>
      </c>
      <c r="O65" t="n">
        <v>2</v>
      </c>
      <c r="P65" t="n">
        <v>1</v>
      </c>
      <c r="Q65" t="n">
        <v>2</v>
      </c>
      <c r="R65" s="2" t="inlineStr">
        <is>
          <t>Knärot
Talltita</t>
        </is>
      </c>
      <c r="S65">
        <f>HYPERLINK("https://klasma.github.io/Logging_0380/artfynd/A 44675-2023 artfynd.xlsx", "A 44675-2023")</f>
        <v/>
      </c>
      <c r="T65">
        <f>HYPERLINK("https://klasma.github.io/Logging_0380/kartor/A 44675-2023 karta.png", "A 44675-2023")</f>
        <v/>
      </c>
      <c r="U65">
        <f>HYPERLINK("https://klasma.github.io/Logging_0380/knärot/A 44675-2023 karta knärot.png", "A 44675-2023")</f>
        <v/>
      </c>
      <c r="V65">
        <f>HYPERLINK("https://klasma.github.io/Logging_0380/klagomål/A 44675-2023 FSC-klagomål.docx", "A 44675-2023")</f>
        <v/>
      </c>
      <c r="W65">
        <f>HYPERLINK("https://klasma.github.io/Logging_0380/klagomålsmail/A 44675-2023 FSC-klagomål mail.docx", "A 44675-2023")</f>
        <v/>
      </c>
      <c r="X65">
        <f>HYPERLINK("https://klasma.github.io/Logging_0380/tillsyn/A 44675-2023 tillsynsbegäran.docx", "A 44675-2023")</f>
        <v/>
      </c>
      <c r="Y65">
        <f>HYPERLINK("https://klasma.github.io/Logging_0380/tillsynsmail/A 44675-2023 tillsynsbegäran mail.docx", "A 44675-2023")</f>
        <v/>
      </c>
      <c r="Z65">
        <f>HYPERLINK("https://klasma.github.io/Logging_0380/fåglar/A 44675-2023 prioriterade fågelarter.docx", "A 44675-2023")</f>
        <v/>
      </c>
    </row>
    <row r="66" ht="15" customHeight="1">
      <c r="A66" t="inlineStr">
        <is>
          <t>A 41921-2025</t>
        </is>
      </c>
      <c r="B66" s="1" t="n">
        <v>45903</v>
      </c>
      <c r="C66" s="1" t="n">
        <v>45907</v>
      </c>
      <c r="D66" t="inlineStr">
        <is>
          <t>UPPSALA LÄN</t>
        </is>
      </c>
      <c r="E66" t="inlineStr">
        <is>
          <t>UPPSALA</t>
        </is>
      </c>
      <c r="G66" t="n">
        <v>7.1</v>
      </c>
      <c r="H66" t="n">
        <v>2</v>
      </c>
      <c r="I66" t="n">
        <v>0</v>
      </c>
      <c r="J66" t="n">
        <v>0</v>
      </c>
      <c r="K66" t="n">
        <v>0</v>
      </c>
      <c r="L66" t="n">
        <v>0</v>
      </c>
      <c r="M66" t="n">
        <v>0</v>
      </c>
      <c r="N66" t="n">
        <v>0</v>
      </c>
      <c r="O66" t="n">
        <v>0</v>
      </c>
      <c r="P66" t="n">
        <v>0</v>
      </c>
      <c r="Q66" t="n">
        <v>2</v>
      </c>
      <c r="R66" s="2" t="inlineStr">
        <is>
          <t>Blåsippa
Revlummer</t>
        </is>
      </c>
      <c r="S66">
        <f>HYPERLINK("https://klasma.github.io/Logging_0380/artfynd/A 41921-2025 artfynd.xlsx", "A 41921-2025")</f>
        <v/>
      </c>
      <c r="T66">
        <f>HYPERLINK("https://klasma.github.io/Logging_0380/kartor/A 41921-2025 karta.png", "A 41921-2025")</f>
        <v/>
      </c>
      <c r="V66">
        <f>HYPERLINK("https://klasma.github.io/Logging_0380/klagomål/A 41921-2025 FSC-klagomål.docx", "A 41921-2025")</f>
        <v/>
      </c>
      <c r="W66">
        <f>HYPERLINK("https://klasma.github.io/Logging_0380/klagomålsmail/A 41921-2025 FSC-klagomål mail.docx", "A 41921-2025")</f>
        <v/>
      </c>
      <c r="X66">
        <f>HYPERLINK("https://klasma.github.io/Logging_0380/tillsyn/A 41921-2025 tillsynsbegäran.docx", "A 41921-2025")</f>
        <v/>
      </c>
      <c r="Y66">
        <f>HYPERLINK("https://klasma.github.io/Logging_0380/tillsynsmail/A 41921-2025 tillsynsbegäran mail.docx", "A 41921-2025")</f>
        <v/>
      </c>
    </row>
    <row r="67" ht="15" customHeight="1">
      <c r="A67" t="inlineStr">
        <is>
          <t>A 88-2024</t>
        </is>
      </c>
      <c r="B67" s="1" t="n">
        <v>45293</v>
      </c>
      <c r="C67" s="1" t="n">
        <v>45907</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27502-2024</t>
        </is>
      </c>
      <c r="B68" s="1" t="n">
        <v>45474</v>
      </c>
      <c r="C68" s="1" t="n">
        <v>45907</v>
      </c>
      <c r="D68" t="inlineStr">
        <is>
          <t>UPPSALA LÄN</t>
        </is>
      </c>
      <c r="E68" t="inlineStr">
        <is>
          <t>UPPSALA</t>
        </is>
      </c>
      <c r="G68" t="n">
        <v>13.6</v>
      </c>
      <c r="H68" t="n">
        <v>2</v>
      </c>
      <c r="I68" t="n">
        <v>0</v>
      </c>
      <c r="J68" t="n">
        <v>1</v>
      </c>
      <c r="K68" t="n">
        <v>1</v>
      </c>
      <c r="L68" t="n">
        <v>0</v>
      </c>
      <c r="M68" t="n">
        <v>0</v>
      </c>
      <c r="N68" t="n">
        <v>0</v>
      </c>
      <c r="O68" t="n">
        <v>2</v>
      </c>
      <c r="P68" t="n">
        <v>1</v>
      </c>
      <c r="Q68" t="n">
        <v>2</v>
      </c>
      <c r="R68" s="2" t="inlineStr">
        <is>
          <t>Knärot
Talltita</t>
        </is>
      </c>
      <c r="S68">
        <f>HYPERLINK("https://klasma.github.io/Logging_0380/artfynd/A 27502-2024 artfynd.xlsx", "A 27502-2024")</f>
        <v/>
      </c>
      <c r="T68">
        <f>HYPERLINK("https://klasma.github.io/Logging_0380/kartor/A 27502-2024 karta.png", "A 27502-2024")</f>
        <v/>
      </c>
      <c r="U68">
        <f>HYPERLINK("https://klasma.github.io/Logging_0380/knärot/A 27502-2024 karta knärot.png", "A 27502-2024")</f>
        <v/>
      </c>
      <c r="V68">
        <f>HYPERLINK("https://klasma.github.io/Logging_0380/klagomål/A 27502-2024 FSC-klagomål.docx", "A 27502-2024")</f>
        <v/>
      </c>
      <c r="W68">
        <f>HYPERLINK("https://klasma.github.io/Logging_0380/klagomålsmail/A 27502-2024 FSC-klagomål mail.docx", "A 27502-2024")</f>
        <v/>
      </c>
      <c r="X68">
        <f>HYPERLINK("https://klasma.github.io/Logging_0380/tillsyn/A 27502-2024 tillsynsbegäran.docx", "A 27502-2024")</f>
        <v/>
      </c>
      <c r="Y68">
        <f>HYPERLINK("https://klasma.github.io/Logging_0380/tillsynsmail/A 27502-2024 tillsynsbegäran mail.docx", "A 27502-2024")</f>
        <v/>
      </c>
      <c r="Z68">
        <f>HYPERLINK("https://klasma.github.io/Logging_0380/fåglar/A 27502-2024 prioriterade fågelarter.docx", "A 27502-2024")</f>
        <v/>
      </c>
    </row>
    <row r="69" ht="15" customHeight="1">
      <c r="A69" t="inlineStr">
        <is>
          <t>A 17277-2023</t>
        </is>
      </c>
      <c r="B69" s="1" t="n">
        <v>45035.44672453704</v>
      </c>
      <c r="C69" s="1" t="n">
        <v>45907</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8865-2022</t>
        </is>
      </c>
      <c r="B70" s="1" t="n">
        <v>44614</v>
      </c>
      <c r="C70" s="1" t="n">
        <v>45907</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45907</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45907</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9206-2024</t>
        </is>
      </c>
      <c r="B73" s="1" t="n">
        <v>45358</v>
      </c>
      <c r="C73" s="1" t="n">
        <v>45907</v>
      </c>
      <c r="D73" t="inlineStr">
        <is>
          <t>UPPSALA LÄN</t>
        </is>
      </c>
      <c r="E73" t="inlineStr">
        <is>
          <t>UPPSALA</t>
        </is>
      </c>
      <c r="F73" t="inlineStr">
        <is>
          <t>Allmännings- och besparingsskogar</t>
        </is>
      </c>
      <c r="G73" t="n">
        <v>22.2</v>
      </c>
      <c r="H73" t="n">
        <v>1</v>
      </c>
      <c r="I73" t="n">
        <v>0</v>
      </c>
      <c r="J73" t="n">
        <v>0</v>
      </c>
      <c r="K73" t="n">
        <v>1</v>
      </c>
      <c r="L73" t="n">
        <v>0</v>
      </c>
      <c r="M73" t="n">
        <v>0</v>
      </c>
      <c r="N73" t="n">
        <v>0</v>
      </c>
      <c r="O73" t="n">
        <v>1</v>
      </c>
      <c r="P73" t="n">
        <v>1</v>
      </c>
      <c r="Q73" t="n">
        <v>1</v>
      </c>
      <c r="R73" s="2" t="inlineStr">
        <is>
          <t>Knärot</t>
        </is>
      </c>
      <c r="S73">
        <f>HYPERLINK("https://klasma.github.io/Logging_0380/artfynd/A 9206-2024 artfynd.xlsx", "A 9206-2024")</f>
        <v/>
      </c>
      <c r="T73">
        <f>HYPERLINK("https://klasma.github.io/Logging_0380/kartor/A 9206-2024 karta.png", "A 9206-2024")</f>
        <v/>
      </c>
      <c r="U73">
        <f>HYPERLINK("https://klasma.github.io/Logging_0380/knärot/A 9206-2024 karta knärot.png", "A 9206-2024")</f>
        <v/>
      </c>
      <c r="V73">
        <f>HYPERLINK("https://klasma.github.io/Logging_0380/klagomål/A 9206-2024 FSC-klagomål.docx", "A 9206-2024")</f>
        <v/>
      </c>
      <c r="W73">
        <f>HYPERLINK("https://klasma.github.io/Logging_0380/klagomålsmail/A 9206-2024 FSC-klagomål mail.docx", "A 9206-2024")</f>
        <v/>
      </c>
      <c r="X73">
        <f>HYPERLINK("https://klasma.github.io/Logging_0380/tillsyn/A 9206-2024 tillsynsbegäran.docx", "A 9206-2024")</f>
        <v/>
      </c>
      <c r="Y73">
        <f>HYPERLINK("https://klasma.github.io/Logging_0380/tillsynsmail/A 9206-2024 tillsynsbegäran mail.docx", "A 9206-2024")</f>
        <v/>
      </c>
    </row>
    <row r="74" ht="15" customHeight="1">
      <c r="A74" t="inlineStr">
        <is>
          <t>A 58050-2021</t>
        </is>
      </c>
      <c r="B74" s="1" t="n">
        <v>44487</v>
      </c>
      <c r="C74" s="1" t="n">
        <v>45907</v>
      </c>
      <c r="D74" t="inlineStr">
        <is>
          <t>UPPSALA LÄN</t>
        </is>
      </c>
      <c r="E74" t="inlineStr">
        <is>
          <t>UPPSALA</t>
        </is>
      </c>
      <c r="G74" t="n">
        <v>4.4</v>
      </c>
      <c r="H74" t="n">
        <v>0</v>
      </c>
      <c r="I74" t="n">
        <v>0</v>
      </c>
      <c r="J74" t="n">
        <v>1</v>
      </c>
      <c r="K74" t="n">
        <v>0</v>
      </c>
      <c r="L74" t="n">
        <v>0</v>
      </c>
      <c r="M74" t="n">
        <v>0</v>
      </c>
      <c r="N74" t="n">
        <v>0</v>
      </c>
      <c r="O74" t="n">
        <v>1</v>
      </c>
      <c r="P74" t="n">
        <v>0</v>
      </c>
      <c r="Q74" t="n">
        <v>1</v>
      </c>
      <c r="R74" s="2" t="inlineStr">
        <is>
          <t>Ullticka</t>
        </is>
      </c>
      <c r="S74">
        <f>HYPERLINK("https://klasma.github.io/Logging_0380/artfynd/A 58050-2021 artfynd.xlsx", "A 58050-2021")</f>
        <v/>
      </c>
      <c r="T74">
        <f>HYPERLINK("https://klasma.github.io/Logging_0380/kartor/A 58050-2021 karta.png", "A 58050-2021")</f>
        <v/>
      </c>
      <c r="V74">
        <f>HYPERLINK("https://klasma.github.io/Logging_0380/klagomål/A 58050-2021 FSC-klagomål.docx", "A 58050-2021")</f>
        <v/>
      </c>
      <c r="W74">
        <f>HYPERLINK("https://klasma.github.io/Logging_0380/klagomålsmail/A 58050-2021 FSC-klagomål mail.docx", "A 58050-2021")</f>
        <v/>
      </c>
      <c r="X74">
        <f>HYPERLINK("https://klasma.github.io/Logging_0380/tillsyn/A 58050-2021 tillsynsbegäran.docx", "A 58050-2021")</f>
        <v/>
      </c>
      <c r="Y74">
        <f>HYPERLINK("https://klasma.github.io/Logging_0380/tillsynsmail/A 58050-2021 tillsynsbegäran mail.docx", "A 58050-2021")</f>
        <v/>
      </c>
    </row>
    <row r="75" ht="15" customHeight="1">
      <c r="A75" t="inlineStr">
        <is>
          <t>A 18624-2025</t>
        </is>
      </c>
      <c r="B75" s="1" t="n">
        <v>45763.52524305556</v>
      </c>
      <c r="C75" s="1" t="n">
        <v>45907</v>
      </c>
      <c r="D75" t="inlineStr">
        <is>
          <t>UPPSALA LÄN</t>
        </is>
      </c>
      <c r="E75" t="inlineStr">
        <is>
          <t>UPPSALA</t>
        </is>
      </c>
      <c r="G75" t="n">
        <v>5</v>
      </c>
      <c r="H75" t="n">
        <v>0</v>
      </c>
      <c r="I75" t="n">
        <v>1</v>
      </c>
      <c r="J75" t="n">
        <v>0</v>
      </c>
      <c r="K75" t="n">
        <v>0</v>
      </c>
      <c r="L75" t="n">
        <v>0</v>
      </c>
      <c r="M75" t="n">
        <v>0</v>
      </c>
      <c r="N75" t="n">
        <v>0</v>
      </c>
      <c r="O75" t="n">
        <v>0</v>
      </c>
      <c r="P75" t="n">
        <v>0</v>
      </c>
      <c r="Q75" t="n">
        <v>1</v>
      </c>
      <c r="R75" s="2" t="inlineStr">
        <is>
          <t>Blåmossa</t>
        </is>
      </c>
      <c r="S75">
        <f>HYPERLINK("https://klasma.github.io/Logging_0380/artfynd/A 18624-2025 artfynd.xlsx", "A 18624-2025")</f>
        <v/>
      </c>
      <c r="T75">
        <f>HYPERLINK("https://klasma.github.io/Logging_0380/kartor/A 18624-2025 karta.png", "A 18624-2025")</f>
        <v/>
      </c>
      <c r="V75">
        <f>HYPERLINK("https://klasma.github.io/Logging_0380/klagomål/A 18624-2025 FSC-klagomål.docx", "A 18624-2025")</f>
        <v/>
      </c>
      <c r="W75">
        <f>HYPERLINK("https://klasma.github.io/Logging_0380/klagomålsmail/A 18624-2025 FSC-klagomål mail.docx", "A 18624-2025")</f>
        <v/>
      </c>
      <c r="X75">
        <f>HYPERLINK("https://klasma.github.io/Logging_0380/tillsyn/A 18624-2025 tillsynsbegäran.docx", "A 18624-2025")</f>
        <v/>
      </c>
      <c r="Y75">
        <f>HYPERLINK("https://klasma.github.io/Logging_0380/tillsynsmail/A 18624-2025 tillsynsbegäran mail.docx", "A 18624-2025")</f>
        <v/>
      </c>
    </row>
    <row r="76" ht="15" customHeight="1">
      <c r="A76" t="inlineStr">
        <is>
          <t>A 21801-2025</t>
        </is>
      </c>
      <c r="B76" s="1" t="n">
        <v>45783</v>
      </c>
      <c r="C76" s="1" t="n">
        <v>45907</v>
      </c>
      <c r="D76" t="inlineStr">
        <is>
          <t>UPPSALA LÄN</t>
        </is>
      </c>
      <c r="E76" t="inlineStr">
        <is>
          <t>UPPSALA</t>
        </is>
      </c>
      <c r="G76" t="n">
        <v>7.9</v>
      </c>
      <c r="H76" t="n">
        <v>1</v>
      </c>
      <c r="I76" t="n">
        <v>0</v>
      </c>
      <c r="J76" t="n">
        <v>0</v>
      </c>
      <c r="K76" t="n">
        <v>0</v>
      </c>
      <c r="L76" t="n">
        <v>0</v>
      </c>
      <c r="M76" t="n">
        <v>0</v>
      </c>
      <c r="N76" t="n">
        <v>0</v>
      </c>
      <c r="O76" t="n">
        <v>0</v>
      </c>
      <c r="P76" t="n">
        <v>0</v>
      </c>
      <c r="Q76" t="n">
        <v>1</v>
      </c>
      <c r="R76" s="2" t="inlineStr">
        <is>
          <t>Mattlummer</t>
        </is>
      </c>
      <c r="S76">
        <f>HYPERLINK("https://klasma.github.io/Logging_0380/artfynd/A 21801-2025 artfynd.xlsx", "A 21801-2025")</f>
        <v/>
      </c>
      <c r="T76">
        <f>HYPERLINK("https://klasma.github.io/Logging_0380/kartor/A 21801-2025 karta.png", "A 21801-2025")</f>
        <v/>
      </c>
      <c r="V76">
        <f>HYPERLINK("https://klasma.github.io/Logging_0380/klagomål/A 21801-2025 FSC-klagomål.docx", "A 21801-2025")</f>
        <v/>
      </c>
      <c r="W76">
        <f>HYPERLINK("https://klasma.github.io/Logging_0380/klagomålsmail/A 21801-2025 FSC-klagomål mail.docx", "A 21801-2025")</f>
        <v/>
      </c>
      <c r="X76">
        <f>HYPERLINK("https://klasma.github.io/Logging_0380/tillsyn/A 21801-2025 tillsynsbegäran.docx", "A 21801-2025")</f>
        <v/>
      </c>
      <c r="Y76">
        <f>HYPERLINK("https://klasma.github.io/Logging_0380/tillsynsmail/A 21801-2025 tillsynsbegäran mail.docx", "A 21801-2025")</f>
        <v/>
      </c>
    </row>
    <row r="77" ht="15" customHeight="1">
      <c r="A77" t="inlineStr">
        <is>
          <t>A 29906-2023</t>
        </is>
      </c>
      <c r="B77" s="1" t="n">
        <v>45107</v>
      </c>
      <c r="C77" s="1" t="n">
        <v>45907</v>
      </c>
      <c r="D77" t="inlineStr">
        <is>
          <t>UPPSALA LÄN</t>
        </is>
      </c>
      <c r="E77" t="inlineStr">
        <is>
          <t>UPPSALA</t>
        </is>
      </c>
      <c r="F77" t="inlineStr">
        <is>
          <t>Kyrkan</t>
        </is>
      </c>
      <c r="G77" t="n">
        <v>0.5</v>
      </c>
      <c r="H77" t="n">
        <v>0</v>
      </c>
      <c r="I77" t="n">
        <v>1</v>
      </c>
      <c r="J77" t="n">
        <v>0</v>
      </c>
      <c r="K77" t="n">
        <v>0</v>
      </c>
      <c r="L77" t="n">
        <v>0</v>
      </c>
      <c r="M77" t="n">
        <v>0</v>
      </c>
      <c r="N77" t="n">
        <v>0</v>
      </c>
      <c r="O77" t="n">
        <v>0</v>
      </c>
      <c r="P77" t="n">
        <v>0</v>
      </c>
      <c r="Q77" t="n">
        <v>1</v>
      </c>
      <c r="R77" s="2" t="inlineStr">
        <is>
          <t>Sotriska</t>
        </is>
      </c>
      <c r="S77">
        <f>HYPERLINK("https://klasma.github.io/Logging_0380/artfynd/A 29906-2023 artfynd.xlsx", "A 29906-2023")</f>
        <v/>
      </c>
      <c r="T77">
        <f>HYPERLINK("https://klasma.github.io/Logging_0380/kartor/A 29906-2023 karta.png", "A 29906-2023")</f>
        <v/>
      </c>
      <c r="V77">
        <f>HYPERLINK("https://klasma.github.io/Logging_0380/klagomål/A 29906-2023 FSC-klagomål.docx", "A 29906-2023")</f>
        <v/>
      </c>
      <c r="W77">
        <f>HYPERLINK("https://klasma.github.io/Logging_0380/klagomålsmail/A 29906-2023 FSC-klagomål mail.docx", "A 29906-2023")</f>
        <v/>
      </c>
      <c r="X77">
        <f>HYPERLINK("https://klasma.github.io/Logging_0380/tillsyn/A 29906-2023 tillsynsbegäran.docx", "A 29906-2023")</f>
        <v/>
      </c>
      <c r="Y77">
        <f>HYPERLINK("https://klasma.github.io/Logging_0380/tillsynsmail/A 29906-2023 tillsynsbegäran mail.docx", "A 29906-2023")</f>
        <v/>
      </c>
    </row>
    <row r="78" ht="15" customHeight="1">
      <c r="A78" t="inlineStr">
        <is>
          <t>A 13363-2022</t>
        </is>
      </c>
      <c r="B78" s="1" t="n">
        <v>44645</v>
      </c>
      <c r="C78" s="1" t="n">
        <v>45907</v>
      </c>
      <c r="D78" t="inlineStr">
        <is>
          <t>UPPSALA LÄN</t>
        </is>
      </c>
      <c r="E78" t="inlineStr">
        <is>
          <t>UPPSALA</t>
        </is>
      </c>
      <c r="F78" t="inlineStr">
        <is>
          <t>Övriga Aktiebolag</t>
        </is>
      </c>
      <c r="G78" t="n">
        <v>9.4</v>
      </c>
      <c r="H78" t="n">
        <v>1</v>
      </c>
      <c r="I78" t="n">
        <v>0</v>
      </c>
      <c r="J78" t="n">
        <v>0</v>
      </c>
      <c r="K78" t="n">
        <v>0</v>
      </c>
      <c r="L78" t="n">
        <v>0</v>
      </c>
      <c r="M78" t="n">
        <v>0</v>
      </c>
      <c r="N78" t="n">
        <v>0</v>
      </c>
      <c r="O78" t="n">
        <v>0</v>
      </c>
      <c r="P78" t="n">
        <v>0</v>
      </c>
      <c r="Q78" t="n">
        <v>1</v>
      </c>
      <c r="R78" s="2" t="inlineStr">
        <is>
          <t>Huggorm</t>
        </is>
      </c>
      <c r="S78">
        <f>HYPERLINK("https://klasma.github.io/Logging_0380/artfynd/A 13363-2022 artfynd.xlsx", "A 13363-2022")</f>
        <v/>
      </c>
      <c r="T78">
        <f>HYPERLINK("https://klasma.github.io/Logging_0380/kartor/A 13363-2022 karta.png", "A 13363-2022")</f>
        <v/>
      </c>
      <c r="V78">
        <f>HYPERLINK("https://klasma.github.io/Logging_0380/klagomål/A 13363-2022 FSC-klagomål.docx", "A 13363-2022")</f>
        <v/>
      </c>
      <c r="W78">
        <f>HYPERLINK("https://klasma.github.io/Logging_0380/klagomålsmail/A 13363-2022 FSC-klagomål mail.docx", "A 13363-2022")</f>
        <v/>
      </c>
      <c r="X78">
        <f>HYPERLINK("https://klasma.github.io/Logging_0380/tillsyn/A 13363-2022 tillsynsbegäran.docx", "A 13363-2022")</f>
        <v/>
      </c>
      <c r="Y78">
        <f>HYPERLINK("https://klasma.github.io/Logging_0380/tillsynsmail/A 13363-2022 tillsynsbegäran mail.docx", "A 13363-2022")</f>
        <v/>
      </c>
    </row>
    <row r="79" ht="15" customHeight="1">
      <c r="A79" t="inlineStr">
        <is>
          <t>A 6044-2024</t>
        </is>
      </c>
      <c r="B79" s="1" t="n">
        <v>45336</v>
      </c>
      <c r="C79" s="1" t="n">
        <v>45907</v>
      </c>
      <c r="D79" t="inlineStr">
        <is>
          <t>UPPSALA LÄN</t>
        </is>
      </c>
      <c r="E79" t="inlineStr">
        <is>
          <t>UPPSALA</t>
        </is>
      </c>
      <c r="F79" t="inlineStr">
        <is>
          <t>Holmen skog AB</t>
        </is>
      </c>
      <c r="G79" t="n">
        <v>7.4</v>
      </c>
      <c r="H79" t="n">
        <v>0</v>
      </c>
      <c r="I79" t="n">
        <v>0</v>
      </c>
      <c r="J79" t="n">
        <v>1</v>
      </c>
      <c r="K79" t="n">
        <v>0</v>
      </c>
      <c r="L79" t="n">
        <v>0</v>
      </c>
      <c r="M79" t="n">
        <v>0</v>
      </c>
      <c r="N79" t="n">
        <v>0</v>
      </c>
      <c r="O79" t="n">
        <v>1</v>
      </c>
      <c r="P79" t="n">
        <v>0</v>
      </c>
      <c r="Q79" t="n">
        <v>1</v>
      </c>
      <c r="R79" s="2" t="inlineStr">
        <is>
          <t>Gul dropplav</t>
        </is>
      </c>
      <c r="S79">
        <f>HYPERLINK("https://klasma.github.io/Logging_0380/artfynd/A 6044-2024 artfynd.xlsx", "A 6044-2024")</f>
        <v/>
      </c>
      <c r="T79">
        <f>HYPERLINK("https://klasma.github.io/Logging_0380/kartor/A 6044-2024 karta.png", "A 6044-2024")</f>
        <v/>
      </c>
      <c r="V79">
        <f>HYPERLINK("https://klasma.github.io/Logging_0380/klagomål/A 6044-2024 FSC-klagomål.docx", "A 6044-2024")</f>
        <v/>
      </c>
      <c r="W79">
        <f>HYPERLINK("https://klasma.github.io/Logging_0380/klagomålsmail/A 6044-2024 FSC-klagomål mail.docx", "A 6044-2024")</f>
        <v/>
      </c>
      <c r="X79">
        <f>HYPERLINK("https://klasma.github.io/Logging_0380/tillsyn/A 6044-2024 tillsynsbegäran.docx", "A 6044-2024")</f>
        <v/>
      </c>
      <c r="Y79">
        <f>HYPERLINK("https://klasma.github.io/Logging_0380/tillsynsmail/A 6044-2024 tillsynsbegäran mail.docx", "A 6044-2024")</f>
        <v/>
      </c>
    </row>
    <row r="80" ht="15" customHeight="1">
      <c r="A80" t="inlineStr">
        <is>
          <t>A 4657-2025</t>
        </is>
      </c>
      <c r="B80" s="1" t="n">
        <v>45687</v>
      </c>
      <c r="C80" s="1" t="n">
        <v>45907</v>
      </c>
      <c r="D80" t="inlineStr">
        <is>
          <t>UPPSALA LÄN</t>
        </is>
      </c>
      <c r="E80" t="inlineStr">
        <is>
          <t>UPPSALA</t>
        </is>
      </c>
      <c r="G80" t="n">
        <v>2.9</v>
      </c>
      <c r="H80" t="n">
        <v>1</v>
      </c>
      <c r="I80" t="n">
        <v>0</v>
      </c>
      <c r="J80" t="n">
        <v>1</v>
      </c>
      <c r="K80" t="n">
        <v>0</v>
      </c>
      <c r="L80" t="n">
        <v>0</v>
      </c>
      <c r="M80" t="n">
        <v>0</v>
      </c>
      <c r="N80" t="n">
        <v>0</v>
      </c>
      <c r="O80" t="n">
        <v>1</v>
      </c>
      <c r="P80" t="n">
        <v>0</v>
      </c>
      <c r="Q80" t="n">
        <v>1</v>
      </c>
      <c r="R80" s="2" t="inlineStr">
        <is>
          <t>Grönsångare</t>
        </is>
      </c>
      <c r="S80">
        <f>HYPERLINK("https://klasma.github.io/Logging_0380/artfynd/A 4657-2025 artfynd.xlsx", "A 4657-2025")</f>
        <v/>
      </c>
      <c r="T80">
        <f>HYPERLINK("https://klasma.github.io/Logging_0380/kartor/A 4657-2025 karta.png", "A 4657-2025")</f>
        <v/>
      </c>
      <c r="V80">
        <f>HYPERLINK("https://klasma.github.io/Logging_0380/klagomål/A 4657-2025 FSC-klagomål.docx", "A 4657-2025")</f>
        <v/>
      </c>
      <c r="W80">
        <f>HYPERLINK("https://klasma.github.io/Logging_0380/klagomålsmail/A 4657-2025 FSC-klagomål mail.docx", "A 4657-2025")</f>
        <v/>
      </c>
      <c r="X80">
        <f>HYPERLINK("https://klasma.github.io/Logging_0380/tillsyn/A 4657-2025 tillsynsbegäran.docx", "A 4657-2025")</f>
        <v/>
      </c>
      <c r="Y80">
        <f>HYPERLINK("https://klasma.github.io/Logging_0380/tillsynsmail/A 4657-2025 tillsynsbegäran mail.docx", "A 4657-2025")</f>
        <v/>
      </c>
      <c r="Z80">
        <f>HYPERLINK("https://klasma.github.io/Logging_0380/fåglar/A 4657-2025 prioriterade fågelarter.docx", "A 4657-2025")</f>
        <v/>
      </c>
    </row>
    <row r="81" ht="15" customHeight="1">
      <c r="A81" t="inlineStr">
        <is>
          <t>A 844-2025</t>
        </is>
      </c>
      <c r="B81" s="1" t="n">
        <v>45665</v>
      </c>
      <c r="C81" s="1" t="n">
        <v>45907</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5732-2025</t>
        </is>
      </c>
      <c r="B82" s="1" t="n">
        <v>45694.49650462963</v>
      </c>
      <c r="C82" s="1" t="n">
        <v>45907</v>
      </c>
      <c r="D82" t="inlineStr">
        <is>
          <t>UPPSALA LÄN</t>
        </is>
      </c>
      <c r="E82" t="inlineStr">
        <is>
          <t>UPPSALA</t>
        </is>
      </c>
      <c r="G82" t="n">
        <v>1.9</v>
      </c>
      <c r="H82" t="n">
        <v>0</v>
      </c>
      <c r="I82" t="n">
        <v>1</v>
      </c>
      <c r="J82" t="n">
        <v>0</v>
      </c>
      <c r="K82" t="n">
        <v>0</v>
      </c>
      <c r="L82" t="n">
        <v>0</v>
      </c>
      <c r="M82" t="n">
        <v>0</v>
      </c>
      <c r="N82" t="n">
        <v>0</v>
      </c>
      <c r="O82" t="n">
        <v>0</v>
      </c>
      <c r="P82" t="n">
        <v>0</v>
      </c>
      <c r="Q82" t="n">
        <v>1</v>
      </c>
      <c r="R82" s="2" t="inlineStr">
        <is>
          <t>Fällmossa</t>
        </is>
      </c>
      <c r="S82">
        <f>HYPERLINK("https://klasma.github.io/Logging_0380/artfynd/A 5732-2025 artfynd.xlsx", "A 5732-2025")</f>
        <v/>
      </c>
      <c r="T82">
        <f>HYPERLINK("https://klasma.github.io/Logging_0380/kartor/A 5732-2025 karta.png", "A 5732-2025")</f>
        <v/>
      </c>
      <c r="V82">
        <f>HYPERLINK("https://klasma.github.io/Logging_0380/klagomål/A 5732-2025 FSC-klagomål.docx", "A 5732-2025")</f>
        <v/>
      </c>
      <c r="W82">
        <f>HYPERLINK("https://klasma.github.io/Logging_0380/klagomålsmail/A 5732-2025 FSC-klagomål mail.docx", "A 5732-2025")</f>
        <v/>
      </c>
      <c r="X82">
        <f>HYPERLINK("https://klasma.github.io/Logging_0380/tillsyn/A 5732-2025 tillsynsbegäran.docx", "A 5732-2025")</f>
        <v/>
      </c>
      <c r="Y82">
        <f>HYPERLINK("https://klasma.github.io/Logging_0380/tillsynsmail/A 5732-2025 tillsynsbegäran mail.docx", "A 5732-2025")</f>
        <v/>
      </c>
    </row>
    <row r="83" ht="15" customHeight="1">
      <c r="A83" t="inlineStr">
        <is>
          <t>A 26135-2025</t>
        </is>
      </c>
      <c r="B83" s="1" t="n">
        <v>45805.41232638889</v>
      </c>
      <c r="C83" s="1" t="n">
        <v>45907</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26923-2025</t>
        </is>
      </c>
      <c r="B84" s="1" t="n">
        <v>45811.38710648148</v>
      </c>
      <c r="C84" s="1" t="n">
        <v>45907</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27848-2023</t>
        </is>
      </c>
      <c r="B85" s="1" t="n">
        <v>45098</v>
      </c>
      <c r="C85" s="1" t="n">
        <v>45907</v>
      </c>
      <c r="D85" t="inlineStr">
        <is>
          <t>UPPSALA LÄN</t>
        </is>
      </c>
      <c r="E85" t="inlineStr">
        <is>
          <t>UPPSALA</t>
        </is>
      </c>
      <c r="G85" t="n">
        <v>14.3</v>
      </c>
      <c r="H85" t="n">
        <v>0</v>
      </c>
      <c r="I85" t="n">
        <v>1</v>
      </c>
      <c r="J85" t="n">
        <v>0</v>
      </c>
      <c r="K85" t="n">
        <v>0</v>
      </c>
      <c r="L85" t="n">
        <v>0</v>
      </c>
      <c r="M85" t="n">
        <v>0</v>
      </c>
      <c r="N85" t="n">
        <v>0</v>
      </c>
      <c r="O85" t="n">
        <v>0</v>
      </c>
      <c r="P85" t="n">
        <v>0</v>
      </c>
      <c r="Q85" t="n">
        <v>1</v>
      </c>
      <c r="R85" s="2" t="inlineStr">
        <is>
          <t>Blåmossa</t>
        </is>
      </c>
      <c r="S85">
        <f>HYPERLINK("https://klasma.github.io/Logging_0380/artfynd/A 27848-2023 artfynd.xlsx", "A 27848-2023")</f>
        <v/>
      </c>
      <c r="T85">
        <f>HYPERLINK("https://klasma.github.io/Logging_0380/kartor/A 27848-2023 karta.png", "A 27848-2023")</f>
        <v/>
      </c>
      <c r="V85">
        <f>HYPERLINK("https://klasma.github.io/Logging_0380/klagomål/A 27848-2023 FSC-klagomål.docx", "A 27848-2023")</f>
        <v/>
      </c>
      <c r="W85">
        <f>HYPERLINK("https://klasma.github.io/Logging_0380/klagomålsmail/A 27848-2023 FSC-klagomål mail.docx", "A 27848-2023")</f>
        <v/>
      </c>
      <c r="X85">
        <f>HYPERLINK("https://klasma.github.io/Logging_0380/tillsyn/A 27848-2023 tillsynsbegäran.docx", "A 27848-2023")</f>
        <v/>
      </c>
      <c r="Y85">
        <f>HYPERLINK("https://klasma.github.io/Logging_0380/tillsynsmail/A 27848-2023 tillsynsbegäran mail.docx", "A 27848-2023")</f>
        <v/>
      </c>
    </row>
    <row r="86" ht="15" customHeight="1">
      <c r="A86" t="inlineStr">
        <is>
          <t>A 3304-2025</t>
        </is>
      </c>
      <c r="B86" s="1" t="n">
        <v>45679</v>
      </c>
      <c r="C86" s="1" t="n">
        <v>45907</v>
      </c>
      <c r="D86" t="inlineStr">
        <is>
          <t>UPPSALA LÄN</t>
        </is>
      </c>
      <c r="E86" t="inlineStr">
        <is>
          <t>UPPSALA</t>
        </is>
      </c>
      <c r="F86" t="inlineStr">
        <is>
          <t>Övriga statliga verk och myndigheter</t>
        </is>
      </c>
      <c r="G86" t="n">
        <v>3.8</v>
      </c>
      <c r="H86" t="n">
        <v>1</v>
      </c>
      <c r="I86" t="n">
        <v>0</v>
      </c>
      <c r="J86" t="n">
        <v>0</v>
      </c>
      <c r="K86" t="n">
        <v>0</v>
      </c>
      <c r="L86" t="n">
        <v>0</v>
      </c>
      <c r="M86" t="n">
        <v>0</v>
      </c>
      <c r="N86" t="n">
        <v>0</v>
      </c>
      <c r="O86" t="n">
        <v>0</v>
      </c>
      <c r="P86" t="n">
        <v>0</v>
      </c>
      <c r="Q86" t="n">
        <v>1</v>
      </c>
      <c r="R86" s="2" t="inlineStr">
        <is>
          <t>Blåsippa</t>
        </is>
      </c>
      <c r="S86">
        <f>HYPERLINK("https://klasma.github.io/Logging_0380/artfynd/A 3304-2025 artfynd.xlsx", "A 3304-2025")</f>
        <v/>
      </c>
      <c r="T86">
        <f>HYPERLINK("https://klasma.github.io/Logging_0380/kartor/A 3304-2025 karta.png", "A 3304-2025")</f>
        <v/>
      </c>
      <c r="V86">
        <f>HYPERLINK("https://klasma.github.io/Logging_0380/klagomål/A 3304-2025 FSC-klagomål.docx", "A 3304-2025")</f>
        <v/>
      </c>
      <c r="W86">
        <f>HYPERLINK("https://klasma.github.io/Logging_0380/klagomålsmail/A 3304-2025 FSC-klagomål mail.docx", "A 3304-2025")</f>
        <v/>
      </c>
      <c r="X86">
        <f>HYPERLINK("https://klasma.github.io/Logging_0380/tillsyn/A 3304-2025 tillsynsbegäran.docx", "A 3304-2025")</f>
        <v/>
      </c>
      <c r="Y86">
        <f>HYPERLINK("https://klasma.github.io/Logging_0380/tillsynsmail/A 3304-2025 tillsynsbegäran mail.docx", "A 3304-2025")</f>
        <v/>
      </c>
    </row>
    <row r="87" ht="15" customHeight="1">
      <c r="A87" t="inlineStr">
        <is>
          <t>A 28056-2025</t>
        </is>
      </c>
      <c r="B87" s="1" t="n">
        <v>45817</v>
      </c>
      <c r="C87" s="1" t="n">
        <v>45907</v>
      </c>
      <c r="D87" t="inlineStr">
        <is>
          <t>UPPSALA LÄN</t>
        </is>
      </c>
      <c r="E87" t="inlineStr">
        <is>
          <t>UPPSALA</t>
        </is>
      </c>
      <c r="G87" t="n">
        <v>19.3</v>
      </c>
      <c r="H87" t="n">
        <v>1</v>
      </c>
      <c r="I87" t="n">
        <v>0</v>
      </c>
      <c r="J87" t="n">
        <v>0</v>
      </c>
      <c r="K87" t="n">
        <v>1</v>
      </c>
      <c r="L87" t="n">
        <v>0</v>
      </c>
      <c r="M87" t="n">
        <v>0</v>
      </c>
      <c r="N87" t="n">
        <v>0</v>
      </c>
      <c r="O87" t="n">
        <v>1</v>
      </c>
      <c r="P87" t="n">
        <v>1</v>
      </c>
      <c r="Q87" t="n">
        <v>1</v>
      </c>
      <c r="R87" s="2" t="inlineStr">
        <is>
          <t>Knärot</t>
        </is>
      </c>
      <c r="S87">
        <f>HYPERLINK("https://klasma.github.io/Logging_0380/artfynd/A 28056-2025 artfynd.xlsx", "A 28056-2025")</f>
        <v/>
      </c>
      <c r="T87">
        <f>HYPERLINK("https://klasma.github.io/Logging_0380/kartor/A 28056-2025 karta.png", "A 28056-2025")</f>
        <v/>
      </c>
      <c r="U87">
        <f>HYPERLINK("https://klasma.github.io/Logging_0380/knärot/A 28056-2025 karta knärot.png", "A 28056-2025")</f>
        <v/>
      </c>
      <c r="V87">
        <f>HYPERLINK("https://klasma.github.io/Logging_0380/klagomål/A 28056-2025 FSC-klagomål.docx", "A 28056-2025")</f>
        <v/>
      </c>
      <c r="W87">
        <f>HYPERLINK("https://klasma.github.io/Logging_0380/klagomålsmail/A 28056-2025 FSC-klagomål mail.docx", "A 28056-2025")</f>
        <v/>
      </c>
      <c r="X87">
        <f>HYPERLINK("https://klasma.github.io/Logging_0380/tillsyn/A 28056-2025 tillsynsbegäran.docx", "A 28056-2025")</f>
        <v/>
      </c>
      <c r="Y87">
        <f>HYPERLINK("https://klasma.github.io/Logging_0380/tillsynsmail/A 28056-2025 tillsynsbegäran mail.docx", "A 28056-2025")</f>
        <v/>
      </c>
    </row>
    <row r="88" ht="15" customHeight="1">
      <c r="A88" t="inlineStr">
        <is>
          <t>A 27824-2025</t>
        </is>
      </c>
      <c r="B88" s="1" t="n">
        <v>45817.34614583333</v>
      </c>
      <c r="C88" s="1" t="n">
        <v>45907</v>
      </c>
      <c r="D88" t="inlineStr">
        <is>
          <t>UPPSALA LÄN</t>
        </is>
      </c>
      <c r="E88" t="inlineStr">
        <is>
          <t>UPPSALA</t>
        </is>
      </c>
      <c r="F88" t="inlineStr">
        <is>
          <t>Kyrkan</t>
        </is>
      </c>
      <c r="G88" t="n">
        <v>3.3</v>
      </c>
      <c r="H88" t="n">
        <v>0</v>
      </c>
      <c r="I88" t="n">
        <v>1</v>
      </c>
      <c r="J88" t="n">
        <v>0</v>
      </c>
      <c r="K88" t="n">
        <v>0</v>
      </c>
      <c r="L88" t="n">
        <v>0</v>
      </c>
      <c r="M88" t="n">
        <v>0</v>
      </c>
      <c r="N88" t="n">
        <v>0</v>
      </c>
      <c r="O88" t="n">
        <v>0</v>
      </c>
      <c r="P88" t="n">
        <v>0</v>
      </c>
      <c r="Q88" t="n">
        <v>1</v>
      </c>
      <c r="R88" s="2" t="inlineStr">
        <is>
          <t>Sårläka</t>
        </is>
      </c>
      <c r="S88">
        <f>HYPERLINK("https://klasma.github.io/Logging_0380/artfynd/A 27824-2025 artfynd.xlsx", "A 27824-2025")</f>
        <v/>
      </c>
      <c r="T88">
        <f>HYPERLINK("https://klasma.github.io/Logging_0380/kartor/A 27824-2025 karta.png", "A 27824-2025")</f>
        <v/>
      </c>
      <c r="V88">
        <f>HYPERLINK("https://klasma.github.io/Logging_0380/klagomål/A 27824-2025 FSC-klagomål.docx", "A 27824-2025")</f>
        <v/>
      </c>
      <c r="W88">
        <f>HYPERLINK("https://klasma.github.io/Logging_0380/klagomålsmail/A 27824-2025 FSC-klagomål mail.docx", "A 27824-2025")</f>
        <v/>
      </c>
      <c r="X88">
        <f>HYPERLINK("https://klasma.github.io/Logging_0380/tillsyn/A 27824-2025 tillsynsbegäran.docx", "A 27824-2025")</f>
        <v/>
      </c>
      <c r="Y88">
        <f>HYPERLINK("https://klasma.github.io/Logging_0380/tillsynsmail/A 27824-2025 tillsynsbegäran mail.docx", "A 27824-2025")</f>
        <v/>
      </c>
    </row>
    <row r="89" ht="15" customHeight="1">
      <c r="A89" t="inlineStr">
        <is>
          <t>A 28299-2025</t>
        </is>
      </c>
      <c r="B89" s="1" t="n">
        <v>45818.60254629629</v>
      </c>
      <c r="C89" s="1" t="n">
        <v>45907</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13526-2025</t>
        </is>
      </c>
      <c r="B90" s="1" t="n">
        <v>45736.49902777778</v>
      </c>
      <c r="C90" s="1" t="n">
        <v>45907</v>
      </c>
      <c r="D90" t="inlineStr">
        <is>
          <t>UPPSALA LÄN</t>
        </is>
      </c>
      <c r="E90" t="inlineStr">
        <is>
          <t>UPPSALA</t>
        </is>
      </c>
      <c r="F90" t="inlineStr">
        <is>
          <t>Allmännings- och besparingsskogar</t>
        </is>
      </c>
      <c r="G90" t="n">
        <v>3</v>
      </c>
      <c r="H90" t="n">
        <v>0</v>
      </c>
      <c r="I90" t="n">
        <v>0</v>
      </c>
      <c r="J90" t="n">
        <v>1</v>
      </c>
      <c r="K90" t="n">
        <v>0</v>
      </c>
      <c r="L90" t="n">
        <v>0</v>
      </c>
      <c r="M90" t="n">
        <v>0</v>
      </c>
      <c r="N90" t="n">
        <v>0</v>
      </c>
      <c r="O90" t="n">
        <v>1</v>
      </c>
      <c r="P90" t="n">
        <v>0</v>
      </c>
      <c r="Q90" t="n">
        <v>1</v>
      </c>
      <c r="R90" s="2" t="inlineStr">
        <is>
          <t>Vedtrappmossa</t>
        </is>
      </c>
      <c r="S90">
        <f>HYPERLINK("https://klasma.github.io/Logging_0380/artfynd/A 13526-2025 artfynd.xlsx", "A 13526-2025")</f>
        <v/>
      </c>
      <c r="T90">
        <f>HYPERLINK("https://klasma.github.io/Logging_0380/kartor/A 13526-2025 karta.png", "A 13526-2025")</f>
        <v/>
      </c>
      <c r="V90">
        <f>HYPERLINK("https://klasma.github.io/Logging_0380/klagomål/A 13526-2025 FSC-klagomål.docx", "A 13526-2025")</f>
        <v/>
      </c>
      <c r="W90">
        <f>HYPERLINK("https://klasma.github.io/Logging_0380/klagomålsmail/A 13526-2025 FSC-klagomål mail.docx", "A 13526-2025")</f>
        <v/>
      </c>
      <c r="X90">
        <f>HYPERLINK("https://klasma.github.io/Logging_0380/tillsyn/A 13526-2025 tillsynsbegäran.docx", "A 13526-2025")</f>
        <v/>
      </c>
      <c r="Y90">
        <f>HYPERLINK("https://klasma.github.io/Logging_0380/tillsynsmail/A 13526-2025 tillsynsbegäran mail.docx", "A 13526-2025")</f>
        <v/>
      </c>
    </row>
    <row r="91" ht="15" customHeight="1">
      <c r="A91" t="inlineStr">
        <is>
          <t>A 2729-2024</t>
        </is>
      </c>
      <c r="B91" s="1" t="n">
        <v>45314.55579861111</v>
      </c>
      <c r="C91" s="1" t="n">
        <v>45907</v>
      </c>
      <c r="D91" t="inlineStr">
        <is>
          <t>UPPSALA LÄN</t>
        </is>
      </c>
      <c r="E91" t="inlineStr">
        <is>
          <t>UPPSALA</t>
        </is>
      </c>
      <c r="G91" t="n">
        <v>3.3</v>
      </c>
      <c r="H91" t="n">
        <v>1</v>
      </c>
      <c r="I91" t="n">
        <v>0</v>
      </c>
      <c r="J91" t="n">
        <v>0</v>
      </c>
      <c r="K91" t="n">
        <v>0</v>
      </c>
      <c r="L91" t="n">
        <v>0</v>
      </c>
      <c r="M91" t="n">
        <v>0</v>
      </c>
      <c r="N91" t="n">
        <v>0</v>
      </c>
      <c r="O91" t="n">
        <v>0</v>
      </c>
      <c r="P91" t="n">
        <v>0</v>
      </c>
      <c r="Q91" t="n">
        <v>1</v>
      </c>
      <c r="R91" s="2" t="inlineStr">
        <is>
          <t>Revlummer</t>
        </is>
      </c>
      <c r="S91">
        <f>HYPERLINK("https://klasma.github.io/Logging_0380/artfynd/A 2729-2024 artfynd.xlsx", "A 2729-2024")</f>
        <v/>
      </c>
      <c r="T91">
        <f>HYPERLINK("https://klasma.github.io/Logging_0380/kartor/A 2729-2024 karta.png", "A 2729-2024")</f>
        <v/>
      </c>
      <c r="V91">
        <f>HYPERLINK("https://klasma.github.io/Logging_0380/klagomål/A 2729-2024 FSC-klagomål.docx", "A 2729-2024")</f>
        <v/>
      </c>
      <c r="W91">
        <f>HYPERLINK("https://klasma.github.io/Logging_0380/klagomålsmail/A 2729-2024 FSC-klagomål mail.docx", "A 2729-2024")</f>
        <v/>
      </c>
      <c r="X91">
        <f>HYPERLINK("https://klasma.github.io/Logging_0380/tillsyn/A 2729-2024 tillsynsbegäran.docx", "A 2729-2024")</f>
        <v/>
      </c>
      <c r="Y91">
        <f>HYPERLINK("https://klasma.github.io/Logging_0380/tillsynsmail/A 2729-2024 tillsynsbegäran mail.docx", "A 2729-2024")</f>
        <v/>
      </c>
    </row>
    <row r="92" ht="15" customHeight="1">
      <c r="A92" t="inlineStr">
        <is>
          <t>A 28950-2025</t>
        </is>
      </c>
      <c r="B92" s="1" t="n">
        <v>45820.84516203704</v>
      </c>
      <c r="C92" s="1" t="n">
        <v>45907</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36842-2025</t>
        </is>
      </c>
      <c r="B93" s="1" t="n">
        <v>45874</v>
      </c>
      <c r="C93" s="1" t="n">
        <v>45907</v>
      </c>
      <c r="D93" t="inlineStr">
        <is>
          <t>UPPSALA LÄN</t>
        </is>
      </c>
      <c r="E93" t="inlineStr">
        <is>
          <t>UPPSALA</t>
        </is>
      </c>
      <c r="G93" t="n">
        <v>9.9</v>
      </c>
      <c r="H93" t="n">
        <v>0</v>
      </c>
      <c r="I93" t="n">
        <v>1</v>
      </c>
      <c r="J93" t="n">
        <v>0</v>
      </c>
      <c r="K93" t="n">
        <v>0</v>
      </c>
      <c r="L93" t="n">
        <v>0</v>
      </c>
      <c r="M93" t="n">
        <v>0</v>
      </c>
      <c r="N93" t="n">
        <v>0</v>
      </c>
      <c r="O93" t="n">
        <v>0</v>
      </c>
      <c r="P93" t="n">
        <v>0</v>
      </c>
      <c r="Q93" t="n">
        <v>1</v>
      </c>
      <c r="R93" s="2" t="inlineStr">
        <is>
          <t>Vedticka</t>
        </is>
      </c>
      <c r="S93">
        <f>HYPERLINK("https://klasma.github.io/Logging_0380/artfynd/A 36842-2025 artfynd.xlsx", "A 36842-2025")</f>
        <v/>
      </c>
      <c r="T93">
        <f>HYPERLINK("https://klasma.github.io/Logging_0380/kartor/A 36842-2025 karta.png", "A 36842-2025")</f>
        <v/>
      </c>
      <c r="V93">
        <f>HYPERLINK("https://klasma.github.io/Logging_0380/klagomål/A 36842-2025 FSC-klagomål.docx", "A 36842-2025")</f>
        <v/>
      </c>
      <c r="W93">
        <f>HYPERLINK("https://klasma.github.io/Logging_0380/klagomålsmail/A 36842-2025 FSC-klagomål mail.docx", "A 36842-2025")</f>
        <v/>
      </c>
      <c r="X93">
        <f>HYPERLINK("https://klasma.github.io/Logging_0380/tillsyn/A 36842-2025 tillsynsbegäran.docx", "A 36842-2025")</f>
        <v/>
      </c>
      <c r="Y93">
        <f>HYPERLINK("https://klasma.github.io/Logging_0380/tillsynsmail/A 36842-2025 tillsynsbegäran mail.docx", "A 36842-2025")</f>
        <v/>
      </c>
    </row>
    <row r="94" ht="15" customHeight="1">
      <c r="A94" t="inlineStr">
        <is>
          <t>A 37004-2025</t>
        </is>
      </c>
      <c r="B94" s="1" t="n">
        <v>45874.69282407407</v>
      </c>
      <c r="C94" s="1" t="n">
        <v>45907</v>
      </c>
      <c r="D94" t="inlineStr">
        <is>
          <t>UPPSALA LÄN</t>
        </is>
      </c>
      <c r="E94" t="inlineStr">
        <is>
          <t>UPPSALA</t>
        </is>
      </c>
      <c r="G94" t="n">
        <v>15.8</v>
      </c>
      <c r="H94" t="n">
        <v>1</v>
      </c>
      <c r="I94" t="n">
        <v>0</v>
      </c>
      <c r="J94" t="n">
        <v>0</v>
      </c>
      <c r="K94" t="n">
        <v>0</v>
      </c>
      <c r="L94" t="n">
        <v>0</v>
      </c>
      <c r="M94" t="n">
        <v>0</v>
      </c>
      <c r="N94" t="n">
        <v>0</v>
      </c>
      <c r="O94" t="n">
        <v>0</v>
      </c>
      <c r="P94" t="n">
        <v>0</v>
      </c>
      <c r="Q94" t="n">
        <v>1</v>
      </c>
      <c r="R94" s="2" t="inlineStr">
        <is>
          <t>Vanlig padda</t>
        </is>
      </c>
      <c r="S94">
        <f>HYPERLINK("https://klasma.github.io/Logging_0380/artfynd/A 37004-2025 artfynd.xlsx", "A 37004-2025")</f>
        <v/>
      </c>
      <c r="T94">
        <f>HYPERLINK("https://klasma.github.io/Logging_0380/kartor/A 37004-2025 karta.png", "A 37004-2025")</f>
        <v/>
      </c>
      <c r="V94">
        <f>HYPERLINK("https://klasma.github.io/Logging_0380/klagomål/A 37004-2025 FSC-klagomål.docx", "A 37004-2025")</f>
        <v/>
      </c>
      <c r="W94">
        <f>HYPERLINK("https://klasma.github.io/Logging_0380/klagomålsmail/A 37004-2025 FSC-klagomål mail.docx", "A 37004-2025")</f>
        <v/>
      </c>
      <c r="X94">
        <f>HYPERLINK("https://klasma.github.io/Logging_0380/tillsyn/A 37004-2025 tillsynsbegäran.docx", "A 37004-2025")</f>
        <v/>
      </c>
      <c r="Y94">
        <f>HYPERLINK("https://klasma.github.io/Logging_0380/tillsynsmail/A 37004-2025 tillsynsbegäran mail.docx", "A 37004-2025")</f>
        <v/>
      </c>
    </row>
    <row r="95" ht="15" customHeight="1">
      <c r="A95" t="inlineStr">
        <is>
          <t>A 61818-2022</t>
        </is>
      </c>
      <c r="B95" s="1" t="n">
        <v>44917</v>
      </c>
      <c r="C95" s="1" t="n">
        <v>45907</v>
      </c>
      <c r="D95" t="inlineStr">
        <is>
          <t>UPPSALA LÄN</t>
        </is>
      </c>
      <c r="E95" t="inlineStr">
        <is>
          <t>UPPSALA</t>
        </is>
      </c>
      <c r="F95" t="inlineStr">
        <is>
          <t>Holmen skog AB</t>
        </is>
      </c>
      <c r="G95" t="n">
        <v>0.8</v>
      </c>
      <c r="H95" t="n">
        <v>0</v>
      </c>
      <c r="I95" t="n">
        <v>0</v>
      </c>
      <c r="J95" t="n">
        <v>1</v>
      </c>
      <c r="K95" t="n">
        <v>0</v>
      </c>
      <c r="L95" t="n">
        <v>0</v>
      </c>
      <c r="M95" t="n">
        <v>0</v>
      </c>
      <c r="N95" t="n">
        <v>0</v>
      </c>
      <c r="O95" t="n">
        <v>1</v>
      </c>
      <c r="P95" t="n">
        <v>0</v>
      </c>
      <c r="Q95" t="n">
        <v>1</v>
      </c>
      <c r="R95" s="2" t="inlineStr">
        <is>
          <t>Blekticka</t>
        </is>
      </c>
      <c r="S95">
        <f>HYPERLINK("https://klasma.github.io/Logging_0380/artfynd/A 61818-2022 artfynd.xlsx", "A 61818-2022")</f>
        <v/>
      </c>
      <c r="T95">
        <f>HYPERLINK("https://klasma.github.io/Logging_0380/kartor/A 61818-2022 karta.png", "A 61818-2022")</f>
        <v/>
      </c>
      <c r="V95">
        <f>HYPERLINK("https://klasma.github.io/Logging_0380/klagomål/A 61818-2022 FSC-klagomål.docx", "A 61818-2022")</f>
        <v/>
      </c>
      <c r="W95">
        <f>HYPERLINK("https://klasma.github.io/Logging_0380/klagomålsmail/A 61818-2022 FSC-klagomål mail.docx", "A 61818-2022")</f>
        <v/>
      </c>
      <c r="X95">
        <f>HYPERLINK("https://klasma.github.io/Logging_0380/tillsyn/A 61818-2022 tillsynsbegäran.docx", "A 61818-2022")</f>
        <v/>
      </c>
      <c r="Y95">
        <f>HYPERLINK("https://klasma.github.io/Logging_0380/tillsynsmail/A 61818-2022 tillsynsbegäran mail.docx", "A 61818-2022")</f>
        <v/>
      </c>
    </row>
    <row r="96" ht="15" customHeight="1">
      <c r="A96" t="inlineStr">
        <is>
          <t>A 43192-2020</t>
        </is>
      </c>
      <c r="B96" s="1" t="n">
        <v>44081</v>
      </c>
      <c r="C96" s="1" t="n">
        <v>45907</v>
      </c>
      <c r="D96" t="inlineStr">
        <is>
          <t>UPPSALA LÄN</t>
        </is>
      </c>
      <c r="E96" t="inlineStr">
        <is>
          <t>UPPSALA</t>
        </is>
      </c>
      <c r="G96" t="n">
        <v>16.5</v>
      </c>
      <c r="H96" t="n">
        <v>0</v>
      </c>
      <c r="I96" t="n">
        <v>0</v>
      </c>
      <c r="J96" t="n">
        <v>1</v>
      </c>
      <c r="K96" t="n">
        <v>0</v>
      </c>
      <c r="L96" t="n">
        <v>0</v>
      </c>
      <c r="M96" t="n">
        <v>0</v>
      </c>
      <c r="N96" t="n">
        <v>0</v>
      </c>
      <c r="O96" t="n">
        <v>1</v>
      </c>
      <c r="P96" t="n">
        <v>0</v>
      </c>
      <c r="Q96" t="n">
        <v>1</v>
      </c>
      <c r="R96" s="2" t="inlineStr">
        <is>
          <t>Lunglav</t>
        </is>
      </c>
      <c r="S96">
        <f>HYPERLINK("https://klasma.github.io/Logging_0380/artfynd/A 43192-2020 artfynd.xlsx", "A 43192-2020")</f>
        <v/>
      </c>
      <c r="T96">
        <f>HYPERLINK("https://klasma.github.io/Logging_0380/kartor/A 43192-2020 karta.png", "A 43192-2020")</f>
        <v/>
      </c>
      <c r="V96">
        <f>HYPERLINK("https://klasma.github.io/Logging_0380/klagomål/A 43192-2020 FSC-klagomål.docx", "A 43192-2020")</f>
        <v/>
      </c>
      <c r="W96">
        <f>HYPERLINK("https://klasma.github.io/Logging_0380/klagomålsmail/A 43192-2020 FSC-klagomål mail.docx", "A 43192-2020")</f>
        <v/>
      </c>
      <c r="X96">
        <f>HYPERLINK("https://klasma.github.io/Logging_0380/tillsyn/A 43192-2020 tillsynsbegäran.docx", "A 43192-2020")</f>
        <v/>
      </c>
      <c r="Y96">
        <f>HYPERLINK("https://klasma.github.io/Logging_0380/tillsynsmail/A 43192-2020 tillsynsbegäran mail.docx", "A 43192-2020")</f>
        <v/>
      </c>
    </row>
    <row r="97" ht="15" customHeight="1">
      <c r="A97" t="inlineStr">
        <is>
          <t>A 49015-2022</t>
        </is>
      </c>
      <c r="B97" s="1" t="n">
        <v>44855</v>
      </c>
      <c r="C97" s="1" t="n">
        <v>45907</v>
      </c>
      <c r="D97" t="inlineStr">
        <is>
          <t>UPPSALA LÄN</t>
        </is>
      </c>
      <c r="E97" t="inlineStr">
        <is>
          <t>UPPSALA</t>
        </is>
      </c>
      <c r="F97" t="inlineStr">
        <is>
          <t>Kommuner</t>
        </is>
      </c>
      <c r="G97" t="n">
        <v>4.5</v>
      </c>
      <c r="H97" t="n">
        <v>0</v>
      </c>
      <c r="I97" t="n">
        <v>0</v>
      </c>
      <c r="J97" t="n">
        <v>1</v>
      </c>
      <c r="K97" t="n">
        <v>0</v>
      </c>
      <c r="L97" t="n">
        <v>0</v>
      </c>
      <c r="M97" t="n">
        <v>0</v>
      </c>
      <c r="N97" t="n">
        <v>0</v>
      </c>
      <c r="O97" t="n">
        <v>1</v>
      </c>
      <c r="P97" t="n">
        <v>0</v>
      </c>
      <c r="Q97" t="n">
        <v>1</v>
      </c>
      <c r="R97" s="2" t="inlineStr">
        <is>
          <t>Harticka</t>
        </is>
      </c>
      <c r="S97">
        <f>HYPERLINK("https://klasma.github.io/Logging_0380/artfynd/A 49015-2022 artfynd.xlsx", "A 49015-2022")</f>
        <v/>
      </c>
      <c r="T97">
        <f>HYPERLINK("https://klasma.github.io/Logging_0380/kartor/A 49015-2022 karta.png", "A 49015-2022")</f>
        <v/>
      </c>
      <c r="V97">
        <f>HYPERLINK("https://klasma.github.io/Logging_0380/klagomål/A 49015-2022 FSC-klagomål.docx", "A 49015-2022")</f>
        <v/>
      </c>
      <c r="W97">
        <f>HYPERLINK("https://klasma.github.io/Logging_0380/klagomålsmail/A 49015-2022 FSC-klagomål mail.docx", "A 49015-2022")</f>
        <v/>
      </c>
      <c r="X97">
        <f>HYPERLINK("https://klasma.github.io/Logging_0380/tillsyn/A 49015-2022 tillsynsbegäran.docx", "A 49015-2022")</f>
        <v/>
      </c>
      <c r="Y97">
        <f>HYPERLINK("https://klasma.github.io/Logging_0380/tillsynsmail/A 49015-2022 tillsynsbegäran mail.docx", "A 49015-2022")</f>
        <v/>
      </c>
    </row>
    <row r="98" ht="15" customHeight="1">
      <c r="A98" t="inlineStr">
        <is>
          <t>A 33708-2025</t>
        </is>
      </c>
      <c r="B98" s="1" t="n">
        <v>45841.81555555556</v>
      </c>
      <c r="C98" s="1" t="n">
        <v>45907</v>
      </c>
      <c r="D98" t="inlineStr">
        <is>
          <t>UPPSALA LÄN</t>
        </is>
      </c>
      <c r="E98" t="inlineStr">
        <is>
          <t>UPPSALA</t>
        </is>
      </c>
      <c r="F98" t="inlineStr">
        <is>
          <t>Holmen skog AB</t>
        </is>
      </c>
      <c r="G98" t="n">
        <v>2</v>
      </c>
      <c r="H98" t="n">
        <v>0</v>
      </c>
      <c r="I98" t="n">
        <v>1</v>
      </c>
      <c r="J98" t="n">
        <v>0</v>
      </c>
      <c r="K98" t="n">
        <v>0</v>
      </c>
      <c r="L98" t="n">
        <v>0</v>
      </c>
      <c r="M98" t="n">
        <v>0</v>
      </c>
      <c r="N98" t="n">
        <v>0</v>
      </c>
      <c r="O98" t="n">
        <v>0</v>
      </c>
      <c r="P98" t="n">
        <v>0</v>
      </c>
      <c r="Q98" t="n">
        <v>1</v>
      </c>
      <c r="R98" s="2" t="inlineStr">
        <is>
          <t>Svavelriska</t>
        </is>
      </c>
      <c r="S98">
        <f>HYPERLINK("https://klasma.github.io/Logging_0380/artfynd/A 33708-2025 artfynd.xlsx", "A 33708-2025")</f>
        <v/>
      </c>
      <c r="T98">
        <f>HYPERLINK("https://klasma.github.io/Logging_0380/kartor/A 33708-2025 karta.png", "A 33708-2025")</f>
        <v/>
      </c>
      <c r="V98">
        <f>HYPERLINK("https://klasma.github.io/Logging_0380/klagomål/A 33708-2025 FSC-klagomål.docx", "A 33708-2025")</f>
        <v/>
      </c>
      <c r="W98">
        <f>HYPERLINK("https://klasma.github.io/Logging_0380/klagomålsmail/A 33708-2025 FSC-klagomål mail.docx", "A 33708-2025")</f>
        <v/>
      </c>
      <c r="X98">
        <f>HYPERLINK("https://klasma.github.io/Logging_0380/tillsyn/A 33708-2025 tillsynsbegäran.docx", "A 33708-2025")</f>
        <v/>
      </c>
      <c r="Y98">
        <f>HYPERLINK("https://klasma.github.io/Logging_0380/tillsynsmail/A 33708-2025 tillsynsbegäran mail.docx", "A 33708-2025")</f>
        <v/>
      </c>
    </row>
    <row r="99" ht="15" customHeight="1">
      <c r="A99" t="inlineStr">
        <is>
          <t>A 35260-2025</t>
        </is>
      </c>
      <c r="B99" s="1" t="n">
        <v>45853.76976851852</v>
      </c>
      <c r="C99" s="1" t="n">
        <v>45907</v>
      </c>
      <c r="D99" t="inlineStr">
        <is>
          <t>UPPSALA LÄN</t>
        </is>
      </c>
      <c r="E99" t="inlineStr">
        <is>
          <t>UPPSALA</t>
        </is>
      </c>
      <c r="G99" t="n">
        <v>7.3</v>
      </c>
      <c r="H99" t="n">
        <v>0</v>
      </c>
      <c r="I99" t="n">
        <v>1</v>
      </c>
      <c r="J99" t="n">
        <v>0</v>
      </c>
      <c r="K99" t="n">
        <v>0</v>
      </c>
      <c r="L99" t="n">
        <v>0</v>
      </c>
      <c r="M99" t="n">
        <v>0</v>
      </c>
      <c r="N99" t="n">
        <v>0</v>
      </c>
      <c r="O99" t="n">
        <v>0</v>
      </c>
      <c r="P99" t="n">
        <v>0</v>
      </c>
      <c r="Q99" t="n">
        <v>1</v>
      </c>
      <c r="R99" s="2" t="inlineStr">
        <is>
          <t>Svavelriska</t>
        </is>
      </c>
      <c r="S99">
        <f>HYPERLINK("https://klasma.github.io/Logging_0380/artfynd/A 35260-2025 artfynd.xlsx", "A 35260-2025")</f>
        <v/>
      </c>
      <c r="T99">
        <f>HYPERLINK("https://klasma.github.io/Logging_0380/kartor/A 35260-2025 karta.png", "A 35260-2025")</f>
        <v/>
      </c>
      <c r="V99">
        <f>HYPERLINK("https://klasma.github.io/Logging_0380/klagomål/A 35260-2025 FSC-klagomål.docx", "A 35260-2025")</f>
        <v/>
      </c>
      <c r="W99">
        <f>HYPERLINK("https://klasma.github.io/Logging_0380/klagomålsmail/A 35260-2025 FSC-klagomål mail.docx", "A 35260-2025")</f>
        <v/>
      </c>
      <c r="X99">
        <f>HYPERLINK("https://klasma.github.io/Logging_0380/tillsyn/A 35260-2025 tillsynsbegäran.docx", "A 35260-2025")</f>
        <v/>
      </c>
      <c r="Y99">
        <f>HYPERLINK("https://klasma.github.io/Logging_0380/tillsynsmail/A 35260-2025 tillsynsbegäran mail.docx", "A 35260-2025")</f>
        <v/>
      </c>
    </row>
    <row r="100" ht="15" customHeight="1">
      <c r="A100" t="inlineStr">
        <is>
          <t>A 40568-2025</t>
        </is>
      </c>
      <c r="B100" s="1" t="n">
        <v>45896.47487268518</v>
      </c>
      <c r="C100" s="1" t="n">
        <v>45907</v>
      </c>
      <c r="D100" t="inlineStr">
        <is>
          <t>UPPSALA LÄN</t>
        </is>
      </c>
      <c r="E100" t="inlineStr">
        <is>
          <t>UPPSALA</t>
        </is>
      </c>
      <c r="F100" t="inlineStr">
        <is>
          <t>Kyrkan</t>
        </is>
      </c>
      <c r="G100" t="n">
        <v>2.1</v>
      </c>
      <c r="H100" t="n">
        <v>0</v>
      </c>
      <c r="I100" t="n">
        <v>1</v>
      </c>
      <c r="J100" t="n">
        <v>0</v>
      </c>
      <c r="K100" t="n">
        <v>0</v>
      </c>
      <c r="L100" t="n">
        <v>0</v>
      </c>
      <c r="M100" t="n">
        <v>0</v>
      </c>
      <c r="N100" t="n">
        <v>0</v>
      </c>
      <c r="O100" t="n">
        <v>0</v>
      </c>
      <c r="P100" t="n">
        <v>0</v>
      </c>
      <c r="Q100" t="n">
        <v>1</v>
      </c>
      <c r="R100" s="2" t="inlineStr">
        <is>
          <t>Rödgul trumpetsvamp</t>
        </is>
      </c>
      <c r="S100">
        <f>HYPERLINK("https://klasma.github.io/Logging_0380/artfynd/A 40568-2025 artfynd.xlsx", "A 40568-2025")</f>
        <v/>
      </c>
      <c r="T100">
        <f>HYPERLINK("https://klasma.github.io/Logging_0380/kartor/A 40568-2025 karta.png", "A 40568-2025")</f>
        <v/>
      </c>
      <c r="V100">
        <f>HYPERLINK("https://klasma.github.io/Logging_0380/klagomål/A 40568-2025 FSC-klagomål.docx", "A 40568-2025")</f>
        <v/>
      </c>
      <c r="W100">
        <f>HYPERLINK("https://klasma.github.io/Logging_0380/klagomålsmail/A 40568-2025 FSC-klagomål mail.docx", "A 40568-2025")</f>
        <v/>
      </c>
      <c r="X100">
        <f>HYPERLINK("https://klasma.github.io/Logging_0380/tillsyn/A 40568-2025 tillsynsbegäran.docx", "A 40568-2025")</f>
        <v/>
      </c>
      <c r="Y100">
        <f>HYPERLINK("https://klasma.github.io/Logging_0380/tillsynsmail/A 40568-2025 tillsynsbegäran mail.docx", "A 40568-2025")</f>
        <v/>
      </c>
    </row>
    <row r="101" ht="15" customHeight="1">
      <c r="A101" t="inlineStr">
        <is>
          <t>A 41606-2025</t>
        </is>
      </c>
      <c r="B101" s="1" t="n">
        <v>45901.66702546296</v>
      </c>
      <c r="C101" s="1" t="n">
        <v>45907</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5009-2023</t>
        </is>
      </c>
      <c r="B102" s="1" t="n">
        <v>44958</v>
      </c>
      <c r="C102" s="1" t="n">
        <v>45907</v>
      </c>
      <c r="D102" t="inlineStr">
        <is>
          <t>UPPSALA LÄN</t>
        </is>
      </c>
      <c r="E102" t="inlineStr">
        <is>
          <t>UPPSALA</t>
        </is>
      </c>
      <c r="G102" t="n">
        <v>4.7</v>
      </c>
      <c r="H102" t="n">
        <v>1</v>
      </c>
      <c r="I102" t="n">
        <v>0</v>
      </c>
      <c r="J102" t="n">
        <v>0</v>
      </c>
      <c r="K102" t="n">
        <v>0</v>
      </c>
      <c r="L102" t="n">
        <v>0</v>
      </c>
      <c r="M102" t="n">
        <v>0</v>
      </c>
      <c r="N102" t="n">
        <v>0</v>
      </c>
      <c r="O102" t="n">
        <v>0</v>
      </c>
      <c r="P102" t="n">
        <v>0</v>
      </c>
      <c r="Q102" t="n">
        <v>1</v>
      </c>
      <c r="R102" s="2" t="inlineStr">
        <is>
          <t>Blåsippa</t>
        </is>
      </c>
      <c r="S102">
        <f>HYPERLINK("https://klasma.github.io/Logging_0380/artfynd/A 5009-2023 artfynd.xlsx", "A 5009-2023")</f>
        <v/>
      </c>
      <c r="T102">
        <f>HYPERLINK("https://klasma.github.io/Logging_0380/kartor/A 5009-2023 karta.png", "A 5009-2023")</f>
        <v/>
      </c>
      <c r="V102">
        <f>HYPERLINK("https://klasma.github.io/Logging_0380/klagomål/A 5009-2023 FSC-klagomål.docx", "A 5009-2023")</f>
        <v/>
      </c>
      <c r="W102">
        <f>HYPERLINK("https://klasma.github.io/Logging_0380/klagomålsmail/A 5009-2023 FSC-klagomål mail.docx", "A 5009-2023")</f>
        <v/>
      </c>
      <c r="X102">
        <f>HYPERLINK("https://klasma.github.io/Logging_0380/tillsyn/A 5009-2023 tillsynsbegäran.docx", "A 5009-2023")</f>
        <v/>
      </c>
      <c r="Y102">
        <f>HYPERLINK("https://klasma.github.io/Logging_0380/tillsynsmail/A 5009-2023 tillsynsbegäran mail.docx", "A 5009-2023")</f>
        <v/>
      </c>
    </row>
    <row r="103" ht="15" customHeight="1">
      <c r="A103" t="inlineStr">
        <is>
          <t>A 16761-2022</t>
        </is>
      </c>
      <c r="B103" s="1" t="n">
        <v>44673.47858796296</v>
      </c>
      <c r="C103" s="1" t="n">
        <v>45907</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25729-2024</t>
        </is>
      </c>
      <c r="B104" s="1" t="n">
        <v>45464</v>
      </c>
      <c r="C104" s="1" t="n">
        <v>45907</v>
      </c>
      <c r="D104" t="inlineStr">
        <is>
          <t>UPPSALA LÄN</t>
        </is>
      </c>
      <c r="E104" t="inlineStr">
        <is>
          <t>UPPSALA</t>
        </is>
      </c>
      <c r="G104" t="n">
        <v>22.3</v>
      </c>
      <c r="H104" t="n">
        <v>0</v>
      </c>
      <c r="I104" t="n">
        <v>0</v>
      </c>
      <c r="J104" t="n">
        <v>1</v>
      </c>
      <c r="K104" t="n">
        <v>0</v>
      </c>
      <c r="L104" t="n">
        <v>0</v>
      </c>
      <c r="M104" t="n">
        <v>0</v>
      </c>
      <c r="N104" t="n">
        <v>0</v>
      </c>
      <c r="O104" t="n">
        <v>1</v>
      </c>
      <c r="P104" t="n">
        <v>0</v>
      </c>
      <c r="Q104" t="n">
        <v>1</v>
      </c>
      <c r="R104" s="2" t="inlineStr">
        <is>
          <t>Ullticka</t>
        </is>
      </c>
      <c r="S104">
        <f>HYPERLINK("https://klasma.github.io/Logging_0380/artfynd/A 25729-2024 artfynd.xlsx", "A 25729-2024")</f>
        <v/>
      </c>
      <c r="T104">
        <f>HYPERLINK("https://klasma.github.io/Logging_0380/kartor/A 25729-2024 karta.png", "A 25729-2024")</f>
        <v/>
      </c>
      <c r="V104">
        <f>HYPERLINK("https://klasma.github.io/Logging_0380/klagomål/A 25729-2024 FSC-klagomål.docx", "A 25729-2024")</f>
        <v/>
      </c>
      <c r="W104">
        <f>HYPERLINK("https://klasma.github.io/Logging_0380/klagomålsmail/A 25729-2024 FSC-klagomål mail.docx", "A 25729-2024")</f>
        <v/>
      </c>
      <c r="X104">
        <f>HYPERLINK("https://klasma.github.io/Logging_0380/tillsyn/A 25729-2024 tillsynsbegäran.docx", "A 25729-2024")</f>
        <v/>
      </c>
      <c r="Y104">
        <f>HYPERLINK("https://klasma.github.io/Logging_0380/tillsynsmail/A 25729-2024 tillsynsbegäran mail.docx", "A 25729-2024")</f>
        <v/>
      </c>
    </row>
    <row r="105" ht="15" customHeight="1">
      <c r="A105" t="inlineStr">
        <is>
          <t>A 52849-2021</t>
        </is>
      </c>
      <c r="B105" s="1" t="n">
        <v>44467</v>
      </c>
      <c r="C105" s="1" t="n">
        <v>45907</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18373-2025</t>
        </is>
      </c>
      <c r="B106" s="1" t="n">
        <v>45762.57244212963</v>
      </c>
      <c r="C106" s="1" t="n">
        <v>45907</v>
      </c>
      <c r="D106" t="inlineStr">
        <is>
          <t>UPPSALA LÄN</t>
        </is>
      </c>
      <c r="E106" t="inlineStr">
        <is>
          <t>UPPSALA</t>
        </is>
      </c>
      <c r="G106" t="n">
        <v>9.5</v>
      </c>
      <c r="H106" t="n">
        <v>0</v>
      </c>
      <c r="I106" t="n">
        <v>0</v>
      </c>
      <c r="J106" t="n">
        <v>1</v>
      </c>
      <c r="K106" t="n">
        <v>0</v>
      </c>
      <c r="L106" t="n">
        <v>0</v>
      </c>
      <c r="M106" t="n">
        <v>0</v>
      </c>
      <c r="N106" t="n">
        <v>0</v>
      </c>
      <c r="O106" t="n">
        <v>1</v>
      </c>
      <c r="P106" t="n">
        <v>0</v>
      </c>
      <c r="Q106" t="n">
        <v>1</v>
      </c>
      <c r="R106" s="2" t="inlineStr">
        <is>
          <t>Ullticka</t>
        </is>
      </c>
      <c r="S106">
        <f>HYPERLINK("https://klasma.github.io/Logging_0380/artfynd/A 18373-2025 artfynd.xlsx", "A 18373-2025")</f>
        <v/>
      </c>
      <c r="T106">
        <f>HYPERLINK("https://klasma.github.io/Logging_0380/kartor/A 18373-2025 karta.png", "A 18373-2025")</f>
        <v/>
      </c>
      <c r="V106">
        <f>HYPERLINK("https://klasma.github.io/Logging_0380/klagomål/A 18373-2025 FSC-klagomål.docx", "A 18373-2025")</f>
        <v/>
      </c>
      <c r="W106">
        <f>HYPERLINK("https://klasma.github.io/Logging_0380/klagomålsmail/A 18373-2025 FSC-klagomål mail.docx", "A 18373-2025")</f>
        <v/>
      </c>
      <c r="X106">
        <f>HYPERLINK("https://klasma.github.io/Logging_0380/tillsyn/A 18373-2025 tillsynsbegäran.docx", "A 18373-2025")</f>
        <v/>
      </c>
      <c r="Y106">
        <f>HYPERLINK("https://klasma.github.io/Logging_0380/tillsynsmail/A 18373-2025 tillsynsbegäran mail.docx", "A 18373-2025")</f>
        <v/>
      </c>
    </row>
    <row r="107" ht="15" customHeight="1">
      <c r="A107" t="inlineStr">
        <is>
          <t>A 39741-2023</t>
        </is>
      </c>
      <c r="B107" s="1" t="n">
        <v>45167</v>
      </c>
      <c r="C107" s="1" t="n">
        <v>45907</v>
      </c>
      <c r="D107" t="inlineStr">
        <is>
          <t>UPPSALA LÄN</t>
        </is>
      </c>
      <c r="E107" t="inlineStr">
        <is>
          <t>UPPSALA</t>
        </is>
      </c>
      <c r="G107" t="n">
        <v>5.6</v>
      </c>
      <c r="H107" t="n">
        <v>1</v>
      </c>
      <c r="I107" t="n">
        <v>0</v>
      </c>
      <c r="J107" t="n">
        <v>1</v>
      </c>
      <c r="K107" t="n">
        <v>0</v>
      </c>
      <c r="L107" t="n">
        <v>0</v>
      </c>
      <c r="M107" t="n">
        <v>0</v>
      </c>
      <c r="N107" t="n">
        <v>0</v>
      </c>
      <c r="O107" t="n">
        <v>1</v>
      </c>
      <c r="P107" t="n">
        <v>0</v>
      </c>
      <c r="Q107" t="n">
        <v>1</v>
      </c>
      <c r="R107" s="2" t="inlineStr">
        <is>
          <t>Entita</t>
        </is>
      </c>
      <c r="S107">
        <f>HYPERLINK("https://klasma.github.io/Logging_0380/artfynd/A 39741-2023 artfynd.xlsx", "A 39741-2023")</f>
        <v/>
      </c>
      <c r="T107">
        <f>HYPERLINK("https://klasma.github.io/Logging_0380/kartor/A 39741-2023 karta.png", "A 39741-2023")</f>
        <v/>
      </c>
      <c r="V107">
        <f>HYPERLINK("https://klasma.github.io/Logging_0380/klagomål/A 39741-2023 FSC-klagomål.docx", "A 39741-2023")</f>
        <v/>
      </c>
      <c r="W107">
        <f>HYPERLINK("https://klasma.github.io/Logging_0380/klagomålsmail/A 39741-2023 FSC-klagomål mail.docx", "A 39741-2023")</f>
        <v/>
      </c>
      <c r="X107">
        <f>HYPERLINK("https://klasma.github.io/Logging_0380/tillsyn/A 39741-2023 tillsynsbegäran.docx", "A 39741-2023")</f>
        <v/>
      </c>
      <c r="Y107">
        <f>HYPERLINK("https://klasma.github.io/Logging_0380/tillsynsmail/A 39741-2023 tillsynsbegäran mail.docx", "A 39741-2023")</f>
        <v/>
      </c>
      <c r="Z107">
        <f>HYPERLINK("https://klasma.github.io/Logging_0380/fåglar/A 39741-2023 prioriterade fågelarter.docx", "A 39741-2023")</f>
        <v/>
      </c>
    </row>
    <row r="108" ht="15" customHeight="1">
      <c r="A108" t="inlineStr">
        <is>
          <t>A 29902-2023</t>
        </is>
      </c>
      <c r="B108" s="1" t="n">
        <v>45107</v>
      </c>
      <c r="C108" s="1" t="n">
        <v>45907</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45907</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45907</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45907</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63172-2023</t>
        </is>
      </c>
      <c r="B112" s="1" t="n">
        <v>45273</v>
      </c>
      <c r="C112" s="1" t="n">
        <v>45907</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46634-2022</t>
        </is>
      </c>
      <c r="B113" s="1" t="n">
        <v>44849</v>
      </c>
      <c r="C113" s="1" t="n">
        <v>45907</v>
      </c>
      <c r="D113" t="inlineStr">
        <is>
          <t>UPPSALA LÄN</t>
        </is>
      </c>
      <c r="E113" t="inlineStr">
        <is>
          <t>UPPSALA</t>
        </is>
      </c>
      <c r="G113" t="n">
        <v>2.9</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46634-2022 artfynd.xlsx", "A 46634-2022")</f>
        <v/>
      </c>
      <c r="T113">
        <f>HYPERLINK("https://klasma.github.io/Logging_0380/kartor/A 46634-2022 karta.png", "A 46634-2022")</f>
        <v/>
      </c>
      <c r="V113">
        <f>HYPERLINK("https://klasma.github.io/Logging_0380/klagomål/A 46634-2022 FSC-klagomål.docx", "A 46634-2022")</f>
        <v/>
      </c>
      <c r="W113">
        <f>HYPERLINK("https://klasma.github.io/Logging_0380/klagomålsmail/A 46634-2022 FSC-klagomål mail.docx", "A 46634-2022")</f>
        <v/>
      </c>
      <c r="X113">
        <f>HYPERLINK("https://klasma.github.io/Logging_0380/tillsyn/A 46634-2022 tillsynsbegäran.docx", "A 46634-2022")</f>
        <v/>
      </c>
      <c r="Y113">
        <f>HYPERLINK("https://klasma.github.io/Logging_0380/tillsynsmail/A 46634-2022 tillsynsbegäran mail.docx", "A 46634-2022")</f>
        <v/>
      </c>
    </row>
    <row r="114" ht="15" customHeight="1">
      <c r="A114" t="inlineStr">
        <is>
          <t>A 17484-2025</t>
        </is>
      </c>
      <c r="B114" s="1" t="n">
        <v>45757.49934027778</v>
      </c>
      <c r="C114" s="1" t="n">
        <v>45907</v>
      </c>
      <c r="D114" t="inlineStr">
        <is>
          <t>UPPSALA LÄN</t>
        </is>
      </c>
      <c r="E114" t="inlineStr">
        <is>
          <t>UPPSALA</t>
        </is>
      </c>
      <c r="G114" t="n">
        <v>13.1</v>
      </c>
      <c r="H114" t="n">
        <v>1</v>
      </c>
      <c r="I114" t="n">
        <v>0</v>
      </c>
      <c r="J114" t="n">
        <v>0</v>
      </c>
      <c r="K114" t="n">
        <v>0</v>
      </c>
      <c r="L114" t="n">
        <v>0</v>
      </c>
      <c r="M114" t="n">
        <v>0</v>
      </c>
      <c r="N114" t="n">
        <v>0</v>
      </c>
      <c r="O114" t="n">
        <v>0</v>
      </c>
      <c r="P114" t="n">
        <v>0</v>
      </c>
      <c r="Q114" t="n">
        <v>1</v>
      </c>
      <c r="R114" s="2" t="inlineStr">
        <is>
          <t>Fläcknycklar</t>
        </is>
      </c>
      <c r="S114">
        <f>HYPERLINK("https://klasma.github.io/Logging_0380/artfynd/A 17484-2025 artfynd.xlsx", "A 17484-2025")</f>
        <v/>
      </c>
      <c r="T114">
        <f>HYPERLINK("https://klasma.github.io/Logging_0380/kartor/A 17484-2025 karta.png", "A 17484-2025")</f>
        <v/>
      </c>
      <c r="V114">
        <f>HYPERLINK("https://klasma.github.io/Logging_0380/klagomål/A 17484-2025 FSC-klagomål.docx", "A 17484-2025")</f>
        <v/>
      </c>
      <c r="W114">
        <f>HYPERLINK("https://klasma.github.io/Logging_0380/klagomålsmail/A 17484-2025 FSC-klagomål mail.docx", "A 17484-2025")</f>
        <v/>
      </c>
      <c r="X114">
        <f>HYPERLINK("https://klasma.github.io/Logging_0380/tillsyn/A 17484-2025 tillsynsbegäran.docx", "A 17484-2025")</f>
        <v/>
      </c>
      <c r="Y114">
        <f>HYPERLINK("https://klasma.github.io/Logging_0380/tillsynsmail/A 17484-2025 tillsynsbegäran mail.docx", "A 17484-2025")</f>
        <v/>
      </c>
    </row>
    <row r="115" ht="15" customHeight="1">
      <c r="A115" t="inlineStr">
        <is>
          <t>A 13093-2024</t>
        </is>
      </c>
      <c r="B115" s="1" t="n">
        <v>45385</v>
      </c>
      <c r="C115" s="1" t="n">
        <v>45907</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61830-2022</t>
        </is>
      </c>
      <c r="B116" s="1" t="n">
        <v>44917.59298611111</v>
      </c>
      <c r="C116" s="1" t="n">
        <v>45907</v>
      </c>
      <c r="D116" t="inlineStr">
        <is>
          <t>UPPSALA LÄN</t>
        </is>
      </c>
      <c r="E116" t="inlineStr">
        <is>
          <t>UPPSALA</t>
        </is>
      </c>
      <c r="F116" t="inlineStr">
        <is>
          <t>Holmen skog AB</t>
        </is>
      </c>
      <c r="G116" t="n">
        <v>1.1</v>
      </c>
      <c r="H116" t="n">
        <v>0</v>
      </c>
      <c r="I116" t="n">
        <v>0</v>
      </c>
      <c r="J116" t="n">
        <v>1</v>
      </c>
      <c r="K116" t="n">
        <v>0</v>
      </c>
      <c r="L116" t="n">
        <v>0</v>
      </c>
      <c r="M116" t="n">
        <v>0</v>
      </c>
      <c r="N116" t="n">
        <v>0</v>
      </c>
      <c r="O116" t="n">
        <v>1</v>
      </c>
      <c r="P116" t="n">
        <v>0</v>
      </c>
      <c r="Q116" t="n">
        <v>1</v>
      </c>
      <c r="R116" s="2" t="inlineStr">
        <is>
          <t>Rödbrun blekspik</t>
        </is>
      </c>
      <c r="S116">
        <f>HYPERLINK("https://klasma.github.io/Logging_0380/artfynd/A 61830-2022 artfynd.xlsx", "A 61830-2022")</f>
        <v/>
      </c>
      <c r="T116">
        <f>HYPERLINK("https://klasma.github.io/Logging_0380/kartor/A 61830-2022 karta.png", "A 61830-2022")</f>
        <v/>
      </c>
      <c r="V116">
        <f>HYPERLINK("https://klasma.github.io/Logging_0380/klagomål/A 61830-2022 FSC-klagomål.docx", "A 61830-2022")</f>
        <v/>
      </c>
      <c r="W116">
        <f>HYPERLINK("https://klasma.github.io/Logging_0380/klagomålsmail/A 61830-2022 FSC-klagomål mail.docx", "A 61830-2022")</f>
        <v/>
      </c>
      <c r="X116">
        <f>HYPERLINK("https://klasma.github.io/Logging_0380/tillsyn/A 61830-2022 tillsynsbegäran.docx", "A 61830-2022")</f>
        <v/>
      </c>
      <c r="Y116">
        <f>HYPERLINK("https://klasma.github.io/Logging_0380/tillsynsmail/A 61830-2022 tillsynsbegäran mail.docx", "A 61830-2022")</f>
        <v/>
      </c>
    </row>
    <row r="117" ht="15" customHeight="1">
      <c r="A117" t="inlineStr">
        <is>
          <t>A 58288-2020</t>
        </is>
      </c>
      <c r="B117" s="1" t="n">
        <v>44144</v>
      </c>
      <c r="C117" s="1" t="n">
        <v>45907</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52717-2020</t>
        </is>
      </c>
      <c r="B118" s="1" t="n">
        <v>44119</v>
      </c>
      <c r="C118" s="1" t="n">
        <v>45907</v>
      </c>
      <c r="D118" t="inlineStr">
        <is>
          <t>UPPSALA LÄN</t>
        </is>
      </c>
      <c r="E118" t="inlineStr">
        <is>
          <t>UPPSALA</t>
        </is>
      </c>
      <c r="G118" t="n">
        <v>2.8</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45907</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6853-2022</t>
        </is>
      </c>
      <c r="B120" s="1" t="n">
        <v>44602</v>
      </c>
      <c r="C120" s="1" t="n">
        <v>45907</v>
      </c>
      <c r="D120" t="inlineStr">
        <is>
          <t>UPPSALA LÄN</t>
        </is>
      </c>
      <c r="E120" t="inlineStr">
        <is>
          <t>UPPSALA</t>
        </is>
      </c>
      <c r="G120" t="n">
        <v>12</v>
      </c>
      <c r="H120" t="n">
        <v>0</v>
      </c>
      <c r="I120" t="n">
        <v>0</v>
      </c>
      <c r="J120" t="n">
        <v>0</v>
      </c>
      <c r="K120" t="n">
        <v>0</v>
      </c>
      <c r="L120" t="n">
        <v>0</v>
      </c>
      <c r="M120" t="n">
        <v>0</v>
      </c>
      <c r="N120" t="n">
        <v>0</v>
      </c>
      <c r="O120" t="n">
        <v>0</v>
      </c>
      <c r="P120" t="n">
        <v>0</v>
      </c>
      <c r="Q120" t="n">
        <v>0</v>
      </c>
      <c r="R120" s="2" t="inlineStr"/>
    </row>
    <row r="121" ht="15" customHeight="1">
      <c r="A121" t="inlineStr">
        <is>
          <t>A 6863-2022</t>
        </is>
      </c>
      <c r="B121" s="1" t="n">
        <v>44602</v>
      </c>
      <c r="C121" s="1" t="n">
        <v>45907</v>
      </c>
      <c r="D121" t="inlineStr">
        <is>
          <t>UPPSALA LÄN</t>
        </is>
      </c>
      <c r="E121" t="inlineStr">
        <is>
          <t>UPPSALA</t>
        </is>
      </c>
      <c r="G121" t="n">
        <v>1.5</v>
      </c>
      <c r="H121" t="n">
        <v>0</v>
      </c>
      <c r="I121" t="n">
        <v>0</v>
      </c>
      <c r="J121" t="n">
        <v>0</v>
      </c>
      <c r="K121" t="n">
        <v>0</v>
      </c>
      <c r="L121" t="n">
        <v>0</v>
      </c>
      <c r="M121" t="n">
        <v>0</v>
      </c>
      <c r="N121" t="n">
        <v>0</v>
      </c>
      <c r="O121" t="n">
        <v>0</v>
      </c>
      <c r="P121" t="n">
        <v>0</v>
      </c>
      <c r="Q121" t="n">
        <v>0</v>
      </c>
      <c r="R121" s="2" t="inlineStr"/>
    </row>
    <row r="122" ht="15" customHeight="1">
      <c r="A122" t="inlineStr">
        <is>
          <t>A 65811-2021</t>
        </is>
      </c>
      <c r="B122" s="1" t="n">
        <v>44517</v>
      </c>
      <c r="C122" s="1" t="n">
        <v>45907</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45907</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38469-2021</t>
        </is>
      </c>
      <c r="B124" s="1" t="n">
        <v>44407</v>
      </c>
      <c r="C124" s="1" t="n">
        <v>45907</v>
      </c>
      <c r="D124" t="inlineStr">
        <is>
          <t>UPPSALA LÄN</t>
        </is>
      </c>
      <c r="E124" t="inlineStr">
        <is>
          <t>UPPSALA</t>
        </is>
      </c>
      <c r="F124" t="inlineStr">
        <is>
          <t>Bergvik skog öst AB</t>
        </is>
      </c>
      <c r="G124" t="n">
        <v>1.5</v>
      </c>
      <c r="H124" t="n">
        <v>0</v>
      </c>
      <c r="I124" t="n">
        <v>0</v>
      </c>
      <c r="J124" t="n">
        <v>0</v>
      </c>
      <c r="K124" t="n">
        <v>0</v>
      </c>
      <c r="L124" t="n">
        <v>0</v>
      </c>
      <c r="M124" t="n">
        <v>0</v>
      </c>
      <c r="N124" t="n">
        <v>0</v>
      </c>
      <c r="O124" t="n">
        <v>0</v>
      </c>
      <c r="P124" t="n">
        <v>0</v>
      </c>
      <c r="Q124" t="n">
        <v>0</v>
      </c>
      <c r="R124" s="2" t="inlineStr"/>
    </row>
    <row r="125" ht="15" customHeight="1">
      <c r="A125" t="inlineStr">
        <is>
          <t>A 72225-2021</t>
        </is>
      </c>
      <c r="B125" s="1" t="n">
        <v>44544</v>
      </c>
      <c r="C125" s="1" t="n">
        <v>45907</v>
      </c>
      <c r="D125" t="inlineStr">
        <is>
          <t>UPPSALA LÄN</t>
        </is>
      </c>
      <c r="E125" t="inlineStr">
        <is>
          <t>UPPSALA</t>
        </is>
      </c>
      <c r="G125" t="n">
        <v>6.2</v>
      </c>
      <c r="H125" t="n">
        <v>0</v>
      </c>
      <c r="I125" t="n">
        <v>0</v>
      </c>
      <c r="J125" t="n">
        <v>0</v>
      </c>
      <c r="K125" t="n">
        <v>0</v>
      </c>
      <c r="L125" t="n">
        <v>0</v>
      </c>
      <c r="M125" t="n">
        <v>0</v>
      </c>
      <c r="N125" t="n">
        <v>0</v>
      </c>
      <c r="O125" t="n">
        <v>0</v>
      </c>
      <c r="P125" t="n">
        <v>0</v>
      </c>
      <c r="Q125" t="n">
        <v>0</v>
      </c>
      <c r="R125" s="2" t="inlineStr"/>
    </row>
    <row r="126" ht="15" customHeight="1">
      <c r="A126" t="inlineStr">
        <is>
          <t>A 68139-2021</t>
        </is>
      </c>
      <c r="B126" s="1" t="n">
        <v>44526</v>
      </c>
      <c r="C126" s="1" t="n">
        <v>45907</v>
      </c>
      <c r="D126" t="inlineStr">
        <is>
          <t>UPPSALA LÄN</t>
        </is>
      </c>
      <c r="E126" t="inlineStr">
        <is>
          <t>UPPSALA</t>
        </is>
      </c>
      <c r="F126" t="inlineStr">
        <is>
          <t>Bergvik skog öst AB</t>
        </is>
      </c>
      <c r="G126" t="n">
        <v>3.4</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45907</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43968-2020</t>
        </is>
      </c>
      <c r="B128" s="1" t="n">
        <v>44083</v>
      </c>
      <c r="C128" s="1" t="n">
        <v>45907</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8139-2022</t>
        </is>
      </c>
      <c r="B129" s="1" t="n">
        <v>44609.61430555556</v>
      </c>
      <c r="C129" s="1" t="n">
        <v>45907</v>
      </c>
      <c r="D129" t="inlineStr">
        <is>
          <t>UPPSALA LÄN</t>
        </is>
      </c>
      <c r="E129" t="inlineStr">
        <is>
          <t>UPPSALA</t>
        </is>
      </c>
      <c r="G129" t="n">
        <v>0.6</v>
      </c>
      <c r="H129" t="n">
        <v>0</v>
      </c>
      <c r="I129" t="n">
        <v>0</v>
      </c>
      <c r="J129" t="n">
        <v>0</v>
      </c>
      <c r="K129" t="n">
        <v>0</v>
      </c>
      <c r="L129" t="n">
        <v>0</v>
      </c>
      <c r="M129" t="n">
        <v>0</v>
      </c>
      <c r="N129" t="n">
        <v>0</v>
      </c>
      <c r="O129" t="n">
        <v>0</v>
      </c>
      <c r="P129" t="n">
        <v>0</v>
      </c>
      <c r="Q129" t="n">
        <v>0</v>
      </c>
      <c r="R129" s="2" t="inlineStr"/>
    </row>
    <row r="130" ht="15" customHeight="1">
      <c r="A130" t="inlineStr">
        <is>
          <t>A 3261-2022</t>
        </is>
      </c>
      <c r="B130" s="1" t="n">
        <v>44583.62121527778</v>
      </c>
      <c r="C130" s="1" t="n">
        <v>45907</v>
      </c>
      <c r="D130" t="inlineStr">
        <is>
          <t>UPPSALA LÄN</t>
        </is>
      </c>
      <c r="E130" t="inlineStr">
        <is>
          <t>UPPSALA</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22070-2021</t>
        </is>
      </c>
      <c r="B131" s="1" t="n">
        <v>44323.58961805556</v>
      </c>
      <c r="C131" s="1" t="n">
        <v>45907</v>
      </c>
      <c r="D131" t="inlineStr">
        <is>
          <t>UPPSALA LÄN</t>
        </is>
      </c>
      <c r="E131" t="inlineStr">
        <is>
          <t>UPPSALA</t>
        </is>
      </c>
      <c r="G131" t="n">
        <v>1.3</v>
      </c>
      <c r="H131" t="n">
        <v>0</v>
      </c>
      <c r="I131" t="n">
        <v>0</v>
      </c>
      <c r="J131" t="n">
        <v>0</v>
      </c>
      <c r="K131" t="n">
        <v>0</v>
      </c>
      <c r="L131" t="n">
        <v>0</v>
      </c>
      <c r="M131" t="n">
        <v>0</v>
      </c>
      <c r="N131" t="n">
        <v>0</v>
      </c>
      <c r="O131" t="n">
        <v>0</v>
      </c>
      <c r="P131" t="n">
        <v>0</v>
      </c>
      <c r="Q131" t="n">
        <v>0</v>
      </c>
      <c r="R131" s="2" t="inlineStr"/>
    </row>
    <row r="132" ht="15" customHeight="1">
      <c r="A132" t="inlineStr">
        <is>
          <t>A 17536-2021</t>
        </is>
      </c>
      <c r="B132" s="1" t="n">
        <v>44299</v>
      </c>
      <c r="C132" s="1" t="n">
        <v>45907</v>
      </c>
      <c r="D132" t="inlineStr">
        <is>
          <t>UPPSALA LÄN</t>
        </is>
      </c>
      <c r="E132" t="inlineStr">
        <is>
          <t>UPPSALA</t>
        </is>
      </c>
      <c r="F132" t="inlineStr">
        <is>
          <t>Holmen skog AB</t>
        </is>
      </c>
      <c r="G132" t="n">
        <v>7.6</v>
      </c>
      <c r="H132" t="n">
        <v>0</v>
      </c>
      <c r="I132" t="n">
        <v>0</v>
      </c>
      <c r="J132" t="n">
        <v>0</v>
      </c>
      <c r="K132" t="n">
        <v>0</v>
      </c>
      <c r="L132" t="n">
        <v>0</v>
      </c>
      <c r="M132" t="n">
        <v>0</v>
      </c>
      <c r="N132" t="n">
        <v>0</v>
      </c>
      <c r="O132" t="n">
        <v>0</v>
      </c>
      <c r="P132" t="n">
        <v>0</v>
      </c>
      <c r="Q132" t="n">
        <v>0</v>
      </c>
      <c r="R132" s="2" t="inlineStr"/>
    </row>
    <row r="133" ht="15" customHeight="1">
      <c r="A133" t="inlineStr">
        <is>
          <t>A 22645-2022</t>
        </is>
      </c>
      <c r="B133" s="1" t="n">
        <v>44714</v>
      </c>
      <c r="C133" s="1" t="n">
        <v>45907</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59479-2021</t>
        </is>
      </c>
      <c r="B134" s="1" t="n">
        <v>44491.50769675926</v>
      </c>
      <c r="C134" s="1" t="n">
        <v>45907</v>
      </c>
      <c r="D134" t="inlineStr">
        <is>
          <t>UPPSALA LÄN</t>
        </is>
      </c>
      <c r="E134" t="inlineStr">
        <is>
          <t>UPPSALA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9712-2021</t>
        </is>
      </c>
      <c r="B135" s="1" t="n">
        <v>44252</v>
      </c>
      <c r="C135" s="1" t="n">
        <v>45907</v>
      </c>
      <c r="D135" t="inlineStr">
        <is>
          <t>UPPSALA LÄN</t>
        </is>
      </c>
      <c r="E135" t="inlineStr">
        <is>
          <t>UPPSALA</t>
        </is>
      </c>
      <c r="G135" t="n">
        <v>1.7</v>
      </c>
      <c r="H135" t="n">
        <v>0</v>
      </c>
      <c r="I135" t="n">
        <v>0</v>
      </c>
      <c r="J135" t="n">
        <v>0</v>
      </c>
      <c r="K135" t="n">
        <v>0</v>
      </c>
      <c r="L135" t="n">
        <v>0</v>
      </c>
      <c r="M135" t="n">
        <v>0</v>
      </c>
      <c r="N135" t="n">
        <v>0</v>
      </c>
      <c r="O135" t="n">
        <v>0</v>
      </c>
      <c r="P135" t="n">
        <v>0</v>
      </c>
      <c r="Q135" t="n">
        <v>0</v>
      </c>
      <c r="R135" s="2" t="inlineStr"/>
    </row>
    <row r="136" ht="15" customHeight="1">
      <c r="A136" t="inlineStr">
        <is>
          <t>A 752-2022</t>
        </is>
      </c>
      <c r="B136" s="1" t="n">
        <v>44569.5340625</v>
      </c>
      <c r="C136" s="1" t="n">
        <v>45907</v>
      </c>
      <c r="D136" t="inlineStr">
        <is>
          <t>UPPSALA LÄN</t>
        </is>
      </c>
      <c r="E136" t="inlineStr">
        <is>
          <t>UPPSALA</t>
        </is>
      </c>
      <c r="F136" t="inlineStr">
        <is>
          <t>Holmen skog AB</t>
        </is>
      </c>
      <c r="G136" t="n">
        <v>1</v>
      </c>
      <c r="H136" t="n">
        <v>0</v>
      </c>
      <c r="I136" t="n">
        <v>0</v>
      </c>
      <c r="J136" t="n">
        <v>0</v>
      </c>
      <c r="K136" t="n">
        <v>0</v>
      </c>
      <c r="L136" t="n">
        <v>0</v>
      </c>
      <c r="M136" t="n">
        <v>0</v>
      </c>
      <c r="N136" t="n">
        <v>0</v>
      </c>
      <c r="O136" t="n">
        <v>0</v>
      </c>
      <c r="P136" t="n">
        <v>0</v>
      </c>
      <c r="Q136" t="n">
        <v>0</v>
      </c>
      <c r="R136" s="2" t="inlineStr"/>
    </row>
    <row r="137" ht="15" customHeight="1">
      <c r="A137" t="inlineStr">
        <is>
          <t>A 15583-2022</t>
        </is>
      </c>
      <c r="B137" s="1" t="n">
        <v>44662.56783564815</v>
      </c>
      <c r="C137" s="1" t="n">
        <v>45907</v>
      </c>
      <c r="D137" t="inlineStr">
        <is>
          <t>UPPSALA LÄN</t>
        </is>
      </c>
      <c r="E137" t="inlineStr">
        <is>
          <t>UPPSALA</t>
        </is>
      </c>
      <c r="F137" t="inlineStr">
        <is>
          <t>Övriga Aktiebolag</t>
        </is>
      </c>
      <c r="G137" t="n">
        <v>4.3</v>
      </c>
      <c r="H137" t="n">
        <v>0</v>
      </c>
      <c r="I137" t="n">
        <v>0</v>
      </c>
      <c r="J137" t="n">
        <v>0</v>
      </c>
      <c r="K137" t="n">
        <v>0</v>
      </c>
      <c r="L137" t="n">
        <v>0</v>
      </c>
      <c r="M137" t="n">
        <v>0</v>
      </c>
      <c r="N137" t="n">
        <v>0</v>
      </c>
      <c r="O137" t="n">
        <v>0</v>
      </c>
      <c r="P137" t="n">
        <v>0</v>
      </c>
      <c r="Q137" t="n">
        <v>0</v>
      </c>
      <c r="R137" s="2" t="inlineStr"/>
    </row>
    <row r="138" ht="15" customHeight="1">
      <c r="A138" t="inlineStr">
        <is>
          <t>A 57890-2021</t>
        </is>
      </c>
      <c r="B138" s="1" t="n">
        <v>44486</v>
      </c>
      <c r="C138" s="1" t="n">
        <v>45907</v>
      </c>
      <c r="D138" t="inlineStr">
        <is>
          <t>UPPSALA LÄN</t>
        </is>
      </c>
      <c r="E138" t="inlineStr">
        <is>
          <t>UPPSALA</t>
        </is>
      </c>
      <c r="G138" t="n">
        <v>0.8</v>
      </c>
      <c r="H138" t="n">
        <v>0</v>
      </c>
      <c r="I138" t="n">
        <v>0</v>
      </c>
      <c r="J138" t="n">
        <v>0</v>
      </c>
      <c r="K138" t="n">
        <v>0</v>
      </c>
      <c r="L138" t="n">
        <v>0</v>
      </c>
      <c r="M138" t="n">
        <v>0</v>
      </c>
      <c r="N138" t="n">
        <v>0</v>
      </c>
      <c r="O138" t="n">
        <v>0</v>
      </c>
      <c r="P138" t="n">
        <v>0</v>
      </c>
      <c r="Q138" t="n">
        <v>0</v>
      </c>
      <c r="R138" s="2" t="inlineStr"/>
    </row>
    <row r="139" ht="15" customHeight="1">
      <c r="A139" t="inlineStr">
        <is>
          <t>A 15436-2022</t>
        </is>
      </c>
      <c r="B139" s="1" t="n">
        <v>44659.70381944445</v>
      </c>
      <c r="C139" s="1" t="n">
        <v>45907</v>
      </c>
      <c r="D139" t="inlineStr">
        <is>
          <t>UPPSALA LÄN</t>
        </is>
      </c>
      <c r="E139" t="inlineStr">
        <is>
          <t>UPPSALA</t>
        </is>
      </c>
      <c r="G139" t="n">
        <v>14.4</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45907</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45907</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45907</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7124-2022</t>
        </is>
      </c>
      <c r="B143" s="1" t="n">
        <v>44603</v>
      </c>
      <c r="C143" s="1" t="n">
        <v>45907</v>
      </c>
      <c r="D143" t="inlineStr">
        <is>
          <t>UPPSALA LÄN</t>
        </is>
      </c>
      <c r="E143" t="inlineStr">
        <is>
          <t>UPPSALA</t>
        </is>
      </c>
      <c r="G143" t="n">
        <v>0.5</v>
      </c>
      <c r="H143" t="n">
        <v>0</v>
      </c>
      <c r="I143" t="n">
        <v>0</v>
      </c>
      <c r="J143" t="n">
        <v>0</v>
      </c>
      <c r="K143" t="n">
        <v>0</v>
      </c>
      <c r="L143" t="n">
        <v>0</v>
      </c>
      <c r="M143" t="n">
        <v>0</v>
      </c>
      <c r="N143" t="n">
        <v>0</v>
      </c>
      <c r="O143" t="n">
        <v>0</v>
      </c>
      <c r="P143" t="n">
        <v>0</v>
      </c>
      <c r="Q143" t="n">
        <v>0</v>
      </c>
      <c r="R143" s="2" t="inlineStr"/>
    </row>
    <row r="144" ht="15" customHeight="1">
      <c r="A144" t="inlineStr">
        <is>
          <t>A 20764-2022</t>
        </is>
      </c>
      <c r="B144" s="1" t="n">
        <v>44700</v>
      </c>
      <c r="C144" s="1" t="n">
        <v>45907</v>
      </c>
      <c r="D144" t="inlineStr">
        <is>
          <t>UPPSALA LÄN</t>
        </is>
      </c>
      <c r="E144" t="inlineStr">
        <is>
          <t>UPPSALA</t>
        </is>
      </c>
      <c r="G144" t="n">
        <v>0.7</v>
      </c>
      <c r="H144" t="n">
        <v>0</v>
      </c>
      <c r="I144" t="n">
        <v>0</v>
      </c>
      <c r="J144" t="n">
        <v>0</v>
      </c>
      <c r="K144" t="n">
        <v>0</v>
      </c>
      <c r="L144" t="n">
        <v>0</v>
      </c>
      <c r="M144" t="n">
        <v>0</v>
      </c>
      <c r="N144" t="n">
        <v>0</v>
      </c>
      <c r="O144" t="n">
        <v>0</v>
      </c>
      <c r="P144" t="n">
        <v>0</v>
      </c>
      <c r="Q144" t="n">
        <v>0</v>
      </c>
      <c r="R144" s="2" t="inlineStr"/>
    </row>
    <row r="145" ht="15" customHeight="1">
      <c r="A145" t="inlineStr">
        <is>
          <t>A 44265-2022</t>
        </is>
      </c>
      <c r="B145" s="1" t="n">
        <v>44839</v>
      </c>
      <c r="C145" s="1" t="n">
        <v>45907</v>
      </c>
      <c r="D145" t="inlineStr">
        <is>
          <t>UPPSALA LÄN</t>
        </is>
      </c>
      <c r="E145" t="inlineStr">
        <is>
          <t>UPPSALA</t>
        </is>
      </c>
      <c r="G145" t="n">
        <v>2</v>
      </c>
      <c r="H145" t="n">
        <v>0</v>
      </c>
      <c r="I145" t="n">
        <v>0</v>
      </c>
      <c r="J145" t="n">
        <v>0</v>
      </c>
      <c r="K145" t="n">
        <v>0</v>
      </c>
      <c r="L145" t="n">
        <v>0</v>
      </c>
      <c r="M145" t="n">
        <v>0</v>
      </c>
      <c r="N145" t="n">
        <v>0</v>
      </c>
      <c r="O145" t="n">
        <v>0</v>
      </c>
      <c r="P145" t="n">
        <v>0</v>
      </c>
      <c r="Q145" t="n">
        <v>0</v>
      </c>
      <c r="R145" s="2" t="inlineStr"/>
    </row>
    <row r="146" ht="15" customHeight="1">
      <c r="A146" t="inlineStr">
        <is>
          <t>A 32954-2022</t>
        </is>
      </c>
      <c r="B146" s="1" t="n">
        <v>44784</v>
      </c>
      <c r="C146" s="1" t="n">
        <v>45907</v>
      </c>
      <c r="D146" t="inlineStr">
        <is>
          <t>UPPSALA LÄN</t>
        </is>
      </c>
      <c r="E146" t="inlineStr">
        <is>
          <t>UPPSALA</t>
        </is>
      </c>
      <c r="G146" t="n">
        <v>2.6</v>
      </c>
      <c r="H146" t="n">
        <v>0</v>
      </c>
      <c r="I146" t="n">
        <v>0</v>
      </c>
      <c r="J146" t="n">
        <v>0</v>
      </c>
      <c r="K146" t="n">
        <v>0</v>
      </c>
      <c r="L146" t="n">
        <v>0</v>
      </c>
      <c r="M146" t="n">
        <v>0</v>
      </c>
      <c r="N146" t="n">
        <v>0</v>
      </c>
      <c r="O146" t="n">
        <v>0</v>
      </c>
      <c r="P146" t="n">
        <v>0</v>
      </c>
      <c r="Q146" t="n">
        <v>0</v>
      </c>
      <c r="R146" s="2" t="inlineStr"/>
    </row>
    <row r="147" ht="15" customHeight="1">
      <c r="A147" t="inlineStr">
        <is>
          <t>A 31662-2021</t>
        </is>
      </c>
      <c r="B147" s="1" t="n">
        <v>44369.65428240741</v>
      </c>
      <c r="C147" s="1" t="n">
        <v>45907</v>
      </c>
      <c r="D147" t="inlineStr">
        <is>
          <t>UPPSALA LÄN</t>
        </is>
      </c>
      <c r="E147" t="inlineStr">
        <is>
          <t>UPPSALA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8451-2022</t>
        </is>
      </c>
      <c r="B148" s="1" t="n">
        <v>44612</v>
      </c>
      <c r="C148" s="1" t="n">
        <v>45907</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23324-2022</t>
        </is>
      </c>
      <c r="B149" s="1" t="n">
        <v>44720</v>
      </c>
      <c r="C149" s="1" t="n">
        <v>45907</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55040-2022</t>
        </is>
      </c>
      <c r="B150" s="1" t="n">
        <v>44886</v>
      </c>
      <c r="C150" s="1" t="n">
        <v>45907</v>
      </c>
      <c r="D150" t="inlineStr">
        <is>
          <t>UPPSALA LÄN</t>
        </is>
      </c>
      <c r="E150" t="inlineStr">
        <is>
          <t>UPPSALA</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54732-2022</t>
        </is>
      </c>
      <c r="B151" s="1" t="n">
        <v>44883.56321759259</v>
      </c>
      <c r="C151" s="1" t="n">
        <v>45907</v>
      </c>
      <c r="D151" t="inlineStr">
        <is>
          <t>UPPSALA LÄN</t>
        </is>
      </c>
      <c r="E151" t="inlineStr">
        <is>
          <t>UPPSALA</t>
        </is>
      </c>
      <c r="F151" t="inlineStr">
        <is>
          <t>Övriga Aktiebolag</t>
        </is>
      </c>
      <c r="G151" t="n">
        <v>0.7</v>
      </c>
      <c r="H151" t="n">
        <v>0</v>
      </c>
      <c r="I151" t="n">
        <v>0</v>
      </c>
      <c r="J151" t="n">
        <v>0</v>
      </c>
      <c r="K151" t="n">
        <v>0</v>
      </c>
      <c r="L151" t="n">
        <v>0</v>
      </c>
      <c r="M151" t="n">
        <v>0</v>
      </c>
      <c r="N151" t="n">
        <v>0</v>
      </c>
      <c r="O151" t="n">
        <v>0</v>
      </c>
      <c r="P151" t="n">
        <v>0</v>
      </c>
      <c r="Q151" t="n">
        <v>0</v>
      </c>
      <c r="R151" s="2" t="inlineStr"/>
    </row>
    <row r="152" ht="15" customHeight="1">
      <c r="A152" t="inlineStr">
        <is>
          <t>A 5924-2022</t>
        </is>
      </c>
      <c r="B152" s="1" t="n">
        <v>44598</v>
      </c>
      <c r="C152" s="1" t="n">
        <v>45907</v>
      </c>
      <c r="D152" t="inlineStr">
        <is>
          <t>UPPSALA LÄN</t>
        </is>
      </c>
      <c r="E152" t="inlineStr">
        <is>
          <t>UPPSALA</t>
        </is>
      </c>
      <c r="G152" t="n">
        <v>6.8</v>
      </c>
      <c r="H152" t="n">
        <v>0</v>
      </c>
      <c r="I152" t="n">
        <v>0</v>
      </c>
      <c r="J152" t="n">
        <v>0</v>
      </c>
      <c r="K152" t="n">
        <v>0</v>
      </c>
      <c r="L152" t="n">
        <v>0</v>
      </c>
      <c r="M152" t="n">
        <v>0</v>
      </c>
      <c r="N152" t="n">
        <v>0</v>
      </c>
      <c r="O152" t="n">
        <v>0</v>
      </c>
      <c r="P152" t="n">
        <v>0</v>
      </c>
      <c r="Q152" t="n">
        <v>0</v>
      </c>
      <c r="R152" s="2" t="inlineStr"/>
    </row>
    <row r="153" ht="15" customHeight="1">
      <c r="A153" t="inlineStr">
        <is>
          <t>A 20276-2021</t>
        </is>
      </c>
      <c r="B153" s="1" t="n">
        <v>44314</v>
      </c>
      <c r="C153" s="1" t="n">
        <v>45907</v>
      </c>
      <c r="D153" t="inlineStr">
        <is>
          <t>UPPSALA LÄN</t>
        </is>
      </c>
      <c r="E153" t="inlineStr">
        <is>
          <t>UPPSALA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8465-2022</t>
        </is>
      </c>
      <c r="B154" s="1" t="n">
        <v>44610</v>
      </c>
      <c r="C154" s="1" t="n">
        <v>45907</v>
      </c>
      <c r="D154" t="inlineStr">
        <is>
          <t>UPPSALA LÄN</t>
        </is>
      </c>
      <c r="E154" t="inlineStr">
        <is>
          <t>UPPSALA</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50006-2022</t>
        </is>
      </c>
      <c r="B155" s="1" t="n">
        <v>44865.43494212963</v>
      </c>
      <c r="C155" s="1" t="n">
        <v>45907</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64128-2020</t>
        </is>
      </c>
      <c r="B156" s="1" t="n">
        <v>44167</v>
      </c>
      <c r="C156" s="1" t="n">
        <v>45907</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28694-2021</t>
        </is>
      </c>
      <c r="B157" s="1" t="n">
        <v>44357</v>
      </c>
      <c r="C157" s="1" t="n">
        <v>45907</v>
      </c>
      <c r="D157" t="inlineStr">
        <is>
          <t>UPPSALA LÄN</t>
        </is>
      </c>
      <c r="E157" t="inlineStr">
        <is>
          <t>UPPSALA</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27390-2022</t>
        </is>
      </c>
      <c r="B158" s="1" t="n">
        <v>44742</v>
      </c>
      <c r="C158" s="1" t="n">
        <v>45907</v>
      </c>
      <c r="D158" t="inlineStr">
        <is>
          <t>UPPSALA LÄN</t>
        </is>
      </c>
      <c r="E158" t="inlineStr">
        <is>
          <t>UPPSALA</t>
        </is>
      </c>
      <c r="G158" t="n">
        <v>3.3</v>
      </c>
      <c r="H158" t="n">
        <v>0</v>
      </c>
      <c r="I158" t="n">
        <v>0</v>
      </c>
      <c r="J158" t="n">
        <v>0</v>
      </c>
      <c r="K158" t="n">
        <v>0</v>
      </c>
      <c r="L158" t="n">
        <v>0</v>
      </c>
      <c r="M158" t="n">
        <v>0</v>
      </c>
      <c r="N158" t="n">
        <v>0</v>
      </c>
      <c r="O158" t="n">
        <v>0</v>
      </c>
      <c r="P158" t="n">
        <v>0</v>
      </c>
      <c r="Q158" t="n">
        <v>0</v>
      </c>
      <c r="R158" s="2" t="inlineStr"/>
    </row>
    <row r="159" ht="15" customHeight="1">
      <c r="A159" t="inlineStr">
        <is>
          <t>A 21228-2022</t>
        </is>
      </c>
      <c r="B159" s="1" t="n">
        <v>44704</v>
      </c>
      <c r="C159" s="1" t="n">
        <v>45907</v>
      </c>
      <c r="D159" t="inlineStr">
        <is>
          <t>UPPSALA LÄN</t>
        </is>
      </c>
      <c r="E159" t="inlineStr">
        <is>
          <t>UPPSALA</t>
        </is>
      </c>
      <c r="G159" t="n">
        <v>0.2</v>
      </c>
      <c r="H159" t="n">
        <v>0</v>
      </c>
      <c r="I159" t="n">
        <v>0</v>
      </c>
      <c r="J159" t="n">
        <v>0</v>
      </c>
      <c r="K159" t="n">
        <v>0</v>
      </c>
      <c r="L159" t="n">
        <v>0</v>
      </c>
      <c r="M159" t="n">
        <v>0</v>
      </c>
      <c r="N159" t="n">
        <v>0</v>
      </c>
      <c r="O159" t="n">
        <v>0</v>
      </c>
      <c r="P159" t="n">
        <v>0</v>
      </c>
      <c r="Q159" t="n">
        <v>0</v>
      </c>
      <c r="R159" s="2" t="inlineStr"/>
    </row>
    <row r="160" ht="15" customHeight="1">
      <c r="A160" t="inlineStr">
        <is>
          <t>A 70032-2021</t>
        </is>
      </c>
      <c r="B160" s="1" t="n">
        <v>44533.4678587963</v>
      </c>
      <c r="C160" s="1" t="n">
        <v>45907</v>
      </c>
      <c r="D160" t="inlineStr">
        <is>
          <t>UPPSALA LÄN</t>
        </is>
      </c>
      <c r="E160" t="inlineStr">
        <is>
          <t>UPPSALA</t>
        </is>
      </c>
      <c r="G160" t="n">
        <v>0.6</v>
      </c>
      <c r="H160" t="n">
        <v>0</v>
      </c>
      <c r="I160" t="n">
        <v>0</v>
      </c>
      <c r="J160" t="n">
        <v>0</v>
      </c>
      <c r="K160" t="n">
        <v>0</v>
      </c>
      <c r="L160" t="n">
        <v>0</v>
      </c>
      <c r="M160" t="n">
        <v>0</v>
      </c>
      <c r="N160" t="n">
        <v>0</v>
      </c>
      <c r="O160" t="n">
        <v>0</v>
      </c>
      <c r="P160" t="n">
        <v>0</v>
      </c>
      <c r="Q160" t="n">
        <v>0</v>
      </c>
      <c r="R160" s="2" t="inlineStr"/>
    </row>
    <row r="161" ht="15" customHeight="1">
      <c r="A161" t="inlineStr">
        <is>
          <t>A 30783-2022</t>
        </is>
      </c>
      <c r="B161" s="1" t="n">
        <v>44764</v>
      </c>
      <c r="C161" s="1" t="n">
        <v>45907</v>
      </c>
      <c r="D161" t="inlineStr">
        <is>
          <t>UPPSALA LÄN</t>
        </is>
      </c>
      <c r="E161" t="inlineStr">
        <is>
          <t>UPPSALA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48918-2021</t>
        </is>
      </c>
      <c r="B162" s="1" t="n">
        <v>44453</v>
      </c>
      <c r="C162" s="1" t="n">
        <v>45907</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17250-2021</t>
        </is>
      </c>
      <c r="B163" s="1" t="n">
        <v>44297</v>
      </c>
      <c r="C163" s="1" t="n">
        <v>45907</v>
      </c>
      <c r="D163" t="inlineStr">
        <is>
          <t>UPPSALA LÄN</t>
        </is>
      </c>
      <c r="E163" t="inlineStr">
        <is>
          <t>UPPSALA</t>
        </is>
      </c>
      <c r="G163" t="n">
        <v>3.6</v>
      </c>
      <c r="H163" t="n">
        <v>0</v>
      </c>
      <c r="I163" t="n">
        <v>0</v>
      </c>
      <c r="J163" t="n">
        <v>0</v>
      </c>
      <c r="K163" t="n">
        <v>0</v>
      </c>
      <c r="L163" t="n">
        <v>0</v>
      </c>
      <c r="M163" t="n">
        <v>0</v>
      </c>
      <c r="N163" t="n">
        <v>0</v>
      </c>
      <c r="O163" t="n">
        <v>0</v>
      </c>
      <c r="P163" t="n">
        <v>0</v>
      </c>
      <c r="Q163" t="n">
        <v>0</v>
      </c>
      <c r="R163" s="2" t="inlineStr"/>
    </row>
    <row r="164" ht="15" customHeight="1">
      <c r="A164" t="inlineStr">
        <is>
          <t>A 60702-2020</t>
        </is>
      </c>
      <c r="B164" s="1" t="n">
        <v>44153</v>
      </c>
      <c r="C164" s="1" t="n">
        <v>45907</v>
      </c>
      <c r="D164" t="inlineStr">
        <is>
          <t>UPPSALA LÄN</t>
        </is>
      </c>
      <c r="E164" t="inlineStr">
        <is>
          <t>UPPSALA</t>
        </is>
      </c>
      <c r="F164" t="inlineStr">
        <is>
          <t>Övriga statliga verk och myndigheter</t>
        </is>
      </c>
      <c r="G164" t="n">
        <v>1.4</v>
      </c>
      <c r="H164" t="n">
        <v>0</v>
      </c>
      <c r="I164" t="n">
        <v>0</v>
      </c>
      <c r="J164" t="n">
        <v>0</v>
      </c>
      <c r="K164" t="n">
        <v>0</v>
      </c>
      <c r="L164" t="n">
        <v>0</v>
      </c>
      <c r="M164" t="n">
        <v>0</v>
      </c>
      <c r="N164" t="n">
        <v>0</v>
      </c>
      <c r="O164" t="n">
        <v>0</v>
      </c>
      <c r="P164" t="n">
        <v>0</v>
      </c>
      <c r="Q164" t="n">
        <v>0</v>
      </c>
      <c r="R164" s="2" t="inlineStr"/>
    </row>
    <row r="165" ht="15" customHeight="1">
      <c r="A165" t="inlineStr">
        <is>
          <t>A 27365-2021</t>
        </is>
      </c>
      <c r="B165" s="1" t="n">
        <v>44351</v>
      </c>
      <c r="C165" s="1" t="n">
        <v>45907</v>
      </c>
      <c r="D165" t="inlineStr">
        <is>
          <t>UPPSALA LÄN</t>
        </is>
      </c>
      <c r="E165" t="inlineStr">
        <is>
          <t>UPPSALA</t>
        </is>
      </c>
      <c r="F165" t="inlineStr">
        <is>
          <t>Allmännings- och besparingsskogar</t>
        </is>
      </c>
      <c r="G165" t="n">
        <v>20.5</v>
      </c>
      <c r="H165" t="n">
        <v>0</v>
      </c>
      <c r="I165" t="n">
        <v>0</v>
      </c>
      <c r="J165" t="n">
        <v>0</v>
      </c>
      <c r="K165" t="n">
        <v>0</v>
      </c>
      <c r="L165" t="n">
        <v>0</v>
      </c>
      <c r="M165" t="n">
        <v>0</v>
      </c>
      <c r="N165" t="n">
        <v>0</v>
      </c>
      <c r="O165" t="n">
        <v>0</v>
      </c>
      <c r="P165" t="n">
        <v>0</v>
      </c>
      <c r="Q165" t="n">
        <v>0</v>
      </c>
      <c r="R165" s="2" t="inlineStr"/>
    </row>
    <row r="166" ht="15" customHeight="1">
      <c r="A166" t="inlineStr">
        <is>
          <t>A 26785-2021</t>
        </is>
      </c>
      <c r="B166" s="1" t="n">
        <v>44349.49666666667</v>
      </c>
      <c r="C166" s="1" t="n">
        <v>45907</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3287-2022</t>
        </is>
      </c>
      <c r="B167" s="1" t="n">
        <v>44584.63190972222</v>
      </c>
      <c r="C167" s="1" t="n">
        <v>45907</v>
      </c>
      <c r="D167" t="inlineStr">
        <is>
          <t>UPPSALA LÄN</t>
        </is>
      </c>
      <c r="E167" t="inlineStr">
        <is>
          <t>UPPSALA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7996-2022</t>
        </is>
      </c>
      <c r="B168" s="1" t="n">
        <v>44609</v>
      </c>
      <c r="C168" s="1" t="n">
        <v>45907</v>
      </c>
      <c r="D168" t="inlineStr">
        <is>
          <t>UPPSALA LÄN</t>
        </is>
      </c>
      <c r="E168" t="inlineStr">
        <is>
          <t>UPPSALA</t>
        </is>
      </c>
      <c r="F168" t="inlineStr">
        <is>
          <t>Övriga Aktiebolag</t>
        </is>
      </c>
      <c r="G168" t="n">
        <v>2.9</v>
      </c>
      <c r="H168" t="n">
        <v>0</v>
      </c>
      <c r="I168" t="n">
        <v>0</v>
      </c>
      <c r="J168" t="n">
        <v>0</v>
      </c>
      <c r="K168" t="n">
        <v>0</v>
      </c>
      <c r="L168" t="n">
        <v>0</v>
      </c>
      <c r="M168" t="n">
        <v>0</v>
      </c>
      <c r="N168" t="n">
        <v>0</v>
      </c>
      <c r="O168" t="n">
        <v>0</v>
      </c>
      <c r="P168" t="n">
        <v>0</v>
      </c>
      <c r="Q168" t="n">
        <v>0</v>
      </c>
      <c r="R168" s="2" t="inlineStr"/>
    </row>
    <row r="169" ht="15" customHeight="1">
      <c r="A169" t="inlineStr">
        <is>
          <t>A 59241-2021</t>
        </is>
      </c>
      <c r="B169" s="1" t="n">
        <v>44490.64313657407</v>
      </c>
      <c r="C169" s="1" t="n">
        <v>45907</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45930-2020</t>
        </is>
      </c>
      <c r="B170" s="1" t="n">
        <v>44091</v>
      </c>
      <c r="C170" s="1" t="n">
        <v>45907</v>
      </c>
      <c r="D170" t="inlineStr">
        <is>
          <t>UPPSALA LÄN</t>
        </is>
      </c>
      <c r="E170" t="inlineStr">
        <is>
          <t>UPPSALA</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45907</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45907</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45907</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45907</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45907</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45907</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45907</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45907</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45907</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45907</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45907</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5996-2022</t>
        </is>
      </c>
      <c r="B182" s="1" t="n">
        <v>44599.43265046296</v>
      </c>
      <c r="C182" s="1" t="n">
        <v>45907</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45907</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45907</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45907</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45907</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50092-2022</t>
        </is>
      </c>
      <c r="B187" s="1" t="n">
        <v>44865</v>
      </c>
      <c r="C187" s="1" t="n">
        <v>45907</v>
      </c>
      <c r="D187" t="inlineStr">
        <is>
          <t>UPPSALA LÄN</t>
        </is>
      </c>
      <c r="E187" t="inlineStr">
        <is>
          <t>UPPSALA</t>
        </is>
      </c>
      <c r="G187" t="n">
        <v>1.1</v>
      </c>
      <c r="H187" t="n">
        <v>0</v>
      </c>
      <c r="I187" t="n">
        <v>0</v>
      </c>
      <c r="J187" t="n">
        <v>0</v>
      </c>
      <c r="K187" t="n">
        <v>0</v>
      </c>
      <c r="L187" t="n">
        <v>0</v>
      </c>
      <c r="M187" t="n">
        <v>0</v>
      </c>
      <c r="N187" t="n">
        <v>0</v>
      </c>
      <c r="O187" t="n">
        <v>0</v>
      </c>
      <c r="P187" t="n">
        <v>0</v>
      </c>
      <c r="Q187" t="n">
        <v>0</v>
      </c>
      <c r="R187" s="2" t="inlineStr"/>
    </row>
    <row r="188" ht="15" customHeight="1">
      <c r="A188" t="inlineStr">
        <is>
          <t>A 51396-2021</t>
        </is>
      </c>
      <c r="B188" s="1" t="n">
        <v>44461.73350694445</v>
      </c>
      <c r="C188" s="1" t="n">
        <v>45907</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18330-2022</t>
        </is>
      </c>
      <c r="B189" s="1" t="n">
        <v>44685.6212037037</v>
      </c>
      <c r="C189" s="1" t="n">
        <v>45907</v>
      </c>
      <c r="D189" t="inlineStr">
        <is>
          <t>UPPSALA LÄN</t>
        </is>
      </c>
      <c r="E189" t="inlineStr">
        <is>
          <t>UPPSALA</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45907</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20980-2022</t>
        </is>
      </c>
      <c r="B191" s="1" t="n">
        <v>44702.70721064815</v>
      </c>
      <c r="C191" s="1" t="n">
        <v>45907</v>
      </c>
      <c r="D191" t="inlineStr">
        <is>
          <t>UPPSALA LÄN</t>
        </is>
      </c>
      <c r="E191" t="inlineStr">
        <is>
          <t>UPPSALA</t>
        </is>
      </c>
      <c r="G191" t="n">
        <v>0.8</v>
      </c>
      <c r="H191" t="n">
        <v>0</v>
      </c>
      <c r="I191" t="n">
        <v>0</v>
      </c>
      <c r="J191" t="n">
        <v>0</v>
      </c>
      <c r="K191" t="n">
        <v>0</v>
      </c>
      <c r="L191" t="n">
        <v>0</v>
      </c>
      <c r="M191" t="n">
        <v>0</v>
      </c>
      <c r="N191" t="n">
        <v>0</v>
      </c>
      <c r="O191" t="n">
        <v>0</v>
      </c>
      <c r="P191" t="n">
        <v>0</v>
      </c>
      <c r="Q191" t="n">
        <v>0</v>
      </c>
      <c r="R191" s="2" t="inlineStr"/>
    </row>
    <row r="192" ht="15" customHeight="1">
      <c r="A192" t="inlineStr">
        <is>
          <t>A 13009-2022</t>
        </is>
      </c>
      <c r="B192" s="1" t="n">
        <v>44643.51446759259</v>
      </c>
      <c r="C192" s="1" t="n">
        <v>45907</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5081-2022</t>
        </is>
      </c>
      <c r="B193" s="1" t="n">
        <v>44593</v>
      </c>
      <c r="C193" s="1" t="n">
        <v>45907</v>
      </c>
      <c r="D193" t="inlineStr">
        <is>
          <t>UPPSALA LÄN</t>
        </is>
      </c>
      <c r="E193" t="inlineStr">
        <is>
          <t>UPPSALA</t>
        </is>
      </c>
      <c r="G193" t="n">
        <v>3</v>
      </c>
      <c r="H193" t="n">
        <v>0</v>
      </c>
      <c r="I193" t="n">
        <v>0</v>
      </c>
      <c r="J193" t="n">
        <v>0</v>
      </c>
      <c r="K193" t="n">
        <v>0</v>
      </c>
      <c r="L193" t="n">
        <v>0</v>
      </c>
      <c r="M193" t="n">
        <v>0</v>
      </c>
      <c r="N193" t="n">
        <v>0</v>
      </c>
      <c r="O193" t="n">
        <v>0</v>
      </c>
      <c r="P193" t="n">
        <v>0</v>
      </c>
      <c r="Q193" t="n">
        <v>0</v>
      </c>
      <c r="R193" s="2" t="inlineStr"/>
    </row>
    <row r="194" ht="15" customHeight="1">
      <c r="A194" t="inlineStr">
        <is>
          <t>A 29134-2022</t>
        </is>
      </c>
      <c r="B194" s="1" t="n">
        <v>44750.45800925926</v>
      </c>
      <c r="C194" s="1" t="n">
        <v>45907</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46097-2021</t>
        </is>
      </c>
      <c r="B195" s="1" t="n">
        <v>44442.35195601852</v>
      </c>
      <c r="C195" s="1" t="n">
        <v>45907</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46099-2021</t>
        </is>
      </c>
      <c r="B196" s="1" t="n">
        <v>44442</v>
      </c>
      <c r="C196" s="1" t="n">
        <v>45907</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45907</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45907</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25745-2022</t>
        </is>
      </c>
      <c r="B199" s="1" t="n">
        <v>44733.43420138889</v>
      </c>
      <c r="C199" s="1" t="n">
        <v>45907</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22021-2022</t>
        </is>
      </c>
      <c r="B200" s="1" t="n">
        <v>44711</v>
      </c>
      <c r="C200" s="1" t="n">
        <v>45907</v>
      </c>
      <c r="D200" t="inlineStr">
        <is>
          <t>UPPSALA LÄN</t>
        </is>
      </c>
      <c r="E200" t="inlineStr">
        <is>
          <t>UPPSALA</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45907</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56466-2020</t>
        </is>
      </c>
      <c r="B202" s="1" t="n">
        <v>44134</v>
      </c>
      <c r="C202" s="1" t="n">
        <v>45907</v>
      </c>
      <c r="D202" t="inlineStr">
        <is>
          <t>UPPSALA LÄN</t>
        </is>
      </c>
      <c r="E202" t="inlineStr">
        <is>
          <t>UPPSALA</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45907</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27763-2022</t>
        </is>
      </c>
      <c r="B204" s="1" t="n">
        <v>44743</v>
      </c>
      <c r="C204" s="1" t="n">
        <v>45907</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45907</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48786-2020</t>
        </is>
      </c>
      <c r="B206" s="1" t="n">
        <v>44103</v>
      </c>
      <c r="C206" s="1" t="n">
        <v>45907</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45907</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45907</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45907</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45907</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45907</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45907</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45907</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62504-2020</t>
        </is>
      </c>
      <c r="B214" s="1" t="n">
        <v>44160</v>
      </c>
      <c r="C214" s="1" t="n">
        <v>45907</v>
      </c>
      <c r="D214" t="inlineStr">
        <is>
          <t>UPPSALA LÄN</t>
        </is>
      </c>
      <c r="E214" t="inlineStr">
        <is>
          <t>UPPSALA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58767-2021</t>
        </is>
      </c>
      <c r="B215" s="1" t="n">
        <v>44489</v>
      </c>
      <c r="C215" s="1" t="n">
        <v>45907</v>
      </c>
      <c r="D215" t="inlineStr">
        <is>
          <t>UPPSALA LÄN</t>
        </is>
      </c>
      <c r="E215" t="inlineStr">
        <is>
          <t>UPPSALA</t>
        </is>
      </c>
      <c r="G215" t="n">
        <v>4.8</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45907</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45907</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25120-2022</t>
        </is>
      </c>
      <c r="B218" s="1" t="n">
        <v>44729</v>
      </c>
      <c r="C218" s="1" t="n">
        <v>45907</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45907</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45907</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45907</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45907</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45907</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16615-2021</t>
        </is>
      </c>
      <c r="B224" s="1" t="n">
        <v>44294.37555555555</v>
      </c>
      <c r="C224" s="1" t="n">
        <v>45907</v>
      </c>
      <c r="D224" t="inlineStr">
        <is>
          <t>UPPSALA LÄN</t>
        </is>
      </c>
      <c r="E224" t="inlineStr">
        <is>
          <t>UPPSALA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46079-2022</t>
        </is>
      </c>
      <c r="B225" s="1" t="n">
        <v>44847.35622685185</v>
      </c>
      <c r="C225" s="1" t="n">
        <v>45907</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21394-2022</t>
        </is>
      </c>
      <c r="B226" s="1" t="n">
        <v>44705.84535879629</v>
      </c>
      <c r="C226" s="1" t="n">
        <v>45907</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66927-2021</t>
        </is>
      </c>
      <c r="B227" s="1" t="n">
        <v>44522.55518518519</v>
      </c>
      <c r="C227" s="1" t="n">
        <v>45907</v>
      </c>
      <c r="D227" t="inlineStr">
        <is>
          <t>UPPSALA LÄN</t>
        </is>
      </c>
      <c r="E227" t="inlineStr">
        <is>
          <t>UPPSALA</t>
        </is>
      </c>
      <c r="G227" t="n">
        <v>2.9</v>
      </c>
      <c r="H227" t="n">
        <v>0</v>
      </c>
      <c r="I227" t="n">
        <v>0</v>
      </c>
      <c r="J227" t="n">
        <v>0</v>
      </c>
      <c r="K227" t="n">
        <v>0</v>
      </c>
      <c r="L227" t="n">
        <v>0</v>
      </c>
      <c r="M227" t="n">
        <v>0</v>
      </c>
      <c r="N227" t="n">
        <v>0</v>
      </c>
      <c r="O227" t="n">
        <v>0</v>
      </c>
      <c r="P227" t="n">
        <v>0</v>
      </c>
      <c r="Q227" t="n">
        <v>0</v>
      </c>
      <c r="R227" s="2" t="inlineStr"/>
    </row>
    <row r="228" ht="15" customHeight="1">
      <c r="A228" t="inlineStr">
        <is>
          <t>A 15377-2022</t>
        </is>
      </c>
      <c r="B228" s="1" t="n">
        <v>44659.57912037037</v>
      </c>
      <c r="C228" s="1" t="n">
        <v>45907</v>
      </c>
      <c r="D228" t="inlineStr">
        <is>
          <t>UPPSALA LÄN</t>
        </is>
      </c>
      <c r="E228" t="inlineStr">
        <is>
          <t>UPPSALA</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34061-2022</t>
        </is>
      </c>
      <c r="B229" s="1" t="n">
        <v>44791.38336805555</v>
      </c>
      <c r="C229" s="1" t="n">
        <v>45907</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45907</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45907</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45907</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10464-2022</t>
        </is>
      </c>
      <c r="B233" s="1" t="n">
        <v>44623</v>
      </c>
      <c r="C233" s="1" t="n">
        <v>45907</v>
      </c>
      <c r="D233" t="inlineStr">
        <is>
          <t>UPPSALA LÄN</t>
        </is>
      </c>
      <c r="E233" t="inlineStr">
        <is>
          <t>UPPSALA</t>
        </is>
      </c>
      <c r="F233" t="inlineStr">
        <is>
          <t>Övriga Aktiebolag</t>
        </is>
      </c>
      <c r="G233" t="n">
        <v>0.7</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45907</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45907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58058-2020</t>
        </is>
      </c>
      <c r="B236" s="1" t="n">
        <v>44144</v>
      </c>
      <c r="C236" s="1" t="n">
        <v>45907</v>
      </c>
      <c r="D236" t="inlineStr">
        <is>
          <t>UPPSALA LÄN</t>
        </is>
      </c>
      <c r="E236" t="inlineStr">
        <is>
          <t>UPPSALA</t>
        </is>
      </c>
      <c r="G236" t="n">
        <v>4.4</v>
      </c>
      <c r="H236" t="n">
        <v>0</v>
      </c>
      <c r="I236" t="n">
        <v>0</v>
      </c>
      <c r="J236" t="n">
        <v>0</v>
      </c>
      <c r="K236" t="n">
        <v>0</v>
      </c>
      <c r="L236" t="n">
        <v>0</v>
      </c>
      <c r="M236" t="n">
        <v>0</v>
      </c>
      <c r="N236" t="n">
        <v>0</v>
      </c>
      <c r="O236" t="n">
        <v>0</v>
      </c>
      <c r="P236" t="n">
        <v>0</v>
      </c>
      <c r="Q236" t="n">
        <v>0</v>
      </c>
      <c r="R236" s="2" t="inlineStr"/>
    </row>
    <row r="237" ht="15" customHeight="1">
      <c r="A237" t="inlineStr">
        <is>
          <t>A 6997-2023</t>
        </is>
      </c>
      <c r="B237" s="1" t="n">
        <v>44967.78984953704</v>
      </c>
      <c r="C237" s="1" t="n">
        <v>45907</v>
      </c>
      <c r="D237" t="inlineStr">
        <is>
          <t>UPPSALA LÄN</t>
        </is>
      </c>
      <c r="E237" t="inlineStr">
        <is>
          <t>UPPSALA</t>
        </is>
      </c>
      <c r="G237" t="n">
        <v>3.9</v>
      </c>
      <c r="H237" t="n">
        <v>0</v>
      </c>
      <c r="I237" t="n">
        <v>0</v>
      </c>
      <c r="J237" t="n">
        <v>0</v>
      </c>
      <c r="K237" t="n">
        <v>0</v>
      </c>
      <c r="L237" t="n">
        <v>0</v>
      </c>
      <c r="M237" t="n">
        <v>0</v>
      </c>
      <c r="N237" t="n">
        <v>0</v>
      </c>
      <c r="O237" t="n">
        <v>0</v>
      </c>
      <c r="P237" t="n">
        <v>0</v>
      </c>
      <c r="Q237" t="n">
        <v>0</v>
      </c>
      <c r="R237" s="2" t="inlineStr"/>
    </row>
    <row r="238" ht="15" customHeight="1">
      <c r="A238" t="inlineStr">
        <is>
          <t>A 12221-2022</t>
        </is>
      </c>
      <c r="B238" s="1" t="n">
        <v>44637.35744212963</v>
      </c>
      <c r="C238" s="1" t="n">
        <v>45907</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53921-2024</t>
        </is>
      </c>
      <c r="B239" s="1" t="n">
        <v>45615</v>
      </c>
      <c r="C239" s="1" t="n">
        <v>45907</v>
      </c>
      <c r="D239" t="inlineStr">
        <is>
          <t>UPPSALA LÄN</t>
        </is>
      </c>
      <c r="E239" t="inlineStr">
        <is>
          <t>UPPSALA</t>
        </is>
      </c>
      <c r="G239" t="n">
        <v>8.1</v>
      </c>
      <c r="H239" t="n">
        <v>0</v>
      </c>
      <c r="I239" t="n">
        <v>0</v>
      </c>
      <c r="J239" t="n">
        <v>0</v>
      </c>
      <c r="K239" t="n">
        <v>0</v>
      </c>
      <c r="L239" t="n">
        <v>0</v>
      </c>
      <c r="M239" t="n">
        <v>0</v>
      </c>
      <c r="N239" t="n">
        <v>0</v>
      </c>
      <c r="O239" t="n">
        <v>0</v>
      </c>
      <c r="P239" t="n">
        <v>0</v>
      </c>
      <c r="Q239" t="n">
        <v>0</v>
      </c>
      <c r="R239" s="2" t="inlineStr"/>
    </row>
    <row r="240" ht="15" customHeight="1">
      <c r="A240" t="inlineStr">
        <is>
          <t>A 12293-2022</t>
        </is>
      </c>
      <c r="B240" s="1" t="n">
        <v>44637.56178240741</v>
      </c>
      <c r="C240" s="1" t="n">
        <v>45907</v>
      </c>
      <c r="D240" t="inlineStr">
        <is>
          <t>UPPSALA LÄN</t>
        </is>
      </c>
      <c r="E240" t="inlineStr">
        <is>
          <t>UPPSALA</t>
        </is>
      </c>
      <c r="F240" t="inlineStr">
        <is>
          <t>Kommuner</t>
        </is>
      </c>
      <c r="G240" t="n">
        <v>0.8</v>
      </c>
      <c r="H240" t="n">
        <v>0</v>
      </c>
      <c r="I240" t="n">
        <v>0</v>
      </c>
      <c r="J240" t="n">
        <v>0</v>
      </c>
      <c r="K240" t="n">
        <v>0</v>
      </c>
      <c r="L240" t="n">
        <v>0</v>
      </c>
      <c r="M240" t="n">
        <v>0</v>
      </c>
      <c r="N240" t="n">
        <v>0</v>
      </c>
      <c r="O240" t="n">
        <v>0</v>
      </c>
      <c r="P240" t="n">
        <v>0</v>
      </c>
      <c r="Q240" t="n">
        <v>0</v>
      </c>
      <c r="R240" s="2" t="inlineStr"/>
    </row>
    <row r="241" ht="15" customHeight="1">
      <c r="A241" t="inlineStr">
        <is>
          <t>A 35539-2022</t>
        </is>
      </c>
      <c r="B241" s="1" t="n">
        <v>44799.36359953704</v>
      </c>
      <c r="C241" s="1" t="n">
        <v>45907</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6012-2025</t>
        </is>
      </c>
      <c r="B242" s="1" t="n">
        <v>45695.59805555556</v>
      </c>
      <c r="C242" s="1" t="n">
        <v>45907</v>
      </c>
      <c r="D242" t="inlineStr">
        <is>
          <t>UPPSALA LÄN</t>
        </is>
      </c>
      <c r="E242" t="inlineStr">
        <is>
          <t>UPPSALA</t>
        </is>
      </c>
      <c r="F242" t="inlineStr">
        <is>
          <t>Övriga Aktiebolag</t>
        </is>
      </c>
      <c r="G242" t="n">
        <v>14.3</v>
      </c>
      <c r="H242" t="n">
        <v>0</v>
      </c>
      <c r="I242" t="n">
        <v>0</v>
      </c>
      <c r="J242" t="n">
        <v>0</v>
      </c>
      <c r="K242" t="n">
        <v>0</v>
      </c>
      <c r="L242" t="n">
        <v>0</v>
      </c>
      <c r="M242" t="n">
        <v>0</v>
      </c>
      <c r="N242" t="n">
        <v>0</v>
      </c>
      <c r="O242" t="n">
        <v>0</v>
      </c>
      <c r="P242" t="n">
        <v>0</v>
      </c>
      <c r="Q242" t="n">
        <v>0</v>
      </c>
      <c r="R242" s="2" t="inlineStr"/>
    </row>
    <row r="243" ht="15" customHeight="1">
      <c r="A243" t="inlineStr">
        <is>
          <t>A 15310-2022</t>
        </is>
      </c>
      <c r="B243" s="1" t="n">
        <v>44659</v>
      </c>
      <c r="C243" s="1" t="n">
        <v>45907</v>
      </c>
      <c r="D243" t="inlineStr">
        <is>
          <t>UPPSALA LÄN</t>
        </is>
      </c>
      <c r="E243" t="inlineStr">
        <is>
          <t>UPPSALA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45907</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66686-2021</t>
        </is>
      </c>
      <c r="B245" s="1" t="n">
        <v>44519</v>
      </c>
      <c r="C245" s="1" t="n">
        <v>45907</v>
      </c>
      <c r="D245" t="inlineStr">
        <is>
          <t>UPPSALA LÄN</t>
        </is>
      </c>
      <c r="E245" t="inlineStr">
        <is>
          <t>UPPSALA</t>
        </is>
      </c>
      <c r="G245" t="n">
        <v>6.4</v>
      </c>
      <c r="H245" t="n">
        <v>0</v>
      </c>
      <c r="I245" t="n">
        <v>0</v>
      </c>
      <c r="J245" t="n">
        <v>0</v>
      </c>
      <c r="K245" t="n">
        <v>0</v>
      </c>
      <c r="L245" t="n">
        <v>0</v>
      </c>
      <c r="M245" t="n">
        <v>0</v>
      </c>
      <c r="N245" t="n">
        <v>0</v>
      </c>
      <c r="O245" t="n">
        <v>0</v>
      </c>
      <c r="P245" t="n">
        <v>0</v>
      </c>
      <c r="Q245" t="n">
        <v>0</v>
      </c>
      <c r="R245" s="2" t="inlineStr"/>
    </row>
    <row r="246" ht="15" customHeight="1">
      <c r="A246" t="inlineStr">
        <is>
          <t>A 3259-2022</t>
        </is>
      </c>
      <c r="B246" s="1" t="n">
        <v>44583.61555555555</v>
      </c>
      <c r="C246" s="1" t="n">
        <v>45907</v>
      </c>
      <c r="D246" t="inlineStr">
        <is>
          <t>UPPSALA LÄN</t>
        </is>
      </c>
      <c r="E246" t="inlineStr">
        <is>
          <t>UPPSALA</t>
        </is>
      </c>
      <c r="F246" t="inlineStr">
        <is>
          <t>Holmen skog AB</t>
        </is>
      </c>
      <c r="G246" t="n">
        <v>2.4</v>
      </c>
      <c r="H246" t="n">
        <v>0</v>
      </c>
      <c r="I246" t="n">
        <v>0</v>
      </c>
      <c r="J246" t="n">
        <v>0</v>
      </c>
      <c r="K246" t="n">
        <v>0</v>
      </c>
      <c r="L246" t="n">
        <v>0</v>
      </c>
      <c r="M246" t="n">
        <v>0</v>
      </c>
      <c r="N246" t="n">
        <v>0</v>
      </c>
      <c r="O246" t="n">
        <v>0</v>
      </c>
      <c r="P246" t="n">
        <v>0</v>
      </c>
      <c r="Q246" t="n">
        <v>0</v>
      </c>
      <c r="R246" s="2" t="inlineStr"/>
    </row>
    <row r="247" ht="15" customHeight="1">
      <c r="A247" t="inlineStr">
        <is>
          <t>A 2017-2022</t>
        </is>
      </c>
      <c r="B247" s="1" t="n">
        <v>44575</v>
      </c>
      <c r="C247" s="1" t="n">
        <v>45907</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5006-2022</t>
        </is>
      </c>
      <c r="B248" s="1" t="n">
        <v>44593</v>
      </c>
      <c r="C248" s="1" t="n">
        <v>45907</v>
      </c>
      <c r="D248" t="inlineStr">
        <is>
          <t>UPPSALA LÄN</t>
        </is>
      </c>
      <c r="E248" t="inlineStr">
        <is>
          <t>UPPSALA</t>
        </is>
      </c>
      <c r="F248" t="inlineStr">
        <is>
          <t>BillerudKorsnäs AB</t>
        </is>
      </c>
      <c r="G248" t="n">
        <v>1.4</v>
      </c>
      <c r="H248" t="n">
        <v>0</v>
      </c>
      <c r="I248" t="n">
        <v>0</v>
      </c>
      <c r="J248" t="n">
        <v>0</v>
      </c>
      <c r="K248" t="n">
        <v>0</v>
      </c>
      <c r="L248" t="n">
        <v>0</v>
      </c>
      <c r="M248" t="n">
        <v>0</v>
      </c>
      <c r="N248" t="n">
        <v>0</v>
      </c>
      <c r="O248" t="n">
        <v>0</v>
      </c>
      <c r="P248" t="n">
        <v>0</v>
      </c>
      <c r="Q248" t="n">
        <v>0</v>
      </c>
      <c r="R248" s="2" t="inlineStr"/>
    </row>
    <row r="249" ht="15" customHeight="1">
      <c r="A249" t="inlineStr">
        <is>
          <t>A 5007-2022</t>
        </is>
      </c>
      <c r="B249" s="1" t="n">
        <v>44593.61355324074</v>
      </c>
      <c r="C249" s="1" t="n">
        <v>45907</v>
      </c>
      <c r="D249" t="inlineStr">
        <is>
          <t>UPPSALA LÄN</t>
        </is>
      </c>
      <c r="E249" t="inlineStr">
        <is>
          <t>UPPSALA</t>
        </is>
      </c>
      <c r="F249" t="inlineStr">
        <is>
          <t>BillerudKorsnäs AB</t>
        </is>
      </c>
      <c r="G249" t="n">
        <v>3.6</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44750.678125</v>
      </c>
      <c r="C250" s="1" t="n">
        <v>45907</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9201-2024</t>
        </is>
      </c>
      <c r="B251" s="1" t="n">
        <v>45358</v>
      </c>
      <c r="C251" s="1" t="n">
        <v>45907</v>
      </c>
      <c r="D251" t="inlineStr">
        <is>
          <t>UPPSALA LÄN</t>
        </is>
      </c>
      <c r="E251" t="inlineStr">
        <is>
          <t>UPPSALA</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179-2024</t>
        </is>
      </c>
      <c r="B252" s="1" t="n">
        <v>45294.5666550926</v>
      </c>
      <c r="C252" s="1" t="n">
        <v>45907</v>
      </c>
      <c r="D252" t="inlineStr">
        <is>
          <t>UPPSALA LÄN</t>
        </is>
      </c>
      <c r="E252" t="inlineStr">
        <is>
          <t>UPPSALA</t>
        </is>
      </c>
      <c r="F252" t="inlineStr">
        <is>
          <t>Bergvik skog öst AB</t>
        </is>
      </c>
      <c r="G252" t="n">
        <v>12.7</v>
      </c>
      <c r="H252" t="n">
        <v>0</v>
      </c>
      <c r="I252" t="n">
        <v>0</v>
      </c>
      <c r="J252" t="n">
        <v>0</v>
      </c>
      <c r="K252" t="n">
        <v>0</v>
      </c>
      <c r="L252" t="n">
        <v>0</v>
      </c>
      <c r="M252" t="n">
        <v>0</v>
      </c>
      <c r="N252" t="n">
        <v>0</v>
      </c>
      <c r="O252" t="n">
        <v>0</v>
      </c>
      <c r="P252" t="n">
        <v>0</v>
      </c>
      <c r="Q252" t="n">
        <v>0</v>
      </c>
      <c r="R252" s="2" t="inlineStr"/>
    </row>
    <row r="253" ht="15" customHeight="1">
      <c r="A253" t="inlineStr">
        <is>
          <t>A 1617-2021</t>
        </is>
      </c>
      <c r="B253" s="1" t="n">
        <v>44209</v>
      </c>
      <c r="C253" s="1" t="n">
        <v>45907</v>
      </c>
      <c r="D253" t="inlineStr">
        <is>
          <t>UPPSALA LÄN</t>
        </is>
      </c>
      <c r="E253" t="inlineStr">
        <is>
          <t>UPPSALA</t>
        </is>
      </c>
      <c r="G253" t="n">
        <v>2.5</v>
      </c>
      <c r="H253" t="n">
        <v>0</v>
      </c>
      <c r="I253" t="n">
        <v>0</v>
      </c>
      <c r="J253" t="n">
        <v>0</v>
      </c>
      <c r="K253" t="n">
        <v>0</v>
      </c>
      <c r="L253" t="n">
        <v>0</v>
      </c>
      <c r="M253" t="n">
        <v>0</v>
      </c>
      <c r="N253" t="n">
        <v>0</v>
      </c>
      <c r="O253" t="n">
        <v>0</v>
      </c>
      <c r="P253" t="n">
        <v>0</v>
      </c>
      <c r="Q253" t="n">
        <v>0</v>
      </c>
      <c r="R253" s="2" t="inlineStr"/>
    </row>
    <row r="254" ht="15" customHeight="1">
      <c r="A254" t="inlineStr">
        <is>
          <t>A 29799-2023</t>
        </is>
      </c>
      <c r="B254" s="1" t="n">
        <v>45107.53688657407</v>
      </c>
      <c r="C254" s="1" t="n">
        <v>45907</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1936-2022</t>
        </is>
      </c>
      <c r="B255" s="1" t="n">
        <v>44575.4366087963</v>
      </c>
      <c r="C255" s="1" t="n">
        <v>45907</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179-2023</t>
        </is>
      </c>
      <c r="B256" s="1" t="n">
        <v>44928</v>
      </c>
      <c r="C256" s="1" t="n">
        <v>45907</v>
      </c>
      <c r="D256" t="inlineStr">
        <is>
          <t>UPPSALA LÄN</t>
        </is>
      </c>
      <c r="E256" t="inlineStr">
        <is>
          <t>UPPSALA</t>
        </is>
      </c>
      <c r="F256" t="inlineStr">
        <is>
          <t>Kommuner</t>
        </is>
      </c>
      <c r="G256" t="n">
        <v>1.4</v>
      </c>
      <c r="H256" t="n">
        <v>0</v>
      </c>
      <c r="I256" t="n">
        <v>0</v>
      </c>
      <c r="J256" t="n">
        <v>0</v>
      </c>
      <c r="K256" t="n">
        <v>0</v>
      </c>
      <c r="L256" t="n">
        <v>0</v>
      </c>
      <c r="M256" t="n">
        <v>0</v>
      </c>
      <c r="N256" t="n">
        <v>0</v>
      </c>
      <c r="O256" t="n">
        <v>0</v>
      </c>
      <c r="P256" t="n">
        <v>0</v>
      </c>
      <c r="Q256" t="n">
        <v>0</v>
      </c>
      <c r="R256" s="2" t="inlineStr"/>
    </row>
    <row r="257" ht="15" customHeight="1">
      <c r="A257" t="inlineStr">
        <is>
          <t>A 21052-2023</t>
        </is>
      </c>
      <c r="B257" s="1" t="n">
        <v>45061</v>
      </c>
      <c r="C257" s="1" t="n">
        <v>45907</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22946-2021</t>
        </is>
      </c>
      <c r="B258" s="1" t="n">
        <v>44328.57100694445</v>
      </c>
      <c r="C258" s="1" t="n">
        <v>45907</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31646-2021</t>
        </is>
      </c>
      <c r="B259" s="1" t="n">
        <v>44369</v>
      </c>
      <c r="C259" s="1" t="n">
        <v>45907</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17211-2025</t>
        </is>
      </c>
      <c r="B260" s="1" t="n">
        <v>45756.44024305556</v>
      </c>
      <c r="C260" s="1" t="n">
        <v>45907</v>
      </c>
      <c r="D260" t="inlineStr">
        <is>
          <t>UPPSALA LÄN</t>
        </is>
      </c>
      <c r="E260" t="inlineStr">
        <is>
          <t>UPPSALA</t>
        </is>
      </c>
      <c r="G260" t="n">
        <v>1.2</v>
      </c>
      <c r="H260" t="n">
        <v>0</v>
      </c>
      <c r="I260" t="n">
        <v>0</v>
      </c>
      <c r="J260" t="n">
        <v>0</v>
      </c>
      <c r="K260" t="n">
        <v>0</v>
      </c>
      <c r="L260" t="n">
        <v>0</v>
      </c>
      <c r="M260" t="n">
        <v>0</v>
      </c>
      <c r="N260" t="n">
        <v>0</v>
      </c>
      <c r="O260" t="n">
        <v>0</v>
      </c>
      <c r="P260" t="n">
        <v>0</v>
      </c>
      <c r="Q260" t="n">
        <v>0</v>
      </c>
      <c r="R260" s="2" t="inlineStr"/>
    </row>
    <row r="261" ht="15" customHeight="1">
      <c r="A261" t="inlineStr">
        <is>
          <t>A 62054-2024</t>
        </is>
      </c>
      <c r="B261" s="1" t="n">
        <v>45656</v>
      </c>
      <c r="C261" s="1" t="n">
        <v>45907</v>
      </c>
      <c r="D261" t="inlineStr">
        <is>
          <t>UPPSALA LÄN</t>
        </is>
      </c>
      <c r="E261" t="inlineStr">
        <is>
          <t>UPPSALA</t>
        </is>
      </c>
      <c r="F261" t="inlineStr">
        <is>
          <t>Övriga statliga verk och myndigheter</t>
        </is>
      </c>
      <c r="G261" t="n">
        <v>29.3</v>
      </c>
      <c r="H261" t="n">
        <v>0</v>
      </c>
      <c r="I261" t="n">
        <v>0</v>
      </c>
      <c r="J261" t="n">
        <v>0</v>
      </c>
      <c r="K261" t="n">
        <v>0</v>
      </c>
      <c r="L261" t="n">
        <v>0</v>
      </c>
      <c r="M261" t="n">
        <v>0</v>
      </c>
      <c r="N261" t="n">
        <v>0</v>
      </c>
      <c r="O261" t="n">
        <v>0</v>
      </c>
      <c r="P261" t="n">
        <v>0</v>
      </c>
      <c r="Q261" t="n">
        <v>0</v>
      </c>
      <c r="R261" s="2" t="inlineStr"/>
    </row>
    <row r="262" ht="15" customHeight="1">
      <c r="A262" t="inlineStr">
        <is>
          <t>A 9398-2023</t>
        </is>
      </c>
      <c r="B262" s="1" t="n">
        <v>44977</v>
      </c>
      <c r="C262" s="1" t="n">
        <v>45907</v>
      </c>
      <c r="D262" t="inlineStr">
        <is>
          <t>UPPSALA LÄN</t>
        </is>
      </c>
      <c r="E262" t="inlineStr">
        <is>
          <t>UPPSALA</t>
        </is>
      </c>
      <c r="G262" t="n">
        <v>5.1</v>
      </c>
      <c r="H262" t="n">
        <v>0</v>
      </c>
      <c r="I262" t="n">
        <v>0</v>
      </c>
      <c r="J262" t="n">
        <v>0</v>
      </c>
      <c r="K262" t="n">
        <v>0</v>
      </c>
      <c r="L262" t="n">
        <v>0</v>
      </c>
      <c r="M262" t="n">
        <v>0</v>
      </c>
      <c r="N262" t="n">
        <v>0</v>
      </c>
      <c r="O262" t="n">
        <v>0</v>
      </c>
      <c r="P262" t="n">
        <v>0</v>
      </c>
      <c r="Q262" t="n">
        <v>0</v>
      </c>
      <c r="R262" s="2" t="inlineStr"/>
    </row>
    <row r="263" ht="15" customHeight="1">
      <c r="A263" t="inlineStr">
        <is>
          <t>A 2980-2025</t>
        </is>
      </c>
      <c r="B263" s="1" t="n">
        <v>45678</v>
      </c>
      <c r="C263" s="1" t="n">
        <v>45907</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56679-2022</t>
        </is>
      </c>
      <c r="B264" s="1" t="n">
        <v>44893</v>
      </c>
      <c r="C264" s="1" t="n">
        <v>45907</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15937-2025</t>
        </is>
      </c>
      <c r="B265" s="1" t="n">
        <v>45749.4737962963</v>
      </c>
      <c r="C265" s="1" t="n">
        <v>45907</v>
      </c>
      <c r="D265" t="inlineStr">
        <is>
          <t>UPPSALA LÄN</t>
        </is>
      </c>
      <c r="E265" t="inlineStr">
        <is>
          <t>UPPSALA</t>
        </is>
      </c>
      <c r="G265" t="n">
        <v>7.6</v>
      </c>
      <c r="H265" t="n">
        <v>0</v>
      </c>
      <c r="I265" t="n">
        <v>0</v>
      </c>
      <c r="J265" t="n">
        <v>0</v>
      </c>
      <c r="K265" t="n">
        <v>0</v>
      </c>
      <c r="L265" t="n">
        <v>0</v>
      </c>
      <c r="M265" t="n">
        <v>0</v>
      </c>
      <c r="N265" t="n">
        <v>0</v>
      </c>
      <c r="O265" t="n">
        <v>0</v>
      </c>
      <c r="P265" t="n">
        <v>0</v>
      </c>
      <c r="Q265" t="n">
        <v>0</v>
      </c>
      <c r="R265" s="2" t="inlineStr"/>
    </row>
    <row r="266" ht="15" customHeight="1">
      <c r="A266" t="inlineStr">
        <is>
          <t>A 23291-2024</t>
        </is>
      </c>
      <c r="B266" s="1" t="n">
        <v>45453</v>
      </c>
      <c r="C266" s="1" t="n">
        <v>45907</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59562-2024</t>
        </is>
      </c>
      <c r="B267" s="1" t="n">
        <v>45638</v>
      </c>
      <c r="C267" s="1" t="n">
        <v>45907</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8494-2021</t>
        </is>
      </c>
      <c r="B268" s="1" t="n">
        <v>44245</v>
      </c>
      <c r="C268" s="1" t="n">
        <v>45907</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39548-2023</t>
        </is>
      </c>
      <c r="B269" s="1" t="n">
        <v>45167.3721412037</v>
      </c>
      <c r="C269" s="1" t="n">
        <v>45907</v>
      </c>
      <c r="D269" t="inlineStr">
        <is>
          <t>UPPSALA LÄN</t>
        </is>
      </c>
      <c r="E269" t="inlineStr">
        <is>
          <t>UPPSALA</t>
        </is>
      </c>
      <c r="G269" t="n">
        <v>3.4</v>
      </c>
      <c r="H269" t="n">
        <v>0</v>
      </c>
      <c r="I269" t="n">
        <v>0</v>
      </c>
      <c r="J269" t="n">
        <v>0</v>
      </c>
      <c r="K269" t="n">
        <v>0</v>
      </c>
      <c r="L269" t="n">
        <v>0</v>
      </c>
      <c r="M269" t="n">
        <v>0</v>
      </c>
      <c r="N269" t="n">
        <v>0</v>
      </c>
      <c r="O269" t="n">
        <v>0</v>
      </c>
      <c r="P269" t="n">
        <v>0</v>
      </c>
      <c r="Q269" t="n">
        <v>0</v>
      </c>
      <c r="R269" s="2" t="inlineStr"/>
    </row>
    <row r="270" ht="15" customHeight="1">
      <c r="A270" t="inlineStr">
        <is>
          <t>A 26099-2024</t>
        </is>
      </c>
      <c r="B270" s="1" t="n">
        <v>45468</v>
      </c>
      <c r="C270" s="1" t="n">
        <v>45907</v>
      </c>
      <c r="D270" t="inlineStr">
        <is>
          <t>UPPSALA LÄN</t>
        </is>
      </c>
      <c r="E270" t="inlineStr">
        <is>
          <t>UPPSALA</t>
        </is>
      </c>
      <c r="G270" t="n">
        <v>0.3</v>
      </c>
      <c r="H270" t="n">
        <v>0</v>
      </c>
      <c r="I270" t="n">
        <v>0</v>
      </c>
      <c r="J270" t="n">
        <v>0</v>
      </c>
      <c r="K270" t="n">
        <v>0</v>
      </c>
      <c r="L270" t="n">
        <v>0</v>
      </c>
      <c r="M270" t="n">
        <v>0</v>
      </c>
      <c r="N270" t="n">
        <v>0</v>
      </c>
      <c r="O270" t="n">
        <v>0</v>
      </c>
      <c r="P270" t="n">
        <v>0</v>
      </c>
      <c r="Q270" t="n">
        <v>0</v>
      </c>
      <c r="R270" s="2" t="inlineStr"/>
    </row>
    <row r="271" ht="15" customHeight="1">
      <c r="A271" t="inlineStr">
        <is>
          <t>A 20797-2025</t>
        </is>
      </c>
      <c r="B271" s="1" t="n">
        <v>45776.6415162037</v>
      </c>
      <c r="C271" s="1" t="n">
        <v>45907</v>
      </c>
      <c r="D271" t="inlineStr">
        <is>
          <t>UPPSALA LÄN</t>
        </is>
      </c>
      <c r="E271" t="inlineStr">
        <is>
          <t>UPPSALA</t>
        </is>
      </c>
      <c r="F271" t="inlineStr">
        <is>
          <t>Kommuner</t>
        </is>
      </c>
      <c r="G271" t="n">
        <v>4.6</v>
      </c>
      <c r="H271" t="n">
        <v>0</v>
      </c>
      <c r="I271" t="n">
        <v>0</v>
      </c>
      <c r="J271" t="n">
        <v>0</v>
      </c>
      <c r="K271" t="n">
        <v>0</v>
      </c>
      <c r="L271" t="n">
        <v>0</v>
      </c>
      <c r="M271" t="n">
        <v>0</v>
      </c>
      <c r="N271" t="n">
        <v>0</v>
      </c>
      <c r="O271" t="n">
        <v>0</v>
      </c>
      <c r="P271" t="n">
        <v>0</v>
      </c>
      <c r="Q271" t="n">
        <v>0</v>
      </c>
      <c r="R271" s="2" t="inlineStr"/>
    </row>
    <row r="272" ht="15" customHeight="1">
      <c r="A272" t="inlineStr">
        <is>
          <t>A 33667-2024</t>
        </is>
      </c>
      <c r="B272" s="1" t="n">
        <v>45520</v>
      </c>
      <c r="C272" s="1" t="n">
        <v>45907</v>
      </c>
      <c r="D272" t="inlineStr">
        <is>
          <t>UPPSALA LÄN</t>
        </is>
      </c>
      <c r="E272" t="inlineStr">
        <is>
          <t>UPPSALA</t>
        </is>
      </c>
      <c r="G272" t="n">
        <v>0.8</v>
      </c>
      <c r="H272" t="n">
        <v>0</v>
      </c>
      <c r="I272" t="n">
        <v>0</v>
      </c>
      <c r="J272" t="n">
        <v>0</v>
      </c>
      <c r="K272" t="n">
        <v>0</v>
      </c>
      <c r="L272" t="n">
        <v>0</v>
      </c>
      <c r="M272" t="n">
        <v>0</v>
      </c>
      <c r="N272" t="n">
        <v>0</v>
      </c>
      <c r="O272" t="n">
        <v>0</v>
      </c>
      <c r="P272" t="n">
        <v>0</v>
      </c>
      <c r="Q272" t="n">
        <v>0</v>
      </c>
      <c r="R272" s="2" t="inlineStr"/>
    </row>
    <row r="273" ht="15" customHeight="1">
      <c r="A273" t="inlineStr">
        <is>
          <t>A 20888-2025</t>
        </is>
      </c>
      <c r="B273" s="1" t="n">
        <v>45777.37119212963</v>
      </c>
      <c r="C273" s="1" t="n">
        <v>45907</v>
      </c>
      <c r="D273" t="inlineStr">
        <is>
          <t>UPPSALA LÄN</t>
        </is>
      </c>
      <c r="E273" t="inlineStr">
        <is>
          <t>UPPSALA</t>
        </is>
      </c>
      <c r="F273" t="inlineStr">
        <is>
          <t>Övriga statliga verk och myndigheter</t>
        </is>
      </c>
      <c r="G273" t="n">
        <v>5.1</v>
      </c>
      <c r="H273" t="n">
        <v>0</v>
      </c>
      <c r="I273" t="n">
        <v>0</v>
      </c>
      <c r="J273" t="n">
        <v>0</v>
      </c>
      <c r="K273" t="n">
        <v>0</v>
      </c>
      <c r="L273" t="n">
        <v>0</v>
      </c>
      <c r="M273" t="n">
        <v>0</v>
      </c>
      <c r="N273" t="n">
        <v>0</v>
      </c>
      <c r="O273" t="n">
        <v>0</v>
      </c>
      <c r="P273" t="n">
        <v>0</v>
      </c>
      <c r="Q273" t="n">
        <v>0</v>
      </c>
      <c r="R273" s="2" t="inlineStr"/>
    </row>
    <row r="274" ht="15" customHeight="1">
      <c r="A274" t="inlineStr">
        <is>
          <t>A 17558-2022</t>
        </is>
      </c>
      <c r="B274" s="1" t="n">
        <v>44679.66694444444</v>
      </c>
      <c r="C274" s="1" t="n">
        <v>45907</v>
      </c>
      <c r="D274" t="inlineStr">
        <is>
          <t>UPPSALA LÄN</t>
        </is>
      </c>
      <c r="E274" t="inlineStr">
        <is>
          <t>UPPSALA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20928-2025</t>
        </is>
      </c>
      <c r="B275" s="1" t="n">
        <v>45777</v>
      </c>
      <c r="C275" s="1" t="n">
        <v>45907</v>
      </c>
      <c r="D275" t="inlineStr">
        <is>
          <t>UPPSALA LÄN</t>
        </is>
      </c>
      <c r="E275" t="inlineStr">
        <is>
          <t>UPPSALA</t>
        </is>
      </c>
      <c r="G275" t="n">
        <v>11.9</v>
      </c>
      <c r="H275" t="n">
        <v>0</v>
      </c>
      <c r="I275" t="n">
        <v>0</v>
      </c>
      <c r="J275" t="n">
        <v>0</v>
      </c>
      <c r="K275" t="n">
        <v>0</v>
      </c>
      <c r="L275" t="n">
        <v>0</v>
      </c>
      <c r="M275" t="n">
        <v>0</v>
      </c>
      <c r="N275" t="n">
        <v>0</v>
      </c>
      <c r="O275" t="n">
        <v>0</v>
      </c>
      <c r="P275" t="n">
        <v>0</v>
      </c>
      <c r="Q275" t="n">
        <v>0</v>
      </c>
      <c r="R275" s="2" t="inlineStr"/>
    </row>
    <row r="276" ht="15" customHeight="1">
      <c r="A276" t="inlineStr">
        <is>
          <t>A 29815-2023</t>
        </is>
      </c>
      <c r="B276" s="1" t="n">
        <v>45107.55574074074</v>
      </c>
      <c r="C276" s="1" t="n">
        <v>45907</v>
      </c>
      <c r="D276" t="inlineStr">
        <is>
          <t>UPPSALA LÄN</t>
        </is>
      </c>
      <c r="E276" t="inlineStr">
        <is>
          <t>UPPSALA</t>
        </is>
      </c>
      <c r="G276" t="n">
        <v>2.4</v>
      </c>
      <c r="H276" t="n">
        <v>0</v>
      </c>
      <c r="I276" t="n">
        <v>0</v>
      </c>
      <c r="J276" t="n">
        <v>0</v>
      </c>
      <c r="K276" t="n">
        <v>0</v>
      </c>
      <c r="L276" t="n">
        <v>0</v>
      </c>
      <c r="M276" t="n">
        <v>0</v>
      </c>
      <c r="N276" t="n">
        <v>0</v>
      </c>
      <c r="O276" t="n">
        <v>0</v>
      </c>
      <c r="P276" t="n">
        <v>0</v>
      </c>
      <c r="Q276" t="n">
        <v>0</v>
      </c>
      <c r="R276" s="2" t="inlineStr"/>
    </row>
    <row r="277" ht="15" customHeight="1">
      <c r="A277" t="inlineStr">
        <is>
          <t>A 20686-2025</t>
        </is>
      </c>
      <c r="B277" s="1" t="n">
        <v>45776.45263888889</v>
      </c>
      <c r="C277" s="1" t="n">
        <v>45907</v>
      </c>
      <c r="D277" t="inlineStr">
        <is>
          <t>UPPSALA LÄN</t>
        </is>
      </c>
      <c r="E277" t="inlineStr">
        <is>
          <t>UPPSALA</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21033-2025</t>
        </is>
      </c>
      <c r="B278" s="1" t="n">
        <v>45777.52655092593</v>
      </c>
      <c r="C278" s="1" t="n">
        <v>45907</v>
      </c>
      <c r="D278" t="inlineStr">
        <is>
          <t>UPPSALA LÄN</t>
        </is>
      </c>
      <c r="E278" t="inlineStr">
        <is>
          <t>UPPSALA</t>
        </is>
      </c>
      <c r="G278" t="n">
        <v>2.2</v>
      </c>
      <c r="H278" t="n">
        <v>0</v>
      </c>
      <c r="I278" t="n">
        <v>0</v>
      </c>
      <c r="J278" t="n">
        <v>0</v>
      </c>
      <c r="K278" t="n">
        <v>0</v>
      </c>
      <c r="L278" t="n">
        <v>0</v>
      </c>
      <c r="M278" t="n">
        <v>0</v>
      </c>
      <c r="N278" t="n">
        <v>0</v>
      </c>
      <c r="O278" t="n">
        <v>0</v>
      </c>
      <c r="P278" t="n">
        <v>0</v>
      </c>
      <c r="Q278" t="n">
        <v>0</v>
      </c>
      <c r="R278" s="2" t="inlineStr"/>
    </row>
    <row r="279" ht="15" customHeight="1">
      <c r="A279" t="inlineStr">
        <is>
          <t>A 20874-2025</t>
        </is>
      </c>
      <c r="B279" s="1" t="n">
        <v>45777.34894675926</v>
      </c>
      <c r="C279" s="1" t="n">
        <v>45907</v>
      </c>
      <c r="D279" t="inlineStr">
        <is>
          <t>UPPSALA LÄN</t>
        </is>
      </c>
      <c r="E279" t="inlineStr">
        <is>
          <t>UPPSALA</t>
        </is>
      </c>
      <c r="F279" t="inlineStr">
        <is>
          <t>Övriga Aktiebolag</t>
        </is>
      </c>
      <c r="G279" t="n">
        <v>3.9</v>
      </c>
      <c r="H279" t="n">
        <v>0</v>
      </c>
      <c r="I279" t="n">
        <v>0</v>
      </c>
      <c r="J279" t="n">
        <v>0</v>
      </c>
      <c r="K279" t="n">
        <v>0</v>
      </c>
      <c r="L279" t="n">
        <v>0</v>
      </c>
      <c r="M279" t="n">
        <v>0</v>
      </c>
      <c r="N279" t="n">
        <v>0</v>
      </c>
      <c r="O279" t="n">
        <v>0</v>
      </c>
      <c r="P279" t="n">
        <v>0</v>
      </c>
      <c r="Q279" t="n">
        <v>0</v>
      </c>
      <c r="R279" s="2" t="inlineStr"/>
    </row>
    <row r="280" ht="15" customHeight="1">
      <c r="A280" t="inlineStr">
        <is>
          <t>A 8090-2022</t>
        </is>
      </c>
      <c r="B280" s="1" t="n">
        <v>44608</v>
      </c>
      <c r="C280" s="1" t="n">
        <v>45907</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44847-2024</t>
        </is>
      </c>
      <c r="B281" s="1" t="n">
        <v>45574</v>
      </c>
      <c r="C281" s="1" t="n">
        <v>45907</v>
      </c>
      <c r="D281" t="inlineStr">
        <is>
          <t>UPPSALA LÄN</t>
        </is>
      </c>
      <c r="E281" t="inlineStr">
        <is>
          <t>UPPSALA</t>
        </is>
      </c>
      <c r="G281" t="n">
        <v>6.3</v>
      </c>
      <c r="H281" t="n">
        <v>0</v>
      </c>
      <c r="I281" t="n">
        <v>0</v>
      </c>
      <c r="J281" t="n">
        <v>0</v>
      </c>
      <c r="K281" t="n">
        <v>0</v>
      </c>
      <c r="L281" t="n">
        <v>0</v>
      </c>
      <c r="M281" t="n">
        <v>0</v>
      </c>
      <c r="N281" t="n">
        <v>0</v>
      </c>
      <c r="O281" t="n">
        <v>0</v>
      </c>
      <c r="P281" t="n">
        <v>0</v>
      </c>
      <c r="Q281" t="n">
        <v>0</v>
      </c>
      <c r="R281" s="2" t="inlineStr"/>
    </row>
    <row r="282" ht="15" customHeight="1">
      <c r="A282" t="inlineStr">
        <is>
          <t>A 39148-2022</t>
        </is>
      </c>
      <c r="B282" s="1" t="n">
        <v>44816</v>
      </c>
      <c r="C282" s="1" t="n">
        <v>45907</v>
      </c>
      <c r="D282" t="inlineStr">
        <is>
          <t>UPPSALA LÄN</t>
        </is>
      </c>
      <c r="E282" t="inlineStr">
        <is>
          <t>UPPSALA</t>
        </is>
      </c>
      <c r="F282" t="inlineStr">
        <is>
          <t>Övriga statliga verk och myndigheter</t>
        </is>
      </c>
      <c r="G282" t="n">
        <v>1.7</v>
      </c>
      <c r="H282" t="n">
        <v>0</v>
      </c>
      <c r="I282" t="n">
        <v>0</v>
      </c>
      <c r="J282" t="n">
        <v>0</v>
      </c>
      <c r="K282" t="n">
        <v>0</v>
      </c>
      <c r="L282" t="n">
        <v>0</v>
      </c>
      <c r="M282" t="n">
        <v>0</v>
      </c>
      <c r="N282" t="n">
        <v>0</v>
      </c>
      <c r="O282" t="n">
        <v>0</v>
      </c>
      <c r="P282" t="n">
        <v>0</v>
      </c>
      <c r="Q282" t="n">
        <v>0</v>
      </c>
      <c r="R282" s="2" t="inlineStr"/>
    </row>
    <row r="283" ht="15" customHeight="1">
      <c r="A283" t="inlineStr">
        <is>
          <t>A 33689-2023</t>
        </is>
      </c>
      <c r="B283" s="1" t="n">
        <v>45119</v>
      </c>
      <c r="C283" s="1" t="n">
        <v>45907</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20703-2025</t>
        </is>
      </c>
      <c r="B284" s="1" t="n">
        <v>45776.48275462963</v>
      </c>
      <c r="C284" s="1" t="n">
        <v>45907</v>
      </c>
      <c r="D284" t="inlineStr">
        <is>
          <t>UPPSALA LÄN</t>
        </is>
      </c>
      <c r="E284" t="inlineStr">
        <is>
          <t>UPPSALA</t>
        </is>
      </c>
      <c r="F284" t="inlineStr">
        <is>
          <t>Holmen skog AB</t>
        </is>
      </c>
      <c r="G284" t="n">
        <v>3.5</v>
      </c>
      <c r="H284" t="n">
        <v>0</v>
      </c>
      <c r="I284" t="n">
        <v>0</v>
      </c>
      <c r="J284" t="n">
        <v>0</v>
      </c>
      <c r="K284" t="n">
        <v>0</v>
      </c>
      <c r="L284" t="n">
        <v>0</v>
      </c>
      <c r="M284" t="n">
        <v>0</v>
      </c>
      <c r="N284" t="n">
        <v>0</v>
      </c>
      <c r="O284" t="n">
        <v>0</v>
      </c>
      <c r="P284" t="n">
        <v>0</v>
      </c>
      <c r="Q284" t="n">
        <v>0</v>
      </c>
      <c r="R284" s="2" t="inlineStr"/>
    </row>
    <row r="285" ht="15" customHeight="1">
      <c r="A285" t="inlineStr">
        <is>
          <t>A 20712-2025</t>
        </is>
      </c>
      <c r="B285" s="1" t="n">
        <v>45776</v>
      </c>
      <c r="C285" s="1" t="n">
        <v>45907</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18626-2025</t>
        </is>
      </c>
      <c r="B286" s="1" t="n">
        <v>45763.52995370371</v>
      </c>
      <c r="C286" s="1" t="n">
        <v>45907</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57271-2020</t>
        </is>
      </c>
      <c r="B287" s="1" t="n">
        <v>44139</v>
      </c>
      <c r="C287" s="1" t="n">
        <v>45907</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20858-2025</t>
        </is>
      </c>
      <c r="B288" s="1" t="n">
        <v>45777.32731481481</v>
      </c>
      <c r="C288" s="1" t="n">
        <v>45907</v>
      </c>
      <c r="D288" t="inlineStr">
        <is>
          <t>UPPSALA LÄN</t>
        </is>
      </c>
      <c r="E288" t="inlineStr">
        <is>
          <t>UPPSALA</t>
        </is>
      </c>
      <c r="F288" t="inlineStr">
        <is>
          <t>Övriga Aktiebolag</t>
        </is>
      </c>
      <c r="G288" t="n">
        <v>4.1</v>
      </c>
      <c r="H288" t="n">
        <v>0</v>
      </c>
      <c r="I288" t="n">
        <v>0</v>
      </c>
      <c r="J288" t="n">
        <v>0</v>
      </c>
      <c r="K288" t="n">
        <v>0</v>
      </c>
      <c r="L288" t="n">
        <v>0</v>
      </c>
      <c r="M288" t="n">
        <v>0</v>
      </c>
      <c r="N288" t="n">
        <v>0</v>
      </c>
      <c r="O288" t="n">
        <v>0</v>
      </c>
      <c r="P288" t="n">
        <v>0</v>
      </c>
      <c r="Q288" t="n">
        <v>0</v>
      </c>
      <c r="R288" s="2" t="inlineStr"/>
    </row>
    <row r="289" ht="15" customHeight="1">
      <c r="A289" t="inlineStr">
        <is>
          <t>A 3183-2024</t>
        </is>
      </c>
      <c r="B289" s="1" t="n">
        <v>45316</v>
      </c>
      <c r="C289" s="1" t="n">
        <v>45907</v>
      </c>
      <c r="D289" t="inlineStr">
        <is>
          <t>UPPSALA LÄN</t>
        </is>
      </c>
      <c r="E289" t="inlineStr">
        <is>
          <t>UPPSALA</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45907</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69436-2021</t>
        </is>
      </c>
      <c r="B291" s="1" t="n">
        <v>44531</v>
      </c>
      <c r="C291" s="1" t="n">
        <v>45907</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5729-2025</t>
        </is>
      </c>
      <c r="B292" s="1" t="n">
        <v>45694.49037037037</v>
      </c>
      <c r="C292" s="1" t="n">
        <v>45907</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21217-2025</t>
        </is>
      </c>
      <c r="B293" s="1" t="n">
        <v>45779.49085648148</v>
      </c>
      <c r="C293" s="1" t="n">
        <v>45907</v>
      </c>
      <c r="D293" t="inlineStr">
        <is>
          <t>UPPSALA LÄN</t>
        </is>
      </c>
      <c r="E293" t="inlineStr">
        <is>
          <t>UPPSALA</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45907</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21279-2025</t>
        </is>
      </c>
      <c r="B295" s="1" t="n">
        <v>45779.65787037037</v>
      </c>
      <c r="C295" s="1" t="n">
        <v>45907</v>
      </c>
      <c r="D295" t="inlineStr">
        <is>
          <t>UPPSALA LÄN</t>
        </is>
      </c>
      <c r="E295" t="inlineStr">
        <is>
          <t>UPPSALA</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10477-2024</t>
        </is>
      </c>
      <c r="B296" s="1" t="n">
        <v>45366.42888888889</v>
      </c>
      <c r="C296" s="1" t="n">
        <v>45907</v>
      </c>
      <c r="D296" t="inlineStr">
        <is>
          <t>UPPSALA LÄN</t>
        </is>
      </c>
      <c r="E296" t="inlineStr">
        <is>
          <t>UPPSALA</t>
        </is>
      </c>
      <c r="F296" t="inlineStr">
        <is>
          <t>Holmen skog AB</t>
        </is>
      </c>
      <c r="G296" t="n">
        <v>5.2</v>
      </c>
      <c r="H296" t="n">
        <v>0</v>
      </c>
      <c r="I296" t="n">
        <v>0</v>
      </c>
      <c r="J296" t="n">
        <v>0</v>
      </c>
      <c r="K296" t="n">
        <v>0</v>
      </c>
      <c r="L296" t="n">
        <v>0</v>
      </c>
      <c r="M296" t="n">
        <v>0</v>
      </c>
      <c r="N296" t="n">
        <v>0</v>
      </c>
      <c r="O296" t="n">
        <v>0</v>
      </c>
      <c r="P296" t="n">
        <v>0</v>
      </c>
      <c r="Q296" t="n">
        <v>0</v>
      </c>
      <c r="R296" s="2" t="inlineStr"/>
    </row>
    <row r="297" ht="15" customHeight="1">
      <c r="A297" t="inlineStr">
        <is>
          <t>A 11744-2023</t>
        </is>
      </c>
      <c r="B297" s="1" t="n">
        <v>44993</v>
      </c>
      <c r="C297" s="1" t="n">
        <v>45907</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21748-2025</t>
        </is>
      </c>
      <c r="B298" s="1" t="n">
        <v>45783.61053240741</v>
      </c>
      <c r="C298" s="1" t="n">
        <v>45907</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8132-2024</t>
        </is>
      </c>
      <c r="B299" s="1" t="n">
        <v>45351.54596064815</v>
      </c>
      <c r="C299" s="1" t="n">
        <v>45907</v>
      </c>
      <c r="D299" t="inlineStr">
        <is>
          <t>UPPSALA LÄN</t>
        </is>
      </c>
      <c r="E299" t="inlineStr">
        <is>
          <t>UPPSALA</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7253-2024</t>
        </is>
      </c>
      <c r="B300" s="1" t="n">
        <v>45344.69567129629</v>
      </c>
      <c r="C300" s="1" t="n">
        <v>45907</v>
      </c>
      <c r="D300" t="inlineStr">
        <is>
          <t>UPPSALA LÄN</t>
        </is>
      </c>
      <c r="E300" t="inlineStr">
        <is>
          <t>UPPSALA</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5764-2025</t>
        </is>
      </c>
      <c r="B301" s="1" t="n">
        <v>45694</v>
      </c>
      <c r="C301" s="1" t="n">
        <v>45907</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58023-2022</t>
        </is>
      </c>
      <c r="B302" s="1" t="n">
        <v>44900.54711805555</v>
      </c>
      <c r="C302" s="1" t="n">
        <v>45907</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51661-2022</t>
        </is>
      </c>
      <c r="B303" s="1" t="n">
        <v>44872</v>
      </c>
      <c r="C303" s="1" t="n">
        <v>45907</v>
      </c>
      <c r="D303" t="inlineStr">
        <is>
          <t>UPPSALA LÄN</t>
        </is>
      </c>
      <c r="E303" t="inlineStr">
        <is>
          <t>UPPSALA</t>
        </is>
      </c>
      <c r="G303" t="n">
        <v>8.9</v>
      </c>
      <c r="H303" t="n">
        <v>0</v>
      </c>
      <c r="I303" t="n">
        <v>0</v>
      </c>
      <c r="J303" t="n">
        <v>0</v>
      </c>
      <c r="K303" t="n">
        <v>0</v>
      </c>
      <c r="L303" t="n">
        <v>0</v>
      </c>
      <c r="M303" t="n">
        <v>0</v>
      </c>
      <c r="N303" t="n">
        <v>0</v>
      </c>
      <c r="O303" t="n">
        <v>0</v>
      </c>
      <c r="P303" t="n">
        <v>0</v>
      </c>
      <c r="Q303" t="n">
        <v>0</v>
      </c>
      <c r="R303" s="2" t="inlineStr"/>
    </row>
    <row r="304" ht="15" customHeight="1">
      <c r="A304" t="inlineStr">
        <is>
          <t>A 22018-2025</t>
        </is>
      </c>
      <c r="B304" s="1" t="n">
        <v>45784.80497685185</v>
      </c>
      <c r="C304" s="1" t="n">
        <v>45907</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21936-2025</t>
        </is>
      </c>
      <c r="B305" s="1" t="n">
        <v>45784.57266203704</v>
      </c>
      <c r="C305" s="1" t="n">
        <v>45907</v>
      </c>
      <c r="D305" t="inlineStr">
        <is>
          <t>UPPSALA LÄN</t>
        </is>
      </c>
      <c r="E305" t="inlineStr">
        <is>
          <t>UPPSALA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45-2024</t>
        </is>
      </c>
      <c r="B306" s="1" t="n">
        <v>45293</v>
      </c>
      <c r="C306" s="1" t="n">
        <v>45907</v>
      </c>
      <c r="D306" t="inlineStr">
        <is>
          <t>UPPSALA LÄN</t>
        </is>
      </c>
      <c r="E306" t="inlineStr">
        <is>
          <t>UPPSALA</t>
        </is>
      </c>
      <c r="G306" t="n">
        <v>12.5</v>
      </c>
      <c r="H306" t="n">
        <v>0</v>
      </c>
      <c r="I306" t="n">
        <v>0</v>
      </c>
      <c r="J306" t="n">
        <v>0</v>
      </c>
      <c r="K306" t="n">
        <v>0</v>
      </c>
      <c r="L306" t="n">
        <v>0</v>
      </c>
      <c r="M306" t="n">
        <v>0</v>
      </c>
      <c r="N306" t="n">
        <v>0</v>
      </c>
      <c r="O306" t="n">
        <v>0</v>
      </c>
      <c r="P306" t="n">
        <v>0</v>
      </c>
      <c r="Q306" t="n">
        <v>0</v>
      </c>
      <c r="R306" s="2" t="inlineStr"/>
    </row>
    <row r="307" ht="15" customHeight="1">
      <c r="A307" t="inlineStr">
        <is>
          <t>A 34243-2021</t>
        </is>
      </c>
      <c r="B307" s="1" t="n">
        <v>44379.56163194445</v>
      </c>
      <c r="C307" s="1" t="n">
        <v>45907</v>
      </c>
      <c r="D307" t="inlineStr">
        <is>
          <t>UPPSALA LÄN</t>
        </is>
      </c>
      <c r="E307" t="inlineStr">
        <is>
          <t>UPPSALA</t>
        </is>
      </c>
      <c r="G307" t="n">
        <v>1.9</v>
      </c>
      <c r="H307" t="n">
        <v>0</v>
      </c>
      <c r="I307" t="n">
        <v>0</v>
      </c>
      <c r="J307" t="n">
        <v>0</v>
      </c>
      <c r="K307" t="n">
        <v>0</v>
      </c>
      <c r="L307" t="n">
        <v>0</v>
      </c>
      <c r="M307" t="n">
        <v>0</v>
      </c>
      <c r="N307" t="n">
        <v>0</v>
      </c>
      <c r="O307" t="n">
        <v>0</v>
      </c>
      <c r="P307" t="n">
        <v>0</v>
      </c>
      <c r="Q307" t="n">
        <v>0</v>
      </c>
      <c r="R307" s="2" t="inlineStr"/>
    </row>
    <row r="308" ht="15" customHeight="1">
      <c r="A308" t="inlineStr">
        <is>
          <t>A 63307-2021</t>
        </is>
      </c>
      <c r="B308" s="1" t="n">
        <v>44508.44033564815</v>
      </c>
      <c r="C308" s="1" t="n">
        <v>45907</v>
      </c>
      <c r="D308" t="inlineStr">
        <is>
          <t>UPPSALA LÄN</t>
        </is>
      </c>
      <c r="E308" t="inlineStr">
        <is>
          <t>UPPSALA</t>
        </is>
      </c>
      <c r="F308" t="inlineStr">
        <is>
          <t>Bergvik skog öst AB</t>
        </is>
      </c>
      <c r="G308" t="n">
        <v>2.8</v>
      </c>
      <c r="H308" t="n">
        <v>0</v>
      </c>
      <c r="I308" t="n">
        <v>0</v>
      </c>
      <c r="J308" t="n">
        <v>0</v>
      </c>
      <c r="K308" t="n">
        <v>0</v>
      </c>
      <c r="L308" t="n">
        <v>0</v>
      </c>
      <c r="M308" t="n">
        <v>0</v>
      </c>
      <c r="N308" t="n">
        <v>0</v>
      </c>
      <c r="O308" t="n">
        <v>0</v>
      </c>
      <c r="P308" t="n">
        <v>0</v>
      </c>
      <c r="Q308" t="n">
        <v>0</v>
      </c>
      <c r="R308" s="2" t="inlineStr"/>
    </row>
    <row r="309" ht="15" customHeight="1">
      <c r="A309" t="inlineStr">
        <is>
          <t>A 13128-2022</t>
        </is>
      </c>
      <c r="B309" s="1" t="n">
        <v>44644.37548611111</v>
      </c>
      <c r="C309" s="1" t="n">
        <v>45907</v>
      </c>
      <c r="D309" t="inlineStr">
        <is>
          <t>UPPSALA LÄN</t>
        </is>
      </c>
      <c r="E309" t="inlineStr">
        <is>
          <t>UPPSALA</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20418-2025</t>
        </is>
      </c>
      <c r="B310" s="1" t="n">
        <v>45775.46377314815</v>
      </c>
      <c r="C310" s="1" t="n">
        <v>45907</v>
      </c>
      <c r="D310" t="inlineStr">
        <is>
          <t>UPPSALA LÄN</t>
        </is>
      </c>
      <c r="E310" t="inlineStr">
        <is>
          <t>UPPSALA</t>
        </is>
      </c>
      <c r="F310" t="inlineStr">
        <is>
          <t>Allmännings- och besparingsskogar</t>
        </is>
      </c>
      <c r="G310" t="n">
        <v>5.2</v>
      </c>
      <c r="H310" t="n">
        <v>0</v>
      </c>
      <c r="I310" t="n">
        <v>0</v>
      </c>
      <c r="J310" t="n">
        <v>0</v>
      </c>
      <c r="K310" t="n">
        <v>0</v>
      </c>
      <c r="L310" t="n">
        <v>0</v>
      </c>
      <c r="M310" t="n">
        <v>0</v>
      </c>
      <c r="N310" t="n">
        <v>0</v>
      </c>
      <c r="O310" t="n">
        <v>0</v>
      </c>
      <c r="P310" t="n">
        <v>0</v>
      </c>
      <c r="Q310" t="n">
        <v>0</v>
      </c>
      <c r="R310" s="2" t="inlineStr"/>
    </row>
    <row r="311" ht="15" customHeight="1">
      <c r="A311" t="inlineStr">
        <is>
          <t>A 49682-2023</t>
        </is>
      </c>
      <c r="B311" s="1" t="n">
        <v>45212.34997685185</v>
      </c>
      <c r="C311" s="1" t="n">
        <v>45907</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18808-2024</t>
        </is>
      </c>
      <c r="B312" s="1" t="n">
        <v>45426.61569444444</v>
      </c>
      <c r="C312" s="1" t="n">
        <v>45907</v>
      </c>
      <c r="D312" t="inlineStr">
        <is>
          <t>UPPSALA LÄN</t>
        </is>
      </c>
      <c r="E312" t="inlineStr">
        <is>
          <t>UPPSALA</t>
        </is>
      </c>
      <c r="G312" t="n">
        <v>11.5</v>
      </c>
      <c r="H312" t="n">
        <v>0</v>
      </c>
      <c r="I312" t="n">
        <v>0</v>
      </c>
      <c r="J312" t="n">
        <v>0</v>
      </c>
      <c r="K312" t="n">
        <v>0</v>
      </c>
      <c r="L312" t="n">
        <v>0</v>
      </c>
      <c r="M312" t="n">
        <v>0</v>
      </c>
      <c r="N312" t="n">
        <v>0</v>
      </c>
      <c r="O312" t="n">
        <v>0</v>
      </c>
      <c r="P312" t="n">
        <v>0</v>
      </c>
      <c r="Q312" t="n">
        <v>0</v>
      </c>
      <c r="R312" s="2" t="inlineStr"/>
    </row>
    <row r="313" ht="15" customHeight="1">
      <c r="A313" t="inlineStr">
        <is>
          <t>A 69691-2021</t>
        </is>
      </c>
      <c r="B313" s="1" t="n">
        <v>44532</v>
      </c>
      <c r="C313" s="1" t="n">
        <v>45907</v>
      </c>
      <c r="D313" t="inlineStr">
        <is>
          <t>UPPSALA LÄN</t>
        </is>
      </c>
      <c r="E313" t="inlineStr">
        <is>
          <t>UPPSALA</t>
        </is>
      </c>
      <c r="G313" t="n">
        <v>2.3</v>
      </c>
      <c r="H313" t="n">
        <v>0</v>
      </c>
      <c r="I313" t="n">
        <v>0</v>
      </c>
      <c r="J313" t="n">
        <v>0</v>
      </c>
      <c r="K313" t="n">
        <v>0</v>
      </c>
      <c r="L313" t="n">
        <v>0</v>
      </c>
      <c r="M313" t="n">
        <v>0</v>
      </c>
      <c r="N313" t="n">
        <v>0</v>
      </c>
      <c r="O313" t="n">
        <v>0</v>
      </c>
      <c r="P313" t="n">
        <v>0</v>
      </c>
      <c r="Q313" t="n">
        <v>0</v>
      </c>
      <c r="R313" s="2" t="inlineStr"/>
    </row>
    <row r="314" ht="15" customHeight="1">
      <c r="A314" t="inlineStr">
        <is>
          <t>A 40701-2024</t>
        </is>
      </c>
      <c r="B314" s="1" t="n">
        <v>45558.42498842593</v>
      </c>
      <c r="C314" s="1" t="n">
        <v>45907</v>
      </c>
      <c r="D314" t="inlineStr">
        <is>
          <t>UPPSALA LÄN</t>
        </is>
      </c>
      <c r="E314" t="inlineStr">
        <is>
          <t>UPPSALA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758-2022</t>
        </is>
      </c>
      <c r="B315" s="1" t="n">
        <v>44569.69358796296</v>
      </c>
      <c r="C315" s="1" t="n">
        <v>45907</v>
      </c>
      <c r="D315" t="inlineStr">
        <is>
          <t>UPPSALA LÄN</t>
        </is>
      </c>
      <c r="E315" t="inlineStr">
        <is>
          <t>UPPSALA</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5362-2023</t>
        </is>
      </c>
      <c r="B316" s="1" t="n">
        <v>44944</v>
      </c>
      <c r="C316" s="1" t="n">
        <v>45907</v>
      </c>
      <c r="D316" t="inlineStr">
        <is>
          <t>UPPSALA LÄN</t>
        </is>
      </c>
      <c r="E316" t="inlineStr">
        <is>
          <t>UPPSALA</t>
        </is>
      </c>
      <c r="G316" t="n">
        <v>2.3</v>
      </c>
      <c r="H316" t="n">
        <v>0</v>
      </c>
      <c r="I316" t="n">
        <v>0</v>
      </c>
      <c r="J316" t="n">
        <v>0</v>
      </c>
      <c r="K316" t="n">
        <v>0</v>
      </c>
      <c r="L316" t="n">
        <v>0</v>
      </c>
      <c r="M316" t="n">
        <v>0</v>
      </c>
      <c r="N316" t="n">
        <v>0</v>
      </c>
      <c r="O316" t="n">
        <v>0</v>
      </c>
      <c r="P316" t="n">
        <v>0</v>
      </c>
      <c r="Q316" t="n">
        <v>0</v>
      </c>
      <c r="R316" s="2" t="inlineStr"/>
    </row>
    <row r="317" ht="15" customHeight="1">
      <c r="A317" t="inlineStr">
        <is>
          <t>A 26762-2023</t>
        </is>
      </c>
      <c r="B317" s="1" t="n">
        <v>45093.46706018518</v>
      </c>
      <c r="C317" s="1" t="n">
        <v>45907</v>
      </c>
      <c r="D317" t="inlineStr">
        <is>
          <t>UPPSALA LÄN</t>
        </is>
      </c>
      <c r="E317" t="inlineStr">
        <is>
          <t>UPPSALA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51935-2023</t>
        </is>
      </c>
      <c r="B318" s="1" t="n">
        <v>45223</v>
      </c>
      <c r="C318" s="1" t="n">
        <v>45907</v>
      </c>
      <c r="D318" t="inlineStr">
        <is>
          <t>UPPSALA LÄN</t>
        </is>
      </c>
      <c r="E318" t="inlineStr">
        <is>
          <t>UPPSALA</t>
        </is>
      </c>
      <c r="G318" t="n">
        <v>4.8</v>
      </c>
      <c r="H318" t="n">
        <v>0</v>
      </c>
      <c r="I318" t="n">
        <v>0</v>
      </c>
      <c r="J318" t="n">
        <v>0</v>
      </c>
      <c r="K318" t="n">
        <v>0</v>
      </c>
      <c r="L318" t="n">
        <v>0</v>
      </c>
      <c r="M318" t="n">
        <v>0</v>
      </c>
      <c r="N318" t="n">
        <v>0</v>
      </c>
      <c r="O318" t="n">
        <v>0</v>
      </c>
      <c r="P318" t="n">
        <v>0</v>
      </c>
      <c r="Q318" t="n">
        <v>0</v>
      </c>
      <c r="R318" s="2" t="inlineStr"/>
    </row>
    <row r="319" ht="15" customHeight="1">
      <c r="A319" t="inlineStr">
        <is>
          <t>A 59570-2023</t>
        </is>
      </c>
      <c r="B319" s="1" t="n">
        <v>45254</v>
      </c>
      <c r="C319" s="1" t="n">
        <v>45907</v>
      </c>
      <c r="D319" t="inlineStr">
        <is>
          <t>UPPSALA LÄN</t>
        </is>
      </c>
      <c r="E319" t="inlineStr">
        <is>
          <t>UPPSALA</t>
        </is>
      </c>
      <c r="G319" t="n">
        <v>6.7</v>
      </c>
      <c r="H319" t="n">
        <v>0</v>
      </c>
      <c r="I319" t="n">
        <v>0</v>
      </c>
      <c r="J319" t="n">
        <v>0</v>
      </c>
      <c r="K319" t="n">
        <v>0</v>
      </c>
      <c r="L319" t="n">
        <v>0</v>
      </c>
      <c r="M319" t="n">
        <v>0</v>
      </c>
      <c r="N319" t="n">
        <v>0</v>
      </c>
      <c r="O319" t="n">
        <v>0</v>
      </c>
      <c r="P319" t="n">
        <v>0</v>
      </c>
      <c r="Q319" t="n">
        <v>0</v>
      </c>
      <c r="R319" s="2" t="inlineStr"/>
    </row>
    <row r="320" ht="15" customHeight="1">
      <c r="A320" t="inlineStr">
        <is>
          <t>A 10650-2024</t>
        </is>
      </c>
      <c r="B320" s="1" t="n">
        <v>45368.64787037037</v>
      </c>
      <c r="C320" s="1" t="n">
        <v>45907</v>
      </c>
      <c r="D320" t="inlineStr">
        <is>
          <t>UPPSALA LÄN</t>
        </is>
      </c>
      <c r="E320" t="inlineStr">
        <is>
          <t>UPPSALA</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7058-2023</t>
        </is>
      </c>
      <c r="B321" s="1" t="n">
        <v>44969</v>
      </c>
      <c r="C321" s="1" t="n">
        <v>45907</v>
      </c>
      <c r="D321" t="inlineStr">
        <is>
          <t>UPPSALA LÄN</t>
        </is>
      </c>
      <c r="E321" t="inlineStr">
        <is>
          <t>UPPSALA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43855-2023</t>
        </is>
      </c>
      <c r="B322" s="1" t="n">
        <v>45187.61136574074</v>
      </c>
      <c r="C322" s="1" t="n">
        <v>45907</v>
      </c>
      <c r="D322" t="inlineStr">
        <is>
          <t>UPPSALA LÄN</t>
        </is>
      </c>
      <c r="E322" t="inlineStr">
        <is>
          <t>UPPSALA</t>
        </is>
      </c>
      <c r="F322" t="inlineStr">
        <is>
          <t>Bergvik skog öst AB</t>
        </is>
      </c>
      <c r="G322" t="n">
        <v>2</v>
      </c>
      <c r="H322" t="n">
        <v>0</v>
      </c>
      <c r="I322" t="n">
        <v>0</v>
      </c>
      <c r="J322" t="n">
        <v>0</v>
      </c>
      <c r="K322" t="n">
        <v>0</v>
      </c>
      <c r="L322" t="n">
        <v>0</v>
      </c>
      <c r="M322" t="n">
        <v>0</v>
      </c>
      <c r="N322" t="n">
        <v>0</v>
      </c>
      <c r="O322" t="n">
        <v>0</v>
      </c>
      <c r="P322" t="n">
        <v>0</v>
      </c>
      <c r="Q322" t="n">
        <v>0</v>
      </c>
      <c r="R322" s="2" t="inlineStr"/>
    </row>
    <row r="323" ht="15" customHeight="1">
      <c r="A323" t="inlineStr">
        <is>
          <t>A 69432-2021</t>
        </is>
      </c>
      <c r="B323" s="1" t="n">
        <v>44531</v>
      </c>
      <c r="C323" s="1" t="n">
        <v>45907</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37763-2021</t>
        </is>
      </c>
      <c r="B324" s="1" t="n">
        <v>44400.6750925926</v>
      </c>
      <c r="C324" s="1" t="n">
        <v>45907</v>
      </c>
      <c r="D324" t="inlineStr">
        <is>
          <t>UPPSALA LÄN</t>
        </is>
      </c>
      <c r="E324" t="inlineStr">
        <is>
          <t>UPPSALA</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69595-2021</t>
        </is>
      </c>
      <c r="B325" s="1" t="n">
        <v>44532</v>
      </c>
      <c r="C325" s="1" t="n">
        <v>45907</v>
      </c>
      <c r="D325" t="inlineStr">
        <is>
          <t>UPPSALA LÄN</t>
        </is>
      </c>
      <c r="E325" t="inlineStr">
        <is>
          <t>UPPSALA</t>
        </is>
      </c>
      <c r="G325" t="n">
        <v>3.9</v>
      </c>
      <c r="H325" t="n">
        <v>0</v>
      </c>
      <c r="I325" t="n">
        <v>0</v>
      </c>
      <c r="J325" t="n">
        <v>0</v>
      </c>
      <c r="K325" t="n">
        <v>0</v>
      </c>
      <c r="L325" t="n">
        <v>0</v>
      </c>
      <c r="M325" t="n">
        <v>0</v>
      </c>
      <c r="N325" t="n">
        <v>0</v>
      </c>
      <c r="O325" t="n">
        <v>0</v>
      </c>
      <c r="P325" t="n">
        <v>0</v>
      </c>
      <c r="Q325" t="n">
        <v>0</v>
      </c>
      <c r="R325" s="2" t="inlineStr"/>
    </row>
    <row r="326" ht="15" customHeight="1">
      <c r="A326" t="inlineStr">
        <is>
          <t>A 16811-2023</t>
        </is>
      </c>
      <c r="B326" s="1" t="n">
        <v>45033</v>
      </c>
      <c r="C326" s="1" t="n">
        <v>45907</v>
      </c>
      <c r="D326" t="inlineStr">
        <is>
          <t>UPPSALA LÄN</t>
        </is>
      </c>
      <c r="E326" t="inlineStr">
        <is>
          <t>UPPSALA</t>
        </is>
      </c>
      <c r="G326" t="n">
        <v>10.1</v>
      </c>
      <c r="H326" t="n">
        <v>0</v>
      </c>
      <c r="I326" t="n">
        <v>0</v>
      </c>
      <c r="J326" t="n">
        <v>0</v>
      </c>
      <c r="K326" t="n">
        <v>0</v>
      </c>
      <c r="L326" t="n">
        <v>0</v>
      </c>
      <c r="M326" t="n">
        <v>0</v>
      </c>
      <c r="N326" t="n">
        <v>0</v>
      </c>
      <c r="O326" t="n">
        <v>0</v>
      </c>
      <c r="P326" t="n">
        <v>0</v>
      </c>
      <c r="Q326" t="n">
        <v>0</v>
      </c>
      <c r="R326" s="2" t="inlineStr"/>
    </row>
    <row r="327" ht="15" customHeight="1">
      <c r="A327" t="inlineStr">
        <is>
          <t>A 46925-2024</t>
        </is>
      </c>
      <c r="B327" s="1" t="n">
        <v>45584.60038194444</v>
      </c>
      <c r="C327" s="1" t="n">
        <v>45907</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26208-2023</t>
        </is>
      </c>
      <c r="B328" s="1" t="n">
        <v>45091</v>
      </c>
      <c r="C328" s="1" t="n">
        <v>45907</v>
      </c>
      <c r="D328" t="inlineStr">
        <is>
          <t>UPPSALA LÄN</t>
        </is>
      </c>
      <c r="E328" t="inlineStr">
        <is>
          <t>UPPSALA</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11260-2024</t>
        </is>
      </c>
      <c r="B329" s="1" t="n">
        <v>45371.67368055556</v>
      </c>
      <c r="C329" s="1" t="n">
        <v>45907</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3973-2025</t>
        </is>
      </c>
      <c r="B330" s="1" t="n">
        <v>45684</v>
      </c>
      <c r="C330" s="1" t="n">
        <v>45907</v>
      </c>
      <c r="D330" t="inlineStr">
        <is>
          <t>UPPSALA LÄN</t>
        </is>
      </c>
      <c r="E330" t="inlineStr">
        <is>
          <t>UPPSALA</t>
        </is>
      </c>
      <c r="G330" t="n">
        <v>8</v>
      </c>
      <c r="H330" t="n">
        <v>0</v>
      </c>
      <c r="I330" t="n">
        <v>0</v>
      </c>
      <c r="J330" t="n">
        <v>0</v>
      </c>
      <c r="K330" t="n">
        <v>0</v>
      </c>
      <c r="L330" t="n">
        <v>0</v>
      </c>
      <c r="M330" t="n">
        <v>0</v>
      </c>
      <c r="N330" t="n">
        <v>0</v>
      </c>
      <c r="O330" t="n">
        <v>0</v>
      </c>
      <c r="P330" t="n">
        <v>0</v>
      </c>
      <c r="Q330" t="n">
        <v>0</v>
      </c>
      <c r="R330" s="2" t="inlineStr"/>
    </row>
    <row r="331" ht="15" customHeight="1">
      <c r="A331" t="inlineStr">
        <is>
          <t>A 62352-2020</t>
        </is>
      </c>
      <c r="B331" s="1" t="n">
        <v>44159</v>
      </c>
      <c r="C331" s="1" t="n">
        <v>45907</v>
      </c>
      <c r="D331" t="inlineStr">
        <is>
          <t>UPPSALA LÄN</t>
        </is>
      </c>
      <c r="E331" t="inlineStr">
        <is>
          <t>UPPSALA</t>
        </is>
      </c>
      <c r="F331" t="inlineStr">
        <is>
          <t>Allmännings- och besparingsskogar</t>
        </is>
      </c>
      <c r="G331" t="n">
        <v>12.9</v>
      </c>
      <c r="H331" t="n">
        <v>0</v>
      </c>
      <c r="I331" t="n">
        <v>0</v>
      </c>
      <c r="J331" t="n">
        <v>0</v>
      </c>
      <c r="K331" t="n">
        <v>0</v>
      </c>
      <c r="L331" t="n">
        <v>0</v>
      </c>
      <c r="M331" t="n">
        <v>0</v>
      </c>
      <c r="N331" t="n">
        <v>0</v>
      </c>
      <c r="O331" t="n">
        <v>0</v>
      </c>
      <c r="P331" t="n">
        <v>0</v>
      </c>
      <c r="Q331" t="n">
        <v>0</v>
      </c>
      <c r="R331" s="2" t="inlineStr"/>
    </row>
    <row r="332" ht="15" customHeight="1">
      <c r="A332" t="inlineStr">
        <is>
          <t>A 16324-2024</t>
        </is>
      </c>
      <c r="B332" s="1" t="n">
        <v>45407.49721064815</v>
      </c>
      <c r="C332" s="1" t="n">
        <v>45907</v>
      </c>
      <c r="D332" t="inlineStr">
        <is>
          <t>UPPSALA LÄN</t>
        </is>
      </c>
      <c r="E332" t="inlineStr">
        <is>
          <t>UPPSALA</t>
        </is>
      </c>
      <c r="G332" t="n">
        <v>2.3</v>
      </c>
      <c r="H332" t="n">
        <v>0</v>
      </c>
      <c r="I332" t="n">
        <v>0</v>
      </c>
      <c r="J332" t="n">
        <v>0</v>
      </c>
      <c r="K332" t="n">
        <v>0</v>
      </c>
      <c r="L332" t="n">
        <v>0</v>
      </c>
      <c r="M332" t="n">
        <v>0</v>
      </c>
      <c r="N332" t="n">
        <v>0</v>
      </c>
      <c r="O332" t="n">
        <v>0</v>
      </c>
      <c r="P332" t="n">
        <v>0</v>
      </c>
      <c r="Q332" t="n">
        <v>0</v>
      </c>
      <c r="R332" s="2" t="inlineStr"/>
    </row>
    <row r="333" ht="15" customHeight="1">
      <c r="A333" t="inlineStr">
        <is>
          <t>A 42276-2024</t>
        </is>
      </c>
      <c r="B333" s="1" t="n">
        <v>45562</v>
      </c>
      <c r="C333" s="1" t="n">
        <v>45907</v>
      </c>
      <c r="D333" t="inlineStr">
        <is>
          <t>UPPSALA LÄN</t>
        </is>
      </c>
      <c r="E333" t="inlineStr">
        <is>
          <t>UPPSALA</t>
        </is>
      </c>
      <c r="G333" t="n">
        <v>2.2</v>
      </c>
      <c r="H333" t="n">
        <v>0</v>
      </c>
      <c r="I333" t="n">
        <v>0</v>
      </c>
      <c r="J333" t="n">
        <v>0</v>
      </c>
      <c r="K333" t="n">
        <v>0</v>
      </c>
      <c r="L333" t="n">
        <v>0</v>
      </c>
      <c r="M333" t="n">
        <v>0</v>
      </c>
      <c r="N333" t="n">
        <v>0</v>
      </c>
      <c r="O333" t="n">
        <v>0</v>
      </c>
      <c r="P333" t="n">
        <v>0</v>
      </c>
      <c r="Q333" t="n">
        <v>0</v>
      </c>
      <c r="R333" s="2" t="inlineStr"/>
    </row>
    <row r="334" ht="15" customHeight="1">
      <c r="A334" t="inlineStr">
        <is>
          <t>A 42131-2023</t>
        </is>
      </c>
      <c r="B334" s="1" t="n">
        <v>45177.79766203704</v>
      </c>
      <c r="C334" s="1" t="n">
        <v>45907</v>
      </c>
      <c r="D334" t="inlineStr">
        <is>
          <t>UPPSALA LÄN</t>
        </is>
      </c>
      <c r="E334" t="inlineStr">
        <is>
          <t>UPPSALA</t>
        </is>
      </c>
      <c r="F334" t="inlineStr">
        <is>
          <t>Allmännings- och besparingsskogar</t>
        </is>
      </c>
      <c r="G334" t="n">
        <v>6.3</v>
      </c>
      <c r="H334" t="n">
        <v>0</v>
      </c>
      <c r="I334" t="n">
        <v>0</v>
      </c>
      <c r="J334" t="n">
        <v>0</v>
      </c>
      <c r="K334" t="n">
        <v>0</v>
      </c>
      <c r="L334" t="n">
        <v>0</v>
      </c>
      <c r="M334" t="n">
        <v>0</v>
      </c>
      <c r="N334" t="n">
        <v>0</v>
      </c>
      <c r="O334" t="n">
        <v>0</v>
      </c>
      <c r="P334" t="n">
        <v>0</v>
      </c>
      <c r="Q334" t="n">
        <v>0</v>
      </c>
      <c r="R334" s="2" t="inlineStr"/>
    </row>
    <row r="335" ht="15" customHeight="1">
      <c r="A335" t="inlineStr">
        <is>
          <t>A 3214-2023</t>
        </is>
      </c>
      <c r="B335" s="1" t="n">
        <v>44944</v>
      </c>
      <c r="C335" s="1" t="n">
        <v>45907</v>
      </c>
      <c r="D335" t="inlineStr">
        <is>
          <t>UPPSALA LÄN</t>
        </is>
      </c>
      <c r="E335" t="inlineStr">
        <is>
          <t>UPPSALA</t>
        </is>
      </c>
      <c r="G335" t="n">
        <v>4.1</v>
      </c>
      <c r="H335" t="n">
        <v>0</v>
      </c>
      <c r="I335" t="n">
        <v>0</v>
      </c>
      <c r="J335" t="n">
        <v>0</v>
      </c>
      <c r="K335" t="n">
        <v>0</v>
      </c>
      <c r="L335" t="n">
        <v>0</v>
      </c>
      <c r="M335" t="n">
        <v>0</v>
      </c>
      <c r="N335" t="n">
        <v>0</v>
      </c>
      <c r="O335" t="n">
        <v>0</v>
      </c>
      <c r="P335" t="n">
        <v>0</v>
      </c>
      <c r="Q335" t="n">
        <v>0</v>
      </c>
      <c r="R335" s="2" t="inlineStr"/>
    </row>
    <row r="336" ht="15" customHeight="1">
      <c r="A336" t="inlineStr">
        <is>
          <t>A 56564-2024</t>
        </is>
      </c>
      <c r="B336" s="1" t="n">
        <v>45625.58501157408</v>
      </c>
      <c r="C336" s="1" t="n">
        <v>45907</v>
      </c>
      <c r="D336" t="inlineStr">
        <is>
          <t>UPPSALA LÄN</t>
        </is>
      </c>
      <c r="E336" t="inlineStr">
        <is>
          <t>UPPSALA</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6059-2025</t>
        </is>
      </c>
      <c r="B337" s="1" t="n">
        <v>45695.8391550926</v>
      </c>
      <c r="C337" s="1" t="n">
        <v>45907</v>
      </c>
      <c r="D337" t="inlineStr">
        <is>
          <t>UPPSALA LÄN</t>
        </is>
      </c>
      <c r="E337" t="inlineStr">
        <is>
          <t>UPPSALA</t>
        </is>
      </c>
      <c r="F337" t="inlineStr">
        <is>
          <t>Bergvik skog öst AB</t>
        </is>
      </c>
      <c r="G337" t="n">
        <v>0.4</v>
      </c>
      <c r="H337" t="n">
        <v>0</v>
      </c>
      <c r="I337" t="n">
        <v>0</v>
      </c>
      <c r="J337" t="n">
        <v>0</v>
      </c>
      <c r="K337" t="n">
        <v>0</v>
      </c>
      <c r="L337" t="n">
        <v>0</v>
      </c>
      <c r="M337" t="n">
        <v>0</v>
      </c>
      <c r="N337" t="n">
        <v>0</v>
      </c>
      <c r="O337" t="n">
        <v>0</v>
      </c>
      <c r="P337" t="n">
        <v>0</v>
      </c>
      <c r="Q337" t="n">
        <v>0</v>
      </c>
      <c r="R337" s="2" t="inlineStr"/>
    </row>
    <row r="338" ht="15" customHeight="1">
      <c r="A338" t="inlineStr">
        <is>
          <t>A 38190-2023</t>
        </is>
      </c>
      <c r="B338" s="1" t="n">
        <v>45161</v>
      </c>
      <c r="C338" s="1" t="n">
        <v>45907</v>
      </c>
      <c r="D338" t="inlineStr">
        <is>
          <t>UPPSALA LÄN</t>
        </is>
      </c>
      <c r="E338" t="inlineStr">
        <is>
          <t>UPPSALA</t>
        </is>
      </c>
      <c r="G338" t="n">
        <v>0.4</v>
      </c>
      <c r="H338" t="n">
        <v>0</v>
      </c>
      <c r="I338" t="n">
        <v>0</v>
      </c>
      <c r="J338" t="n">
        <v>0</v>
      </c>
      <c r="K338" t="n">
        <v>0</v>
      </c>
      <c r="L338" t="n">
        <v>0</v>
      </c>
      <c r="M338" t="n">
        <v>0</v>
      </c>
      <c r="N338" t="n">
        <v>0</v>
      </c>
      <c r="O338" t="n">
        <v>0</v>
      </c>
      <c r="P338" t="n">
        <v>0</v>
      </c>
      <c r="Q338" t="n">
        <v>0</v>
      </c>
      <c r="R338" s="2" t="inlineStr"/>
    </row>
    <row r="339" ht="15" customHeight="1">
      <c r="A339" t="inlineStr">
        <is>
          <t>A 53893-2023</t>
        </is>
      </c>
      <c r="B339" s="1" t="n">
        <v>45231</v>
      </c>
      <c r="C339" s="1" t="n">
        <v>45907</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4980-2024</t>
        </is>
      </c>
      <c r="B340" s="1" t="n">
        <v>45329</v>
      </c>
      <c r="C340" s="1" t="n">
        <v>45907</v>
      </c>
      <c r="D340" t="inlineStr">
        <is>
          <t>UPPSALA LÄN</t>
        </is>
      </c>
      <c r="E340" t="inlineStr">
        <is>
          <t>UPPSALA</t>
        </is>
      </c>
      <c r="G340" t="n">
        <v>10.8</v>
      </c>
      <c r="H340" t="n">
        <v>0</v>
      </c>
      <c r="I340" t="n">
        <v>0</v>
      </c>
      <c r="J340" t="n">
        <v>0</v>
      </c>
      <c r="K340" t="n">
        <v>0</v>
      </c>
      <c r="L340" t="n">
        <v>0</v>
      </c>
      <c r="M340" t="n">
        <v>0</v>
      </c>
      <c r="N340" t="n">
        <v>0</v>
      </c>
      <c r="O340" t="n">
        <v>0</v>
      </c>
      <c r="P340" t="n">
        <v>0</v>
      </c>
      <c r="Q340" t="n">
        <v>0</v>
      </c>
      <c r="R340" s="2" t="inlineStr"/>
    </row>
    <row r="341" ht="15" customHeight="1">
      <c r="A341" t="inlineStr">
        <is>
          <t>A 750-2022</t>
        </is>
      </c>
      <c r="B341" s="1" t="n">
        <v>44569.49344907407</v>
      </c>
      <c r="C341" s="1" t="n">
        <v>45907</v>
      </c>
      <c r="D341" t="inlineStr">
        <is>
          <t>UPPSALA LÄN</t>
        </is>
      </c>
      <c r="E341" t="inlineStr">
        <is>
          <t>UPPSALA</t>
        </is>
      </c>
      <c r="F341" t="inlineStr">
        <is>
          <t>Holmen skog AB</t>
        </is>
      </c>
      <c r="G341" t="n">
        <v>6</v>
      </c>
      <c r="H341" t="n">
        <v>0</v>
      </c>
      <c r="I341" t="n">
        <v>0</v>
      </c>
      <c r="J341" t="n">
        <v>0</v>
      </c>
      <c r="K341" t="n">
        <v>0</v>
      </c>
      <c r="L341" t="n">
        <v>0</v>
      </c>
      <c r="M341" t="n">
        <v>0</v>
      </c>
      <c r="N341" t="n">
        <v>0</v>
      </c>
      <c r="O341" t="n">
        <v>0</v>
      </c>
      <c r="P341" t="n">
        <v>0</v>
      </c>
      <c r="Q341" t="n">
        <v>0</v>
      </c>
      <c r="R341" s="2" t="inlineStr"/>
    </row>
    <row r="342" ht="15" customHeight="1">
      <c r="A342" t="inlineStr">
        <is>
          <t>A 40325-2023</t>
        </is>
      </c>
      <c r="B342" s="1" t="n">
        <v>45169</v>
      </c>
      <c r="C342" s="1" t="n">
        <v>45907</v>
      </c>
      <c r="D342" t="inlineStr">
        <is>
          <t>UPPSALA LÄN</t>
        </is>
      </c>
      <c r="E342" t="inlineStr">
        <is>
          <t>UPPSALA</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46751-2024</t>
        </is>
      </c>
      <c r="B343" s="1" t="n">
        <v>45583.48449074074</v>
      </c>
      <c r="C343" s="1" t="n">
        <v>45907</v>
      </c>
      <c r="D343" t="inlineStr">
        <is>
          <t>UPPSALA LÄN</t>
        </is>
      </c>
      <c r="E343" t="inlineStr">
        <is>
          <t>UPPSALA</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50395-2023</t>
        </is>
      </c>
      <c r="B344" s="1" t="n">
        <v>45216</v>
      </c>
      <c r="C344" s="1" t="n">
        <v>45907</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49931-2020</t>
        </is>
      </c>
      <c r="B345" s="1" t="n">
        <v>44109</v>
      </c>
      <c r="C345" s="1" t="n">
        <v>45907</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26323-2023</t>
        </is>
      </c>
      <c r="B346" s="1" t="n">
        <v>45091.69766203704</v>
      </c>
      <c r="C346" s="1" t="n">
        <v>45907</v>
      </c>
      <c r="D346" t="inlineStr">
        <is>
          <t>UPPSALA LÄN</t>
        </is>
      </c>
      <c r="E346" t="inlineStr">
        <is>
          <t>UPPSALA</t>
        </is>
      </c>
      <c r="G346" t="n">
        <v>3.1</v>
      </c>
      <c r="H346" t="n">
        <v>0</v>
      </c>
      <c r="I346" t="n">
        <v>0</v>
      </c>
      <c r="J346" t="n">
        <v>0</v>
      </c>
      <c r="K346" t="n">
        <v>0</v>
      </c>
      <c r="L346" t="n">
        <v>0</v>
      </c>
      <c r="M346" t="n">
        <v>0</v>
      </c>
      <c r="N346" t="n">
        <v>0</v>
      </c>
      <c r="O346" t="n">
        <v>0</v>
      </c>
      <c r="P346" t="n">
        <v>0</v>
      </c>
      <c r="Q346" t="n">
        <v>0</v>
      </c>
      <c r="R346" s="2" t="inlineStr"/>
    </row>
    <row r="347" ht="15" customHeight="1">
      <c r="A347" t="inlineStr">
        <is>
          <t>A 2927-2022</t>
        </is>
      </c>
      <c r="B347" s="1" t="n">
        <v>44581.60254629629</v>
      </c>
      <c r="C347" s="1" t="n">
        <v>45907</v>
      </c>
      <c r="D347" t="inlineStr">
        <is>
          <t>UPPSALA LÄN</t>
        </is>
      </c>
      <c r="E347" t="inlineStr">
        <is>
          <t>UPPSALA</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54924-2024</t>
        </is>
      </c>
      <c r="B348" s="1" t="n">
        <v>45618.71140046296</v>
      </c>
      <c r="C348" s="1" t="n">
        <v>45907</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39007-2024</t>
        </is>
      </c>
      <c r="B349" s="1" t="n">
        <v>45548.42854166667</v>
      </c>
      <c r="C349" s="1" t="n">
        <v>45907</v>
      </c>
      <c r="D349" t="inlineStr">
        <is>
          <t>UPPSALA LÄN</t>
        </is>
      </c>
      <c r="E349" t="inlineStr">
        <is>
          <t>UPPSALA</t>
        </is>
      </c>
      <c r="G349" t="n">
        <v>3.1</v>
      </c>
      <c r="H349" t="n">
        <v>0</v>
      </c>
      <c r="I349" t="n">
        <v>0</v>
      </c>
      <c r="J349" t="n">
        <v>0</v>
      </c>
      <c r="K349" t="n">
        <v>0</v>
      </c>
      <c r="L349" t="n">
        <v>0</v>
      </c>
      <c r="M349" t="n">
        <v>0</v>
      </c>
      <c r="N349" t="n">
        <v>0</v>
      </c>
      <c r="O349" t="n">
        <v>0</v>
      </c>
      <c r="P349" t="n">
        <v>0</v>
      </c>
      <c r="Q349" t="n">
        <v>0</v>
      </c>
      <c r="R349" s="2" t="inlineStr"/>
    </row>
    <row r="350" ht="15" customHeight="1">
      <c r="A350" t="inlineStr">
        <is>
          <t>A 5989-2022</t>
        </is>
      </c>
      <c r="B350" s="1" t="n">
        <v>44599.42277777778</v>
      </c>
      <c r="C350" s="1" t="n">
        <v>45907</v>
      </c>
      <c r="D350" t="inlineStr">
        <is>
          <t>UPPSALA LÄN</t>
        </is>
      </c>
      <c r="E350" t="inlineStr">
        <is>
          <t>UPPSALA</t>
        </is>
      </c>
      <c r="G350" t="n">
        <v>2.8</v>
      </c>
      <c r="H350" t="n">
        <v>0</v>
      </c>
      <c r="I350" t="n">
        <v>0</v>
      </c>
      <c r="J350" t="n">
        <v>0</v>
      </c>
      <c r="K350" t="n">
        <v>0</v>
      </c>
      <c r="L350" t="n">
        <v>0</v>
      </c>
      <c r="M350" t="n">
        <v>0</v>
      </c>
      <c r="N350" t="n">
        <v>0</v>
      </c>
      <c r="O350" t="n">
        <v>0</v>
      </c>
      <c r="P350" t="n">
        <v>0</v>
      </c>
      <c r="Q350" t="n">
        <v>0</v>
      </c>
      <c r="R350" s="2" t="inlineStr"/>
    </row>
    <row r="351" ht="15" customHeight="1">
      <c r="A351" t="inlineStr">
        <is>
          <t>A 4412-2024</t>
        </is>
      </c>
      <c r="B351" s="1" t="n">
        <v>45327</v>
      </c>
      <c r="C351" s="1" t="n">
        <v>45907</v>
      </c>
      <c r="D351" t="inlineStr">
        <is>
          <t>UPPSALA LÄN</t>
        </is>
      </c>
      <c r="E351" t="inlineStr">
        <is>
          <t>UPPSALA</t>
        </is>
      </c>
      <c r="G351" t="n">
        <v>5.4</v>
      </c>
      <c r="H351" t="n">
        <v>0</v>
      </c>
      <c r="I351" t="n">
        <v>0</v>
      </c>
      <c r="J351" t="n">
        <v>0</v>
      </c>
      <c r="K351" t="n">
        <v>0</v>
      </c>
      <c r="L351" t="n">
        <v>0</v>
      </c>
      <c r="M351" t="n">
        <v>0</v>
      </c>
      <c r="N351" t="n">
        <v>0</v>
      </c>
      <c r="O351" t="n">
        <v>0</v>
      </c>
      <c r="P351" t="n">
        <v>0</v>
      </c>
      <c r="Q351" t="n">
        <v>0</v>
      </c>
      <c r="R351" s="2" t="inlineStr"/>
    </row>
    <row r="352" ht="15" customHeight="1">
      <c r="A352" t="inlineStr">
        <is>
          <t>A 27543-2022</t>
        </is>
      </c>
      <c r="B352" s="1" t="n">
        <v>44742</v>
      </c>
      <c r="C352" s="1" t="n">
        <v>45907</v>
      </c>
      <c r="D352" t="inlineStr">
        <is>
          <t>UPPSALA LÄN</t>
        </is>
      </c>
      <c r="E352" t="inlineStr">
        <is>
          <t>UPPSALA</t>
        </is>
      </c>
      <c r="F352" t="inlineStr">
        <is>
          <t>Kyrkan</t>
        </is>
      </c>
      <c r="G352" t="n">
        <v>2.6</v>
      </c>
      <c r="H352" t="n">
        <v>0</v>
      </c>
      <c r="I352" t="n">
        <v>0</v>
      </c>
      <c r="J352" t="n">
        <v>0</v>
      </c>
      <c r="K352" t="n">
        <v>0</v>
      </c>
      <c r="L352" t="n">
        <v>0</v>
      </c>
      <c r="M352" t="n">
        <v>0</v>
      </c>
      <c r="N352" t="n">
        <v>0</v>
      </c>
      <c r="O352" t="n">
        <v>0</v>
      </c>
      <c r="P352" t="n">
        <v>0</v>
      </c>
      <c r="Q352" t="n">
        <v>0</v>
      </c>
      <c r="R352" s="2" t="inlineStr"/>
    </row>
    <row r="353" ht="15" customHeight="1">
      <c r="A353" t="inlineStr">
        <is>
          <t>A 46743-2024</t>
        </is>
      </c>
      <c r="B353" s="1" t="n">
        <v>45583.47836805556</v>
      </c>
      <c r="C353" s="1" t="n">
        <v>45907</v>
      </c>
      <c r="D353" t="inlineStr">
        <is>
          <t>UPPSALA LÄN</t>
        </is>
      </c>
      <c r="E353" t="inlineStr">
        <is>
          <t>UPPSALA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66690-2021</t>
        </is>
      </c>
      <c r="B354" s="1" t="n">
        <v>44519.64902777778</v>
      </c>
      <c r="C354" s="1" t="n">
        <v>45907</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13602-2025</t>
        </is>
      </c>
      <c r="B355" s="1" t="n">
        <v>45736.60863425926</v>
      </c>
      <c r="C355" s="1" t="n">
        <v>45907</v>
      </c>
      <c r="D355" t="inlineStr">
        <is>
          <t>UPPSALA LÄN</t>
        </is>
      </c>
      <c r="E355" t="inlineStr">
        <is>
          <t>UPPSALA</t>
        </is>
      </c>
      <c r="F355" t="inlineStr">
        <is>
          <t>Allmännings- och besparingsskogar</t>
        </is>
      </c>
      <c r="G355" t="n">
        <v>9.5</v>
      </c>
      <c r="H355" t="n">
        <v>0</v>
      </c>
      <c r="I355" t="n">
        <v>0</v>
      </c>
      <c r="J355" t="n">
        <v>0</v>
      </c>
      <c r="K355" t="n">
        <v>0</v>
      </c>
      <c r="L355" t="n">
        <v>0</v>
      </c>
      <c r="M355" t="n">
        <v>0</v>
      </c>
      <c r="N355" t="n">
        <v>0</v>
      </c>
      <c r="O355" t="n">
        <v>0</v>
      </c>
      <c r="P355" t="n">
        <v>0</v>
      </c>
      <c r="Q355" t="n">
        <v>0</v>
      </c>
      <c r="R355" s="2" t="inlineStr"/>
    </row>
    <row r="356" ht="15" customHeight="1">
      <c r="A356" t="inlineStr">
        <is>
          <t>A 9313-2023</t>
        </is>
      </c>
      <c r="B356" s="1" t="n">
        <v>44980</v>
      </c>
      <c r="C356" s="1" t="n">
        <v>45907</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39818-2024</t>
        </is>
      </c>
      <c r="B357" s="1" t="n">
        <v>45552</v>
      </c>
      <c r="C357" s="1" t="n">
        <v>45907</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53379-2020</t>
        </is>
      </c>
      <c r="B358" s="1" t="n">
        <v>44123</v>
      </c>
      <c r="C358" s="1" t="n">
        <v>45907</v>
      </c>
      <c r="D358" t="inlineStr">
        <is>
          <t>UPPSALA LÄN</t>
        </is>
      </c>
      <c r="E358" t="inlineStr">
        <is>
          <t>UPPSALA</t>
        </is>
      </c>
      <c r="G358" t="n">
        <v>2.6</v>
      </c>
      <c r="H358" t="n">
        <v>0</v>
      </c>
      <c r="I358" t="n">
        <v>0</v>
      </c>
      <c r="J358" t="n">
        <v>0</v>
      </c>
      <c r="K358" t="n">
        <v>0</v>
      </c>
      <c r="L358" t="n">
        <v>0</v>
      </c>
      <c r="M358" t="n">
        <v>0</v>
      </c>
      <c r="N358" t="n">
        <v>0</v>
      </c>
      <c r="O358" t="n">
        <v>0</v>
      </c>
      <c r="P358" t="n">
        <v>0</v>
      </c>
      <c r="Q358" t="n">
        <v>0</v>
      </c>
      <c r="R358" s="2" t="inlineStr"/>
    </row>
    <row r="359" ht="15" customHeight="1">
      <c r="A359" t="inlineStr">
        <is>
          <t>A 7611-2023</t>
        </is>
      </c>
      <c r="B359" s="1" t="n">
        <v>44967</v>
      </c>
      <c r="C359" s="1" t="n">
        <v>45907</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22930-2025</t>
        </is>
      </c>
      <c r="B360" s="1" t="n">
        <v>45790.44972222222</v>
      </c>
      <c r="C360" s="1" t="n">
        <v>45907</v>
      </c>
      <c r="D360" t="inlineStr">
        <is>
          <t>UPPSALA LÄN</t>
        </is>
      </c>
      <c r="E360" t="inlineStr">
        <is>
          <t>UPPSALA</t>
        </is>
      </c>
      <c r="G360" t="n">
        <v>7.7</v>
      </c>
      <c r="H360" t="n">
        <v>0</v>
      </c>
      <c r="I360" t="n">
        <v>0</v>
      </c>
      <c r="J360" t="n">
        <v>0</v>
      </c>
      <c r="K360" t="n">
        <v>0</v>
      </c>
      <c r="L360" t="n">
        <v>0</v>
      </c>
      <c r="M360" t="n">
        <v>0</v>
      </c>
      <c r="N360" t="n">
        <v>0</v>
      </c>
      <c r="O360" t="n">
        <v>0</v>
      </c>
      <c r="P360" t="n">
        <v>0</v>
      </c>
      <c r="Q360" t="n">
        <v>0</v>
      </c>
      <c r="R360" s="2" t="inlineStr"/>
    </row>
    <row r="361" ht="15" customHeight="1">
      <c r="A361" t="inlineStr">
        <is>
          <t>A 18607-2024</t>
        </is>
      </c>
      <c r="B361" s="1" t="n">
        <v>45425.94947916667</v>
      </c>
      <c r="C361" s="1" t="n">
        <v>45907</v>
      </c>
      <c r="D361" t="inlineStr">
        <is>
          <t>UPPSALA LÄN</t>
        </is>
      </c>
      <c r="E361" t="inlineStr">
        <is>
          <t>UPPSALA</t>
        </is>
      </c>
      <c r="G361" t="n">
        <v>4.3</v>
      </c>
      <c r="H361" t="n">
        <v>0</v>
      </c>
      <c r="I361" t="n">
        <v>0</v>
      </c>
      <c r="J361" t="n">
        <v>0</v>
      </c>
      <c r="K361" t="n">
        <v>0</v>
      </c>
      <c r="L361" t="n">
        <v>0</v>
      </c>
      <c r="M361" t="n">
        <v>0</v>
      </c>
      <c r="N361" t="n">
        <v>0</v>
      </c>
      <c r="O361" t="n">
        <v>0</v>
      </c>
      <c r="P361" t="n">
        <v>0</v>
      </c>
      <c r="Q361" t="n">
        <v>0</v>
      </c>
      <c r="R361" s="2" t="inlineStr"/>
    </row>
    <row r="362" ht="15" customHeight="1">
      <c r="A362" t="inlineStr">
        <is>
          <t>A 11339-2025</t>
        </is>
      </c>
      <c r="B362" s="1" t="n">
        <v>45726</v>
      </c>
      <c r="C362" s="1" t="n">
        <v>45907</v>
      </c>
      <c r="D362" t="inlineStr">
        <is>
          <t>UPPSALA LÄN</t>
        </is>
      </c>
      <c r="E362" t="inlineStr">
        <is>
          <t>UPPSALA</t>
        </is>
      </c>
      <c r="G362" t="n">
        <v>13.4</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45907</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56872-2023</t>
        </is>
      </c>
      <c r="B364" s="1" t="n">
        <v>45244.52202546296</v>
      </c>
      <c r="C364" s="1" t="n">
        <v>45907</v>
      </c>
      <c r="D364" t="inlineStr">
        <is>
          <t>UPPSALA LÄN</t>
        </is>
      </c>
      <c r="E364" t="inlineStr">
        <is>
          <t>UPPSALA</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22951-2025</t>
        </is>
      </c>
      <c r="B365" s="1" t="n">
        <v>45790.51040509259</v>
      </c>
      <c r="C365" s="1" t="n">
        <v>45907</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46633-2020</t>
        </is>
      </c>
      <c r="B366" s="1" t="n">
        <v>44095</v>
      </c>
      <c r="C366" s="1" t="n">
        <v>45907</v>
      </c>
      <c r="D366" t="inlineStr">
        <is>
          <t>UPPSALA LÄN</t>
        </is>
      </c>
      <c r="E366" t="inlineStr">
        <is>
          <t>UPPSALA</t>
        </is>
      </c>
      <c r="G366" t="n">
        <v>4.2</v>
      </c>
      <c r="H366" t="n">
        <v>0</v>
      </c>
      <c r="I366" t="n">
        <v>0</v>
      </c>
      <c r="J366" t="n">
        <v>0</v>
      </c>
      <c r="K366" t="n">
        <v>0</v>
      </c>
      <c r="L366" t="n">
        <v>0</v>
      </c>
      <c r="M366" t="n">
        <v>0</v>
      </c>
      <c r="N366" t="n">
        <v>0</v>
      </c>
      <c r="O366" t="n">
        <v>0</v>
      </c>
      <c r="P366" t="n">
        <v>0</v>
      </c>
      <c r="Q366" t="n">
        <v>0</v>
      </c>
      <c r="R366" s="2" t="inlineStr"/>
    </row>
    <row r="367" ht="15" customHeight="1">
      <c r="A367" t="inlineStr">
        <is>
          <t>A 5204-2025</t>
        </is>
      </c>
      <c r="B367" s="1" t="n">
        <v>45691</v>
      </c>
      <c r="C367" s="1" t="n">
        <v>45907</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53384-2024</t>
        </is>
      </c>
      <c r="B368" s="1" t="n">
        <v>45614</v>
      </c>
      <c r="C368" s="1" t="n">
        <v>45907</v>
      </c>
      <c r="D368" t="inlineStr">
        <is>
          <t>UPPSALA LÄN</t>
        </is>
      </c>
      <c r="E368" t="inlineStr">
        <is>
          <t>UPPSALA</t>
        </is>
      </c>
      <c r="G368" t="n">
        <v>3.7</v>
      </c>
      <c r="H368" t="n">
        <v>0</v>
      </c>
      <c r="I368" t="n">
        <v>0</v>
      </c>
      <c r="J368" t="n">
        <v>0</v>
      </c>
      <c r="K368" t="n">
        <v>0</v>
      </c>
      <c r="L368" t="n">
        <v>0</v>
      </c>
      <c r="M368" t="n">
        <v>0</v>
      </c>
      <c r="N368" t="n">
        <v>0</v>
      </c>
      <c r="O368" t="n">
        <v>0</v>
      </c>
      <c r="P368" t="n">
        <v>0</v>
      </c>
      <c r="Q368" t="n">
        <v>0</v>
      </c>
      <c r="R368" s="2" t="inlineStr"/>
    </row>
    <row r="369" ht="15" customHeight="1">
      <c r="A369" t="inlineStr">
        <is>
          <t>A 5669-2023</t>
        </is>
      </c>
      <c r="B369" s="1" t="n">
        <v>44960.65061342593</v>
      </c>
      <c r="C369" s="1" t="n">
        <v>45907</v>
      </c>
      <c r="D369" t="inlineStr">
        <is>
          <t>UPPSALA LÄN</t>
        </is>
      </c>
      <c r="E369" t="inlineStr">
        <is>
          <t>UPPSALA</t>
        </is>
      </c>
      <c r="G369" t="n">
        <v>1.4</v>
      </c>
      <c r="H369" t="n">
        <v>0</v>
      </c>
      <c r="I369" t="n">
        <v>0</v>
      </c>
      <c r="J369" t="n">
        <v>0</v>
      </c>
      <c r="K369" t="n">
        <v>0</v>
      </c>
      <c r="L369" t="n">
        <v>0</v>
      </c>
      <c r="M369" t="n">
        <v>0</v>
      </c>
      <c r="N369" t="n">
        <v>0</v>
      </c>
      <c r="O369" t="n">
        <v>0</v>
      </c>
      <c r="P369" t="n">
        <v>0</v>
      </c>
      <c r="Q369" t="n">
        <v>0</v>
      </c>
      <c r="R369" s="2" t="inlineStr"/>
    </row>
    <row r="370" ht="15" customHeight="1">
      <c r="A370" t="inlineStr">
        <is>
          <t>A 5678-2023</t>
        </is>
      </c>
      <c r="B370" s="1" t="n">
        <v>44960</v>
      </c>
      <c r="C370" s="1" t="n">
        <v>45907</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46796-2024</t>
        </is>
      </c>
      <c r="B371" s="1" t="n">
        <v>45583</v>
      </c>
      <c r="C371" s="1" t="n">
        <v>45907</v>
      </c>
      <c r="D371" t="inlineStr">
        <is>
          <t>UPPSALA LÄN</t>
        </is>
      </c>
      <c r="E371" t="inlineStr">
        <is>
          <t>UPPSALA</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341-2024</t>
        </is>
      </c>
      <c r="B372" s="1" t="n">
        <v>45295</v>
      </c>
      <c r="C372" s="1" t="n">
        <v>45907</v>
      </c>
      <c r="D372" t="inlineStr">
        <is>
          <t>UPPSALA LÄN</t>
        </is>
      </c>
      <c r="E372" t="inlineStr">
        <is>
          <t>UPPSALA</t>
        </is>
      </c>
      <c r="F372" t="inlineStr">
        <is>
          <t>Allmännings- och besparingsskogar</t>
        </is>
      </c>
      <c r="G372" t="n">
        <v>1.8</v>
      </c>
      <c r="H372" t="n">
        <v>0</v>
      </c>
      <c r="I372" t="n">
        <v>0</v>
      </c>
      <c r="J372" t="n">
        <v>0</v>
      </c>
      <c r="K372" t="n">
        <v>0</v>
      </c>
      <c r="L372" t="n">
        <v>0</v>
      </c>
      <c r="M372" t="n">
        <v>0</v>
      </c>
      <c r="N372" t="n">
        <v>0</v>
      </c>
      <c r="O372" t="n">
        <v>0</v>
      </c>
      <c r="P372" t="n">
        <v>0</v>
      </c>
      <c r="Q372" t="n">
        <v>0</v>
      </c>
      <c r="R372" s="2" t="inlineStr"/>
    </row>
    <row r="373" ht="15" customHeight="1">
      <c r="A373" t="inlineStr">
        <is>
          <t>A 733-2022</t>
        </is>
      </c>
      <c r="B373" s="1" t="n">
        <v>44568.67040509259</v>
      </c>
      <c r="C373" s="1" t="n">
        <v>45907</v>
      </c>
      <c r="D373" t="inlineStr">
        <is>
          <t>UPPSALA LÄN</t>
        </is>
      </c>
      <c r="E373" t="inlineStr">
        <is>
          <t>UPPSALA</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20087-2023</t>
        </is>
      </c>
      <c r="B374" s="1" t="n">
        <v>45054.9271875</v>
      </c>
      <c r="C374" s="1" t="n">
        <v>45907</v>
      </c>
      <c r="D374" t="inlineStr">
        <is>
          <t>UPPSALA LÄN</t>
        </is>
      </c>
      <c r="E374" t="inlineStr">
        <is>
          <t>UPPSALA</t>
        </is>
      </c>
      <c r="G374" t="n">
        <v>1</v>
      </c>
      <c r="H374" t="n">
        <v>0</v>
      </c>
      <c r="I374" t="n">
        <v>0</v>
      </c>
      <c r="J374" t="n">
        <v>0</v>
      </c>
      <c r="K374" t="n">
        <v>0</v>
      </c>
      <c r="L374" t="n">
        <v>0</v>
      </c>
      <c r="M374" t="n">
        <v>0</v>
      </c>
      <c r="N374" t="n">
        <v>0</v>
      </c>
      <c r="O374" t="n">
        <v>0</v>
      </c>
      <c r="P374" t="n">
        <v>0</v>
      </c>
      <c r="Q374" t="n">
        <v>0</v>
      </c>
      <c r="R374" s="2" t="inlineStr"/>
    </row>
    <row r="375" ht="15" customHeight="1">
      <c r="A375" t="inlineStr">
        <is>
          <t>A 48588-2022</t>
        </is>
      </c>
      <c r="B375" s="1" t="n">
        <v>44859.36896990741</v>
      </c>
      <c r="C375" s="1" t="n">
        <v>45907</v>
      </c>
      <c r="D375" t="inlineStr">
        <is>
          <t>UPPSALA LÄN</t>
        </is>
      </c>
      <c r="E375" t="inlineStr">
        <is>
          <t>UPPSALA</t>
        </is>
      </c>
      <c r="G375" t="n">
        <v>2</v>
      </c>
      <c r="H375" t="n">
        <v>0</v>
      </c>
      <c r="I375" t="n">
        <v>0</v>
      </c>
      <c r="J375" t="n">
        <v>0</v>
      </c>
      <c r="K375" t="n">
        <v>0</v>
      </c>
      <c r="L375" t="n">
        <v>0</v>
      </c>
      <c r="M375" t="n">
        <v>0</v>
      </c>
      <c r="N375" t="n">
        <v>0</v>
      </c>
      <c r="O375" t="n">
        <v>0</v>
      </c>
      <c r="P375" t="n">
        <v>0</v>
      </c>
      <c r="Q375" t="n">
        <v>0</v>
      </c>
      <c r="R375" s="2" t="inlineStr"/>
    </row>
    <row r="376" ht="15" customHeight="1">
      <c r="A376" t="inlineStr">
        <is>
          <t>A 10827-2024</t>
        </is>
      </c>
      <c r="B376" s="1" t="n">
        <v>45369</v>
      </c>
      <c r="C376" s="1" t="n">
        <v>45907</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6971-2025</t>
        </is>
      </c>
      <c r="B377" s="1" t="n">
        <v>45693</v>
      </c>
      <c r="C377" s="1" t="n">
        <v>45907</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43032-2022</t>
        </is>
      </c>
      <c r="B378" s="1" t="n">
        <v>44832</v>
      </c>
      <c r="C378" s="1" t="n">
        <v>45907</v>
      </c>
      <c r="D378" t="inlineStr">
        <is>
          <t>UPPSALA LÄN</t>
        </is>
      </c>
      <c r="E378" t="inlineStr">
        <is>
          <t>UPPSALA</t>
        </is>
      </c>
      <c r="G378" t="n">
        <v>1.5</v>
      </c>
      <c r="H378" t="n">
        <v>0</v>
      </c>
      <c r="I378" t="n">
        <v>0</v>
      </c>
      <c r="J378" t="n">
        <v>0</v>
      </c>
      <c r="K378" t="n">
        <v>0</v>
      </c>
      <c r="L378" t="n">
        <v>0</v>
      </c>
      <c r="M378" t="n">
        <v>0</v>
      </c>
      <c r="N378" t="n">
        <v>0</v>
      </c>
      <c r="O378" t="n">
        <v>0</v>
      </c>
      <c r="P378" t="n">
        <v>0</v>
      </c>
      <c r="Q378" t="n">
        <v>0</v>
      </c>
      <c r="R378" s="2" t="inlineStr"/>
    </row>
    <row r="379" ht="15" customHeight="1">
      <c r="A379" t="inlineStr">
        <is>
          <t>A 12830-2025</t>
        </is>
      </c>
      <c r="B379" s="1" t="n">
        <v>45733.63099537037</v>
      </c>
      <c r="C379" s="1" t="n">
        <v>45907</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45907</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50669-2024</t>
        </is>
      </c>
      <c r="B381" s="1" t="n">
        <v>45601</v>
      </c>
      <c r="C381" s="1" t="n">
        <v>45907</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37588-2022</t>
        </is>
      </c>
      <c r="B382" s="1" t="n">
        <v>44809.92752314815</v>
      </c>
      <c r="C382" s="1" t="n">
        <v>45907</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34509-2023</t>
        </is>
      </c>
      <c r="B383" s="1" t="n">
        <v>45133</v>
      </c>
      <c r="C383" s="1" t="n">
        <v>45907</v>
      </c>
      <c r="D383" t="inlineStr">
        <is>
          <t>UPPSALA LÄN</t>
        </is>
      </c>
      <c r="E383" t="inlineStr">
        <is>
          <t>UPPSALA</t>
        </is>
      </c>
      <c r="G383" t="n">
        <v>2.6</v>
      </c>
      <c r="H383" t="n">
        <v>0</v>
      </c>
      <c r="I383" t="n">
        <v>0</v>
      </c>
      <c r="J383" t="n">
        <v>0</v>
      </c>
      <c r="K383" t="n">
        <v>0</v>
      </c>
      <c r="L383" t="n">
        <v>0</v>
      </c>
      <c r="M383" t="n">
        <v>0</v>
      </c>
      <c r="N383" t="n">
        <v>0</v>
      </c>
      <c r="O383" t="n">
        <v>0</v>
      </c>
      <c r="P383" t="n">
        <v>0</v>
      </c>
      <c r="Q383" t="n">
        <v>0</v>
      </c>
      <c r="R383" s="2" t="inlineStr"/>
    </row>
    <row r="384" ht="15" customHeight="1">
      <c r="A384" t="inlineStr">
        <is>
          <t>A 59549-2024</t>
        </is>
      </c>
      <c r="B384" s="1" t="n">
        <v>45638</v>
      </c>
      <c r="C384" s="1" t="n">
        <v>45907</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30319-2024</t>
        </is>
      </c>
      <c r="B385" s="1" t="n">
        <v>45490</v>
      </c>
      <c r="C385" s="1" t="n">
        <v>45907</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45885-2023</t>
        </is>
      </c>
      <c r="B386" s="1" t="n">
        <v>45195.64807870371</v>
      </c>
      <c r="C386" s="1" t="n">
        <v>45907</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33939-2024</t>
        </is>
      </c>
      <c r="B387" s="1" t="n">
        <v>45523</v>
      </c>
      <c r="C387" s="1" t="n">
        <v>45907</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13343-2022</t>
        </is>
      </c>
      <c r="B388" s="1" t="n">
        <v>44645.39157407408</v>
      </c>
      <c r="C388" s="1" t="n">
        <v>45907</v>
      </c>
      <c r="D388" t="inlineStr">
        <is>
          <t>UPPSALA LÄN</t>
        </is>
      </c>
      <c r="E388" t="inlineStr">
        <is>
          <t>UPPSALA</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11173-2024</t>
        </is>
      </c>
      <c r="B389" s="1" t="n">
        <v>45371.50738425926</v>
      </c>
      <c r="C389" s="1" t="n">
        <v>45907</v>
      </c>
      <c r="D389" t="inlineStr">
        <is>
          <t>UPPSALA LÄN</t>
        </is>
      </c>
      <c r="E389" t="inlineStr">
        <is>
          <t>UPPSALA</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9242-2022</t>
        </is>
      </c>
      <c r="B390" s="1" t="n">
        <v>44616</v>
      </c>
      <c r="C390" s="1" t="n">
        <v>45907</v>
      </c>
      <c r="D390" t="inlineStr">
        <is>
          <t>UPPSALA LÄN</t>
        </is>
      </c>
      <c r="E390" t="inlineStr">
        <is>
          <t>UPPSALA</t>
        </is>
      </c>
      <c r="F390" t="inlineStr">
        <is>
          <t>Övriga Aktiebolag</t>
        </is>
      </c>
      <c r="G390" t="n">
        <v>5.9</v>
      </c>
      <c r="H390" t="n">
        <v>0</v>
      </c>
      <c r="I390" t="n">
        <v>0</v>
      </c>
      <c r="J390" t="n">
        <v>0</v>
      </c>
      <c r="K390" t="n">
        <v>0</v>
      </c>
      <c r="L390" t="n">
        <v>0</v>
      </c>
      <c r="M390" t="n">
        <v>0</v>
      </c>
      <c r="N390" t="n">
        <v>0</v>
      </c>
      <c r="O390" t="n">
        <v>0</v>
      </c>
      <c r="P390" t="n">
        <v>0</v>
      </c>
      <c r="Q390" t="n">
        <v>0</v>
      </c>
      <c r="R390" s="2" t="inlineStr"/>
    </row>
    <row r="391" ht="15" customHeight="1">
      <c r="A391" t="inlineStr">
        <is>
          <t>A 14907-2025</t>
        </is>
      </c>
      <c r="B391" s="1" t="n">
        <v>45743.50744212963</v>
      </c>
      <c r="C391" s="1" t="n">
        <v>45907</v>
      </c>
      <c r="D391" t="inlineStr">
        <is>
          <t>UPPSALA LÄN</t>
        </is>
      </c>
      <c r="E391" t="inlineStr">
        <is>
          <t>UPPSALA</t>
        </is>
      </c>
      <c r="G391" t="n">
        <v>7</v>
      </c>
      <c r="H391" t="n">
        <v>0</v>
      </c>
      <c r="I391" t="n">
        <v>0</v>
      </c>
      <c r="J391" t="n">
        <v>0</v>
      </c>
      <c r="K391" t="n">
        <v>0</v>
      </c>
      <c r="L391" t="n">
        <v>0</v>
      </c>
      <c r="M391" t="n">
        <v>0</v>
      </c>
      <c r="N391" t="n">
        <v>0</v>
      </c>
      <c r="O391" t="n">
        <v>0</v>
      </c>
      <c r="P391" t="n">
        <v>0</v>
      </c>
      <c r="Q391" t="n">
        <v>0</v>
      </c>
      <c r="R391" s="2" t="inlineStr"/>
    </row>
    <row r="392" ht="15" customHeight="1">
      <c r="A392" t="inlineStr">
        <is>
          <t>A 20903-2024</t>
        </is>
      </c>
      <c r="B392" s="1" t="n">
        <v>45439</v>
      </c>
      <c r="C392" s="1" t="n">
        <v>45907</v>
      </c>
      <c r="D392" t="inlineStr">
        <is>
          <t>UPPSALA LÄN</t>
        </is>
      </c>
      <c r="E392" t="inlineStr">
        <is>
          <t>UPPSALA</t>
        </is>
      </c>
      <c r="F392" t="inlineStr">
        <is>
          <t>Holmen skog AB</t>
        </is>
      </c>
      <c r="G392" t="n">
        <v>2.7</v>
      </c>
      <c r="H392" t="n">
        <v>0</v>
      </c>
      <c r="I392" t="n">
        <v>0</v>
      </c>
      <c r="J392" t="n">
        <v>0</v>
      </c>
      <c r="K392" t="n">
        <v>0</v>
      </c>
      <c r="L392" t="n">
        <v>0</v>
      </c>
      <c r="M392" t="n">
        <v>0</v>
      </c>
      <c r="N392" t="n">
        <v>0</v>
      </c>
      <c r="O392" t="n">
        <v>0</v>
      </c>
      <c r="P392" t="n">
        <v>0</v>
      </c>
      <c r="Q392" t="n">
        <v>0</v>
      </c>
      <c r="R392" s="2" t="inlineStr"/>
    </row>
    <row r="393" ht="15" customHeight="1">
      <c r="A393" t="inlineStr">
        <is>
          <t>A 5876-2024</t>
        </is>
      </c>
      <c r="B393" s="1" t="n">
        <v>45335.66331018518</v>
      </c>
      <c r="C393" s="1" t="n">
        <v>45907</v>
      </c>
      <c r="D393" t="inlineStr">
        <is>
          <t>UPPSALA LÄN</t>
        </is>
      </c>
      <c r="E393" t="inlineStr">
        <is>
          <t>UPPSALA</t>
        </is>
      </c>
      <c r="F393" t="inlineStr">
        <is>
          <t>Kyrkan</t>
        </is>
      </c>
      <c r="G393" t="n">
        <v>1.7</v>
      </c>
      <c r="H393" t="n">
        <v>0</v>
      </c>
      <c r="I393" t="n">
        <v>0</v>
      </c>
      <c r="J393" t="n">
        <v>0</v>
      </c>
      <c r="K393" t="n">
        <v>0</v>
      </c>
      <c r="L393" t="n">
        <v>0</v>
      </c>
      <c r="M393" t="n">
        <v>0</v>
      </c>
      <c r="N393" t="n">
        <v>0</v>
      </c>
      <c r="O393" t="n">
        <v>0</v>
      </c>
      <c r="P393" t="n">
        <v>0</v>
      </c>
      <c r="Q393" t="n">
        <v>0</v>
      </c>
      <c r="R393" s="2" t="inlineStr"/>
    </row>
    <row r="394" ht="15" customHeight="1">
      <c r="A394" t="inlineStr">
        <is>
          <t>A 56084-2024</t>
        </is>
      </c>
      <c r="B394" s="1" t="n">
        <v>45624</v>
      </c>
      <c r="C394" s="1" t="n">
        <v>45907</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18443-2023</t>
        </is>
      </c>
      <c r="B395" s="1" t="n">
        <v>45042</v>
      </c>
      <c r="C395" s="1" t="n">
        <v>45907</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781-2024</t>
        </is>
      </c>
      <c r="B396" s="1" t="n">
        <v>45300.55028935185</v>
      </c>
      <c r="C396" s="1" t="n">
        <v>45907</v>
      </c>
      <c r="D396" t="inlineStr">
        <is>
          <t>UPPSALA LÄN</t>
        </is>
      </c>
      <c r="E396" t="inlineStr">
        <is>
          <t>UPPSALA</t>
        </is>
      </c>
      <c r="G396" t="n">
        <v>6.3</v>
      </c>
      <c r="H396" t="n">
        <v>0</v>
      </c>
      <c r="I396" t="n">
        <v>0</v>
      </c>
      <c r="J396" t="n">
        <v>0</v>
      </c>
      <c r="K396" t="n">
        <v>0</v>
      </c>
      <c r="L396" t="n">
        <v>0</v>
      </c>
      <c r="M396" t="n">
        <v>0</v>
      </c>
      <c r="N396" t="n">
        <v>0</v>
      </c>
      <c r="O396" t="n">
        <v>0</v>
      </c>
      <c r="P396" t="n">
        <v>0</v>
      </c>
      <c r="Q396" t="n">
        <v>0</v>
      </c>
      <c r="R396" s="2" t="inlineStr"/>
    </row>
    <row r="397" ht="15" customHeight="1">
      <c r="A397" t="inlineStr">
        <is>
          <t>A 59098-2024</t>
        </is>
      </c>
      <c r="B397" s="1" t="n">
        <v>45636</v>
      </c>
      <c r="C397" s="1" t="n">
        <v>45907</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24268-2025</t>
        </is>
      </c>
      <c r="B398" s="1" t="n">
        <v>45797.42777777778</v>
      </c>
      <c r="C398" s="1" t="n">
        <v>45907</v>
      </c>
      <c r="D398" t="inlineStr">
        <is>
          <t>UPPSALA LÄN</t>
        </is>
      </c>
      <c r="E398" t="inlineStr">
        <is>
          <t>UPPSALA</t>
        </is>
      </c>
      <c r="G398" t="n">
        <v>2.5</v>
      </c>
      <c r="H398" t="n">
        <v>0</v>
      </c>
      <c r="I398" t="n">
        <v>0</v>
      </c>
      <c r="J398" t="n">
        <v>0</v>
      </c>
      <c r="K398" t="n">
        <v>0</v>
      </c>
      <c r="L398" t="n">
        <v>0</v>
      </c>
      <c r="M398" t="n">
        <v>0</v>
      </c>
      <c r="N398" t="n">
        <v>0</v>
      </c>
      <c r="O398" t="n">
        <v>0</v>
      </c>
      <c r="P398" t="n">
        <v>0</v>
      </c>
      <c r="Q398" t="n">
        <v>0</v>
      </c>
      <c r="R398" s="2" t="inlineStr"/>
    </row>
    <row r="399" ht="15" customHeight="1">
      <c r="A399" t="inlineStr">
        <is>
          <t>A 19017-2023</t>
        </is>
      </c>
      <c r="B399" s="1" t="n">
        <v>45047.31793981481</v>
      </c>
      <c r="C399" s="1" t="n">
        <v>45907</v>
      </c>
      <c r="D399" t="inlineStr">
        <is>
          <t>UPPSALA LÄN</t>
        </is>
      </c>
      <c r="E399" t="inlineStr">
        <is>
          <t>UPPSALA</t>
        </is>
      </c>
      <c r="G399" t="n">
        <v>0.6</v>
      </c>
      <c r="H399" t="n">
        <v>0</v>
      </c>
      <c r="I399" t="n">
        <v>0</v>
      </c>
      <c r="J399" t="n">
        <v>0</v>
      </c>
      <c r="K399" t="n">
        <v>0</v>
      </c>
      <c r="L399" t="n">
        <v>0</v>
      </c>
      <c r="M399" t="n">
        <v>0</v>
      </c>
      <c r="N399" t="n">
        <v>0</v>
      </c>
      <c r="O399" t="n">
        <v>0</v>
      </c>
      <c r="P399" t="n">
        <v>0</v>
      </c>
      <c r="Q399" t="n">
        <v>0</v>
      </c>
      <c r="R399" s="2" t="inlineStr"/>
    </row>
    <row r="400" ht="15" customHeight="1">
      <c r="A400" t="inlineStr">
        <is>
          <t>A 14026-2021</t>
        </is>
      </c>
      <c r="B400" s="1" t="n">
        <v>44277.65650462963</v>
      </c>
      <c r="C400" s="1" t="n">
        <v>45907</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10674-2022</t>
        </is>
      </c>
      <c r="B401" s="1" t="n">
        <v>44624.64538194444</v>
      </c>
      <c r="C401" s="1" t="n">
        <v>45907</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9592-2022</t>
        </is>
      </c>
      <c r="B402" s="1" t="n">
        <v>44617.48311342593</v>
      </c>
      <c r="C402" s="1" t="n">
        <v>45907</v>
      </c>
      <c r="D402" t="inlineStr">
        <is>
          <t>UPPSALA LÄN</t>
        </is>
      </c>
      <c r="E402" t="inlineStr">
        <is>
          <t>UPPSALA</t>
        </is>
      </c>
      <c r="G402" t="n">
        <v>7.5</v>
      </c>
      <c r="H402" t="n">
        <v>0</v>
      </c>
      <c r="I402" t="n">
        <v>0</v>
      </c>
      <c r="J402" t="n">
        <v>0</v>
      </c>
      <c r="K402" t="n">
        <v>0</v>
      </c>
      <c r="L402" t="n">
        <v>0</v>
      </c>
      <c r="M402" t="n">
        <v>0</v>
      </c>
      <c r="N402" t="n">
        <v>0</v>
      </c>
      <c r="O402" t="n">
        <v>0</v>
      </c>
      <c r="P402" t="n">
        <v>0</v>
      </c>
      <c r="Q402" t="n">
        <v>0</v>
      </c>
      <c r="R402" s="2" t="inlineStr"/>
    </row>
    <row r="403" ht="15" customHeight="1">
      <c r="A403" t="inlineStr">
        <is>
          <t>A 24284-2025</t>
        </is>
      </c>
      <c r="B403" s="1" t="n">
        <v>45797.45900462963</v>
      </c>
      <c r="C403" s="1" t="n">
        <v>45907</v>
      </c>
      <c r="D403" t="inlineStr">
        <is>
          <t>UPPSALA LÄN</t>
        </is>
      </c>
      <c r="E403" t="inlineStr">
        <is>
          <t>UPPSALA</t>
        </is>
      </c>
      <c r="F403" t="inlineStr">
        <is>
          <t>Holmen skog AB</t>
        </is>
      </c>
      <c r="G403" t="n">
        <v>12.7</v>
      </c>
      <c r="H403" t="n">
        <v>0</v>
      </c>
      <c r="I403" t="n">
        <v>0</v>
      </c>
      <c r="J403" t="n">
        <v>0</v>
      </c>
      <c r="K403" t="n">
        <v>0</v>
      </c>
      <c r="L403" t="n">
        <v>0</v>
      </c>
      <c r="M403" t="n">
        <v>0</v>
      </c>
      <c r="N403" t="n">
        <v>0</v>
      </c>
      <c r="O403" t="n">
        <v>0</v>
      </c>
      <c r="P403" t="n">
        <v>0</v>
      </c>
      <c r="Q403" t="n">
        <v>0</v>
      </c>
      <c r="R403" s="2" t="inlineStr"/>
    </row>
    <row r="404" ht="15" customHeight="1">
      <c r="A404" t="inlineStr">
        <is>
          <t>A 29901-2023</t>
        </is>
      </c>
      <c r="B404" s="1" t="n">
        <v>45107</v>
      </c>
      <c r="C404" s="1" t="n">
        <v>45907</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29926-2023</t>
        </is>
      </c>
      <c r="B405" s="1" t="n">
        <v>45107</v>
      </c>
      <c r="C405" s="1" t="n">
        <v>45907</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34520-2024</t>
        </is>
      </c>
      <c r="B406" s="1" t="n">
        <v>45525</v>
      </c>
      <c r="C406" s="1" t="n">
        <v>45907</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19539-2024</t>
        </is>
      </c>
      <c r="B407" s="1" t="n">
        <v>45429</v>
      </c>
      <c r="C407" s="1" t="n">
        <v>45907</v>
      </c>
      <c r="D407" t="inlineStr">
        <is>
          <t>UPPSALA LÄN</t>
        </is>
      </c>
      <c r="E407" t="inlineStr">
        <is>
          <t>UPPSALA</t>
        </is>
      </c>
      <c r="G407" t="n">
        <v>1.9</v>
      </c>
      <c r="H407" t="n">
        <v>0</v>
      </c>
      <c r="I407" t="n">
        <v>0</v>
      </c>
      <c r="J407" t="n">
        <v>0</v>
      </c>
      <c r="K407" t="n">
        <v>0</v>
      </c>
      <c r="L407" t="n">
        <v>0</v>
      </c>
      <c r="M407" t="n">
        <v>0</v>
      </c>
      <c r="N407" t="n">
        <v>0</v>
      </c>
      <c r="O407" t="n">
        <v>0</v>
      </c>
      <c r="P407" t="n">
        <v>0</v>
      </c>
      <c r="Q407" t="n">
        <v>0</v>
      </c>
      <c r="R407" s="2" t="inlineStr"/>
    </row>
    <row r="408" ht="15" customHeight="1">
      <c r="A408" t="inlineStr">
        <is>
          <t>A 4509-2024</t>
        </is>
      </c>
      <c r="B408" s="1" t="n">
        <v>45327</v>
      </c>
      <c r="C408" s="1" t="n">
        <v>45907</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19513-2023</t>
        </is>
      </c>
      <c r="B409" s="1" t="n">
        <v>45050.49392361111</v>
      </c>
      <c r="C409" s="1" t="n">
        <v>45907</v>
      </c>
      <c r="D409" t="inlineStr">
        <is>
          <t>UPPSALA LÄN</t>
        </is>
      </c>
      <c r="E409" t="inlineStr">
        <is>
          <t>UPPSALA</t>
        </is>
      </c>
      <c r="G409" t="n">
        <v>6.6</v>
      </c>
      <c r="H409" t="n">
        <v>0</v>
      </c>
      <c r="I409" t="n">
        <v>0</v>
      </c>
      <c r="J409" t="n">
        <v>0</v>
      </c>
      <c r="K409" t="n">
        <v>0</v>
      </c>
      <c r="L409" t="n">
        <v>0</v>
      </c>
      <c r="M409" t="n">
        <v>0</v>
      </c>
      <c r="N409" t="n">
        <v>0</v>
      </c>
      <c r="O409" t="n">
        <v>0</v>
      </c>
      <c r="P409" t="n">
        <v>0</v>
      </c>
      <c r="Q409" t="n">
        <v>0</v>
      </c>
      <c r="R409" s="2" t="inlineStr"/>
    </row>
    <row r="410" ht="15" customHeight="1">
      <c r="A410" t="inlineStr">
        <is>
          <t>A 24912-2025</t>
        </is>
      </c>
      <c r="B410" s="1" t="n">
        <v>45799.53803240741</v>
      </c>
      <c r="C410" s="1" t="n">
        <v>45907</v>
      </c>
      <c r="D410" t="inlineStr">
        <is>
          <t>UPPSALA LÄN</t>
        </is>
      </c>
      <c r="E410" t="inlineStr">
        <is>
          <t>UPPSALA</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17788-2023</t>
        </is>
      </c>
      <c r="B411" s="1" t="n">
        <v>45037</v>
      </c>
      <c r="C411" s="1" t="n">
        <v>45907</v>
      </c>
      <c r="D411" t="inlineStr">
        <is>
          <t>UPPSALA LÄN</t>
        </is>
      </c>
      <c r="E411" t="inlineStr">
        <is>
          <t>UPPSALA</t>
        </is>
      </c>
      <c r="F411" t="inlineStr">
        <is>
          <t>Övriga Aktiebolag</t>
        </is>
      </c>
      <c r="G411" t="n">
        <v>3.7</v>
      </c>
      <c r="H411" t="n">
        <v>0</v>
      </c>
      <c r="I411" t="n">
        <v>0</v>
      </c>
      <c r="J411" t="n">
        <v>0</v>
      </c>
      <c r="K411" t="n">
        <v>0</v>
      </c>
      <c r="L411" t="n">
        <v>0</v>
      </c>
      <c r="M411" t="n">
        <v>0</v>
      </c>
      <c r="N411" t="n">
        <v>0</v>
      </c>
      <c r="O411" t="n">
        <v>0</v>
      </c>
      <c r="P411" t="n">
        <v>0</v>
      </c>
      <c r="Q411" t="n">
        <v>0</v>
      </c>
      <c r="R411" s="2" t="inlineStr"/>
    </row>
    <row r="412" ht="15" customHeight="1">
      <c r="A412" t="inlineStr">
        <is>
          <t>A 24909-2025</t>
        </is>
      </c>
      <c r="B412" s="1" t="n">
        <v>45799.53348379629</v>
      </c>
      <c r="C412" s="1" t="n">
        <v>45907</v>
      </c>
      <c r="D412" t="inlineStr">
        <is>
          <t>UPPSALA LÄN</t>
        </is>
      </c>
      <c r="E412" t="inlineStr">
        <is>
          <t>UPPSALA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25056-2025</t>
        </is>
      </c>
      <c r="B413" s="1" t="n">
        <v>45799.68190972223</v>
      </c>
      <c r="C413" s="1" t="n">
        <v>45907</v>
      </c>
      <c r="D413" t="inlineStr">
        <is>
          <t>UPPSALA LÄN</t>
        </is>
      </c>
      <c r="E413" t="inlineStr">
        <is>
          <t>UPPSALA</t>
        </is>
      </c>
      <c r="F413" t="inlineStr">
        <is>
          <t>Bergvik skog öst AB</t>
        </is>
      </c>
      <c r="G413" t="n">
        <v>20.9</v>
      </c>
      <c r="H413" t="n">
        <v>0</v>
      </c>
      <c r="I413" t="n">
        <v>0</v>
      </c>
      <c r="J413" t="n">
        <v>0</v>
      </c>
      <c r="K413" t="n">
        <v>0</v>
      </c>
      <c r="L413" t="n">
        <v>0</v>
      </c>
      <c r="M413" t="n">
        <v>0</v>
      </c>
      <c r="N413" t="n">
        <v>0</v>
      </c>
      <c r="O413" t="n">
        <v>0</v>
      </c>
      <c r="P413" t="n">
        <v>0</v>
      </c>
      <c r="Q413" t="n">
        <v>0</v>
      </c>
      <c r="R413" s="2" t="inlineStr"/>
    </row>
    <row r="414" ht="15" customHeight="1">
      <c r="A414" t="inlineStr">
        <is>
          <t>A 3353-2023</t>
        </is>
      </c>
      <c r="B414" s="1" t="n">
        <v>44949.4708912037</v>
      </c>
      <c r="C414" s="1" t="n">
        <v>45907</v>
      </c>
      <c r="D414" t="inlineStr">
        <is>
          <t>UPPSALA LÄN</t>
        </is>
      </c>
      <c r="E414" t="inlineStr">
        <is>
          <t>UPPSALA</t>
        </is>
      </c>
      <c r="G414" t="n">
        <v>3</v>
      </c>
      <c r="H414" t="n">
        <v>0</v>
      </c>
      <c r="I414" t="n">
        <v>0</v>
      </c>
      <c r="J414" t="n">
        <v>0</v>
      </c>
      <c r="K414" t="n">
        <v>0</v>
      </c>
      <c r="L414" t="n">
        <v>0</v>
      </c>
      <c r="M414" t="n">
        <v>0</v>
      </c>
      <c r="N414" t="n">
        <v>0</v>
      </c>
      <c r="O414" t="n">
        <v>0</v>
      </c>
      <c r="P414" t="n">
        <v>0</v>
      </c>
      <c r="Q414" t="n">
        <v>0</v>
      </c>
      <c r="R414" s="2" t="inlineStr"/>
    </row>
    <row r="415" ht="15" customHeight="1">
      <c r="A415" t="inlineStr">
        <is>
          <t>A 25055-2025</t>
        </is>
      </c>
      <c r="B415" s="1" t="n">
        <v>45799.67806712963</v>
      </c>
      <c r="C415" s="1" t="n">
        <v>45907</v>
      </c>
      <c r="D415" t="inlineStr">
        <is>
          <t>UPPSALA LÄN</t>
        </is>
      </c>
      <c r="E415" t="inlineStr">
        <is>
          <t>UPPSALA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24521-2025</t>
        </is>
      </c>
      <c r="B416" s="1" t="n">
        <v>45798.41734953703</v>
      </c>
      <c r="C416" s="1" t="n">
        <v>45907</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24961-2025</t>
        </is>
      </c>
      <c r="B417" s="1" t="n">
        <v>45799.57714120371</v>
      </c>
      <c r="C417" s="1" t="n">
        <v>45907</v>
      </c>
      <c r="D417" t="inlineStr">
        <is>
          <t>UPPSALA LÄN</t>
        </is>
      </c>
      <c r="E417" t="inlineStr">
        <is>
          <t>UPPSALA</t>
        </is>
      </c>
      <c r="G417" t="n">
        <v>0.7</v>
      </c>
      <c r="H417" t="n">
        <v>0</v>
      </c>
      <c r="I417" t="n">
        <v>0</v>
      </c>
      <c r="J417" t="n">
        <v>0</v>
      </c>
      <c r="K417" t="n">
        <v>0</v>
      </c>
      <c r="L417" t="n">
        <v>0</v>
      </c>
      <c r="M417" t="n">
        <v>0</v>
      </c>
      <c r="N417" t="n">
        <v>0</v>
      </c>
      <c r="O417" t="n">
        <v>0</v>
      </c>
      <c r="P417" t="n">
        <v>0</v>
      </c>
      <c r="Q417" t="n">
        <v>0</v>
      </c>
      <c r="R417" s="2" t="inlineStr"/>
    </row>
    <row r="418" ht="15" customHeight="1">
      <c r="A418" t="inlineStr">
        <is>
          <t>A 787-2024</t>
        </is>
      </c>
      <c r="B418" s="1" t="n">
        <v>45300</v>
      </c>
      <c r="C418" s="1" t="n">
        <v>45907</v>
      </c>
      <c r="D418" t="inlineStr">
        <is>
          <t>UPPSALA LÄN</t>
        </is>
      </c>
      <c r="E418" t="inlineStr">
        <is>
          <t>UPPSALA</t>
        </is>
      </c>
      <c r="G418" t="n">
        <v>3</v>
      </c>
      <c r="H418" t="n">
        <v>0</v>
      </c>
      <c r="I418" t="n">
        <v>0</v>
      </c>
      <c r="J418" t="n">
        <v>0</v>
      </c>
      <c r="K418" t="n">
        <v>0</v>
      </c>
      <c r="L418" t="n">
        <v>0</v>
      </c>
      <c r="M418" t="n">
        <v>0</v>
      </c>
      <c r="N418" t="n">
        <v>0</v>
      </c>
      <c r="O418" t="n">
        <v>0</v>
      </c>
      <c r="P418" t="n">
        <v>0</v>
      </c>
      <c r="Q418" t="n">
        <v>0</v>
      </c>
      <c r="R418" s="2" t="inlineStr"/>
    </row>
    <row r="419" ht="15" customHeight="1">
      <c r="A419" t="inlineStr">
        <is>
          <t>A 70031-2021</t>
        </is>
      </c>
      <c r="B419" s="1" t="n">
        <v>44533.46665509259</v>
      </c>
      <c r="C419" s="1" t="n">
        <v>45907</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265-2021</t>
        </is>
      </c>
      <c r="B420" s="1" t="n">
        <v>44200</v>
      </c>
      <c r="C420" s="1" t="n">
        <v>45907</v>
      </c>
      <c r="D420" t="inlineStr">
        <is>
          <t>UPPSALA LÄN</t>
        </is>
      </c>
      <c r="E420" t="inlineStr">
        <is>
          <t>UPPSALA</t>
        </is>
      </c>
      <c r="G420" t="n">
        <v>3.1</v>
      </c>
      <c r="H420" t="n">
        <v>0</v>
      </c>
      <c r="I420" t="n">
        <v>0</v>
      </c>
      <c r="J420" t="n">
        <v>0</v>
      </c>
      <c r="K420" t="n">
        <v>0</v>
      </c>
      <c r="L420" t="n">
        <v>0</v>
      </c>
      <c r="M420" t="n">
        <v>0</v>
      </c>
      <c r="N420" t="n">
        <v>0</v>
      </c>
      <c r="O420" t="n">
        <v>0</v>
      </c>
      <c r="P420" t="n">
        <v>0</v>
      </c>
      <c r="Q420" t="n">
        <v>0</v>
      </c>
      <c r="R420" s="2" t="inlineStr"/>
    </row>
    <row r="421" ht="15" customHeight="1">
      <c r="A421" t="inlineStr">
        <is>
          <t>A 12828-2025</t>
        </is>
      </c>
      <c r="B421" s="1" t="n">
        <v>45733.62903935185</v>
      </c>
      <c r="C421" s="1" t="n">
        <v>45907</v>
      </c>
      <c r="D421" t="inlineStr">
        <is>
          <t>UPPSALA LÄN</t>
        </is>
      </c>
      <c r="E421" t="inlineStr">
        <is>
          <t>UPPSALA</t>
        </is>
      </c>
      <c r="G421" t="n">
        <v>5.3</v>
      </c>
      <c r="H421" t="n">
        <v>0</v>
      </c>
      <c r="I421" t="n">
        <v>0</v>
      </c>
      <c r="J421" t="n">
        <v>0</v>
      </c>
      <c r="K421" t="n">
        <v>0</v>
      </c>
      <c r="L421" t="n">
        <v>0</v>
      </c>
      <c r="M421" t="n">
        <v>0</v>
      </c>
      <c r="N421" t="n">
        <v>0</v>
      </c>
      <c r="O421" t="n">
        <v>0</v>
      </c>
      <c r="P421" t="n">
        <v>0</v>
      </c>
      <c r="Q421" t="n">
        <v>0</v>
      </c>
      <c r="R421" s="2" t="inlineStr"/>
    </row>
    <row r="422" ht="15" customHeight="1">
      <c r="A422" t="inlineStr">
        <is>
          <t>A 38493-2023</t>
        </is>
      </c>
      <c r="B422" s="1" t="n">
        <v>45162</v>
      </c>
      <c r="C422" s="1" t="n">
        <v>45907</v>
      </c>
      <c r="D422" t="inlineStr">
        <is>
          <t>UPPSALA LÄN</t>
        </is>
      </c>
      <c r="E422" t="inlineStr">
        <is>
          <t>UPPSALA</t>
        </is>
      </c>
      <c r="F422" t="inlineStr">
        <is>
          <t>Allmännings- och besparingsskogar</t>
        </is>
      </c>
      <c r="G422" t="n">
        <v>3.5</v>
      </c>
      <c r="H422" t="n">
        <v>0</v>
      </c>
      <c r="I422" t="n">
        <v>0</v>
      </c>
      <c r="J422" t="n">
        <v>0</v>
      </c>
      <c r="K422" t="n">
        <v>0</v>
      </c>
      <c r="L422" t="n">
        <v>0</v>
      </c>
      <c r="M422" t="n">
        <v>0</v>
      </c>
      <c r="N422" t="n">
        <v>0</v>
      </c>
      <c r="O422" t="n">
        <v>0</v>
      </c>
      <c r="P422" t="n">
        <v>0</v>
      </c>
      <c r="Q422" t="n">
        <v>0</v>
      </c>
      <c r="R422" s="2" t="inlineStr"/>
    </row>
    <row r="423" ht="15" customHeight="1">
      <c r="A423" t="inlineStr">
        <is>
          <t>A 36782-2023</t>
        </is>
      </c>
      <c r="B423" s="1" t="n">
        <v>45154.35092592592</v>
      </c>
      <c r="C423" s="1" t="n">
        <v>45907</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25026-2025</t>
        </is>
      </c>
      <c r="B424" s="1" t="n">
        <v>45799.65021990741</v>
      </c>
      <c r="C424" s="1" t="n">
        <v>45907</v>
      </c>
      <c r="D424" t="inlineStr">
        <is>
          <t>UPPSALA LÄN</t>
        </is>
      </c>
      <c r="E424" t="inlineStr">
        <is>
          <t>UPPSALA</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25030-2025</t>
        </is>
      </c>
      <c r="B425" s="1" t="n">
        <v>45799.6527199074</v>
      </c>
      <c r="C425" s="1" t="n">
        <v>45907</v>
      </c>
      <c r="D425" t="inlineStr">
        <is>
          <t>UPPSALA LÄN</t>
        </is>
      </c>
      <c r="E425" t="inlineStr">
        <is>
          <t>UPPSALA</t>
        </is>
      </c>
      <c r="F425" t="inlineStr">
        <is>
          <t>Sveaskog</t>
        </is>
      </c>
      <c r="G425" t="n">
        <v>6</v>
      </c>
      <c r="H425" t="n">
        <v>0</v>
      </c>
      <c r="I425" t="n">
        <v>0</v>
      </c>
      <c r="J425" t="n">
        <v>0</v>
      </c>
      <c r="K425" t="n">
        <v>0</v>
      </c>
      <c r="L425" t="n">
        <v>0</v>
      </c>
      <c r="M425" t="n">
        <v>0</v>
      </c>
      <c r="N425" t="n">
        <v>0</v>
      </c>
      <c r="O425" t="n">
        <v>0</v>
      </c>
      <c r="P425" t="n">
        <v>0</v>
      </c>
      <c r="Q425" t="n">
        <v>0</v>
      </c>
      <c r="R425" s="2" t="inlineStr"/>
    </row>
    <row r="426" ht="15" customHeight="1">
      <c r="A426" t="inlineStr">
        <is>
          <t>A 13742-2025</t>
        </is>
      </c>
      <c r="B426" s="1" t="n">
        <v>45737.40503472222</v>
      </c>
      <c r="C426" s="1" t="n">
        <v>45907</v>
      </c>
      <c r="D426" t="inlineStr">
        <is>
          <t>UPPSALA LÄN</t>
        </is>
      </c>
      <c r="E426" t="inlineStr">
        <is>
          <t>UPPSALA</t>
        </is>
      </c>
      <c r="G426" t="n">
        <v>5.1</v>
      </c>
      <c r="H426" t="n">
        <v>0</v>
      </c>
      <c r="I426" t="n">
        <v>0</v>
      </c>
      <c r="J426" t="n">
        <v>0</v>
      </c>
      <c r="K426" t="n">
        <v>0</v>
      </c>
      <c r="L426" t="n">
        <v>0</v>
      </c>
      <c r="M426" t="n">
        <v>0</v>
      </c>
      <c r="N426" t="n">
        <v>0</v>
      </c>
      <c r="O426" t="n">
        <v>0</v>
      </c>
      <c r="P426" t="n">
        <v>0</v>
      </c>
      <c r="Q426" t="n">
        <v>0</v>
      </c>
      <c r="R426" s="2" t="inlineStr"/>
    </row>
    <row r="427" ht="15" customHeight="1">
      <c r="A427" t="inlineStr">
        <is>
          <t>A 6970-2025</t>
        </is>
      </c>
      <c r="B427" s="1" t="n">
        <v>45693</v>
      </c>
      <c r="C427" s="1" t="n">
        <v>45907</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36123-2023</t>
        </is>
      </c>
      <c r="B428" s="1" t="n">
        <v>45149.56928240741</v>
      </c>
      <c r="C428" s="1" t="n">
        <v>45907</v>
      </c>
      <c r="D428" t="inlineStr">
        <is>
          <t>UPPSALA LÄN</t>
        </is>
      </c>
      <c r="E428" t="inlineStr">
        <is>
          <t>UPPSALA</t>
        </is>
      </c>
      <c r="F428" t="inlineStr">
        <is>
          <t>Allmännings- och besparingsskogar</t>
        </is>
      </c>
      <c r="G428" t="n">
        <v>4.2</v>
      </c>
      <c r="H428" t="n">
        <v>0</v>
      </c>
      <c r="I428" t="n">
        <v>0</v>
      </c>
      <c r="J428" t="n">
        <v>0</v>
      </c>
      <c r="K428" t="n">
        <v>0</v>
      </c>
      <c r="L428" t="n">
        <v>0</v>
      </c>
      <c r="M428" t="n">
        <v>0</v>
      </c>
      <c r="N428" t="n">
        <v>0</v>
      </c>
      <c r="O428" t="n">
        <v>0</v>
      </c>
      <c r="P428" t="n">
        <v>0</v>
      </c>
      <c r="Q428" t="n">
        <v>0</v>
      </c>
      <c r="R428" s="2" t="inlineStr"/>
    </row>
    <row r="429" ht="15" customHeight="1">
      <c r="A429" t="inlineStr">
        <is>
          <t>A 24913-2025</t>
        </is>
      </c>
      <c r="B429" s="1" t="n">
        <v>45799.53947916667</v>
      </c>
      <c r="C429" s="1" t="n">
        <v>45907</v>
      </c>
      <c r="D429" t="inlineStr">
        <is>
          <t>UPPSALA LÄN</t>
        </is>
      </c>
      <c r="E429" t="inlineStr">
        <is>
          <t>UPPSALA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24915-2025</t>
        </is>
      </c>
      <c r="B430" s="1" t="n">
        <v>45799.54104166666</v>
      </c>
      <c r="C430" s="1" t="n">
        <v>45907</v>
      </c>
      <c r="D430" t="inlineStr">
        <is>
          <t>UPPSALA LÄN</t>
        </is>
      </c>
      <c r="E430" t="inlineStr">
        <is>
          <t>UPPSALA</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37162-2021</t>
        </is>
      </c>
      <c r="B431" s="1" t="n">
        <v>44395</v>
      </c>
      <c r="C431" s="1" t="n">
        <v>45907</v>
      </c>
      <c r="D431" t="inlineStr">
        <is>
          <t>UPPSALA LÄN</t>
        </is>
      </c>
      <c r="E431" t="inlineStr">
        <is>
          <t>UPPSALA</t>
        </is>
      </c>
      <c r="G431" t="n">
        <v>3.5</v>
      </c>
      <c r="H431" t="n">
        <v>0</v>
      </c>
      <c r="I431" t="n">
        <v>0</v>
      </c>
      <c r="J431" t="n">
        <v>0</v>
      </c>
      <c r="K431" t="n">
        <v>0</v>
      </c>
      <c r="L431" t="n">
        <v>0</v>
      </c>
      <c r="M431" t="n">
        <v>0</v>
      </c>
      <c r="N431" t="n">
        <v>0</v>
      </c>
      <c r="O431" t="n">
        <v>0</v>
      </c>
      <c r="P431" t="n">
        <v>0</v>
      </c>
      <c r="Q431" t="n">
        <v>0</v>
      </c>
      <c r="R431" s="2" t="inlineStr"/>
    </row>
    <row r="432" ht="15" customHeight="1">
      <c r="A432" t="inlineStr">
        <is>
          <t>A 5068-2025</t>
        </is>
      </c>
      <c r="B432" s="1" t="n">
        <v>45691</v>
      </c>
      <c r="C432" s="1" t="n">
        <v>45907</v>
      </c>
      <c r="D432" t="inlineStr">
        <is>
          <t>UPPSALA LÄN</t>
        </is>
      </c>
      <c r="E432" t="inlineStr">
        <is>
          <t>UPPSALA</t>
        </is>
      </c>
      <c r="G432" t="n">
        <v>5.9</v>
      </c>
      <c r="H432" t="n">
        <v>0</v>
      </c>
      <c r="I432" t="n">
        <v>0</v>
      </c>
      <c r="J432" t="n">
        <v>0</v>
      </c>
      <c r="K432" t="n">
        <v>0</v>
      </c>
      <c r="L432" t="n">
        <v>0</v>
      </c>
      <c r="M432" t="n">
        <v>0</v>
      </c>
      <c r="N432" t="n">
        <v>0</v>
      </c>
      <c r="O432" t="n">
        <v>0</v>
      </c>
      <c r="P432" t="n">
        <v>0</v>
      </c>
      <c r="Q432" t="n">
        <v>0</v>
      </c>
      <c r="R432" s="2" t="inlineStr"/>
    </row>
    <row r="433" ht="15" customHeight="1">
      <c r="A433" t="inlineStr">
        <is>
          <t>A 6988-2025</t>
        </is>
      </c>
      <c r="B433" s="1" t="n">
        <v>45693</v>
      </c>
      <c r="C433" s="1" t="n">
        <v>45907</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24794-2025</t>
        </is>
      </c>
      <c r="B434" s="1" t="n">
        <v>45799.43496527777</v>
      </c>
      <c r="C434" s="1" t="n">
        <v>45907</v>
      </c>
      <c r="D434" t="inlineStr">
        <is>
          <t>UPPSALA LÄN</t>
        </is>
      </c>
      <c r="E434" t="inlineStr">
        <is>
          <t>UPPSALA</t>
        </is>
      </c>
      <c r="F434" t="inlineStr">
        <is>
          <t>BillerudKorsnäs AB</t>
        </is>
      </c>
      <c r="G434" t="n">
        <v>1.4</v>
      </c>
      <c r="H434" t="n">
        <v>0</v>
      </c>
      <c r="I434" t="n">
        <v>0</v>
      </c>
      <c r="J434" t="n">
        <v>0</v>
      </c>
      <c r="K434" t="n">
        <v>0</v>
      </c>
      <c r="L434" t="n">
        <v>0</v>
      </c>
      <c r="M434" t="n">
        <v>0</v>
      </c>
      <c r="N434" t="n">
        <v>0</v>
      </c>
      <c r="O434" t="n">
        <v>0</v>
      </c>
      <c r="P434" t="n">
        <v>0</v>
      </c>
      <c r="Q434" t="n">
        <v>0</v>
      </c>
      <c r="R434" s="2" t="inlineStr"/>
    </row>
    <row r="435" ht="15" customHeight="1">
      <c r="A435" t="inlineStr">
        <is>
          <t>A 24916-2025</t>
        </is>
      </c>
      <c r="B435" s="1" t="n">
        <v>45799.5421875</v>
      </c>
      <c r="C435" s="1" t="n">
        <v>45907</v>
      </c>
      <c r="D435" t="inlineStr">
        <is>
          <t>UPPSALA LÄN</t>
        </is>
      </c>
      <c r="E435" t="inlineStr">
        <is>
          <t>UPPSALA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73326-2021</t>
        </is>
      </c>
      <c r="B436" s="1" t="n">
        <v>44548</v>
      </c>
      <c r="C436" s="1" t="n">
        <v>45907</v>
      </c>
      <c r="D436" t="inlineStr">
        <is>
          <t>UPPSALA LÄN</t>
        </is>
      </c>
      <c r="E436" t="inlineStr">
        <is>
          <t>UPPSALA</t>
        </is>
      </c>
      <c r="G436" t="n">
        <v>4</v>
      </c>
      <c r="H436" t="n">
        <v>0</v>
      </c>
      <c r="I436" t="n">
        <v>0</v>
      </c>
      <c r="J436" t="n">
        <v>0</v>
      </c>
      <c r="K436" t="n">
        <v>0</v>
      </c>
      <c r="L436" t="n">
        <v>0</v>
      </c>
      <c r="M436" t="n">
        <v>0</v>
      </c>
      <c r="N436" t="n">
        <v>0</v>
      </c>
      <c r="O436" t="n">
        <v>0</v>
      </c>
      <c r="P436" t="n">
        <v>0</v>
      </c>
      <c r="Q436" t="n">
        <v>0</v>
      </c>
      <c r="R436" s="2" t="inlineStr"/>
    </row>
    <row r="437" ht="15" customHeight="1">
      <c r="A437" t="inlineStr">
        <is>
          <t>A 25025-2025</t>
        </is>
      </c>
      <c r="B437" s="1" t="n">
        <v>45799.64877314815</v>
      </c>
      <c r="C437" s="1" t="n">
        <v>45907</v>
      </c>
      <c r="D437" t="inlineStr">
        <is>
          <t>UPPSALA LÄN</t>
        </is>
      </c>
      <c r="E437" t="inlineStr">
        <is>
          <t>UPPSALA</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46635-2022</t>
        </is>
      </c>
      <c r="B438" s="1" t="n">
        <v>44849</v>
      </c>
      <c r="C438" s="1" t="n">
        <v>45907</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24525-2025</t>
        </is>
      </c>
      <c r="B439" s="1" t="n">
        <v>45798.42252314815</v>
      </c>
      <c r="C439" s="1" t="n">
        <v>45907</v>
      </c>
      <c r="D439" t="inlineStr">
        <is>
          <t>UPPSALA LÄN</t>
        </is>
      </c>
      <c r="E439" t="inlineStr">
        <is>
          <t>UPPSALA</t>
        </is>
      </c>
      <c r="G439" t="n">
        <v>3.2</v>
      </c>
      <c r="H439" t="n">
        <v>0</v>
      </c>
      <c r="I439" t="n">
        <v>0</v>
      </c>
      <c r="J439" t="n">
        <v>0</v>
      </c>
      <c r="K439" t="n">
        <v>0</v>
      </c>
      <c r="L439" t="n">
        <v>0</v>
      </c>
      <c r="M439" t="n">
        <v>0</v>
      </c>
      <c r="N439" t="n">
        <v>0</v>
      </c>
      <c r="O439" t="n">
        <v>0</v>
      </c>
      <c r="P439" t="n">
        <v>0</v>
      </c>
      <c r="Q439" t="n">
        <v>0</v>
      </c>
      <c r="R439" s="2" t="inlineStr"/>
    </row>
    <row r="440" ht="15" customHeight="1">
      <c r="A440" t="inlineStr">
        <is>
          <t>A 2897-2025</t>
        </is>
      </c>
      <c r="B440" s="1" t="n">
        <v>45677</v>
      </c>
      <c r="C440" s="1" t="n">
        <v>45907</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17593-2025</t>
        </is>
      </c>
      <c r="B441" s="1" t="n">
        <v>45757.6997337963</v>
      </c>
      <c r="C441" s="1" t="n">
        <v>45907</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17596-2025</t>
        </is>
      </c>
      <c r="B442" s="1" t="n">
        <v>45757</v>
      </c>
      <c r="C442" s="1" t="n">
        <v>45907</v>
      </c>
      <c r="D442" t="inlineStr">
        <is>
          <t>UPPSALA LÄN</t>
        </is>
      </c>
      <c r="E442" t="inlineStr">
        <is>
          <t>UPPSALA</t>
        </is>
      </c>
      <c r="G442" t="n">
        <v>4.8</v>
      </c>
      <c r="H442" t="n">
        <v>0</v>
      </c>
      <c r="I442" t="n">
        <v>0</v>
      </c>
      <c r="J442" t="n">
        <v>0</v>
      </c>
      <c r="K442" t="n">
        <v>0</v>
      </c>
      <c r="L442" t="n">
        <v>0</v>
      </c>
      <c r="M442" t="n">
        <v>0</v>
      </c>
      <c r="N442" t="n">
        <v>0</v>
      </c>
      <c r="O442" t="n">
        <v>0</v>
      </c>
      <c r="P442" t="n">
        <v>0</v>
      </c>
      <c r="Q442" t="n">
        <v>0</v>
      </c>
      <c r="R442" s="2" t="inlineStr"/>
    </row>
    <row r="443" ht="15" customHeight="1">
      <c r="A443" t="inlineStr">
        <is>
          <t>A 54512-2024</t>
        </is>
      </c>
      <c r="B443" s="1" t="n">
        <v>45617.59006944444</v>
      </c>
      <c r="C443" s="1" t="n">
        <v>45907</v>
      </c>
      <c r="D443" t="inlineStr">
        <is>
          <t>UPPSALA LÄN</t>
        </is>
      </c>
      <c r="E443" t="inlineStr">
        <is>
          <t>UPPSALA</t>
        </is>
      </c>
      <c r="G443" t="n">
        <v>3.2</v>
      </c>
      <c r="H443" t="n">
        <v>0</v>
      </c>
      <c r="I443" t="n">
        <v>0</v>
      </c>
      <c r="J443" t="n">
        <v>0</v>
      </c>
      <c r="K443" t="n">
        <v>0</v>
      </c>
      <c r="L443" t="n">
        <v>0</v>
      </c>
      <c r="M443" t="n">
        <v>0</v>
      </c>
      <c r="N443" t="n">
        <v>0</v>
      </c>
      <c r="O443" t="n">
        <v>0</v>
      </c>
      <c r="P443" t="n">
        <v>0</v>
      </c>
      <c r="Q443" t="n">
        <v>0</v>
      </c>
      <c r="R443" s="2" t="inlineStr"/>
    </row>
    <row r="444" ht="15" customHeight="1">
      <c r="A444" t="inlineStr">
        <is>
          <t>A 5309-2022</t>
        </is>
      </c>
      <c r="B444" s="1" t="n">
        <v>44594</v>
      </c>
      <c r="C444" s="1" t="n">
        <v>45907</v>
      </c>
      <c r="D444" t="inlineStr">
        <is>
          <t>UPPSALA LÄN</t>
        </is>
      </c>
      <c r="E444" t="inlineStr">
        <is>
          <t>UPPSALA</t>
        </is>
      </c>
      <c r="G444" t="n">
        <v>4.8</v>
      </c>
      <c r="H444" t="n">
        <v>0</v>
      </c>
      <c r="I444" t="n">
        <v>0</v>
      </c>
      <c r="J444" t="n">
        <v>0</v>
      </c>
      <c r="K444" t="n">
        <v>0</v>
      </c>
      <c r="L444" t="n">
        <v>0</v>
      </c>
      <c r="M444" t="n">
        <v>0</v>
      </c>
      <c r="N444" t="n">
        <v>0</v>
      </c>
      <c r="O444" t="n">
        <v>0</v>
      </c>
      <c r="P444" t="n">
        <v>0</v>
      </c>
      <c r="Q444" t="n">
        <v>0</v>
      </c>
      <c r="R444" s="2" t="inlineStr"/>
    </row>
    <row r="445" ht="15" customHeight="1">
      <c r="A445" t="inlineStr">
        <is>
          <t>A 8473-2023</t>
        </is>
      </c>
      <c r="B445" s="1" t="n">
        <v>44977</v>
      </c>
      <c r="C445" s="1" t="n">
        <v>45907</v>
      </c>
      <c r="D445" t="inlineStr">
        <is>
          <t>UPPSALA LÄN</t>
        </is>
      </c>
      <c r="E445" t="inlineStr">
        <is>
          <t>UPPSALA</t>
        </is>
      </c>
      <c r="F445" t="inlineStr">
        <is>
          <t>Holmen skog AB</t>
        </is>
      </c>
      <c r="G445" t="n">
        <v>3.6</v>
      </c>
      <c r="H445" t="n">
        <v>0</v>
      </c>
      <c r="I445" t="n">
        <v>0</v>
      </c>
      <c r="J445" t="n">
        <v>0</v>
      </c>
      <c r="K445" t="n">
        <v>0</v>
      </c>
      <c r="L445" t="n">
        <v>0</v>
      </c>
      <c r="M445" t="n">
        <v>0</v>
      </c>
      <c r="N445" t="n">
        <v>0</v>
      </c>
      <c r="O445" t="n">
        <v>0</v>
      </c>
      <c r="P445" t="n">
        <v>0</v>
      </c>
      <c r="Q445" t="n">
        <v>0</v>
      </c>
      <c r="R445" s="2" t="inlineStr"/>
    </row>
    <row r="446" ht="15" customHeight="1">
      <c r="A446" t="inlineStr">
        <is>
          <t>A 24012-2023</t>
        </is>
      </c>
      <c r="B446" s="1" t="n">
        <v>45078</v>
      </c>
      <c r="C446" s="1" t="n">
        <v>45907</v>
      </c>
      <c r="D446" t="inlineStr">
        <is>
          <t>UPPSALA LÄN</t>
        </is>
      </c>
      <c r="E446" t="inlineStr">
        <is>
          <t>UPPSALA</t>
        </is>
      </c>
      <c r="F446" t="inlineStr">
        <is>
          <t>Kyrkan</t>
        </is>
      </c>
      <c r="G446" t="n">
        <v>1.6</v>
      </c>
      <c r="H446" t="n">
        <v>0</v>
      </c>
      <c r="I446" t="n">
        <v>0</v>
      </c>
      <c r="J446" t="n">
        <v>0</v>
      </c>
      <c r="K446" t="n">
        <v>0</v>
      </c>
      <c r="L446" t="n">
        <v>0</v>
      </c>
      <c r="M446" t="n">
        <v>0</v>
      </c>
      <c r="N446" t="n">
        <v>0</v>
      </c>
      <c r="O446" t="n">
        <v>0</v>
      </c>
      <c r="P446" t="n">
        <v>0</v>
      </c>
      <c r="Q446" t="n">
        <v>0</v>
      </c>
      <c r="R446" s="2" t="inlineStr"/>
    </row>
    <row r="447" ht="15" customHeight="1">
      <c r="A447" t="inlineStr">
        <is>
          <t>A 10612-2025</t>
        </is>
      </c>
      <c r="B447" s="1" t="n">
        <v>45721.60894675926</v>
      </c>
      <c r="C447" s="1" t="n">
        <v>45907</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25513-2025</t>
        </is>
      </c>
      <c r="B448" s="1" t="n">
        <v>45803.36384259259</v>
      </c>
      <c r="C448" s="1" t="n">
        <v>45907</v>
      </c>
      <c r="D448" t="inlineStr">
        <is>
          <t>UPPSALA LÄN</t>
        </is>
      </c>
      <c r="E448" t="inlineStr">
        <is>
          <t>UPPSALA</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25280-2023</t>
        </is>
      </c>
      <c r="B449" s="1" t="n">
        <v>45086.7037037037</v>
      </c>
      <c r="C449" s="1" t="n">
        <v>45907</v>
      </c>
      <c r="D449" t="inlineStr">
        <is>
          <t>UPPSALA LÄN</t>
        </is>
      </c>
      <c r="E449" t="inlineStr">
        <is>
          <t>UPPSALA</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40503-2024</t>
        </is>
      </c>
      <c r="B450" s="1" t="n">
        <v>45555.5727662037</v>
      </c>
      <c r="C450" s="1" t="n">
        <v>45907</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25674-2025</t>
        </is>
      </c>
      <c r="B451" s="1" t="n">
        <v>45803.63395833333</v>
      </c>
      <c r="C451" s="1" t="n">
        <v>45907</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52197-2024</t>
        </is>
      </c>
      <c r="B452" s="1" t="n">
        <v>45608</v>
      </c>
      <c r="C452" s="1" t="n">
        <v>45907</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6628-2024</t>
        </is>
      </c>
      <c r="B453" s="1" t="n">
        <v>45341</v>
      </c>
      <c r="C453" s="1" t="n">
        <v>45907</v>
      </c>
      <c r="D453" t="inlineStr">
        <is>
          <t>UPPSALA LÄN</t>
        </is>
      </c>
      <c r="E453" t="inlineStr">
        <is>
          <t>UPPSALA</t>
        </is>
      </c>
      <c r="G453" t="n">
        <v>4.3</v>
      </c>
      <c r="H453" t="n">
        <v>0</v>
      </c>
      <c r="I453" t="n">
        <v>0</v>
      </c>
      <c r="J453" t="n">
        <v>0</v>
      </c>
      <c r="K453" t="n">
        <v>0</v>
      </c>
      <c r="L453" t="n">
        <v>0</v>
      </c>
      <c r="M453" t="n">
        <v>0</v>
      </c>
      <c r="N453" t="n">
        <v>0</v>
      </c>
      <c r="O453" t="n">
        <v>0</v>
      </c>
      <c r="P453" t="n">
        <v>0</v>
      </c>
      <c r="Q453" t="n">
        <v>0</v>
      </c>
      <c r="R453" s="2" t="inlineStr"/>
    </row>
    <row r="454" ht="15" customHeight="1">
      <c r="A454" t="inlineStr">
        <is>
          <t>A 18330-2025</t>
        </is>
      </c>
      <c r="B454" s="1" t="n">
        <v>45762.49243055555</v>
      </c>
      <c r="C454" s="1" t="n">
        <v>45907</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15264-2025</t>
        </is>
      </c>
      <c r="B455" s="1" t="n">
        <v>45744</v>
      </c>
      <c r="C455" s="1" t="n">
        <v>45907</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43795-2023</t>
        </is>
      </c>
      <c r="B456" s="1" t="n">
        <v>45182</v>
      </c>
      <c r="C456" s="1" t="n">
        <v>45907</v>
      </c>
      <c r="D456" t="inlineStr">
        <is>
          <t>UPPSALA LÄN</t>
        </is>
      </c>
      <c r="E456" t="inlineStr">
        <is>
          <t>UPPSALA</t>
        </is>
      </c>
      <c r="G456" t="n">
        <v>4.7</v>
      </c>
      <c r="H456" t="n">
        <v>0</v>
      </c>
      <c r="I456" t="n">
        <v>0</v>
      </c>
      <c r="J456" t="n">
        <v>0</v>
      </c>
      <c r="K456" t="n">
        <v>0</v>
      </c>
      <c r="L456" t="n">
        <v>0</v>
      </c>
      <c r="M456" t="n">
        <v>0</v>
      </c>
      <c r="N456" t="n">
        <v>0</v>
      </c>
      <c r="O456" t="n">
        <v>0</v>
      </c>
      <c r="P456" t="n">
        <v>0</v>
      </c>
      <c r="Q456" t="n">
        <v>0</v>
      </c>
      <c r="R456" s="2" t="inlineStr"/>
    </row>
    <row r="457" ht="15" customHeight="1">
      <c r="A457" t="inlineStr">
        <is>
          <t>A 43818-2023</t>
        </is>
      </c>
      <c r="B457" s="1" t="n">
        <v>45182</v>
      </c>
      <c r="C457" s="1" t="n">
        <v>45907</v>
      </c>
      <c r="D457" t="inlineStr">
        <is>
          <t>UPPSALA LÄN</t>
        </is>
      </c>
      <c r="E457" t="inlineStr">
        <is>
          <t>UPPSALA</t>
        </is>
      </c>
      <c r="G457" t="n">
        <v>10.8</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45907</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11739-2023</t>
        </is>
      </c>
      <c r="B459" s="1" t="n">
        <v>44993</v>
      </c>
      <c r="C459" s="1" t="n">
        <v>45907</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9206-2022</t>
        </is>
      </c>
      <c r="B460" s="1" t="n">
        <v>44616</v>
      </c>
      <c r="C460" s="1" t="n">
        <v>45907</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26130-2025</t>
        </is>
      </c>
      <c r="B461" s="1" t="n">
        <v>45805.4094675926</v>
      </c>
      <c r="C461" s="1" t="n">
        <v>45907</v>
      </c>
      <c r="D461" t="inlineStr">
        <is>
          <t>UPPSALA LÄN</t>
        </is>
      </c>
      <c r="E461" t="inlineStr">
        <is>
          <t>UPPSALA</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49821-2020</t>
        </is>
      </c>
      <c r="B462" s="1" t="n">
        <v>44106</v>
      </c>
      <c r="C462" s="1" t="n">
        <v>45907</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21935-2023</t>
        </is>
      </c>
      <c r="B463" s="1" t="n">
        <v>45068.58563657408</v>
      </c>
      <c r="C463" s="1" t="n">
        <v>45907</v>
      </c>
      <c r="D463" t="inlineStr">
        <is>
          <t>UPPSALA LÄN</t>
        </is>
      </c>
      <c r="E463" t="inlineStr">
        <is>
          <t>UPPSALA</t>
        </is>
      </c>
      <c r="G463" t="n">
        <v>2.6</v>
      </c>
      <c r="H463" t="n">
        <v>0</v>
      </c>
      <c r="I463" t="n">
        <v>0</v>
      </c>
      <c r="J463" t="n">
        <v>0</v>
      </c>
      <c r="K463" t="n">
        <v>0</v>
      </c>
      <c r="L463" t="n">
        <v>0</v>
      </c>
      <c r="M463" t="n">
        <v>0</v>
      </c>
      <c r="N463" t="n">
        <v>0</v>
      </c>
      <c r="O463" t="n">
        <v>0</v>
      </c>
      <c r="P463" t="n">
        <v>0</v>
      </c>
      <c r="Q463" t="n">
        <v>0</v>
      </c>
      <c r="R463" s="2" t="inlineStr"/>
    </row>
    <row r="464" ht="15" customHeight="1">
      <c r="A464" t="inlineStr">
        <is>
          <t>A 9981-2025</t>
        </is>
      </c>
      <c r="B464" s="1" t="n">
        <v>45719.40723379629</v>
      </c>
      <c r="C464" s="1" t="n">
        <v>45907</v>
      </c>
      <c r="D464" t="inlineStr">
        <is>
          <t>UPPSALA LÄN</t>
        </is>
      </c>
      <c r="E464" t="inlineStr">
        <is>
          <t>UPPSALA</t>
        </is>
      </c>
      <c r="F464" t="inlineStr">
        <is>
          <t>Kyrkan</t>
        </is>
      </c>
      <c r="G464" t="n">
        <v>2.9</v>
      </c>
      <c r="H464" t="n">
        <v>0</v>
      </c>
      <c r="I464" t="n">
        <v>0</v>
      </c>
      <c r="J464" t="n">
        <v>0</v>
      </c>
      <c r="K464" t="n">
        <v>0</v>
      </c>
      <c r="L464" t="n">
        <v>0</v>
      </c>
      <c r="M464" t="n">
        <v>0</v>
      </c>
      <c r="N464" t="n">
        <v>0</v>
      </c>
      <c r="O464" t="n">
        <v>0</v>
      </c>
      <c r="P464" t="n">
        <v>0</v>
      </c>
      <c r="Q464" t="n">
        <v>0</v>
      </c>
      <c r="R464" s="2" t="inlineStr"/>
    </row>
    <row r="465" ht="15" customHeight="1">
      <c r="A465" t="inlineStr">
        <is>
          <t>A 60698-2024</t>
        </is>
      </c>
      <c r="B465" s="1" t="n">
        <v>45644</v>
      </c>
      <c r="C465" s="1" t="n">
        <v>45907</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60735-2024</t>
        </is>
      </c>
      <c r="B466" s="1" t="n">
        <v>45644</v>
      </c>
      <c r="C466" s="1" t="n">
        <v>45907</v>
      </c>
      <c r="D466" t="inlineStr">
        <is>
          <t>UPPSALA LÄN</t>
        </is>
      </c>
      <c r="E466" t="inlineStr">
        <is>
          <t>UPPSALA</t>
        </is>
      </c>
      <c r="G466" t="n">
        <v>1.4</v>
      </c>
      <c r="H466" t="n">
        <v>0</v>
      </c>
      <c r="I466" t="n">
        <v>0</v>
      </c>
      <c r="J466" t="n">
        <v>0</v>
      </c>
      <c r="K466" t="n">
        <v>0</v>
      </c>
      <c r="L466" t="n">
        <v>0</v>
      </c>
      <c r="M466" t="n">
        <v>0</v>
      </c>
      <c r="N466" t="n">
        <v>0</v>
      </c>
      <c r="O466" t="n">
        <v>0</v>
      </c>
      <c r="P466" t="n">
        <v>0</v>
      </c>
      <c r="Q466" t="n">
        <v>0</v>
      </c>
      <c r="R466" s="2" t="inlineStr"/>
    </row>
    <row r="467" ht="15" customHeight="1">
      <c r="A467" t="inlineStr">
        <is>
          <t>A 367-2023</t>
        </is>
      </c>
      <c r="B467" s="1" t="n">
        <v>44929</v>
      </c>
      <c r="C467" s="1" t="n">
        <v>45907</v>
      </c>
      <c r="D467" t="inlineStr">
        <is>
          <t>UPPSALA LÄN</t>
        </is>
      </c>
      <c r="E467" t="inlineStr">
        <is>
          <t>UPPSALA</t>
        </is>
      </c>
      <c r="G467" t="n">
        <v>2.4</v>
      </c>
      <c r="H467" t="n">
        <v>0</v>
      </c>
      <c r="I467" t="n">
        <v>0</v>
      </c>
      <c r="J467" t="n">
        <v>0</v>
      </c>
      <c r="K467" t="n">
        <v>0</v>
      </c>
      <c r="L467" t="n">
        <v>0</v>
      </c>
      <c r="M467" t="n">
        <v>0</v>
      </c>
      <c r="N467" t="n">
        <v>0</v>
      </c>
      <c r="O467" t="n">
        <v>0</v>
      </c>
      <c r="P467" t="n">
        <v>0</v>
      </c>
      <c r="Q467" t="n">
        <v>0</v>
      </c>
      <c r="R467" s="2" t="inlineStr"/>
    </row>
    <row r="468" ht="15" customHeight="1">
      <c r="A468" t="inlineStr">
        <is>
          <t>A 49409-2020</t>
        </is>
      </c>
      <c r="B468" s="1" t="n">
        <v>44105</v>
      </c>
      <c r="C468" s="1" t="n">
        <v>45907</v>
      </c>
      <c r="D468" t="inlineStr">
        <is>
          <t>UPPSALA LÄN</t>
        </is>
      </c>
      <c r="E468" t="inlineStr">
        <is>
          <t>UPPSALA</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26139-2025</t>
        </is>
      </c>
      <c r="B469" s="1" t="n">
        <v>45805.41813657407</v>
      </c>
      <c r="C469" s="1" t="n">
        <v>45907</v>
      </c>
      <c r="D469" t="inlineStr">
        <is>
          <t>UPPSALA LÄN</t>
        </is>
      </c>
      <c r="E469" t="inlineStr">
        <is>
          <t>UPPSALA</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26141-2025</t>
        </is>
      </c>
      <c r="B470" s="1" t="n">
        <v>45805.4255787037</v>
      </c>
      <c r="C470" s="1" t="n">
        <v>45907</v>
      </c>
      <c r="D470" t="inlineStr">
        <is>
          <t>UPPSALA LÄN</t>
        </is>
      </c>
      <c r="E470" t="inlineStr">
        <is>
          <t>UPPSALA</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61463-2024</t>
        </is>
      </c>
      <c r="B471" s="1" t="n">
        <v>45646.50211805556</v>
      </c>
      <c r="C471" s="1" t="n">
        <v>45907</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20206-2023</t>
        </is>
      </c>
      <c r="B472" s="1" t="n">
        <v>45055</v>
      </c>
      <c r="C472" s="1" t="n">
        <v>45907</v>
      </c>
      <c r="D472" t="inlineStr">
        <is>
          <t>UPPSALA LÄN</t>
        </is>
      </c>
      <c r="E472" t="inlineStr">
        <is>
          <t>UPPSALA</t>
        </is>
      </c>
      <c r="G472" t="n">
        <v>5.7</v>
      </c>
      <c r="H472" t="n">
        <v>0</v>
      </c>
      <c r="I472" t="n">
        <v>0</v>
      </c>
      <c r="J472" t="n">
        <v>0</v>
      </c>
      <c r="K472" t="n">
        <v>0</v>
      </c>
      <c r="L472" t="n">
        <v>0</v>
      </c>
      <c r="M472" t="n">
        <v>0</v>
      </c>
      <c r="N472" t="n">
        <v>0</v>
      </c>
      <c r="O472" t="n">
        <v>0</v>
      </c>
      <c r="P472" t="n">
        <v>0</v>
      </c>
      <c r="Q472" t="n">
        <v>0</v>
      </c>
      <c r="R472" s="2" t="inlineStr"/>
    </row>
    <row r="473" ht="15" customHeight="1">
      <c r="A473" t="inlineStr">
        <is>
          <t>A 26155-2025</t>
        </is>
      </c>
      <c r="B473" s="1" t="n">
        <v>45805.43402777778</v>
      </c>
      <c r="C473" s="1" t="n">
        <v>45907</v>
      </c>
      <c r="D473" t="inlineStr">
        <is>
          <t>UPPSALA LÄN</t>
        </is>
      </c>
      <c r="E473" t="inlineStr">
        <is>
          <t>UPPSALA</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60701-2022</t>
        </is>
      </c>
      <c r="B474" s="1" t="n">
        <v>44912</v>
      </c>
      <c r="C474" s="1" t="n">
        <v>45907</v>
      </c>
      <c r="D474" t="inlineStr">
        <is>
          <t>UPPSALA LÄN</t>
        </is>
      </c>
      <c r="E474" t="inlineStr">
        <is>
          <t>UPPSALA</t>
        </is>
      </c>
      <c r="G474" t="n">
        <v>1.4</v>
      </c>
      <c r="H474" t="n">
        <v>0</v>
      </c>
      <c r="I474" t="n">
        <v>0</v>
      </c>
      <c r="J474" t="n">
        <v>0</v>
      </c>
      <c r="K474" t="n">
        <v>0</v>
      </c>
      <c r="L474" t="n">
        <v>0</v>
      </c>
      <c r="M474" t="n">
        <v>0</v>
      </c>
      <c r="N474" t="n">
        <v>0</v>
      </c>
      <c r="O474" t="n">
        <v>0</v>
      </c>
      <c r="P474" t="n">
        <v>0</v>
      </c>
      <c r="Q474" t="n">
        <v>0</v>
      </c>
      <c r="R474" s="2" t="inlineStr"/>
    </row>
    <row r="475" ht="15" customHeight="1">
      <c r="A475" t="inlineStr">
        <is>
          <t>A 46069-2022</t>
        </is>
      </c>
      <c r="B475" s="1" t="n">
        <v>44847</v>
      </c>
      <c r="C475" s="1" t="n">
        <v>45907</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26131-2025</t>
        </is>
      </c>
      <c r="B476" s="1" t="n">
        <v>45805.41010416667</v>
      </c>
      <c r="C476" s="1" t="n">
        <v>45907</v>
      </c>
      <c r="D476" t="inlineStr">
        <is>
          <t>UPPSALA LÄN</t>
        </is>
      </c>
      <c r="E476" t="inlineStr">
        <is>
          <t>UPPSALA</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53614-2024</t>
        </is>
      </c>
      <c r="B477" s="1" t="n">
        <v>45611</v>
      </c>
      <c r="C477" s="1" t="n">
        <v>45907</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50463-2024</t>
        </is>
      </c>
      <c r="B478" s="1" t="n">
        <v>45601</v>
      </c>
      <c r="C478" s="1" t="n">
        <v>45907</v>
      </c>
      <c r="D478" t="inlineStr">
        <is>
          <t>UPPSALA LÄN</t>
        </is>
      </c>
      <c r="E478" t="inlineStr">
        <is>
          <t>UPPSALA</t>
        </is>
      </c>
      <c r="F478" t="inlineStr">
        <is>
          <t>Allmännings- och besparingsskogar</t>
        </is>
      </c>
      <c r="G478" t="n">
        <v>12.6</v>
      </c>
      <c r="H478" t="n">
        <v>0</v>
      </c>
      <c r="I478" t="n">
        <v>0</v>
      </c>
      <c r="J478" t="n">
        <v>0</v>
      </c>
      <c r="K478" t="n">
        <v>0</v>
      </c>
      <c r="L478" t="n">
        <v>0</v>
      </c>
      <c r="M478" t="n">
        <v>0</v>
      </c>
      <c r="N478" t="n">
        <v>0</v>
      </c>
      <c r="O478" t="n">
        <v>0</v>
      </c>
      <c r="P478" t="n">
        <v>0</v>
      </c>
      <c r="Q478" t="n">
        <v>0</v>
      </c>
      <c r="R478" s="2" t="inlineStr"/>
    </row>
    <row r="479" ht="15" customHeight="1">
      <c r="A479" t="inlineStr">
        <is>
          <t>A 6290-2025</t>
        </is>
      </c>
      <c r="B479" s="1" t="n">
        <v>45698.65606481482</v>
      </c>
      <c r="C479" s="1" t="n">
        <v>45907</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16434-2024</t>
        </is>
      </c>
      <c r="B480" s="1" t="n">
        <v>45407.69575231482</v>
      </c>
      <c r="C480" s="1" t="n">
        <v>45907</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1825-2024</t>
        </is>
      </c>
      <c r="B481" s="1" t="n">
        <v>45307</v>
      </c>
      <c r="C481" s="1" t="n">
        <v>45907</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72224-2021</t>
        </is>
      </c>
      <c r="B482" s="1" t="n">
        <v>44544</v>
      </c>
      <c r="C482" s="1" t="n">
        <v>45907</v>
      </c>
      <c r="D482" t="inlineStr">
        <is>
          <t>UPPSALA LÄN</t>
        </is>
      </c>
      <c r="E482" t="inlineStr">
        <is>
          <t>UPPSALA</t>
        </is>
      </c>
      <c r="G482" t="n">
        <v>2.5</v>
      </c>
      <c r="H482" t="n">
        <v>0</v>
      </c>
      <c r="I482" t="n">
        <v>0</v>
      </c>
      <c r="J482" t="n">
        <v>0</v>
      </c>
      <c r="K482" t="n">
        <v>0</v>
      </c>
      <c r="L482" t="n">
        <v>0</v>
      </c>
      <c r="M482" t="n">
        <v>0</v>
      </c>
      <c r="N482" t="n">
        <v>0</v>
      </c>
      <c r="O482" t="n">
        <v>0</v>
      </c>
      <c r="P482" t="n">
        <v>0</v>
      </c>
      <c r="Q482" t="n">
        <v>0</v>
      </c>
      <c r="R482" s="2" t="inlineStr"/>
    </row>
    <row r="483" ht="15" customHeight="1">
      <c r="A483" t="inlineStr">
        <is>
          <t>A 37626-2023</t>
        </is>
      </c>
      <c r="B483" s="1" t="n">
        <v>45159.45748842593</v>
      </c>
      <c r="C483" s="1" t="n">
        <v>45907</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56067-2024</t>
        </is>
      </c>
      <c r="B484" s="1" t="n">
        <v>45624</v>
      </c>
      <c r="C484" s="1" t="n">
        <v>45907</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64855-2021</t>
        </is>
      </c>
      <c r="B485" s="1" t="n">
        <v>44512</v>
      </c>
      <c r="C485" s="1" t="n">
        <v>45907</v>
      </c>
      <c r="D485" t="inlineStr">
        <is>
          <t>UPPSALA LÄN</t>
        </is>
      </c>
      <c r="E485" t="inlineStr">
        <is>
          <t>UPPSALA</t>
        </is>
      </c>
      <c r="G485" t="n">
        <v>3.1</v>
      </c>
      <c r="H485" t="n">
        <v>0</v>
      </c>
      <c r="I485" t="n">
        <v>0</v>
      </c>
      <c r="J485" t="n">
        <v>0</v>
      </c>
      <c r="K485" t="n">
        <v>0</v>
      </c>
      <c r="L485" t="n">
        <v>0</v>
      </c>
      <c r="M485" t="n">
        <v>0</v>
      </c>
      <c r="N485" t="n">
        <v>0</v>
      </c>
      <c r="O485" t="n">
        <v>0</v>
      </c>
      <c r="P485" t="n">
        <v>0</v>
      </c>
      <c r="Q485" t="n">
        <v>0</v>
      </c>
      <c r="R485" s="2" t="inlineStr"/>
    </row>
    <row r="486" ht="15" customHeight="1">
      <c r="A486" t="inlineStr">
        <is>
          <t>A 26740-2025</t>
        </is>
      </c>
      <c r="B486" s="1" t="n">
        <v>45809</v>
      </c>
      <c r="C486" s="1" t="n">
        <v>45907</v>
      </c>
      <c r="D486" t="inlineStr">
        <is>
          <t>UPPSALA LÄN</t>
        </is>
      </c>
      <c r="E486" t="inlineStr">
        <is>
          <t>UPPSALA</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49996-2023</t>
        </is>
      </c>
      <c r="B487" s="1" t="n">
        <v>45215.44233796297</v>
      </c>
      <c r="C487" s="1" t="n">
        <v>45907</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row>
    <row r="488" ht="15" customHeight="1">
      <c r="A488" t="inlineStr">
        <is>
          <t>A 26697-2025</t>
        </is>
      </c>
      <c r="B488" s="1" t="n">
        <v>45810.44339120371</v>
      </c>
      <c r="C488" s="1" t="n">
        <v>45907</v>
      </c>
      <c r="D488" t="inlineStr">
        <is>
          <t>UPPSALA LÄN</t>
        </is>
      </c>
      <c r="E488" t="inlineStr">
        <is>
          <t>UPPSALA</t>
        </is>
      </c>
      <c r="F488" t="inlineStr">
        <is>
          <t>Bergvik skog öst AB</t>
        </is>
      </c>
      <c r="G488" t="n">
        <v>2.8</v>
      </c>
      <c r="H488" t="n">
        <v>0</v>
      </c>
      <c r="I488" t="n">
        <v>0</v>
      </c>
      <c r="J488" t="n">
        <v>0</v>
      </c>
      <c r="K488" t="n">
        <v>0</v>
      </c>
      <c r="L488" t="n">
        <v>0</v>
      </c>
      <c r="M488" t="n">
        <v>0</v>
      </c>
      <c r="N488" t="n">
        <v>0</v>
      </c>
      <c r="O488" t="n">
        <v>0</v>
      </c>
      <c r="P488" t="n">
        <v>0</v>
      </c>
      <c r="Q488" t="n">
        <v>0</v>
      </c>
      <c r="R488" s="2" t="inlineStr"/>
    </row>
    <row r="489" ht="15" customHeight="1">
      <c r="A489" t="inlineStr">
        <is>
          <t>A 27622-2023</t>
        </is>
      </c>
      <c r="B489" s="1" t="n">
        <v>45097</v>
      </c>
      <c r="C489" s="1" t="n">
        <v>45907</v>
      </c>
      <c r="D489" t="inlineStr">
        <is>
          <t>UPPSALA LÄN</t>
        </is>
      </c>
      <c r="E489" t="inlineStr">
        <is>
          <t>UPPSALA</t>
        </is>
      </c>
      <c r="G489" t="n">
        <v>3.2</v>
      </c>
      <c r="H489" t="n">
        <v>0</v>
      </c>
      <c r="I489" t="n">
        <v>0</v>
      </c>
      <c r="J489" t="n">
        <v>0</v>
      </c>
      <c r="K489" t="n">
        <v>0</v>
      </c>
      <c r="L489" t="n">
        <v>0</v>
      </c>
      <c r="M489" t="n">
        <v>0</v>
      </c>
      <c r="N489" t="n">
        <v>0</v>
      </c>
      <c r="O489" t="n">
        <v>0</v>
      </c>
      <c r="P489" t="n">
        <v>0</v>
      </c>
      <c r="Q489" t="n">
        <v>0</v>
      </c>
      <c r="R489" s="2" t="inlineStr"/>
    </row>
    <row r="490" ht="15" customHeight="1">
      <c r="A490" t="inlineStr">
        <is>
          <t>A 9993-2025</t>
        </is>
      </c>
      <c r="B490" s="1" t="n">
        <v>45719.43755787037</v>
      </c>
      <c r="C490" s="1" t="n">
        <v>45907</v>
      </c>
      <c r="D490" t="inlineStr">
        <is>
          <t>UPPSALA LÄN</t>
        </is>
      </c>
      <c r="E490" t="inlineStr">
        <is>
          <t>UPPSALA</t>
        </is>
      </c>
      <c r="F490" t="inlineStr">
        <is>
          <t>Kyrkan</t>
        </is>
      </c>
      <c r="G490" t="n">
        <v>6.1</v>
      </c>
      <c r="H490" t="n">
        <v>0</v>
      </c>
      <c r="I490" t="n">
        <v>0</v>
      </c>
      <c r="J490" t="n">
        <v>0</v>
      </c>
      <c r="K490" t="n">
        <v>0</v>
      </c>
      <c r="L490" t="n">
        <v>0</v>
      </c>
      <c r="M490" t="n">
        <v>0</v>
      </c>
      <c r="N490" t="n">
        <v>0</v>
      </c>
      <c r="O490" t="n">
        <v>0</v>
      </c>
      <c r="P490" t="n">
        <v>0</v>
      </c>
      <c r="Q490" t="n">
        <v>0</v>
      </c>
      <c r="R490" s="2" t="inlineStr"/>
    </row>
    <row r="491" ht="15" customHeight="1">
      <c r="A491" t="inlineStr">
        <is>
          <t>A 26713-2025</t>
        </is>
      </c>
      <c r="B491" s="1" t="n">
        <v>45809</v>
      </c>
      <c r="C491" s="1" t="n">
        <v>45907</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55953-2020</t>
        </is>
      </c>
      <c r="B492" s="1" t="n">
        <v>44131</v>
      </c>
      <c r="C492" s="1" t="n">
        <v>45907</v>
      </c>
      <c r="D492" t="inlineStr">
        <is>
          <t>UPPSALA LÄN</t>
        </is>
      </c>
      <c r="E492" t="inlineStr">
        <is>
          <t>UPPSALA</t>
        </is>
      </c>
      <c r="F492" t="inlineStr">
        <is>
          <t>Allmännings- och besparingsskogar</t>
        </is>
      </c>
      <c r="G492" t="n">
        <v>74.40000000000001</v>
      </c>
      <c r="H492" t="n">
        <v>0</v>
      </c>
      <c r="I492" t="n">
        <v>0</v>
      </c>
      <c r="J492" t="n">
        <v>0</v>
      </c>
      <c r="K492" t="n">
        <v>0</v>
      </c>
      <c r="L492" t="n">
        <v>0</v>
      </c>
      <c r="M492" t="n">
        <v>0</v>
      </c>
      <c r="N492" t="n">
        <v>0</v>
      </c>
      <c r="O492" t="n">
        <v>0</v>
      </c>
      <c r="P492" t="n">
        <v>0</v>
      </c>
      <c r="Q492" t="n">
        <v>0</v>
      </c>
      <c r="R492" s="2" t="inlineStr"/>
    </row>
    <row r="493" ht="15" customHeight="1">
      <c r="A493" t="inlineStr">
        <is>
          <t>A 33191-2023</t>
        </is>
      </c>
      <c r="B493" s="1" t="n">
        <v>45127</v>
      </c>
      <c r="C493" s="1" t="n">
        <v>45907</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50473-2023</t>
        </is>
      </c>
      <c r="B494" s="1" t="n">
        <v>45216</v>
      </c>
      <c r="C494" s="1" t="n">
        <v>45907</v>
      </c>
      <c r="D494" t="inlineStr">
        <is>
          <t>UPPSALA LÄN</t>
        </is>
      </c>
      <c r="E494" t="inlineStr">
        <is>
          <t>UPPSALA</t>
        </is>
      </c>
      <c r="F494" t="inlineStr">
        <is>
          <t>Allmännings- och besparingsskogar</t>
        </is>
      </c>
      <c r="G494" t="n">
        <v>7.6</v>
      </c>
      <c r="H494" t="n">
        <v>0</v>
      </c>
      <c r="I494" t="n">
        <v>0</v>
      </c>
      <c r="J494" t="n">
        <v>0</v>
      </c>
      <c r="K494" t="n">
        <v>0</v>
      </c>
      <c r="L494" t="n">
        <v>0</v>
      </c>
      <c r="M494" t="n">
        <v>0</v>
      </c>
      <c r="N494" t="n">
        <v>0</v>
      </c>
      <c r="O494" t="n">
        <v>0</v>
      </c>
      <c r="P494" t="n">
        <v>0</v>
      </c>
      <c r="Q494" t="n">
        <v>0</v>
      </c>
      <c r="R494" s="2" t="inlineStr"/>
    </row>
    <row r="495" ht="15" customHeight="1">
      <c r="A495" t="inlineStr">
        <is>
          <t>A 26709-2025</t>
        </is>
      </c>
      <c r="B495" s="1" t="n">
        <v>45810.45960648148</v>
      </c>
      <c r="C495" s="1" t="n">
        <v>45907</v>
      </c>
      <c r="D495" t="inlineStr">
        <is>
          <t>UPPSALA LÄN</t>
        </is>
      </c>
      <c r="E495" t="inlineStr">
        <is>
          <t>UPPSALA</t>
        </is>
      </c>
      <c r="F495" t="inlineStr">
        <is>
          <t>Kyrkan</t>
        </is>
      </c>
      <c r="G495" t="n">
        <v>6.7</v>
      </c>
      <c r="H495" t="n">
        <v>0</v>
      </c>
      <c r="I495" t="n">
        <v>0</v>
      </c>
      <c r="J495" t="n">
        <v>0</v>
      </c>
      <c r="K495" t="n">
        <v>0</v>
      </c>
      <c r="L495" t="n">
        <v>0</v>
      </c>
      <c r="M495" t="n">
        <v>0</v>
      </c>
      <c r="N495" t="n">
        <v>0</v>
      </c>
      <c r="O495" t="n">
        <v>0</v>
      </c>
      <c r="P495" t="n">
        <v>0</v>
      </c>
      <c r="Q495" t="n">
        <v>0</v>
      </c>
      <c r="R495" s="2" t="inlineStr"/>
    </row>
    <row r="496" ht="15" customHeight="1">
      <c r="A496" t="inlineStr">
        <is>
          <t>A 26738-2025</t>
        </is>
      </c>
      <c r="B496" s="1" t="n">
        <v>45809</v>
      </c>
      <c r="C496" s="1" t="n">
        <v>45907</v>
      </c>
      <c r="D496" t="inlineStr">
        <is>
          <t>UPPSALA LÄN</t>
        </is>
      </c>
      <c r="E496" t="inlineStr">
        <is>
          <t>UPPSALA</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60056-2022</t>
        </is>
      </c>
      <c r="B497" s="1" t="n">
        <v>44909</v>
      </c>
      <c r="C497" s="1" t="n">
        <v>45907</v>
      </c>
      <c r="D497" t="inlineStr">
        <is>
          <t>UPPSALA LÄN</t>
        </is>
      </c>
      <c r="E497" t="inlineStr">
        <is>
          <t>UPPSALA</t>
        </is>
      </c>
      <c r="G497" t="n">
        <v>1.2</v>
      </c>
      <c r="H497" t="n">
        <v>0</v>
      </c>
      <c r="I497" t="n">
        <v>0</v>
      </c>
      <c r="J497" t="n">
        <v>0</v>
      </c>
      <c r="K497" t="n">
        <v>0</v>
      </c>
      <c r="L497" t="n">
        <v>0</v>
      </c>
      <c r="M497" t="n">
        <v>0</v>
      </c>
      <c r="N497" t="n">
        <v>0</v>
      </c>
      <c r="O497" t="n">
        <v>0</v>
      </c>
      <c r="P497" t="n">
        <v>0</v>
      </c>
      <c r="Q497" t="n">
        <v>0</v>
      </c>
      <c r="R497" s="2" t="inlineStr"/>
    </row>
    <row r="498" ht="15" customHeight="1">
      <c r="A498" t="inlineStr">
        <is>
          <t>A 26739-2025</t>
        </is>
      </c>
      <c r="B498" s="1" t="n">
        <v>45809</v>
      </c>
      <c r="C498" s="1" t="n">
        <v>45907</v>
      </c>
      <c r="D498" t="inlineStr">
        <is>
          <t>UPPSALA LÄN</t>
        </is>
      </c>
      <c r="E498" t="inlineStr">
        <is>
          <t>UPPSALA</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23494-2024</t>
        </is>
      </c>
      <c r="B499" s="1" t="n">
        <v>45453.69339120371</v>
      </c>
      <c r="C499" s="1" t="n">
        <v>45907</v>
      </c>
      <c r="D499" t="inlineStr">
        <is>
          <t>UPPSALA LÄN</t>
        </is>
      </c>
      <c r="E499" t="inlineStr">
        <is>
          <t>UPPSALA</t>
        </is>
      </c>
      <c r="F499" t="inlineStr">
        <is>
          <t>Kyrkan</t>
        </is>
      </c>
      <c r="G499" t="n">
        <v>0.8</v>
      </c>
      <c r="H499" t="n">
        <v>0</v>
      </c>
      <c r="I499" t="n">
        <v>0</v>
      </c>
      <c r="J499" t="n">
        <v>0</v>
      </c>
      <c r="K499" t="n">
        <v>0</v>
      </c>
      <c r="L499" t="n">
        <v>0</v>
      </c>
      <c r="M499" t="n">
        <v>0</v>
      </c>
      <c r="N499" t="n">
        <v>0</v>
      </c>
      <c r="O499" t="n">
        <v>0</v>
      </c>
      <c r="P499" t="n">
        <v>0</v>
      </c>
      <c r="Q499" t="n">
        <v>0</v>
      </c>
      <c r="R499" s="2" t="inlineStr"/>
    </row>
    <row r="500" ht="15" customHeight="1">
      <c r="A500" t="inlineStr">
        <is>
          <t>A 32127-2024</t>
        </is>
      </c>
      <c r="B500" s="1" t="n">
        <v>45511</v>
      </c>
      <c r="C500" s="1" t="n">
        <v>45907</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45907</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45907</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53365-2024</t>
        </is>
      </c>
      <c r="B503" s="1" t="n">
        <v>45614</v>
      </c>
      <c r="C503" s="1" t="n">
        <v>45907</v>
      </c>
      <c r="D503" t="inlineStr">
        <is>
          <t>UPPSALA LÄN</t>
        </is>
      </c>
      <c r="E503" t="inlineStr">
        <is>
          <t>UPPSALA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35142-2023</t>
        </is>
      </c>
      <c r="B504" s="1" t="n">
        <v>45145</v>
      </c>
      <c r="C504" s="1" t="n">
        <v>45907</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59133-2022</t>
        </is>
      </c>
      <c r="B505" s="1" t="n">
        <v>44904</v>
      </c>
      <c r="C505" s="1" t="n">
        <v>45907</v>
      </c>
      <c r="D505" t="inlineStr">
        <is>
          <t>UPPSALA LÄN</t>
        </is>
      </c>
      <c r="E505" t="inlineStr">
        <is>
          <t>UPPSALA</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58070-2020</t>
        </is>
      </c>
      <c r="B506" s="1" t="n">
        <v>44140</v>
      </c>
      <c r="C506" s="1" t="n">
        <v>45907</v>
      </c>
      <c r="D506" t="inlineStr">
        <is>
          <t>UPPSALA LÄN</t>
        </is>
      </c>
      <c r="E506" t="inlineStr">
        <is>
          <t>UPPSALA</t>
        </is>
      </c>
      <c r="G506" t="n">
        <v>4</v>
      </c>
      <c r="H506" t="n">
        <v>0</v>
      </c>
      <c r="I506" t="n">
        <v>0</v>
      </c>
      <c r="J506" t="n">
        <v>0</v>
      </c>
      <c r="K506" t="n">
        <v>0</v>
      </c>
      <c r="L506" t="n">
        <v>0</v>
      </c>
      <c r="M506" t="n">
        <v>0</v>
      </c>
      <c r="N506" t="n">
        <v>0</v>
      </c>
      <c r="O506" t="n">
        <v>0</v>
      </c>
      <c r="P506" t="n">
        <v>0</v>
      </c>
      <c r="Q506" t="n">
        <v>0</v>
      </c>
      <c r="R506" s="2" t="inlineStr"/>
    </row>
    <row r="507" ht="15" customHeight="1">
      <c r="A507" t="inlineStr">
        <is>
          <t>A 27265-2025</t>
        </is>
      </c>
      <c r="B507" s="1" t="n">
        <v>45812.48032407407</v>
      </c>
      <c r="C507" s="1" t="n">
        <v>45907</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73531-2021</t>
        </is>
      </c>
      <c r="B508" s="1" t="n">
        <v>44551.76711805556</v>
      </c>
      <c r="C508" s="1" t="n">
        <v>45907</v>
      </c>
      <c r="D508" t="inlineStr">
        <is>
          <t>UPPSALA LÄN</t>
        </is>
      </c>
      <c r="E508" t="inlineStr">
        <is>
          <t>UPPSALA</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27538-2025</t>
        </is>
      </c>
      <c r="B509" s="1" t="n">
        <v>45813.46034722222</v>
      </c>
      <c r="C509" s="1" t="n">
        <v>45907</v>
      </c>
      <c r="D509" t="inlineStr">
        <is>
          <t>UPPSALA LÄN</t>
        </is>
      </c>
      <c r="E509" t="inlineStr">
        <is>
          <t>UPPSALA</t>
        </is>
      </c>
      <c r="G509" t="n">
        <v>3.1</v>
      </c>
      <c r="H509" t="n">
        <v>0</v>
      </c>
      <c r="I509" t="n">
        <v>0</v>
      </c>
      <c r="J509" t="n">
        <v>0</v>
      </c>
      <c r="K509" t="n">
        <v>0</v>
      </c>
      <c r="L509" t="n">
        <v>0</v>
      </c>
      <c r="M509" t="n">
        <v>0</v>
      </c>
      <c r="N509" t="n">
        <v>0</v>
      </c>
      <c r="O509" t="n">
        <v>0</v>
      </c>
      <c r="P509" t="n">
        <v>0</v>
      </c>
      <c r="Q509" t="n">
        <v>0</v>
      </c>
      <c r="R509" s="2" t="inlineStr"/>
    </row>
    <row r="510" ht="15" customHeight="1">
      <c r="A510" t="inlineStr">
        <is>
          <t>A 27706-2025</t>
        </is>
      </c>
      <c r="B510" s="1" t="n">
        <v>45813</v>
      </c>
      <c r="C510" s="1" t="n">
        <v>45907</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55220-2020</t>
        </is>
      </c>
      <c r="B511" s="1" t="n">
        <v>44130</v>
      </c>
      <c r="C511" s="1" t="n">
        <v>45907</v>
      </c>
      <c r="D511" t="inlineStr">
        <is>
          <t>UPPSALA LÄN</t>
        </is>
      </c>
      <c r="E511" t="inlineStr">
        <is>
          <t>UPPSALA</t>
        </is>
      </c>
      <c r="G511" t="n">
        <v>2.8</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45907</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54783-2023</t>
        </is>
      </c>
      <c r="B513" s="1" t="n">
        <v>45236.47697916667</v>
      </c>
      <c r="C513" s="1" t="n">
        <v>45907</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6677-2024</t>
        </is>
      </c>
      <c r="B514" s="1" t="n">
        <v>45341</v>
      </c>
      <c r="C514" s="1" t="n">
        <v>45907</v>
      </c>
      <c r="D514" t="inlineStr">
        <is>
          <t>UPPSALA LÄN</t>
        </is>
      </c>
      <c r="E514" t="inlineStr">
        <is>
          <t>UPPSALA</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10489-2025</t>
        </is>
      </c>
      <c r="B515" s="1" t="n">
        <v>45721.34715277778</v>
      </c>
      <c r="C515" s="1" t="n">
        <v>45907</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27917-2025</t>
        </is>
      </c>
      <c r="B516" s="1" t="n">
        <v>45814</v>
      </c>
      <c r="C516" s="1" t="n">
        <v>45907</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39795-2022</t>
        </is>
      </c>
      <c r="B517" s="1" t="n">
        <v>44819.50233796296</v>
      </c>
      <c r="C517" s="1" t="n">
        <v>45907</v>
      </c>
      <c r="D517" t="inlineStr">
        <is>
          <t>UPPSALA LÄN</t>
        </is>
      </c>
      <c r="E517" t="inlineStr">
        <is>
          <t>UPPSALA</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11409-2025</t>
        </is>
      </c>
      <c r="B518" s="1" t="n">
        <v>45726</v>
      </c>
      <c r="C518" s="1" t="n">
        <v>45907</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13526-2023</t>
        </is>
      </c>
      <c r="B519" s="1" t="n">
        <v>45006</v>
      </c>
      <c r="C519" s="1" t="n">
        <v>45907</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668-2025</t>
        </is>
      </c>
      <c r="B520" s="1" t="n">
        <v>45664</v>
      </c>
      <c r="C520" s="1" t="n">
        <v>45907</v>
      </c>
      <c r="D520" t="inlineStr">
        <is>
          <t>UPPSALA LÄN</t>
        </is>
      </c>
      <c r="E520" t="inlineStr">
        <is>
          <t>UPPSALA</t>
        </is>
      </c>
      <c r="F520" t="inlineStr">
        <is>
          <t>Bergvik skog öst AB</t>
        </is>
      </c>
      <c r="G520" t="n">
        <v>4.7</v>
      </c>
      <c r="H520" t="n">
        <v>0</v>
      </c>
      <c r="I520" t="n">
        <v>0</v>
      </c>
      <c r="J520" t="n">
        <v>0</v>
      </c>
      <c r="K520" t="n">
        <v>0</v>
      </c>
      <c r="L520" t="n">
        <v>0</v>
      </c>
      <c r="M520" t="n">
        <v>0</v>
      </c>
      <c r="N520" t="n">
        <v>0</v>
      </c>
      <c r="O520" t="n">
        <v>0</v>
      </c>
      <c r="P520" t="n">
        <v>0</v>
      </c>
      <c r="Q520" t="n">
        <v>0</v>
      </c>
      <c r="R520" s="2" t="inlineStr"/>
    </row>
    <row r="521" ht="15" customHeight="1">
      <c r="A521" t="inlineStr">
        <is>
          <t>A 47221-2023</t>
        </is>
      </c>
      <c r="B521" s="1" t="n">
        <v>45202</v>
      </c>
      <c r="C521" s="1" t="n">
        <v>45907</v>
      </c>
      <c r="D521" t="inlineStr">
        <is>
          <t>UPPSALA LÄN</t>
        </is>
      </c>
      <c r="E521" t="inlineStr">
        <is>
          <t>UPPSALA</t>
        </is>
      </c>
      <c r="G521" t="n">
        <v>8.6</v>
      </c>
      <c r="H521" t="n">
        <v>0</v>
      </c>
      <c r="I521" t="n">
        <v>0</v>
      </c>
      <c r="J521" t="n">
        <v>0</v>
      </c>
      <c r="K521" t="n">
        <v>0</v>
      </c>
      <c r="L521" t="n">
        <v>0</v>
      </c>
      <c r="M521" t="n">
        <v>0</v>
      </c>
      <c r="N521" t="n">
        <v>0</v>
      </c>
      <c r="O521" t="n">
        <v>0</v>
      </c>
      <c r="P521" t="n">
        <v>0</v>
      </c>
      <c r="Q521" t="n">
        <v>0</v>
      </c>
      <c r="R521" s="2" t="inlineStr"/>
    </row>
    <row r="522" ht="15" customHeight="1">
      <c r="A522" t="inlineStr">
        <is>
          <t>A 28121-2025</t>
        </is>
      </c>
      <c r="B522" s="1" t="n">
        <v>45817</v>
      </c>
      <c r="C522" s="1" t="n">
        <v>45907</v>
      </c>
      <c r="D522" t="inlineStr">
        <is>
          <t>UPPSALA LÄN</t>
        </is>
      </c>
      <c r="E522" t="inlineStr">
        <is>
          <t>UPPSALA</t>
        </is>
      </c>
      <c r="G522" t="n">
        <v>5.6</v>
      </c>
      <c r="H522" t="n">
        <v>0</v>
      </c>
      <c r="I522" t="n">
        <v>0</v>
      </c>
      <c r="J522" t="n">
        <v>0</v>
      </c>
      <c r="K522" t="n">
        <v>0</v>
      </c>
      <c r="L522" t="n">
        <v>0</v>
      </c>
      <c r="M522" t="n">
        <v>0</v>
      </c>
      <c r="N522" t="n">
        <v>0</v>
      </c>
      <c r="O522" t="n">
        <v>0</v>
      </c>
      <c r="P522" t="n">
        <v>0</v>
      </c>
      <c r="Q522" t="n">
        <v>0</v>
      </c>
      <c r="R522" s="2" t="inlineStr"/>
    </row>
    <row r="523" ht="15" customHeight="1">
      <c r="A523" t="inlineStr">
        <is>
          <t>A 27442-2024</t>
        </is>
      </c>
      <c r="B523" s="1" t="n">
        <v>45474.41729166666</v>
      </c>
      <c r="C523" s="1" t="n">
        <v>45907</v>
      </c>
      <c r="D523" t="inlineStr">
        <is>
          <t>UPPSALA LÄN</t>
        </is>
      </c>
      <c r="E523" t="inlineStr">
        <is>
          <t>UPPSALA</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3040-2023</t>
        </is>
      </c>
      <c r="B524" s="1" t="n">
        <v>44946</v>
      </c>
      <c r="C524" s="1" t="n">
        <v>45907</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66983-2021</t>
        </is>
      </c>
      <c r="B525" s="1" t="n">
        <v>44522</v>
      </c>
      <c r="C525" s="1" t="n">
        <v>45907</v>
      </c>
      <c r="D525" t="inlineStr">
        <is>
          <t>UPPSALA LÄN</t>
        </is>
      </c>
      <c r="E525" t="inlineStr">
        <is>
          <t>UPPSALA</t>
        </is>
      </c>
      <c r="G525" t="n">
        <v>2.5</v>
      </c>
      <c r="H525" t="n">
        <v>0</v>
      </c>
      <c r="I525" t="n">
        <v>0</v>
      </c>
      <c r="J525" t="n">
        <v>0</v>
      </c>
      <c r="K525" t="n">
        <v>0</v>
      </c>
      <c r="L525" t="n">
        <v>0</v>
      </c>
      <c r="M525" t="n">
        <v>0</v>
      </c>
      <c r="N525" t="n">
        <v>0</v>
      </c>
      <c r="O525" t="n">
        <v>0</v>
      </c>
      <c r="P525" t="n">
        <v>0</v>
      </c>
      <c r="Q525" t="n">
        <v>0</v>
      </c>
      <c r="R525" s="2" t="inlineStr"/>
    </row>
    <row r="526" ht="15" customHeight="1">
      <c r="A526" t="inlineStr">
        <is>
          <t>A 28275-2025</t>
        </is>
      </c>
      <c r="B526" s="1" t="n">
        <v>45818.57910879629</v>
      </c>
      <c r="C526" s="1" t="n">
        <v>45907</v>
      </c>
      <c r="D526" t="inlineStr">
        <is>
          <t>UPPSALA LÄN</t>
        </is>
      </c>
      <c r="E526" t="inlineStr">
        <is>
          <t>UPPSALA</t>
        </is>
      </c>
      <c r="F526" t="inlineStr">
        <is>
          <t>Holmen skog AB</t>
        </is>
      </c>
      <c r="G526" t="n">
        <v>6.5</v>
      </c>
      <c r="H526" t="n">
        <v>0</v>
      </c>
      <c r="I526" t="n">
        <v>0</v>
      </c>
      <c r="J526" t="n">
        <v>0</v>
      </c>
      <c r="K526" t="n">
        <v>0</v>
      </c>
      <c r="L526" t="n">
        <v>0</v>
      </c>
      <c r="M526" t="n">
        <v>0</v>
      </c>
      <c r="N526" t="n">
        <v>0</v>
      </c>
      <c r="O526" t="n">
        <v>0</v>
      </c>
      <c r="P526" t="n">
        <v>0</v>
      </c>
      <c r="Q526" t="n">
        <v>0</v>
      </c>
      <c r="R526" s="2" t="inlineStr"/>
    </row>
    <row r="527" ht="15" customHeight="1">
      <c r="A527" t="inlineStr">
        <is>
          <t>A 27922-2025</t>
        </is>
      </c>
      <c r="B527" s="1" t="n">
        <v>45817</v>
      </c>
      <c r="C527" s="1" t="n">
        <v>45907</v>
      </c>
      <c r="D527" t="inlineStr">
        <is>
          <t>UPPSALA LÄN</t>
        </is>
      </c>
      <c r="E527" t="inlineStr">
        <is>
          <t>UPPSALA</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45907</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45907</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45907</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45907</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5028-2022</t>
        </is>
      </c>
      <c r="B532" s="1" t="n">
        <v>44593.64863425926</v>
      </c>
      <c r="C532" s="1" t="n">
        <v>45907</v>
      </c>
      <c r="D532" t="inlineStr">
        <is>
          <t>UPPSALA LÄN</t>
        </is>
      </c>
      <c r="E532" t="inlineStr">
        <is>
          <t>UPPSALA</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6363-2024</t>
        </is>
      </c>
      <c r="B533" s="1" t="n">
        <v>45338.49412037037</v>
      </c>
      <c r="C533" s="1" t="n">
        <v>45907</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54808-2023</t>
        </is>
      </c>
      <c r="B534" s="1" t="n">
        <v>45236</v>
      </c>
      <c r="C534" s="1" t="n">
        <v>45907</v>
      </c>
      <c r="D534" t="inlineStr">
        <is>
          <t>UPPSALA LÄN</t>
        </is>
      </c>
      <c r="E534" t="inlineStr">
        <is>
          <t>UPPSALA</t>
        </is>
      </c>
      <c r="G534" t="n">
        <v>4.1</v>
      </c>
      <c r="H534" t="n">
        <v>0</v>
      </c>
      <c r="I534" t="n">
        <v>0</v>
      </c>
      <c r="J534" t="n">
        <v>0</v>
      </c>
      <c r="K534" t="n">
        <v>0</v>
      </c>
      <c r="L534" t="n">
        <v>0</v>
      </c>
      <c r="M534" t="n">
        <v>0</v>
      </c>
      <c r="N534" t="n">
        <v>0</v>
      </c>
      <c r="O534" t="n">
        <v>0</v>
      </c>
      <c r="P534" t="n">
        <v>0</v>
      </c>
      <c r="Q534" t="n">
        <v>0</v>
      </c>
      <c r="R534" s="2" t="inlineStr"/>
    </row>
    <row r="535" ht="15" customHeight="1">
      <c r="A535" t="inlineStr">
        <is>
          <t>A 36479-2023</t>
        </is>
      </c>
      <c r="B535" s="1" t="n">
        <v>45152</v>
      </c>
      <c r="C535" s="1" t="n">
        <v>45907</v>
      </c>
      <c r="D535" t="inlineStr">
        <is>
          <t>UPPSALA LÄN</t>
        </is>
      </c>
      <c r="E535" t="inlineStr">
        <is>
          <t>UPPSALA</t>
        </is>
      </c>
      <c r="F535" t="inlineStr">
        <is>
          <t>Allmännings- och besparingsskogar</t>
        </is>
      </c>
      <c r="G535" t="n">
        <v>3.4</v>
      </c>
      <c r="H535" t="n">
        <v>0</v>
      </c>
      <c r="I535" t="n">
        <v>0</v>
      </c>
      <c r="J535" t="n">
        <v>0</v>
      </c>
      <c r="K535" t="n">
        <v>0</v>
      </c>
      <c r="L535" t="n">
        <v>0</v>
      </c>
      <c r="M535" t="n">
        <v>0</v>
      </c>
      <c r="N535" t="n">
        <v>0</v>
      </c>
      <c r="O535" t="n">
        <v>0</v>
      </c>
      <c r="P535" t="n">
        <v>0</v>
      </c>
      <c r="Q535" t="n">
        <v>0</v>
      </c>
      <c r="R535" s="2" t="inlineStr"/>
    </row>
    <row r="536" ht="15" customHeight="1">
      <c r="A536" t="inlineStr">
        <is>
          <t>A 600-2024</t>
        </is>
      </c>
      <c r="B536" s="1" t="n">
        <v>45299</v>
      </c>
      <c r="C536" s="1" t="n">
        <v>45907</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54742-2020</t>
        </is>
      </c>
      <c r="B537" s="1" t="n">
        <v>44126</v>
      </c>
      <c r="C537" s="1" t="n">
        <v>45907</v>
      </c>
      <c r="D537" t="inlineStr">
        <is>
          <t>UPPSALA LÄN</t>
        </is>
      </c>
      <c r="E537" t="inlineStr">
        <is>
          <t>UPPSALA</t>
        </is>
      </c>
      <c r="G537" t="n">
        <v>3.6</v>
      </c>
      <c r="H537" t="n">
        <v>0</v>
      </c>
      <c r="I537" t="n">
        <v>0</v>
      </c>
      <c r="J537" t="n">
        <v>0</v>
      </c>
      <c r="K537" t="n">
        <v>0</v>
      </c>
      <c r="L537" t="n">
        <v>0</v>
      </c>
      <c r="M537" t="n">
        <v>0</v>
      </c>
      <c r="N537" t="n">
        <v>0</v>
      </c>
      <c r="O537" t="n">
        <v>0</v>
      </c>
      <c r="P537" t="n">
        <v>0</v>
      </c>
      <c r="Q537" t="n">
        <v>0</v>
      </c>
      <c r="R537" s="2" t="inlineStr"/>
    </row>
    <row r="538" ht="15" customHeight="1">
      <c r="A538" t="inlineStr">
        <is>
          <t>A 37819-2021</t>
        </is>
      </c>
      <c r="B538" s="1" t="n">
        <v>44403.29719907408</v>
      </c>
      <c r="C538" s="1" t="n">
        <v>45907</v>
      </c>
      <c r="D538" t="inlineStr">
        <is>
          <t>UPPSALA LÄN</t>
        </is>
      </c>
      <c r="E538" t="inlineStr">
        <is>
          <t>UPPSALA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28876-2025</t>
        </is>
      </c>
      <c r="B539" s="1" t="n">
        <v>45820</v>
      </c>
      <c r="C539" s="1" t="n">
        <v>45907</v>
      </c>
      <c r="D539" t="inlineStr">
        <is>
          <t>UPPSALA LÄN</t>
        </is>
      </c>
      <c r="E539" t="inlineStr">
        <is>
          <t>UPPSALA</t>
        </is>
      </c>
      <c r="G539" t="n">
        <v>4</v>
      </c>
      <c r="H539" t="n">
        <v>0</v>
      </c>
      <c r="I539" t="n">
        <v>0</v>
      </c>
      <c r="J539" t="n">
        <v>0</v>
      </c>
      <c r="K539" t="n">
        <v>0</v>
      </c>
      <c r="L539" t="n">
        <v>0</v>
      </c>
      <c r="M539" t="n">
        <v>0</v>
      </c>
      <c r="N539" t="n">
        <v>0</v>
      </c>
      <c r="O539" t="n">
        <v>0</v>
      </c>
      <c r="P539" t="n">
        <v>0</v>
      </c>
      <c r="Q539" t="n">
        <v>0</v>
      </c>
      <c r="R539" s="2" t="inlineStr"/>
    </row>
    <row r="540" ht="15" customHeight="1">
      <c r="A540" t="inlineStr">
        <is>
          <t>A 54813-2022</t>
        </is>
      </c>
      <c r="B540" s="1" t="n">
        <v>44883</v>
      </c>
      <c r="C540" s="1" t="n">
        <v>45907</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28871-2025</t>
        </is>
      </c>
      <c r="B541" s="1" t="n">
        <v>45820</v>
      </c>
      <c r="C541" s="1" t="n">
        <v>45907</v>
      </c>
      <c r="D541" t="inlineStr">
        <is>
          <t>UPPSALA LÄN</t>
        </is>
      </c>
      <c r="E541" t="inlineStr">
        <is>
          <t>UPPSALA</t>
        </is>
      </c>
      <c r="G541" t="n">
        <v>6.5</v>
      </c>
      <c r="H541" t="n">
        <v>0</v>
      </c>
      <c r="I541" t="n">
        <v>0</v>
      </c>
      <c r="J541" t="n">
        <v>0</v>
      </c>
      <c r="K541" t="n">
        <v>0</v>
      </c>
      <c r="L541" t="n">
        <v>0</v>
      </c>
      <c r="M541" t="n">
        <v>0</v>
      </c>
      <c r="N541" t="n">
        <v>0</v>
      </c>
      <c r="O541" t="n">
        <v>0</v>
      </c>
      <c r="P541" t="n">
        <v>0</v>
      </c>
      <c r="Q541" t="n">
        <v>0</v>
      </c>
      <c r="R541" s="2" t="inlineStr"/>
    </row>
    <row r="542" ht="15" customHeight="1">
      <c r="A542" t="inlineStr">
        <is>
          <t>A 28878-2025</t>
        </is>
      </c>
      <c r="B542" s="1" t="n">
        <v>45820</v>
      </c>
      <c r="C542" s="1" t="n">
        <v>45907</v>
      </c>
      <c r="D542" t="inlineStr">
        <is>
          <t>UPPSALA LÄN</t>
        </is>
      </c>
      <c r="E542" t="inlineStr">
        <is>
          <t>UPPSALA</t>
        </is>
      </c>
      <c r="G542" t="n">
        <v>5.5</v>
      </c>
      <c r="H542" t="n">
        <v>0</v>
      </c>
      <c r="I542" t="n">
        <v>0</v>
      </c>
      <c r="J542" t="n">
        <v>0</v>
      </c>
      <c r="K542" t="n">
        <v>0</v>
      </c>
      <c r="L542" t="n">
        <v>0</v>
      </c>
      <c r="M542" t="n">
        <v>0</v>
      </c>
      <c r="N542" t="n">
        <v>0</v>
      </c>
      <c r="O542" t="n">
        <v>0</v>
      </c>
      <c r="P542" t="n">
        <v>0</v>
      </c>
      <c r="Q542" t="n">
        <v>0</v>
      </c>
      <c r="R542" s="2" t="inlineStr"/>
    </row>
    <row r="543" ht="15" customHeight="1">
      <c r="A543" t="inlineStr">
        <is>
          <t>A 29030-2025</t>
        </is>
      </c>
      <c r="B543" s="1" t="n">
        <v>45821.44101851852</v>
      </c>
      <c r="C543" s="1" t="n">
        <v>45907</v>
      </c>
      <c r="D543" t="inlineStr">
        <is>
          <t>UPPSALA LÄN</t>
        </is>
      </c>
      <c r="E543" t="inlineStr">
        <is>
          <t>UPPSALA</t>
        </is>
      </c>
      <c r="G543" t="n">
        <v>3.9</v>
      </c>
      <c r="H543" t="n">
        <v>0</v>
      </c>
      <c r="I543" t="n">
        <v>0</v>
      </c>
      <c r="J543" t="n">
        <v>0</v>
      </c>
      <c r="K543" t="n">
        <v>0</v>
      </c>
      <c r="L543" t="n">
        <v>0</v>
      </c>
      <c r="M543" t="n">
        <v>0</v>
      </c>
      <c r="N543" t="n">
        <v>0</v>
      </c>
      <c r="O543" t="n">
        <v>0</v>
      </c>
      <c r="P543" t="n">
        <v>0</v>
      </c>
      <c r="Q543" t="n">
        <v>0</v>
      </c>
      <c r="R543" s="2" t="inlineStr"/>
    </row>
    <row r="544" ht="15" customHeight="1">
      <c r="A544" t="inlineStr">
        <is>
          <t>A 60003-2024</t>
        </is>
      </c>
      <c r="B544" s="1" t="n">
        <v>45642</v>
      </c>
      <c r="C544" s="1" t="n">
        <v>45907</v>
      </c>
      <c r="D544" t="inlineStr">
        <is>
          <t>UPPSALA LÄN</t>
        </is>
      </c>
      <c r="E544" t="inlineStr">
        <is>
          <t>UPPSALA</t>
        </is>
      </c>
      <c r="F544" t="inlineStr">
        <is>
          <t>Bergvik skog väst AB</t>
        </is>
      </c>
      <c r="G544" t="n">
        <v>14.5</v>
      </c>
      <c r="H544" t="n">
        <v>0</v>
      </c>
      <c r="I544" t="n">
        <v>0</v>
      </c>
      <c r="J544" t="n">
        <v>0</v>
      </c>
      <c r="K544" t="n">
        <v>0</v>
      </c>
      <c r="L544" t="n">
        <v>0</v>
      </c>
      <c r="M544" t="n">
        <v>0</v>
      </c>
      <c r="N544" t="n">
        <v>0</v>
      </c>
      <c r="O544" t="n">
        <v>0</v>
      </c>
      <c r="P544" t="n">
        <v>0</v>
      </c>
      <c r="Q544" t="n">
        <v>0</v>
      </c>
      <c r="R544" s="2" t="inlineStr"/>
    </row>
    <row r="545" ht="15" customHeight="1">
      <c r="A545" t="inlineStr">
        <is>
          <t>A 1838-2024</t>
        </is>
      </c>
      <c r="B545" s="1" t="n">
        <v>45307</v>
      </c>
      <c r="C545" s="1" t="n">
        <v>45907</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8109-2024</t>
        </is>
      </c>
      <c r="B546" s="1" t="n">
        <v>45351.48662037037</v>
      </c>
      <c r="C546" s="1" t="n">
        <v>45907</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11201-2024</t>
        </is>
      </c>
      <c r="B547" s="1" t="n">
        <v>45371</v>
      </c>
      <c r="C547" s="1" t="n">
        <v>45907</v>
      </c>
      <c r="D547" t="inlineStr">
        <is>
          <t>UPPSALA LÄN</t>
        </is>
      </c>
      <c r="E547" t="inlineStr">
        <is>
          <t>UPPSALA</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29287-2025</t>
        </is>
      </c>
      <c r="B548" s="1" t="n">
        <v>45824.43798611111</v>
      </c>
      <c r="C548" s="1" t="n">
        <v>45907</v>
      </c>
      <c r="D548" t="inlineStr">
        <is>
          <t>UPPSALA LÄN</t>
        </is>
      </c>
      <c r="E548" t="inlineStr">
        <is>
          <t>UPPSALA</t>
        </is>
      </c>
      <c r="F548" t="inlineStr">
        <is>
          <t>Kyrkan</t>
        </is>
      </c>
      <c r="G548" t="n">
        <v>5.2</v>
      </c>
      <c r="H548" t="n">
        <v>0</v>
      </c>
      <c r="I548" t="n">
        <v>0</v>
      </c>
      <c r="J548" t="n">
        <v>0</v>
      </c>
      <c r="K548" t="n">
        <v>0</v>
      </c>
      <c r="L548" t="n">
        <v>0</v>
      </c>
      <c r="M548" t="n">
        <v>0</v>
      </c>
      <c r="N548" t="n">
        <v>0</v>
      </c>
      <c r="O548" t="n">
        <v>0</v>
      </c>
      <c r="P548" t="n">
        <v>0</v>
      </c>
      <c r="Q548" t="n">
        <v>0</v>
      </c>
      <c r="R548" s="2" t="inlineStr"/>
    </row>
    <row r="549" ht="15" customHeight="1">
      <c r="A549" t="inlineStr">
        <is>
          <t>A 29664-2025</t>
        </is>
      </c>
      <c r="B549" s="1" t="n">
        <v>45825.49060185185</v>
      </c>
      <c r="C549" s="1" t="n">
        <v>45907</v>
      </c>
      <c r="D549" t="inlineStr">
        <is>
          <t>UPPSALA LÄN</t>
        </is>
      </c>
      <c r="E549" t="inlineStr">
        <is>
          <t>UPPSALA</t>
        </is>
      </c>
      <c r="F549" t="inlineStr">
        <is>
          <t>Holmen skog AB</t>
        </is>
      </c>
      <c r="G549" t="n">
        <v>16.8</v>
      </c>
      <c r="H549" t="n">
        <v>0</v>
      </c>
      <c r="I549" t="n">
        <v>0</v>
      </c>
      <c r="J549" t="n">
        <v>0</v>
      </c>
      <c r="K549" t="n">
        <v>0</v>
      </c>
      <c r="L549" t="n">
        <v>0</v>
      </c>
      <c r="M549" t="n">
        <v>0</v>
      </c>
      <c r="N549" t="n">
        <v>0</v>
      </c>
      <c r="O549" t="n">
        <v>0</v>
      </c>
      <c r="P549" t="n">
        <v>0</v>
      </c>
      <c r="Q549" t="n">
        <v>0</v>
      </c>
      <c r="R549" s="2" t="inlineStr"/>
    </row>
    <row r="550" ht="15" customHeight="1">
      <c r="A550" t="inlineStr">
        <is>
          <t>A 29627-2025</t>
        </is>
      </c>
      <c r="B550" s="1" t="n">
        <v>45825.44482638889</v>
      </c>
      <c r="C550" s="1" t="n">
        <v>45907</v>
      </c>
      <c r="D550" t="inlineStr">
        <is>
          <t>UPPSALA LÄN</t>
        </is>
      </c>
      <c r="E550" t="inlineStr">
        <is>
          <t>UPPSALA</t>
        </is>
      </c>
      <c r="F550" t="inlineStr">
        <is>
          <t>Kommuner</t>
        </is>
      </c>
      <c r="G550" t="n">
        <v>1.6</v>
      </c>
      <c r="H550" t="n">
        <v>0</v>
      </c>
      <c r="I550" t="n">
        <v>0</v>
      </c>
      <c r="J550" t="n">
        <v>0</v>
      </c>
      <c r="K550" t="n">
        <v>0</v>
      </c>
      <c r="L550" t="n">
        <v>0</v>
      </c>
      <c r="M550" t="n">
        <v>0</v>
      </c>
      <c r="N550" t="n">
        <v>0</v>
      </c>
      <c r="O550" t="n">
        <v>0</v>
      </c>
      <c r="P550" t="n">
        <v>0</v>
      </c>
      <c r="Q550" t="n">
        <v>0</v>
      </c>
      <c r="R550" s="2" t="inlineStr"/>
    </row>
    <row r="551" ht="15" customHeight="1">
      <c r="A551" t="inlineStr">
        <is>
          <t>A 29047-2025</t>
        </is>
      </c>
      <c r="B551" s="1" t="n">
        <v>45821.45905092593</v>
      </c>
      <c r="C551" s="1" t="n">
        <v>45907</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35542-2022</t>
        </is>
      </c>
      <c r="B552" s="1" t="n">
        <v>44799.36695601852</v>
      </c>
      <c r="C552" s="1" t="n">
        <v>45907</v>
      </c>
      <c r="D552" t="inlineStr">
        <is>
          <t>UPPSALA LÄN</t>
        </is>
      </c>
      <c r="E552" t="inlineStr">
        <is>
          <t>UPPSALA</t>
        </is>
      </c>
      <c r="G552" t="n">
        <v>3.2</v>
      </c>
      <c r="H552" t="n">
        <v>0</v>
      </c>
      <c r="I552" t="n">
        <v>0</v>
      </c>
      <c r="J552" t="n">
        <v>0</v>
      </c>
      <c r="K552" t="n">
        <v>0</v>
      </c>
      <c r="L552" t="n">
        <v>0</v>
      </c>
      <c r="M552" t="n">
        <v>0</v>
      </c>
      <c r="N552" t="n">
        <v>0</v>
      </c>
      <c r="O552" t="n">
        <v>0</v>
      </c>
      <c r="P552" t="n">
        <v>0</v>
      </c>
      <c r="Q552" t="n">
        <v>0</v>
      </c>
      <c r="R552" s="2" t="inlineStr"/>
    </row>
    <row r="553" ht="15" customHeight="1">
      <c r="A553" t="inlineStr">
        <is>
          <t>A 30437-2025</t>
        </is>
      </c>
      <c r="B553" s="1" t="n">
        <v>45827.64092592592</v>
      </c>
      <c r="C553" s="1" t="n">
        <v>45907</v>
      </c>
      <c r="D553" t="inlineStr">
        <is>
          <t>UPPSALA LÄN</t>
        </is>
      </c>
      <c r="E553" t="inlineStr">
        <is>
          <t>UPPSALA</t>
        </is>
      </c>
      <c r="G553" t="n">
        <v>3.6</v>
      </c>
      <c r="H553" t="n">
        <v>0</v>
      </c>
      <c r="I553" t="n">
        <v>0</v>
      </c>
      <c r="J553" t="n">
        <v>0</v>
      </c>
      <c r="K553" t="n">
        <v>0</v>
      </c>
      <c r="L553" t="n">
        <v>0</v>
      </c>
      <c r="M553" t="n">
        <v>0</v>
      </c>
      <c r="N553" t="n">
        <v>0</v>
      </c>
      <c r="O553" t="n">
        <v>0</v>
      </c>
      <c r="P553" t="n">
        <v>0</v>
      </c>
      <c r="Q553" t="n">
        <v>0</v>
      </c>
      <c r="R553" s="2" t="inlineStr"/>
    </row>
    <row r="554" ht="15" customHeight="1">
      <c r="A554" t="inlineStr">
        <is>
          <t>A 30282-2025</t>
        </is>
      </c>
      <c r="B554" s="1" t="n">
        <v>45827.46288194445</v>
      </c>
      <c r="C554" s="1" t="n">
        <v>45907</v>
      </c>
      <c r="D554" t="inlineStr">
        <is>
          <t>UPPSALA LÄN</t>
        </is>
      </c>
      <c r="E554" t="inlineStr">
        <is>
          <t>UPPSALA</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30429-2025</t>
        </is>
      </c>
      <c r="B555" s="1" t="n">
        <v>45827.62096064815</v>
      </c>
      <c r="C555" s="1" t="n">
        <v>45907</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30567-2025</t>
        </is>
      </c>
      <c r="B556" s="1" t="n">
        <v>45831.40671296296</v>
      </c>
      <c r="C556" s="1" t="n">
        <v>45907</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30838-2025</t>
        </is>
      </c>
      <c r="B557" s="1" t="n">
        <v>45831.72686342592</v>
      </c>
      <c r="C557" s="1" t="n">
        <v>45907</v>
      </c>
      <c r="D557" t="inlineStr">
        <is>
          <t>UPPSALA LÄN</t>
        </is>
      </c>
      <c r="E557" t="inlineStr">
        <is>
          <t>UPPSALA</t>
        </is>
      </c>
      <c r="F557" t="inlineStr">
        <is>
          <t>Kyrkan</t>
        </is>
      </c>
      <c r="G557" t="n">
        <v>2.2</v>
      </c>
      <c r="H557" t="n">
        <v>0</v>
      </c>
      <c r="I557" t="n">
        <v>0</v>
      </c>
      <c r="J557" t="n">
        <v>0</v>
      </c>
      <c r="K557" t="n">
        <v>0</v>
      </c>
      <c r="L557" t="n">
        <v>0</v>
      </c>
      <c r="M557" t="n">
        <v>0</v>
      </c>
      <c r="N557" t="n">
        <v>0</v>
      </c>
      <c r="O557" t="n">
        <v>0</v>
      </c>
      <c r="P557" t="n">
        <v>0</v>
      </c>
      <c r="Q557" t="n">
        <v>0</v>
      </c>
      <c r="R557" s="2" t="inlineStr"/>
    </row>
    <row r="558" ht="15" customHeight="1">
      <c r="A558" t="inlineStr">
        <is>
          <t>A 30839-2025</t>
        </is>
      </c>
      <c r="B558" s="1" t="n">
        <v>45831.73</v>
      </c>
      <c r="C558" s="1" t="n">
        <v>45907</v>
      </c>
      <c r="D558" t="inlineStr">
        <is>
          <t>UPPSALA LÄN</t>
        </is>
      </c>
      <c r="E558" t="inlineStr">
        <is>
          <t>UPPSALA</t>
        </is>
      </c>
      <c r="F558" t="inlineStr">
        <is>
          <t>Kyrkan</t>
        </is>
      </c>
      <c r="G558" t="n">
        <v>2.2</v>
      </c>
      <c r="H558" t="n">
        <v>0</v>
      </c>
      <c r="I558" t="n">
        <v>0</v>
      </c>
      <c r="J558" t="n">
        <v>0</v>
      </c>
      <c r="K558" t="n">
        <v>0</v>
      </c>
      <c r="L558" t="n">
        <v>0</v>
      </c>
      <c r="M558" t="n">
        <v>0</v>
      </c>
      <c r="N558" t="n">
        <v>0</v>
      </c>
      <c r="O558" t="n">
        <v>0</v>
      </c>
      <c r="P558" t="n">
        <v>0</v>
      </c>
      <c r="Q558" t="n">
        <v>0</v>
      </c>
      <c r="R558" s="2" t="inlineStr"/>
    </row>
    <row r="559" ht="15" customHeight="1">
      <c r="A559" t="inlineStr">
        <is>
          <t>A 30583-2025</t>
        </is>
      </c>
      <c r="B559" s="1" t="n">
        <v>45831.42365740741</v>
      </c>
      <c r="C559" s="1" t="n">
        <v>45907</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30585-2025</t>
        </is>
      </c>
      <c r="B560" s="1" t="n">
        <v>45831.42616898148</v>
      </c>
      <c r="C560" s="1" t="n">
        <v>45907</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47316-2023</t>
        </is>
      </c>
      <c r="B561" s="1" t="n">
        <v>45202.4997337963</v>
      </c>
      <c r="C561" s="1" t="n">
        <v>45907</v>
      </c>
      <c r="D561" t="inlineStr">
        <is>
          <t>UPPSALA LÄN</t>
        </is>
      </c>
      <c r="E561" t="inlineStr">
        <is>
          <t>UPPSALA</t>
        </is>
      </c>
      <c r="F561" t="inlineStr">
        <is>
          <t>Bergvik skog öst AB</t>
        </is>
      </c>
      <c r="G561" t="n">
        <v>0.3</v>
      </c>
      <c r="H561" t="n">
        <v>0</v>
      </c>
      <c r="I561" t="n">
        <v>0</v>
      </c>
      <c r="J561" t="n">
        <v>0</v>
      </c>
      <c r="K561" t="n">
        <v>0</v>
      </c>
      <c r="L561" t="n">
        <v>0</v>
      </c>
      <c r="M561" t="n">
        <v>0</v>
      </c>
      <c r="N561" t="n">
        <v>0</v>
      </c>
      <c r="O561" t="n">
        <v>0</v>
      </c>
      <c r="P561" t="n">
        <v>0</v>
      </c>
      <c r="Q561" t="n">
        <v>0</v>
      </c>
      <c r="R561" s="2" t="inlineStr"/>
    </row>
    <row r="562" ht="15" customHeight="1">
      <c r="A562" t="inlineStr">
        <is>
          <t>A 30897-2025</t>
        </is>
      </c>
      <c r="B562" s="1" t="n">
        <v>45832.35545138889</v>
      </c>
      <c r="C562" s="1" t="n">
        <v>45907</v>
      </c>
      <c r="D562" t="inlineStr">
        <is>
          <t>UPPSALA LÄN</t>
        </is>
      </c>
      <c r="E562" t="inlineStr">
        <is>
          <t>UPPSALA</t>
        </is>
      </c>
      <c r="F562" t="inlineStr">
        <is>
          <t>Kyrkan</t>
        </is>
      </c>
      <c r="G562" t="n">
        <v>2.8</v>
      </c>
      <c r="H562" t="n">
        <v>0</v>
      </c>
      <c r="I562" t="n">
        <v>0</v>
      </c>
      <c r="J562" t="n">
        <v>0</v>
      </c>
      <c r="K562" t="n">
        <v>0</v>
      </c>
      <c r="L562" t="n">
        <v>0</v>
      </c>
      <c r="M562" t="n">
        <v>0</v>
      </c>
      <c r="N562" t="n">
        <v>0</v>
      </c>
      <c r="O562" t="n">
        <v>0</v>
      </c>
      <c r="P562" t="n">
        <v>0</v>
      </c>
      <c r="Q562" t="n">
        <v>0</v>
      </c>
      <c r="R562" s="2" t="inlineStr"/>
    </row>
    <row r="563" ht="15" customHeight="1">
      <c r="A563" t="inlineStr">
        <is>
          <t>A 6851-2022</t>
        </is>
      </c>
      <c r="B563" s="1" t="n">
        <v>44602</v>
      </c>
      <c r="C563" s="1" t="n">
        <v>45907</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30898-2025</t>
        </is>
      </c>
      <c r="B564" s="1" t="n">
        <v>45832.35590277778</v>
      </c>
      <c r="C564" s="1" t="n">
        <v>45907</v>
      </c>
      <c r="D564" t="inlineStr">
        <is>
          <t>UPPSALA LÄN</t>
        </is>
      </c>
      <c r="E564" t="inlineStr">
        <is>
          <t>UPPSALA</t>
        </is>
      </c>
      <c r="F564" t="inlineStr">
        <is>
          <t>Kyrkan</t>
        </is>
      </c>
      <c r="G564" t="n">
        <v>2.8</v>
      </c>
      <c r="H564" t="n">
        <v>0</v>
      </c>
      <c r="I564" t="n">
        <v>0</v>
      </c>
      <c r="J564" t="n">
        <v>0</v>
      </c>
      <c r="K564" t="n">
        <v>0</v>
      </c>
      <c r="L564" t="n">
        <v>0</v>
      </c>
      <c r="M564" t="n">
        <v>0</v>
      </c>
      <c r="N564" t="n">
        <v>0</v>
      </c>
      <c r="O564" t="n">
        <v>0</v>
      </c>
      <c r="P564" t="n">
        <v>0</v>
      </c>
      <c r="Q564" t="n">
        <v>0</v>
      </c>
      <c r="R564" s="2" t="inlineStr"/>
    </row>
    <row r="565" ht="15" customHeight="1">
      <c r="A565" t="inlineStr">
        <is>
          <t>A 39107-2023</t>
        </is>
      </c>
      <c r="B565" s="1" t="n">
        <v>45164.82913194445</v>
      </c>
      <c r="C565" s="1" t="n">
        <v>45907</v>
      </c>
      <c r="D565" t="inlineStr">
        <is>
          <t>UPPSALA LÄN</t>
        </is>
      </c>
      <c r="E565" t="inlineStr">
        <is>
          <t>UPPSALA</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37010-2025</t>
        </is>
      </c>
      <c r="B566" s="1" t="n">
        <v>45874.705</v>
      </c>
      <c r="C566" s="1" t="n">
        <v>45907</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36913-2025</t>
        </is>
      </c>
      <c r="B567" s="1" t="n">
        <v>45874</v>
      </c>
      <c r="C567" s="1" t="n">
        <v>45907</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29145-2021</t>
        </is>
      </c>
      <c r="B568" s="1" t="n">
        <v>44358.63490740741</v>
      </c>
      <c r="C568" s="1" t="n">
        <v>45907</v>
      </c>
      <c r="D568" t="inlineStr">
        <is>
          <t>UPPSALA LÄN</t>
        </is>
      </c>
      <c r="E568" t="inlineStr">
        <is>
          <t>UPPSALA</t>
        </is>
      </c>
      <c r="G568" t="n">
        <v>2.4</v>
      </c>
      <c r="H568" t="n">
        <v>0</v>
      </c>
      <c r="I568" t="n">
        <v>0</v>
      </c>
      <c r="J568" t="n">
        <v>0</v>
      </c>
      <c r="K568" t="n">
        <v>0</v>
      </c>
      <c r="L568" t="n">
        <v>0</v>
      </c>
      <c r="M568" t="n">
        <v>0</v>
      </c>
      <c r="N568" t="n">
        <v>0</v>
      </c>
      <c r="O568" t="n">
        <v>0</v>
      </c>
      <c r="P568" t="n">
        <v>0</v>
      </c>
      <c r="Q568" t="n">
        <v>0</v>
      </c>
      <c r="R568" s="2" t="inlineStr"/>
    </row>
    <row r="569" ht="15" customHeight="1">
      <c r="A569" t="inlineStr">
        <is>
          <t>A 37468-2025</t>
        </is>
      </c>
      <c r="B569" s="1" t="n">
        <v>45877.57847222222</v>
      </c>
      <c r="C569" s="1" t="n">
        <v>45907</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37486-2025</t>
        </is>
      </c>
      <c r="B570" s="1" t="n">
        <v>45877.62969907407</v>
      </c>
      <c r="C570" s="1" t="n">
        <v>45907</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37352-2025</t>
        </is>
      </c>
      <c r="B571" s="1" t="n">
        <v>45876</v>
      </c>
      <c r="C571" s="1" t="n">
        <v>45907</v>
      </c>
      <c r="D571" t="inlineStr">
        <is>
          <t>UPPSALA LÄN</t>
        </is>
      </c>
      <c r="E571" t="inlineStr">
        <is>
          <t>UPPSALA</t>
        </is>
      </c>
      <c r="G571" t="n">
        <v>2.6</v>
      </c>
      <c r="H571" t="n">
        <v>0</v>
      </c>
      <c r="I571" t="n">
        <v>0</v>
      </c>
      <c r="J571" t="n">
        <v>0</v>
      </c>
      <c r="K571" t="n">
        <v>0</v>
      </c>
      <c r="L571" t="n">
        <v>0</v>
      </c>
      <c r="M571" t="n">
        <v>0</v>
      </c>
      <c r="N571" t="n">
        <v>0</v>
      </c>
      <c r="O571" t="n">
        <v>0</v>
      </c>
      <c r="P571" t="n">
        <v>0</v>
      </c>
      <c r="Q571" t="n">
        <v>0</v>
      </c>
      <c r="R571" s="2" t="inlineStr"/>
    </row>
    <row r="572" ht="15" customHeight="1">
      <c r="A572" t="inlineStr">
        <is>
          <t>A 32252-2025</t>
        </is>
      </c>
      <c r="B572" s="1" t="n">
        <v>45835.62752314815</v>
      </c>
      <c r="C572" s="1" t="n">
        <v>45907</v>
      </c>
      <c r="D572" t="inlineStr">
        <is>
          <t>UPPSALA LÄN</t>
        </is>
      </c>
      <c r="E572" t="inlineStr">
        <is>
          <t>UPPSALA</t>
        </is>
      </c>
      <c r="F572" t="inlineStr">
        <is>
          <t>Kyrkan</t>
        </is>
      </c>
      <c r="G572" t="n">
        <v>3.8</v>
      </c>
      <c r="H572" t="n">
        <v>0</v>
      </c>
      <c r="I572" t="n">
        <v>0</v>
      </c>
      <c r="J572" t="n">
        <v>0</v>
      </c>
      <c r="K572" t="n">
        <v>0</v>
      </c>
      <c r="L572" t="n">
        <v>0</v>
      </c>
      <c r="M572" t="n">
        <v>0</v>
      </c>
      <c r="N572" t="n">
        <v>0</v>
      </c>
      <c r="O572" t="n">
        <v>0</v>
      </c>
      <c r="P572" t="n">
        <v>0</v>
      </c>
      <c r="Q572" t="n">
        <v>0</v>
      </c>
      <c r="R572" s="2" t="inlineStr"/>
    </row>
    <row r="573" ht="15" customHeight="1">
      <c r="A573" t="inlineStr">
        <is>
          <t>A 37351-2025</t>
        </is>
      </c>
      <c r="B573" s="1" t="n">
        <v>45876</v>
      </c>
      <c r="C573" s="1" t="n">
        <v>45907</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37759-2025</t>
        </is>
      </c>
      <c r="B574" s="1" t="n">
        <v>45880.68200231482</v>
      </c>
      <c r="C574" s="1" t="n">
        <v>45907</v>
      </c>
      <c r="D574" t="inlineStr">
        <is>
          <t>UPPSALA LÄN</t>
        </is>
      </c>
      <c r="E574" t="inlineStr">
        <is>
          <t>UPPSALA</t>
        </is>
      </c>
      <c r="G574" t="n">
        <v>1.1</v>
      </c>
      <c r="H574" t="n">
        <v>0</v>
      </c>
      <c r="I574" t="n">
        <v>0</v>
      </c>
      <c r="J574" t="n">
        <v>0</v>
      </c>
      <c r="K574" t="n">
        <v>0</v>
      </c>
      <c r="L574" t="n">
        <v>0</v>
      </c>
      <c r="M574" t="n">
        <v>0</v>
      </c>
      <c r="N574" t="n">
        <v>0</v>
      </c>
      <c r="O574" t="n">
        <v>0</v>
      </c>
      <c r="P574" t="n">
        <v>0</v>
      </c>
      <c r="Q574" t="n">
        <v>0</v>
      </c>
      <c r="R574" s="2" t="inlineStr"/>
    </row>
    <row r="575" ht="15" customHeight="1">
      <c r="A575" t="inlineStr">
        <is>
          <t>A 59719-2022</t>
        </is>
      </c>
      <c r="B575" s="1" t="n">
        <v>44908.425625</v>
      </c>
      <c r="C575" s="1" t="n">
        <v>45907</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37557-2025</t>
        </is>
      </c>
      <c r="B576" s="1" t="n">
        <v>45880.32907407408</v>
      </c>
      <c r="C576" s="1" t="n">
        <v>45907</v>
      </c>
      <c r="D576" t="inlineStr">
        <is>
          <t>UPPSALA LÄN</t>
        </is>
      </c>
      <c r="E576" t="inlineStr">
        <is>
          <t>UPPSALA</t>
        </is>
      </c>
      <c r="G576" t="n">
        <v>1.6</v>
      </c>
      <c r="H576" t="n">
        <v>0</v>
      </c>
      <c r="I576" t="n">
        <v>0</v>
      </c>
      <c r="J576" t="n">
        <v>0</v>
      </c>
      <c r="K576" t="n">
        <v>0</v>
      </c>
      <c r="L576" t="n">
        <v>0</v>
      </c>
      <c r="M576" t="n">
        <v>0</v>
      </c>
      <c r="N576" t="n">
        <v>0</v>
      </c>
      <c r="O576" t="n">
        <v>0</v>
      </c>
      <c r="P576" t="n">
        <v>0</v>
      </c>
      <c r="Q576" t="n">
        <v>0</v>
      </c>
      <c r="R576" s="2" t="inlineStr"/>
    </row>
    <row r="577" ht="15" customHeight="1">
      <c r="A577" t="inlineStr">
        <is>
          <t>A 38934-2023</t>
        </is>
      </c>
      <c r="B577" s="1" t="n">
        <v>45163.59913194444</v>
      </c>
      <c r="C577" s="1" t="n">
        <v>45907</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42681-2023</t>
        </is>
      </c>
      <c r="B578" s="1" t="n">
        <v>45181.58055555556</v>
      </c>
      <c r="C578" s="1" t="n">
        <v>45907</v>
      </c>
      <c r="D578" t="inlineStr">
        <is>
          <t>UPPSALA LÄN</t>
        </is>
      </c>
      <c r="E578" t="inlineStr">
        <is>
          <t>UPPSALA</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28958-2025</t>
        </is>
      </c>
      <c r="B579" s="1" t="n">
        <v>45821.31292824074</v>
      </c>
      <c r="C579" s="1" t="n">
        <v>45907</v>
      </c>
      <c r="D579" t="inlineStr">
        <is>
          <t>UPPSALA LÄN</t>
        </is>
      </c>
      <c r="E579" t="inlineStr">
        <is>
          <t>UPPSALA</t>
        </is>
      </c>
      <c r="G579" t="n">
        <v>4.6</v>
      </c>
      <c r="H579" t="n">
        <v>0</v>
      </c>
      <c r="I579" t="n">
        <v>0</v>
      </c>
      <c r="J579" t="n">
        <v>0</v>
      </c>
      <c r="K579" t="n">
        <v>0</v>
      </c>
      <c r="L579" t="n">
        <v>0</v>
      </c>
      <c r="M579" t="n">
        <v>0</v>
      </c>
      <c r="N579" t="n">
        <v>0</v>
      </c>
      <c r="O579" t="n">
        <v>0</v>
      </c>
      <c r="P579" t="n">
        <v>0</v>
      </c>
      <c r="Q579" t="n">
        <v>0</v>
      </c>
      <c r="R579" s="2" t="inlineStr"/>
    </row>
    <row r="580" ht="15" customHeight="1">
      <c r="A580" t="inlineStr">
        <is>
          <t>A 32923-2025</t>
        </is>
      </c>
      <c r="B580" s="1" t="n">
        <v>45839</v>
      </c>
      <c r="C580" s="1" t="n">
        <v>45907</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37851-2025</t>
        </is>
      </c>
      <c r="B581" s="1" t="n">
        <v>45881.44938657407</v>
      </c>
      <c r="C581" s="1" t="n">
        <v>45907</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37561-2025</t>
        </is>
      </c>
      <c r="B582" s="1" t="n">
        <v>45880.34064814815</v>
      </c>
      <c r="C582" s="1" t="n">
        <v>45907</v>
      </c>
      <c r="D582" t="inlineStr">
        <is>
          <t>UPPSALA LÄN</t>
        </is>
      </c>
      <c r="E582" t="inlineStr">
        <is>
          <t>UPPSALA</t>
        </is>
      </c>
      <c r="G582" t="n">
        <v>1.4</v>
      </c>
      <c r="H582" t="n">
        <v>0</v>
      </c>
      <c r="I582" t="n">
        <v>0</v>
      </c>
      <c r="J582" t="n">
        <v>0</v>
      </c>
      <c r="K582" t="n">
        <v>0</v>
      </c>
      <c r="L582" t="n">
        <v>0</v>
      </c>
      <c r="M582" t="n">
        <v>0</v>
      </c>
      <c r="N582" t="n">
        <v>0</v>
      </c>
      <c r="O582" t="n">
        <v>0</v>
      </c>
      <c r="P582" t="n">
        <v>0</v>
      </c>
      <c r="Q582" t="n">
        <v>0</v>
      </c>
      <c r="R582" s="2" t="inlineStr"/>
    </row>
    <row r="583" ht="15" customHeight="1">
      <c r="A583" t="inlineStr">
        <is>
          <t>A 36253-2025</t>
        </is>
      </c>
      <c r="B583" s="1" t="n">
        <v>45867.58056712963</v>
      </c>
      <c r="C583" s="1" t="n">
        <v>45907</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32928-2025</t>
        </is>
      </c>
      <c r="B584" s="1" t="n">
        <v>45839</v>
      </c>
      <c r="C584" s="1" t="n">
        <v>45907</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37856-2025</t>
        </is>
      </c>
      <c r="B585" s="1" t="n">
        <v>45881.45898148148</v>
      </c>
      <c r="C585" s="1" t="n">
        <v>45907</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32711-2025</t>
        </is>
      </c>
      <c r="B586" s="1" t="n">
        <v>45839</v>
      </c>
      <c r="C586" s="1" t="n">
        <v>45907</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c r="U586">
        <f>HYPERLINK("https://klasma.github.io/Logging_0380/knärot/A 32711-2025 karta knärot.png", "A 32711-2025")</f>
        <v/>
      </c>
      <c r="V586">
        <f>HYPERLINK("https://klasma.github.io/Logging_0380/klagomål/A 32711-2025 FSC-klagomål.docx", "A 32711-2025")</f>
        <v/>
      </c>
      <c r="W586">
        <f>HYPERLINK("https://klasma.github.io/Logging_0380/klagomålsmail/A 32711-2025 FSC-klagomål mail.docx", "A 32711-2025")</f>
        <v/>
      </c>
      <c r="X586">
        <f>HYPERLINK("https://klasma.github.io/Logging_0380/tillsyn/A 32711-2025 tillsynsbegäran.docx", "A 32711-2025")</f>
        <v/>
      </c>
      <c r="Y586">
        <f>HYPERLINK("https://klasma.github.io/Logging_0380/tillsynsmail/A 32711-2025 tillsynsbegäran mail.docx", "A 32711-2025")</f>
        <v/>
      </c>
    </row>
    <row r="587" ht="15" customHeight="1">
      <c r="A587" t="inlineStr">
        <is>
          <t>A 33571-2025</t>
        </is>
      </c>
      <c r="B587" s="1" t="n">
        <v>45841.5847337963</v>
      </c>
      <c r="C587" s="1" t="n">
        <v>45907</v>
      </c>
      <c r="D587" t="inlineStr">
        <is>
          <t>UPPSALA LÄN</t>
        </is>
      </c>
      <c r="E587" t="inlineStr">
        <is>
          <t>UPPSALA</t>
        </is>
      </c>
      <c r="G587" t="n">
        <v>1.6</v>
      </c>
      <c r="H587" t="n">
        <v>0</v>
      </c>
      <c r="I587" t="n">
        <v>0</v>
      </c>
      <c r="J587" t="n">
        <v>0</v>
      </c>
      <c r="K587" t="n">
        <v>0</v>
      </c>
      <c r="L587" t="n">
        <v>0</v>
      </c>
      <c r="M587" t="n">
        <v>0</v>
      </c>
      <c r="N587" t="n">
        <v>0</v>
      </c>
      <c r="O587" t="n">
        <v>0</v>
      </c>
      <c r="P587" t="n">
        <v>0</v>
      </c>
      <c r="Q587" t="n">
        <v>0</v>
      </c>
      <c r="R587" s="2" t="inlineStr"/>
    </row>
    <row r="588" ht="15" customHeight="1">
      <c r="A588" t="inlineStr">
        <is>
          <t>A 33261-2025</t>
        </is>
      </c>
      <c r="B588" s="1" t="n">
        <v>45840</v>
      </c>
      <c r="C588" s="1" t="n">
        <v>45907</v>
      </c>
      <c r="D588" t="inlineStr">
        <is>
          <t>UPPSALA LÄN</t>
        </is>
      </c>
      <c r="E588" t="inlineStr">
        <is>
          <t>UPPSALA</t>
        </is>
      </c>
      <c r="G588" t="n">
        <v>3.4</v>
      </c>
      <c r="H588" t="n">
        <v>0</v>
      </c>
      <c r="I588" t="n">
        <v>0</v>
      </c>
      <c r="J588" t="n">
        <v>0</v>
      </c>
      <c r="K588" t="n">
        <v>0</v>
      </c>
      <c r="L588" t="n">
        <v>0</v>
      </c>
      <c r="M588" t="n">
        <v>0</v>
      </c>
      <c r="N588" t="n">
        <v>0</v>
      </c>
      <c r="O588" t="n">
        <v>0</v>
      </c>
      <c r="P588" t="n">
        <v>0</v>
      </c>
      <c r="Q588" t="n">
        <v>0</v>
      </c>
      <c r="R588" s="2" t="inlineStr"/>
    </row>
    <row r="589" ht="15" customHeight="1">
      <c r="A589" t="inlineStr">
        <is>
          <t>A 38113-2025</t>
        </is>
      </c>
      <c r="B589" s="1" t="n">
        <v>45882.52290509259</v>
      </c>
      <c r="C589" s="1" t="n">
        <v>45907</v>
      </c>
      <c r="D589" t="inlineStr">
        <is>
          <t>UPPSALA LÄN</t>
        </is>
      </c>
      <c r="E589" t="inlineStr">
        <is>
          <t>UPPSALA</t>
        </is>
      </c>
      <c r="G589" t="n">
        <v>5.8</v>
      </c>
      <c r="H589" t="n">
        <v>0</v>
      </c>
      <c r="I589" t="n">
        <v>0</v>
      </c>
      <c r="J589" t="n">
        <v>0</v>
      </c>
      <c r="K589" t="n">
        <v>0</v>
      </c>
      <c r="L589" t="n">
        <v>0</v>
      </c>
      <c r="M589" t="n">
        <v>0</v>
      </c>
      <c r="N589" t="n">
        <v>0</v>
      </c>
      <c r="O589" t="n">
        <v>0</v>
      </c>
      <c r="P589" t="n">
        <v>0</v>
      </c>
      <c r="Q589" t="n">
        <v>0</v>
      </c>
      <c r="R589" s="2" t="inlineStr"/>
    </row>
    <row r="590" ht="15" customHeight="1">
      <c r="A590" t="inlineStr">
        <is>
          <t>A 48564-2023</t>
        </is>
      </c>
      <c r="B590" s="1" t="n">
        <v>45208.4350462963</v>
      </c>
      <c r="C590" s="1" t="n">
        <v>45907</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21727-2023</t>
        </is>
      </c>
      <c r="B591" s="1" t="n">
        <v>45065.43013888889</v>
      </c>
      <c r="C591" s="1" t="n">
        <v>45907</v>
      </c>
      <c r="D591" t="inlineStr">
        <is>
          <t>UPPSALA LÄN</t>
        </is>
      </c>
      <c r="E591" t="inlineStr">
        <is>
          <t>UPPSALA</t>
        </is>
      </c>
      <c r="G591" t="n">
        <v>1.5</v>
      </c>
      <c r="H591" t="n">
        <v>0</v>
      </c>
      <c r="I591" t="n">
        <v>0</v>
      </c>
      <c r="J591" t="n">
        <v>0</v>
      </c>
      <c r="K591" t="n">
        <v>0</v>
      </c>
      <c r="L591" t="n">
        <v>0</v>
      </c>
      <c r="M591" t="n">
        <v>0</v>
      </c>
      <c r="N591" t="n">
        <v>0</v>
      </c>
      <c r="O591" t="n">
        <v>0</v>
      </c>
      <c r="P591" t="n">
        <v>0</v>
      </c>
      <c r="Q591" t="n">
        <v>0</v>
      </c>
      <c r="R591" s="2" t="inlineStr"/>
    </row>
    <row r="592" ht="15" customHeight="1">
      <c r="A592" t="inlineStr">
        <is>
          <t>A 18668-2024</t>
        </is>
      </c>
      <c r="B592" s="1" t="n">
        <v>45426.34148148148</v>
      </c>
      <c r="C592" s="1" t="n">
        <v>45907</v>
      </c>
      <c r="D592" t="inlineStr">
        <is>
          <t>UPPSALA LÄN</t>
        </is>
      </c>
      <c r="E592" t="inlineStr">
        <is>
          <t>UPPSALA</t>
        </is>
      </c>
      <c r="G592" t="n">
        <v>0.9</v>
      </c>
      <c r="H592" t="n">
        <v>0</v>
      </c>
      <c r="I592" t="n">
        <v>0</v>
      </c>
      <c r="J592" t="n">
        <v>0</v>
      </c>
      <c r="K592" t="n">
        <v>0</v>
      </c>
      <c r="L592" t="n">
        <v>0</v>
      </c>
      <c r="M592" t="n">
        <v>0</v>
      </c>
      <c r="N592" t="n">
        <v>0</v>
      </c>
      <c r="O592" t="n">
        <v>0</v>
      </c>
      <c r="P592" t="n">
        <v>0</v>
      </c>
      <c r="Q592" t="n">
        <v>0</v>
      </c>
      <c r="R592" s="2" t="inlineStr"/>
    </row>
    <row r="593" ht="15" customHeight="1">
      <c r="A593" t="inlineStr">
        <is>
          <t>A 38034-2025</t>
        </is>
      </c>
      <c r="B593" s="1" t="n">
        <v>45882.37202546297</v>
      </c>
      <c r="C593" s="1" t="n">
        <v>45907</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33272-2025</t>
        </is>
      </c>
      <c r="B594" s="1" t="n">
        <v>45840.68518518518</v>
      </c>
      <c r="C594" s="1" t="n">
        <v>45907</v>
      </c>
      <c r="D594" t="inlineStr">
        <is>
          <t>UPPSALA LÄN</t>
        </is>
      </c>
      <c r="E594" t="inlineStr">
        <is>
          <t>UPPSALA</t>
        </is>
      </c>
      <c r="G594" t="n">
        <v>4.7</v>
      </c>
      <c r="H594" t="n">
        <v>0</v>
      </c>
      <c r="I594" t="n">
        <v>0</v>
      </c>
      <c r="J594" t="n">
        <v>0</v>
      </c>
      <c r="K594" t="n">
        <v>0</v>
      </c>
      <c r="L594" t="n">
        <v>0</v>
      </c>
      <c r="M594" t="n">
        <v>0</v>
      </c>
      <c r="N594" t="n">
        <v>0</v>
      </c>
      <c r="O594" t="n">
        <v>0</v>
      </c>
      <c r="P594" t="n">
        <v>0</v>
      </c>
      <c r="Q594" t="n">
        <v>0</v>
      </c>
      <c r="R594" s="2" t="inlineStr"/>
    </row>
    <row r="595" ht="15" customHeight="1">
      <c r="A595" t="inlineStr">
        <is>
          <t>A 32276-2021</t>
        </is>
      </c>
      <c r="B595" s="1" t="n">
        <v>44371.49178240741</v>
      </c>
      <c r="C595" s="1" t="n">
        <v>45907</v>
      </c>
      <c r="D595" t="inlineStr">
        <is>
          <t>UPPSALA LÄN</t>
        </is>
      </c>
      <c r="E595" t="inlineStr">
        <is>
          <t>UPPSALA</t>
        </is>
      </c>
      <c r="G595" t="n">
        <v>3.7</v>
      </c>
      <c r="H595" t="n">
        <v>0</v>
      </c>
      <c r="I595" t="n">
        <v>0</v>
      </c>
      <c r="J595" t="n">
        <v>0</v>
      </c>
      <c r="K595" t="n">
        <v>0</v>
      </c>
      <c r="L595" t="n">
        <v>0</v>
      </c>
      <c r="M595" t="n">
        <v>0</v>
      </c>
      <c r="N595" t="n">
        <v>0</v>
      </c>
      <c r="O595" t="n">
        <v>0</v>
      </c>
      <c r="P595" t="n">
        <v>0</v>
      </c>
      <c r="Q595" t="n">
        <v>0</v>
      </c>
      <c r="R595" s="2" t="inlineStr"/>
    </row>
    <row r="596" ht="15" customHeight="1">
      <c r="A596" t="inlineStr">
        <is>
          <t>A 33964-2025</t>
        </is>
      </c>
      <c r="B596" s="1" t="n">
        <v>45842.74049768518</v>
      </c>
      <c r="C596" s="1" t="n">
        <v>45907</v>
      </c>
      <c r="D596" t="inlineStr">
        <is>
          <t>UPPSALA LÄN</t>
        </is>
      </c>
      <c r="E596" t="inlineStr">
        <is>
          <t>UPPSALA</t>
        </is>
      </c>
      <c r="G596" t="n">
        <v>2.7</v>
      </c>
      <c r="H596" t="n">
        <v>0</v>
      </c>
      <c r="I596" t="n">
        <v>0</v>
      </c>
      <c r="J596" t="n">
        <v>0</v>
      </c>
      <c r="K596" t="n">
        <v>0</v>
      </c>
      <c r="L596" t="n">
        <v>0</v>
      </c>
      <c r="M596" t="n">
        <v>0</v>
      </c>
      <c r="N596" t="n">
        <v>0</v>
      </c>
      <c r="O596" t="n">
        <v>0</v>
      </c>
      <c r="P596" t="n">
        <v>0</v>
      </c>
      <c r="Q596" t="n">
        <v>0</v>
      </c>
      <c r="R596" s="2" t="inlineStr"/>
    </row>
    <row r="597" ht="15" customHeight="1">
      <c r="A597" t="inlineStr">
        <is>
          <t>A 36478-2023</t>
        </is>
      </c>
      <c r="B597" s="1" t="n">
        <v>45152</v>
      </c>
      <c r="C597" s="1" t="n">
        <v>45907</v>
      </c>
      <c r="D597" t="inlineStr">
        <is>
          <t>UPPSALA LÄN</t>
        </is>
      </c>
      <c r="E597" t="inlineStr">
        <is>
          <t>UPPSALA</t>
        </is>
      </c>
      <c r="F597" t="inlineStr">
        <is>
          <t>Allmännings- och besparingsskogar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3314-2025</t>
        </is>
      </c>
      <c r="B598" s="1" t="n">
        <v>45679</v>
      </c>
      <c r="C598" s="1" t="n">
        <v>45907</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33941-2023</t>
        </is>
      </c>
      <c r="B599" s="1" t="n">
        <v>45134.57021990741</v>
      </c>
      <c r="C599" s="1" t="n">
        <v>45907</v>
      </c>
      <c r="D599" t="inlineStr">
        <is>
          <t>UPPSALA LÄN</t>
        </is>
      </c>
      <c r="E599" t="inlineStr">
        <is>
          <t>UPPSALA</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11103-2025</t>
        </is>
      </c>
      <c r="B600" s="1" t="n">
        <v>45723</v>
      </c>
      <c r="C600" s="1" t="n">
        <v>45907</v>
      </c>
      <c r="D600" t="inlineStr">
        <is>
          <t>UPPSALA LÄN</t>
        </is>
      </c>
      <c r="E600" t="inlineStr">
        <is>
          <t>UPPSALA</t>
        </is>
      </c>
      <c r="G600" t="n">
        <v>7.9</v>
      </c>
      <c r="H600" t="n">
        <v>0</v>
      </c>
      <c r="I600" t="n">
        <v>0</v>
      </c>
      <c r="J600" t="n">
        <v>0</v>
      </c>
      <c r="K600" t="n">
        <v>0</v>
      </c>
      <c r="L600" t="n">
        <v>0</v>
      </c>
      <c r="M600" t="n">
        <v>0</v>
      </c>
      <c r="N600" t="n">
        <v>0</v>
      </c>
      <c r="O600" t="n">
        <v>0</v>
      </c>
      <c r="P600" t="n">
        <v>0</v>
      </c>
      <c r="Q600" t="n">
        <v>0</v>
      </c>
      <c r="R600" s="2" t="inlineStr"/>
    </row>
    <row r="601" ht="15" customHeight="1">
      <c r="A601" t="inlineStr">
        <is>
          <t>A 50954-2022</t>
        </is>
      </c>
      <c r="B601" s="1" t="n">
        <v>44866</v>
      </c>
      <c r="C601" s="1" t="n">
        <v>45907</v>
      </c>
      <c r="D601" t="inlineStr">
        <is>
          <t>UPPSALA LÄN</t>
        </is>
      </c>
      <c r="E601" t="inlineStr">
        <is>
          <t>UPPSALA</t>
        </is>
      </c>
      <c r="G601" t="n">
        <v>0.6</v>
      </c>
      <c r="H601" t="n">
        <v>0</v>
      </c>
      <c r="I601" t="n">
        <v>0</v>
      </c>
      <c r="J601" t="n">
        <v>0</v>
      </c>
      <c r="K601" t="n">
        <v>0</v>
      </c>
      <c r="L601" t="n">
        <v>0</v>
      </c>
      <c r="M601" t="n">
        <v>0</v>
      </c>
      <c r="N601" t="n">
        <v>0</v>
      </c>
      <c r="O601" t="n">
        <v>0</v>
      </c>
      <c r="P601" t="n">
        <v>0</v>
      </c>
      <c r="Q601" t="n">
        <v>0</v>
      </c>
      <c r="R601" s="2" t="inlineStr"/>
    </row>
    <row r="602" ht="15" customHeight="1">
      <c r="A602" t="inlineStr">
        <is>
          <t>A 36392-2023</t>
        </is>
      </c>
      <c r="B602" s="1" t="n">
        <v>45152</v>
      </c>
      <c r="C602" s="1" t="n">
        <v>45907</v>
      </c>
      <c r="D602" t="inlineStr">
        <is>
          <t>UPPSALA LÄN</t>
        </is>
      </c>
      <c r="E602" t="inlineStr">
        <is>
          <t>UPPSALA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18625-2025</t>
        </is>
      </c>
      <c r="B603" s="1" t="n">
        <v>45763.52744212963</v>
      </c>
      <c r="C603" s="1" t="n">
        <v>45907</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6549-2025</t>
        </is>
      </c>
      <c r="B604" s="1" t="n">
        <v>45699</v>
      </c>
      <c r="C604" s="1" t="n">
        <v>45907</v>
      </c>
      <c r="D604" t="inlineStr">
        <is>
          <t>UPPSALA LÄN</t>
        </is>
      </c>
      <c r="E604" t="inlineStr">
        <is>
          <t>UPPSALA</t>
        </is>
      </c>
      <c r="G604" t="n">
        <v>2.4</v>
      </c>
      <c r="H604" t="n">
        <v>0</v>
      </c>
      <c r="I604" t="n">
        <v>0</v>
      </c>
      <c r="J604" t="n">
        <v>0</v>
      </c>
      <c r="K604" t="n">
        <v>0</v>
      </c>
      <c r="L604" t="n">
        <v>0</v>
      </c>
      <c r="M604" t="n">
        <v>0</v>
      </c>
      <c r="N604" t="n">
        <v>0</v>
      </c>
      <c r="O604" t="n">
        <v>0</v>
      </c>
      <c r="P604" t="n">
        <v>0</v>
      </c>
      <c r="Q604" t="n">
        <v>0</v>
      </c>
      <c r="R604" s="2" t="inlineStr"/>
    </row>
    <row r="605" ht="15" customHeight="1">
      <c r="A605" t="inlineStr">
        <is>
          <t>A 34132-2025</t>
        </is>
      </c>
      <c r="B605" s="1" t="n">
        <v>45845.53202546296</v>
      </c>
      <c r="C605" s="1" t="n">
        <v>45907</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6999-2023</t>
        </is>
      </c>
      <c r="B606" s="1" t="n">
        <v>44967.80034722222</v>
      </c>
      <c r="C606" s="1" t="n">
        <v>45907</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7002-2023</t>
        </is>
      </c>
      <c r="B607" s="1" t="n">
        <v>44967</v>
      </c>
      <c r="C607" s="1" t="n">
        <v>45907</v>
      </c>
      <c r="D607" t="inlineStr">
        <is>
          <t>UPPSALA LÄN</t>
        </is>
      </c>
      <c r="E607" t="inlineStr">
        <is>
          <t>UPPSALA</t>
        </is>
      </c>
      <c r="G607" t="n">
        <v>5</v>
      </c>
      <c r="H607" t="n">
        <v>0</v>
      </c>
      <c r="I607" t="n">
        <v>0</v>
      </c>
      <c r="J607" t="n">
        <v>0</v>
      </c>
      <c r="K607" t="n">
        <v>0</v>
      </c>
      <c r="L607" t="n">
        <v>0</v>
      </c>
      <c r="M607" t="n">
        <v>0</v>
      </c>
      <c r="N607" t="n">
        <v>0</v>
      </c>
      <c r="O607" t="n">
        <v>0</v>
      </c>
      <c r="P607" t="n">
        <v>0</v>
      </c>
      <c r="Q607" t="n">
        <v>0</v>
      </c>
      <c r="R607" s="2" t="inlineStr"/>
    </row>
    <row r="608" ht="15" customHeight="1">
      <c r="A608" t="inlineStr">
        <is>
          <t>A 38469-2025</t>
        </is>
      </c>
      <c r="B608" s="1" t="n">
        <v>45884</v>
      </c>
      <c r="C608" s="1" t="n">
        <v>45907</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6630-2024</t>
        </is>
      </c>
      <c r="B609" s="1" t="n">
        <v>45341.63811342593</v>
      </c>
      <c r="C609" s="1" t="n">
        <v>45907</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39529-2025</t>
        </is>
      </c>
      <c r="B610" s="1" t="n">
        <v>45890</v>
      </c>
      <c r="C610" s="1" t="n">
        <v>45907</v>
      </c>
      <c r="D610" t="inlineStr">
        <is>
          <t>UPPSALA LÄN</t>
        </is>
      </c>
      <c r="E610" t="inlineStr">
        <is>
          <t>UPPSALA</t>
        </is>
      </c>
      <c r="F610" t="inlineStr">
        <is>
          <t>Allmännings- och besparingsskogar</t>
        </is>
      </c>
      <c r="G610" t="n">
        <v>3.9</v>
      </c>
      <c r="H610" t="n">
        <v>0</v>
      </c>
      <c r="I610" t="n">
        <v>0</v>
      </c>
      <c r="J610" t="n">
        <v>0</v>
      </c>
      <c r="K610" t="n">
        <v>0</v>
      </c>
      <c r="L610" t="n">
        <v>0</v>
      </c>
      <c r="M610" t="n">
        <v>0</v>
      </c>
      <c r="N610" t="n">
        <v>0</v>
      </c>
      <c r="O610" t="n">
        <v>0</v>
      </c>
      <c r="P610" t="n">
        <v>0</v>
      </c>
      <c r="Q610" t="n">
        <v>0</v>
      </c>
      <c r="R610" s="2" t="inlineStr"/>
    </row>
    <row r="611" ht="15" customHeight="1">
      <c r="A611" t="inlineStr">
        <is>
          <t>A 22431-2024</t>
        </is>
      </c>
      <c r="B611" s="1" t="n">
        <v>45446.78256944445</v>
      </c>
      <c r="C611" s="1" t="n">
        <v>45907</v>
      </c>
      <c r="D611" t="inlineStr">
        <is>
          <t>UPPSALA LÄN</t>
        </is>
      </c>
      <c r="E611" t="inlineStr">
        <is>
          <t>UPPSALA</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39721-2025</t>
        </is>
      </c>
      <c r="B612" s="1" t="n">
        <v>45891.33204861111</v>
      </c>
      <c r="C612" s="1" t="n">
        <v>45907</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1855-2021</t>
        </is>
      </c>
      <c r="B613" s="1" t="n">
        <v>44210</v>
      </c>
      <c r="C613" s="1" t="n">
        <v>45907</v>
      </c>
      <c r="D613" t="inlineStr">
        <is>
          <t>UPPSALA LÄN</t>
        </is>
      </c>
      <c r="E613" t="inlineStr">
        <is>
          <t>UPPSALA</t>
        </is>
      </c>
      <c r="G613" t="n">
        <v>0.9</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45907</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34893-2025</t>
        </is>
      </c>
      <c r="B615" s="1" t="n">
        <v>45849.49259259259</v>
      </c>
      <c r="C615" s="1" t="n">
        <v>45907</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39777-2025</t>
        </is>
      </c>
      <c r="B616" s="1" t="n">
        <v>45891.46827546296</v>
      </c>
      <c r="C616" s="1" t="n">
        <v>45907</v>
      </c>
      <c r="D616" t="inlineStr">
        <is>
          <t>UPPSALA LÄN</t>
        </is>
      </c>
      <c r="E616" t="inlineStr">
        <is>
          <t>UPPSALA</t>
        </is>
      </c>
      <c r="G616" t="n">
        <v>6.5</v>
      </c>
      <c r="H616" t="n">
        <v>0</v>
      </c>
      <c r="I616" t="n">
        <v>0</v>
      </c>
      <c r="J616" t="n">
        <v>0</v>
      </c>
      <c r="K616" t="n">
        <v>0</v>
      </c>
      <c r="L616" t="n">
        <v>0</v>
      </c>
      <c r="M616" t="n">
        <v>0</v>
      </c>
      <c r="N616" t="n">
        <v>0</v>
      </c>
      <c r="O616" t="n">
        <v>0</v>
      </c>
      <c r="P616" t="n">
        <v>0</v>
      </c>
      <c r="Q616" t="n">
        <v>0</v>
      </c>
      <c r="R616" s="2" t="inlineStr"/>
    </row>
    <row r="617" ht="15" customHeight="1">
      <c r="A617" t="inlineStr">
        <is>
          <t>A 60820-2024</t>
        </is>
      </c>
      <c r="B617" s="1" t="n">
        <v>45644.62677083333</v>
      </c>
      <c r="C617" s="1" t="n">
        <v>45907</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35056-2025</t>
        </is>
      </c>
      <c r="B618" s="1" t="n">
        <v>45852.39642361111</v>
      </c>
      <c r="C618" s="1" t="n">
        <v>45907</v>
      </c>
      <c r="D618" t="inlineStr">
        <is>
          <t>UPPSALA LÄN</t>
        </is>
      </c>
      <c r="E618" t="inlineStr">
        <is>
          <t>UPPSALA</t>
        </is>
      </c>
      <c r="G618" t="n">
        <v>2.6</v>
      </c>
      <c r="H618" t="n">
        <v>0</v>
      </c>
      <c r="I618" t="n">
        <v>0</v>
      </c>
      <c r="J618" t="n">
        <v>0</v>
      </c>
      <c r="K618" t="n">
        <v>0</v>
      </c>
      <c r="L618" t="n">
        <v>0</v>
      </c>
      <c r="M618" t="n">
        <v>0</v>
      </c>
      <c r="N618" t="n">
        <v>0</v>
      </c>
      <c r="O618" t="n">
        <v>0</v>
      </c>
      <c r="P618" t="n">
        <v>0</v>
      </c>
      <c r="Q618" t="n">
        <v>0</v>
      </c>
      <c r="R618" s="2" t="inlineStr"/>
    </row>
    <row r="619" ht="15" customHeight="1">
      <c r="A619" t="inlineStr">
        <is>
          <t>A 18675-2024</t>
        </is>
      </c>
      <c r="B619" s="1" t="n">
        <v>45426</v>
      </c>
      <c r="C619" s="1" t="n">
        <v>45907</v>
      </c>
      <c r="D619" t="inlineStr">
        <is>
          <t>UPPSALA LÄN</t>
        </is>
      </c>
      <c r="E619" t="inlineStr">
        <is>
          <t>UPPSALA</t>
        </is>
      </c>
      <c r="G619" t="n">
        <v>8.1</v>
      </c>
      <c r="H619" t="n">
        <v>0</v>
      </c>
      <c r="I619" t="n">
        <v>0</v>
      </c>
      <c r="J619" t="n">
        <v>0</v>
      </c>
      <c r="K619" t="n">
        <v>0</v>
      </c>
      <c r="L619" t="n">
        <v>0</v>
      </c>
      <c r="M619" t="n">
        <v>0</v>
      </c>
      <c r="N619" t="n">
        <v>0</v>
      </c>
      <c r="O619" t="n">
        <v>0</v>
      </c>
      <c r="P619" t="n">
        <v>0</v>
      </c>
      <c r="Q619" t="n">
        <v>0</v>
      </c>
      <c r="R619" s="2" t="inlineStr"/>
    </row>
    <row r="620" ht="15" customHeight="1">
      <c r="A620" t="inlineStr">
        <is>
          <t>A 35167-2025</t>
        </is>
      </c>
      <c r="B620" s="1" t="n">
        <v>45852.72965277778</v>
      </c>
      <c r="C620" s="1" t="n">
        <v>45907</v>
      </c>
      <c r="D620" t="inlineStr">
        <is>
          <t>UPPSALA LÄN</t>
        </is>
      </c>
      <c r="E620" t="inlineStr">
        <is>
          <t>UPPSALA</t>
        </is>
      </c>
      <c r="F620" t="inlineStr">
        <is>
          <t>Holmen skog AB</t>
        </is>
      </c>
      <c r="G620" t="n">
        <v>10</v>
      </c>
      <c r="H620" t="n">
        <v>0</v>
      </c>
      <c r="I620" t="n">
        <v>0</v>
      </c>
      <c r="J620" t="n">
        <v>0</v>
      </c>
      <c r="K620" t="n">
        <v>0</v>
      </c>
      <c r="L620" t="n">
        <v>0</v>
      </c>
      <c r="M620" t="n">
        <v>0</v>
      </c>
      <c r="N620" t="n">
        <v>0</v>
      </c>
      <c r="O620" t="n">
        <v>0</v>
      </c>
      <c r="P620" t="n">
        <v>0</v>
      </c>
      <c r="Q620" t="n">
        <v>0</v>
      </c>
      <c r="R620" s="2" t="inlineStr"/>
    </row>
    <row r="621" ht="15" customHeight="1">
      <c r="A621" t="inlineStr">
        <is>
          <t>A 35150-2025</t>
        </is>
      </c>
      <c r="B621" s="1" t="n">
        <v>45852</v>
      </c>
      <c r="C621" s="1" t="n">
        <v>45907</v>
      </c>
      <c r="D621" t="inlineStr">
        <is>
          <t>UPPSALA LÄN</t>
        </is>
      </c>
      <c r="E621" t="inlineStr">
        <is>
          <t>UPPSALA</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34114-2024</t>
        </is>
      </c>
      <c r="B622" s="1" t="n">
        <v>45524</v>
      </c>
      <c r="C622" s="1" t="n">
        <v>45907</v>
      </c>
      <c r="D622" t="inlineStr">
        <is>
          <t>UPPSALA LÄN</t>
        </is>
      </c>
      <c r="E622" t="inlineStr">
        <is>
          <t>UPPSALA</t>
        </is>
      </c>
      <c r="F622" t="inlineStr">
        <is>
          <t>Allmännings- och besparingsskogar</t>
        </is>
      </c>
      <c r="G622" t="n">
        <v>1.3</v>
      </c>
      <c r="H622" t="n">
        <v>0</v>
      </c>
      <c r="I622" t="n">
        <v>0</v>
      </c>
      <c r="J622" t="n">
        <v>0</v>
      </c>
      <c r="K622" t="n">
        <v>0</v>
      </c>
      <c r="L622" t="n">
        <v>0</v>
      </c>
      <c r="M622" t="n">
        <v>0</v>
      </c>
      <c r="N622" t="n">
        <v>0</v>
      </c>
      <c r="O622" t="n">
        <v>0</v>
      </c>
      <c r="P622" t="n">
        <v>0</v>
      </c>
      <c r="Q622" t="n">
        <v>0</v>
      </c>
      <c r="R622" s="2" t="inlineStr"/>
    </row>
    <row r="623" ht="15" customHeight="1">
      <c r="A623" t="inlineStr">
        <is>
          <t>A 62471-2021</t>
        </is>
      </c>
      <c r="B623" s="1" t="n">
        <v>44503</v>
      </c>
      <c r="C623" s="1" t="n">
        <v>45907</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35015-2025</t>
        </is>
      </c>
      <c r="B624" s="1" t="n">
        <v>45851.62018518519</v>
      </c>
      <c r="C624" s="1" t="n">
        <v>45907</v>
      </c>
      <c r="D624" t="inlineStr">
        <is>
          <t>UPPSALA LÄN</t>
        </is>
      </c>
      <c r="E624" t="inlineStr">
        <is>
          <t>UPPSALA</t>
        </is>
      </c>
      <c r="F624" t="inlineStr">
        <is>
          <t>Bergvik skog öst AB</t>
        </is>
      </c>
      <c r="G624" t="n">
        <v>0.3</v>
      </c>
      <c r="H624" t="n">
        <v>0</v>
      </c>
      <c r="I624" t="n">
        <v>0</v>
      </c>
      <c r="J624" t="n">
        <v>0</v>
      </c>
      <c r="K624" t="n">
        <v>0</v>
      </c>
      <c r="L624" t="n">
        <v>0</v>
      </c>
      <c r="M624" t="n">
        <v>0</v>
      </c>
      <c r="N624" t="n">
        <v>0</v>
      </c>
      <c r="O624" t="n">
        <v>0</v>
      </c>
      <c r="P624" t="n">
        <v>0</v>
      </c>
      <c r="Q624" t="n">
        <v>0</v>
      </c>
      <c r="R624" s="2" t="inlineStr"/>
    </row>
    <row r="625" ht="15" customHeight="1">
      <c r="A625" t="inlineStr">
        <is>
          <t>A 35155-2025</t>
        </is>
      </c>
      <c r="B625" s="1" t="n">
        <v>45852.68978009259</v>
      </c>
      <c r="C625" s="1" t="n">
        <v>45907</v>
      </c>
      <c r="D625" t="inlineStr">
        <is>
          <t>UPPSALA LÄN</t>
        </is>
      </c>
      <c r="E625" t="inlineStr">
        <is>
          <t>UPPSALA</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35148-2025</t>
        </is>
      </c>
      <c r="B626" s="1" t="n">
        <v>45852.67366898148</v>
      </c>
      <c r="C626" s="1" t="n">
        <v>45907</v>
      </c>
      <c r="D626" t="inlineStr">
        <is>
          <t>UPPSALA LÄN</t>
        </is>
      </c>
      <c r="E626" t="inlineStr">
        <is>
          <t>UPPSALA</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35053-2025</t>
        </is>
      </c>
      <c r="B627" s="1" t="n">
        <v>45852.36871527778</v>
      </c>
      <c r="C627" s="1" t="n">
        <v>45907</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35014-2025</t>
        </is>
      </c>
      <c r="B628" s="1" t="n">
        <v>45851.60097222222</v>
      </c>
      <c r="C628" s="1" t="n">
        <v>45907</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40639-2025</t>
        </is>
      </c>
      <c r="B629" s="1" t="n">
        <v>45896.61050925926</v>
      </c>
      <c r="C629" s="1" t="n">
        <v>45907</v>
      </c>
      <c r="D629" t="inlineStr">
        <is>
          <t>UPPSALA LÄN</t>
        </is>
      </c>
      <c r="E629" t="inlineStr">
        <is>
          <t>UPPSALA</t>
        </is>
      </c>
      <c r="G629" t="n">
        <v>6.9</v>
      </c>
      <c r="H629" t="n">
        <v>0</v>
      </c>
      <c r="I629" t="n">
        <v>0</v>
      </c>
      <c r="J629" t="n">
        <v>0</v>
      </c>
      <c r="K629" t="n">
        <v>0</v>
      </c>
      <c r="L629" t="n">
        <v>0</v>
      </c>
      <c r="M629" t="n">
        <v>0</v>
      </c>
      <c r="N629" t="n">
        <v>0</v>
      </c>
      <c r="O629" t="n">
        <v>0</v>
      </c>
      <c r="P629" t="n">
        <v>0</v>
      </c>
      <c r="Q629" t="n">
        <v>0</v>
      </c>
      <c r="R629" s="2" t="inlineStr"/>
    </row>
    <row r="630" ht="15" customHeight="1">
      <c r="A630" t="inlineStr">
        <is>
          <t>A 40501-2025</t>
        </is>
      </c>
      <c r="B630" s="1" t="n">
        <v>45896</v>
      </c>
      <c r="C630" s="1" t="n">
        <v>45907</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40504-2025</t>
        </is>
      </c>
      <c r="B631" s="1" t="n">
        <v>45896</v>
      </c>
      <c r="C631" s="1" t="n">
        <v>45907</v>
      </c>
      <c r="D631" t="inlineStr">
        <is>
          <t>UPPSALA LÄN</t>
        </is>
      </c>
      <c r="E631" t="inlineStr">
        <is>
          <t>UPPSALA</t>
        </is>
      </c>
      <c r="G631" t="n">
        <v>4.4</v>
      </c>
      <c r="H631" t="n">
        <v>0</v>
      </c>
      <c r="I631" t="n">
        <v>0</v>
      </c>
      <c r="J631" t="n">
        <v>0</v>
      </c>
      <c r="K631" t="n">
        <v>0</v>
      </c>
      <c r="L631" t="n">
        <v>0</v>
      </c>
      <c r="M631" t="n">
        <v>0</v>
      </c>
      <c r="N631" t="n">
        <v>0</v>
      </c>
      <c r="O631" t="n">
        <v>0</v>
      </c>
      <c r="P631" t="n">
        <v>0</v>
      </c>
      <c r="Q631" t="n">
        <v>0</v>
      </c>
      <c r="R631" s="2" t="inlineStr"/>
    </row>
    <row r="632" ht="15" customHeight="1">
      <c r="A632" t="inlineStr">
        <is>
          <t>A 40610-2025</t>
        </is>
      </c>
      <c r="B632" s="1" t="n">
        <v>45896.57368055556</v>
      </c>
      <c r="C632" s="1" t="n">
        <v>45907</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40855-2025</t>
        </is>
      </c>
      <c r="B633" s="1" t="n">
        <v>45897</v>
      </c>
      <c r="C633" s="1" t="n">
        <v>45907</v>
      </c>
      <c r="D633" t="inlineStr">
        <is>
          <t>UPPSALA LÄN</t>
        </is>
      </c>
      <c r="E633" t="inlineStr">
        <is>
          <t>UPPSALA</t>
        </is>
      </c>
      <c r="G633" t="n">
        <v>2.9</v>
      </c>
      <c r="H633" t="n">
        <v>0</v>
      </c>
      <c r="I633" t="n">
        <v>0</v>
      </c>
      <c r="J633" t="n">
        <v>0</v>
      </c>
      <c r="K633" t="n">
        <v>0</v>
      </c>
      <c r="L633" t="n">
        <v>0</v>
      </c>
      <c r="M633" t="n">
        <v>0</v>
      </c>
      <c r="N633" t="n">
        <v>0</v>
      </c>
      <c r="O633" t="n">
        <v>0</v>
      </c>
      <c r="P633" t="n">
        <v>0</v>
      </c>
      <c r="Q633" t="n">
        <v>0</v>
      </c>
      <c r="R633" s="2" t="inlineStr"/>
    </row>
    <row r="634" ht="15" customHeight="1">
      <c r="A634" t="inlineStr">
        <is>
          <t>A 35305-2025</t>
        </is>
      </c>
      <c r="B634" s="1" t="n">
        <v>45854.44017361111</v>
      </c>
      <c r="C634" s="1" t="n">
        <v>45907</v>
      </c>
      <c r="D634" t="inlineStr">
        <is>
          <t>UPPSALA LÄN</t>
        </is>
      </c>
      <c r="E634" t="inlineStr">
        <is>
          <t>UPPSALA</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40606-2025</t>
        </is>
      </c>
      <c r="B635" s="1" t="n">
        <v>45896.57171296296</v>
      </c>
      <c r="C635" s="1" t="n">
        <v>45907</v>
      </c>
      <c r="D635" t="inlineStr">
        <is>
          <t>UPPSALA LÄN</t>
        </is>
      </c>
      <c r="E635" t="inlineStr">
        <is>
          <t>UPPSALA</t>
        </is>
      </c>
      <c r="G635" t="n">
        <v>3.2</v>
      </c>
      <c r="H635" t="n">
        <v>0</v>
      </c>
      <c r="I635" t="n">
        <v>0</v>
      </c>
      <c r="J635" t="n">
        <v>0</v>
      </c>
      <c r="K635" t="n">
        <v>0</v>
      </c>
      <c r="L635" t="n">
        <v>0</v>
      </c>
      <c r="M635" t="n">
        <v>0</v>
      </c>
      <c r="N635" t="n">
        <v>0</v>
      </c>
      <c r="O635" t="n">
        <v>0</v>
      </c>
      <c r="P635" t="n">
        <v>0</v>
      </c>
      <c r="Q635" t="n">
        <v>0</v>
      </c>
      <c r="R635" s="2" t="inlineStr"/>
    </row>
    <row r="636" ht="15" customHeight="1">
      <c r="A636" t="inlineStr">
        <is>
          <t>A 12606-2023</t>
        </is>
      </c>
      <c r="B636" s="1" t="n">
        <v>45000.44666666666</v>
      </c>
      <c r="C636" s="1" t="n">
        <v>45907</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6602-2023</t>
        </is>
      </c>
      <c r="B637" s="1" t="n">
        <v>44966</v>
      </c>
      <c r="C637" s="1" t="n">
        <v>45907</v>
      </c>
      <c r="D637" t="inlineStr">
        <is>
          <t>UPPSALA LÄN</t>
        </is>
      </c>
      <c r="E637" t="inlineStr">
        <is>
          <t>UPPSALA</t>
        </is>
      </c>
      <c r="F637" t="inlineStr">
        <is>
          <t>Allmännings- och besparingsskogar</t>
        </is>
      </c>
      <c r="G637" t="n">
        <v>20.2</v>
      </c>
      <c r="H637" t="n">
        <v>0</v>
      </c>
      <c r="I637" t="n">
        <v>0</v>
      </c>
      <c r="J637" t="n">
        <v>0</v>
      </c>
      <c r="K637" t="n">
        <v>0</v>
      </c>
      <c r="L637" t="n">
        <v>0</v>
      </c>
      <c r="M637" t="n">
        <v>0</v>
      </c>
      <c r="N637" t="n">
        <v>0</v>
      </c>
      <c r="O637" t="n">
        <v>0</v>
      </c>
      <c r="P637" t="n">
        <v>0</v>
      </c>
      <c r="Q637" t="n">
        <v>0</v>
      </c>
      <c r="R637" s="2" t="inlineStr"/>
    </row>
    <row r="638" ht="15" customHeight="1">
      <c r="A638" t="inlineStr">
        <is>
          <t>A 44115-2023</t>
        </is>
      </c>
      <c r="B638" s="1" t="n">
        <v>45188</v>
      </c>
      <c r="C638" s="1" t="n">
        <v>45907</v>
      </c>
      <c r="D638" t="inlineStr">
        <is>
          <t>UPPSALA LÄN</t>
        </is>
      </c>
      <c r="E638" t="inlineStr">
        <is>
          <t>UPPSALA</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35504-2025</t>
        </is>
      </c>
      <c r="B639" s="1" t="n">
        <v>45856.34034722222</v>
      </c>
      <c r="C639" s="1" t="n">
        <v>45907</v>
      </c>
      <c r="D639" t="inlineStr">
        <is>
          <t>UPPSALA LÄN</t>
        </is>
      </c>
      <c r="E639" t="inlineStr">
        <is>
          <t>UPPSALA</t>
        </is>
      </c>
      <c r="F639" t="inlineStr">
        <is>
          <t>Bergvik skog öst AB</t>
        </is>
      </c>
      <c r="G639" t="n">
        <v>6.7</v>
      </c>
      <c r="H639" t="n">
        <v>0</v>
      </c>
      <c r="I639" t="n">
        <v>0</v>
      </c>
      <c r="J639" t="n">
        <v>0</v>
      </c>
      <c r="K639" t="n">
        <v>0</v>
      </c>
      <c r="L639" t="n">
        <v>0</v>
      </c>
      <c r="M639" t="n">
        <v>0</v>
      </c>
      <c r="N639" t="n">
        <v>0</v>
      </c>
      <c r="O639" t="n">
        <v>0</v>
      </c>
      <c r="P639" t="n">
        <v>0</v>
      </c>
      <c r="Q639" t="n">
        <v>0</v>
      </c>
      <c r="R639" s="2" t="inlineStr"/>
    </row>
    <row r="640" ht="15" customHeight="1">
      <c r="A640" t="inlineStr">
        <is>
          <t>A 35505-2025</t>
        </is>
      </c>
      <c r="B640" s="1" t="n">
        <v>45856.34231481481</v>
      </c>
      <c r="C640" s="1" t="n">
        <v>45907</v>
      </c>
      <c r="D640" t="inlineStr">
        <is>
          <t>UPPSALA LÄN</t>
        </is>
      </c>
      <c r="E640" t="inlineStr">
        <is>
          <t>UPPSALA</t>
        </is>
      </c>
      <c r="F640" t="inlineStr">
        <is>
          <t>Bergvik skog öst AB</t>
        </is>
      </c>
      <c r="G640" t="n">
        <v>7.9</v>
      </c>
      <c r="H640" t="n">
        <v>0</v>
      </c>
      <c r="I640" t="n">
        <v>0</v>
      </c>
      <c r="J640" t="n">
        <v>0</v>
      </c>
      <c r="K640" t="n">
        <v>0</v>
      </c>
      <c r="L640" t="n">
        <v>0</v>
      </c>
      <c r="M640" t="n">
        <v>0</v>
      </c>
      <c r="N640" t="n">
        <v>0</v>
      </c>
      <c r="O640" t="n">
        <v>0</v>
      </c>
      <c r="P640" t="n">
        <v>0</v>
      </c>
      <c r="Q640" t="n">
        <v>0</v>
      </c>
      <c r="R640" s="2" t="inlineStr"/>
    </row>
    <row r="641" ht="15" customHeight="1">
      <c r="A641" t="inlineStr">
        <is>
          <t>A 41445-2025</t>
        </is>
      </c>
      <c r="B641" s="1" t="n">
        <v>45901.41853009259</v>
      </c>
      <c r="C641" s="1" t="n">
        <v>45907</v>
      </c>
      <c r="D641" t="inlineStr">
        <is>
          <t>UPPSALA LÄN</t>
        </is>
      </c>
      <c r="E641" t="inlineStr">
        <is>
          <t>UPPSALA</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42063-2023</t>
        </is>
      </c>
      <c r="B642" s="1" t="n">
        <v>45177.56940972222</v>
      </c>
      <c r="C642" s="1" t="n">
        <v>45907</v>
      </c>
      <c r="D642" t="inlineStr">
        <is>
          <t>UPPSALA LÄN</t>
        </is>
      </c>
      <c r="E642" t="inlineStr">
        <is>
          <t>UPPSALA</t>
        </is>
      </c>
      <c r="G642" t="n">
        <v>5.6</v>
      </c>
      <c r="H642" t="n">
        <v>0</v>
      </c>
      <c r="I642" t="n">
        <v>0</v>
      </c>
      <c r="J642" t="n">
        <v>0</v>
      </c>
      <c r="K642" t="n">
        <v>0</v>
      </c>
      <c r="L642" t="n">
        <v>0</v>
      </c>
      <c r="M642" t="n">
        <v>0</v>
      </c>
      <c r="N642" t="n">
        <v>0</v>
      </c>
      <c r="O642" t="n">
        <v>0</v>
      </c>
      <c r="P642" t="n">
        <v>0</v>
      </c>
      <c r="Q642" t="n">
        <v>0</v>
      </c>
      <c r="R642" s="2" t="inlineStr"/>
    </row>
    <row r="643" ht="15" customHeight="1">
      <c r="A643" t="inlineStr">
        <is>
          <t>A 74493-2021</t>
        </is>
      </c>
      <c r="B643" s="1" t="n">
        <v>44560</v>
      </c>
      <c r="C643" s="1" t="n">
        <v>45907</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41611-2025</t>
        </is>
      </c>
      <c r="B644" s="1" t="n">
        <v>45901.67194444445</v>
      </c>
      <c r="C644" s="1" t="n">
        <v>45907</v>
      </c>
      <c r="D644" t="inlineStr">
        <is>
          <t>UPPSALA LÄN</t>
        </is>
      </c>
      <c r="E644" t="inlineStr">
        <is>
          <t>UPPSALA</t>
        </is>
      </c>
      <c r="G644" t="n">
        <v>16.2</v>
      </c>
      <c r="H644" t="n">
        <v>0</v>
      </c>
      <c r="I644" t="n">
        <v>0</v>
      </c>
      <c r="J644" t="n">
        <v>0</v>
      </c>
      <c r="K644" t="n">
        <v>0</v>
      </c>
      <c r="L644" t="n">
        <v>0</v>
      </c>
      <c r="M644" t="n">
        <v>0</v>
      </c>
      <c r="N644" t="n">
        <v>0</v>
      </c>
      <c r="O644" t="n">
        <v>0</v>
      </c>
      <c r="P644" t="n">
        <v>0</v>
      </c>
      <c r="Q644" t="n">
        <v>0</v>
      </c>
      <c r="R644" s="2" t="inlineStr"/>
    </row>
    <row r="645" ht="15" customHeight="1">
      <c r="A645" t="inlineStr">
        <is>
          <t>A 41112-2025</t>
        </is>
      </c>
      <c r="B645" s="1" t="n">
        <v>45898.46040509259</v>
      </c>
      <c r="C645" s="1" t="n">
        <v>45907</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41444-2025</t>
        </is>
      </c>
      <c r="B646" s="1" t="n">
        <v>45901.41756944444</v>
      </c>
      <c r="C646" s="1" t="n">
        <v>45907</v>
      </c>
      <c r="D646" t="inlineStr">
        <is>
          <t>UPPSALA LÄN</t>
        </is>
      </c>
      <c r="E646" t="inlineStr">
        <is>
          <t>UPPSALA</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35509-2025</t>
        </is>
      </c>
      <c r="B647" s="1" t="n">
        <v>45856.34959490741</v>
      </c>
      <c r="C647" s="1" t="n">
        <v>45907</v>
      </c>
      <c r="D647" t="inlineStr">
        <is>
          <t>UPPSALA LÄN</t>
        </is>
      </c>
      <c r="E647" t="inlineStr">
        <is>
          <t>UPPSALA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35510-2025</t>
        </is>
      </c>
      <c r="B648" s="1" t="n">
        <v>45856</v>
      </c>
      <c r="C648" s="1" t="n">
        <v>45907</v>
      </c>
      <c r="D648" t="inlineStr">
        <is>
          <t>UPPSALA LÄN</t>
        </is>
      </c>
      <c r="E648" t="inlineStr">
        <is>
          <t>UPPSALA</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42085-2025</t>
        </is>
      </c>
      <c r="B649" s="1" t="n">
        <v>45903.69358796296</v>
      </c>
      <c r="C649" s="1" t="n">
        <v>45907</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32484-2025</t>
        </is>
      </c>
      <c r="B650" s="1" t="n">
        <v>45838</v>
      </c>
      <c r="C650" s="1" t="n">
        <v>45907</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41707-2025</t>
        </is>
      </c>
      <c r="B651" s="1" t="n">
        <v>45902.42243055555</v>
      </c>
      <c r="C651" s="1" t="n">
        <v>45907</v>
      </c>
      <c r="D651" t="inlineStr">
        <is>
          <t>UPPSALA LÄN</t>
        </is>
      </c>
      <c r="E651" t="inlineStr">
        <is>
          <t>UPPSALA</t>
        </is>
      </c>
      <c r="F651" t="inlineStr">
        <is>
          <t>Allmännings- och besparingsskogar</t>
        </is>
      </c>
      <c r="G651" t="n">
        <v>3.3</v>
      </c>
      <c r="H651" t="n">
        <v>0</v>
      </c>
      <c r="I651" t="n">
        <v>0</v>
      </c>
      <c r="J651" t="n">
        <v>0</v>
      </c>
      <c r="K651" t="n">
        <v>0</v>
      </c>
      <c r="L651" t="n">
        <v>0</v>
      </c>
      <c r="M651" t="n">
        <v>0</v>
      </c>
      <c r="N651" t="n">
        <v>0</v>
      </c>
      <c r="O651" t="n">
        <v>0</v>
      </c>
      <c r="P651" t="n">
        <v>0</v>
      </c>
      <c r="Q651" t="n">
        <v>0</v>
      </c>
      <c r="R651" s="2" t="inlineStr"/>
    </row>
    <row r="652" ht="15" customHeight="1">
      <c r="A652" t="inlineStr">
        <is>
          <t>A 37611-2025</t>
        </is>
      </c>
      <c r="B652" s="1" t="n">
        <v>45880</v>
      </c>
      <c r="C652" s="1" t="n">
        <v>45907</v>
      </c>
      <c r="D652" t="inlineStr">
        <is>
          <t>UPPSALA LÄN</t>
        </is>
      </c>
      <c r="E652" t="inlineStr">
        <is>
          <t>UPPSALA</t>
        </is>
      </c>
      <c r="G652" t="n">
        <v>2.9</v>
      </c>
      <c r="H652" t="n">
        <v>0</v>
      </c>
      <c r="I652" t="n">
        <v>0</v>
      </c>
      <c r="J652" t="n">
        <v>0</v>
      </c>
      <c r="K652" t="n">
        <v>0</v>
      </c>
      <c r="L652" t="n">
        <v>0</v>
      </c>
      <c r="M652" t="n">
        <v>0</v>
      </c>
      <c r="N652" t="n">
        <v>0</v>
      </c>
      <c r="O652" t="n">
        <v>0</v>
      </c>
      <c r="P652" t="n">
        <v>0</v>
      </c>
      <c r="Q652" t="n">
        <v>0</v>
      </c>
      <c r="R652" s="2" t="inlineStr"/>
    </row>
    <row r="653" ht="15" customHeight="1">
      <c r="A653" t="inlineStr">
        <is>
          <t>A 42084-2025</t>
        </is>
      </c>
      <c r="B653" s="1" t="n">
        <v>45903.69096064815</v>
      </c>
      <c r="C653" s="1" t="n">
        <v>45907</v>
      </c>
      <c r="D653" t="inlineStr">
        <is>
          <t>UPPSALA LÄN</t>
        </is>
      </c>
      <c r="E653" t="inlineStr">
        <is>
          <t>UPPSALA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17481-2023</t>
        </is>
      </c>
      <c r="B654" s="1" t="n">
        <v>45036</v>
      </c>
      <c r="C654" s="1" t="n">
        <v>45907</v>
      </c>
      <c r="D654" t="inlineStr">
        <is>
          <t>UPPSALA LÄN</t>
        </is>
      </c>
      <c r="E654" t="inlineStr">
        <is>
          <t>UPPSALA</t>
        </is>
      </c>
      <c r="G654" t="n">
        <v>1.9</v>
      </c>
      <c r="H654" t="n">
        <v>0</v>
      </c>
      <c r="I654" t="n">
        <v>0</v>
      </c>
      <c r="J654" t="n">
        <v>0</v>
      </c>
      <c r="K654" t="n">
        <v>0</v>
      </c>
      <c r="L654" t="n">
        <v>0</v>
      </c>
      <c r="M654" t="n">
        <v>0</v>
      </c>
      <c r="N654" t="n">
        <v>0</v>
      </c>
      <c r="O654" t="n">
        <v>0</v>
      </c>
      <c r="P654" t="n">
        <v>0</v>
      </c>
      <c r="Q654" t="n">
        <v>0</v>
      </c>
      <c r="R654" s="2" t="inlineStr"/>
    </row>
    <row r="655" ht="15" customHeight="1">
      <c r="A655" t="inlineStr">
        <is>
          <t>A 32475-2025</t>
        </is>
      </c>
      <c r="B655" s="1" t="n">
        <v>45838</v>
      </c>
      <c r="C655" s="1" t="n">
        <v>45907</v>
      </c>
      <c r="D655" t="inlineStr">
        <is>
          <t>UPPSALA LÄN</t>
        </is>
      </c>
      <c r="E655" t="inlineStr">
        <is>
          <t>UPPSALA</t>
        </is>
      </c>
      <c r="G655" t="n">
        <v>3</v>
      </c>
      <c r="H655" t="n">
        <v>0</v>
      </c>
      <c r="I655" t="n">
        <v>0</v>
      </c>
      <c r="J655" t="n">
        <v>0</v>
      </c>
      <c r="K655" t="n">
        <v>0</v>
      </c>
      <c r="L655" t="n">
        <v>0</v>
      </c>
      <c r="M655" t="n">
        <v>0</v>
      </c>
      <c r="N655" t="n">
        <v>0</v>
      </c>
      <c r="O655" t="n">
        <v>0</v>
      </c>
      <c r="P655" t="n">
        <v>0</v>
      </c>
      <c r="Q655" t="n">
        <v>0</v>
      </c>
      <c r="R655" s="2" t="inlineStr"/>
    </row>
    <row r="656" ht="15" customHeight="1">
      <c r="A656" t="inlineStr">
        <is>
          <t>A 10394-2025</t>
        </is>
      </c>
      <c r="B656" s="1" t="n">
        <v>45720.60410879629</v>
      </c>
      <c r="C656" s="1" t="n">
        <v>45907</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32479-2025</t>
        </is>
      </c>
      <c r="B657" s="1" t="n">
        <v>45838</v>
      </c>
      <c r="C657" s="1" t="n">
        <v>45907</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7276-2024</t>
        </is>
      </c>
      <c r="B658" s="1" t="n">
        <v>45344</v>
      </c>
      <c r="C658" s="1" t="n">
        <v>45907</v>
      </c>
      <c r="D658" t="inlineStr">
        <is>
          <t>UPPSALA LÄN</t>
        </is>
      </c>
      <c r="E658" t="inlineStr">
        <is>
          <t>UPPSALA</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2695-2025</t>
        </is>
      </c>
      <c r="B659" s="1" t="n">
        <v>45677.39440972222</v>
      </c>
      <c r="C659" s="1" t="n">
        <v>45907</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42134-2025</t>
        </is>
      </c>
      <c r="B660" s="1" t="n">
        <v>45904.34862268518</v>
      </c>
      <c r="C660" s="1" t="n">
        <v>45907</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35978-2025</t>
        </is>
      </c>
      <c r="B661" s="1" t="n">
        <v>45863.44648148148</v>
      </c>
      <c r="C661" s="1" t="n">
        <v>45907</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30616-2025</t>
        </is>
      </c>
      <c r="B662" s="1" t="n">
        <v>45831.46731481481</v>
      </c>
      <c r="C662" s="1" t="n">
        <v>45907</v>
      </c>
      <c r="D662" t="inlineStr">
        <is>
          <t>UPPSALA LÄN</t>
        </is>
      </c>
      <c r="E662" t="inlineStr">
        <is>
          <t>UPPSALA</t>
        </is>
      </c>
      <c r="G662" t="n">
        <v>2.1</v>
      </c>
      <c r="H662" t="n">
        <v>0</v>
      </c>
      <c r="I662" t="n">
        <v>0</v>
      </c>
      <c r="J662" t="n">
        <v>0</v>
      </c>
      <c r="K662" t="n">
        <v>0</v>
      </c>
      <c r="L662" t="n">
        <v>0</v>
      </c>
      <c r="M662" t="n">
        <v>0</v>
      </c>
      <c r="N662" t="n">
        <v>0</v>
      </c>
      <c r="O662" t="n">
        <v>0</v>
      </c>
      <c r="P662" t="n">
        <v>0</v>
      </c>
      <c r="Q662" t="n">
        <v>0</v>
      </c>
      <c r="R662" s="2" t="inlineStr"/>
    </row>
    <row r="663" ht="15" customHeight="1">
      <c r="A663" t="inlineStr">
        <is>
          <t>A 15629-2023</t>
        </is>
      </c>
      <c r="B663" s="1" t="n">
        <v>45021.29524305555</v>
      </c>
      <c r="C663" s="1" t="n">
        <v>45907</v>
      </c>
      <c r="D663" t="inlineStr">
        <is>
          <t>UPPSALA LÄN</t>
        </is>
      </c>
      <c r="E663" t="inlineStr">
        <is>
          <t>UPPSALA</t>
        </is>
      </c>
      <c r="F663" t="inlineStr">
        <is>
          <t>Övriga Aktiebolag</t>
        </is>
      </c>
      <c r="G663" t="n">
        <v>7</v>
      </c>
      <c r="H663" t="n">
        <v>0</v>
      </c>
      <c r="I663" t="n">
        <v>0</v>
      </c>
      <c r="J663" t="n">
        <v>0</v>
      </c>
      <c r="K663" t="n">
        <v>0</v>
      </c>
      <c r="L663" t="n">
        <v>0</v>
      </c>
      <c r="M663" t="n">
        <v>0</v>
      </c>
      <c r="N663" t="n">
        <v>0</v>
      </c>
      <c r="O663" t="n">
        <v>0</v>
      </c>
      <c r="P663" t="n">
        <v>0</v>
      </c>
      <c r="Q663" t="n">
        <v>0</v>
      </c>
      <c r="R663" s="2" t="inlineStr"/>
    </row>
    <row r="664" ht="15" customHeight="1">
      <c r="A664" t="inlineStr">
        <is>
          <t>A 42347-2025</t>
        </is>
      </c>
      <c r="B664" s="1" t="n">
        <v>45904.77746527778</v>
      </c>
      <c r="C664" s="1" t="n">
        <v>45907</v>
      </c>
      <c r="D664" t="inlineStr">
        <is>
          <t>UPPSALA LÄN</t>
        </is>
      </c>
      <c r="E664" t="inlineStr">
        <is>
          <t>UPPSALA</t>
        </is>
      </c>
      <c r="G664" t="n">
        <v>2.7</v>
      </c>
      <c r="H664" t="n">
        <v>0</v>
      </c>
      <c r="I664" t="n">
        <v>0</v>
      </c>
      <c r="J664" t="n">
        <v>0</v>
      </c>
      <c r="K664" t="n">
        <v>0</v>
      </c>
      <c r="L664" t="n">
        <v>0</v>
      </c>
      <c r="M664" t="n">
        <v>0</v>
      </c>
      <c r="N664" t="n">
        <v>0</v>
      </c>
      <c r="O664" t="n">
        <v>0</v>
      </c>
      <c r="P664" t="n">
        <v>0</v>
      </c>
      <c r="Q664" t="n">
        <v>0</v>
      </c>
      <c r="R664" s="2" t="inlineStr"/>
    </row>
    <row r="665" ht="15" customHeight="1">
      <c r="A665" t="inlineStr">
        <is>
          <t>A 20497-2022</t>
        </is>
      </c>
      <c r="B665" s="1" t="n">
        <v>44699</v>
      </c>
      <c r="C665" s="1" t="n">
        <v>45907</v>
      </c>
      <c r="D665" t="inlineStr">
        <is>
          <t>UPPSALA LÄN</t>
        </is>
      </c>
      <c r="E665" t="inlineStr">
        <is>
          <t>UPPSALA</t>
        </is>
      </c>
      <c r="F665" t="inlineStr">
        <is>
          <t>Övriga statliga verk och myndigheter</t>
        </is>
      </c>
      <c r="G665" t="n">
        <v>1</v>
      </c>
      <c r="H665" t="n">
        <v>0</v>
      </c>
      <c r="I665" t="n">
        <v>0</v>
      </c>
      <c r="J665" t="n">
        <v>0</v>
      </c>
      <c r="K665" t="n">
        <v>0</v>
      </c>
      <c r="L665" t="n">
        <v>0</v>
      </c>
      <c r="M665" t="n">
        <v>0</v>
      </c>
      <c r="N665" t="n">
        <v>0</v>
      </c>
      <c r="O665" t="n">
        <v>0</v>
      </c>
      <c r="P665" t="n">
        <v>0</v>
      </c>
      <c r="Q665" t="n">
        <v>0</v>
      </c>
      <c r="R665" s="2" t="inlineStr"/>
    </row>
    <row r="666" ht="15" customHeight="1">
      <c r="A666" t="inlineStr">
        <is>
          <t>A 39608-2022</t>
        </is>
      </c>
      <c r="B666" s="1" t="n">
        <v>44817</v>
      </c>
      <c r="C666" s="1" t="n">
        <v>45907</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42622-2022</t>
        </is>
      </c>
      <c r="B667" s="1" t="n">
        <v>44831</v>
      </c>
      <c r="C667" s="1" t="n">
        <v>45907</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41954-2025</t>
        </is>
      </c>
      <c r="B668" s="1" t="n">
        <v>45903</v>
      </c>
      <c r="C668" s="1" t="n">
        <v>45907</v>
      </c>
      <c r="D668" t="inlineStr">
        <is>
          <t>UPPSALA LÄN</t>
        </is>
      </c>
      <c r="E668" t="inlineStr">
        <is>
          <t>UPPSALA</t>
        </is>
      </c>
      <c r="G668" t="n">
        <v>7.5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44629.42423611111</v>
      </c>
      <c r="C669" s="1" t="n">
        <v>45907</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39792-2025</t>
        </is>
      </c>
      <c r="B670" s="1" t="n">
        <v>45891.4865625</v>
      </c>
      <c r="C670" s="1" t="n">
        <v>45907</v>
      </c>
      <c r="D670" t="inlineStr">
        <is>
          <t>UPPSALA LÄN</t>
        </is>
      </c>
      <c r="E670" t="inlineStr">
        <is>
          <t>UPPSALA</t>
        </is>
      </c>
      <c r="G670" t="n">
        <v>0.9</v>
      </c>
      <c r="H670" t="n">
        <v>0</v>
      </c>
      <c r="I670" t="n">
        <v>0</v>
      </c>
      <c r="J670" t="n">
        <v>0</v>
      </c>
      <c r="K670" t="n">
        <v>0</v>
      </c>
      <c r="L670" t="n">
        <v>0</v>
      </c>
      <c r="M670" t="n">
        <v>0</v>
      </c>
      <c r="N670" t="n">
        <v>0</v>
      </c>
      <c r="O670" t="n">
        <v>0</v>
      </c>
      <c r="P670" t="n">
        <v>0</v>
      </c>
      <c r="Q670" t="n">
        <v>0</v>
      </c>
      <c r="R670" s="2" t="inlineStr"/>
    </row>
    <row r="671" ht="15" customHeight="1">
      <c r="A671" t="inlineStr">
        <is>
          <t>A 44080-2023</t>
        </is>
      </c>
      <c r="B671" s="1" t="n">
        <v>45188.42052083334</v>
      </c>
      <c r="C671" s="1" t="n">
        <v>45907</v>
      </c>
      <c r="D671" t="inlineStr">
        <is>
          <t>UPPSALA LÄN</t>
        </is>
      </c>
      <c r="E671" t="inlineStr">
        <is>
          <t>UPPSALA</t>
        </is>
      </c>
      <c r="G671" t="n">
        <v>13.3</v>
      </c>
      <c r="H671" t="n">
        <v>0</v>
      </c>
      <c r="I671" t="n">
        <v>0</v>
      </c>
      <c r="J671" t="n">
        <v>0</v>
      </c>
      <c r="K671" t="n">
        <v>0</v>
      </c>
      <c r="L671" t="n">
        <v>0</v>
      </c>
      <c r="M671" t="n">
        <v>0</v>
      </c>
      <c r="N671" t="n">
        <v>0</v>
      </c>
      <c r="O671" t="n">
        <v>0</v>
      </c>
      <c r="P671" t="n">
        <v>0</v>
      </c>
      <c r="Q671" t="n">
        <v>0</v>
      </c>
      <c r="R671" s="2" t="inlineStr"/>
    </row>
    <row r="672" ht="15" customHeight="1">
      <c r="A672" t="inlineStr">
        <is>
          <t>A 10490-2025</t>
        </is>
      </c>
      <c r="B672" s="1" t="n">
        <v>45721.35173611111</v>
      </c>
      <c r="C672" s="1" t="n">
        <v>45907</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55021-2022</t>
        </is>
      </c>
      <c r="B673" s="1" t="n">
        <v>44886</v>
      </c>
      <c r="C673" s="1" t="n">
        <v>45907</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42593-2025</t>
        </is>
      </c>
      <c r="B674" s="1" t="n">
        <v>45905.64862268518</v>
      </c>
      <c r="C674" s="1" t="n">
        <v>45907</v>
      </c>
      <c r="D674" t="inlineStr">
        <is>
          <t>UPPSALA LÄN</t>
        </is>
      </c>
      <c r="E674" t="inlineStr">
        <is>
          <t>UPPSALA</t>
        </is>
      </c>
      <c r="G674" t="n">
        <v>2.1</v>
      </c>
      <c r="H674" t="n">
        <v>0</v>
      </c>
      <c r="I674" t="n">
        <v>0</v>
      </c>
      <c r="J674" t="n">
        <v>0</v>
      </c>
      <c r="K674" t="n">
        <v>0</v>
      </c>
      <c r="L674" t="n">
        <v>0</v>
      </c>
      <c r="M674" t="n">
        <v>0</v>
      </c>
      <c r="N674" t="n">
        <v>0</v>
      </c>
      <c r="O674" t="n">
        <v>0</v>
      </c>
      <c r="P674" t="n">
        <v>0</v>
      </c>
      <c r="Q674" t="n">
        <v>0</v>
      </c>
      <c r="R674" s="2" t="inlineStr"/>
    </row>
    <row r="675" ht="15" customHeight="1">
      <c r="A675" t="inlineStr">
        <is>
          <t>A 42541-2025</t>
        </is>
      </c>
      <c r="B675" s="1" t="n">
        <v>45905.5756712963</v>
      </c>
      <c r="C675" s="1" t="n">
        <v>45907</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65659-2021</t>
        </is>
      </c>
      <c r="B676" s="1" t="n">
        <v>44516</v>
      </c>
      <c r="C676" s="1" t="n">
        <v>45907</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1731-2022</t>
        </is>
      </c>
      <c r="B677" s="1" t="n">
        <v>44574</v>
      </c>
      <c r="C677" s="1" t="n">
        <v>45907</v>
      </c>
      <c r="D677" t="inlineStr">
        <is>
          <t>UPPSALA LÄN</t>
        </is>
      </c>
      <c r="E677" t="inlineStr">
        <is>
          <t>UPPSALA</t>
        </is>
      </c>
      <c r="G677" t="n">
        <v>10.1</v>
      </c>
      <c r="H677" t="n">
        <v>0</v>
      </c>
      <c r="I677" t="n">
        <v>0</v>
      </c>
      <c r="J677" t="n">
        <v>0</v>
      </c>
      <c r="K677" t="n">
        <v>0</v>
      </c>
      <c r="L677" t="n">
        <v>0</v>
      </c>
      <c r="M677" t="n">
        <v>0</v>
      </c>
      <c r="N677" t="n">
        <v>0</v>
      </c>
      <c r="O677" t="n">
        <v>0</v>
      </c>
      <c r="P677" t="n">
        <v>0</v>
      </c>
      <c r="Q677" t="n">
        <v>0</v>
      </c>
      <c r="R677" s="2" t="inlineStr"/>
    </row>
    <row r="678" ht="15" customHeight="1">
      <c r="A678" t="inlineStr">
        <is>
          <t>A 35984-2025</t>
        </is>
      </c>
      <c r="B678" s="1" t="n">
        <v>45863.45355324074</v>
      </c>
      <c r="C678" s="1" t="n">
        <v>45907</v>
      </c>
      <c r="D678" t="inlineStr">
        <is>
          <t>UPPSALA LÄN</t>
        </is>
      </c>
      <c r="E678" t="inlineStr">
        <is>
          <t>UPPSALA</t>
        </is>
      </c>
      <c r="G678" t="n">
        <v>6.1</v>
      </c>
      <c r="H678" t="n">
        <v>0</v>
      </c>
      <c r="I678" t="n">
        <v>0</v>
      </c>
      <c r="J678" t="n">
        <v>0</v>
      </c>
      <c r="K678" t="n">
        <v>0</v>
      </c>
      <c r="L678" t="n">
        <v>0</v>
      </c>
      <c r="M678" t="n">
        <v>0</v>
      </c>
      <c r="N678" t="n">
        <v>0</v>
      </c>
      <c r="O678" t="n">
        <v>0</v>
      </c>
      <c r="P678" t="n">
        <v>0</v>
      </c>
      <c r="Q678" t="n">
        <v>0</v>
      </c>
      <c r="R678" s="2" t="inlineStr"/>
    </row>
    <row r="679" ht="15" customHeight="1">
      <c r="A679" t="inlineStr">
        <is>
          <t>A 784-2024</t>
        </is>
      </c>
      <c r="B679" s="1" t="n">
        <v>45300.55680555556</v>
      </c>
      <c r="C679" s="1" t="n">
        <v>45907</v>
      </c>
      <c r="D679" t="inlineStr">
        <is>
          <t>UPPSALA LÄN</t>
        </is>
      </c>
      <c r="E679" t="inlineStr">
        <is>
          <t>UPPSALA</t>
        </is>
      </c>
      <c r="G679" t="n">
        <v>6.6</v>
      </c>
      <c r="H679" t="n">
        <v>0</v>
      </c>
      <c r="I679" t="n">
        <v>0</v>
      </c>
      <c r="J679" t="n">
        <v>0</v>
      </c>
      <c r="K679" t="n">
        <v>0</v>
      </c>
      <c r="L679" t="n">
        <v>0</v>
      </c>
      <c r="M679" t="n">
        <v>0</v>
      </c>
      <c r="N679" t="n">
        <v>0</v>
      </c>
      <c r="O679" t="n">
        <v>0</v>
      </c>
      <c r="P679" t="n">
        <v>0</v>
      </c>
      <c r="Q679" t="n">
        <v>0</v>
      </c>
      <c r="R679" s="2" t="inlineStr"/>
    </row>
    <row r="680" ht="15" customHeight="1">
      <c r="A680" t="inlineStr">
        <is>
          <t>A 61271-2020</t>
        </is>
      </c>
      <c r="B680" s="1" t="n">
        <v>44155</v>
      </c>
      <c r="C680" s="1" t="n">
        <v>45907</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27068-2023</t>
        </is>
      </c>
      <c r="B681" s="1" t="n">
        <v>45096</v>
      </c>
      <c r="C681" s="1" t="n">
        <v>45907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42581-2025</t>
        </is>
      </c>
      <c r="B682" s="1" t="n">
        <v>45905.62541666667</v>
      </c>
      <c r="C682" s="1" t="n">
        <v>45907</v>
      </c>
      <c r="D682" t="inlineStr">
        <is>
          <t>UPPSALA LÄN</t>
        </is>
      </c>
      <c r="E682" t="inlineStr">
        <is>
          <t>UPPSALA</t>
        </is>
      </c>
      <c r="F682" t="inlineStr">
        <is>
          <t>Kyrkan</t>
        </is>
      </c>
      <c r="G682" t="n">
        <v>2.3</v>
      </c>
      <c r="H682" t="n">
        <v>0</v>
      </c>
      <c r="I682" t="n">
        <v>0</v>
      </c>
      <c r="J682" t="n">
        <v>0</v>
      </c>
      <c r="K682" t="n">
        <v>0</v>
      </c>
      <c r="L682" t="n">
        <v>0</v>
      </c>
      <c r="M682" t="n">
        <v>0</v>
      </c>
      <c r="N682" t="n">
        <v>0</v>
      </c>
      <c r="O682" t="n">
        <v>0</v>
      </c>
      <c r="P682" t="n">
        <v>0</v>
      </c>
      <c r="Q682" t="n">
        <v>0</v>
      </c>
      <c r="R682" s="2" t="inlineStr"/>
    </row>
    <row r="683" ht="15" customHeight="1">
      <c r="A683" t="inlineStr">
        <is>
          <t>A 45878-2024</t>
        </is>
      </c>
      <c r="B683" s="1" t="n">
        <v>45580</v>
      </c>
      <c r="C683" s="1" t="n">
        <v>45907</v>
      </c>
      <c r="D683" t="inlineStr">
        <is>
          <t>UPPSALA LÄN</t>
        </is>
      </c>
      <c r="E683" t="inlineStr">
        <is>
          <t>UPPSALA</t>
        </is>
      </c>
      <c r="G683" t="n">
        <v>2.8</v>
      </c>
      <c r="H683" t="n">
        <v>0</v>
      </c>
      <c r="I683" t="n">
        <v>0</v>
      </c>
      <c r="J683" t="n">
        <v>0</v>
      </c>
      <c r="K683" t="n">
        <v>0</v>
      </c>
      <c r="L683" t="n">
        <v>0</v>
      </c>
      <c r="M683" t="n">
        <v>0</v>
      </c>
      <c r="N683" t="n">
        <v>0</v>
      </c>
      <c r="O683" t="n">
        <v>0</v>
      </c>
      <c r="P683" t="n">
        <v>0</v>
      </c>
      <c r="Q683" t="n">
        <v>0</v>
      </c>
      <c r="R683" s="2" t="inlineStr"/>
    </row>
    <row r="684" ht="15" customHeight="1">
      <c r="A684" t="inlineStr">
        <is>
          <t>A 43-2024</t>
        </is>
      </c>
      <c r="B684" s="1" t="n">
        <v>45293</v>
      </c>
      <c r="C684" s="1" t="n">
        <v>45907</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62044-2024</t>
        </is>
      </c>
      <c r="B685" s="1" t="n">
        <v>45656</v>
      </c>
      <c r="C685" s="1" t="n">
        <v>45907</v>
      </c>
      <c r="D685" t="inlineStr">
        <is>
          <t>UPPSALA LÄN</t>
        </is>
      </c>
      <c r="E685" t="inlineStr">
        <is>
          <t>UPPSALA</t>
        </is>
      </c>
      <c r="F685" t="inlineStr">
        <is>
          <t>Övriga statliga verk och myndigheter</t>
        </is>
      </c>
      <c r="G685" t="n">
        <v>11.6</v>
      </c>
      <c r="H685" t="n">
        <v>0</v>
      </c>
      <c r="I685" t="n">
        <v>0</v>
      </c>
      <c r="J685" t="n">
        <v>0</v>
      </c>
      <c r="K685" t="n">
        <v>0</v>
      </c>
      <c r="L685" t="n">
        <v>0</v>
      </c>
      <c r="M685" t="n">
        <v>0</v>
      </c>
      <c r="N685" t="n">
        <v>0</v>
      </c>
      <c r="O685" t="n">
        <v>0</v>
      </c>
      <c r="P685" t="n">
        <v>0</v>
      </c>
      <c r="Q685" t="n">
        <v>0</v>
      </c>
      <c r="R685" s="2" t="inlineStr"/>
    </row>
    <row r="686" ht="15" customHeight="1">
      <c r="A686" t="inlineStr">
        <is>
          <t>A 35016-2025</t>
        </is>
      </c>
      <c r="B686" s="1" t="n">
        <v>45851.62179398148</v>
      </c>
      <c r="C686" s="1" t="n">
        <v>45907</v>
      </c>
      <c r="D686" t="inlineStr">
        <is>
          <t>UPPSALA LÄN</t>
        </is>
      </c>
      <c r="E686" t="inlineStr">
        <is>
          <t>UPPSALA</t>
        </is>
      </c>
      <c r="F686" t="inlineStr">
        <is>
          <t>Bergvik skog öst AB</t>
        </is>
      </c>
      <c r="G686" t="n">
        <v>7</v>
      </c>
      <c r="H686" t="n">
        <v>0</v>
      </c>
      <c r="I686" t="n">
        <v>0</v>
      </c>
      <c r="J686" t="n">
        <v>0</v>
      </c>
      <c r="K686" t="n">
        <v>0</v>
      </c>
      <c r="L686" t="n">
        <v>0</v>
      </c>
      <c r="M686" t="n">
        <v>0</v>
      </c>
      <c r="N686" t="n">
        <v>0</v>
      </c>
      <c r="O686" t="n">
        <v>0</v>
      </c>
      <c r="P686" t="n">
        <v>0</v>
      </c>
      <c r="Q686" t="n">
        <v>0</v>
      </c>
      <c r="R686" s="2" t="inlineStr"/>
    </row>
    <row r="687" ht="15" customHeight="1">
      <c r="A687" t="inlineStr">
        <is>
          <t>A 17587-2025</t>
        </is>
      </c>
      <c r="B687" s="1" t="n">
        <v>45757.67611111111</v>
      </c>
      <c r="C687" s="1" t="n">
        <v>45907</v>
      </c>
      <c r="D687" t="inlineStr">
        <is>
          <t>UPPSALA LÄN</t>
        </is>
      </c>
      <c r="E687" t="inlineStr">
        <is>
          <t>UPPSALA</t>
        </is>
      </c>
      <c r="G687" t="n">
        <v>2.4</v>
      </c>
      <c r="H687" t="n">
        <v>0</v>
      </c>
      <c r="I687" t="n">
        <v>0</v>
      </c>
      <c r="J687" t="n">
        <v>0</v>
      </c>
      <c r="K687" t="n">
        <v>0</v>
      </c>
      <c r="L687" t="n">
        <v>0</v>
      </c>
      <c r="M687" t="n">
        <v>0</v>
      </c>
      <c r="N687" t="n">
        <v>0</v>
      </c>
      <c r="O687" t="n">
        <v>0</v>
      </c>
      <c r="P687" t="n">
        <v>0</v>
      </c>
      <c r="Q687" t="n">
        <v>0</v>
      </c>
      <c r="R687" s="2" t="inlineStr"/>
    </row>
    <row r="688" ht="15" customHeight="1">
      <c r="A688" t="inlineStr">
        <is>
          <t>A 48571-2023</t>
        </is>
      </c>
      <c r="B688" s="1" t="n">
        <v>45208.46130787037</v>
      </c>
      <c r="C688" s="1" t="n">
        <v>45907</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42583-2025</t>
        </is>
      </c>
      <c r="B689" s="1" t="n">
        <v>45905.62641203704</v>
      </c>
      <c r="C689" s="1" t="n">
        <v>45907</v>
      </c>
      <c r="D689" t="inlineStr">
        <is>
          <t>UPPSALA LÄN</t>
        </is>
      </c>
      <c r="E689" t="inlineStr">
        <is>
          <t>UPPSALA</t>
        </is>
      </c>
      <c r="F689" t="inlineStr">
        <is>
          <t>Kyrkan</t>
        </is>
      </c>
      <c r="G689" t="n">
        <v>2.3</v>
      </c>
      <c r="H689" t="n">
        <v>0</v>
      </c>
      <c r="I689" t="n">
        <v>0</v>
      </c>
      <c r="J689" t="n">
        <v>0</v>
      </c>
      <c r="K689" t="n">
        <v>0</v>
      </c>
      <c r="L689" t="n">
        <v>0</v>
      </c>
      <c r="M689" t="n">
        <v>0</v>
      </c>
      <c r="N689" t="n">
        <v>0</v>
      </c>
      <c r="O689" t="n">
        <v>0</v>
      </c>
      <c r="P689" t="n">
        <v>0</v>
      </c>
      <c r="Q689" t="n">
        <v>0</v>
      </c>
      <c r="R689" s="2" t="inlineStr"/>
    </row>
    <row r="690" ht="15" customHeight="1">
      <c r="A690" t="inlineStr">
        <is>
          <t>A 74495-2021</t>
        </is>
      </c>
      <c r="B690" s="1" t="n">
        <v>44560</v>
      </c>
      <c r="C690" s="1" t="n">
        <v>45907</v>
      </c>
      <c r="D690" t="inlineStr">
        <is>
          <t>UPPSALA LÄN</t>
        </is>
      </c>
      <c r="E690" t="inlineStr">
        <is>
          <t>UPPSALA</t>
        </is>
      </c>
      <c r="G690" t="n">
        <v>1.9</v>
      </c>
      <c r="H690" t="n">
        <v>0</v>
      </c>
      <c r="I690" t="n">
        <v>0</v>
      </c>
      <c r="J690" t="n">
        <v>0</v>
      </c>
      <c r="K690" t="n">
        <v>0</v>
      </c>
      <c r="L690" t="n">
        <v>0</v>
      </c>
      <c r="M690" t="n">
        <v>0</v>
      </c>
      <c r="N690" t="n">
        <v>0</v>
      </c>
      <c r="O690" t="n">
        <v>0</v>
      </c>
      <c r="P690" t="n">
        <v>0</v>
      </c>
      <c r="Q690" t="n">
        <v>0</v>
      </c>
      <c r="R690" s="2" t="inlineStr"/>
    </row>
    <row r="691" ht="15" customHeight="1">
      <c r="A691" t="inlineStr">
        <is>
          <t>A 46920-2021</t>
        </is>
      </c>
      <c r="B691" s="1" t="n">
        <v>44446</v>
      </c>
      <c r="C691" s="1" t="n">
        <v>45907</v>
      </c>
      <c r="D691" t="inlineStr">
        <is>
          <t>UPPSALA LÄN</t>
        </is>
      </c>
      <c r="E691" t="inlineStr">
        <is>
          <t>UPPSALA</t>
        </is>
      </c>
      <c r="G691" t="n">
        <v>1.6</v>
      </c>
      <c r="H691" t="n">
        <v>0</v>
      </c>
      <c r="I691" t="n">
        <v>0</v>
      </c>
      <c r="J691" t="n">
        <v>0</v>
      </c>
      <c r="K691" t="n">
        <v>0</v>
      </c>
      <c r="L691" t="n">
        <v>0</v>
      </c>
      <c r="M691" t="n">
        <v>0</v>
      </c>
      <c r="N691" t="n">
        <v>0</v>
      </c>
      <c r="O691" t="n">
        <v>0</v>
      </c>
      <c r="P691" t="n">
        <v>0</v>
      </c>
      <c r="Q691" t="n">
        <v>0</v>
      </c>
      <c r="R691" s="2" t="inlineStr"/>
    </row>
    <row r="692" ht="15" customHeight="1">
      <c r="A692" t="inlineStr">
        <is>
          <t>A 41002-2023</t>
        </is>
      </c>
      <c r="B692" s="1" t="n">
        <v>45173</v>
      </c>
      <c r="C692" s="1" t="n">
        <v>45907</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5189-2022</t>
        </is>
      </c>
      <c r="B693" s="1" t="n">
        <v>44594</v>
      </c>
      <c r="C693" s="1" t="n">
        <v>45907</v>
      </c>
      <c r="D693" t="inlineStr">
        <is>
          <t>UPPSALA LÄN</t>
        </is>
      </c>
      <c r="E693" t="inlineStr">
        <is>
          <t>UPPSALA</t>
        </is>
      </c>
      <c r="G693" t="n">
        <v>5.9</v>
      </c>
      <c r="H693" t="n">
        <v>0</v>
      </c>
      <c r="I693" t="n">
        <v>0</v>
      </c>
      <c r="J693" t="n">
        <v>0</v>
      </c>
      <c r="K693" t="n">
        <v>0</v>
      </c>
      <c r="L693" t="n">
        <v>0</v>
      </c>
      <c r="M693" t="n">
        <v>0</v>
      </c>
      <c r="N693" t="n">
        <v>0</v>
      </c>
      <c r="O693" t="n">
        <v>0</v>
      </c>
      <c r="P693" t="n">
        <v>0</v>
      </c>
      <c r="Q693" t="n">
        <v>0</v>
      </c>
      <c r="R693" s="2" t="inlineStr"/>
    </row>
    <row r="694" ht="15" customHeight="1">
      <c r="A694" t="inlineStr">
        <is>
          <t>A 39812-2024</t>
        </is>
      </c>
      <c r="B694" s="1" t="n">
        <v>45552</v>
      </c>
      <c r="C694" s="1" t="n">
        <v>45907</v>
      </c>
      <c r="D694" t="inlineStr">
        <is>
          <t>UPPSALA LÄN</t>
        </is>
      </c>
      <c r="E694" t="inlineStr">
        <is>
          <t>UPPSALA</t>
        </is>
      </c>
      <c r="G694" t="n">
        <v>7.9</v>
      </c>
      <c r="H694" t="n">
        <v>0</v>
      </c>
      <c r="I694" t="n">
        <v>0</v>
      </c>
      <c r="J694" t="n">
        <v>0</v>
      </c>
      <c r="K694" t="n">
        <v>0</v>
      </c>
      <c r="L694" t="n">
        <v>0</v>
      </c>
      <c r="M694" t="n">
        <v>0</v>
      </c>
      <c r="N694" t="n">
        <v>0</v>
      </c>
      <c r="O694" t="n">
        <v>0</v>
      </c>
      <c r="P694" t="n">
        <v>0</v>
      </c>
      <c r="Q694" t="n">
        <v>0</v>
      </c>
      <c r="R694" s="2" t="inlineStr"/>
    </row>
    <row r="695" ht="15" customHeight="1">
      <c r="A695" t="inlineStr">
        <is>
          <t>A 18677-2024</t>
        </is>
      </c>
      <c r="B695" s="1" t="n">
        <v>45426</v>
      </c>
      <c r="C695" s="1" t="n">
        <v>45907</v>
      </c>
      <c r="D695" t="inlineStr">
        <is>
          <t>UPPSALA LÄN</t>
        </is>
      </c>
      <c r="E695" t="inlineStr">
        <is>
          <t>UPPSALA</t>
        </is>
      </c>
      <c r="G695" t="n">
        <v>2.8</v>
      </c>
      <c r="H695" t="n">
        <v>0</v>
      </c>
      <c r="I695" t="n">
        <v>0</v>
      </c>
      <c r="J695" t="n">
        <v>0</v>
      </c>
      <c r="K695" t="n">
        <v>0</v>
      </c>
      <c r="L695" t="n">
        <v>0</v>
      </c>
      <c r="M695" t="n">
        <v>0</v>
      </c>
      <c r="N695" t="n">
        <v>0</v>
      </c>
      <c r="O695" t="n">
        <v>0</v>
      </c>
      <c r="P695" t="n">
        <v>0</v>
      </c>
      <c r="Q695" t="n">
        <v>0</v>
      </c>
      <c r="R695" s="2" t="inlineStr"/>
    </row>
    <row r="696" ht="15" customHeight="1">
      <c r="A696" t="inlineStr">
        <is>
          <t>A 60702-2022</t>
        </is>
      </c>
      <c r="B696" s="1" t="n">
        <v>44912.29869212963</v>
      </c>
      <c r="C696" s="1" t="n">
        <v>45907</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45489-2023</t>
        </is>
      </c>
      <c r="B697" s="1" t="n">
        <v>45194</v>
      </c>
      <c r="C697" s="1" t="n">
        <v>45907</v>
      </c>
      <c r="D697" t="inlineStr">
        <is>
          <t>UPPSALA LÄN</t>
        </is>
      </c>
      <c r="E697" t="inlineStr">
        <is>
          <t>UPPSALA</t>
        </is>
      </c>
      <c r="F697" t="inlineStr">
        <is>
          <t>Allmännings- och besparingsskogar</t>
        </is>
      </c>
      <c r="G697" t="n">
        <v>15.8</v>
      </c>
      <c r="H697" t="n">
        <v>0</v>
      </c>
      <c r="I697" t="n">
        <v>0</v>
      </c>
      <c r="J697" t="n">
        <v>0</v>
      </c>
      <c r="K697" t="n">
        <v>0</v>
      </c>
      <c r="L697" t="n">
        <v>0</v>
      </c>
      <c r="M697" t="n">
        <v>0</v>
      </c>
      <c r="N697" t="n">
        <v>0</v>
      </c>
      <c r="O697" t="n">
        <v>0</v>
      </c>
      <c r="P697" t="n">
        <v>0</v>
      </c>
      <c r="Q697" t="n">
        <v>0</v>
      </c>
      <c r="R697" s="2" t="inlineStr"/>
    </row>
    <row r="698" ht="15" customHeight="1">
      <c r="A698" t="inlineStr">
        <is>
          <t>A 53906-2023</t>
        </is>
      </c>
      <c r="B698" s="1" t="n">
        <v>45231</v>
      </c>
      <c r="C698" s="1" t="n">
        <v>45907</v>
      </c>
      <c r="D698" t="inlineStr">
        <is>
          <t>UPPSALA LÄN</t>
        </is>
      </c>
      <c r="E698" t="inlineStr">
        <is>
          <t>UPPSALA</t>
        </is>
      </c>
      <c r="G698" t="n">
        <v>13.2</v>
      </c>
      <c r="H698" t="n">
        <v>0</v>
      </c>
      <c r="I698" t="n">
        <v>0</v>
      </c>
      <c r="J698" t="n">
        <v>0</v>
      </c>
      <c r="K698" t="n">
        <v>0</v>
      </c>
      <c r="L698" t="n">
        <v>0</v>
      </c>
      <c r="M698" t="n">
        <v>0</v>
      </c>
      <c r="N698" t="n">
        <v>0</v>
      </c>
      <c r="O698" t="n">
        <v>0</v>
      </c>
      <c r="P698" t="n">
        <v>0</v>
      </c>
      <c r="Q698" t="n">
        <v>0</v>
      </c>
      <c r="R698" s="2" t="inlineStr"/>
    </row>
    <row r="699" ht="15" customHeight="1">
      <c r="A699" t="inlineStr">
        <is>
          <t>A 6930-2023</t>
        </is>
      </c>
      <c r="B699" s="1" t="n">
        <v>44967.55960648148</v>
      </c>
      <c r="C699" s="1" t="n">
        <v>45907</v>
      </c>
      <c r="D699" t="inlineStr">
        <is>
          <t>UPPSALA LÄN</t>
        </is>
      </c>
      <c r="E699" t="inlineStr">
        <is>
          <t>UPPSALA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55073-2022</t>
        </is>
      </c>
      <c r="B700" s="1" t="n">
        <v>44886.5928125</v>
      </c>
      <c r="C700" s="1" t="n">
        <v>45907</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33816-2024</t>
        </is>
      </c>
      <c r="B701" s="1" t="n">
        <v>45520</v>
      </c>
      <c r="C701" s="1" t="n">
        <v>45907</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44614.59027777778</v>
      </c>
      <c r="C702" s="1" t="n">
        <v>45907</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47083-2023</t>
        </is>
      </c>
      <c r="B703" s="1" t="n">
        <v>45201.62318287037</v>
      </c>
      <c r="C703" s="1" t="n">
        <v>45907</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554-2023</t>
        </is>
      </c>
      <c r="B704" s="1" t="n">
        <v>44930</v>
      </c>
      <c r="C704" s="1" t="n">
        <v>45907</v>
      </c>
      <c r="D704" t="inlineStr">
        <is>
          <t>UPPSALA LÄN</t>
        </is>
      </c>
      <c r="E704" t="inlineStr">
        <is>
          <t>UPPSALA</t>
        </is>
      </c>
      <c r="G704" t="n">
        <v>2</v>
      </c>
      <c r="H704" t="n">
        <v>0</v>
      </c>
      <c r="I704" t="n">
        <v>0</v>
      </c>
      <c r="J704" t="n">
        <v>0</v>
      </c>
      <c r="K704" t="n">
        <v>0</v>
      </c>
      <c r="L704" t="n">
        <v>0</v>
      </c>
      <c r="M704" t="n">
        <v>0</v>
      </c>
      <c r="N704" t="n">
        <v>0</v>
      </c>
      <c r="O704" t="n">
        <v>0</v>
      </c>
      <c r="P704" t="n">
        <v>0</v>
      </c>
      <c r="Q704" t="n">
        <v>0</v>
      </c>
      <c r="R704" s="2" t="inlineStr"/>
    </row>
    <row r="705" ht="15" customHeight="1">
      <c r="A705" t="inlineStr">
        <is>
          <t>A 27903-2023</t>
        </is>
      </c>
      <c r="B705" s="1" t="n">
        <v>45098.62966435185</v>
      </c>
      <c r="C705" s="1" t="n">
        <v>45907</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17250-2025</t>
        </is>
      </c>
      <c r="B706" s="1" t="n">
        <v>45756.50738425926</v>
      </c>
      <c r="C706" s="1" t="n">
        <v>45907</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37670-2022</t>
        </is>
      </c>
      <c r="B707" s="1" t="n">
        <v>44810</v>
      </c>
      <c r="C707" s="1" t="n">
        <v>45907</v>
      </c>
      <c r="D707" t="inlineStr">
        <is>
          <t>UPPSALA LÄN</t>
        </is>
      </c>
      <c r="E707" t="inlineStr">
        <is>
          <t>UPPSALA</t>
        </is>
      </c>
      <c r="G707" t="n">
        <v>2.4</v>
      </c>
      <c r="H707" t="n">
        <v>0</v>
      </c>
      <c r="I707" t="n">
        <v>0</v>
      </c>
      <c r="J707" t="n">
        <v>0</v>
      </c>
      <c r="K707" t="n">
        <v>0</v>
      </c>
      <c r="L707" t="n">
        <v>0</v>
      </c>
      <c r="M707" t="n">
        <v>0</v>
      </c>
      <c r="N707" t="n">
        <v>0</v>
      </c>
      <c r="O707" t="n">
        <v>0</v>
      </c>
      <c r="P707" t="n">
        <v>0</v>
      </c>
      <c r="Q707" t="n">
        <v>0</v>
      </c>
      <c r="R707" s="2" t="inlineStr"/>
    </row>
    <row r="708" ht="15" customHeight="1">
      <c r="A708" t="inlineStr">
        <is>
          <t>A 14784-2023</t>
        </is>
      </c>
      <c r="B708" s="1" t="n">
        <v>45014</v>
      </c>
      <c r="C708" s="1" t="n">
        <v>45907</v>
      </c>
      <c r="D708" t="inlineStr">
        <is>
          <t>UPPSALA LÄN</t>
        </is>
      </c>
      <c r="E708" t="inlineStr">
        <is>
          <t>UPPSALA</t>
        </is>
      </c>
      <c r="G708" t="n">
        <v>4.7</v>
      </c>
      <c r="H708" t="n">
        <v>0</v>
      </c>
      <c r="I708" t="n">
        <v>0</v>
      </c>
      <c r="J708" t="n">
        <v>0</v>
      </c>
      <c r="K708" t="n">
        <v>0</v>
      </c>
      <c r="L708" t="n">
        <v>0</v>
      </c>
      <c r="M708" t="n">
        <v>0</v>
      </c>
      <c r="N708" t="n">
        <v>0</v>
      </c>
      <c r="O708" t="n">
        <v>0</v>
      </c>
      <c r="P708" t="n">
        <v>0</v>
      </c>
      <c r="Q708" t="n">
        <v>0</v>
      </c>
      <c r="R708" s="2" t="inlineStr"/>
    </row>
    <row r="709" ht="15" customHeight="1">
      <c r="A709" t="inlineStr">
        <is>
          <t>A 41422-2023</t>
        </is>
      </c>
      <c r="B709" s="1" t="n">
        <v>45175</v>
      </c>
      <c r="C709" s="1" t="n">
        <v>45907</v>
      </c>
      <c r="D709" t="inlineStr">
        <is>
          <t>UPPSALA LÄN</t>
        </is>
      </c>
      <c r="E709" t="inlineStr">
        <is>
          <t>UPPSALA</t>
        </is>
      </c>
      <c r="F709" t="inlineStr">
        <is>
          <t>Kyrkan</t>
        </is>
      </c>
      <c r="G709" t="n">
        <v>5.2</v>
      </c>
      <c r="H709" t="n">
        <v>0</v>
      </c>
      <c r="I709" t="n">
        <v>0</v>
      </c>
      <c r="J709" t="n">
        <v>0</v>
      </c>
      <c r="K709" t="n">
        <v>0</v>
      </c>
      <c r="L709" t="n">
        <v>0</v>
      </c>
      <c r="M709" t="n">
        <v>0</v>
      </c>
      <c r="N709" t="n">
        <v>0</v>
      </c>
      <c r="O709" t="n">
        <v>0</v>
      </c>
      <c r="P709" t="n">
        <v>0</v>
      </c>
      <c r="Q709" t="n">
        <v>0</v>
      </c>
      <c r="R709" s="2" t="inlineStr"/>
    </row>
    <row r="710" ht="15" customHeight="1">
      <c r="A710" t="inlineStr">
        <is>
          <t>A 27473-2024</t>
        </is>
      </c>
      <c r="B710" s="1" t="n">
        <v>45474</v>
      </c>
      <c r="C710" s="1" t="n">
        <v>45907</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45662-2023</t>
        </is>
      </c>
      <c r="B711" s="1" t="n">
        <v>45194</v>
      </c>
      <c r="C711" s="1" t="n">
        <v>45907</v>
      </c>
      <c r="D711" t="inlineStr">
        <is>
          <t>UPPSALA LÄN</t>
        </is>
      </c>
      <c r="E711" t="inlineStr">
        <is>
          <t>UPPSALA</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21657-2024</t>
        </is>
      </c>
      <c r="B712" s="1" t="n">
        <v>45442</v>
      </c>
      <c r="C712" s="1" t="n">
        <v>45907</v>
      </c>
      <c r="D712" t="inlineStr">
        <is>
          <t>UPPSALA LÄN</t>
        </is>
      </c>
      <c r="E712" t="inlineStr">
        <is>
          <t>UPPSALA</t>
        </is>
      </c>
      <c r="G712" t="n">
        <v>5.7</v>
      </c>
      <c r="H712" t="n">
        <v>0</v>
      </c>
      <c r="I712" t="n">
        <v>0</v>
      </c>
      <c r="J712" t="n">
        <v>0</v>
      </c>
      <c r="K712" t="n">
        <v>0</v>
      </c>
      <c r="L712" t="n">
        <v>0</v>
      </c>
      <c r="M712" t="n">
        <v>0</v>
      </c>
      <c r="N712" t="n">
        <v>0</v>
      </c>
      <c r="O712" t="n">
        <v>0</v>
      </c>
      <c r="P712" t="n">
        <v>0</v>
      </c>
      <c r="Q712" t="n">
        <v>0</v>
      </c>
      <c r="R712" s="2" t="inlineStr"/>
    </row>
    <row r="713" ht="15" customHeight="1">
      <c r="A713" t="inlineStr">
        <is>
          <t>A 32688-2023</t>
        </is>
      </c>
      <c r="B713" s="1" t="n">
        <v>45121</v>
      </c>
      <c r="C713" s="1" t="n">
        <v>45907</v>
      </c>
      <c r="D713" t="inlineStr">
        <is>
          <t>UPPSALA LÄN</t>
        </is>
      </c>
      <c r="E713" t="inlineStr">
        <is>
          <t>UPPSALA</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39865-2022</t>
        </is>
      </c>
      <c r="B714" s="1" t="n">
        <v>44819.62</v>
      </c>
      <c r="C714" s="1" t="n">
        <v>45907</v>
      </c>
      <c r="D714" t="inlineStr">
        <is>
          <t>UPPSALA LÄN</t>
        </is>
      </c>
      <c r="E714" t="inlineStr">
        <is>
          <t>UPPSALA</t>
        </is>
      </c>
      <c r="G714" t="n">
        <v>2.5</v>
      </c>
      <c r="H714" t="n">
        <v>0</v>
      </c>
      <c r="I714" t="n">
        <v>0</v>
      </c>
      <c r="J714" t="n">
        <v>0</v>
      </c>
      <c r="K714" t="n">
        <v>0</v>
      </c>
      <c r="L714" t="n">
        <v>0</v>
      </c>
      <c r="M714" t="n">
        <v>0</v>
      </c>
      <c r="N714" t="n">
        <v>0</v>
      </c>
      <c r="O714" t="n">
        <v>0</v>
      </c>
      <c r="P714" t="n">
        <v>0</v>
      </c>
      <c r="Q714" t="n">
        <v>0</v>
      </c>
      <c r="R714" s="2" t="inlineStr"/>
    </row>
    <row r="715" ht="15" customHeight="1">
      <c r="A715" t="inlineStr">
        <is>
          <t>A 53266-2024</t>
        </is>
      </c>
      <c r="B715" s="1" t="n">
        <v>45614</v>
      </c>
      <c r="C715" s="1" t="n">
        <v>45907</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5899-2024</t>
        </is>
      </c>
      <c r="B716" s="1" t="n">
        <v>45335</v>
      </c>
      <c r="C716" s="1" t="n">
        <v>45907</v>
      </c>
      <c r="D716" t="inlineStr">
        <is>
          <t>UPPSALA LÄN</t>
        </is>
      </c>
      <c r="E716" t="inlineStr">
        <is>
          <t>UPPSALA</t>
        </is>
      </c>
      <c r="F716" t="inlineStr">
        <is>
          <t>Allmännings- och besparingsskogar</t>
        </is>
      </c>
      <c r="G716" t="n">
        <v>3.7</v>
      </c>
      <c r="H716" t="n">
        <v>0</v>
      </c>
      <c r="I716" t="n">
        <v>0</v>
      </c>
      <c r="J716" t="n">
        <v>0</v>
      </c>
      <c r="K716" t="n">
        <v>0</v>
      </c>
      <c r="L716" t="n">
        <v>0</v>
      </c>
      <c r="M716" t="n">
        <v>0</v>
      </c>
      <c r="N716" t="n">
        <v>0</v>
      </c>
      <c r="O716" t="n">
        <v>0</v>
      </c>
      <c r="P716" t="n">
        <v>0</v>
      </c>
      <c r="Q716" t="n">
        <v>0</v>
      </c>
      <c r="R716" s="2" t="inlineStr"/>
    </row>
    <row r="717" ht="15" customHeight="1">
      <c r="A717" t="inlineStr">
        <is>
          <t>A 6679-2024</t>
        </is>
      </c>
      <c r="B717" s="1" t="n">
        <v>45341</v>
      </c>
      <c r="C717" s="1" t="n">
        <v>45907</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12282-2025</t>
        </is>
      </c>
      <c r="B718" s="1" t="n">
        <v>45729</v>
      </c>
      <c r="C718" s="1" t="n">
        <v>45907</v>
      </c>
      <c r="D718" t="inlineStr">
        <is>
          <t>UPPSALA LÄN</t>
        </is>
      </c>
      <c r="E718" t="inlineStr">
        <is>
          <t>UPPSALA</t>
        </is>
      </c>
      <c r="G718" t="n">
        <v>3.3</v>
      </c>
      <c r="H718" t="n">
        <v>0</v>
      </c>
      <c r="I718" t="n">
        <v>0</v>
      </c>
      <c r="J718" t="n">
        <v>0</v>
      </c>
      <c r="K718" t="n">
        <v>0</v>
      </c>
      <c r="L718" t="n">
        <v>0</v>
      </c>
      <c r="M718" t="n">
        <v>0</v>
      </c>
      <c r="N718" t="n">
        <v>0</v>
      </c>
      <c r="O718" t="n">
        <v>0</v>
      </c>
      <c r="P718" t="n">
        <v>0</v>
      </c>
      <c r="Q718" t="n">
        <v>0</v>
      </c>
      <c r="R718" s="2" t="inlineStr"/>
    </row>
    <row r="719" ht="15" customHeight="1">
      <c r="A719" t="inlineStr">
        <is>
          <t>A 59116-2024</t>
        </is>
      </c>
      <c r="B719" s="1" t="n">
        <v>45637</v>
      </c>
      <c r="C719" s="1" t="n">
        <v>45907</v>
      </c>
      <c r="D719" t="inlineStr">
        <is>
          <t>UPPSALA LÄN</t>
        </is>
      </c>
      <c r="E719" t="inlineStr">
        <is>
          <t>UPPSALA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13799-2024</t>
        </is>
      </c>
      <c r="B720" s="1" t="n">
        <v>45391.37361111111</v>
      </c>
      <c r="C720" s="1" t="n">
        <v>45907</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9235-2025</t>
        </is>
      </c>
      <c r="B721" s="1" t="n">
        <v>45714.55368055555</v>
      </c>
      <c r="C721" s="1" t="n">
        <v>45907</v>
      </c>
      <c r="D721" t="inlineStr">
        <is>
          <t>UPPSALA LÄN</t>
        </is>
      </c>
      <c r="E721" t="inlineStr">
        <is>
          <t>UPPSALA</t>
        </is>
      </c>
      <c r="G721" t="n">
        <v>1.3</v>
      </c>
      <c r="H721" t="n">
        <v>0</v>
      </c>
      <c r="I721" t="n">
        <v>0</v>
      </c>
      <c r="J721" t="n">
        <v>0</v>
      </c>
      <c r="K721" t="n">
        <v>0</v>
      </c>
      <c r="L721" t="n">
        <v>0</v>
      </c>
      <c r="M721" t="n">
        <v>0</v>
      </c>
      <c r="N721" t="n">
        <v>0</v>
      </c>
      <c r="O721" t="n">
        <v>0</v>
      </c>
      <c r="P721" t="n">
        <v>0</v>
      </c>
      <c r="Q721" t="n">
        <v>0</v>
      </c>
      <c r="R721" s="2" t="inlineStr"/>
    </row>
    <row r="722" ht="15" customHeight="1">
      <c r="A722" t="inlineStr">
        <is>
          <t>A 9984-2025</t>
        </is>
      </c>
      <c r="B722" s="1" t="n">
        <v>45719.42197916667</v>
      </c>
      <c r="C722" s="1" t="n">
        <v>45907</v>
      </c>
      <c r="D722" t="inlineStr">
        <is>
          <t>UPPSALA LÄN</t>
        </is>
      </c>
      <c r="E722" t="inlineStr">
        <is>
          <t>UPPSALA</t>
        </is>
      </c>
      <c r="F722" t="inlineStr">
        <is>
          <t>Kyrkan</t>
        </is>
      </c>
      <c r="G722" t="n">
        <v>2</v>
      </c>
      <c r="H722" t="n">
        <v>0</v>
      </c>
      <c r="I722" t="n">
        <v>0</v>
      </c>
      <c r="J722" t="n">
        <v>0</v>
      </c>
      <c r="K722" t="n">
        <v>0</v>
      </c>
      <c r="L722" t="n">
        <v>0</v>
      </c>
      <c r="M722" t="n">
        <v>0</v>
      </c>
      <c r="N722" t="n">
        <v>0</v>
      </c>
      <c r="O722" t="n">
        <v>0</v>
      </c>
      <c r="P722" t="n">
        <v>0</v>
      </c>
      <c r="Q722" t="n">
        <v>0</v>
      </c>
      <c r="R722" s="2" t="inlineStr"/>
    </row>
    <row r="723" ht="15" customHeight="1">
      <c r="A723" t="inlineStr">
        <is>
          <t>A 9991-2025</t>
        </is>
      </c>
      <c r="B723" s="1" t="n">
        <v>45719.43646990741</v>
      </c>
      <c r="C723" s="1" t="n">
        <v>45907</v>
      </c>
      <c r="D723" t="inlineStr">
        <is>
          <t>UPPSALA LÄN</t>
        </is>
      </c>
      <c r="E723" t="inlineStr">
        <is>
          <t>UPPSALA</t>
        </is>
      </c>
      <c r="F723" t="inlineStr">
        <is>
          <t>Kyrkan</t>
        </is>
      </c>
      <c r="G723" t="n">
        <v>6.1</v>
      </c>
      <c r="H723" t="n">
        <v>0</v>
      </c>
      <c r="I723" t="n">
        <v>0</v>
      </c>
      <c r="J723" t="n">
        <v>0</v>
      </c>
      <c r="K723" t="n">
        <v>0</v>
      </c>
      <c r="L723" t="n">
        <v>0</v>
      </c>
      <c r="M723" t="n">
        <v>0</v>
      </c>
      <c r="N723" t="n">
        <v>0</v>
      </c>
      <c r="O723" t="n">
        <v>0</v>
      </c>
      <c r="P723" t="n">
        <v>0</v>
      </c>
      <c r="Q723" t="n">
        <v>0</v>
      </c>
      <c r="R723" s="2" t="inlineStr"/>
    </row>
    <row r="724" ht="15" customHeight="1">
      <c r="A724" t="inlineStr">
        <is>
          <t>A 42772-2022</t>
        </is>
      </c>
      <c r="B724" s="1" t="n">
        <v>44832.49594907407</v>
      </c>
      <c r="C724" s="1" t="n">
        <v>45907</v>
      </c>
      <c r="D724" t="inlineStr">
        <is>
          <t>UPPSALA LÄN</t>
        </is>
      </c>
      <c r="E724" t="inlineStr">
        <is>
          <t>UPPSALA</t>
        </is>
      </c>
      <c r="G724" t="n">
        <v>17.7</v>
      </c>
      <c r="H724" t="n">
        <v>0</v>
      </c>
      <c r="I724" t="n">
        <v>0</v>
      </c>
      <c r="J724" t="n">
        <v>0</v>
      </c>
      <c r="K724" t="n">
        <v>0</v>
      </c>
      <c r="L724" t="n">
        <v>0</v>
      </c>
      <c r="M724" t="n">
        <v>0</v>
      </c>
      <c r="N724" t="n">
        <v>0</v>
      </c>
      <c r="O724" t="n">
        <v>0</v>
      </c>
      <c r="P724" t="n">
        <v>0</v>
      </c>
      <c r="Q724" t="n">
        <v>0</v>
      </c>
      <c r="R724" s="2" t="inlineStr"/>
    </row>
    <row r="725" ht="15" customHeight="1">
      <c r="A725" t="inlineStr">
        <is>
          <t>A 3261-2024</t>
        </is>
      </c>
      <c r="B725" s="1" t="n">
        <v>45317</v>
      </c>
      <c r="C725" s="1" t="n">
        <v>45907</v>
      </c>
      <c r="D725" t="inlineStr">
        <is>
          <t>UPPSALA LÄN</t>
        </is>
      </c>
      <c r="E725" t="inlineStr">
        <is>
          <t>UPPSALA</t>
        </is>
      </c>
      <c r="G725" t="n">
        <v>2.8</v>
      </c>
      <c r="H725" t="n">
        <v>0</v>
      </c>
      <c r="I725" t="n">
        <v>0</v>
      </c>
      <c r="J725" t="n">
        <v>0</v>
      </c>
      <c r="K725" t="n">
        <v>0</v>
      </c>
      <c r="L725" t="n">
        <v>0</v>
      </c>
      <c r="M725" t="n">
        <v>0</v>
      </c>
      <c r="N725" t="n">
        <v>0</v>
      </c>
      <c r="O725" t="n">
        <v>0</v>
      </c>
      <c r="P725" t="n">
        <v>0</v>
      </c>
      <c r="Q725" t="n">
        <v>0</v>
      </c>
      <c r="R725" s="2" t="inlineStr"/>
    </row>
    <row r="726" ht="15" customHeight="1">
      <c r="A726" t="inlineStr">
        <is>
          <t>A 59489-2023</t>
        </is>
      </c>
      <c r="B726" s="1" t="n">
        <v>45254</v>
      </c>
      <c r="C726" s="1" t="n">
        <v>45907</v>
      </c>
      <c r="D726" t="inlineStr">
        <is>
          <t>UPPSALA LÄN</t>
        </is>
      </c>
      <c r="E726" t="inlineStr">
        <is>
          <t>UPPSALA</t>
        </is>
      </c>
      <c r="G726" t="n">
        <v>6.5</v>
      </c>
      <c r="H726" t="n">
        <v>0</v>
      </c>
      <c r="I726" t="n">
        <v>0</v>
      </c>
      <c r="J726" t="n">
        <v>0</v>
      </c>
      <c r="K726" t="n">
        <v>0</v>
      </c>
      <c r="L726" t="n">
        <v>0</v>
      </c>
      <c r="M726" t="n">
        <v>0</v>
      </c>
      <c r="N726" t="n">
        <v>0</v>
      </c>
      <c r="O726" t="n">
        <v>0</v>
      </c>
      <c r="P726" t="n">
        <v>0</v>
      </c>
      <c r="Q726" t="n">
        <v>0</v>
      </c>
      <c r="R726" s="2" t="inlineStr"/>
    </row>
    <row r="727" ht="15" customHeight="1">
      <c r="A727" t="inlineStr">
        <is>
          <t>A 18805-2025</t>
        </is>
      </c>
      <c r="B727" s="1" t="n">
        <v>45763</v>
      </c>
      <c r="C727" s="1" t="n">
        <v>45907</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1032-2023</t>
        </is>
      </c>
      <c r="B728" s="1" t="n">
        <v>44935</v>
      </c>
      <c r="C728" s="1" t="n">
        <v>45907</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51576-2023</t>
        </is>
      </c>
      <c r="B729" s="1" t="n">
        <v>45222</v>
      </c>
      <c r="C729" s="1" t="n">
        <v>45907</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50267-2023</t>
        </is>
      </c>
      <c r="B730" s="1" t="n">
        <v>45216.39040509259</v>
      </c>
      <c r="C730" s="1" t="n">
        <v>45907</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6058-2025</t>
        </is>
      </c>
      <c r="B731" s="1" t="n">
        <v>45695.83655092592</v>
      </c>
      <c r="C731" s="1" t="n">
        <v>45907</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59358-2024</t>
        </is>
      </c>
      <c r="B732" s="1" t="n">
        <v>45638</v>
      </c>
      <c r="C732" s="1" t="n">
        <v>45907</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17232-2022</t>
        </is>
      </c>
      <c r="B733" s="1" t="n">
        <v>44678.3315625</v>
      </c>
      <c r="C733" s="1" t="n">
        <v>45907</v>
      </c>
      <c r="D733" t="inlineStr">
        <is>
          <t>UPPSALA LÄN</t>
        </is>
      </c>
      <c r="E733" t="inlineStr">
        <is>
          <t>UPPSALA</t>
        </is>
      </c>
      <c r="F733" t="inlineStr">
        <is>
          <t>Övriga Aktiebolag</t>
        </is>
      </c>
      <c r="G733" t="n">
        <v>7.4</v>
      </c>
      <c r="H733" t="n">
        <v>0</v>
      </c>
      <c r="I733" t="n">
        <v>0</v>
      </c>
      <c r="J733" t="n">
        <v>0</v>
      </c>
      <c r="K733" t="n">
        <v>0</v>
      </c>
      <c r="L733" t="n">
        <v>0</v>
      </c>
      <c r="M733" t="n">
        <v>0</v>
      </c>
      <c r="N733" t="n">
        <v>0</v>
      </c>
      <c r="O733" t="n">
        <v>0</v>
      </c>
      <c r="P733" t="n">
        <v>0</v>
      </c>
      <c r="Q733" t="n">
        <v>0</v>
      </c>
      <c r="R733" s="2" t="inlineStr"/>
    </row>
    <row r="734" ht="15" customHeight="1">
      <c r="A734" t="inlineStr">
        <is>
          <t>A 61805-2021</t>
        </is>
      </c>
      <c r="B734" s="1" t="n">
        <v>44501.71344907407</v>
      </c>
      <c r="C734" s="1" t="n">
        <v>45907</v>
      </c>
      <c r="D734" t="inlineStr">
        <is>
          <t>UPPSALA LÄN</t>
        </is>
      </c>
      <c r="E734" t="inlineStr">
        <is>
          <t>UPPSALA</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4312-2022</t>
        </is>
      </c>
      <c r="B735" s="1" t="n">
        <v>44588</v>
      </c>
      <c r="C735" s="1" t="n">
        <v>45907</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60814-2023</t>
        </is>
      </c>
      <c r="B736" s="1" t="n">
        <v>45259</v>
      </c>
      <c r="C736" s="1" t="n">
        <v>45907</v>
      </c>
      <c r="D736" t="inlineStr">
        <is>
          <t>UPPSALA LÄN</t>
        </is>
      </c>
      <c r="E736" t="inlineStr">
        <is>
          <t>UPPSALA</t>
        </is>
      </c>
      <c r="G736" t="n">
        <v>5.9</v>
      </c>
      <c r="H736" t="n">
        <v>0</v>
      </c>
      <c r="I736" t="n">
        <v>0</v>
      </c>
      <c r="J736" t="n">
        <v>0</v>
      </c>
      <c r="K736" t="n">
        <v>0</v>
      </c>
      <c r="L736" t="n">
        <v>0</v>
      </c>
      <c r="M736" t="n">
        <v>0</v>
      </c>
      <c r="N736" t="n">
        <v>0</v>
      </c>
      <c r="O736" t="n">
        <v>0</v>
      </c>
      <c r="P736" t="n">
        <v>0</v>
      </c>
      <c r="Q736" t="n">
        <v>0</v>
      </c>
      <c r="R736" s="2" t="inlineStr"/>
    </row>
    <row r="737" ht="15" customHeight="1">
      <c r="A737" t="inlineStr">
        <is>
          <t>A 53963-2023</t>
        </is>
      </c>
      <c r="B737" s="1" t="n">
        <v>45231.62840277778</v>
      </c>
      <c r="C737" s="1" t="n">
        <v>45907</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64353-2020</t>
        </is>
      </c>
      <c r="B738" s="1" t="n">
        <v>44168.55746527778</v>
      </c>
      <c r="C738" s="1" t="n">
        <v>45907</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7501-2025</t>
        </is>
      </c>
      <c r="B739" s="1" t="n">
        <v>45705</v>
      </c>
      <c r="C739" s="1" t="n">
        <v>45907</v>
      </c>
      <c r="D739" t="inlineStr">
        <is>
          <t>UPPSALA LÄN</t>
        </is>
      </c>
      <c r="E739" t="inlineStr">
        <is>
          <t>UPPSALA</t>
        </is>
      </c>
      <c r="G739" t="n">
        <v>4.2</v>
      </c>
      <c r="H739" t="n">
        <v>0</v>
      </c>
      <c r="I739" t="n">
        <v>0</v>
      </c>
      <c r="J739" t="n">
        <v>0</v>
      </c>
      <c r="K739" t="n">
        <v>0</v>
      </c>
      <c r="L739" t="n">
        <v>0</v>
      </c>
      <c r="M739" t="n">
        <v>0</v>
      </c>
      <c r="N739" t="n">
        <v>0</v>
      </c>
      <c r="O739" t="n">
        <v>0</v>
      </c>
      <c r="P739" t="n">
        <v>0</v>
      </c>
      <c r="Q739" t="n">
        <v>0</v>
      </c>
      <c r="R739" s="2" t="inlineStr"/>
    </row>
    <row r="740" ht="15" customHeight="1">
      <c r="A740" t="inlineStr">
        <is>
          <t>A 60444-2023</t>
        </is>
      </c>
      <c r="B740" s="1" t="n">
        <v>45259.52809027778</v>
      </c>
      <c r="C740" s="1" t="n">
        <v>45907</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60984-2022</t>
        </is>
      </c>
      <c r="B741" s="1" t="n">
        <v>44914.67600694444</v>
      </c>
      <c r="C741" s="1" t="n">
        <v>45907</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9820-2023</t>
        </is>
      </c>
      <c r="B742" s="1" t="n">
        <v>44984.69216435185</v>
      </c>
      <c r="C742" s="1" t="n">
        <v>45907</v>
      </c>
      <c r="D742" t="inlineStr">
        <is>
          <t>UPPSALA LÄN</t>
        </is>
      </c>
      <c r="E742" t="inlineStr">
        <is>
          <t>UPPSALA</t>
        </is>
      </c>
      <c r="F742" t="inlineStr">
        <is>
          <t>Kyrkan</t>
        </is>
      </c>
      <c r="G742" t="n">
        <v>2</v>
      </c>
      <c r="H742" t="n">
        <v>0</v>
      </c>
      <c r="I742" t="n">
        <v>0</v>
      </c>
      <c r="J742" t="n">
        <v>0</v>
      </c>
      <c r="K742" t="n">
        <v>0</v>
      </c>
      <c r="L742" t="n">
        <v>0</v>
      </c>
      <c r="M742" t="n">
        <v>0</v>
      </c>
      <c r="N742" t="n">
        <v>0</v>
      </c>
      <c r="O742" t="n">
        <v>0</v>
      </c>
      <c r="P742" t="n">
        <v>0</v>
      </c>
      <c r="Q742" t="n">
        <v>0</v>
      </c>
      <c r="R742" s="2" t="inlineStr"/>
    </row>
    <row r="743" ht="15" customHeight="1">
      <c r="A743" t="inlineStr">
        <is>
          <t>A 34265-2021</t>
        </is>
      </c>
      <c r="B743" s="1" t="n">
        <v>44379.5745949074</v>
      </c>
      <c r="C743" s="1" t="n">
        <v>45907</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1020-2021</t>
        </is>
      </c>
      <c r="B744" s="1" t="n">
        <v>44207</v>
      </c>
      <c r="C744" s="1" t="n">
        <v>45907</v>
      </c>
      <c r="D744" t="inlineStr">
        <is>
          <t>UPPSALA LÄN</t>
        </is>
      </c>
      <c r="E744" t="inlineStr">
        <is>
          <t>UPPSALA</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59996-2024</t>
        </is>
      </c>
      <c r="B745" s="1" t="n">
        <v>45642</v>
      </c>
      <c r="C745" s="1" t="n">
        <v>45907</v>
      </c>
      <c r="D745" t="inlineStr">
        <is>
          <t>UPPSALA LÄN</t>
        </is>
      </c>
      <c r="E745" t="inlineStr">
        <is>
          <t>UPPSALA</t>
        </is>
      </c>
      <c r="F745" t="inlineStr">
        <is>
          <t>Bergvik skog väst AB</t>
        </is>
      </c>
      <c r="G745" t="n">
        <v>14.5</v>
      </c>
      <c r="H745" t="n">
        <v>0</v>
      </c>
      <c r="I745" t="n">
        <v>0</v>
      </c>
      <c r="J745" t="n">
        <v>0</v>
      </c>
      <c r="K745" t="n">
        <v>0</v>
      </c>
      <c r="L745" t="n">
        <v>0</v>
      </c>
      <c r="M745" t="n">
        <v>0</v>
      </c>
      <c r="N745" t="n">
        <v>0</v>
      </c>
      <c r="O745" t="n">
        <v>0</v>
      </c>
      <c r="P745" t="n">
        <v>0</v>
      </c>
      <c r="Q745" t="n">
        <v>0</v>
      </c>
      <c r="R745" s="2" t="inlineStr"/>
    </row>
    <row r="746" ht="15" customHeight="1">
      <c r="A746" t="inlineStr">
        <is>
          <t>A 13644-2024</t>
        </is>
      </c>
      <c r="B746" s="1" t="n">
        <v>45390</v>
      </c>
      <c r="C746" s="1" t="n">
        <v>45907</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34147-2024</t>
        </is>
      </c>
      <c r="B747" s="1" t="n">
        <v>45524</v>
      </c>
      <c r="C747" s="1" t="n">
        <v>45907</v>
      </c>
      <c r="D747" t="inlineStr">
        <is>
          <t>UPPSALA LÄN</t>
        </is>
      </c>
      <c r="E747" t="inlineStr">
        <is>
          <t>UPPSALA</t>
        </is>
      </c>
      <c r="F747" t="inlineStr">
        <is>
          <t>Allmännings- och besparingsskogar</t>
        </is>
      </c>
      <c r="G747" t="n">
        <v>0.2</v>
      </c>
      <c r="H747" t="n">
        <v>0</v>
      </c>
      <c r="I747" t="n">
        <v>0</v>
      </c>
      <c r="J747" t="n">
        <v>0</v>
      </c>
      <c r="K747" t="n">
        <v>0</v>
      </c>
      <c r="L747" t="n">
        <v>0</v>
      </c>
      <c r="M747" t="n">
        <v>0</v>
      </c>
      <c r="N747" t="n">
        <v>0</v>
      </c>
      <c r="O747" t="n">
        <v>0</v>
      </c>
      <c r="P747" t="n">
        <v>0</v>
      </c>
      <c r="Q747" t="n">
        <v>0</v>
      </c>
      <c r="R747" s="2" t="inlineStr"/>
    </row>
    <row r="748" ht="15" customHeight="1">
      <c r="A748" t="inlineStr">
        <is>
          <t>A 44815-2023</t>
        </is>
      </c>
      <c r="B748" s="1" t="n">
        <v>45190</v>
      </c>
      <c r="C748" s="1" t="n">
        <v>45907</v>
      </c>
      <c r="D748" t="inlineStr">
        <is>
          <t>UPPSALA LÄN</t>
        </is>
      </c>
      <c r="E748" t="inlineStr">
        <is>
          <t>UPPSALA</t>
        </is>
      </c>
      <c r="G748" t="n">
        <v>2.3</v>
      </c>
      <c r="H748" t="n">
        <v>0</v>
      </c>
      <c r="I748" t="n">
        <v>0</v>
      </c>
      <c r="J748" t="n">
        <v>0</v>
      </c>
      <c r="K748" t="n">
        <v>0</v>
      </c>
      <c r="L748" t="n">
        <v>0</v>
      </c>
      <c r="M748" t="n">
        <v>0</v>
      </c>
      <c r="N748" t="n">
        <v>0</v>
      </c>
      <c r="O748" t="n">
        <v>0</v>
      </c>
      <c r="P748" t="n">
        <v>0</v>
      </c>
      <c r="Q748" t="n">
        <v>0</v>
      </c>
      <c r="R748" s="2" t="inlineStr"/>
    </row>
    <row r="749" ht="15" customHeight="1">
      <c r="A749" t="inlineStr">
        <is>
          <t>A 10456-2022</t>
        </is>
      </c>
      <c r="B749" s="1" t="n">
        <v>44623.5571875</v>
      </c>
      <c r="C749" s="1" t="n">
        <v>45907</v>
      </c>
      <c r="D749" t="inlineStr">
        <is>
          <t>UPPSALA LÄN</t>
        </is>
      </c>
      <c r="E749" t="inlineStr">
        <is>
          <t>UPPSALA</t>
        </is>
      </c>
      <c r="F749" t="inlineStr">
        <is>
          <t>Övriga Aktiebolag</t>
        </is>
      </c>
      <c r="G749" t="n">
        <v>12.6</v>
      </c>
      <c r="H749" t="n">
        <v>0</v>
      </c>
      <c r="I749" t="n">
        <v>0</v>
      </c>
      <c r="J749" t="n">
        <v>0</v>
      </c>
      <c r="K749" t="n">
        <v>0</v>
      </c>
      <c r="L749" t="n">
        <v>0</v>
      </c>
      <c r="M749" t="n">
        <v>0</v>
      </c>
      <c r="N749" t="n">
        <v>0</v>
      </c>
      <c r="O749" t="n">
        <v>0</v>
      </c>
      <c r="P749" t="n">
        <v>0</v>
      </c>
      <c r="Q749" t="n">
        <v>0</v>
      </c>
      <c r="R749" s="2" t="inlineStr"/>
    </row>
    <row r="750" ht="15" customHeight="1">
      <c r="A750" t="inlineStr">
        <is>
          <t>A 20102-2023</t>
        </is>
      </c>
      <c r="B750" s="1" t="n">
        <v>45054.95675925926</v>
      </c>
      <c r="C750" s="1" t="n">
        <v>45907</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5663-2023</t>
        </is>
      </c>
      <c r="B751" s="1" t="n">
        <v>44960</v>
      </c>
      <c r="C751" s="1" t="n">
        <v>45907</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5675-2023</t>
        </is>
      </c>
      <c r="B752" s="1" t="n">
        <v>44960.66233796296</v>
      </c>
      <c r="C752" s="1" t="n">
        <v>45907</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1975-2022</t>
        </is>
      </c>
      <c r="B753" s="1" t="n">
        <v>44575</v>
      </c>
      <c r="C753" s="1" t="n">
        <v>45907</v>
      </c>
      <c r="D753" t="inlineStr">
        <is>
          <t>UPPSALA LÄN</t>
        </is>
      </c>
      <c r="E753" t="inlineStr">
        <is>
          <t>UPPSALA</t>
        </is>
      </c>
      <c r="G753" t="n">
        <v>3.9</v>
      </c>
      <c r="H753" t="n">
        <v>0</v>
      </c>
      <c r="I753" t="n">
        <v>0</v>
      </c>
      <c r="J753" t="n">
        <v>0</v>
      </c>
      <c r="K753" t="n">
        <v>0</v>
      </c>
      <c r="L753" t="n">
        <v>0</v>
      </c>
      <c r="M753" t="n">
        <v>0</v>
      </c>
      <c r="N753" t="n">
        <v>0</v>
      </c>
      <c r="O753" t="n">
        <v>0</v>
      </c>
      <c r="P753" t="n">
        <v>0</v>
      </c>
      <c r="Q753" t="n">
        <v>0</v>
      </c>
      <c r="R753" s="2" t="inlineStr"/>
    </row>
    <row r="754" ht="15" customHeight="1">
      <c r="A754" t="inlineStr">
        <is>
          <t>A 11568-2023</t>
        </is>
      </c>
      <c r="B754" s="1" t="n">
        <v>44994</v>
      </c>
      <c r="C754" s="1" t="n">
        <v>45907</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17562-2022</t>
        </is>
      </c>
      <c r="B755" s="1" t="n">
        <v>44679.68706018518</v>
      </c>
      <c r="C755" s="1" t="n">
        <v>45907</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60445-2024</t>
        </is>
      </c>
      <c r="B756" s="1" t="n">
        <v>45643</v>
      </c>
      <c r="C756" s="1" t="n">
        <v>45907</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13502-2025</t>
        </is>
      </c>
      <c r="B757" s="1" t="n">
        <v>45736.45847222222</v>
      </c>
      <c r="C757" s="1" t="n">
        <v>45907</v>
      </c>
      <c r="D757" t="inlineStr">
        <is>
          <t>UPPSALA LÄN</t>
        </is>
      </c>
      <c r="E757" t="inlineStr">
        <is>
          <t>UPPSALA</t>
        </is>
      </c>
      <c r="F757" t="inlineStr">
        <is>
          <t>Allmännings- och besparingsskogar</t>
        </is>
      </c>
      <c r="G757" t="n">
        <v>1.6</v>
      </c>
      <c r="H757" t="n">
        <v>0</v>
      </c>
      <c r="I757" t="n">
        <v>0</v>
      </c>
      <c r="J757" t="n">
        <v>0</v>
      </c>
      <c r="K757" t="n">
        <v>0</v>
      </c>
      <c r="L757" t="n">
        <v>0</v>
      </c>
      <c r="M757" t="n">
        <v>0</v>
      </c>
      <c r="N757" t="n">
        <v>0</v>
      </c>
      <c r="O757" t="n">
        <v>0</v>
      </c>
      <c r="P757" t="n">
        <v>0</v>
      </c>
      <c r="Q757" t="n">
        <v>0</v>
      </c>
      <c r="R757" s="2" t="inlineStr"/>
    </row>
    <row r="758" ht="15" customHeight="1">
      <c r="A758" t="inlineStr">
        <is>
          <t>A 25776-2022</t>
        </is>
      </c>
      <c r="B758" s="1" t="n">
        <v>44733</v>
      </c>
      <c r="C758" s="1" t="n">
        <v>45907</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69698-2021</t>
        </is>
      </c>
      <c r="B759" s="1" t="n">
        <v>44532</v>
      </c>
      <c r="C759" s="1" t="n">
        <v>45907</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40100-2022</t>
        </is>
      </c>
      <c r="B760" s="1" t="n">
        <v>44820.47935185185</v>
      </c>
      <c r="C760" s="1" t="n">
        <v>45907</v>
      </c>
      <c r="D760" t="inlineStr">
        <is>
          <t>UPPSALA LÄN</t>
        </is>
      </c>
      <c r="E760" t="inlineStr">
        <is>
          <t>UPPSALA</t>
        </is>
      </c>
      <c r="F760" t="inlineStr">
        <is>
          <t>Övriga Aktiebolag</t>
        </is>
      </c>
      <c r="G760" t="n">
        <v>1.1</v>
      </c>
      <c r="H760" t="n">
        <v>0</v>
      </c>
      <c r="I760" t="n">
        <v>0</v>
      </c>
      <c r="J760" t="n">
        <v>0</v>
      </c>
      <c r="K760" t="n">
        <v>0</v>
      </c>
      <c r="L760" t="n">
        <v>0</v>
      </c>
      <c r="M760" t="n">
        <v>0</v>
      </c>
      <c r="N760" t="n">
        <v>0</v>
      </c>
      <c r="O760" t="n">
        <v>0</v>
      </c>
      <c r="P760" t="n">
        <v>0</v>
      </c>
      <c r="Q760" t="n">
        <v>0</v>
      </c>
      <c r="R760" s="2" t="inlineStr"/>
    </row>
    <row r="761" ht="15" customHeight="1">
      <c r="A761" t="inlineStr">
        <is>
          <t>A 8672-2024</t>
        </is>
      </c>
      <c r="B761" s="1" t="n">
        <v>45352</v>
      </c>
      <c r="C761" s="1" t="n">
        <v>45907</v>
      </c>
      <c r="D761" t="inlineStr">
        <is>
          <t>UPPSALA LÄN</t>
        </is>
      </c>
      <c r="E761" t="inlineStr">
        <is>
          <t>UPPSALA</t>
        </is>
      </c>
      <c r="G761" t="n">
        <v>2.3</v>
      </c>
      <c r="H761" t="n">
        <v>0</v>
      </c>
      <c r="I761" t="n">
        <v>0</v>
      </c>
      <c r="J761" t="n">
        <v>0</v>
      </c>
      <c r="K761" t="n">
        <v>0</v>
      </c>
      <c r="L761" t="n">
        <v>0</v>
      </c>
      <c r="M761" t="n">
        <v>0</v>
      </c>
      <c r="N761" t="n">
        <v>0</v>
      </c>
      <c r="O761" t="n">
        <v>0</v>
      </c>
      <c r="P761" t="n">
        <v>0</v>
      </c>
      <c r="Q761" t="n">
        <v>0</v>
      </c>
      <c r="R761" s="2" t="inlineStr"/>
    </row>
    <row r="762" ht="15" customHeight="1">
      <c r="A762" t="inlineStr">
        <is>
          <t>A 42528-2023</t>
        </is>
      </c>
      <c r="B762" s="1" t="n">
        <v>45181.33571759259</v>
      </c>
      <c r="C762" s="1" t="n">
        <v>45907</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9982-2025</t>
        </is>
      </c>
      <c r="B763" s="1" t="n">
        <v>45719.4094212963</v>
      </c>
      <c r="C763" s="1" t="n">
        <v>45907</v>
      </c>
      <c r="D763" t="inlineStr">
        <is>
          <t>UPPSALA LÄN</t>
        </is>
      </c>
      <c r="E763" t="inlineStr">
        <is>
          <t>UPPSALA</t>
        </is>
      </c>
      <c r="F763" t="inlineStr">
        <is>
          <t>Kyrkan</t>
        </is>
      </c>
      <c r="G763" t="n">
        <v>2.9</v>
      </c>
      <c r="H763" t="n">
        <v>0</v>
      </c>
      <c r="I763" t="n">
        <v>0</v>
      </c>
      <c r="J763" t="n">
        <v>0</v>
      </c>
      <c r="K763" t="n">
        <v>0</v>
      </c>
      <c r="L763" t="n">
        <v>0</v>
      </c>
      <c r="M763" t="n">
        <v>0</v>
      </c>
      <c r="N763" t="n">
        <v>0</v>
      </c>
      <c r="O763" t="n">
        <v>0</v>
      </c>
      <c r="P763" t="n">
        <v>0</v>
      </c>
      <c r="Q763" t="n">
        <v>0</v>
      </c>
      <c r="R763" s="2" t="inlineStr"/>
    </row>
    <row r="764" ht="15" customHeight="1">
      <c r="A764" t="inlineStr">
        <is>
          <t>A 9995-2025</t>
        </is>
      </c>
      <c r="B764" s="1" t="n">
        <v>45719.43872685185</v>
      </c>
      <c r="C764" s="1" t="n">
        <v>45907</v>
      </c>
      <c r="D764" t="inlineStr">
        <is>
          <t>UPPSALA LÄN</t>
        </is>
      </c>
      <c r="E764" t="inlineStr">
        <is>
          <t>UPPSALA</t>
        </is>
      </c>
      <c r="F764" t="inlineStr">
        <is>
          <t>Kyrkan</t>
        </is>
      </c>
      <c r="G764" t="n">
        <v>2</v>
      </c>
      <c r="H764" t="n">
        <v>0</v>
      </c>
      <c r="I764" t="n">
        <v>0</v>
      </c>
      <c r="J764" t="n">
        <v>0</v>
      </c>
      <c r="K764" t="n">
        <v>0</v>
      </c>
      <c r="L764" t="n">
        <v>0</v>
      </c>
      <c r="M764" t="n">
        <v>0</v>
      </c>
      <c r="N764" t="n">
        <v>0</v>
      </c>
      <c r="O764" t="n">
        <v>0</v>
      </c>
      <c r="P764" t="n">
        <v>0</v>
      </c>
      <c r="Q764" t="n">
        <v>0</v>
      </c>
      <c r="R764" s="2" t="inlineStr"/>
    </row>
    <row r="765" ht="15" customHeight="1">
      <c r="A765" t="inlineStr">
        <is>
          <t>A 9255-2024</t>
        </is>
      </c>
      <c r="B765" s="1" t="n">
        <v>45358</v>
      </c>
      <c r="C765" s="1" t="n">
        <v>45907</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19276-2023</t>
        </is>
      </c>
      <c r="B766" s="1" t="n">
        <v>45049</v>
      </c>
      <c r="C766" s="1" t="n">
        <v>45907</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47287-2023</t>
        </is>
      </c>
      <c r="B767" s="1" t="n">
        <v>45202</v>
      </c>
      <c r="C767" s="1" t="n">
        <v>45907</v>
      </c>
      <c r="D767" t="inlineStr">
        <is>
          <t>UPPSALA LÄN</t>
        </is>
      </c>
      <c r="E767" t="inlineStr">
        <is>
          <t>UPPSALA</t>
        </is>
      </c>
      <c r="F767" t="inlineStr">
        <is>
          <t>Holmen skog AB</t>
        </is>
      </c>
      <c r="G767" t="n">
        <v>0.4</v>
      </c>
      <c r="H767" t="n">
        <v>0</v>
      </c>
      <c r="I767" t="n">
        <v>0</v>
      </c>
      <c r="J767" t="n">
        <v>0</v>
      </c>
      <c r="K767" t="n">
        <v>0</v>
      </c>
      <c r="L767" t="n">
        <v>0</v>
      </c>
      <c r="M767" t="n">
        <v>0</v>
      </c>
      <c r="N767" t="n">
        <v>0</v>
      </c>
      <c r="O767" t="n">
        <v>0</v>
      </c>
      <c r="P767" t="n">
        <v>0</v>
      </c>
      <c r="Q767" t="n">
        <v>0</v>
      </c>
      <c r="R767" s="2" t="inlineStr"/>
    </row>
    <row r="768" ht="15" customHeight="1">
      <c r="A768" t="inlineStr">
        <is>
          <t>A 60447-2023</t>
        </is>
      </c>
      <c r="B768" s="1" t="n">
        <v>45259</v>
      </c>
      <c r="C768" s="1" t="n">
        <v>45907</v>
      </c>
      <c r="D768" t="inlineStr">
        <is>
          <t>UPPSALA LÄN</t>
        </is>
      </c>
      <c r="E768" t="inlineStr">
        <is>
          <t>UPPSALA</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56889-2022</t>
        </is>
      </c>
      <c r="B769" s="1" t="n">
        <v>44894.57065972222</v>
      </c>
      <c r="C769" s="1" t="n">
        <v>45907</v>
      </c>
      <c r="D769" t="inlineStr">
        <is>
          <t>UPPSALA LÄN</t>
        </is>
      </c>
      <c r="E769" t="inlineStr">
        <is>
          <t>UPPSALA</t>
        </is>
      </c>
      <c r="F769" t="inlineStr">
        <is>
          <t>Övriga Aktiebolag</t>
        </is>
      </c>
      <c r="G769" t="n">
        <v>21.6</v>
      </c>
      <c r="H769" t="n">
        <v>0</v>
      </c>
      <c r="I769" t="n">
        <v>0</v>
      </c>
      <c r="J769" t="n">
        <v>0</v>
      </c>
      <c r="K769" t="n">
        <v>0</v>
      </c>
      <c r="L769" t="n">
        <v>0</v>
      </c>
      <c r="M769" t="n">
        <v>0</v>
      </c>
      <c r="N769" t="n">
        <v>0</v>
      </c>
      <c r="O769" t="n">
        <v>0</v>
      </c>
      <c r="P769" t="n">
        <v>0</v>
      </c>
      <c r="Q769" t="n">
        <v>0</v>
      </c>
      <c r="R769" s="2" t="inlineStr"/>
    </row>
    <row r="770" ht="15" customHeight="1">
      <c r="A770" t="inlineStr">
        <is>
          <t>A 33797-2021</t>
        </is>
      </c>
      <c r="B770" s="1" t="n">
        <v>44378.56137731481</v>
      </c>
      <c r="C770" s="1" t="n">
        <v>45907</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5374-2023</t>
        </is>
      </c>
      <c r="B771" s="1" t="n">
        <v>44944</v>
      </c>
      <c r="C771" s="1" t="n">
        <v>45907</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63011-2021</t>
        </is>
      </c>
      <c r="B772" s="1" t="n">
        <v>44504</v>
      </c>
      <c r="C772" s="1" t="n">
        <v>45907</v>
      </c>
      <c r="D772" t="inlineStr">
        <is>
          <t>UPPSALA LÄN</t>
        </is>
      </c>
      <c r="E772" t="inlineStr">
        <is>
          <t>UPPSALA</t>
        </is>
      </c>
      <c r="G772" t="n">
        <v>11.2</v>
      </c>
      <c r="H772" t="n">
        <v>0</v>
      </c>
      <c r="I772" t="n">
        <v>0</v>
      </c>
      <c r="J772" t="n">
        <v>0</v>
      </c>
      <c r="K772" t="n">
        <v>0</v>
      </c>
      <c r="L772" t="n">
        <v>0</v>
      </c>
      <c r="M772" t="n">
        <v>0</v>
      </c>
      <c r="N772" t="n">
        <v>0</v>
      </c>
      <c r="O772" t="n">
        <v>0</v>
      </c>
      <c r="P772" t="n">
        <v>0</v>
      </c>
      <c r="Q772" t="n">
        <v>0</v>
      </c>
      <c r="R772" s="2" t="inlineStr"/>
    </row>
    <row r="773" ht="15" customHeight="1">
      <c r="A773" t="inlineStr">
        <is>
          <t>A 3955-2021</t>
        </is>
      </c>
      <c r="B773" s="1" t="n">
        <v>44222</v>
      </c>
      <c r="C773" s="1" t="n">
        <v>45907</v>
      </c>
      <c r="D773" t="inlineStr">
        <is>
          <t>UPPSALA LÄN</t>
        </is>
      </c>
      <c r="E773" t="inlineStr">
        <is>
          <t>UPPSALA</t>
        </is>
      </c>
      <c r="G773" t="n">
        <v>2.3</v>
      </c>
      <c r="H773" t="n">
        <v>0</v>
      </c>
      <c r="I773" t="n">
        <v>0</v>
      </c>
      <c r="J773" t="n">
        <v>0</v>
      </c>
      <c r="K773" t="n">
        <v>0</v>
      </c>
      <c r="L773" t="n">
        <v>0</v>
      </c>
      <c r="M773" t="n">
        <v>0</v>
      </c>
      <c r="N773" t="n">
        <v>0</v>
      </c>
      <c r="O773" t="n">
        <v>0</v>
      </c>
      <c r="P773" t="n">
        <v>0</v>
      </c>
      <c r="Q773" t="n">
        <v>0</v>
      </c>
      <c r="R773" s="2" t="inlineStr"/>
    </row>
    <row r="774" ht="15" customHeight="1">
      <c r="A774" t="inlineStr">
        <is>
          <t>A 52503-2023</t>
        </is>
      </c>
      <c r="B774" s="1" t="n">
        <v>45225.46480324074</v>
      </c>
      <c r="C774" s="1" t="n">
        <v>45907</v>
      </c>
      <c r="D774" t="inlineStr">
        <is>
          <t>UPPSALA LÄN</t>
        </is>
      </c>
      <c r="E774" t="inlineStr">
        <is>
          <t>UPPSALA</t>
        </is>
      </c>
      <c r="G774" t="n">
        <v>1.7</v>
      </c>
      <c r="H774" t="n">
        <v>0</v>
      </c>
      <c r="I774" t="n">
        <v>0</v>
      </c>
      <c r="J774" t="n">
        <v>0</v>
      </c>
      <c r="K774" t="n">
        <v>0</v>
      </c>
      <c r="L774" t="n">
        <v>0</v>
      </c>
      <c r="M774" t="n">
        <v>0</v>
      </c>
      <c r="N774" t="n">
        <v>0</v>
      </c>
      <c r="O774" t="n">
        <v>0</v>
      </c>
      <c r="P774" t="n">
        <v>0</v>
      </c>
      <c r="Q774" t="n">
        <v>0</v>
      </c>
      <c r="R774" s="2" t="inlineStr"/>
    </row>
    <row r="775" ht="15" customHeight="1">
      <c r="A775" t="inlineStr">
        <is>
          <t>A 59585-2023</t>
        </is>
      </c>
      <c r="B775" s="1" t="n">
        <v>45254</v>
      </c>
      <c r="C775" s="1" t="n">
        <v>45907</v>
      </c>
      <c r="D775" t="inlineStr">
        <is>
          <t>UPPSALA LÄN</t>
        </is>
      </c>
      <c r="E775" t="inlineStr">
        <is>
          <t>UPPSALA</t>
        </is>
      </c>
      <c r="G775" t="n">
        <v>4.4</v>
      </c>
      <c r="H775" t="n">
        <v>0</v>
      </c>
      <c r="I775" t="n">
        <v>0</v>
      </c>
      <c r="J775" t="n">
        <v>0</v>
      </c>
      <c r="K775" t="n">
        <v>0</v>
      </c>
      <c r="L775" t="n">
        <v>0</v>
      </c>
      <c r="M775" t="n">
        <v>0</v>
      </c>
      <c r="N775" t="n">
        <v>0</v>
      </c>
      <c r="O775" t="n">
        <v>0</v>
      </c>
      <c r="P775" t="n">
        <v>0</v>
      </c>
      <c r="Q775" t="n">
        <v>0</v>
      </c>
      <c r="R775" s="2" t="inlineStr"/>
    </row>
    <row r="776" ht="15" customHeight="1">
      <c r="A776" t="inlineStr">
        <is>
          <t>A 6989-2022</t>
        </is>
      </c>
      <c r="B776" s="1" t="n">
        <v>44603</v>
      </c>
      <c r="C776" s="1" t="n">
        <v>45907</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32553-2024</t>
        </is>
      </c>
      <c r="B777" s="1" t="n">
        <v>45513.51815972223</v>
      </c>
      <c r="C777" s="1" t="n">
        <v>45907</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46807-2022</t>
        </is>
      </c>
      <c r="B778" s="1" t="n">
        <v>44848</v>
      </c>
      <c r="C778" s="1" t="n">
        <v>45907</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44781-2021</t>
        </is>
      </c>
      <c r="B779" s="1" t="n">
        <v>44438</v>
      </c>
      <c r="C779" s="1" t="n">
        <v>45907</v>
      </c>
      <c r="D779" t="inlineStr">
        <is>
          <t>UPPSALA LÄN</t>
        </is>
      </c>
      <c r="E779" t="inlineStr">
        <is>
          <t>UPPSALA</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5605-2025</t>
        </is>
      </c>
      <c r="B780" s="1" t="n">
        <v>45693</v>
      </c>
      <c r="C780" s="1" t="n">
        <v>45907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12507-2024</t>
        </is>
      </c>
      <c r="B781" s="1" t="n">
        <v>45379</v>
      </c>
      <c r="C781" s="1" t="n">
        <v>45907</v>
      </c>
      <c r="D781" t="inlineStr">
        <is>
          <t>UPPSALA LÄN</t>
        </is>
      </c>
      <c r="E781" t="inlineStr">
        <is>
          <t>UPPSALA</t>
        </is>
      </c>
      <c r="G781" t="n">
        <v>4.6</v>
      </c>
      <c r="H781" t="n">
        <v>0</v>
      </c>
      <c r="I781" t="n">
        <v>0</v>
      </c>
      <c r="J781" t="n">
        <v>0</v>
      </c>
      <c r="K781" t="n">
        <v>0</v>
      </c>
      <c r="L781" t="n">
        <v>0</v>
      </c>
      <c r="M781" t="n">
        <v>0</v>
      </c>
      <c r="N781" t="n">
        <v>0</v>
      </c>
      <c r="O781" t="n">
        <v>0</v>
      </c>
      <c r="P781" t="n">
        <v>0</v>
      </c>
      <c r="Q781" t="n">
        <v>0</v>
      </c>
      <c r="R781" s="2" t="inlineStr"/>
    </row>
    <row r="782" ht="15" customHeight="1">
      <c r="A782" t="inlineStr">
        <is>
          <t>A 22996-2021</t>
        </is>
      </c>
      <c r="B782" s="1" t="n">
        <v>44328</v>
      </c>
      <c r="C782" s="1" t="n">
        <v>45907</v>
      </c>
      <c r="D782" t="inlineStr">
        <is>
          <t>UPPSALA LÄN</t>
        </is>
      </c>
      <c r="E782" t="inlineStr">
        <is>
          <t>UPPSALA</t>
        </is>
      </c>
      <c r="F782" t="inlineStr">
        <is>
          <t>Bergvik skog öst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4065-2024</t>
        </is>
      </c>
      <c r="B783" s="1" t="n">
        <v>45323.55914351852</v>
      </c>
      <c r="C783" s="1" t="n">
        <v>45907</v>
      </c>
      <c r="D783" t="inlineStr">
        <is>
          <t>UPPSALA LÄN</t>
        </is>
      </c>
      <c r="E783" t="inlineStr">
        <is>
          <t>UPPSALA</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62287-2023</t>
        </is>
      </c>
      <c r="B784" s="1" t="n">
        <v>45267</v>
      </c>
      <c r="C784" s="1" t="n">
        <v>45907</v>
      </c>
      <c r="D784" t="inlineStr">
        <is>
          <t>UPPSALA LÄN</t>
        </is>
      </c>
      <c r="E784" t="inlineStr">
        <is>
          <t>UPPSALA</t>
        </is>
      </c>
      <c r="F784" t="inlineStr">
        <is>
          <t>Allmännings- och besparingsskogar</t>
        </is>
      </c>
      <c r="G784" t="n">
        <v>2.8</v>
      </c>
      <c r="H784" t="n">
        <v>0</v>
      </c>
      <c r="I784" t="n">
        <v>0</v>
      </c>
      <c r="J784" t="n">
        <v>0</v>
      </c>
      <c r="K784" t="n">
        <v>0</v>
      </c>
      <c r="L784" t="n">
        <v>0</v>
      </c>
      <c r="M784" t="n">
        <v>0</v>
      </c>
      <c r="N784" t="n">
        <v>0</v>
      </c>
      <c r="O784" t="n">
        <v>0</v>
      </c>
      <c r="P784" t="n">
        <v>0</v>
      </c>
      <c r="Q784" t="n">
        <v>0</v>
      </c>
      <c r="R784" s="2" t="inlineStr"/>
    </row>
    <row r="785" ht="15" customHeight="1">
      <c r="A785" t="inlineStr">
        <is>
          <t>A 17595-2025</t>
        </is>
      </c>
      <c r="B785" s="1" t="n">
        <v>45757</v>
      </c>
      <c r="C785" s="1" t="n">
        <v>45907</v>
      </c>
      <c r="D785" t="inlineStr">
        <is>
          <t>UPPSALA LÄN</t>
        </is>
      </c>
      <c r="E785" t="inlineStr">
        <is>
          <t>UPPSALA</t>
        </is>
      </c>
      <c r="G785" t="n">
        <v>2.7</v>
      </c>
      <c r="H785" t="n">
        <v>0</v>
      </c>
      <c r="I785" t="n">
        <v>0</v>
      </c>
      <c r="J785" t="n">
        <v>0</v>
      </c>
      <c r="K785" t="n">
        <v>0</v>
      </c>
      <c r="L785" t="n">
        <v>0</v>
      </c>
      <c r="M785" t="n">
        <v>0</v>
      </c>
      <c r="N785" t="n">
        <v>0</v>
      </c>
      <c r="O785" t="n">
        <v>0</v>
      </c>
      <c r="P785" t="n">
        <v>0</v>
      </c>
      <c r="Q785" t="n">
        <v>0</v>
      </c>
      <c r="R785" s="2" t="inlineStr"/>
    </row>
    <row r="786" ht="15" customHeight="1">
      <c r="A786" t="inlineStr">
        <is>
          <t>A 4059-2022</t>
        </is>
      </c>
      <c r="B786" s="1" t="n">
        <v>44588</v>
      </c>
      <c r="C786" s="1" t="n">
        <v>45907</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16288-2025</t>
        </is>
      </c>
      <c r="B787" s="1" t="n">
        <v>45751.32001157408</v>
      </c>
      <c r="C787" s="1" t="n">
        <v>45907</v>
      </c>
      <c r="D787" t="inlineStr">
        <is>
          <t>UPPSALA LÄN</t>
        </is>
      </c>
      <c r="E787" t="inlineStr">
        <is>
          <t>UPPSALA</t>
        </is>
      </c>
      <c r="G787" t="n">
        <v>3.9</v>
      </c>
      <c r="H787" t="n">
        <v>0</v>
      </c>
      <c r="I787" t="n">
        <v>0</v>
      </c>
      <c r="J787" t="n">
        <v>0</v>
      </c>
      <c r="K787" t="n">
        <v>0</v>
      </c>
      <c r="L787" t="n">
        <v>0</v>
      </c>
      <c r="M787" t="n">
        <v>0</v>
      </c>
      <c r="N787" t="n">
        <v>0</v>
      </c>
      <c r="O787" t="n">
        <v>0</v>
      </c>
      <c r="P787" t="n">
        <v>0</v>
      </c>
      <c r="Q787" t="n">
        <v>0</v>
      </c>
      <c r="R787" s="2" t="inlineStr"/>
    </row>
    <row r="788" ht="15" customHeight="1">
      <c r="A788" t="inlineStr">
        <is>
          <t>A 54715-2022</t>
        </is>
      </c>
      <c r="B788" s="1" t="n">
        <v>44883</v>
      </c>
      <c r="C788" s="1" t="n">
        <v>45907</v>
      </c>
      <c r="D788" t="inlineStr">
        <is>
          <t>UPPSALA LÄN</t>
        </is>
      </c>
      <c r="E788" t="inlineStr">
        <is>
          <t>UPPSALA</t>
        </is>
      </c>
      <c r="F788" t="inlineStr">
        <is>
          <t>Övriga Aktiebolag</t>
        </is>
      </c>
      <c r="G788" t="n">
        <v>9.5</v>
      </c>
      <c r="H788" t="n">
        <v>0</v>
      </c>
      <c r="I788" t="n">
        <v>0</v>
      </c>
      <c r="J788" t="n">
        <v>0</v>
      </c>
      <c r="K788" t="n">
        <v>0</v>
      </c>
      <c r="L788" t="n">
        <v>0</v>
      </c>
      <c r="M788" t="n">
        <v>0</v>
      </c>
      <c r="N788" t="n">
        <v>0</v>
      </c>
      <c r="O788" t="n">
        <v>0</v>
      </c>
      <c r="P788" t="n">
        <v>0</v>
      </c>
      <c r="Q788" t="n">
        <v>0</v>
      </c>
      <c r="R788" s="2" t="inlineStr"/>
    </row>
    <row r="789" ht="15" customHeight="1">
      <c r="A789" t="inlineStr">
        <is>
          <t>A 17658-2025</t>
        </is>
      </c>
      <c r="B789" s="1" t="n">
        <v>45758</v>
      </c>
      <c r="C789" s="1" t="n">
        <v>45907</v>
      </c>
      <c r="D789" t="inlineStr">
        <is>
          <t>UPPSALA LÄN</t>
        </is>
      </c>
      <c r="E789" t="inlineStr">
        <is>
          <t>UPPSALA</t>
        </is>
      </c>
      <c r="G789" t="n">
        <v>1.5</v>
      </c>
      <c r="H789" t="n">
        <v>0</v>
      </c>
      <c r="I789" t="n">
        <v>0</v>
      </c>
      <c r="J789" t="n">
        <v>0</v>
      </c>
      <c r="K789" t="n">
        <v>0</v>
      </c>
      <c r="L789" t="n">
        <v>0</v>
      </c>
      <c r="M789" t="n">
        <v>0</v>
      </c>
      <c r="N789" t="n">
        <v>0</v>
      </c>
      <c r="O789" t="n">
        <v>0</v>
      </c>
      <c r="P789" t="n">
        <v>0</v>
      </c>
      <c r="Q789" t="n">
        <v>0</v>
      </c>
      <c r="R789" s="2" t="inlineStr"/>
    </row>
    <row r="790" ht="15" customHeight="1">
      <c r="A790" t="inlineStr">
        <is>
          <t>A 6973-2025</t>
        </is>
      </c>
      <c r="B790" s="1" t="n">
        <v>45693</v>
      </c>
      <c r="C790" s="1" t="n">
        <v>45907</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74019-2021</t>
        </is>
      </c>
      <c r="B791" s="1" t="n">
        <v>44553</v>
      </c>
      <c r="C791" s="1" t="n">
        <v>45907</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19613-2025</t>
        </is>
      </c>
      <c r="B792" s="1" t="n">
        <v>45770.61341435185</v>
      </c>
      <c r="C792" s="1" t="n">
        <v>45907</v>
      </c>
      <c r="D792" t="inlineStr">
        <is>
          <t>UPPSALA LÄN</t>
        </is>
      </c>
      <c r="E792" t="inlineStr">
        <is>
          <t>UPPSALA</t>
        </is>
      </c>
      <c r="F792" t="inlineStr">
        <is>
          <t>Övriga Aktiebolag</t>
        </is>
      </c>
      <c r="G792" t="n">
        <v>2.2</v>
      </c>
      <c r="H792" t="n">
        <v>0</v>
      </c>
      <c r="I792" t="n">
        <v>0</v>
      </c>
      <c r="J792" t="n">
        <v>0</v>
      </c>
      <c r="K792" t="n">
        <v>0</v>
      </c>
      <c r="L792" t="n">
        <v>0</v>
      </c>
      <c r="M792" t="n">
        <v>0</v>
      </c>
      <c r="N792" t="n">
        <v>0</v>
      </c>
      <c r="O792" t="n">
        <v>0</v>
      </c>
      <c r="P792" t="n">
        <v>0</v>
      </c>
      <c r="Q792" t="n">
        <v>0</v>
      </c>
      <c r="R792" s="2" t="inlineStr"/>
    </row>
    <row r="793" ht="15" customHeight="1">
      <c r="A793" t="inlineStr">
        <is>
          <t>A 7376-2025</t>
        </is>
      </c>
      <c r="B793" s="1" t="n">
        <v>45705.2953125</v>
      </c>
      <c r="C793" s="1" t="n">
        <v>45907</v>
      </c>
      <c r="D793" t="inlineStr">
        <is>
          <t>UPPSALA LÄN</t>
        </is>
      </c>
      <c r="E793" t="inlineStr">
        <is>
          <t>UPPSALA</t>
        </is>
      </c>
      <c r="F793" t="inlineStr">
        <is>
          <t>Bergvik skog väst AB</t>
        </is>
      </c>
      <c r="G793" t="n">
        <v>7.4</v>
      </c>
      <c r="H793" t="n">
        <v>0</v>
      </c>
      <c r="I793" t="n">
        <v>0</v>
      </c>
      <c r="J793" t="n">
        <v>0</v>
      </c>
      <c r="K793" t="n">
        <v>0</v>
      </c>
      <c r="L793" t="n">
        <v>0</v>
      </c>
      <c r="M793" t="n">
        <v>0</v>
      </c>
      <c r="N793" t="n">
        <v>0</v>
      </c>
      <c r="O793" t="n">
        <v>0</v>
      </c>
      <c r="P793" t="n">
        <v>0</v>
      </c>
      <c r="Q793" t="n">
        <v>0</v>
      </c>
      <c r="R793" s="2" t="inlineStr"/>
    </row>
    <row r="794" ht="15" customHeight="1">
      <c r="A794" t="inlineStr">
        <is>
          <t>A 8162-2025</t>
        </is>
      </c>
      <c r="B794" s="1" t="n">
        <v>45707</v>
      </c>
      <c r="C794" s="1" t="n">
        <v>45907</v>
      </c>
      <c r="D794" t="inlineStr">
        <is>
          <t>UPPSALA LÄN</t>
        </is>
      </c>
      <c r="E794" t="inlineStr">
        <is>
          <t>UPPSALA</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18781-2025</t>
        </is>
      </c>
      <c r="B795" s="1" t="n">
        <v>45763</v>
      </c>
      <c r="C795" s="1" t="n">
        <v>45907</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59547-2024</t>
        </is>
      </c>
      <c r="B796" s="1" t="n">
        <v>45638</v>
      </c>
      <c r="C796" s="1" t="n">
        <v>45907</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27119-2023</t>
        </is>
      </c>
      <c r="B797" s="1" t="n">
        <v>45096</v>
      </c>
      <c r="C797" s="1" t="n">
        <v>45907</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35906-2023</t>
        </is>
      </c>
      <c r="B798" s="1" t="n">
        <v>45148</v>
      </c>
      <c r="C798" s="1" t="n">
        <v>45907</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31161-2023</t>
        </is>
      </c>
      <c r="B799" s="1" t="n">
        <v>45113.80170138889</v>
      </c>
      <c r="C799" s="1" t="n">
        <v>45907</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9295-2023</t>
        </is>
      </c>
      <c r="B800" s="1" t="n">
        <v>44980</v>
      </c>
      <c r="C800" s="1" t="n">
        <v>45907</v>
      </c>
      <c r="D800" t="inlineStr">
        <is>
          <t>UPPSALA LÄN</t>
        </is>
      </c>
      <c r="E800" t="inlineStr">
        <is>
          <t>UPPSALA</t>
        </is>
      </c>
      <c r="G800" t="n">
        <v>2.1</v>
      </c>
      <c r="H800" t="n">
        <v>0</v>
      </c>
      <c r="I800" t="n">
        <v>0</v>
      </c>
      <c r="J800" t="n">
        <v>0</v>
      </c>
      <c r="K800" t="n">
        <v>0</v>
      </c>
      <c r="L800" t="n">
        <v>0</v>
      </c>
      <c r="M800" t="n">
        <v>0</v>
      </c>
      <c r="N800" t="n">
        <v>0</v>
      </c>
      <c r="O800" t="n">
        <v>0</v>
      </c>
      <c r="P800" t="n">
        <v>0</v>
      </c>
      <c r="Q800" t="n">
        <v>0</v>
      </c>
      <c r="R800" s="2" t="inlineStr"/>
    </row>
    <row r="801" ht="15" customHeight="1">
      <c r="A801" t="inlineStr">
        <is>
          <t>A 29019-2023</t>
        </is>
      </c>
      <c r="B801" s="1" t="n">
        <v>45104.6828125</v>
      </c>
      <c r="C801" s="1" t="n">
        <v>45907</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6155-2023</t>
        </is>
      </c>
      <c r="B802" s="1" t="n">
        <v>44964.65261574074</v>
      </c>
      <c r="C802" s="1" t="n">
        <v>45907</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53346-2020</t>
        </is>
      </c>
      <c r="B803" s="1" t="n">
        <v>44123</v>
      </c>
      <c r="C803" s="1" t="n">
        <v>45907</v>
      </c>
      <c r="D803" t="inlineStr">
        <is>
          <t>UPPSALA LÄN</t>
        </is>
      </c>
      <c r="E803" t="inlineStr">
        <is>
          <t>UPPSALA</t>
        </is>
      </c>
      <c r="G803" t="n">
        <v>1.4</v>
      </c>
      <c r="H803" t="n">
        <v>0</v>
      </c>
      <c r="I803" t="n">
        <v>0</v>
      </c>
      <c r="J803" t="n">
        <v>0</v>
      </c>
      <c r="K803" t="n">
        <v>0</v>
      </c>
      <c r="L803" t="n">
        <v>0</v>
      </c>
      <c r="M803" t="n">
        <v>0</v>
      </c>
      <c r="N803" t="n">
        <v>0</v>
      </c>
      <c r="O803" t="n">
        <v>0</v>
      </c>
      <c r="P803" t="n">
        <v>0</v>
      </c>
      <c r="Q803" t="n">
        <v>0</v>
      </c>
      <c r="R803" s="2" t="inlineStr"/>
    </row>
    <row r="804" ht="15" customHeight="1">
      <c r="A804" t="inlineStr">
        <is>
          <t>A 1588-2025</t>
        </is>
      </c>
      <c r="B804" s="1" t="n">
        <v>45670</v>
      </c>
      <c r="C804" s="1" t="n">
        <v>45907</v>
      </c>
      <c r="D804" t="inlineStr">
        <is>
          <t>UPPSALA LÄN</t>
        </is>
      </c>
      <c r="E804" t="inlineStr">
        <is>
          <t>UPPSALA</t>
        </is>
      </c>
      <c r="F804" t="inlineStr">
        <is>
          <t>Bergvik skog väst AB</t>
        </is>
      </c>
      <c r="G804" t="n">
        <v>0.8</v>
      </c>
      <c r="H804" t="n">
        <v>0</v>
      </c>
      <c r="I804" t="n">
        <v>0</v>
      </c>
      <c r="J804" t="n">
        <v>0</v>
      </c>
      <c r="K804" t="n">
        <v>0</v>
      </c>
      <c r="L804" t="n">
        <v>0</v>
      </c>
      <c r="M804" t="n">
        <v>0</v>
      </c>
      <c r="N804" t="n">
        <v>0</v>
      </c>
      <c r="O804" t="n">
        <v>0</v>
      </c>
      <c r="P804" t="n">
        <v>0</v>
      </c>
      <c r="Q804" t="n">
        <v>0</v>
      </c>
      <c r="R804" s="2" t="inlineStr"/>
    </row>
    <row r="805" ht="15" customHeight="1">
      <c r="A805" t="inlineStr">
        <is>
          <t>A 28782-2024</t>
        </is>
      </c>
      <c r="B805" s="1" t="n">
        <v>45478.60802083334</v>
      </c>
      <c r="C805" s="1" t="n">
        <v>45907</v>
      </c>
      <c r="D805" t="inlineStr">
        <is>
          <t>UPPSALA LÄN</t>
        </is>
      </c>
      <c r="E805" t="inlineStr">
        <is>
          <t>UPPSALA</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27125-2023</t>
        </is>
      </c>
      <c r="B806" s="1" t="n">
        <v>45096</v>
      </c>
      <c r="C806" s="1" t="n">
        <v>45907</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9426-2023</t>
        </is>
      </c>
      <c r="B807" s="1" t="n">
        <v>44977</v>
      </c>
      <c r="C807" s="1" t="n">
        <v>45907</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31157-2023</t>
        </is>
      </c>
      <c r="B808" s="1" t="n">
        <v>45113</v>
      </c>
      <c r="C808" s="1" t="n">
        <v>45907</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53900-2023</t>
        </is>
      </c>
      <c r="B809" s="1" t="n">
        <v>45231.54601851852</v>
      </c>
      <c r="C809" s="1" t="n">
        <v>45907</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8132-2022</t>
        </is>
      </c>
      <c r="B810" s="1" t="n">
        <v>44609.60171296296</v>
      </c>
      <c r="C810" s="1" t="n">
        <v>45907</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18054-2025</t>
        </is>
      </c>
      <c r="B811" s="1" t="n">
        <v>45761.47540509259</v>
      </c>
      <c r="C811" s="1" t="n">
        <v>45907</v>
      </c>
      <c r="D811" t="inlineStr">
        <is>
          <t>UPPSALA LÄN</t>
        </is>
      </c>
      <c r="E811" t="inlineStr">
        <is>
          <t>UPPSALA</t>
        </is>
      </c>
      <c r="G811" t="n">
        <v>1.9</v>
      </c>
      <c r="H811" t="n">
        <v>0</v>
      </c>
      <c r="I811" t="n">
        <v>0</v>
      </c>
      <c r="J811" t="n">
        <v>0</v>
      </c>
      <c r="K811" t="n">
        <v>0</v>
      </c>
      <c r="L811" t="n">
        <v>0</v>
      </c>
      <c r="M811" t="n">
        <v>0</v>
      </c>
      <c r="N811" t="n">
        <v>0</v>
      </c>
      <c r="O811" t="n">
        <v>0</v>
      </c>
      <c r="P811" t="n">
        <v>0</v>
      </c>
      <c r="Q811" t="n">
        <v>0</v>
      </c>
      <c r="R811" s="2" t="inlineStr"/>
    </row>
    <row r="812" ht="15" customHeight="1">
      <c r="A812" t="inlineStr">
        <is>
          <t>A 18058-2025</t>
        </is>
      </c>
      <c r="B812" s="1" t="n">
        <v>45761.47748842592</v>
      </c>
      <c r="C812" s="1" t="n">
        <v>45907</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33332-2022</t>
        </is>
      </c>
      <c r="B813" s="1" t="n">
        <v>44788</v>
      </c>
      <c r="C813" s="1" t="n">
        <v>45907</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27912-2023</t>
        </is>
      </c>
      <c r="B814" s="1" t="n">
        <v>45098.63572916666</v>
      </c>
      <c r="C814" s="1" t="n">
        <v>45907</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40872-2023</t>
        </is>
      </c>
      <c r="B815" s="1" t="n">
        <v>45173</v>
      </c>
      <c r="C815" s="1" t="n">
        <v>45907</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1592-2025</t>
        </is>
      </c>
      <c r="B816" s="1" t="n">
        <v>45670</v>
      </c>
      <c r="C816" s="1" t="n">
        <v>45907</v>
      </c>
      <c r="D816" t="inlineStr">
        <is>
          <t>UPPSALA LÄN</t>
        </is>
      </c>
      <c r="E816" t="inlineStr">
        <is>
          <t>UPPSALA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6550-2025</t>
        </is>
      </c>
      <c r="B817" s="1" t="n">
        <v>45699.71063657408</v>
      </c>
      <c r="C817" s="1" t="n">
        <v>45907</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9611-2024</t>
        </is>
      </c>
      <c r="B818" s="1" t="n">
        <v>45361.57299768519</v>
      </c>
      <c r="C818" s="1" t="n">
        <v>45907</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55862-2022</t>
        </is>
      </c>
      <c r="B819" s="1" t="n">
        <v>44888</v>
      </c>
      <c r="C819" s="1" t="n">
        <v>45907</v>
      </c>
      <c r="D819" t="inlineStr">
        <is>
          <t>UPPSALA LÄN</t>
        </is>
      </c>
      <c r="E819" t="inlineStr">
        <is>
          <t>UPPSALA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24091-2024</t>
        </is>
      </c>
      <c r="B820" s="1" t="n">
        <v>45456.58491898148</v>
      </c>
      <c r="C820" s="1" t="n">
        <v>45907</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32428-2023</t>
        </is>
      </c>
      <c r="B821" s="1" t="n">
        <v>45110</v>
      </c>
      <c r="C821" s="1" t="n">
        <v>45907</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49050-2024</t>
        </is>
      </c>
      <c r="B822" s="1" t="n">
        <v>45594</v>
      </c>
      <c r="C822" s="1" t="n">
        <v>45907</v>
      </c>
      <c r="D822" t="inlineStr">
        <is>
          <t>UPPSALA LÄN</t>
        </is>
      </c>
      <c r="E822" t="inlineStr">
        <is>
          <t>UPPSALA</t>
        </is>
      </c>
      <c r="F822" t="inlineStr">
        <is>
          <t>Övriga statliga verk och myndigheter</t>
        </is>
      </c>
      <c r="G822" t="n">
        <v>3.9</v>
      </c>
      <c r="H822" t="n">
        <v>0</v>
      </c>
      <c r="I822" t="n">
        <v>0</v>
      </c>
      <c r="J822" t="n">
        <v>0</v>
      </c>
      <c r="K822" t="n">
        <v>0</v>
      </c>
      <c r="L822" t="n">
        <v>0</v>
      </c>
      <c r="M822" t="n">
        <v>0</v>
      </c>
      <c r="N822" t="n">
        <v>0</v>
      </c>
      <c r="O822" t="n">
        <v>0</v>
      </c>
      <c r="P822" t="n">
        <v>0</v>
      </c>
      <c r="Q822" t="n">
        <v>0</v>
      </c>
      <c r="R822" s="2" t="inlineStr"/>
    </row>
    <row r="823" ht="15" customHeight="1">
      <c r="A823" t="inlineStr">
        <is>
          <t>A 60781-2023</t>
        </is>
      </c>
      <c r="B823" s="1" t="n">
        <v>45259</v>
      </c>
      <c r="C823" s="1" t="n">
        <v>45907</v>
      </c>
      <c r="D823" t="inlineStr">
        <is>
          <t>UPPSALA LÄN</t>
        </is>
      </c>
      <c r="E823" t="inlineStr">
        <is>
          <t>UPPSALA</t>
        </is>
      </c>
      <c r="G823" t="n">
        <v>4.1</v>
      </c>
      <c r="H823" t="n">
        <v>0</v>
      </c>
      <c r="I823" t="n">
        <v>0</v>
      </c>
      <c r="J823" t="n">
        <v>0</v>
      </c>
      <c r="K823" t="n">
        <v>0</v>
      </c>
      <c r="L823" t="n">
        <v>0</v>
      </c>
      <c r="M823" t="n">
        <v>0</v>
      </c>
      <c r="N823" t="n">
        <v>0</v>
      </c>
      <c r="O823" t="n">
        <v>0</v>
      </c>
      <c r="P823" t="n">
        <v>0</v>
      </c>
      <c r="Q823" t="n">
        <v>0</v>
      </c>
      <c r="R823" s="2" t="inlineStr"/>
    </row>
    <row r="824" ht="15" customHeight="1">
      <c r="A824" t="inlineStr">
        <is>
          <t>A 24787-2024</t>
        </is>
      </c>
      <c r="B824" s="1" t="n">
        <v>45460</v>
      </c>
      <c r="C824" s="1" t="n">
        <v>45907</v>
      </c>
      <c r="D824" t="inlineStr">
        <is>
          <t>UPPSALA LÄN</t>
        </is>
      </c>
      <c r="E824" t="inlineStr">
        <is>
          <t>UPPSALA</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60167-2024</t>
        </is>
      </c>
      <c r="B825" s="1" t="n">
        <v>45642.63524305556</v>
      </c>
      <c r="C825" s="1" t="n">
        <v>45907</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18717-2025</t>
        </is>
      </c>
      <c r="B826" s="1" t="n">
        <v>45763.6503125</v>
      </c>
      <c r="C826" s="1" t="n">
        <v>45907</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10383-2022</t>
        </is>
      </c>
      <c r="B827" s="1" t="n">
        <v>44623.41775462963</v>
      </c>
      <c r="C827" s="1" t="n">
        <v>45907</v>
      </c>
      <c r="D827" t="inlineStr">
        <is>
          <t>UPPSALA LÄN</t>
        </is>
      </c>
      <c r="E827" t="inlineStr">
        <is>
          <t>UPPSALA</t>
        </is>
      </c>
      <c r="F827" t="inlineStr">
        <is>
          <t>Övriga Aktiebolag</t>
        </is>
      </c>
      <c r="G827" t="n">
        <v>2.8</v>
      </c>
      <c r="H827" t="n">
        <v>0</v>
      </c>
      <c r="I827" t="n">
        <v>0</v>
      </c>
      <c r="J827" t="n">
        <v>0</v>
      </c>
      <c r="K827" t="n">
        <v>0</v>
      </c>
      <c r="L827" t="n">
        <v>0</v>
      </c>
      <c r="M827" t="n">
        <v>0</v>
      </c>
      <c r="N827" t="n">
        <v>0</v>
      </c>
      <c r="O827" t="n">
        <v>0</v>
      </c>
      <c r="P827" t="n">
        <v>0</v>
      </c>
      <c r="Q827" t="n">
        <v>0</v>
      </c>
      <c r="R827" s="2" t="inlineStr"/>
    </row>
    <row r="828" ht="15" customHeight="1">
      <c r="A828" t="inlineStr">
        <is>
          <t>A 60691-2024</t>
        </is>
      </c>
      <c r="B828" s="1" t="n">
        <v>45644.47723379629</v>
      </c>
      <c r="C828" s="1" t="n">
        <v>45907</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23157-2023</t>
        </is>
      </c>
      <c r="B829" s="1" t="n">
        <v>45075.51982638889</v>
      </c>
      <c r="C829" s="1" t="n">
        <v>45907</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53589-2024</t>
        </is>
      </c>
      <c r="B830" s="1" t="n">
        <v>45614.67020833334</v>
      </c>
      <c r="C830" s="1" t="n">
        <v>45907</v>
      </c>
      <c r="D830" t="inlineStr">
        <is>
          <t>UPPSALA LÄN</t>
        </is>
      </c>
      <c r="E830" t="inlineStr">
        <is>
          <t>UPPSALA</t>
        </is>
      </c>
      <c r="G830" t="n">
        <v>4</v>
      </c>
      <c r="H830" t="n">
        <v>0</v>
      </c>
      <c r="I830" t="n">
        <v>0</v>
      </c>
      <c r="J830" t="n">
        <v>0</v>
      </c>
      <c r="K830" t="n">
        <v>0</v>
      </c>
      <c r="L830" t="n">
        <v>0</v>
      </c>
      <c r="M830" t="n">
        <v>0</v>
      </c>
      <c r="N830" t="n">
        <v>0</v>
      </c>
      <c r="O830" t="n">
        <v>0</v>
      </c>
      <c r="P830" t="n">
        <v>0</v>
      </c>
      <c r="Q830" t="n">
        <v>0</v>
      </c>
      <c r="R830" s="2" t="inlineStr"/>
    </row>
    <row r="831" ht="15" customHeight="1">
      <c r="A831" t="inlineStr">
        <is>
          <t>A 35914-2023</t>
        </is>
      </c>
      <c r="B831" s="1" t="n">
        <v>45148</v>
      </c>
      <c r="C831" s="1" t="n">
        <v>45907</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35916-2023</t>
        </is>
      </c>
      <c r="B832" s="1" t="n">
        <v>45148</v>
      </c>
      <c r="C832" s="1" t="n">
        <v>45907</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43029-2023</t>
        </is>
      </c>
      <c r="B833" s="1" t="n">
        <v>45182</v>
      </c>
      <c r="C833" s="1" t="n">
        <v>45907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61947-2023</t>
        </is>
      </c>
      <c r="B834" s="1" t="n">
        <v>45266</v>
      </c>
      <c r="C834" s="1" t="n">
        <v>45907</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61574-2024</t>
        </is>
      </c>
      <c r="B835" s="1" t="n">
        <v>45646.61892361111</v>
      </c>
      <c r="C835" s="1" t="n">
        <v>45907</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45907</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1994-2024</t>
        </is>
      </c>
      <c r="B837" s="1" t="n">
        <v>45308.63298611111</v>
      </c>
      <c r="C837" s="1" t="n">
        <v>45907</v>
      </c>
      <c r="D837" t="inlineStr">
        <is>
          <t>UPPSALA LÄN</t>
        </is>
      </c>
      <c r="E837" t="inlineStr">
        <is>
          <t>UPPSALA</t>
        </is>
      </c>
      <c r="G837" t="n">
        <v>1.6</v>
      </c>
      <c r="H837" t="n">
        <v>0</v>
      </c>
      <c r="I837" t="n">
        <v>0</v>
      </c>
      <c r="J837" t="n">
        <v>0</v>
      </c>
      <c r="K837" t="n">
        <v>0</v>
      </c>
      <c r="L837" t="n">
        <v>0</v>
      </c>
      <c r="M837" t="n">
        <v>0</v>
      </c>
      <c r="N837" t="n">
        <v>0</v>
      </c>
      <c r="O837" t="n">
        <v>0</v>
      </c>
      <c r="P837" t="n">
        <v>0</v>
      </c>
      <c r="Q837" t="n">
        <v>0</v>
      </c>
      <c r="R837" s="2" t="inlineStr"/>
    </row>
    <row r="838" ht="15" customHeight="1">
      <c r="A838" t="inlineStr">
        <is>
          <t>A 4993-2025</t>
        </is>
      </c>
      <c r="B838" s="1" t="n">
        <v>45691</v>
      </c>
      <c r="C838" s="1" t="n">
        <v>45907</v>
      </c>
      <c r="D838" t="inlineStr">
        <is>
          <t>UPPSALA LÄN</t>
        </is>
      </c>
      <c r="E838" t="inlineStr">
        <is>
          <t>UPPSALA</t>
        </is>
      </c>
      <c r="F838" t="inlineStr">
        <is>
          <t>Kyrkan</t>
        </is>
      </c>
      <c r="G838" t="n">
        <v>6.7</v>
      </c>
      <c r="H838" t="n">
        <v>0</v>
      </c>
      <c r="I838" t="n">
        <v>0</v>
      </c>
      <c r="J838" t="n">
        <v>0</v>
      </c>
      <c r="K838" t="n">
        <v>0</v>
      </c>
      <c r="L838" t="n">
        <v>0</v>
      </c>
      <c r="M838" t="n">
        <v>0</v>
      </c>
      <c r="N838" t="n">
        <v>0</v>
      </c>
      <c r="O838" t="n">
        <v>0</v>
      </c>
      <c r="P838" t="n">
        <v>0</v>
      </c>
      <c r="Q838" t="n">
        <v>0</v>
      </c>
      <c r="R838" s="2" t="inlineStr"/>
    </row>
    <row r="839" ht="15" customHeight="1">
      <c r="A839" t="inlineStr">
        <is>
          <t>A 25462-2023</t>
        </is>
      </c>
      <c r="B839" s="1" t="n">
        <v>45089</v>
      </c>
      <c r="C839" s="1" t="n">
        <v>45907</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29927-2023</t>
        </is>
      </c>
      <c r="B840" s="1" t="n">
        <v>45107</v>
      </c>
      <c r="C840" s="1" t="n">
        <v>45907</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70228-2021</t>
        </is>
      </c>
      <c r="B841" s="1" t="n">
        <v>44535</v>
      </c>
      <c r="C841" s="1" t="n">
        <v>45907</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14337-2022</t>
        </is>
      </c>
      <c r="B842" s="1" t="n">
        <v>44652</v>
      </c>
      <c r="C842" s="1" t="n">
        <v>45907</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11224-2022</t>
        </is>
      </c>
      <c r="B843" s="1" t="n">
        <v>44629.57741898148</v>
      </c>
      <c r="C843" s="1" t="n">
        <v>45907</v>
      </c>
      <c r="D843" t="inlineStr">
        <is>
          <t>UPPSALA LÄN</t>
        </is>
      </c>
      <c r="E843" t="inlineStr">
        <is>
          <t>UPPSALA</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7899-2022</t>
        </is>
      </c>
      <c r="B844" s="1" t="n">
        <v>44608</v>
      </c>
      <c r="C844" s="1" t="n">
        <v>45907</v>
      </c>
      <c r="D844" t="inlineStr">
        <is>
          <t>UPPSALA LÄN</t>
        </is>
      </c>
      <c r="E844" t="inlineStr">
        <is>
          <t>UPPSALA</t>
        </is>
      </c>
      <c r="F844" t="inlineStr">
        <is>
          <t>Övriga Aktiebolag</t>
        </is>
      </c>
      <c r="G844" t="n">
        <v>7.1</v>
      </c>
      <c r="H844" t="n">
        <v>0</v>
      </c>
      <c r="I844" t="n">
        <v>0</v>
      </c>
      <c r="J844" t="n">
        <v>0</v>
      </c>
      <c r="K844" t="n">
        <v>0</v>
      </c>
      <c r="L844" t="n">
        <v>0</v>
      </c>
      <c r="M844" t="n">
        <v>0</v>
      </c>
      <c r="N844" t="n">
        <v>0</v>
      </c>
      <c r="O844" t="n">
        <v>0</v>
      </c>
      <c r="P844" t="n">
        <v>0</v>
      </c>
      <c r="Q844" t="n">
        <v>0</v>
      </c>
      <c r="R844" s="2" t="inlineStr"/>
    </row>
    <row r="845" ht="15" customHeight="1">
      <c r="A845" t="inlineStr">
        <is>
          <t>A 46745-2024</t>
        </is>
      </c>
      <c r="B845" s="1" t="n">
        <v>45583</v>
      </c>
      <c r="C845" s="1" t="n">
        <v>45907</v>
      </c>
      <c r="D845" t="inlineStr">
        <is>
          <t>UPPSALA LÄN</t>
        </is>
      </c>
      <c r="E845" t="inlineStr">
        <is>
          <t>UPPSALA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46748-2024</t>
        </is>
      </c>
      <c r="B846" s="1" t="n">
        <v>45583</v>
      </c>
      <c r="C846" s="1" t="n">
        <v>45907</v>
      </c>
      <c r="D846" t="inlineStr">
        <is>
          <t>UPPSALA LÄN</t>
        </is>
      </c>
      <c r="E846" t="inlineStr">
        <is>
          <t>UPPSALA</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1573-2021</t>
        </is>
      </c>
      <c r="B847" s="1" t="n">
        <v>44209</v>
      </c>
      <c r="C847" s="1" t="n">
        <v>45907</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8164-2025</t>
        </is>
      </c>
      <c r="B848" s="1" t="n">
        <v>45707</v>
      </c>
      <c r="C848" s="1" t="n">
        <v>45907</v>
      </c>
      <c r="D848" t="inlineStr">
        <is>
          <t>UPPSALA LÄN</t>
        </is>
      </c>
      <c r="E848" t="inlineStr">
        <is>
          <t>UPPSALA</t>
        </is>
      </c>
      <c r="F848" t="inlineStr">
        <is>
          <t>Övriga Aktiebolag</t>
        </is>
      </c>
      <c r="G848" t="n">
        <v>12.2</v>
      </c>
      <c r="H848" t="n">
        <v>0</v>
      </c>
      <c r="I848" t="n">
        <v>0</v>
      </c>
      <c r="J848" t="n">
        <v>0</v>
      </c>
      <c r="K848" t="n">
        <v>0</v>
      </c>
      <c r="L848" t="n">
        <v>0</v>
      </c>
      <c r="M848" t="n">
        <v>0</v>
      </c>
      <c r="N848" t="n">
        <v>0</v>
      </c>
      <c r="O848" t="n">
        <v>0</v>
      </c>
      <c r="P848" t="n">
        <v>0</v>
      </c>
      <c r="Q848" t="n">
        <v>0</v>
      </c>
      <c r="R848" s="2" t="inlineStr"/>
    </row>
    <row r="849" ht="15" customHeight="1">
      <c r="A849" t="inlineStr">
        <is>
          <t>A 60729-2024</t>
        </is>
      </c>
      <c r="B849" s="1" t="n">
        <v>45644</v>
      </c>
      <c r="C849" s="1" t="n">
        <v>45907</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60925-2021</t>
        </is>
      </c>
      <c r="B850" s="1" t="n">
        <v>44497.4666087963</v>
      </c>
      <c r="C850" s="1" t="n">
        <v>45907</v>
      </c>
      <c r="D850" t="inlineStr">
        <is>
          <t>UPPSALA LÄN</t>
        </is>
      </c>
      <c r="E850" t="inlineStr">
        <is>
          <t>UPPSALA</t>
        </is>
      </c>
      <c r="G850" t="n">
        <v>3.7</v>
      </c>
      <c r="H850" t="n">
        <v>0</v>
      </c>
      <c r="I850" t="n">
        <v>0</v>
      </c>
      <c r="J850" t="n">
        <v>0</v>
      </c>
      <c r="K850" t="n">
        <v>0</v>
      </c>
      <c r="L850" t="n">
        <v>0</v>
      </c>
      <c r="M850" t="n">
        <v>0</v>
      </c>
      <c r="N850" t="n">
        <v>0</v>
      </c>
      <c r="O850" t="n">
        <v>0</v>
      </c>
      <c r="P850" t="n">
        <v>0</v>
      </c>
      <c r="Q850" t="n">
        <v>0</v>
      </c>
      <c r="R850" s="2" t="inlineStr"/>
    </row>
    <row r="851" ht="15" customHeight="1">
      <c r="A851" t="inlineStr">
        <is>
          <t>A 3086-2023</t>
        </is>
      </c>
      <c r="B851" s="1" t="n">
        <v>44946.43564814814</v>
      </c>
      <c r="C851" s="1" t="n">
        <v>45907</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6422-2023</t>
        </is>
      </c>
      <c r="B852" s="1" t="n">
        <v>44965</v>
      </c>
      <c r="C852" s="1" t="n">
        <v>45907</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6423-2023</t>
        </is>
      </c>
      <c r="B853" s="1" t="n">
        <v>44965</v>
      </c>
      <c r="C853" s="1" t="n">
        <v>45907</v>
      </c>
      <c r="D853" t="inlineStr">
        <is>
          <t>UPPSALA LÄN</t>
        </is>
      </c>
      <c r="E853" t="inlineStr">
        <is>
          <t>UPPSALA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17448-2022</t>
        </is>
      </c>
      <c r="B854" s="1" t="n">
        <v>44679</v>
      </c>
      <c r="C854" s="1" t="n">
        <v>45907</v>
      </c>
      <c r="D854" t="inlineStr">
        <is>
          <t>UPPSALA LÄN</t>
        </is>
      </c>
      <c r="E854" t="inlineStr">
        <is>
          <t>UPPSALA</t>
        </is>
      </c>
      <c r="G854" t="n">
        <v>2.7</v>
      </c>
      <c r="H854" t="n">
        <v>0</v>
      </c>
      <c r="I854" t="n">
        <v>0</v>
      </c>
      <c r="J854" t="n">
        <v>0</v>
      </c>
      <c r="K854" t="n">
        <v>0</v>
      </c>
      <c r="L854" t="n">
        <v>0</v>
      </c>
      <c r="M854" t="n">
        <v>0</v>
      </c>
      <c r="N854" t="n">
        <v>0</v>
      </c>
      <c r="O854" t="n">
        <v>0</v>
      </c>
      <c r="P854" t="n">
        <v>0</v>
      </c>
      <c r="Q854" t="n">
        <v>0</v>
      </c>
      <c r="R854" s="2" t="inlineStr"/>
    </row>
    <row r="855" ht="15" customHeight="1">
      <c r="A855" t="inlineStr">
        <is>
          <t>A 5974-2024</t>
        </is>
      </c>
      <c r="B855" s="1" t="n">
        <v>45336.53908564815</v>
      </c>
      <c r="C855" s="1" t="n">
        <v>45907</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5975-2024</t>
        </is>
      </c>
      <c r="B856" s="1" t="n">
        <v>45336.54270833333</v>
      </c>
      <c r="C856" s="1" t="n">
        <v>45907</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6541-2025</t>
        </is>
      </c>
      <c r="B857" s="1" t="n">
        <v>45699</v>
      </c>
      <c r="C857" s="1" t="n">
        <v>45907</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3287-2025</t>
        </is>
      </c>
      <c r="B858" s="1" t="n">
        <v>45679</v>
      </c>
      <c r="C858" s="1" t="n">
        <v>45907</v>
      </c>
      <c r="D858" t="inlineStr">
        <is>
          <t>UPPSALA LÄN</t>
        </is>
      </c>
      <c r="E858" t="inlineStr">
        <is>
          <t>UPPSALA</t>
        </is>
      </c>
      <c r="F858" t="inlineStr">
        <is>
          <t>Kyrkan</t>
        </is>
      </c>
      <c r="G858" t="n">
        <v>6.7</v>
      </c>
      <c r="H858" t="n">
        <v>0</v>
      </c>
      <c r="I858" t="n">
        <v>0</v>
      </c>
      <c r="J858" t="n">
        <v>0</v>
      </c>
      <c r="K858" t="n">
        <v>0</v>
      </c>
      <c r="L858" t="n">
        <v>0</v>
      </c>
      <c r="M858" t="n">
        <v>0</v>
      </c>
      <c r="N858" t="n">
        <v>0</v>
      </c>
      <c r="O858" t="n">
        <v>0</v>
      </c>
      <c r="P858" t="n">
        <v>0</v>
      </c>
      <c r="Q858" t="n">
        <v>0</v>
      </c>
      <c r="R858" s="2" t="inlineStr"/>
    </row>
    <row r="859" ht="15" customHeight="1">
      <c r="A859" t="inlineStr">
        <is>
          <t>A 7727-2024</t>
        </is>
      </c>
      <c r="B859" s="1" t="n">
        <v>45349</v>
      </c>
      <c r="C859" s="1" t="n">
        <v>45907</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4875-2021</t>
        </is>
      </c>
      <c r="B860" s="1" t="n">
        <v>44223</v>
      </c>
      <c r="C860" s="1" t="n">
        <v>45907</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33562-2023</t>
        </is>
      </c>
      <c r="B861" s="1" t="n">
        <v>45131</v>
      </c>
      <c r="C861" s="1" t="n">
        <v>45907</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5725-2025</t>
        </is>
      </c>
      <c r="B862" s="1" t="n">
        <v>45694</v>
      </c>
      <c r="C862" s="1" t="n">
        <v>45907</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45907</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4240-2025</t>
        </is>
      </c>
      <c r="B864" s="1" t="n">
        <v>45685.5778125</v>
      </c>
      <c r="C864" s="1" t="n">
        <v>45907</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60954-2024</t>
        </is>
      </c>
      <c r="B865" s="1" t="n">
        <v>45645</v>
      </c>
      <c r="C865" s="1" t="n">
        <v>45907</v>
      </c>
      <c r="D865" t="inlineStr">
        <is>
          <t>UPPSALA LÄN</t>
        </is>
      </c>
      <c r="E865" t="inlineStr">
        <is>
          <t>UPPSALA</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8933-2022</t>
        </is>
      </c>
      <c r="B866" s="1" t="n">
        <v>44614.69730324074</v>
      </c>
      <c r="C866" s="1" t="n">
        <v>45907</v>
      </c>
      <c r="D866" t="inlineStr">
        <is>
          <t>UPPSALA LÄN</t>
        </is>
      </c>
      <c r="E866" t="inlineStr">
        <is>
          <t>UPPSALA</t>
        </is>
      </c>
      <c r="F866" t="inlineStr">
        <is>
          <t>Holmen skog AB</t>
        </is>
      </c>
      <c r="G866" t="n">
        <v>3.6</v>
      </c>
      <c r="H866" t="n">
        <v>0</v>
      </c>
      <c r="I866" t="n">
        <v>0</v>
      </c>
      <c r="J866" t="n">
        <v>0</v>
      </c>
      <c r="K866" t="n">
        <v>0</v>
      </c>
      <c r="L866" t="n">
        <v>0</v>
      </c>
      <c r="M866" t="n">
        <v>0</v>
      </c>
      <c r="N866" t="n">
        <v>0</v>
      </c>
      <c r="O866" t="n">
        <v>0</v>
      </c>
      <c r="P866" t="n">
        <v>0</v>
      </c>
      <c r="Q866" t="n">
        <v>0</v>
      </c>
      <c r="R866" s="2" t="inlineStr"/>
    </row>
    <row r="867" ht="15" customHeight="1">
      <c r="A867" t="inlineStr">
        <is>
          <t>A 60714-2023</t>
        </is>
      </c>
      <c r="B867" s="1" t="n">
        <v>45259</v>
      </c>
      <c r="C867" s="1" t="n">
        <v>45907</v>
      </c>
      <c r="D867" t="inlineStr">
        <is>
          <t>UPPSALA LÄN</t>
        </is>
      </c>
      <c r="E867" t="inlineStr">
        <is>
          <t>UPPSALA</t>
        </is>
      </c>
      <c r="G867" t="n">
        <v>3.3</v>
      </c>
      <c r="H867" t="n">
        <v>0</v>
      </c>
      <c r="I867" t="n">
        <v>0</v>
      </c>
      <c r="J867" t="n">
        <v>0</v>
      </c>
      <c r="K867" t="n">
        <v>0</v>
      </c>
      <c r="L867" t="n">
        <v>0</v>
      </c>
      <c r="M867" t="n">
        <v>0</v>
      </c>
      <c r="N867" t="n">
        <v>0</v>
      </c>
      <c r="O867" t="n">
        <v>0</v>
      </c>
      <c r="P867" t="n">
        <v>0</v>
      </c>
      <c r="Q867" t="n">
        <v>0</v>
      </c>
      <c r="R867" s="2" t="inlineStr"/>
    </row>
    <row r="868" ht="15" customHeight="1">
      <c r="A868" t="inlineStr">
        <is>
          <t>A 48153-2024</t>
        </is>
      </c>
      <c r="B868" s="1" t="n">
        <v>45589</v>
      </c>
      <c r="C868" s="1" t="n">
        <v>45907</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48154-2024</t>
        </is>
      </c>
      <c r="B869" s="1" t="n">
        <v>45589</v>
      </c>
      <c r="C869" s="1" t="n">
        <v>45907</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6060-2025</t>
        </is>
      </c>
      <c r="B870" s="1" t="n">
        <v>45695.84078703704</v>
      </c>
      <c r="C870" s="1" t="n">
        <v>45907</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27599-2023</t>
        </is>
      </c>
      <c r="B871" s="1" t="n">
        <v>45097</v>
      </c>
      <c r="C871" s="1" t="n">
        <v>45907</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6006-2025</t>
        </is>
      </c>
      <c r="B872" s="1" t="n">
        <v>45695.59197916667</v>
      </c>
      <c r="C872" s="1" t="n">
        <v>45907</v>
      </c>
      <c r="D872" t="inlineStr">
        <is>
          <t>UPPSALA LÄN</t>
        </is>
      </c>
      <c r="E872" t="inlineStr">
        <is>
          <t>UPPSALA</t>
        </is>
      </c>
      <c r="F872" t="inlineStr">
        <is>
          <t>Övriga Aktiebolag</t>
        </is>
      </c>
      <c r="G872" t="n">
        <v>13.8</v>
      </c>
      <c r="H872" t="n">
        <v>0</v>
      </c>
      <c r="I872" t="n">
        <v>0</v>
      </c>
      <c r="J872" t="n">
        <v>0</v>
      </c>
      <c r="K872" t="n">
        <v>0</v>
      </c>
      <c r="L872" t="n">
        <v>0</v>
      </c>
      <c r="M872" t="n">
        <v>0</v>
      </c>
      <c r="N872" t="n">
        <v>0</v>
      </c>
      <c r="O872" t="n">
        <v>0</v>
      </c>
      <c r="P872" t="n">
        <v>0</v>
      </c>
      <c r="Q872" t="n">
        <v>0</v>
      </c>
      <c r="R872" s="2" t="inlineStr"/>
    </row>
    <row r="873" ht="15" customHeight="1">
      <c r="A873" t="inlineStr">
        <is>
          <t>A 28825-2024</t>
        </is>
      </c>
      <c r="B873" s="1" t="n">
        <v>45478</v>
      </c>
      <c r="C873" s="1" t="n">
        <v>45907</v>
      </c>
      <c r="D873" t="inlineStr">
        <is>
          <t>UPPSALA LÄN</t>
        </is>
      </c>
      <c r="E873" t="inlineStr">
        <is>
          <t>UPPSALA</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45592-2023</t>
        </is>
      </c>
      <c r="B874" s="1" t="n">
        <v>45194.63479166666</v>
      </c>
      <c r="C874" s="1" t="n">
        <v>45907</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45575-2023</t>
        </is>
      </c>
      <c r="B875" s="1" t="n">
        <v>45194.60876157408</v>
      </c>
      <c r="C875" s="1" t="n">
        <v>45907</v>
      </c>
      <c r="D875" t="inlineStr">
        <is>
          <t>UPPSALA LÄN</t>
        </is>
      </c>
      <c r="E875" t="inlineStr">
        <is>
          <t>UPPSALA</t>
        </is>
      </c>
      <c r="F875" t="inlineStr">
        <is>
          <t>Bergvik skog öst AB</t>
        </is>
      </c>
      <c r="G875" t="n">
        <v>2.2</v>
      </c>
      <c r="H875" t="n">
        <v>0</v>
      </c>
      <c r="I875" t="n">
        <v>0</v>
      </c>
      <c r="J875" t="n">
        <v>0</v>
      </c>
      <c r="K875" t="n">
        <v>0</v>
      </c>
      <c r="L875" t="n">
        <v>0</v>
      </c>
      <c r="M875" t="n">
        <v>0</v>
      </c>
      <c r="N875" t="n">
        <v>0</v>
      </c>
      <c r="O875" t="n">
        <v>0</v>
      </c>
      <c r="P875" t="n">
        <v>0</v>
      </c>
      <c r="Q875" t="n">
        <v>0</v>
      </c>
      <c r="R875" s="2" t="inlineStr"/>
    </row>
    <row r="876" ht="15" customHeight="1">
      <c r="A876" t="inlineStr">
        <is>
          <t>A 50037-2024</t>
        </is>
      </c>
      <c r="B876" s="1" t="n">
        <v>45599</v>
      </c>
      <c r="C876" s="1" t="n">
        <v>45907</v>
      </c>
      <c r="D876" t="inlineStr">
        <is>
          <t>UPPSALA LÄN</t>
        </is>
      </c>
      <c r="E876" t="inlineStr">
        <is>
          <t>UPPSALA</t>
        </is>
      </c>
      <c r="G876" t="n">
        <v>13.7</v>
      </c>
      <c r="H876" t="n">
        <v>0</v>
      </c>
      <c r="I876" t="n">
        <v>0</v>
      </c>
      <c r="J876" t="n">
        <v>0</v>
      </c>
      <c r="K876" t="n">
        <v>0</v>
      </c>
      <c r="L876" t="n">
        <v>0</v>
      </c>
      <c r="M876" t="n">
        <v>0</v>
      </c>
      <c r="N876" t="n">
        <v>0</v>
      </c>
      <c r="O876" t="n">
        <v>0</v>
      </c>
      <c r="P876" t="n">
        <v>0</v>
      </c>
      <c r="Q876" t="n">
        <v>0</v>
      </c>
      <c r="R876" s="2" t="inlineStr"/>
    </row>
    <row r="877" ht="15" customHeight="1">
      <c r="A877" t="inlineStr">
        <is>
          <t>A 50535-2024</t>
        </is>
      </c>
      <c r="B877" s="1" t="n">
        <v>45600</v>
      </c>
      <c r="C877" s="1" t="n">
        <v>45907</v>
      </c>
      <c r="D877" t="inlineStr">
        <is>
          <t>UPPSALA LÄN</t>
        </is>
      </c>
      <c r="E877" t="inlineStr">
        <is>
          <t>UPPSALA</t>
        </is>
      </c>
      <c r="F877" t="inlineStr">
        <is>
          <t>Övriga statliga verk och myndigheter</t>
        </is>
      </c>
      <c r="G877" t="n">
        <v>3.2</v>
      </c>
      <c r="H877" t="n">
        <v>0</v>
      </c>
      <c r="I877" t="n">
        <v>0</v>
      </c>
      <c r="J877" t="n">
        <v>0</v>
      </c>
      <c r="K877" t="n">
        <v>0</v>
      </c>
      <c r="L877" t="n">
        <v>0</v>
      </c>
      <c r="M877" t="n">
        <v>0</v>
      </c>
      <c r="N877" t="n">
        <v>0</v>
      </c>
      <c r="O877" t="n">
        <v>0</v>
      </c>
      <c r="P877" t="n">
        <v>0</v>
      </c>
      <c r="Q877" t="n">
        <v>0</v>
      </c>
      <c r="R877" s="2" t="inlineStr"/>
    </row>
    <row r="878" ht="15" customHeight="1">
      <c r="A878" t="inlineStr">
        <is>
          <t>A 20301-2024</t>
        </is>
      </c>
      <c r="B878" s="1" t="n">
        <v>45435.34778935185</v>
      </c>
      <c r="C878" s="1" t="n">
        <v>45907</v>
      </c>
      <c r="D878" t="inlineStr">
        <is>
          <t>UPPSALA LÄN</t>
        </is>
      </c>
      <c r="E878" t="inlineStr">
        <is>
          <t>UPPSALA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2327-2024</t>
        </is>
      </c>
      <c r="B879" s="1" t="n">
        <v>45310.53418981482</v>
      </c>
      <c r="C879" s="1" t="n">
        <v>45907</v>
      </c>
      <c r="D879" t="inlineStr">
        <is>
          <t>UPPSALA LÄN</t>
        </is>
      </c>
      <c r="E879" t="inlineStr">
        <is>
          <t>UPPSALA</t>
        </is>
      </c>
      <c r="F879" t="inlineStr">
        <is>
          <t>Kyrkan</t>
        </is>
      </c>
      <c r="G879" t="n">
        <v>0.6</v>
      </c>
      <c r="H879" t="n">
        <v>0</v>
      </c>
      <c r="I879" t="n">
        <v>0</v>
      </c>
      <c r="J879" t="n">
        <v>0</v>
      </c>
      <c r="K879" t="n">
        <v>0</v>
      </c>
      <c r="L879" t="n">
        <v>0</v>
      </c>
      <c r="M879" t="n">
        <v>0</v>
      </c>
      <c r="N879" t="n">
        <v>0</v>
      </c>
      <c r="O879" t="n">
        <v>0</v>
      </c>
      <c r="P879" t="n">
        <v>0</v>
      </c>
      <c r="Q879" t="n">
        <v>0</v>
      </c>
      <c r="R879" s="2" t="inlineStr"/>
    </row>
    <row r="880" ht="15" customHeight="1">
      <c r="A880" t="inlineStr">
        <is>
          <t>A 16126-2022</t>
        </is>
      </c>
      <c r="B880" s="1" t="n">
        <v>44665</v>
      </c>
      <c r="C880" s="1" t="n">
        <v>45907</v>
      </c>
      <c r="D880" t="inlineStr">
        <is>
          <t>UPPSALA LÄN</t>
        </is>
      </c>
      <c r="E880" t="inlineStr">
        <is>
          <t>UPPSALA</t>
        </is>
      </c>
      <c r="F880" t="inlineStr">
        <is>
          <t>Bergvik skog öst AB</t>
        </is>
      </c>
      <c r="G880" t="n">
        <v>4.4</v>
      </c>
      <c r="H880" t="n">
        <v>0</v>
      </c>
      <c r="I880" t="n">
        <v>0</v>
      </c>
      <c r="J880" t="n">
        <v>0</v>
      </c>
      <c r="K880" t="n">
        <v>0</v>
      </c>
      <c r="L880" t="n">
        <v>0</v>
      </c>
      <c r="M880" t="n">
        <v>0</v>
      </c>
      <c r="N880" t="n">
        <v>0</v>
      </c>
      <c r="O880" t="n">
        <v>0</v>
      </c>
      <c r="P880" t="n">
        <v>0</v>
      </c>
      <c r="Q880" t="n">
        <v>0</v>
      </c>
      <c r="R880" s="2" t="inlineStr"/>
    </row>
    <row r="881" ht="15" customHeight="1">
      <c r="A881" t="inlineStr">
        <is>
          <t>A 57714-2022</t>
        </is>
      </c>
      <c r="B881" s="1" t="n">
        <v>44897</v>
      </c>
      <c r="C881" s="1" t="n">
        <v>45907</v>
      </c>
      <c r="D881" t="inlineStr">
        <is>
          <t>UPPSALA LÄN</t>
        </is>
      </c>
      <c r="E881" t="inlineStr">
        <is>
          <t>UPPSALA</t>
        </is>
      </c>
      <c r="G881" t="n">
        <v>8.9</v>
      </c>
      <c r="H881" t="n">
        <v>0</v>
      </c>
      <c r="I881" t="n">
        <v>0</v>
      </c>
      <c r="J881" t="n">
        <v>0</v>
      </c>
      <c r="K881" t="n">
        <v>0</v>
      </c>
      <c r="L881" t="n">
        <v>0</v>
      </c>
      <c r="M881" t="n">
        <v>0</v>
      </c>
      <c r="N881" t="n">
        <v>0</v>
      </c>
      <c r="O881" t="n">
        <v>0</v>
      </c>
      <c r="P881" t="n">
        <v>0</v>
      </c>
      <c r="Q881" t="n">
        <v>0</v>
      </c>
      <c r="R881" s="2" t="inlineStr"/>
    </row>
    <row r="882" ht="15" customHeight="1">
      <c r="A882" t="inlineStr">
        <is>
          <t>A 3260-2024</t>
        </is>
      </c>
      <c r="B882" s="1" t="n">
        <v>45317</v>
      </c>
      <c r="C882" s="1" t="n">
        <v>45907</v>
      </c>
      <c r="D882" t="inlineStr">
        <is>
          <t>UPPSALA LÄN</t>
        </is>
      </c>
      <c r="E882" t="inlineStr">
        <is>
          <t>UPPSALA</t>
        </is>
      </c>
      <c r="G882" t="n">
        <v>0.9</v>
      </c>
      <c r="H882" t="n">
        <v>0</v>
      </c>
      <c r="I882" t="n">
        <v>0</v>
      </c>
      <c r="J882" t="n">
        <v>0</v>
      </c>
      <c r="K882" t="n">
        <v>0</v>
      </c>
      <c r="L882" t="n">
        <v>0</v>
      </c>
      <c r="M882" t="n">
        <v>0</v>
      </c>
      <c r="N882" t="n">
        <v>0</v>
      </c>
      <c r="O882" t="n">
        <v>0</v>
      </c>
      <c r="P882" t="n">
        <v>0</v>
      </c>
      <c r="Q882" t="n">
        <v>0</v>
      </c>
      <c r="R882" s="2" t="inlineStr"/>
    </row>
    <row r="883" ht="15" customHeight="1">
      <c r="A883" t="inlineStr">
        <is>
          <t>A 7388-2024</t>
        </is>
      </c>
      <c r="B883" s="1" t="n">
        <v>45345.56</v>
      </c>
      <c r="C883" s="1" t="n">
        <v>45907</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42273-2023</t>
        </is>
      </c>
      <c r="B884" s="1" t="n">
        <v>45180.40255787037</v>
      </c>
      <c r="C884" s="1" t="n">
        <v>45907</v>
      </c>
      <c r="D884" t="inlineStr">
        <is>
          <t>UPPSALA LÄN</t>
        </is>
      </c>
      <c r="E884" t="inlineStr">
        <is>
          <t>UPPSALA</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53615-2024</t>
        </is>
      </c>
      <c r="B885" s="1" t="n">
        <v>45611</v>
      </c>
      <c r="C885" s="1" t="n">
        <v>45907</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14400-2025</t>
        </is>
      </c>
      <c r="B886" s="1" t="n">
        <v>45741.45114583334</v>
      </c>
      <c r="C886" s="1" t="n">
        <v>45907</v>
      </c>
      <c r="D886" t="inlineStr">
        <is>
          <t>UPPSALA LÄN</t>
        </is>
      </c>
      <c r="E886" t="inlineStr">
        <is>
          <t>UPPSALA</t>
        </is>
      </c>
      <c r="G886" t="n">
        <v>6.6</v>
      </c>
      <c r="H886" t="n">
        <v>0</v>
      </c>
      <c r="I886" t="n">
        <v>0</v>
      </c>
      <c r="J886" t="n">
        <v>0</v>
      </c>
      <c r="K886" t="n">
        <v>0</v>
      </c>
      <c r="L886" t="n">
        <v>0</v>
      </c>
      <c r="M886" t="n">
        <v>0</v>
      </c>
      <c r="N886" t="n">
        <v>0</v>
      </c>
      <c r="O886" t="n">
        <v>0</v>
      </c>
      <c r="P886" t="n">
        <v>0</v>
      </c>
      <c r="Q886" t="n">
        <v>0</v>
      </c>
      <c r="R886" s="2" t="inlineStr"/>
    </row>
    <row r="887" ht="15" customHeight="1">
      <c r="A887" t="inlineStr">
        <is>
          <t>A 36781-2023</t>
        </is>
      </c>
      <c r="B887" s="1" t="n">
        <v>45154.34931712963</v>
      </c>
      <c r="C887" s="1" t="n">
        <v>45907</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11119-2025</t>
        </is>
      </c>
      <c r="B888" s="1" t="n">
        <v>45723.63290509259</v>
      </c>
      <c r="C888" s="1" t="n">
        <v>45907</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19380-2023</t>
        </is>
      </c>
      <c r="B889" s="1" t="n">
        <v>45049.66025462963</v>
      </c>
      <c r="C889" s="1" t="n">
        <v>45907</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37618-2023</t>
        </is>
      </c>
      <c r="B890" s="1" t="n">
        <v>45159.44694444445</v>
      </c>
      <c r="C890" s="1" t="n">
        <v>45907</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21859-2024</t>
        </is>
      </c>
      <c r="B891" s="1" t="n">
        <v>45443</v>
      </c>
      <c r="C891" s="1" t="n">
        <v>45907</v>
      </c>
      <c r="D891" t="inlineStr">
        <is>
          <t>UPPSALA LÄN</t>
        </is>
      </c>
      <c r="E891" t="inlineStr">
        <is>
          <t>UPPSALA</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6009-2022</t>
        </is>
      </c>
      <c r="B892" s="1" t="n">
        <v>44599.44832175926</v>
      </c>
      <c r="C892" s="1" t="n">
        <v>45907</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59521-2023</t>
        </is>
      </c>
      <c r="B893" s="1" t="n">
        <v>45254.49552083333</v>
      </c>
      <c r="C893" s="1" t="n">
        <v>45907</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2357-2024</t>
        </is>
      </c>
      <c r="B894" s="1" t="n">
        <v>45310</v>
      </c>
      <c r="C894" s="1" t="n">
        <v>45907</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4503-2024</t>
        </is>
      </c>
      <c r="B895" s="1" t="n">
        <v>45327.61831018519</v>
      </c>
      <c r="C895" s="1" t="n">
        <v>45907</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7226-2024</t>
        </is>
      </c>
      <c r="B896" s="1" t="n">
        <v>45344.64759259259</v>
      </c>
      <c r="C896" s="1" t="n">
        <v>45907</v>
      </c>
      <c r="D896" t="inlineStr">
        <is>
          <t>UPPSALA LÄN</t>
        </is>
      </c>
      <c r="E896" t="inlineStr">
        <is>
          <t>UPPSALA</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44315-2021</t>
        </is>
      </c>
      <c r="B897" s="1" t="n">
        <v>44435.38657407407</v>
      </c>
      <c r="C897" s="1" t="n">
        <v>45907</v>
      </c>
      <c r="D897" t="inlineStr">
        <is>
          <t>UPPSALA LÄN</t>
        </is>
      </c>
      <c r="E897" t="inlineStr">
        <is>
          <t>UPPSALA</t>
        </is>
      </c>
      <c r="G897" t="n">
        <v>5.2</v>
      </c>
      <c r="H897" t="n">
        <v>0</v>
      </c>
      <c r="I897" t="n">
        <v>0</v>
      </c>
      <c r="J897" t="n">
        <v>0</v>
      </c>
      <c r="K897" t="n">
        <v>0</v>
      </c>
      <c r="L897" t="n">
        <v>0</v>
      </c>
      <c r="M897" t="n">
        <v>0</v>
      </c>
      <c r="N897" t="n">
        <v>0</v>
      </c>
      <c r="O897" t="n">
        <v>0</v>
      </c>
      <c r="P897" t="n">
        <v>0</v>
      </c>
      <c r="Q897" t="n">
        <v>0</v>
      </c>
      <c r="R897" s="2" t="inlineStr"/>
    </row>
    <row r="898" ht="15" customHeight="1">
      <c r="A898" t="inlineStr">
        <is>
          <t>A 4461-2024</t>
        </is>
      </c>
      <c r="B898" s="1" t="n">
        <v>45327</v>
      </c>
      <c r="C898" s="1" t="n">
        <v>45907</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12209-2025</t>
        </is>
      </c>
      <c r="B899" s="1" t="n">
        <v>45729</v>
      </c>
      <c r="C899" s="1" t="n">
        <v>45907</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12211-2025</t>
        </is>
      </c>
      <c r="B900" s="1" t="n">
        <v>45729</v>
      </c>
      <c r="C900" s="1" t="n">
        <v>45907</v>
      </c>
      <c r="D900" t="inlineStr">
        <is>
          <t>UPPSALA LÄN</t>
        </is>
      </c>
      <c r="E900" t="inlineStr">
        <is>
          <t>UPPSALA</t>
        </is>
      </c>
      <c r="G900" t="n">
        <v>3.6</v>
      </c>
      <c r="H900" t="n">
        <v>0</v>
      </c>
      <c r="I900" t="n">
        <v>0</v>
      </c>
      <c r="J900" t="n">
        <v>0</v>
      </c>
      <c r="K900" t="n">
        <v>0</v>
      </c>
      <c r="L900" t="n">
        <v>0</v>
      </c>
      <c r="M900" t="n">
        <v>0</v>
      </c>
      <c r="N900" t="n">
        <v>0</v>
      </c>
      <c r="O900" t="n">
        <v>0</v>
      </c>
      <c r="P900" t="n">
        <v>0</v>
      </c>
      <c r="Q900" t="n">
        <v>0</v>
      </c>
      <c r="R900" s="2" t="inlineStr"/>
    </row>
    <row r="901" ht="15" customHeight="1">
      <c r="A901" t="inlineStr">
        <is>
          <t>A 19345-2025</t>
        </is>
      </c>
      <c r="B901" s="1" t="n">
        <v>45769.6009375</v>
      </c>
      <c r="C901" s="1" t="n">
        <v>45907</v>
      </c>
      <c r="D901" t="inlineStr">
        <is>
          <t>UPPSALA LÄN</t>
        </is>
      </c>
      <c r="E901" t="inlineStr">
        <is>
          <t>UPPSALA</t>
        </is>
      </c>
      <c r="G901" t="n">
        <v>1.8</v>
      </c>
      <c r="H901" t="n">
        <v>0</v>
      </c>
      <c r="I901" t="n">
        <v>0</v>
      </c>
      <c r="J901" t="n">
        <v>0</v>
      </c>
      <c r="K901" t="n">
        <v>0</v>
      </c>
      <c r="L901" t="n">
        <v>0</v>
      </c>
      <c r="M901" t="n">
        <v>0</v>
      </c>
      <c r="N901" t="n">
        <v>0</v>
      </c>
      <c r="O901" t="n">
        <v>0</v>
      </c>
      <c r="P901" t="n">
        <v>0</v>
      </c>
      <c r="Q901" t="n">
        <v>0</v>
      </c>
      <c r="R901" s="2" t="inlineStr"/>
    </row>
    <row r="902" ht="15" customHeight="1">
      <c r="A902" t="inlineStr">
        <is>
          <t>A 18410-2025</t>
        </is>
      </c>
      <c r="B902" s="1" t="n">
        <v>45762.61341435185</v>
      </c>
      <c r="C902" s="1" t="n">
        <v>45907</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3813-2024</t>
        </is>
      </c>
      <c r="B903" s="1" t="n">
        <v>45321</v>
      </c>
      <c r="C903" s="1" t="n">
        <v>45907</v>
      </c>
      <c r="D903" t="inlineStr">
        <is>
          <t>UPPSALA LÄN</t>
        </is>
      </c>
      <c r="E903" t="inlineStr">
        <is>
          <t>UPPSALA</t>
        </is>
      </c>
      <c r="G903" t="n">
        <v>0.7</v>
      </c>
      <c r="H903" t="n">
        <v>0</v>
      </c>
      <c r="I903" t="n">
        <v>0</v>
      </c>
      <c r="J903" t="n">
        <v>0</v>
      </c>
      <c r="K903" t="n">
        <v>0</v>
      </c>
      <c r="L903" t="n">
        <v>0</v>
      </c>
      <c r="M903" t="n">
        <v>0</v>
      </c>
      <c r="N903" t="n">
        <v>0</v>
      </c>
      <c r="O903" t="n">
        <v>0</v>
      </c>
      <c r="P903" t="n">
        <v>0</v>
      </c>
      <c r="Q903" t="n">
        <v>0</v>
      </c>
      <c r="R903" s="2" t="inlineStr"/>
    </row>
    <row r="904" ht="15" customHeight="1">
      <c r="A904" t="inlineStr">
        <is>
          <t>A 8404-2022</t>
        </is>
      </c>
      <c r="B904" s="1" t="n">
        <v>44610</v>
      </c>
      <c r="C904" s="1" t="n">
        <v>45907</v>
      </c>
      <c r="D904" t="inlineStr">
        <is>
          <t>UPPSALA LÄN</t>
        </is>
      </c>
      <c r="E904" t="inlineStr">
        <is>
          <t>UPPSALA</t>
        </is>
      </c>
      <c r="F904" t="inlineStr">
        <is>
          <t>Allmännings- och besparingsskogar</t>
        </is>
      </c>
      <c r="G904" t="n">
        <v>5.4</v>
      </c>
      <c r="H904" t="n">
        <v>0</v>
      </c>
      <c r="I904" t="n">
        <v>0</v>
      </c>
      <c r="J904" t="n">
        <v>0</v>
      </c>
      <c r="K904" t="n">
        <v>0</v>
      </c>
      <c r="L904" t="n">
        <v>0</v>
      </c>
      <c r="M904" t="n">
        <v>0</v>
      </c>
      <c r="N904" t="n">
        <v>0</v>
      </c>
      <c r="O904" t="n">
        <v>0</v>
      </c>
      <c r="P904" t="n">
        <v>0</v>
      </c>
      <c r="Q904" t="n">
        <v>0</v>
      </c>
      <c r="R904" s="2" t="inlineStr"/>
    </row>
    <row r="905" ht="15" customHeight="1">
      <c r="A905" t="inlineStr">
        <is>
          <t>A 37820-2021</t>
        </is>
      </c>
      <c r="B905" s="1" t="n">
        <v>44403.3119212963</v>
      </c>
      <c r="C905" s="1" t="n">
        <v>45907</v>
      </c>
      <c r="D905" t="inlineStr">
        <is>
          <t>UPPSALA LÄN</t>
        </is>
      </c>
      <c r="E905" t="inlineStr">
        <is>
          <t>UPPSALA</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40507-2021</t>
        </is>
      </c>
      <c r="B906" s="1" t="n">
        <v>44420</v>
      </c>
      <c r="C906" s="1" t="n">
        <v>45907</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40111-2024</t>
        </is>
      </c>
      <c r="B907" s="1" t="n">
        <v>45554</v>
      </c>
      <c r="C907" s="1" t="n">
        <v>45907</v>
      </c>
      <c r="D907" t="inlineStr">
        <is>
          <t>UPPSALA LÄN</t>
        </is>
      </c>
      <c r="E907" t="inlineStr">
        <is>
          <t>UPPSALA</t>
        </is>
      </c>
      <c r="G907" t="n">
        <v>3.7</v>
      </c>
      <c r="H907" t="n">
        <v>0</v>
      </c>
      <c r="I907" t="n">
        <v>0</v>
      </c>
      <c r="J907" t="n">
        <v>0</v>
      </c>
      <c r="K907" t="n">
        <v>0</v>
      </c>
      <c r="L907" t="n">
        <v>0</v>
      </c>
      <c r="M907" t="n">
        <v>0</v>
      </c>
      <c r="N907" t="n">
        <v>0</v>
      </c>
      <c r="O907" t="n">
        <v>0</v>
      </c>
      <c r="P907" t="n">
        <v>0</v>
      </c>
      <c r="Q907" t="n">
        <v>0</v>
      </c>
      <c r="R907" s="2" t="inlineStr"/>
    </row>
    <row r="908" ht="15" customHeight="1">
      <c r="A908" t="inlineStr">
        <is>
          <t>A 2790-2025</t>
        </is>
      </c>
      <c r="B908" s="1" t="n">
        <v>45677</v>
      </c>
      <c r="C908" s="1" t="n">
        <v>45907</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12414-2025</t>
        </is>
      </c>
      <c r="B909" s="1" t="n">
        <v>45730.43966435185</v>
      </c>
      <c r="C909" s="1" t="n">
        <v>45907</v>
      </c>
      <c r="D909" t="inlineStr">
        <is>
          <t>UPPSALA LÄN</t>
        </is>
      </c>
      <c r="E909" t="inlineStr">
        <is>
          <t>UPPSALA</t>
        </is>
      </c>
      <c r="F909" t="inlineStr">
        <is>
          <t>Övriga statliga verk och myndigheter</t>
        </is>
      </c>
      <c r="G909" t="n">
        <v>6.8</v>
      </c>
      <c r="H909" t="n">
        <v>0</v>
      </c>
      <c r="I909" t="n">
        <v>0</v>
      </c>
      <c r="J909" t="n">
        <v>0</v>
      </c>
      <c r="K909" t="n">
        <v>0</v>
      </c>
      <c r="L909" t="n">
        <v>0</v>
      </c>
      <c r="M909" t="n">
        <v>0</v>
      </c>
      <c r="N909" t="n">
        <v>0</v>
      </c>
      <c r="O909" t="n">
        <v>0</v>
      </c>
      <c r="P909" t="n">
        <v>0</v>
      </c>
      <c r="Q909" t="n">
        <v>0</v>
      </c>
      <c r="R909" s="2" t="inlineStr"/>
    </row>
    <row r="910" ht="15" customHeight="1">
      <c r="A910" t="inlineStr">
        <is>
          <t>A 4929-2022</t>
        </is>
      </c>
      <c r="B910" s="1" t="n">
        <v>44593</v>
      </c>
      <c r="C910" s="1" t="n">
        <v>45907</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33622-2024</t>
        </is>
      </c>
      <c r="B911" s="1" t="n">
        <v>45520</v>
      </c>
      <c r="C911" s="1" t="n">
        <v>45907</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41545-2023</t>
        </is>
      </c>
      <c r="B912" s="1" t="n">
        <v>45175.57060185185</v>
      </c>
      <c r="C912" s="1" t="n">
        <v>45907</v>
      </c>
      <c r="D912" t="inlineStr">
        <is>
          <t>UPPSALA LÄN</t>
        </is>
      </c>
      <c r="E912" t="inlineStr">
        <is>
          <t>UPPSALA</t>
        </is>
      </c>
      <c r="G912" t="n">
        <v>6.6</v>
      </c>
      <c r="H912" t="n">
        <v>0</v>
      </c>
      <c r="I912" t="n">
        <v>0</v>
      </c>
      <c r="J912" t="n">
        <v>0</v>
      </c>
      <c r="K912" t="n">
        <v>0</v>
      </c>
      <c r="L912" t="n">
        <v>0</v>
      </c>
      <c r="M912" t="n">
        <v>0</v>
      </c>
      <c r="N912" t="n">
        <v>0</v>
      </c>
      <c r="O912" t="n">
        <v>0</v>
      </c>
      <c r="P912" t="n">
        <v>0</v>
      </c>
      <c r="Q912" t="n">
        <v>0</v>
      </c>
      <c r="R912" s="2" t="inlineStr"/>
    </row>
    <row r="913" ht="15" customHeight="1">
      <c r="A913" t="inlineStr">
        <is>
          <t>A 60047-2022</t>
        </is>
      </c>
      <c r="B913" s="1" t="n">
        <v>44909.51885416666</v>
      </c>
      <c r="C913" s="1" t="n">
        <v>45907</v>
      </c>
      <c r="D913" t="inlineStr">
        <is>
          <t>UPPSALA LÄN</t>
        </is>
      </c>
      <c r="E913" t="inlineStr">
        <is>
          <t>UPPSALA</t>
        </is>
      </c>
      <c r="F913" t="inlineStr">
        <is>
          <t>Kyrkan</t>
        </is>
      </c>
      <c r="G913" t="n">
        <v>0.7</v>
      </c>
      <c r="H913" t="n">
        <v>0</v>
      </c>
      <c r="I913" t="n">
        <v>0</v>
      </c>
      <c r="J913" t="n">
        <v>0</v>
      </c>
      <c r="K913" t="n">
        <v>0</v>
      </c>
      <c r="L913" t="n">
        <v>0</v>
      </c>
      <c r="M913" t="n">
        <v>0</v>
      </c>
      <c r="N913" t="n">
        <v>0</v>
      </c>
      <c r="O913" t="n">
        <v>0</v>
      </c>
      <c r="P913" t="n">
        <v>0</v>
      </c>
      <c r="Q913" t="n">
        <v>0</v>
      </c>
      <c r="R913" s="2" t="inlineStr"/>
    </row>
    <row r="914" ht="15" customHeight="1">
      <c r="A914" t="inlineStr">
        <is>
          <t>A 12284-2025</t>
        </is>
      </c>
      <c r="B914" s="1" t="n">
        <v>45729</v>
      </c>
      <c r="C914" s="1" t="n">
        <v>45907</v>
      </c>
      <c r="D914" t="inlineStr">
        <is>
          <t>UPPSALA LÄN</t>
        </is>
      </c>
      <c r="E914" t="inlineStr">
        <is>
          <t>UPPSALA</t>
        </is>
      </c>
      <c r="G914" t="n">
        <v>6.7</v>
      </c>
      <c r="H914" t="n">
        <v>0</v>
      </c>
      <c r="I914" t="n">
        <v>0</v>
      </c>
      <c r="J914" t="n">
        <v>0</v>
      </c>
      <c r="K914" t="n">
        <v>0</v>
      </c>
      <c r="L914" t="n">
        <v>0</v>
      </c>
      <c r="M914" t="n">
        <v>0</v>
      </c>
      <c r="N914" t="n">
        <v>0</v>
      </c>
      <c r="O914" t="n">
        <v>0</v>
      </c>
      <c r="P914" t="n">
        <v>0</v>
      </c>
      <c r="Q914" t="n">
        <v>0</v>
      </c>
      <c r="R914" s="2" t="inlineStr"/>
    </row>
    <row r="915" ht="15" customHeight="1">
      <c r="A915" t="inlineStr">
        <is>
          <t>A 12287-2025</t>
        </is>
      </c>
      <c r="B915" s="1" t="n">
        <v>45729</v>
      </c>
      <c r="C915" s="1" t="n">
        <v>45907</v>
      </c>
      <c r="D915" t="inlineStr">
        <is>
          <t>UPPSALA LÄN</t>
        </is>
      </c>
      <c r="E915" t="inlineStr">
        <is>
          <t>UPPSALA</t>
        </is>
      </c>
      <c r="G915" t="n">
        <v>4.6</v>
      </c>
      <c r="H915" t="n">
        <v>0</v>
      </c>
      <c r="I915" t="n">
        <v>0</v>
      </c>
      <c r="J915" t="n">
        <v>0</v>
      </c>
      <c r="K915" t="n">
        <v>0</v>
      </c>
      <c r="L915" t="n">
        <v>0</v>
      </c>
      <c r="M915" t="n">
        <v>0</v>
      </c>
      <c r="N915" t="n">
        <v>0</v>
      </c>
      <c r="O915" t="n">
        <v>0</v>
      </c>
      <c r="P915" t="n">
        <v>0</v>
      </c>
      <c r="Q915" t="n">
        <v>0</v>
      </c>
      <c r="R915" s="2" t="inlineStr"/>
    </row>
    <row r="916" ht="15" customHeight="1">
      <c r="A916" t="inlineStr">
        <is>
          <t>A 42543-2023</t>
        </is>
      </c>
      <c r="B916" s="1" t="n">
        <v>45181.36815972222</v>
      </c>
      <c r="C916" s="1" t="n">
        <v>45907</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8931-2025</t>
        </is>
      </c>
      <c r="B917" s="1" t="n">
        <v>45713.44519675926</v>
      </c>
      <c r="C917" s="1" t="n">
        <v>45907</v>
      </c>
      <c r="D917" t="inlineStr">
        <is>
          <t>UPPSALA LÄN</t>
        </is>
      </c>
      <c r="E917" t="inlineStr">
        <is>
          <t>UPPSALA</t>
        </is>
      </c>
      <c r="G917" t="n">
        <v>1.2</v>
      </c>
      <c r="H917" t="n">
        <v>0</v>
      </c>
      <c r="I917" t="n">
        <v>0</v>
      </c>
      <c r="J917" t="n">
        <v>0</v>
      </c>
      <c r="K917" t="n">
        <v>0</v>
      </c>
      <c r="L917" t="n">
        <v>0</v>
      </c>
      <c r="M917" t="n">
        <v>0</v>
      </c>
      <c r="N917" t="n">
        <v>0</v>
      </c>
      <c r="O917" t="n">
        <v>0</v>
      </c>
      <c r="P917" t="n">
        <v>0</v>
      </c>
      <c r="Q917" t="n">
        <v>0</v>
      </c>
      <c r="R917" s="2" t="inlineStr"/>
    </row>
    <row r="918" ht="15" customHeight="1">
      <c r="A918" t="inlineStr">
        <is>
          <t>A 74023-2021</t>
        </is>
      </c>
      <c r="B918" s="1" t="n">
        <v>44553</v>
      </c>
      <c r="C918" s="1" t="n">
        <v>45907</v>
      </c>
      <c r="D918" t="inlineStr">
        <is>
          <t>UPPSALA LÄN</t>
        </is>
      </c>
      <c r="E918" t="inlineStr">
        <is>
          <t>UPPSALA</t>
        </is>
      </c>
      <c r="G918" t="n">
        <v>5.4</v>
      </c>
      <c r="H918" t="n">
        <v>0</v>
      </c>
      <c r="I918" t="n">
        <v>0</v>
      </c>
      <c r="J918" t="n">
        <v>0</v>
      </c>
      <c r="K918" t="n">
        <v>0</v>
      </c>
      <c r="L918" t="n">
        <v>0</v>
      </c>
      <c r="M918" t="n">
        <v>0</v>
      </c>
      <c r="N918" t="n">
        <v>0</v>
      </c>
      <c r="O918" t="n">
        <v>0</v>
      </c>
      <c r="P918" t="n">
        <v>0</v>
      </c>
      <c r="Q918" t="n">
        <v>0</v>
      </c>
      <c r="R918" s="2" t="inlineStr"/>
    </row>
    <row r="919" ht="15" customHeight="1">
      <c r="A919" t="inlineStr">
        <is>
          <t>A 44830-2023</t>
        </is>
      </c>
      <c r="B919" s="1" t="n">
        <v>45190</v>
      </c>
      <c r="C919" s="1" t="n">
        <v>45907</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73044-2021</t>
        </is>
      </c>
      <c r="B920" s="1" t="n">
        <v>44550.37994212963</v>
      </c>
      <c r="C920" s="1" t="n">
        <v>45907</v>
      </c>
      <c r="D920" t="inlineStr">
        <is>
          <t>UPPSALA LÄN</t>
        </is>
      </c>
      <c r="E920" t="inlineStr">
        <is>
          <t>UPPSALA</t>
        </is>
      </c>
      <c r="F920" t="inlineStr">
        <is>
          <t>Sveaskog</t>
        </is>
      </c>
      <c r="G920" t="n">
        <v>2.5</v>
      </c>
      <c r="H920" t="n">
        <v>0</v>
      </c>
      <c r="I920" t="n">
        <v>0</v>
      </c>
      <c r="J920" t="n">
        <v>0</v>
      </c>
      <c r="K920" t="n">
        <v>0</v>
      </c>
      <c r="L920" t="n">
        <v>0</v>
      </c>
      <c r="M920" t="n">
        <v>0</v>
      </c>
      <c r="N920" t="n">
        <v>0</v>
      </c>
      <c r="O920" t="n">
        <v>0</v>
      </c>
      <c r="P920" t="n">
        <v>0</v>
      </c>
      <c r="Q920" t="n">
        <v>0</v>
      </c>
      <c r="R920" s="2" t="inlineStr"/>
    </row>
    <row r="921">
      <c r="A921" t="inlineStr">
        <is>
          <t>A 19139-2023</t>
        </is>
      </c>
      <c r="B921" s="1" t="n">
        <v>45048.55349537037</v>
      </c>
      <c r="C921" s="1" t="n">
        <v>45907</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2025-09-07T09:00:40Z</dcterms:created>
  <dcterms:modified xmlns:dcterms="http://purl.org/dc/terms/" xmlns:xsi="http://www.w3.org/2001/XMLSchema-instance" xsi:type="dcterms:W3CDTF">2025-09-07T09:00:41Z</dcterms:modified>
</cp:coreProperties>
</file>