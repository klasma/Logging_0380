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36767-2020</t>
        </is>
      </c>
      <c r="B14" s="1" t="n">
        <v>44053</v>
      </c>
      <c r="C14" s="1" t="n">
        <v>45750</v>
      </c>
      <c r="D14" t="inlineStr">
        <is>
          <t>UPPSALA LÄN</t>
        </is>
      </c>
      <c r="E14" t="inlineStr">
        <is>
          <t>UPPSALA</t>
        </is>
      </c>
      <c r="G14" t="n">
        <v>4.1</v>
      </c>
      <c r="H14" t="n">
        <v>0</v>
      </c>
      <c r="I14" t="n">
        <v>3</v>
      </c>
      <c r="J14" t="n">
        <v>4</v>
      </c>
      <c r="K14" t="n">
        <v>3</v>
      </c>
      <c r="L14" t="n">
        <v>1</v>
      </c>
      <c r="M14" t="n">
        <v>0</v>
      </c>
      <c r="N14" t="n">
        <v>0</v>
      </c>
      <c r="O14" t="n">
        <v>8</v>
      </c>
      <c r="P14" t="n">
        <v>4</v>
      </c>
      <c r="Q14" t="n">
        <v>11</v>
      </c>
      <c r="R14" s="2" t="inlineStr">
        <is>
          <t>Lilafotad fingersvamp
Apelticka
Rostorangelav
Violgubbe
Blek fingersvamp
Druvfingersvamp
Gultoppig fingersvamp
Persiljespindling
Fjällig taggsvamp s.str.
Mandelriska
Skarp dropptaggsvamp</t>
        </is>
      </c>
      <c r="S14">
        <f>HYPERLINK("https://klasma.github.io/Logging_0380/artfynd/A 36767-2020 artfynd.xlsx", "A 36767-2020")</f>
        <v/>
      </c>
      <c r="T14">
        <f>HYPERLINK("https://klasma.github.io/Logging_0380/kartor/A 36767-2020 karta.png", "A 36767-2020")</f>
        <v/>
      </c>
      <c r="V14">
        <f>HYPERLINK("https://klasma.github.io/Logging_0380/klagomål/A 36767-2020 FSC-klagomål.docx", "A 36767-2020")</f>
        <v/>
      </c>
      <c r="W14">
        <f>HYPERLINK("https://klasma.github.io/Logging_0380/klagomålsmail/A 36767-2020 FSC-klagomål mail.docx", "A 36767-2020")</f>
        <v/>
      </c>
      <c r="X14">
        <f>HYPERLINK("https://klasma.github.io/Logging_0380/tillsyn/A 36767-2020 tillsynsbegäran.docx", "A 36767-2020")</f>
        <v/>
      </c>
      <c r="Y14">
        <f>HYPERLINK("https://klasma.github.io/Logging_0380/tillsynsmail/A 36767-2020 tillsynsbegäran mail.docx", "A 36767-2020")</f>
        <v/>
      </c>
    </row>
    <row r="15" ht="15" customHeight="1">
      <c r="A15" t="inlineStr">
        <is>
          <t>A 3929-2021</t>
        </is>
      </c>
      <c r="B15" s="1" t="n">
        <v>44222</v>
      </c>
      <c r="C15" s="1" t="n">
        <v>45750</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10368-2022</t>
        </is>
      </c>
      <c r="B16" s="1" t="n">
        <v>44623</v>
      </c>
      <c r="C16" s="1" t="n">
        <v>45750</v>
      </c>
      <c r="D16" t="inlineStr">
        <is>
          <t>UPPSALA LÄN</t>
        </is>
      </c>
      <c r="E16" t="inlineStr">
        <is>
          <t>UPPSALA</t>
        </is>
      </c>
      <c r="F16" t="inlineStr">
        <is>
          <t>Övriga Aktiebolag</t>
        </is>
      </c>
      <c r="G16" t="n">
        <v>3.4</v>
      </c>
      <c r="H16" t="n">
        <v>1</v>
      </c>
      <c r="I16" t="n">
        <v>7</v>
      </c>
      <c r="J16" t="n">
        <v>2</v>
      </c>
      <c r="K16" t="n">
        <v>0</v>
      </c>
      <c r="L16" t="n">
        <v>0</v>
      </c>
      <c r="M16" t="n">
        <v>1</v>
      </c>
      <c r="N16" t="n">
        <v>0</v>
      </c>
      <c r="O16" t="n">
        <v>3</v>
      </c>
      <c r="P16" t="n">
        <v>1</v>
      </c>
      <c r="Q16" t="n">
        <v>11</v>
      </c>
      <c r="R16" s="2" t="inlineStr">
        <is>
          <t>Skogsalm
Lunglav
Vedtrappmossa
Bårdlav
Fällmossa
Guldlockmossa
Korallblylav
Luddlav
Mörk husmossa
Platt fjädermossa
Blåsippa</t>
        </is>
      </c>
      <c r="S16">
        <f>HYPERLINK("https://klasma.github.io/Logging_0380/artfynd/A 10368-2022 artfynd.xlsx", "A 10368-2022")</f>
        <v/>
      </c>
      <c r="T16">
        <f>HYPERLINK("https://klasma.github.io/Logging_0380/kartor/A 10368-2022 karta.png", "A 10368-2022")</f>
        <v/>
      </c>
      <c r="V16">
        <f>HYPERLINK("https://klasma.github.io/Logging_0380/klagomål/A 10368-2022 FSC-klagomål.docx", "A 10368-2022")</f>
        <v/>
      </c>
      <c r="W16">
        <f>HYPERLINK("https://klasma.github.io/Logging_0380/klagomålsmail/A 10368-2022 FSC-klagomål mail.docx", "A 10368-2022")</f>
        <v/>
      </c>
      <c r="X16">
        <f>HYPERLINK("https://klasma.github.io/Logging_0380/tillsyn/A 10368-2022 tillsynsbegäran.docx", "A 10368-2022")</f>
        <v/>
      </c>
      <c r="Y16">
        <f>HYPERLINK("https://klasma.github.io/Logging_0380/tillsynsmail/A 10368-2022 tillsynsbegäran mail.docx", "A 10368-2022")</f>
        <v/>
      </c>
    </row>
    <row r="17" ht="15" customHeight="1">
      <c r="A17" t="inlineStr">
        <is>
          <t>A 7380-2023</t>
        </is>
      </c>
      <c r="B17" s="1" t="n">
        <v>44971</v>
      </c>
      <c r="C17" s="1" t="n">
        <v>45750</v>
      </c>
      <c r="D17" t="inlineStr">
        <is>
          <t>UPPSALA LÄN</t>
        </is>
      </c>
      <c r="E17" t="inlineStr">
        <is>
          <t>UPPSALA</t>
        </is>
      </c>
      <c r="G17" t="n">
        <v>3.7</v>
      </c>
      <c r="H17" t="n">
        <v>1</v>
      </c>
      <c r="I17" t="n">
        <v>6</v>
      </c>
      <c r="J17" t="n">
        <v>3</v>
      </c>
      <c r="K17" t="n">
        <v>0</v>
      </c>
      <c r="L17" t="n">
        <v>0</v>
      </c>
      <c r="M17" t="n">
        <v>1</v>
      </c>
      <c r="N17" t="n">
        <v>0</v>
      </c>
      <c r="O17" t="n">
        <v>4</v>
      </c>
      <c r="P17" t="n">
        <v>1</v>
      </c>
      <c r="Q17" t="n">
        <v>11</v>
      </c>
      <c r="R17" s="2" t="inlineStr">
        <is>
          <t>Skogsalm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47453-2023</t>
        </is>
      </c>
      <c r="B18" s="1" t="n">
        <v>45202</v>
      </c>
      <c r="C18" s="1" t="n">
        <v>45750</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45750</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45750</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45750</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45750</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45750</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45750</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45750</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45750</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45750</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45750</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45750</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45750</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45750</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45750</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45750</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45750</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45750</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45750</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45750</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45750</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45750</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45750</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45750</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45750</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45750</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45750</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45750</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45750</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45750</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45750</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45750</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45750</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45750</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45750</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45750</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45750</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45750</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45750</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45750</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45750</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45750</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45750</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45750</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45750</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45750</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45750</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45750</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45750</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45750</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45750</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45750</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45750</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45750</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45750</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45750</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45750</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45750</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45750</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45750</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45750</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45750</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45750</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45750</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45750</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45750</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45750</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45750</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45750</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45750</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45750</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45750</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45750</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45750</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45750</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45750</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45750</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45750</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45750</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45750</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45750</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45750</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45750</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45750</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45750</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45750</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45750</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45750</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45750</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45750</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45750</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45750</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45750</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45750</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45750</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45750</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45750</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45750</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45750</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45750</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45750</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45750</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45750</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45750</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45750</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45750</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45750</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45750</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45750</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45750</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45750</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45750</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45750</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45750</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45750</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45750</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45750</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45750</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45750</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45750</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45750</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45750</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45750</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45750</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45750</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45750</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45750</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45750</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45750</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45750</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45750</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45750</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45750</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45750</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45750</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45750</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45750</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45750</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45750</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45750</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45750</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45750</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45750</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45750</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45750</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45750</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45750</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45750</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45750</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45750</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45750</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45750</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45750</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45750</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45750</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45750</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45750</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45750</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45750</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45750</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45750</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45750</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45750</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45750</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45750</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45750</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45750</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45750</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45750</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45750</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45750</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45750</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45750</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45750</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45750</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45750</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45750</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45750</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45750</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45750</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45750</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45750</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45750</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45750</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45750</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45750</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45750</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45750</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45750</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45750</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45750</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45750</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45750</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45750</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45750</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45750</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45750</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45750</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45750</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45750</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45750</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45750</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45750</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45750</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45750</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45750</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45750</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45750</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45750</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45750</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45750</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45750</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45750</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45750</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45750</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45750</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45750</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45750</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45750</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45750</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45750</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45750</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45750</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45750</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45750</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45750</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45750</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45750</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45750</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45750</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45750</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45750</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45750</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45750</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45750</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45750</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45750</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45750</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45750</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45750</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45750</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45750</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45750</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45750</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45750</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45750</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45750</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45750</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45750</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45750</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45750</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45750</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45750</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45750</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45750</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45750</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45750</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45750</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45750</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45750</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45750</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45750</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45750</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45750</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45750</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45750</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45750</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45750</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45750</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45750</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45750</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45750</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45750</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45750</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45750</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45750</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45750</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45750</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45750</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45750</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45750</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45750</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45750</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45750</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45750</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45750</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45750</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45750</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45750</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45750</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45750</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45750</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45750</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45750</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45750</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45750</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45750</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45750</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45750</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45750</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45750</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45750</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45750</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45750</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45750</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45750</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45750</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45750</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45750</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45750</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45750</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45750</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45750</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45750</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45750</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45750</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45750</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45750</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45750</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45750</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45750</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45750</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45750</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45750</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45750</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45750</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45750</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45750</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45750</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45750</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45750</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45750</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45750</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45750</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45750</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45750</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45750</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45750</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45750</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45750</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45750</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45750</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45750</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45750</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45750</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45750</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45750</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45750</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45750</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45750</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45750</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45750</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45750</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45750</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45750</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45750</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45750</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45750</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45750</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45750</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45750</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45750</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45750</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45750</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45750</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45750</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45750</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45750</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45750</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45750</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45750</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45750</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45750</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45750</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45750</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45750</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45750</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45750</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45750</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45750</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45750</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45750</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45750</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45750</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45750</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45750</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45750</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45750</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45750</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45750</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45750</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45750</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45750</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45750</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45750</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45750</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45750</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45750</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45750</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45750</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45750</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45750</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45750</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45750</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45750</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45750</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45750</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45750</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45750</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45750</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45750</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45750</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45750</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45750</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45750</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45750</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45750</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45750</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45750</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45750</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45750</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45750</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45750</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45750</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45750</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45750</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45750</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45750</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45750</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45750</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45750</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45750</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45750</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45750</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45750</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45750</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45750</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45750</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45750</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45750</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45750</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45750</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45750</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45750</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45750</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45750</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45750</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45750</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45750</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45750</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45750</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45750</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45750</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45750</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45750</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45750</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45750</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45750</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45750</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45750</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45750</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45750</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45750</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45750</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45750</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45750</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45750</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45750</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45750</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45750</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45750</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45750</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45750</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45750</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45750</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45750</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45750</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45750</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45750</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45750</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45750</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45750</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45750</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45750</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45750</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45750</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45750</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45750</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45750</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45750</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45750</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45750</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45750</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45750</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45750</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45750</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45750</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45750</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45750</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45750</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45750</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45750</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45750</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45750</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45750</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45750</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45750</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45750</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45750</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45750</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45750</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45750</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45750</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45750</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45750</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45750</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45750</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45750</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45750</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45750</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45750</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45750</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45750</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45750</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45750</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45750</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45750</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45750</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45750</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45750</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45750</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45750</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45750</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45750</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45750</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45750</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45750</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45750</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45750</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45750</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45750</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45750</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45750</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45750</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45750</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45750</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45750</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45750</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45750</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45750</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45750</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45750</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45750</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45750</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45750</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45750</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45750</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45750</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45750</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45750</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45750</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45750</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45750</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45750</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45750</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45750</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45750</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45750</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45750</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45750</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45750</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45750</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45750</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45750</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45750</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45750</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45750</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45750</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45750</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45750</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45750</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45750</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45750</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45750</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45750</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45750</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45750</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45750</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45750</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45750</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45750</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45750</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45750</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45750</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45750</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45750</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45750</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45750</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45750</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45750</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45750</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45750</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45750</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45750</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45750</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45750</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45750</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45750</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45750</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45750</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45750</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45750</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45750</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45750</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45750</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45750</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45750</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45750</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45750</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45750</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45750</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45750</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45750</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45750</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45750</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45750</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45750</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45750</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45750</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45750</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45750</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45750</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45750</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45750</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45750</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45750</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45750</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45750</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45750</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45750</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45750</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45750</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45750</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45750</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45750</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45750</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45750</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45750</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45750</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45750</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45750</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45750</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45750</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45750</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45750</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45750</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45750</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45750</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45750</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45750</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45750</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45750</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45750</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45750</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45750</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45750</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45750</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45750</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45750</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45750</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45750</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45750</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45750</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45750</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45750</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45750</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45750</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45750</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45750</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45750</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45750</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45750</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45750</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45750</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45750</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45750</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45750</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45750</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45750</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45750</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45750</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45750</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45750</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45750</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45750</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45750</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45750</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45750</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45750</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45750</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45750</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45750</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45750</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45750</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45750</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45750</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45750</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45750</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45750</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45750</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45750</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45750</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45750</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45750</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45750</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45750</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45750</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45750</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45750</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45750</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45750</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45750</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45750</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45750</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45750</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45750</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45750</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45750</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45750</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45750</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45750</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45750</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45750</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45750</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45750</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45750</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45750</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45750</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45750</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45750</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45750</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45750</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45750</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45750</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45750</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45750</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45750</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45750</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45750</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45750</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45750</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45750</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45750</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45750</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45750</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45750</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45750</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45750</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45750</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45750</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45750</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45750</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45750</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45750</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45750</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45750</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45750</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45750</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45750</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45750</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45750</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45750</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45750</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45750</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45750</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45750</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45750</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45750</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45750</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45750</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45750</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45750</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45750</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45750</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45750</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45750</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45750</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45750</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45750</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45750</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45750</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45750</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45750</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45750</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45750</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45750</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45750</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45750</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45750</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45750</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45750</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45750</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45750</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45750</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45750</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45750</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45750</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45750</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45750</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45750</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45750</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45750</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45750</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45750</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45750</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45750</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45750</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45750</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45750</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45750</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45750</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45750</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45750</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45750</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45750</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45750</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45750</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45750</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45750</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45750</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45750</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45750</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45750</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45750</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45750</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45750</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45750</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45750</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45750</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45750</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45750</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45750</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45750</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45750</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45750</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45750</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45750</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45750</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45750</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45750</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45750</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45750</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45750</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45750</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45750</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45750</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45750</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45750</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45750</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45750</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45750</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45750</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45750</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45750</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45750</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45750</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45750</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45750</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45750</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45750</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45750</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45750</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45750</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45750</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45750</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45750</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45750</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45750</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45750</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45750</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45750</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45750</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45750</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45750</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45750</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45750</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45750</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45750</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45750</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45750</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45750</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45750</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45750</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45750</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45750</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45750</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45750</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45750</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45750</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45750</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45750</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45750</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45750</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45750</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45750</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45750</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45750</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45750</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45750</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45750</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45750</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45750</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45750</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45750</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45750</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45750</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45750</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45750</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45750</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45750</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45750</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45750</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45750</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45750</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45750</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45750</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45750</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45750</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45750</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45750</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45750</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45750</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45750</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45750</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45750</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45750</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45750</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45750</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45750</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45750</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45750</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45750</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45750</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45750</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45750</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45750</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45750</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45750</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45750</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45750</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45750</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45750</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45750</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45750</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45750</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45750</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45750</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45750</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45750</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45750</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45750</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45750</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45750</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45750</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45750</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45750</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45750</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45750</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45750</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45750</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45750</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45750</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45750</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45750</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45750</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45750</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45750</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45750</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45750</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45750</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45750</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45750</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45750</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45750</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45750</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45750</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45750</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45750</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45750</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45750</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45750</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45750</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45750</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45750</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45750</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45750</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45750</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45750</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45750</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45750</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45750</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45750</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45750</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45750</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45750</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45750</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45750</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45750</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45750</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45750</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45750</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45750</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45750</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45750</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45750</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45750</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45750</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45750</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45750</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45750</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45750</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45750</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45750</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45750</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45750</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45750</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45750</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45750</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45750</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45750</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45750</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45750</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45750</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45750</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45750</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45750</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45750</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45750</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45750</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45750</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45750</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45750</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45750</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45750</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45750</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45750</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45750</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45750</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45750</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45750</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45750</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45750</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45750</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45750</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45750</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45750</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45750</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45750</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45750</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45750</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45750</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45750</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45750</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45750</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45750</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45750</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45750</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45750</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45750</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45750</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45750</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45750</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45750</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45750</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45750</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45750</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45750</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45750</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45750</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45750</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45750</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45750</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45750</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45750</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45750</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45750</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45750</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45750</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45750</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45750</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45750</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45750</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45750</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45750</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45750</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45750</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45750</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45750</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45750</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45750</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45750</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45750</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45750</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45750</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45750</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45750</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45750</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45750</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45750</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45750</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45750</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45750</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45750</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45750</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45750</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45750</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45750</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45750</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45750</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45750</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45750</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45750</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45750</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45750</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45750</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45750</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45750</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45750</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45750</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45750</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45750</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45750</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45750</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45750</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45750</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45750</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45750</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45750</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45750</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45750</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45750</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45750</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45750</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45750</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45750</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45750</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45750</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45750</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45750</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45750</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45750</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45750</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45750</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45750</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45750</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45750</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45750</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45750</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45750</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45750</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45750</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45750</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45750</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45750</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45750</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45750</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45750</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45750</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45750</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45750</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45750</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45750</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45750</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45750</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45750</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45750</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45750</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45750</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45750</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45750</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45750</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45750</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45750</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45750</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45750</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45750</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45750</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45750</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45750</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45750</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45750</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45750</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45750</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45750</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45750</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45750</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45750</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45750</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45750</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45750</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45750</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45750</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45750</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45750</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45750</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45750</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45750</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45750</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45750</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45750</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45750</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45750</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45750</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45750</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45750</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45750</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45750</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45750</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45750</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45750</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45750</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45750</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45750</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45750</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45750</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45750</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45750</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45750</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45750</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45750</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45750</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45750</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45750</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45750</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45750</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45750</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45750</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45750</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45750</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45750</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45750</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45750</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45750</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45750</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45750</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45750</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45750</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45750</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45750</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45750</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45750</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45750</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45750</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45750</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45750</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45750</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45750</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45750</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45750</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45750</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45750</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45750</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45750</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45750</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45750</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45750</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45750</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45750</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45750</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45750</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45750</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45750</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45750</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45750</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45750</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45750</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45750</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45750</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45750</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45750</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45750</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45750</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45750</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45750</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45750</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45750</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45750</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45750</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45750</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45750</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45750</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45750</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45750</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45750</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45750</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45750</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45750</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45750</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45750</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45750</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45750</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45750</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45750</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45750</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45750</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45750</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45750</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45750</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45750</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45750</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45750</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45750</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45750</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45750</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45750</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45750</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45750</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45750</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45750</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45750</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45750</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45750</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45750</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45750</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45750</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45750</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45750</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45750</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45750</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45750</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45750</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45750</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45750</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45750</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45750</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45750</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45750</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45750</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45750</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45750</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45750</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45750</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45750</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45750</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45750</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45750</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45750</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45750</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45750</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45750</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45750</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45750</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45750</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45750</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45750</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45750</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45750</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45750</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45750</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45750</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45750</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45750</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45750</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45750</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45750</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45750</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45750</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45750</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45750</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45750</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45750</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45750</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45750</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45750</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45750</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45750</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45750</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45750</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45750</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45750</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45750</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45750</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45750</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45750</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45750</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45750</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45750</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45750</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45750</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45750</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45750</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45750</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45750</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45750</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45750</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45750</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45750</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45750</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45750</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45750</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45750</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45750</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45750</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45750</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45750</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45750</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45750</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45750</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45750</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45750</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45750</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45750</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45750</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45750</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45750</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45750</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45750</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45750</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45750</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45750</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45750</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45750</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45750</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45750</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45750</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45750</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45750</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45750</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45750</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45750</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45750</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45750</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45750</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45750</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45750</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45750</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45750</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45750</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45750</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45750</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45750</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45750</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45750</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45750</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45750</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45750</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45750</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45750</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45750</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45750</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45750</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45750</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45750</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45750</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45750</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45750</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45750</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45750</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45750</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45750</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45750</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45750</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45750</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45750</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45750</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45750</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45750</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45750</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45750</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45750</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45750</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45750</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45750</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45750</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45750</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45750</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45750</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45750</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45750</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45750</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45750</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45750</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45750</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45750</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45750</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45750</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45750</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45750</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45750</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45750</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45750</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45750</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45750</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45750</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45750</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45750</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45750</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45750</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45750</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45750</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45750</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45750</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45750</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45750</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45750</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45750</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45750</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45750</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45750</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45750</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45750</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45750</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45750</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45750</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45750</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45750</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45750</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45750</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45750</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45750</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45750</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45750</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45750</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45750</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45750</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45750</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45750</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45750</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45750</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45750</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45750</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45750</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45750</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45750</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45750</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45750</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45750</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45750</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45750</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45750</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45750</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45750</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45750</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45750</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45750</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45750</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45750</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45750</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45750</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45750</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45750</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45750</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45750</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45750</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45750</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45750</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45750</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45750</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45750</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45750</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45750</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45750</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45750</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45750</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45750</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45750</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45750</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45750</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45750</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45750</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45750</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45750</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45750</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45750</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45750</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45750</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45750</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45750</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45750</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45750</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45750</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45750</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45750</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45750</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45750</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45750</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45750</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45750</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45750</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45750</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45750</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45750</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45750</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45750</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45750</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45750</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45750</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45750</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45750</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45750</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45750</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45750</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45750</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45750</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45750</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45750</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45750</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45750</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45750</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45750</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45750</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45750</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45750</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45750</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45750</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45750</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45750</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45750</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45750</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45750</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45750</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45750</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45750</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45750</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45750</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45750</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45750</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45750</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45750</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45750</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45750</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45750</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45750</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45750</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45750</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45750</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45750</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45750</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45750</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45750</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45750</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45750</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45750</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45750</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45750</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45750</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45750</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45750</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45750</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45750</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45750</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45750</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45750</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45750</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45750</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45750</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45750</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45750</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45750</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45750</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45750</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45750</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45750</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45750</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45750</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45750</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45750</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45750</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45750</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45750</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45750</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45750</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45750</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45750</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45750</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45750</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45750</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45750</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45750</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45750</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45750</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45750</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45750</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45750</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45750</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45750</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45750</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45750</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45750</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45750</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45750</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45750</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45750</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45750</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45750</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45750</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45750</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45750</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45750</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45750</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45750</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45750</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45750</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45750</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45750</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45750</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45750</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45750</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45750</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45750</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45750</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45750</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12287-2025</t>
        </is>
      </c>
      <c r="B1740" s="1" t="n">
        <v>45729</v>
      </c>
      <c r="C1740" s="1" t="n">
        <v>45750</v>
      </c>
      <c r="D1740" t="inlineStr">
        <is>
          <t>UPPSALA LÄN</t>
        </is>
      </c>
      <c r="E1740" t="inlineStr">
        <is>
          <t>UPPSALA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12209-2025</t>
        </is>
      </c>
      <c r="B1741" s="1" t="n">
        <v>45729</v>
      </c>
      <c r="C1741" s="1" t="n">
        <v>45750</v>
      </c>
      <c r="D1741" t="inlineStr">
        <is>
          <t>UPPSALA LÄN</t>
        </is>
      </c>
      <c r="E1741" t="inlineStr">
        <is>
          <t>UPPSALA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45750</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45750</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45750</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45750</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45750</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45750</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45750</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13594-2025</t>
        </is>
      </c>
      <c r="B1749" s="1" t="n">
        <v>45736</v>
      </c>
      <c r="C1749" s="1" t="n">
        <v>45750</v>
      </c>
      <c r="D1749" t="inlineStr">
        <is>
          <t>UPPSALA LÄN</t>
        </is>
      </c>
      <c r="E1749" t="inlineStr">
        <is>
          <t>UPPSALA</t>
        </is>
      </c>
      <c r="F1749" t="inlineStr">
        <is>
          <t>Allmännings- och besparingsskogar</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45750</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13502-2025</t>
        </is>
      </c>
      <c r="B1751" s="1" t="n">
        <v>45736</v>
      </c>
      <c r="C1751" s="1" t="n">
        <v>45750</v>
      </c>
      <c r="D1751" t="inlineStr">
        <is>
          <t>UPPSALA LÄN</t>
        </is>
      </c>
      <c r="E1751" t="inlineStr">
        <is>
          <t>UPPSALA</t>
        </is>
      </c>
      <c r="F1751" t="inlineStr">
        <is>
          <t>Allmännings- och besparingsskogar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45750</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45750</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45750</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45750</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45750</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45750</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45750</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45750</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45750</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c r="A1761" t="inlineStr">
        <is>
          <t>A 15937-2025</t>
        </is>
      </c>
      <c r="B1761" s="1" t="n">
        <v>45749</v>
      </c>
      <c r="C1761" s="1" t="n">
        <v>45750</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2025-04-03T20:41:20Z</dcterms:created>
  <dcterms:modified xmlns:dcterms="http://purl.org/dc/terms/" xmlns:xsi="http://www.w3.org/2001/XMLSchema-instance" xsi:type="dcterms:W3CDTF">2025-04-03T20:41:22Z</dcterms:modified>
</cp:coreProperties>
</file>