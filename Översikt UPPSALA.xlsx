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45572</v>
      </c>
      <c r="D2" t="inlineStr">
        <is>
          <t>UPPSALA LÄN</t>
        </is>
      </c>
      <c r="E2" t="inlineStr">
        <is>
          <t>UPPSALA</t>
        </is>
      </c>
      <c r="F2" t="inlineStr">
        <is>
          <t>Kommuner</t>
        </is>
      </c>
      <c r="G2" t="n">
        <v>32.8</v>
      </c>
      <c r="H2" t="n">
        <v>6</v>
      </c>
      <c r="I2" t="n">
        <v>15</v>
      </c>
      <c r="J2" t="n">
        <v>10</v>
      </c>
      <c r="K2" t="n">
        <v>5</v>
      </c>
      <c r="L2" t="n">
        <v>0</v>
      </c>
      <c r="M2" t="n">
        <v>0</v>
      </c>
      <c r="N2" t="n">
        <v>0</v>
      </c>
      <c r="O2" t="n">
        <v>15</v>
      </c>
      <c r="P2" t="n">
        <v>5</v>
      </c>
      <c r="Q2" t="n">
        <v>33</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45572</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45572</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45572</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45572</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45572</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45572</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45572</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45572</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45572</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45572</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45572</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45572</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45572</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45572</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45572</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45572</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45572</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45572</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45572</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45572</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45572</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45572</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45572</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45572</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45572</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45572</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45572</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45572</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31073-2024</t>
        </is>
      </c>
      <c r="B32" s="1" t="n">
        <v>45502</v>
      </c>
      <c r="C32" s="1" t="n">
        <v>45572</v>
      </c>
      <c r="D32" t="inlineStr">
        <is>
          <t>UPPSALA LÄN</t>
        </is>
      </c>
      <c r="E32" t="inlineStr">
        <is>
          <t>UPPSALA</t>
        </is>
      </c>
      <c r="G32" t="n">
        <v>12.9</v>
      </c>
      <c r="H32" t="n">
        <v>1</v>
      </c>
      <c r="I32" t="n">
        <v>4</v>
      </c>
      <c r="J32" t="n">
        <v>2</v>
      </c>
      <c r="K32" t="n">
        <v>1</v>
      </c>
      <c r="L32" t="n">
        <v>0</v>
      </c>
      <c r="M32" t="n">
        <v>0</v>
      </c>
      <c r="N32" t="n">
        <v>0</v>
      </c>
      <c r="O32" t="n">
        <v>3</v>
      </c>
      <c r="P32" t="n">
        <v>1</v>
      </c>
      <c r="Q32" t="n">
        <v>7</v>
      </c>
      <c r="R32" s="2" t="inlineStr">
        <is>
          <t>Knärot
Gul taggsvamp
Orange taggsvamp
Brandticka
Mandelriska
Rödgul trumpetsvamp
Rökmusseron</t>
        </is>
      </c>
      <c r="S32">
        <f>HYPERLINK("https://klasma.github.io/Logging_0380/artfynd/A 31073-2024 artfynd.xlsx", "A 31073-2024")</f>
        <v/>
      </c>
      <c r="T32">
        <f>HYPERLINK("https://klasma.github.io/Logging_0380/kartor/A 31073-2024 karta.png", "A 31073-2024")</f>
        <v/>
      </c>
      <c r="U32">
        <f>HYPERLINK("https://klasma.github.io/Logging_0380/knärot/A 31073-2024 karta knärot.png", "A 31073-2024")</f>
        <v/>
      </c>
      <c r="V32">
        <f>HYPERLINK("https://klasma.github.io/Logging_0380/klagomål/A 31073-2024 FSC-klagomål.docx", "A 31073-2024")</f>
        <v/>
      </c>
      <c r="W32">
        <f>HYPERLINK("https://klasma.github.io/Logging_0380/klagomålsmail/A 31073-2024 FSC-klagomål mail.docx", "A 31073-2024")</f>
        <v/>
      </c>
      <c r="X32">
        <f>HYPERLINK("https://klasma.github.io/Logging_0380/tillsyn/A 31073-2024 tillsynsbegäran.docx", "A 31073-2024")</f>
        <v/>
      </c>
      <c r="Y32">
        <f>HYPERLINK("https://klasma.github.io/Logging_0380/tillsynsmail/A 31073-2024 tillsynsbegäran mail.docx", "A 31073-2024")</f>
        <v/>
      </c>
    </row>
    <row r="33" ht="15" customHeight="1">
      <c r="A33" t="inlineStr">
        <is>
          <t>A 52838-2020</t>
        </is>
      </c>
      <c r="B33" s="1" t="n">
        <v>44119</v>
      </c>
      <c r="C33" s="1" t="n">
        <v>45572</v>
      </c>
      <c r="D33" t="inlineStr">
        <is>
          <t>UPPSALA LÄN</t>
        </is>
      </c>
      <c r="E33" t="inlineStr">
        <is>
          <t>UPPSALA</t>
        </is>
      </c>
      <c r="G33" t="n">
        <v>4.8</v>
      </c>
      <c r="H33" t="n">
        <v>3</v>
      </c>
      <c r="I33" t="n">
        <v>3</v>
      </c>
      <c r="J33" t="n">
        <v>2</v>
      </c>
      <c r="K33" t="n">
        <v>0</v>
      </c>
      <c r="L33" t="n">
        <v>0</v>
      </c>
      <c r="M33" t="n">
        <v>0</v>
      </c>
      <c r="N33" t="n">
        <v>0</v>
      </c>
      <c r="O33" t="n">
        <v>2</v>
      </c>
      <c r="P33" t="n">
        <v>0</v>
      </c>
      <c r="Q33" t="n">
        <v>6</v>
      </c>
      <c r="R33" s="2" t="inlineStr">
        <is>
          <t>Spillkråka
Ärtsångare
Bronshjon
Fjällig taggsvamp s.str.
Thomsons trägnagare
Blåsippa</t>
        </is>
      </c>
      <c r="S33">
        <f>HYPERLINK("https://klasma.github.io/Logging_0380/artfynd/A 52838-2020 artfynd.xlsx", "A 52838-2020")</f>
        <v/>
      </c>
      <c r="T33">
        <f>HYPERLINK("https://klasma.github.io/Logging_0380/kartor/A 52838-2020 karta.png", "A 52838-2020")</f>
        <v/>
      </c>
      <c r="V33">
        <f>HYPERLINK("https://klasma.github.io/Logging_0380/klagomål/A 52838-2020 FSC-klagomål.docx", "A 52838-2020")</f>
        <v/>
      </c>
      <c r="W33">
        <f>HYPERLINK("https://klasma.github.io/Logging_0380/klagomålsmail/A 52838-2020 FSC-klagomål mail.docx", "A 52838-2020")</f>
        <v/>
      </c>
      <c r="X33">
        <f>HYPERLINK("https://klasma.github.io/Logging_0380/tillsyn/A 52838-2020 tillsynsbegäran.docx", "A 52838-2020")</f>
        <v/>
      </c>
      <c r="Y33">
        <f>HYPERLINK("https://klasma.github.io/Logging_0380/tillsynsmail/A 52838-2020 tillsynsbegäran mail.docx", "A 52838-2020")</f>
        <v/>
      </c>
      <c r="Z33">
        <f>HYPERLINK("https://klasma.github.io/Logging_0380/fåglar/A 52838-2020 prioriterade fågelarter.docx", "A 52838-2020")</f>
        <v/>
      </c>
    </row>
    <row r="34" ht="15" customHeight="1">
      <c r="A34" t="inlineStr">
        <is>
          <t>A 28577-2021</t>
        </is>
      </c>
      <c r="B34" s="1" t="n">
        <v>44356</v>
      </c>
      <c r="C34" s="1" t="n">
        <v>45572</v>
      </c>
      <c r="D34" t="inlineStr">
        <is>
          <t>UPPSALA LÄN</t>
        </is>
      </c>
      <c r="E34" t="inlineStr">
        <is>
          <t>UPPSALA</t>
        </is>
      </c>
      <c r="G34" t="n">
        <v>13.1</v>
      </c>
      <c r="H34" t="n">
        <v>2</v>
      </c>
      <c r="I34" t="n">
        <v>3</v>
      </c>
      <c r="J34" t="n">
        <v>2</v>
      </c>
      <c r="K34" t="n">
        <v>0</v>
      </c>
      <c r="L34" t="n">
        <v>0</v>
      </c>
      <c r="M34" t="n">
        <v>0</v>
      </c>
      <c r="N34" t="n">
        <v>0</v>
      </c>
      <c r="O34" t="n">
        <v>2</v>
      </c>
      <c r="P34" t="n">
        <v>0</v>
      </c>
      <c r="Q34" t="n">
        <v>6</v>
      </c>
      <c r="R34" s="2" t="inlineStr">
        <is>
          <t>Spillkråka
Ullticka
Bronshjon
Korallblylav
Thomsons trägnagare
Blåsippa</t>
        </is>
      </c>
      <c r="S34">
        <f>HYPERLINK("https://klasma.github.io/Logging_0380/artfynd/A 28577-2021 artfynd.xlsx", "A 28577-2021")</f>
        <v/>
      </c>
      <c r="T34">
        <f>HYPERLINK("https://klasma.github.io/Logging_0380/kartor/A 28577-2021 karta.png", "A 28577-2021")</f>
        <v/>
      </c>
      <c r="V34">
        <f>HYPERLINK("https://klasma.github.io/Logging_0380/klagomål/A 28577-2021 FSC-klagomål.docx", "A 28577-2021")</f>
        <v/>
      </c>
      <c r="W34">
        <f>HYPERLINK("https://klasma.github.io/Logging_0380/klagomålsmail/A 28577-2021 FSC-klagomål mail.docx", "A 28577-2021")</f>
        <v/>
      </c>
      <c r="X34">
        <f>HYPERLINK("https://klasma.github.io/Logging_0380/tillsyn/A 28577-2021 tillsynsbegäran.docx", "A 28577-2021")</f>
        <v/>
      </c>
      <c r="Y34">
        <f>HYPERLINK("https://klasma.github.io/Logging_0380/tillsynsmail/A 28577-2021 tillsynsbegäran mail.docx", "A 28577-2021")</f>
        <v/>
      </c>
      <c r="Z34">
        <f>HYPERLINK("https://klasma.github.io/Logging_0380/fåglar/A 28577-2021 prioriterade fågelarter.docx", "A 28577-2021")</f>
        <v/>
      </c>
    </row>
    <row r="35" ht="15" customHeight="1">
      <c r="A35" t="inlineStr">
        <is>
          <t>A 34459-2022</t>
        </is>
      </c>
      <c r="B35" s="1" t="n">
        <v>44792</v>
      </c>
      <c r="C35" s="1" t="n">
        <v>45572</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31628-2023</t>
        </is>
      </c>
      <c r="B36" s="1" t="n">
        <v>45117</v>
      </c>
      <c r="C36" s="1" t="n">
        <v>45572</v>
      </c>
      <c r="D36" t="inlineStr">
        <is>
          <t>UPPSALA LÄN</t>
        </is>
      </c>
      <c r="E36" t="inlineStr">
        <is>
          <t>UPPSALA</t>
        </is>
      </c>
      <c r="G36" t="n">
        <v>15</v>
      </c>
      <c r="H36" t="n">
        <v>1</v>
      </c>
      <c r="I36" t="n">
        <v>2</v>
      </c>
      <c r="J36" t="n">
        <v>4</v>
      </c>
      <c r="K36" t="n">
        <v>0</v>
      </c>
      <c r="L36" t="n">
        <v>0</v>
      </c>
      <c r="M36" t="n">
        <v>0</v>
      </c>
      <c r="N36" t="n">
        <v>0</v>
      </c>
      <c r="O36" t="n">
        <v>4</v>
      </c>
      <c r="P36" t="n">
        <v>0</v>
      </c>
      <c r="Q36" t="n">
        <v>6</v>
      </c>
      <c r="R36" s="2" t="inlineStr">
        <is>
          <t>Skogsklocka
Spillkråka
Tallticka
Vedtrappmossa
Grönpyrola
Stubbspretmossa</t>
        </is>
      </c>
      <c r="S36">
        <f>HYPERLINK("https://klasma.github.io/Logging_0380/artfynd/A 31628-2023 artfynd.xlsx", "A 31628-2023")</f>
        <v/>
      </c>
      <c r="T36">
        <f>HYPERLINK("https://klasma.github.io/Logging_0380/kartor/A 31628-2023 karta.png", "A 31628-2023")</f>
        <v/>
      </c>
      <c r="V36">
        <f>HYPERLINK("https://klasma.github.io/Logging_0380/klagomål/A 31628-2023 FSC-klagomål.docx", "A 31628-2023")</f>
        <v/>
      </c>
      <c r="W36">
        <f>HYPERLINK("https://klasma.github.io/Logging_0380/klagomålsmail/A 31628-2023 FSC-klagomål mail.docx", "A 31628-2023")</f>
        <v/>
      </c>
      <c r="X36">
        <f>HYPERLINK("https://klasma.github.io/Logging_0380/tillsyn/A 31628-2023 tillsynsbegäran.docx", "A 31628-2023")</f>
        <v/>
      </c>
      <c r="Y36">
        <f>HYPERLINK("https://klasma.github.io/Logging_0380/tillsynsmail/A 31628-2023 tillsynsbegäran mail.docx", "A 31628-2023")</f>
        <v/>
      </c>
      <c r="Z36">
        <f>HYPERLINK("https://klasma.github.io/Logging_0380/fåglar/A 31628-2023 prioriterade fågelarter.docx", "A 31628-2023")</f>
        <v/>
      </c>
    </row>
    <row r="37" ht="15" customHeight="1">
      <c r="A37" t="inlineStr">
        <is>
          <t>A 58015-2023</t>
        </is>
      </c>
      <c r="B37" s="1" t="n">
        <v>45245</v>
      </c>
      <c r="C37" s="1" t="n">
        <v>45572</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45572</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45572</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45572</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45572</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45572</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45572</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45572</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45572</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45572</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45572</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45572</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45572</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45572</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45572</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45572</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45572</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45572</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45572</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45572</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45572</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45572</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45572</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45572</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45572</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45572</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45572</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45572</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45572</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45572</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45572</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45572</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45572</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45572</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45572</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45572</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45572</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45572</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45572</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45572</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45572</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45572</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45572</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45572</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45572</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45572</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45572</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45572</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45572</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45572</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45572</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45572</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45572</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45572</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45572</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45572</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45572</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45572</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45572</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45572</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45572</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45572</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45572</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45572</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45572</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45572</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45572</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45572</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45572</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45572</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45572</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45572</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45572</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45572</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45572</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45572</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45572</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45572</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45572</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45572</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45572</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45572</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45572</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45572</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45572</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45572</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45572</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45572</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45572</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45572</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45572</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45572</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45572</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45572</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45572</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45572</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45572</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45572</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45572</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45572</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45572</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45572</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45572</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45572</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45572</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45572</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45572</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45572</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45572</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45572</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45572</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45572</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45572</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45572</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45572</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45572</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45572</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45572</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45572</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45572</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45572</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45572</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45572</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45572</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45572</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45572</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45572</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45572</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45572</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45572</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45572</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45572</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45572</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45572</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45572</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45572</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45572</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45572</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45572</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45572</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45572</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45572</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45572</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45572</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45572</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45572</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45572</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45572</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45572</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45572</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45572</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45572</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45572</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45572</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45572</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45572</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45572</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45572</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45572</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45572</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45572</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45572</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45572</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45572</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45572</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45572</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45572</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45572</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45572</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45572</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45572</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45572</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45572</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45572</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45572</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45572</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45572</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45572</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45572</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45572</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45572</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45572</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45572</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45572</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45572</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45572</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45572</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45572</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45572</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45572</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45572</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45572</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45572</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45572</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45572</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45572</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45572</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45572</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45572</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45572</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45572</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45572</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45572</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45572</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45572</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45572</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45572</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45572</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45572</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45572</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45572</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45572</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45572</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45572</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45572</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45572</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45572</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45572</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45572</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45572</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45572</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45572</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45572</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45572</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45572</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45572</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45572</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45572</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45572</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45572</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45572</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45572</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45572</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45572</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45572</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45572</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45572</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45572</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45572</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45572</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45572</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45572</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45572</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45572</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45572</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45572</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45572</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45572</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45572</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45572</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45572</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45572</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45572</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45572</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45572</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45572</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45572</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45572</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45572</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45572</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45572</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45572</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45572</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45572</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45572</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45572</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45572</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45572</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45572</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45572</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45572</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45572</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45572</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45572</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45572</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45572</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45572</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45572</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45572</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45572</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45572</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45572</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45572</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45572</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45572</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45572</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45572</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45572</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45572</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45572</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45572</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45572</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45572</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45572</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45572</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45572</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45572</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45572</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45572</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45572</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45572</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45572</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45572</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45572</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45572</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45572</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45572</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45572</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45572</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45572</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45572</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45572</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45572</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45572</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45572</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45572</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45572</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45572</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45572</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45572</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45572</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45572</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45572</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45572</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45572</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45572</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45572</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45572</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45572</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45572</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45572</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45572</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45572</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45572</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45572</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45572</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45572</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45572</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45572</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45572</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45572</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45572</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45572</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45572</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45572</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45572</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45572</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45572</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45572</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45572</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45572</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45572</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45572</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45572</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45572</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45572</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45572</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45572</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45572</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45572</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45572</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45572</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45572</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45572</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45572</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45572</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45572</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45572</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45572</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45572</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45572</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45572</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45572</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45572</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45572</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45572</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45572</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45572</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45572</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45572</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45572</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45572</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45572</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45572</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45572</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45572</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45572</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45572</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45572</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45572</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45572</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45572</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45572</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45572</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45572</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45572</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45572</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45572</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45572</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45572</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45572</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45572</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45572</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45572</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45572</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45572</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45572</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45572</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45572</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45572</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45572</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45572</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45572</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45572</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45572</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45572</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45572</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45572</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45572</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45572</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45572</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45572</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45572</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45572</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45572</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45572</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45572</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45572</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45572</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45572</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45572</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45572</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45572</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45572</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45572</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45572</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45572</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45572</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45572</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45572</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45572</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45572</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45572</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45572</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45572</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45572</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45572</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45572</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45572</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45572</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45572</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45572</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45572</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45572</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45572</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45572</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45572</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45572</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45572</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45572</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45572</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45572</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45572</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45572</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45572</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45572</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45572</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45572</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45572</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45572</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45572</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45572</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45572</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45572</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45572</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45572</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45572</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45572</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45572</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45572</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45572</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45572</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45572</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45572</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45572</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45572</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45572</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45572</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45572</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45572</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45572</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45572</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45572</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45572</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45572</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45572</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45572</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45572</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45572</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45572</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45572</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45572</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45572</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45572</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45572</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45572</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45572</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45572</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45572</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45572</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45572</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45572</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45572</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45572</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45572</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45572</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45572</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45572</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45572</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45572</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45572</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45572</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45572</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45572</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45572</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45572</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45572</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45572</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45572</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45572</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45572</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45572</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45572</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45572</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45572</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45572</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45572</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45572</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45572</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45572</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45572</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45572</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45572</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45572</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45572</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45572</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45572</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45572</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45572</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45572</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45572</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45572</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45572</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45572</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45572</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45572</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45572</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45572</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45572</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45572</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45572</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45572</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45572</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45572</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45572</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45572</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45572</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45572</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45572</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45572</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45572</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45572</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45572</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45572</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45572</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45572</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45572</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45572</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45572</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45572</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45572</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45572</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45572</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45572</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45572</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45572</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45572</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45572</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45572</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45572</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45572</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45572</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45572</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45572</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45572</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45572</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45572</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45572</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45572</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45572</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45572</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45572</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45572</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45572</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45572</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45572</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45572</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45572</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45572</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45572</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45572</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45572</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45572</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45572</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45572</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45572</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45572</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45572</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45572</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45572</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45572</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45572</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45572</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45572</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45572</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45572</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45572</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45572</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45572</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45572</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45572</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45572</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45572</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45572</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45572</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45572</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45572</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45572</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45572</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45572</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45572</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45572</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45572</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45572</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45572</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45572</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45572</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45572</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45572</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45572</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45572</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45572</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45572</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45572</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45572</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45572</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45572</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45572</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45572</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45572</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45572</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45572</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45572</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45572</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45572</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45572</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45572</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45572</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45572</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45572</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45572</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45572</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45572</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45572</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45572</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45572</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45572</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45572</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45572</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45572</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45572</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45572</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45572</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45572</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45572</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45572</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45572</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45572</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45572</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45572</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45572</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45572</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45572</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45572</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45572</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45572</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45572</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45572</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45572</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45572</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45572</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45572</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45572</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45572</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45572</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45572</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45572</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45572</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45572</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45572</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45572</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45572</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45572</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45572</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45572</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45572</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45572</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45572</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45572</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45572</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45572</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45572</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45572</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45572</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45572</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45572</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45572</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45572</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45572</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45572</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45572</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45572</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45572</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45572</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45572</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45572</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45572</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45572</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45572</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45572</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45572</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45572</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45572</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45572</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45572</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45572</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45572</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45572</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45572</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45572</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45572</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45572</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45572</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45572</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45572</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45572</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45572</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45572</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45572</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45572</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45572</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45572</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45572</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45572</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45572</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45572</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45572</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45572</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45572</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45572</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45572</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45572</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45572</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45572</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45572</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45572</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45572</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45572</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45572</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45572</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45572</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45572</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45572</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45572</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45572</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45572</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45572</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45572</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45572</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45572</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45572</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45572</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45572</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45572</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45572</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45572</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45572</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45572</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45572</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45572</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45572</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45572</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45572</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45572</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45572</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45572</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45572</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45572</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45572</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45572</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45572</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45572</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45572</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45572</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45572</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45572</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45572</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45572</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45572</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45572</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45572</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45572</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45572</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45572</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45572</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45572</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45572</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45572</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45572</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45572</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45572</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45572</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45572</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45572</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45572</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45572</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45572</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45572</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45572</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45572</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45572</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45572</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45572</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45572</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45572</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45572</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45572</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45572</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45572</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45572</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45572</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45572</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45572</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45572</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45572</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45572</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45572</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45572</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45572</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45572</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45572</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45572</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45572</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45572</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45572</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45572</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45572</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45572</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45572</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45572</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45572</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45572</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45572</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45572</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45572</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45572</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45572</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45572</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45572</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45572</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45572</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45572</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45572</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45572</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45572</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45572</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45572</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45572</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45572</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45572</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45572</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45572</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45572</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45572</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45572</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45572</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45572</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45572</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45572</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45572</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45572</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45572</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45572</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45572</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45572</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45572</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45572</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45572</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45572</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45572</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45572</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45572</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45572</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45572</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45572</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45572</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45572</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45572</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45572</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45572</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45572</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45572</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45572</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45572</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45572</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45572</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45572</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45572</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45572</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45572</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45572</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45572</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45572</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45572</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45572</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45572</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45572</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45572</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45572</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45572</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45572</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45572</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45572</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45572</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45572</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45572</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45572</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45572</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45572</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45572</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45572</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45572</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45572</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45572</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45572</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45572</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45572</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45572</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45572</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45572</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45572</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45572</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45572</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45572</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45572</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45572</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45572</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45572</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45572</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45572</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45572</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45572</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45572</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45572</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45572</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45572</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45572</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45572</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45572</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45572</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45572</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45572</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45572</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45572</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45572</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45572</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45572</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45572</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45572</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45572</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45572</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45572</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45572</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45572</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45572</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45572</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45572</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45572</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45572</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45572</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45572</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45572</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45572</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45572</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45572</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45572</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45572</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45572</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45572</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45572</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45572</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45572</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45572</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45572</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45572</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45572</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45572</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45572</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45572</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45572</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45572</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45572</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45572</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45572</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45572</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45572</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45572</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45572</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45572</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45572</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45572</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45572</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45572</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45572</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45572</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45572</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45572</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45572</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45572</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45572</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45572</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45572</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45572</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45572</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45572</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45572</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45572</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45572</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45572</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45572</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45572</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45572</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45572</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45572</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45572</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45572</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45572</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45572</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45572</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45572</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45572</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45572</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45572</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45572</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45572</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45572</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45572</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45572</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45572</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45572</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45572</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45572</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45572</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45572</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45572</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45572</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45572</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45572</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45572</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45572</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45572</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45572</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45572</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45572</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45572</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45572</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45572</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45572</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45572</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45572</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45572</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45572</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45572</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45572</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45572</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45572</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45572</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45572</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45572</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45572</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45572</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45572</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45572</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45572</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45572</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45572</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45572</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45572</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45572</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45572</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45572</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45572</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45572</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45572</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45572</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45572</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45572</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45572</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45572</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45572</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45572</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45572</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45572</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45572</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45572</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45572</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45572</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45572</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45572</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45572</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45572</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45572</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45572</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45572</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45572</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45572</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45572</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45572</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45572</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45572</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45572</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45572</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45572</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45572</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45572</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45572</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45572</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45572</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45572</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45572</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45572</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45572</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45572</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45572</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45572</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45572</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45572</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45572</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45572</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45572</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45572</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45572</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45572</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45572</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45572</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45572</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45572</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45572</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45572</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45572</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45572</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45572</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45572</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45572</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45572</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45572</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45572</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45572</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45572</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45572</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45572</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45572</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45572</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45572</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45572</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45572</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45572</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45572</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45572</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45572</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45572</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45572</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45572</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45572</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45572</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45572</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45572</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45572</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45572</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45572</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45572</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45572</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45572</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45572</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45572</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45572</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45572</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45572</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45572</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45572</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45572</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45572</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45572</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45572</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45572</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45572</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45572</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45572</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45572</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45572</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45572</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45572</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45572</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45572</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45572</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45572</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45572</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45572</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45572</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45572</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45572</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45572</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45572</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45572</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45572</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45572</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45572</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45572</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45572</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45572</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45572</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45572</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45572</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45572</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45572</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45572</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45572</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45572</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45572</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45572</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45572</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45572</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45572</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45572</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45572</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45572</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45572</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45572</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45572</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45572</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45572</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45572</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45572</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45572</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45572</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45572</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45572</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45572</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45572</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45572</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45572</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45572</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45572</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45572</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45572</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45572</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45572</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45572</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45572</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45572</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45572</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45572</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45572</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45572</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45572</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45572</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45572</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45572</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45572</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45572</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45572</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45572</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45572</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45572</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45572</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45572</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45572</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45572</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45572</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45572</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45572</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45572</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45572</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45572</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45572</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45572</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45572</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45572</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45572</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45572</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45572</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45572</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45572</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45572</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45572</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45572</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45572</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45572</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45572</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45572</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45572</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45572</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45572</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45572</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45572</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45572</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45572</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45572</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45572</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45572</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45572</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45572</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45572</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45572</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45572</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45572</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45572</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45572</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45572</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45572</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45572</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45572</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45572</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45572</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45572</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45572</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45572</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45572</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45572</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45572</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45572</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45572</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45572</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45572</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45572</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45572</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45572</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45572</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45572</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45572</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45572</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45572</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45572</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45572</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45572</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45572</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45572</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45572</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45572</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45572</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45572</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45572</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45572</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45572</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45572</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45572</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45572</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45572</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45572</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45572</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45572</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45572</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45572</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45572</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45572</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45572</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45572</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45572</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45572</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45572</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45572</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45572</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45572</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45572</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45572</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45572</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45572</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45572</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45572</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45572</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45572</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45572</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45572</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45572</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45572</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45572</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45572</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45572</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45572</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45572</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45572</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45572</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45572</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45572</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45572</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45572</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45572</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45572</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45572</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45572</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45572</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45572</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45572</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45572</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45572</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45572</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45572</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45572</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45572</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45572</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45572</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45572</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45572</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45572</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45572</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45572</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45572</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45572</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45572</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45572</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45572</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45572</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45572</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45572</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45572</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45572</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45572</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45572</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45572</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45572</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45572</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45572</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45572</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45572</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45572</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45572</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45572</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45572</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45572</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45572</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45572</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45572</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45572</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45572</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45572</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45572</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45572</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45572</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45572</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45572</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45572</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45572</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45572</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45572</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45572</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45572</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45572</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45572</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45572</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45572</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45572</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45572</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45572</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45572</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45572</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45572</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45572</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45572</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45572</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45572</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45572</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45572</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45572</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45572</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45572</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45572</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45572</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45572</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45572</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45572</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45572</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40701-2024</t>
        </is>
      </c>
      <c r="B1542" s="1" t="n">
        <v>45558</v>
      </c>
      <c r="C1542" s="1" t="n">
        <v>45572</v>
      </c>
      <c r="D1542" t="inlineStr">
        <is>
          <t>UPPSALA LÄN</t>
        </is>
      </c>
      <c r="E1542" t="inlineStr">
        <is>
          <t>UPPSALA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45572</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45572</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42146-2024</t>
        </is>
      </c>
      <c r="B1545" s="1" t="n">
        <v>45562</v>
      </c>
      <c r="C1545" s="1" t="n">
        <v>45572</v>
      </c>
      <c r="D1545" t="inlineStr">
        <is>
          <t>UPPSALA LÄN</t>
        </is>
      </c>
      <c r="E1545" t="inlineStr">
        <is>
          <t>UPPSALA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42276-2024</t>
        </is>
      </c>
      <c r="B1546" s="1" t="n">
        <v>45562</v>
      </c>
      <c r="C1546" s="1" t="n">
        <v>45572</v>
      </c>
      <c r="D1546" t="inlineStr">
        <is>
          <t>UPPSALA LÄN</t>
        </is>
      </c>
      <c r="E1546" t="inlineStr">
        <is>
          <t>UPPSALA</t>
        </is>
      </c>
      <c r="G1546" t="n">
        <v>2.2</v>
      </c>
      <c r="H1546" t="n">
        <v>0</v>
      </c>
      <c r="I1546" t="n">
        <v>0</v>
      </c>
      <c r="J1546" t="n">
        <v>0</v>
      </c>
      <c r="K1546" t="n">
        <v>0</v>
      </c>
      <c r="L1546" t="n">
        <v>0</v>
      </c>
      <c r="M1546" t="n">
        <v>0</v>
      </c>
      <c r="N1546" t="n">
        <v>0</v>
      </c>
      <c r="O1546" t="n">
        <v>0</v>
      </c>
      <c r="P1546" t="n">
        <v>0</v>
      </c>
      <c r="Q1546" t="n">
        <v>0</v>
      </c>
      <c r="R1546" s="2" t="inlineStr"/>
    </row>
    <row r="1547">
      <c r="A1547" t="inlineStr">
        <is>
          <t>A 43361-2024</t>
        </is>
      </c>
      <c r="B1547" s="1" t="n">
        <v>45568</v>
      </c>
      <c r="C1547" s="1" t="n">
        <v>45572</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2024-10-07T12:44:40Z</dcterms:created>
  <dcterms:modified xmlns:dcterms="http://purl.org/dc/terms/" xmlns:xsi="http://www.w3.org/2001/XMLSchema-instance" xsi:type="dcterms:W3CDTF">2024-10-07T12:44:41Z</dcterms:modified>
</cp:coreProperties>
</file>