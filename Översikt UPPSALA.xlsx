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46033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46033</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46033</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46033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46033</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46033</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25604-2025</t>
        </is>
      </c>
      <c r="B19" s="1" t="n">
        <v>45803.55260416667</v>
      </c>
      <c r="C19" s="1" t="n">
        <v>46033</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62998-2025</t>
        </is>
      </c>
      <c r="B20" s="1" t="n">
        <v>46009.5597337963</v>
      </c>
      <c r="C20" s="1" t="n">
        <v>46033</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10368-2022</t>
        </is>
      </c>
      <c r="B21" s="1" t="n">
        <v>44623</v>
      </c>
      <c r="C21" s="1" t="n">
        <v>46033</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3929-2021</t>
        </is>
      </c>
      <c r="B22" s="1" t="n">
        <v>44222</v>
      </c>
      <c r="C22" s="1" t="n">
        <v>46033</v>
      </c>
      <c r="D22" t="inlineStr">
        <is>
          <t>UPPSALA LÄN</t>
        </is>
      </c>
      <c r="E22" t="inlineStr">
        <is>
          <t>UPPSALA</t>
        </is>
      </c>
      <c r="F22" t="inlineStr">
        <is>
          <t>Holmen skog AB</t>
        </is>
      </c>
      <c r="G22" t="n">
        <v>10.1</v>
      </c>
      <c r="H22" t="n">
        <v>0</v>
      </c>
      <c r="I22" t="n">
        <v>6</v>
      </c>
      <c r="J22" t="n">
        <v>5</v>
      </c>
      <c r="K22" t="n">
        <v>0</v>
      </c>
      <c r="L22" t="n">
        <v>0</v>
      </c>
      <c r="M22" t="n">
        <v>0</v>
      </c>
      <c r="N22" t="n">
        <v>0</v>
      </c>
      <c r="O22" t="n">
        <v>5</v>
      </c>
      <c r="P22" t="n">
        <v>0</v>
      </c>
      <c r="Q22" t="n">
        <v>11</v>
      </c>
      <c r="R22" s="2" t="inlineStr">
        <is>
          <t>Kortskaftad ärgspik
Skrovlig flatbagge
Timmertickgnagare
Ullticka
Vedskivlav
Bronshjon
Grönpyrola
Gullgröppa
Ljus vedstrit
Mörk vedstrit
Vanlig flatbagge</t>
        </is>
      </c>
      <c r="S22">
        <f>HYPERLINK("https://klasma.github.io/Logging_0380/artfynd/A 3929-2021 artfynd.xlsx", "A 3929-2021")</f>
        <v/>
      </c>
      <c r="T22">
        <f>HYPERLINK("https://klasma.github.io/Logging_0380/kartor/A 3929-2021 karta.png", "A 3929-2021")</f>
        <v/>
      </c>
      <c r="V22">
        <f>HYPERLINK("https://klasma.github.io/Logging_0380/klagomål/A 3929-2021 FSC-klagomål.docx", "A 3929-2021")</f>
        <v/>
      </c>
      <c r="W22">
        <f>HYPERLINK("https://klasma.github.io/Logging_0380/klagomålsmail/A 3929-2021 FSC-klagomål mail.docx", "A 3929-2021")</f>
        <v/>
      </c>
      <c r="X22">
        <f>HYPERLINK("https://klasma.github.io/Logging_0380/tillsyn/A 3929-2021 tillsynsbegäran.docx", "A 3929-2021")</f>
        <v/>
      </c>
      <c r="Y22">
        <f>HYPERLINK("https://klasma.github.io/Logging_0380/tillsynsmail/A 3929-2021 tillsynsbegäran mail.docx", "A 3929-2021")</f>
        <v/>
      </c>
    </row>
    <row r="23" ht="15" customHeight="1">
      <c r="A23" t="inlineStr">
        <is>
          <t>A 47453-2023</t>
        </is>
      </c>
      <c r="B23" s="1" t="n">
        <v>45202</v>
      </c>
      <c r="C23" s="1" t="n">
        <v>46033</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46033</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46033</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46033</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28450-2021</t>
        </is>
      </c>
      <c r="B27" s="1" t="n">
        <v>44356</v>
      </c>
      <c r="C27" s="1" t="n">
        <v>46033</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46033</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45803.61035879629</v>
      </c>
      <c r="C29" s="1" t="n">
        <v>46033</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46033</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46033</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46033</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46033</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46033</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59539-2025</t>
        </is>
      </c>
      <c r="B35" s="1" t="n">
        <v>45989.96633101852</v>
      </c>
      <c r="C35" s="1" t="n">
        <v>46033</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33636-2025</t>
        </is>
      </c>
      <c r="B36" s="1" t="n">
        <v>45841.64539351852</v>
      </c>
      <c r="C36" s="1" t="n">
        <v>46033</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46033</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56363-2025</t>
        </is>
      </c>
      <c r="B38" s="1" t="n">
        <v>45974.6671412037</v>
      </c>
      <c r="C38" s="1" t="n">
        <v>46033</v>
      </c>
      <c r="D38" t="inlineStr">
        <is>
          <t>UPPSALA LÄN</t>
        </is>
      </c>
      <c r="E38" t="inlineStr">
        <is>
          <t>UPPSALA</t>
        </is>
      </c>
      <c r="G38" t="n">
        <v>3.1</v>
      </c>
      <c r="H38" t="n">
        <v>2</v>
      </c>
      <c r="I38" t="n">
        <v>2</v>
      </c>
      <c r="J38" t="n">
        <v>3</v>
      </c>
      <c r="K38" t="n">
        <v>1</v>
      </c>
      <c r="L38" t="n">
        <v>0</v>
      </c>
      <c r="M38" t="n">
        <v>0</v>
      </c>
      <c r="N38" t="n">
        <v>0</v>
      </c>
      <c r="O38" t="n">
        <v>4</v>
      </c>
      <c r="P38" t="n">
        <v>1</v>
      </c>
      <c r="Q38" t="n">
        <v>6</v>
      </c>
      <c r="R38" s="2" t="inlineStr">
        <is>
          <t>Rynkskinn
Spillkråka
Talltita
Ullticka
Björksplintborre
Vågbandad barkbock</t>
        </is>
      </c>
      <c r="S38">
        <f>HYPERLINK("https://klasma.github.io/Logging_0380/artfynd/A 56363-2025 artfynd.xlsx", "A 56363-2025")</f>
        <v/>
      </c>
      <c r="T38">
        <f>HYPERLINK("https://klasma.github.io/Logging_0380/kartor/A 56363-2025 karta.png", "A 56363-2025")</f>
        <v/>
      </c>
      <c r="V38">
        <f>HYPERLINK("https://klasma.github.io/Logging_0380/klagomål/A 56363-2025 FSC-klagomål.docx", "A 56363-2025")</f>
        <v/>
      </c>
      <c r="W38">
        <f>HYPERLINK("https://klasma.github.io/Logging_0380/klagomålsmail/A 56363-2025 FSC-klagomål mail.docx", "A 56363-2025")</f>
        <v/>
      </c>
      <c r="X38">
        <f>HYPERLINK("https://klasma.github.io/Logging_0380/tillsyn/A 56363-2025 tillsynsbegäran.docx", "A 56363-2025")</f>
        <v/>
      </c>
      <c r="Y38">
        <f>HYPERLINK("https://klasma.github.io/Logging_0380/tillsynsmail/A 56363-2025 tillsynsbegäran mail.docx", "A 56363-2025")</f>
        <v/>
      </c>
      <c r="Z38">
        <f>HYPERLINK("https://klasma.github.io/Logging_0380/fåglar/A 56363-2025 prioriterade fågelarter.docx", "A 56363-2025")</f>
        <v/>
      </c>
    </row>
    <row r="39" ht="15" customHeight="1">
      <c r="A39" t="inlineStr">
        <is>
          <t>A 58545-2025</t>
        </is>
      </c>
      <c r="B39" s="1" t="n">
        <v>45985.99135416667</v>
      </c>
      <c r="C39" s="1" t="n">
        <v>46033</v>
      </c>
      <c r="D39" t="inlineStr">
        <is>
          <t>UPPSALA LÄN</t>
        </is>
      </c>
      <c r="E39" t="inlineStr">
        <is>
          <t>UPPSALA</t>
        </is>
      </c>
      <c r="G39" t="n">
        <v>2.5</v>
      </c>
      <c r="H39" t="n">
        <v>3</v>
      </c>
      <c r="I39" t="n">
        <v>1</v>
      </c>
      <c r="J39" t="n">
        <v>3</v>
      </c>
      <c r="K39" t="n">
        <v>1</v>
      </c>
      <c r="L39" t="n">
        <v>0</v>
      </c>
      <c r="M39" t="n">
        <v>0</v>
      </c>
      <c r="N39" t="n">
        <v>0</v>
      </c>
      <c r="O39" t="n">
        <v>4</v>
      </c>
      <c r="P39" t="n">
        <v>1</v>
      </c>
      <c r="Q39" t="n">
        <v>6</v>
      </c>
      <c r="R39" s="2" t="inlineStr">
        <is>
          <t>Knärot
Spillkråka
Ullticka
Vedtrappmossa
Rödgul trumpetsvamp
Revlummer</t>
        </is>
      </c>
      <c r="S39">
        <f>HYPERLINK("https://klasma.github.io/Logging_0380/artfynd/A 58545-2025 artfynd.xlsx", "A 58545-2025")</f>
        <v/>
      </c>
      <c r="T39">
        <f>HYPERLINK("https://klasma.github.io/Logging_0380/kartor/A 58545-2025 karta.png", "A 58545-2025")</f>
        <v/>
      </c>
      <c r="U39">
        <f>HYPERLINK("https://klasma.github.io/Logging_0380/knärot/A 58545-2025 karta knärot.png", "A 58545-2025")</f>
        <v/>
      </c>
      <c r="V39">
        <f>HYPERLINK("https://klasma.github.io/Logging_0380/klagomål/A 58545-2025 FSC-klagomål.docx", "A 58545-2025")</f>
        <v/>
      </c>
      <c r="W39">
        <f>HYPERLINK("https://klasma.github.io/Logging_0380/klagomålsmail/A 58545-2025 FSC-klagomål mail.docx", "A 58545-2025")</f>
        <v/>
      </c>
      <c r="X39">
        <f>HYPERLINK("https://klasma.github.io/Logging_0380/tillsyn/A 58545-2025 tillsynsbegäran.docx", "A 58545-2025")</f>
        <v/>
      </c>
      <c r="Y39">
        <f>HYPERLINK("https://klasma.github.io/Logging_0380/tillsynsmail/A 58545-2025 tillsynsbegäran mail.docx", "A 58545-2025")</f>
        <v/>
      </c>
      <c r="Z39">
        <f>HYPERLINK("https://klasma.github.io/Logging_0380/fåglar/A 58545-2025 prioriterade fågelarter.docx", "A 58545-2025")</f>
        <v/>
      </c>
    </row>
    <row r="40" ht="15" customHeight="1">
      <c r="A40" t="inlineStr">
        <is>
          <t>A 58547-2025</t>
        </is>
      </c>
      <c r="B40" s="1" t="n">
        <v>45985.99530092593</v>
      </c>
      <c r="C40" s="1" t="n">
        <v>46033</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34459-2022</t>
        </is>
      </c>
      <c r="B41" s="1" t="n">
        <v>44792</v>
      </c>
      <c r="C41" s="1" t="n">
        <v>46033</v>
      </c>
      <c r="D41" t="inlineStr">
        <is>
          <t>UPPSALA LÄN</t>
        </is>
      </c>
      <c r="E41" t="inlineStr">
        <is>
          <t>UPPSALA</t>
        </is>
      </c>
      <c r="F41" t="inlineStr">
        <is>
          <t>Kommuner</t>
        </is>
      </c>
      <c r="G41" t="n">
        <v>2.6</v>
      </c>
      <c r="H41" t="n">
        <v>5</v>
      </c>
      <c r="I41" t="n">
        <v>1</v>
      </c>
      <c r="J41" t="n">
        <v>0</v>
      </c>
      <c r="K41" t="n">
        <v>0</v>
      </c>
      <c r="L41" t="n">
        <v>1</v>
      </c>
      <c r="M41" t="n">
        <v>0</v>
      </c>
      <c r="N41" t="n">
        <v>0</v>
      </c>
      <c r="O41" t="n">
        <v>1</v>
      </c>
      <c r="P41" t="n">
        <v>1</v>
      </c>
      <c r="Q41" t="n">
        <v>6</v>
      </c>
      <c r="R41" s="2" t="inlineStr">
        <is>
          <t>Cinnoberbagge
Svart trolldruva
Åkergroda
Huggorm
Vanlig padda
Vanlig snok</t>
        </is>
      </c>
      <c r="S41">
        <f>HYPERLINK("https://klasma.github.io/Logging_0380/artfynd/A 34459-2022 artfynd.xlsx", "A 34459-2022")</f>
        <v/>
      </c>
      <c r="T41">
        <f>HYPERLINK("https://klasma.github.io/Logging_0380/kartor/A 34459-2022 karta.png", "A 34459-2022")</f>
        <v/>
      </c>
      <c r="V41">
        <f>HYPERLINK("https://klasma.github.io/Logging_0380/klagomål/A 34459-2022 FSC-klagomål.docx", "A 34459-2022")</f>
        <v/>
      </c>
      <c r="W41">
        <f>HYPERLINK("https://klasma.github.io/Logging_0380/klagomålsmail/A 34459-2022 FSC-klagomål mail.docx", "A 34459-2022")</f>
        <v/>
      </c>
      <c r="X41">
        <f>HYPERLINK("https://klasma.github.io/Logging_0380/tillsyn/A 34459-2022 tillsynsbegäran.docx", "A 34459-2022")</f>
        <v/>
      </c>
      <c r="Y41">
        <f>HYPERLINK("https://klasma.github.io/Logging_0380/tillsynsmail/A 34459-2022 tillsynsbegäran mail.docx", "A 34459-2022")</f>
        <v/>
      </c>
    </row>
    <row r="42" ht="15" customHeight="1">
      <c r="A42" t="inlineStr">
        <is>
          <t>A 61388-2021</t>
        </is>
      </c>
      <c r="B42" s="1" t="n">
        <v>44500</v>
      </c>
      <c r="C42" s="1" t="n">
        <v>46033</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46033</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46033</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46033</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46033</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46033</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44601-2025</t>
        </is>
      </c>
      <c r="B48" s="1" t="n">
        <v>45917.43857638889</v>
      </c>
      <c r="C48" s="1" t="n">
        <v>46033</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46033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53870-2025</t>
        </is>
      </c>
      <c r="B50" s="1" t="n">
        <v>45961.38690972222</v>
      </c>
      <c r="C50" s="1" t="n">
        <v>46033</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46033</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46033</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46033</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46033</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46033</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46033</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46033</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46033</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46033</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46033</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26758-2022</t>
        </is>
      </c>
      <c r="B61" s="1" t="n">
        <v>44740</v>
      </c>
      <c r="C61" s="1" t="n">
        <v>46033</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15297-2022</t>
        </is>
      </c>
      <c r="B62" s="1" t="n">
        <v>44659</v>
      </c>
      <c r="C62" s="1" t="n">
        <v>46033</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46033</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46033</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25943-2023</t>
        </is>
      </c>
      <c r="B65" s="1" t="n">
        <v>45090</v>
      </c>
      <c r="C65" s="1" t="n">
        <v>46033</v>
      </c>
      <c r="D65" t="inlineStr">
        <is>
          <t>UPPSALA LÄN</t>
        </is>
      </c>
      <c r="E65" t="inlineStr">
        <is>
          <t>UPPSALA</t>
        </is>
      </c>
      <c r="F65" t="inlineStr">
        <is>
          <t>Holmen skog AB</t>
        </is>
      </c>
      <c r="G65" t="n">
        <v>2.7</v>
      </c>
      <c r="H65" t="n">
        <v>1</v>
      </c>
      <c r="I65" t="n">
        <v>1</v>
      </c>
      <c r="J65" t="n">
        <v>2</v>
      </c>
      <c r="K65" t="n">
        <v>0</v>
      </c>
      <c r="L65" t="n">
        <v>0</v>
      </c>
      <c r="M65" t="n">
        <v>0</v>
      </c>
      <c r="N65" t="n">
        <v>0</v>
      </c>
      <c r="O65" t="n">
        <v>2</v>
      </c>
      <c r="P65" t="n">
        <v>0</v>
      </c>
      <c r="Q65" t="n">
        <v>3</v>
      </c>
      <c r="R65" s="2" t="inlineStr">
        <is>
          <t>Mindre hackspett
Vedtrappmossa
Vedticka</t>
        </is>
      </c>
      <c r="S65">
        <f>HYPERLINK("https://klasma.github.io/Logging_0380/artfynd/A 25943-2023 artfynd.xlsx", "A 25943-2023")</f>
        <v/>
      </c>
      <c r="T65">
        <f>HYPERLINK("https://klasma.github.io/Logging_0380/kartor/A 25943-2023 karta.png", "A 25943-2023")</f>
        <v/>
      </c>
      <c r="V65">
        <f>HYPERLINK("https://klasma.github.io/Logging_0380/klagomål/A 25943-2023 FSC-klagomål.docx", "A 25943-2023")</f>
        <v/>
      </c>
      <c r="W65">
        <f>HYPERLINK("https://klasma.github.io/Logging_0380/klagomålsmail/A 25943-2023 FSC-klagomål mail.docx", "A 25943-2023")</f>
        <v/>
      </c>
      <c r="X65">
        <f>HYPERLINK("https://klasma.github.io/Logging_0380/tillsyn/A 25943-2023 tillsynsbegäran.docx", "A 25943-2023")</f>
        <v/>
      </c>
      <c r="Y65">
        <f>HYPERLINK("https://klasma.github.io/Logging_0380/tillsynsmail/A 25943-2023 tillsynsbegäran mail.docx", "A 25943-2023")</f>
        <v/>
      </c>
      <c r="Z65">
        <f>HYPERLINK("https://klasma.github.io/Logging_0380/fåglar/A 25943-2023 prioriterade fågelarter.docx", "A 25943-2023")</f>
        <v/>
      </c>
    </row>
    <row r="66" ht="15" customHeight="1">
      <c r="A66" t="inlineStr">
        <is>
          <t>A 59538-2025</t>
        </is>
      </c>
      <c r="B66" s="1" t="n">
        <v>45989.96568287037</v>
      </c>
      <c r="C66" s="1" t="n">
        <v>46033</v>
      </c>
      <c r="D66" t="inlineStr">
        <is>
          <t>UPPSALA LÄN</t>
        </is>
      </c>
      <c r="E66" t="inlineStr">
        <is>
          <t>UPPSALA</t>
        </is>
      </c>
      <c r="G66" t="n">
        <v>4.3</v>
      </c>
      <c r="H66" t="n">
        <v>1</v>
      </c>
      <c r="I66" t="n">
        <v>1</v>
      </c>
      <c r="J66" t="n">
        <v>2</v>
      </c>
      <c r="K66" t="n">
        <v>0</v>
      </c>
      <c r="L66" t="n">
        <v>0</v>
      </c>
      <c r="M66" t="n">
        <v>0</v>
      </c>
      <c r="N66" t="n">
        <v>0</v>
      </c>
      <c r="O66" t="n">
        <v>2</v>
      </c>
      <c r="P66" t="n">
        <v>0</v>
      </c>
      <c r="Q66" t="n">
        <v>3</v>
      </c>
      <c r="R66" s="2" t="inlineStr">
        <is>
          <t>Spillkråka
Ullticka
Vågbandad barkbock</t>
        </is>
      </c>
      <c r="S66">
        <f>HYPERLINK("https://klasma.github.io/Logging_0380/artfynd/A 59538-2025 artfynd.xlsx", "A 59538-2025")</f>
        <v/>
      </c>
      <c r="T66">
        <f>HYPERLINK("https://klasma.github.io/Logging_0380/kartor/A 59538-2025 karta.png", "A 59538-2025")</f>
        <v/>
      </c>
      <c r="U66">
        <f>HYPERLINK("https://klasma.github.io/Logging_0380/knärot/A 59538-2025 karta knärot.png", "A 59538-2025")</f>
        <v/>
      </c>
      <c r="V66">
        <f>HYPERLINK("https://klasma.github.io/Logging_0380/klagomål/A 59538-2025 FSC-klagomål.docx", "A 59538-2025")</f>
        <v/>
      </c>
      <c r="W66">
        <f>HYPERLINK("https://klasma.github.io/Logging_0380/klagomålsmail/A 59538-2025 FSC-klagomål mail.docx", "A 59538-2025")</f>
        <v/>
      </c>
      <c r="X66">
        <f>HYPERLINK("https://klasma.github.io/Logging_0380/tillsyn/A 59538-2025 tillsynsbegäran.docx", "A 59538-2025")</f>
        <v/>
      </c>
      <c r="Y66">
        <f>HYPERLINK("https://klasma.github.io/Logging_0380/tillsynsmail/A 59538-2025 tillsynsbegäran mail.docx", "A 59538-2025")</f>
        <v/>
      </c>
      <c r="Z66">
        <f>HYPERLINK("https://klasma.github.io/Logging_0380/fåglar/A 59538-2025 prioriterade fågelarter.docx", "A 59538-2025")</f>
        <v/>
      </c>
    </row>
    <row r="67" ht="15" customHeight="1">
      <c r="A67" t="inlineStr">
        <is>
          <t>A 43280-2025</t>
        </is>
      </c>
      <c r="B67" s="1" t="n">
        <v>45910.59475694445</v>
      </c>
      <c r="C67" s="1" t="n">
        <v>46033</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43280-2025 artfynd.xlsx", "A 43280-2025")</f>
        <v/>
      </c>
      <c r="T67">
        <f>HYPERLINK("https://klasma.github.io/Logging_0380/kartor/A 43280-2025 karta.png", "A 43280-2025")</f>
        <v/>
      </c>
      <c r="V67">
        <f>HYPERLINK("https://klasma.github.io/Logging_0380/klagomål/A 43280-2025 FSC-klagomål.docx", "A 43280-2025")</f>
        <v/>
      </c>
      <c r="W67">
        <f>HYPERLINK("https://klasma.github.io/Logging_0380/klagomålsmail/A 43280-2025 FSC-klagomål mail.docx", "A 43280-2025")</f>
        <v/>
      </c>
      <c r="X67">
        <f>HYPERLINK("https://klasma.github.io/Logging_0380/tillsyn/A 43280-2025 tillsynsbegäran.docx", "A 43280-2025")</f>
        <v/>
      </c>
      <c r="Y67">
        <f>HYPERLINK("https://klasma.github.io/Logging_0380/tillsynsmail/A 43280-2025 tillsynsbegäran mail.docx", "A 43280-2025")</f>
        <v/>
      </c>
    </row>
    <row r="68" ht="15" customHeight="1">
      <c r="A68" t="inlineStr">
        <is>
          <t>A 43278-2025</t>
        </is>
      </c>
      <c r="B68" s="1" t="n">
        <v>45910.59415509259</v>
      </c>
      <c r="C68" s="1" t="n">
        <v>46033</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43278-2025 artfynd.xlsx", "A 43278-2025")</f>
        <v/>
      </c>
      <c r="T68">
        <f>HYPERLINK("https://klasma.github.io/Logging_0380/kartor/A 43278-2025 karta.png", "A 43278-2025")</f>
        <v/>
      </c>
      <c r="V68">
        <f>HYPERLINK("https://klasma.github.io/Logging_0380/klagomål/A 43278-2025 FSC-klagomål.docx", "A 43278-2025")</f>
        <v/>
      </c>
      <c r="W68">
        <f>HYPERLINK("https://klasma.github.io/Logging_0380/klagomålsmail/A 43278-2025 FSC-klagomål mail.docx", "A 43278-2025")</f>
        <v/>
      </c>
      <c r="X68">
        <f>HYPERLINK("https://klasma.github.io/Logging_0380/tillsyn/A 43278-2025 tillsynsbegäran.docx", "A 43278-2025")</f>
        <v/>
      </c>
      <c r="Y68">
        <f>HYPERLINK("https://klasma.github.io/Logging_0380/tillsynsmail/A 43278-2025 tillsynsbegäran mail.docx", "A 43278-2025")</f>
        <v/>
      </c>
    </row>
    <row r="69" ht="15" customHeight="1">
      <c r="A69" t="inlineStr">
        <is>
          <t>A 45627-2025</t>
        </is>
      </c>
      <c r="B69" s="1" t="n">
        <v>45922.80255787037</v>
      </c>
      <c r="C69" s="1" t="n">
        <v>46033</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30716-2025</t>
        </is>
      </c>
      <c r="B70" s="1" t="n">
        <v>45831.55982638889</v>
      </c>
      <c r="C70" s="1" t="n">
        <v>46033</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60038-2021</t>
        </is>
      </c>
      <c r="B71" s="1" t="n">
        <v>44495</v>
      </c>
      <c r="C71" s="1" t="n">
        <v>46033</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18079-2022</t>
        </is>
      </c>
      <c r="B72" s="1" t="n">
        <v>44684</v>
      </c>
      <c r="C72" s="1" t="n">
        <v>46033</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55788-2025</t>
        </is>
      </c>
      <c r="B73" s="1" t="n">
        <v>45972.64483796297</v>
      </c>
      <c r="C73" s="1" t="n">
        <v>46033</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17277-2023</t>
        </is>
      </c>
      <c r="B74" s="1" t="n">
        <v>45035.44672453704</v>
      </c>
      <c r="C74" s="1" t="n">
        <v>46033</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6044-2024</t>
        </is>
      </c>
      <c r="B75" s="1" t="n">
        <v>45336</v>
      </c>
      <c r="C75" s="1" t="n">
        <v>46033</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36471-2022</t>
        </is>
      </c>
      <c r="B76" s="1" t="n">
        <v>44804</v>
      </c>
      <c r="C76" s="1" t="n">
        <v>46033</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6998-2023</t>
        </is>
      </c>
      <c r="B77" s="1" t="n">
        <v>44967</v>
      </c>
      <c r="C77" s="1" t="n">
        <v>46033</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25660-2025</t>
        </is>
      </c>
      <c r="B78" s="1" t="n">
        <v>45803.61554398148</v>
      </c>
      <c r="C78" s="1" t="n">
        <v>46033</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41921-2025</t>
        </is>
      </c>
      <c r="B79" s="1" t="n">
        <v>45903</v>
      </c>
      <c r="C79" s="1" t="n">
        <v>46033</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18425-2025</t>
        </is>
      </c>
      <c r="B80" s="1" t="n">
        <v>45762.62260416667</v>
      </c>
      <c r="C80" s="1" t="n">
        <v>46033</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9401-2025</t>
        </is>
      </c>
      <c r="B81" s="1" t="n">
        <v>45715.38105324074</v>
      </c>
      <c r="C81" s="1" t="n">
        <v>46033</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58906-2021</t>
        </is>
      </c>
      <c r="B82" s="1" t="n">
        <v>44489</v>
      </c>
      <c r="C82" s="1" t="n">
        <v>46033</v>
      </c>
      <c r="D82" t="inlineStr">
        <is>
          <t>UPPSALA LÄN</t>
        </is>
      </c>
      <c r="E82" t="inlineStr">
        <is>
          <t>UPPSALA</t>
        </is>
      </c>
      <c r="G82" t="n">
        <v>8.6</v>
      </c>
      <c r="H82" t="n">
        <v>1</v>
      </c>
      <c r="I82" t="n">
        <v>0</v>
      </c>
      <c r="J82" t="n">
        <v>1</v>
      </c>
      <c r="K82" t="n">
        <v>0</v>
      </c>
      <c r="L82" t="n">
        <v>0</v>
      </c>
      <c r="M82" t="n">
        <v>0</v>
      </c>
      <c r="N82" t="n">
        <v>0</v>
      </c>
      <c r="O82" t="n">
        <v>1</v>
      </c>
      <c r="P82" t="n">
        <v>0</v>
      </c>
      <c r="Q82" t="n">
        <v>2</v>
      </c>
      <c r="R82" s="2" t="inlineStr">
        <is>
          <t>Ullticka
Tjäder</t>
        </is>
      </c>
      <c r="S82">
        <f>HYPERLINK("https://klasma.github.io/Logging_0380/artfynd/A 58906-2021 artfynd.xlsx", "A 58906-2021")</f>
        <v/>
      </c>
      <c r="T82">
        <f>HYPERLINK("https://klasma.github.io/Logging_0380/kartor/A 58906-2021 karta.png", "A 58906-2021")</f>
        <v/>
      </c>
      <c r="V82">
        <f>HYPERLINK("https://klasma.github.io/Logging_0380/klagomål/A 58906-2021 FSC-klagomål.docx", "A 58906-2021")</f>
        <v/>
      </c>
      <c r="W82">
        <f>HYPERLINK("https://klasma.github.io/Logging_0380/klagomålsmail/A 58906-2021 FSC-klagomål mail.docx", "A 58906-2021")</f>
        <v/>
      </c>
      <c r="X82">
        <f>HYPERLINK("https://klasma.github.io/Logging_0380/tillsyn/A 58906-2021 tillsynsbegäran.docx", "A 58906-2021")</f>
        <v/>
      </c>
      <c r="Y82">
        <f>HYPERLINK("https://klasma.github.io/Logging_0380/tillsynsmail/A 58906-2021 tillsynsbegäran mail.docx", "A 58906-2021")</f>
        <v/>
      </c>
      <c r="Z82">
        <f>HYPERLINK("https://klasma.github.io/Logging_0380/fåglar/A 58906-2021 prioriterade fågelarter.docx", "A 58906-2021")</f>
        <v/>
      </c>
    </row>
    <row r="83" ht="15" customHeight="1">
      <c r="A83" t="inlineStr">
        <is>
          <t>A 5755-2025</t>
        </is>
      </c>
      <c r="B83" s="1" t="n">
        <v>45694.55559027778</v>
      </c>
      <c r="C83" s="1" t="n">
        <v>46033</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33708-2025</t>
        </is>
      </c>
      <c r="B84" s="1" t="n">
        <v>45841.81555555556</v>
      </c>
      <c r="C84" s="1" t="n">
        <v>46033</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46033</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53589-2025</t>
        </is>
      </c>
      <c r="B86" s="1" t="n">
        <v>45960.43780092592</v>
      </c>
      <c r="C86" s="1" t="n">
        <v>46033</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46033</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57715-2025</t>
        </is>
      </c>
      <c r="B88" s="1" t="n">
        <v>45981</v>
      </c>
      <c r="C88" s="1" t="n">
        <v>46033</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52503-2025</t>
        </is>
      </c>
      <c r="B89" s="1" t="n">
        <v>45954.49768518518</v>
      </c>
      <c r="C89" s="1" t="n">
        <v>46033</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58546-2025</t>
        </is>
      </c>
      <c r="B90" s="1" t="n">
        <v>45985.99173611111</v>
      </c>
      <c r="C90" s="1" t="n">
        <v>46033</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51749-2023</t>
        </is>
      </c>
      <c r="B91" s="1" t="n">
        <v>45222</v>
      </c>
      <c r="C91" s="1" t="n">
        <v>46033</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39933-2023</t>
        </is>
      </c>
      <c r="B92" s="1" t="n">
        <v>45168.50667824074</v>
      </c>
      <c r="C92" s="1" t="n">
        <v>46033</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88-2024</t>
        </is>
      </c>
      <c r="B93" s="1" t="n">
        <v>45293</v>
      </c>
      <c r="C93" s="1" t="n">
        <v>46033</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46033</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46033</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46033</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46033</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21801-2025</t>
        </is>
      </c>
      <c r="B98" s="1" t="n">
        <v>45783</v>
      </c>
      <c r="C98" s="1" t="n">
        <v>46033</v>
      </c>
      <c r="D98" t="inlineStr">
        <is>
          <t>UPPSALA LÄN</t>
        </is>
      </c>
      <c r="E98" t="inlineStr">
        <is>
          <t>UPPSALA</t>
        </is>
      </c>
      <c r="G98" t="n">
        <v>7.9</v>
      </c>
      <c r="H98" t="n">
        <v>1</v>
      </c>
      <c r="I98" t="n">
        <v>0</v>
      </c>
      <c r="J98" t="n">
        <v>0</v>
      </c>
      <c r="K98" t="n">
        <v>0</v>
      </c>
      <c r="L98" t="n">
        <v>0</v>
      </c>
      <c r="M98" t="n">
        <v>0</v>
      </c>
      <c r="N98" t="n">
        <v>0</v>
      </c>
      <c r="O98" t="n">
        <v>0</v>
      </c>
      <c r="P98" t="n">
        <v>0</v>
      </c>
      <c r="Q98" t="n">
        <v>1</v>
      </c>
      <c r="R98" s="2" t="inlineStr">
        <is>
          <t>Mattlummer</t>
        </is>
      </c>
      <c r="S98">
        <f>HYPERLINK("https://klasma.github.io/Logging_0380/artfynd/A 21801-2025 artfynd.xlsx", "A 21801-2025")</f>
        <v/>
      </c>
      <c r="T98">
        <f>HYPERLINK("https://klasma.github.io/Logging_0380/kartor/A 21801-2025 karta.png", "A 21801-2025")</f>
        <v/>
      </c>
      <c r="V98">
        <f>HYPERLINK("https://klasma.github.io/Logging_0380/klagomål/A 21801-2025 FSC-klagomål.docx", "A 21801-2025")</f>
        <v/>
      </c>
      <c r="W98">
        <f>HYPERLINK("https://klasma.github.io/Logging_0380/klagomålsmail/A 21801-2025 FSC-klagomål mail.docx", "A 21801-2025")</f>
        <v/>
      </c>
      <c r="X98">
        <f>HYPERLINK("https://klasma.github.io/Logging_0380/tillsyn/A 21801-2025 tillsynsbegäran.docx", "A 21801-2025")</f>
        <v/>
      </c>
      <c r="Y98">
        <f>HYPERLINK("https://klasma.github.io/Logging_0380/tillsynsmail/A 21801-2025 tillsynsbegäran mail.docx", "A 21801-2025")</f>
        <v/>
      </c>
    </row>
    <row r="99" ht="15" customHeight="1">
      <c r="A99" t="inlineStr">
        <is>
          <t>A 9206-2024</t>
        </is>
      </c>
      <c r="B99" s="1" t="n">
        <v>45358</v>
      </c>
      <c r="C99" s="1" t="n">
        <v>46033</v>
      </c>
      <c r="D99" t="inlineStr">
        <is>
          <t>UPPSALA LÄN</t>
        </is>
      </c>
      <c r="E99" t="inlineStr">
        <is>
          <t>UPPSALA</t>
        </is>
      </c>
      <c r="F99" t="inlineStr">
        <is>
          <t>Allmännings- och besparingsskogar</t>
        </is>
      </c>
      <c r="G99" t="n">
        <v>22.2</v>
      </c>
      <c r="H99" t="n">
        <v>1</v>
      </c>
      <c r="I99" t="n">
        <v>0</v>
      </c>
      <c r="J99" t="n">
        <v>0</v>
      </c>
      <c r="K99" t="n">
        <v>1</v>
      </c>
      <c r="L99" t="n">
        <v>0</v>
      </c>
      <c r="M99" t="n">
        <v>0</v>
      </c>
      <c r="N99" t="n">
        <v>0</v>
      </c>
      <c r="O99" t="n">
        <v>1</v>
      </c>
      <c r="P99" t="n">
        <v>1</v>
      </c>
      <c r="Q99" t="n">
        <v>1</v>
      </c>
      <c r="R99" s="2" t="inlineStr">
        <is>
          <t>Knärot</t>
        </is>
      </c>
      <c r="S99">
        <f>HYPERLINK("https://klasma.github.io/Logging_0380/artfynd/A 9206-2024 artfynd.xlsx", "A 9206-2024")</f>
        <v/>
      </c>
      <c r="T99">
        <f>HYPERLINK("https://klasma.github.io/Logging_0380/kartor/A 9206-2024 karta.png", "A 9206-2024")</f>
        <v/>
      </c>
      <c r="U99">
        <f>HYPERLINK("https://klasma.github.io/Logging_0380/knärot/A 9206-2024 karta knärot.png", "A 9206-2024")</f>
        <v/>
      </c>
      <c r="V99">
        <f>HYPERLINK("https://klasma.github.io/Logging_0380/klagomål/A 9206-2024 FSC-klagomål.docx", "A 9206-2024")</f>
        <v/>
      </c>
      <c r="W99">
        <f>HYPERLINK("https://klasma.github.io/Logging_0380/klagomålsmail/A 9206-2024 FSC-klagomål mail.docx", "A 9206-2024")</f>
        <v/>
      </c>
      <c r="X99">
        <f>HYPERLINK("https://klasma.github.io/Logging_0380/tillsyn/A 9206-2024 tillsynsbegäran.docx", "A 9206-2024")</f>
        <v/>
      </c>
      <c r="Y99">
        <f>HYPERLINK("https://klasma.github.io/Logging_0380/tillsynsmail/A 9206-2024 tillsynsbegäran mail.docx", "A 9206-2024")</f>
        <v/>
      </c>
    </row>
    <row r="100" ht="15" customHeight="1">
      <c r="A100" t="inlineStr">
        <is>
          <t>A 4657-2025</t>
        </is>
      </c>
      <c r="B100" s="1" t="n">
        <v>45687</v>
      </c>
      <c r="C100" s="1" t="n">
        <v>46033</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51475-2025</t>
        </is>
      </c>
      <c r="B101" s="1" t="n">
        <v>45950</v>
      </c>
      <c r="C101" s="1" t="n">
        <v>46033</v>
      </c>
      <c r="D101" t="inlineStr">
        <is>
          <t>UPPSALA LÄN</t>
        </is>
      </c>
      <c r="E101" t="inlineStr">
        <is>
          <t>UPPSALA</t>
        </is>
      </c>
      <c r="G101" t="n">
        <v>3.3</v>
      </c>
      <c r="H101" t="n">
        <v>0</v>
      </c>
      <c r="I101" t="n">
        <v>1</v>
      </c>
      <c r="J101" t="n">
        <v>0</v>
      </c>
      <c r="K101" t="n">
        <v>0</v>
      </c>
      <c r="L101" t="n">
        <v>0</v>
      </c>
      <c r="M101" t="n">
        <v>0</v>
      </c>
      <c r="N101" t="n">
        <v>0</v>
      </c>
      <c r="O101" t="n">
        <v>0</v>
      </c>
      <c r="P101" t="n">
        <v>0</v>
      </c>
      <c r="Q101" t="n">
        <v>1</v>
      </c>
      <c r="R101" s="2" t="inlineStr">
        <is>
          <t>Bronshjon</t>
        </is>
      </c>
      <c r="S101">
        <f>HYPERLINK("https://klasma.github.io/Logging_0380/artfynd/A 51475-2025 artfynd.xlsx", "A 51475-2025")</f>
        <v/>
      </c>
      <c r="T101">
        <f>HYPERLINK("https://klasma.github.io/Logging_0380/kartor/A 51475-2025 karta.png", "A 51475-2025")</f>
        <v/>
      </c>
      <c r="V101">
        <f>HYPERLINK("https://klasma.github.io/Logging_0380/klagomål/A 51475-2025 FSC-klagomål.docx", "A 51475-2025")</f>
        <v/>
      </c>
      <c r="W101">
        <f>HYPERLINK("https://klasma.github.io/Logging_0380/klagomålsmail/A 51475-2025 FSC-klagomål mail.docx", "A 51475-2025")</f>
        <v/>
      </c>
      <c r="X101">
        <f>HYPERLINK("https://klasma.github.io/Logging_0380/tillsyn/A 51475-2025 tillsynsbegäran.docx", "A 51475-2025")</f>
        <v/>
      </c>
      <c r="Y101">
        <f>HYPERLINK("https://klasma.github.io/Logging_0380/tillsynsmail/A 51475-2025 tillsynsbegäran mail.docx", "A 51475-2025")</f>
        <v/>
      </c>
    </row>
    <row r="102" ht="15" customHeight="1">
      <c r="A102" t="inlineStr">
        <is>
          <t>A 29906-2023</t>
        </is>
      </c>
      <c r="B102" s="1" t="n">
        <v>45107</v>
      </c>
      <c r="C102" s="1" t="n">
        <v>46033</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40568-2025</t>
        </is>
      </c>
      <c r="B103" s="1" t="n">
        <v>45896.47487268518</v>
      </c>
      <c r="C103" s="1" t="n">
        <v>46033</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844-2025</t>
        </is>
      </c>
      <c r="B104" s="1" t="n">
        <v>45665</v>
      </c>
      <c r="C104" s="1" t="n">
        <v>46033</v>
      </c>
      <c r="D104" t="inlineStr">
        <is>
          <t>UPPSALA LÄN</t>
        </is>
      </c>
      <c r="E104" t="inlineStr">
        <is>
          <t>UPPSALA</t>
        </is>
      </c>
      <c r="G104" t="n">
        <v>2.6</v>
      </c>
      <c r="H104" t="n">
        <v>1</v>
      </c>
      <c r="I104" t="n">
        <v>0</v>
      </c>
      <c r="J104" t="n">
        <v>0</v>
      </c>
      <c r="K104" t="n">
        <v>0</v>
      </c>
      <c r="L104" t="n">
        <v>0</v>
      </c>
      <c r="M104" t="n">
        <v>0</v>
      </c>
      <c r="N104" t="n">
        <v>0</v>
      </c>
      <c r="O104" t="n">
        <v>0</v>
      </c>
      <c r="P104" t="n">
        <v>0</v>
      </c>
      <c r="Q104" t="n">
        <v>1</v>
      </c>
      <c r="R104" s="2" t="inlineStr">
        <is>
          <t>Tjäder</t>
        </is>
      </c>
      <c r="S104">
        <f>HYPERLINK("https://klasma.github.io/Logging_0380/artfynd/A 844-2025 artfynd.xlsx", "A 844-2025")</f>
        <v/>
      </c>
      <c r="T104">
        <f>HYPERLINK("https://klasma.github.io/Logging_0380/kartor/A 844-2025 karta.png", "A 844-2025")</f>
        <v/>
      </c>
      <c r="V104">
        <f>HYPERLINK("https://klasma.github.io/Logging_0380/klagomål/A 844-2025 FSC-klagomål.docx", "A 844-2025")</f>
        <v/>
      </c>
      <c r="W104">
        <f>HYPERLINK("https://klasma.github.io/Logging_0380/klagomålsmail/A 844-2025 FSC-klagomål mail.docx", "A 844-2025")</f>
        <v/>
      </c>
      <c r="X104">
        <f>HYPERLINK("https://klasma.github.io/Logging_0380/tillsyn/A 844-2025 tillsynsbegäran.docx", "A 844-2025")</f>
        <v/>
      </c>
      <c r="Y104">
        <f>HYPERLINK("https://klasma.github.io/Logging_0380/tillsynsmail/A 844-2025 tillsynsbegäran mail.docx", "A 844-2025")</f>
        <v/>
      </c>
      <c r="Z104">
        <f>HYPERLINK("https://klasma.github.io/Logging_0380/fåglar/A 844-2025 prioriterade fågelarter.docx", "A 844-2025")</f>
        <v/>
      </c>
    </row>
    <row r="105" ht="15" customHeight="1">
      <c r="A105" t="inlineStr">
        <is>
          <t>A 41606-2025</t>
        </is>
      </c>
      <c r="B105" s="1" t="n">
        <v>45901.66702546296</v>
      </c>
      <c r="C105" s="1" t="n">
        <v>46033</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26923-2025</t>
        </is>
      </c>
      <c r="B106" s="1" t="n">
        <v>45811.38710648148</v>
      </c>
      <c r="C106" s="1" t="n">
        <v>46033</v>
      </c>
      <c r="D106" t="inlineStr">
        <is>
          <t>UPPSALA LÄN</t>
        </is>
      </c>
      <c r="E106" t="inlineStr">
        <is>
          <t>UPPSALA</t>
        </is>
      </c>
      <c r="F106" t="inlineStr">
        <is>
          <t>Kyrkan</t>
        </is>
      </c>
      <c r="G106" t="n">
        <v>9.800000000000001</v>
      </c>
      <c r="H106" t="n">
        <v>1</v>
      </c>
      <c r="I106" t="n">
        <v>0</v>
      </c>
      <c r="J106" t="n">
        <v>0</v>
      </c>
      <c r="K106" t="n">
        <v>0</v>
      </c>
      <c r="L106" t="n">
        <v>0</v>
      </c>
      <c r="M106" t="n">
        <v>0</v>
      </c>
      <c r="N106" t="n">
        <v>0</v>
      </c>
      <c r="O106" t="n">
        <v>0</v>
      </c>
      <c r="P106" t="n">
        <v>0</v>
      </c>
      <c r="Q106" t="n">
        <v>1</v>
      </c>
      <c r="R106" s="2" t="inlineStr">
        <is>
          <t>Fläcknycklar</t>
        </is>
      </c>
      <c r="S106">
        <f>HYPERLINK("https://klasma.github.io/Logging_0380/artfynd/A 26923-2025 artfynd.xlsx", "A 26923-2025")</f>
        <v/>
      </c>
      <c r="T106">
        <f>HYPERLINK("https://klasma.github.io/Logging_0380/kartor/A 26923-2025 karta.png", "A 26923-2025")</f>
        <v/>
      </c>
      <c r="V106">
        <f>HYPERLINK("https://klasma.github.io/Logging_0380/klagomål/A 26923-2025 FSC-klagomål.docx", "A 26923-2025")</f>
        <v/>
      </c>
      <c r="W106">
        <f>HYPERLINK("https://klasma.github.io/Logging_0380/klagomålsmail/A 26923-2025 FSC-klagomål mail.docx", "A 26923-2025")</f>
        <v/>
      </c>
      <c r="X106">
        <f>HYPERLINK("https://klasma.github.io/Logging_0380/tillsyn/A 26923-2025 tillsynsbegäran.docx", "A 26923-2025")</f>
        <v/>
      </c>
      <c r="Y106">
        <f>HYPERLINK("https://klasma.github.io/Logging_0380/tillsynsmail/A 26923-2025 tillsynsbegäran mail.docx", "A 26923-2025")</f>
        <v/>
      </c>
    </row>
    <row r="107" ht="15" customHeight="1">
      <c r="A107" t="inlineStr">
        <is>
          <t>A 27848-2023</t>
        </is>
      </c>
      <c r="B107" s="1" t="n">
        <v>45098</v>
      </c>
      <c r="C107" s="1" t="n">
        <v>46033</v>
      </c>
      <c r="D107" t="inlineStr">
        <is>
          <t>UPPSALA LÄN</t>
        </is>
      </c>
      <c r="E107" t="inlineStr">
        <is>
          <t>UPPSALA</t>
        </is>
      </c>
      <c r="G107" t="n">
        <v>14.3</v>
      </c>
      <c r="H107" t="n">
        <v>0</v>
      </c>
      <c r="I107" t="n">
        <v>1</v>
      </c>
      <c r="J107" t="n">
        <v>0</v>
      </c>
      <c r="K107" t="n">
        <v>0</v>
      </c>
      <c r="L107" t="n">
        <v>0</v>
      </c>
      <c r="M107" t="n">
        <v>0</v>
      </c>
      <c r="N107" t="n">
        <v>0</v>
      </c>
      <c r="O107" t="n">
        <v>0</v>
      </c>
      <c r="P107" t="n">
        <v>0</v>
      </c>
      <c r="Q107" t="n">
        <v>1</v>
      </c>
      <c r="R107" s="2" t="inlineStr">
        <is>
          <t>Blåmossa</t>
        </is>
      </c>
      <c r="S107">
        <f>HYPERLINK("https://klasma.github.io/Logging_0380/artfynd/A 27848-2023 artfynd.xlsx", "A 27848-2023")</f>
        <v/>
      </c>
      <c r="T107">
        <f>HYPERLINK("https://klasma.github.io/Logging_0380/kartor/A 27848-2023 karta.png", "A 27848-2023")</f>
        <v/>
      </c>
      <c r="V107">
        <f>HYPERLINK("https://klasma.github.io/Logging_0380/klagomål/A 27848-2023 FSC-klagomål.docx", "A 27848-2023")</f>
        <v/>
      </c>
      <c r="W107">
        <f>HYPERLINK("https://klasma.github.io/Logging_0380/klagomålsmail/A 27848-2023 FSC-klagomål mail.docx", "A 27848-2023")</f>
        <v/>
      </c>
      <c r="X107">
        <f>HYPERLINK("https://klasma.github.io/Logging_0380/tillsyn/A 27848-2023 tillsynsbegäran.docx", "A 27848-2023")</f>
        <v/>
      </c>
      <c r="Y107">
        <f>HYPERLINK("https://klasma.github.io/Logging_0380/tillsynsmail/A 27848-2023 tillsynsbegäran mail.docx", "A 27848-2023")</f>
        <v/>
      </c>
    </row>
    <row r="108" ht="15" customHeight="1">
      <c r="A108" t="inlineStr">
        <is>
          <t>A 3304-2025</t>
        </is>
      </c>
      <c r="B108" s="1" t="n">
        <v>45679</v>
      </c>
      <c r="C108" s="1" t="n">
        <v>46033</v>
      </c>
      <c r="D108" t="inlineStr">
        <is>
          <t>UPPSALA LÄN</t>
        </is>
      </c>
      <c r="E108" t="inlineStr">
        <is>
          <t>UPPSALA</t>
        </is>
      </c>
      <c r="F108" t="inlineStr">
        <is>
          <t>Övriga statliga verk och myndigheter</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HYPERLINK("https://klasma.github.io/Logging_0380/artfynd/A 3304-2025 artfynd.xlsx", "A 3304-2025")</f>
        <v/>
      </c>
      <c r="T108">
        <f>HYPERLINK("https://klasma.github.io/Logging_0380/kartor/A 3304-2025 karta.png", "A 3304-2025")</f>
        <v/>
      </c>
      <c r="V108">
        <f>HYPERLINK("https://klasma.github.io/Logging_0380/klagomål/A 3304-2025 FSC-klagomål.docx", "A 3304-2025")</f>
        <v/>
      </c>
      <c r="W108">
        <f>HYPERLINK("https://klasma.github.io/Logging_0380/klagomålsmail/A 3304-2025 FSC-klagomål mail.docx", "A 3304-2025")</f>
        <v/>
      </c>
      <c r="X108">
        <f>HYPERLINK("https://klasma.github.io/Logging_0380/tillsyn/A 3304-2025 tillsynsbegäran.docx", "A 3304-2025")</f>
        <v/>
      </c>
      <c r="Y108">
        <f>HYPERLINK("https://klasma.github.io/Logging_0380/tillsynsmail/A 3304-2025 tillsynsbegäran mail.docx", "A 3304-2025")</f>
        <v/>
      </c>
    </row>
    <row r="109" ht="15" customHeight="1">
      <c r="A109" t="inlineStr">
        <is>
          <t>A 28056-2025</t>
        </is>
      </c>
      <c r="B109" s="1" t="n">
        <v>45817</v>
      </c>
      <c r="C109" s="1" t="n">
        <v>46033</v>
      </c>
      <c r="D109" t="inlineStr">
        <is>
          <t>UPPSALA LÄN</t>
        </is>
      </c>
      <c r="E109" t="inlineStr">
        <is>
          <t>UPPSALA</t>
        </is>
      </c>
      <c r="G109" t="n">
        <v>19.3</v>
      </c>
      <c r="H109" t="n">
        <v>1</v>
      </c>
      <c r="I109" t="n">
        <v>0</v>
      </c>
      <c r="J109" t="n">
        <v>0</v>
      </c>
      <c r="K109" t="n">
        <v>1</v>
      </c>
      <c r="L109" t="n">
        <v>0</v>
      </c>
      <c r="M109" t="n">
        <v>0</v>
      </c>
      <c r="N109" t="n">
        <v>0</v>
      </c>
      <c r="O109" t="n">
        <v>1</v>
      </c>
      <c r="P109" t="n">
        <v>1</v>
      </c>
      <c r="Q109" t="n">
        <v>1</v>
      </c>
      <c r="R109" s="2" t="inlineStr">
        <is>
          <t>Knärot</t>
        </is>
      </c>
      <c r="S109">
        <f>HYPERLINK("https://klasma.github.io/Logging_0380/artfynd/A 28056-2025 artfynd.xlsx", "A 28056-2025")</f>
        <v/>
      </c>
      <c r="T109">
        <f>HYPERLINK("https://klasma.github.io/Logging_0380/kartor/A 28056-2025 karta.png", "A 28056-2025")</f>
        <v/>
      </c>
      <c r="U109">
        <f>HYPERLINK("https://klasma.github.io/Logging_0380/knärot/A 28056-2025 karta knärot.png", "A 28056-2025")</f>
        <v/>
      </c>
      <c r="V109">
        <f>HYPERLINK("https://klasma.github.io/Logging_0380/klagomål/A 28056-2025 FSC-klagomål.docx", "A 28056-2025")</f>
        <v/>
      </c>
      <c r="W109">
        <f>HYPERLINK("https://klasma.github.io/Logging_0380/klagomålsmail/A 28056-2025 FSC-klagomål mail.docx", "A 28056-2025")</f>
        <v/>
      </c>
      <c r="X109">
        <f>HYPERLINK("https://klasma.github.io/Logging_0380/tillsyn/A 28056-2025 tillsynsbegäran.docx", "A 28056-2025")</f>
        <v/>
      </c>
      <c r="Y109">
        <f>HYPERLINK("https://klasma.github.io/Logging_0380/tillsynsmail/A 28056-2025 tillsynsbegäran mail.docx", "A 28056-2025")</f>
        <v/>
      </c>
    </row>
    <row r="110" ht="15" customHeight="1">
      <c r="A110" t="inlineStr">
        <is>
          <t>A 27824-2025</t>
        </is>
      </c>
      <c r="B110" s="1" t="n">
        <v>45817.34614583333</v>
      </c>
      <c r="C110" s="1" t="n">
        <v>46033</v>
      </c>
      <c r="D110" t="inlineStr">
        <is>
          <t>UPPSALA LÄN</t>
        </is>
      </c>
      <c r="E110" t="inlineStr">
        <is>
          <t>UPPSALA</t>
        </is>
      </c>
      <c r="F110" t="inlineStr">
        <is>
          <t>Kyrkan</t>
        </is>
      </c>
      <c r="G110" t="n">
        <v>3.3</v>
      </c>
      <c r="H110" t="n">
        <v>0</v>
      </c>
      <c r="I110" t="n">
        <v>1</v>
      </c>
      <c r="J110" t="n">
        <v>0</v>
      </c>
      <c r="K110" t="n">
        <v>0</v>
      </c>
      <c r="L110" t="n">
        <v>0</v>
      </c>
      <c r="M110" t="n">
        <v>0</v>
      </c>
      <c r="N110" t="n">
        <v>0</v>
      </c>
      <c r="O110" t="n">
        <v>0</v>
      </c>
      <c r="P110" t="n">
        <v>0</v>
      </c>
      <c r="Q110" t="n">
        <v>1</v>
      </c>
      <c r="R110" s="2" t="inlineStr">
        <is>
          <t>Sårläka</t>
        </is>
      </c>
      <c r="S110">
        <f>HYPERLINK("https://klasma.github.io/Logging_0380/artfynd/A 27824-2025 artfynd.xlsx", "A 27824-2025")</f>
        <v/>
      </c>
      <c r="T110">
        <f>HYPERLINK("https://klasma.github.io/Logging_0380/kartor/A 27824-2025 karta.png", "A 27824-2025")</f>
        <v/>
      </c>
      <c r="V110">
        <f>HYPERLINK("https://klasma.github.io/Logging_0380/klagomål/A 27824-2025 FSC-klagomål.docx", "A 27824-2025")</f>
        <v/>
      </c>
      <c r="W110">
        <f>HYPERLINK("https://klasma.github.io/Logging_0380/klagomålsmail/A 27824-2025 FSC-klagomål mail.docx", "A 27824-2025")</f>
        <v/>
      </c>
      <c r="X110">
        <f>HYPERLINK("https://klasma.github.io/Logging_0380/tillsyn/A 27824-2025 tillsynsbegäran.docx", "A 27824-2025")</f>
        <v/>
      </c>
      <c r="Y110">
        <f>HYPERLINK("https://klasma.github.io/Logging_0380/tillsynsmail/A 27824-2025 tillsynsbegäran mail.docx", "A 27824-2025")</f>
        <v/>
      </c>
    </row>
    <row r="111" ht="15" customHeight="1">
      <c r="A111" t="inlineStr">
        <is>
          <t>A 5732-2025</t>
        </is>
      </c>
      <c r="B111" s="1" t="n">
        <v>45694.49650462963</v>
      </c>
      <c r="C111" s="1" t="n">
        <v>46033</v>
      </c>
      <c r="D111" t="inlineStr">
        <is>
          <t>UPPSALA LÄN</t>
        </is>
      </c>
      <c r="E111" t="inlineStr">
        <is>
          <t>UPPSALA</t>
        </is>
      </c>
      <c r="G111" t="n">
        <v>1.9</v>
      </c>
      <c r="H111" t="n">
        <v>0</v>
      </c>
      <c r="I111" t="n">
        <v>1</v>
      </c>
      <c r="J111" t="n">
        <v>0</v>
      </c>
      <c r="K111" t="n">
        <v>0</v>
      </c>
      <c r="L111" t="n">
        <v>0</v>
      </c>
      <c r="M111" t="n">
        <v>0</v>
      </c>
      <c r="N111" t="n">
        <v>0</v>
      </c>
      <c r="O111" t="n">
        <v>0</v>
      </c>
      <c r="P111" t="n">
        <v>0</v>
      </c>
      <c r="Q111" t="n">
        <v>1</v>
      </c>
      <c r="R111" s="2" t="inlineStr">
        <is>
          <t>Fällmossa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28299-2025</t>
        </is>
      </c>
      <c r="B112" s="1" t="n">
        <v>45818.60254629629</v>
      </c>
      <c r="C112" s="1" t="n">
        <v>46033</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46033</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46033</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37004-2025</t>
        </is>
      </c>
      <c r="B115" s="1" t="n">
        <v>45874.69282407407</v>
      </c>
      <c r="C115" s="1" t="n">
        <v>46033</v>
      </c>
      <c r="D115" t="inlineStr">
        <is>
          <t>UPPSALA LÄN</t>
        </is>
      </c>
      <c r="E115" t="inlineStr">
        <is>
          <t>UPPSALA</t>
        </is>
      </c>
      <c r="G115" t="n">
        <v>15.8</v>
      </c>
      <c r="H115" t="n">
        <v>1</v>
      </c>
      <c r="I115" t="n">
        <v>0</v>
      </c>
      <c r="J115" t="n">
        <v>0</v>
      </c>
      <c r="K115" t="n">
        <v>0</v>
      </c>
      <c r="L115" t="n">
        <v>0</v>
      </c>
      <c r="M115" t="n">
        <v>0</v>
      </c>
      <c r="N115" t="n">
        <v>0</v>
      </c>
      <c r="O115" t="n">
        <v>0</v>
      </c>
      <c r="P115" t="n">
        <v>0</v>
      </c>
      <c r="Q115" t="n">
        <v>1</v>
      </c>
      <c r="R115" s="2" t="inlineStr">
        <is>
          <t>Vanlig padda</t>
        </is>
      </c>
      <c r="S115">
        <f>HYPERLINK("https://klasma.github.io/Logging_0380/artfynd/A 37004-2025 artfynd.xlsx", "A 37004-2025")</f>
        <v/>
      </c>
      <c r="T115">
        <f>HYPERLINK("https://klasma.github.io/Logging_0380/kartor/A 37004-2025 karta.png", "A 37004-2025")</f>
        <v/>
      </c>
      <c r="V115">
        <f>HYPERLINK("https://klasma.github.io/Logging_0380/klagomål/A 37004-2025 FSC-klagomål.docx", "A 37004-2025")</f>
        <v/>
      </c>
      <c r="W115">
        <f>HYPERLINK("https://klasma.github.io/Logging_0380/klagomålsmail/A 37004-2025 FSC-klagomål mail.docx", "A 37004-2025")</f>
        <v/>
      </c>
      <c r="X115">
        <f>HYPERLINK("https://klasma.github.io/Logging_0380/tillsyn/A 37004-2025 tillsynsbegäran.docx", "A 37004-2025")</f>
        <v/>
      </c>
      <c r="Y115">
        <f>HYPERLINK("https://klasma.github.io/Logging_0380/tillsynsmail/A 37004-2025 tillsynsbegäran mail.docx", "A 37004-2025")</f>
        <v/>
      </c>
    </row>
    <row r="116" ht="15" customHeight="1">
      <c r="A116" t="inlineStr">
        <is>
          <t>A 61818-2022</t>
        </is>
      </c>
      <c r="B116" s="1" t="n">
        <v>44917</v>
      </c>
      <c r="C116" s="1" t="n">
        <v>46033</v>
      </c>
      <c r="D116" t="inlineStr">
        <is>
          <t>UPPSALA LÄN</t>
        </is>
      </c>
      <c r="E116" t="inlineStr">
        <is>
          <t>UPPSALA</t>
        </is>
      </c>
      <c r="F116" t="inlineStr">
        <is>
          <t>Holmen skog AB</t>
        </is>
      </c>
      <c r="G116" t="n">
        <v>0.8</v>
      </c>
      <c r="H116" t="n">
        <v>0</v>
      </c>
      <c r="I116" t="n">
        <v>0</v>
      </c>
      <c r="J116" t="n">
        <v>1</v>
      </c>
      <c r="K116" t="n">
        <v>0</v>
      </c>
      <c r="L116" t="n">
        <v>0</v>
      </c>
      <c r="M116" t="n">
        <v>0</v>
      </c>
      <c r="N116" t="n">
        <v>0</v>
      </c>
      <c r="O116" t="n">
        <v>1</v>
      </c>
      <c r="P116" t="n">
        <v>0</v>
      </c>
      <c r="Q116" t="n">
        <v>1</v>
      </c>
      <c r="R116" s="2" t="inlineStr">
        <is>
          <t>Blekticka</t>
        </is>
      </c>
      <c r="S116">
        <f>HYPERLINK("https://klasma.github.io/Logging_0380/artfynd/A 61818-2022 artfynd.xlsx", "A 61818-2022")</f>
        <v/>
      </c>
      <c r="T116">
        <f>HYPERLINK("https://klasma.github.io/Logging_0380/kartor/A 61818-2022 karta.png", "A 61818-2022")</f>
        <v/>
      </c>
      <c r="V116">
        <f>HYPERLINK("https://klasma.github.io/Logging_0380/klagomål/A 61818-2022 FSC-klagomål.docx", "A 61818-2022")</f>
        <v/>
      </c>
      <c r="W116">
        <f>HYPERLINK("https://klasma.github.io/Logging_0380/klagomålsmail/A 61818-2022 FSC-klagomål mail.docx", "A 61818-2022")</f>
        <v/>
      </c>
      <c r="X116">
        <f>HYPERLINK("https://klasma.github.io/Logging_0380/tillsyn/A 61818-2022 tillsynsbegäran.docx", "A 61818-2022")</f>
        <v/>
      </c>
      <c r="Y116">
        <f>HYPERLINK("https://klasma.github.io/Logging_0380/tillsynsmail/A 61818-2022 tillsynsbegäran mail.docx", "A 61818-2022")</f>
        <v/>
      </c>
    </row>
    <row r="117" ht="15" customHeight="1">
      <c r="A117" t="inlineStr">
        <is>
          <t>A 49015-2022</t>
        </is>
      </c>
      <c r="B117" s="1" t="n">
        <v>44855</v>
      </c>
      <c r="C117" s="1" t="n">
        <v>46033</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5009-2023</t>
        </is>
      </c>
      <c r="B118" s="1" t="n">
        <v>44958</v>
      </c>
      <c r="C118" s="1" t="n">
        <v>46033</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35260-2025</t>
        </is>
      </c>
      <c r="B119" s="1" t="n">
        <v>45853.76976851852</v>
      </c>
      <c r="C119" s="1" t="n">
        <v>46033</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36842-2025</t>
        </is>
      </c>
      <c r="B120" s="1" t="n">
        <v>45874</v>
      </c>
      <c r="C120" s="1" t="n">
        <v>46033</v>
      </c>
      <c r="D120" t="inlineStr">
        <is>
          <t>UPPSALA LÄN</t>
        </is>
      </c>
      <c r="E120" t="inlineStr">
        <is>
          <t>UPPSALA</t>
        </is>
      </c>
      <c r="G120" t="n">
        <v>9.9</v>
      </c>
      <c r="H120" t="n">
        <v>0</v>
      </c>
      <c r="I120" t="n">
        <v>1</v>
      </c>
      <c r="J120" t="n">
        <v>0</v>
      </c>
      <c r="K120" t="n">
        <v>0</v>
      </c>
      <c r="L120" t="n">
        <v>0</v>
      </c>
      <c r="M120" t="n">
        <v>0</v>
      </c>
      <c r="N120" t="n">
        <v>0</v>
      </c>
      <c r="O120" t="n">
        <v>0</v>
      </c>
      <c r="P120" t="n">
        <v>0</v>
      </c>
      <c r="Q120" t="n">
        <v>1</v>
      </c>
      <c r="R120" s="2" t="inlineStr">
        <is>
          <t>Vedticka</t>
        </is>
      </c>
      <c r="S120">
        <f>HYPERLINK("https://klasma.github.io/Logging_0380/artfynd/A 36842-2025 artfynd.xlsx", "A 36842-2025")</f>
        <v/>
      </c>
      <c r="T120">
        <f>HYPERLINK("https://klasma.github.io/Logging_0380/kartor/A 36842-2025 karta.png", "A 36842-2025")</f>
        <v/>
      </c>
      <c r="V120">
        <f>HYPERLINK("https://klasma.github.io/Logging_0380/klagomål/A 36842-2025 FSC-klagomål.docx", "A 36842-2025")</f>
        <v/>
      </c>
      <c r="W120">
        <f>HYPERLINK("https://klasma.github.io/Logging_0380/klagomålsmail/A 36842-2025 FSC-klagomål mail.docx", "A 36842-2025")</f>
        <v/>
      </c>
      <c r="X120">
        <f>HYPERLINK("https://klasma.github.io/Logging_0380/tillsyn/A 36842-2025 tillsynsbegäran.docx", "A 36842-2025")</f>
        <v/>
      </c>
      <c r="Y120">
        <f>HYPERLINK("https://klasma.github.io/Logging_0380/tillsynsmail/A 36842-2025 tillsynsbegäran mail.docx", "A 36842-2025")</f>
        <v/>
      </c>
    </row>
    <row r="121" ht="15" customHeight="1">
      <c r="A121" t="inlineStr">
        <is>
          <t>A 25729-2024</t>
        </is>
      </c>
      <c r="B121" s="1" t="n">
        <v>45464</v>
      </c>
      <c r="C121" s="1" t="n">
        <v>46033</v>
      </c>
      <c r="D121" t="inlineStr">
        <is>
          <t>UPPSALA LÄN</t>
        </is>
      </c>
      <c r="E121" t="inlineStr">
        <is>
          <t>UPPSALA</t>
        </is>
      </c>
      <c r="G121" t="n">
        <v>22.3</v>
      </c>
      <c r="H121" t="n">
        <v>0</v>
      </c>
      <c r="I121" t="n">
        <v>0</v>
      </c>
      <c r="J121" t="n">
        <v>1</v>
      </c>
      <c r="K121" t="n">
        <v>0</v>
      </c>
      <c r="L121" t="n">
        <v>0</v>
      </c>
      <c r="M121" t="n">
        <v>0</v>
      </c>
      <c r="N121" t="n">
        <v>0</v>
      </c>
      <c r="O121" t="n">
        <v>1</v>
      </c>
      <c r="P121" t="n">
        <v>0</v>
      </c>
      <c r="Q121" t="n">
        <v>1</v>
      </c>
      <c r="R121" s="2" t="inlineStr">
        <is>
          <t>Ullticka</t>
        </is>
      </c>
      <c r="S121">
        <f>HYPERLINK("https://klasma.github.io/Logging_0380/artfynd/A 25729-2024 artfynd.xlsx", "A 25729-2024")</f>
        <v/>
      </c>
      <c r="T121">
        <f>HYPERLINK("https://klasma.github.io/Logging_0380/kartor/A 25729-2024 karta.png", "A 25729-2024")</f>
        <v/>
      </c>
      <c r="V121">
        <f>HYPERLINK("https://klasma.github.io/Logging_0380/klagomål/A 25729-2024 FSC-klagomål.docx", "A 25729-2024")</f>
        <v/>
      </c>
      <c r="W121">
        <f>HYPERLINK("https://klasma.github.io/Logging_0380/klagomålsmail/A 25729-2024 FSC-klagomål mail.docx", "A 25729-2024")</f>
        <v/>
      </c>
      <c r="X121">
        <f>HYPERLINK("https://klasma.github.io/Logging_0380/tillsyn/A 25729-2024 tillsynsbegäran.docx", "A 25729-2024")</f>
        <v/>
      </c>
      <c r="Y121">
        <f>HYPERLINK("https://klasma.github.io/Logging_0380/tillsynsmail/A 25729-2024 tillsynsbegäran mail.docx", "A 25729-2024")</f>
        <v/>
      </c>
    </row>
    <row r="122" ht="15" customHeight="1">
      <c r="A122" t="inlineStr">
        <is>
          <t>A 26135-2025</t>
        </is>
      </c>
      <c r="B122" s="1" t="n">
        <v>45805.41232638889</v>
      </c>
      <c r="C122" s="1" t="n">
        <v>46033</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52849-2021</t>
        </is>
      </c>
      <c r="B123" s="1" t="n">
        <v>44467</v>
      </c>
      <c r="C123" s="1" t="n">
        <v>46033</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39741-2023</t>
        </is>
      </c>
      <c r="B124" s="1" t="n">
        <v>45167</v>
      </c>
      <c r="C124" s="1" t="n">
        <v>46033</v>
      </c>
      <c r="D124" t="inlineStr">
        <is>
          <t>UPPSALA LÄN</t>
        </is>
      </c>
      <c r="E124" t="inlineStr">
        <is>
          <t>UPPSALA</t>
        </is>
      </c>
      <c r="G124" t="n">
        <v>5.6</v>
      </c>
      <c r="H124" t="n">
        <v>1</v>
      </c>
      <c r="I124" t="n">
        <v>0</v>
      </c>
      <c r="J124" t="n">
        <v>1</v>
      </c>
      <c r="K124" t="n">
        <v>0</v>
      </c>
      <c r="L124" t="n">
        <v>0</v>
      </c>
      <c r="M124" t="n">
        <v>0</v>
      </c>
      <c r="N124" t="n">
        <v>0</v>
      </c>
      <c r="O124" t="n">
        <v>1</v>
      </c>
      <c r="P124" t="n">
        <v>0</v>
      </c>
      <c r="Q124" t="n">
        <v>1</v>
      </c>
      <c r="R124" s="2" t="inlineStr">
        <is>
          <t>Entita</t>
        </is>
      </c>
      <c r="S124">
        <f>HYPERLINK("https://klasma.github.io/Logging_0380/artfynd/A 39741-2023 artfynd.xlsx", "A 39741-2023")</f>
        <v/>
      </c>
      <c r="T124">
        <f>HYPERLINK("https://klasma.github.io/Logging_0380/kartor/A 39741-2023 karta.png", "A 39741-2023")</f>
        <v/>
      </c>
      <c r="V124">
        <f>HYPERLINK("https://klasma.github.io/Logging_0380/klagomål/A 39741-2023 FSC-klagomål.docx", "A 39741-2023")</f>
        <v/>
      </c>
      <c r="W124">
        <f>HYPERLINK("https://klasma.github.io/Logging_0380/klagomålsmail/A 39741-2023 FSC-klagomål mail.docx", "A 39741-2023")</f>
        <v/>
      </c>
      <c r="X124">
        <f>HYPERLINK("https://klasma.github.io/Logging_0380/tillsyn/A 39741-2023 tillsynsbegäran.docx", "A 39741-2023")</f>
        <v/>
      </c>
      <c r="Y124">
        <f>HYPERLINK("https://klasma.github.io/Logging_0380/tillsynsmail/A 39741-2023 tillsynsbegäran mail.docx", "A 39741-2023")</f>
        <v/>
      </c>
      <c r="Z124">
        <f>HYPERLINK("https://klasma.github.io/Logging_0380/fåglar/A 39741-2023 prioriterade fågelarter.docx", "A 39741-2023")</f>
        <v/>
      </c>
    </row>
    <row r="125" ht="15" customHeight="1">
      <c r="A125" t="inlineStr">
        <is>
          <t>A 61374-2025</t>
        </is>
      </c>
      <c r="B125" s="1" t="n">
        <v>46001.44021990741</v>
      </c>
      <c r="C125" s="1" t="n">
        <v>46033</v>
      </c>
      <c r="D125" t="inlineStr">
        <is>
          <t>UPPSALA LÄN</t>
        </is>
      </c>
      <c r="E125" t="inlineStr">
        <is>
          <t>UPPSALA</t>
        </is>
      </c>
      <c r="F125" t="inlineStr">
        <is>
          <t>Holmen skog AB</t>
        </is>
      </c>
      <c r="G125" t="n">
        <v>6.2</v>
      </c>
      <c r="H125" t="n">
        <v>0</v>
      </c>
      <c r="I125" t="n">
        <v>1</v>
      </c>
      <c r="J125" t="n">
        <v>0</v>
      </c>
      <c r="K125" t="n">
        <v>0</v>
      </c>
      <c r="L125" t="n">
        <v>0</v>
      </c>
      <c r="M125" t="n">
        <v>0</v>
      </c>
      <c r="N125" t="n">
        <v>0</v>
      </c>
      <c r="O125" t="n">
        <v>0</v>
      </c>
      <c r="P125" t="n">
        <v>0</v>
      </c>
      <c r="Q125" t="n">
        <v>1</v>
      </c>
      <c r="R125" s="2" t="inlineStr">
        <is>
          <t>Tibast</t>
        </is>
      </c>
      <c r="S125">
        <f>HYPERLINK("https://klasma.github.io/Logging_0380/artfynd/A 61374-2025 artfynd.xlsx", "A 61374-2025")</f>
        <v/>
      </c>
      <c r="T125">
        <f>HYPERLINK("https://klasma.github.io/Logging_0380/kartor/A 61374-2025 karta.png", "A 61374-2025")</f>
        <v/>
      </c>
      <c r="V125">
        <f>HYPERLINK("https://klasma.github.io/Logging_0380/klagomål/A 61374-2025 FSC-klagomål.docx", "A 61374-2025")</f>
        <v/>
      </c>
      <c r="W125">
        <f>HYPERLINK("https://klasma.github.io/Logging_0380/klagomålsmail/A 61374-2025 FSC-klagomål mail.docx", "A 61374-2025")</f>
        <v/>
      </c>
      <c r="X125">
        <f>HYPERLINK("https://klasma.github.io/Logging_0380/tillsyn/A 61374-2025 tillsynsbegäran.docx", "A 61374-2025")</f>
        <v/>
      </c>
      <c r="Y125">
        <f>HYPERLINK("https://klasma.github.io/Logging_0380/tillsynsmail/A 61374-2025 tillsynsbegäran mail.docx", "A 61374-2025")</f>
        <v/>
      </c>
    </row>
    <row r="126" ht="15" customHeight="1">
      <c r="A126" t="inlineStr">
        <is>
          <t>A 60055-2022</t>
        </is>
      </c>
      <c r="B126" s="1" t="n">
        <v>44909</v>
      </c>
      <c r="C126" s="1" t="n">
        <v>46033</v>
      </c>
      <c r="D126" t="inlineStr">
        <is>
          <t>UPPSALA LÄN</t>
        </is>
      </c>
      <c r="E126" t="inlineStr">
        <is>
          <t>UPPSALA</t>
        </is>
      </c>
      <c r="G126" t="n">
        <v>11.4</v>
      </c>
      <c r="H126" t="n">
        <v>1</v>
      </c>
      <c r="I126" t="n">
        <v>0</v>
      </c>
      <c r="J126" t="n">
        <v>0</v>
      </c>
      <c r="K126" t="n">
        <v>0</v>
      </c>
      <c r="L126" t="n">
        <v>0</v>
      </c>
      <c r="M126" t="n">
        <v>0</v>
      </c>
      <c r="N126" t="n">
        <v>0</v>
      </c>
      <c r="O126" t="n">
        <v>0</v>
      </c>
      <c r="P126" t="n">
        <v>0</v>
      </c>
      <c r="Q126" t="n">
        <v>1</v>
      </c>
      <c r="R126" s="2" t="inlineStr">
        <is>
          <t>Tjäder</t>
        </is>
      </c>
      <c r="S126">
        <f>HYPERLINK("https://klasma.github.io/Logging_0380/artfynd/A 60055-2022 artfynd.xlsx", "A 60055-2022")</f>
        <v/>
      </c>
      <c r="T126">
        <f>HYPERLINK("https://klasma.github.io/Logging_0380/kartor/A 60055-2022 karta.png", "A 60055-2022")</f>
        <v/>
      </c>
      <c r="V126">
        <f>HYPERLINK("https://klasma.github.io/Logging_0380/klagomål/A 60055-2022 FSC-klagomål.docx", "A 60055-2022")</f>
        <v/>
      </c>
      <c r="W126">
        <f>HYPERLINK("https://klasma.github.io/Logging_0380/klagomålsmail/A 60055-2022 FSC-klagomål mail.docx", "A 60055-2022")</f>
        <v/>
      </c>
      <c r="X126">
        <f>HYPERLINK("https://klasma.github.io/Logging_0380/tillsyn/A 60055-2022 tillsynsbegäran.docx", "A 60055-2022")</f>
        <v/>
      </c>
      <c r="Y126">
        <f>HYPERLINK("https://klasma.github.io/Logging_0380/tillsynsmail/A 60055-2022 tillsynsbegäran mail.docx", "A 60055-2022")</f>
        <v/>
      </c>
      <c r="Z126">
        <f>HYPERLINK("https://klasma.github.io/Logging_0380/fåglar/A 60055-2022 prioriterade fågelarter.docx", "A 60055-2022")</f>
        <v/>
      </c>
    </row>
    <row r="127" ht="15" customHeight="1">
      <c r="A127" t="inlineStr">
        <is>
          <t>A 57793-2022</t>
        </is>
      </c>
      <c r="B127" s="1" t="n">
        <v>44897</v>
      </c>
      <c r="C127" s="1" t="n">
        <v>46033</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46033</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46033</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63075-2025</t>
        </is>
      </c>
      <c r="B130" s="1" t="n">
        <v>46009.66185185185</v>
      </c>
      <c r="C130" s="1" t="n">
        <v>46033</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13093-2024</t>
        </is>
      </c>
      <c r="B131" s="1" t="n">
        <v>45385</v>
      </c>
      <c r="C131" s="1" t="n">
        <v>46033</v>
      </c>
      <c r="D131" t="inlineStr">
        <is>
          <t>UPPSALA LÄN</t>
        </is>
      </c>
      <c r="E131" t="inlineStr">
        <is>
          <t>UPPSALA</t>
        </is>
      </c>
      <c r="G131" t="n">
        <v>1.1</v>
      </c>
      <c r="H131" t="n">
        <v>1</v>
      </c>
      <c r="I131" t="n">
        <v>1</v>
      </c>
      <c r="J131" t="n">
        <v>0</v>
      </c>
      <c r="K131" t="n">
        <v>0</v>
      </c>
      <c r="L131" t="n">
        <v>0</v>
      </c>
      <c r="M131" t="n">
        <v>0</v>
      </c>
      <c r="N131" t="n">
        <v>0</v>
      </c>
      <c r="O131" t="n">
        <v>0</v>
      </c>
      <c r="P131" t="n">
        <v>0</v>
      </c>
      <c r="Q131" t="n">
        <v>1</v>
      </c>
      <c r="R131" s="2" t="inlineStr">
        <is>
          <t>Skogsknipprot</t>
        </is>
      </c>
      <c r="S131">
        <f>HYPERLINK("https://klasma.github.io/Logging_0380/artfynd/A 13093-2024 artfynd.xlsx", "A 13093-2024")</f>
        <v/>
      </c>
      <c r="T131">
        <f>HYPERLINK("https://klasma.github.io/Logging_0380/kartor/A 13093-2024 karta.png", "A 13093-2024")</f>
        <v/>
      </c>
      <c r="V131">
        <f>HYPERLINK("https://klasma.github.io/Logging_0380/klagomål/A 13093-2024 FSC-klagomål.docx", "A 13093-2024")</f>
        <v/>
      </c>
      <c r="W131">
        <f>HYPERLINK("https://klasma.github.io/Logging_0380/klagomålsmail/A 13093-2024 FSC-klagomål mail.docx", "A 13093-2024")</f>
        <v/>
      </c>
      <c r="X131">
        <f>HYPERLINK("https://klasma.github.io/Logging_0380/tillsyn/A 13093-2024 tillsynsbegäran.docx", "A 13093-2024")</f>
        <v/>
      </c>
      <c r="Y131">
        <f>HYPERLINK("https://klasma.github.io/Logging_0380/tillsynsmail/A 13093-2024 tillsynsbegäran mail.docx", "A 13093-2024")</f>
        <v/>
      </c>
    </row>
    <row r="132" ht="15" customHeight="1">
      <c r="A132" t="inlineStr">
        <is>
          <t>A 13363-2022</t>
        </is>
      </c>
      <c r="B132" s="1" t="n">
        <v>44645</v>
      </c>
      <c r="C132" s="1" t="n">
        <v>46033</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2729-2024</t>
        </is>
      </c>
      <c r="B133" s="1" t="n">
        <v>45314.55579861111</v>
      </c>
      <c r="C133" s="1" t="n">
        <v>46033</v>
      </c>
      <c r="D133" t="inlineStr">
        <is>
          <t>UPPSALA LÄN</t>
        </is>
      </c>
      <c r="E133" t="inlineStr">
        <is>
          <t>UPPSALA</t>
        </is>
      </c>
      <c r="G133" t="n">
        <v>3.3</v>
      </c>
      <c r="H133" t="n">
        <v>1</v>
      </c>
      <c r="I133" t="n">
        <v>0</v>
      </c>
      <c r="J133" t="n">
        <v>0</v>
      </c>
      <c r="K133" t="n">
        <v>0</v>
      </c>
      <c r="L133" t="n">
        <v>0</v>
      </c>
      <c r="M133" t="n">
        <v>0</v>
      </c>
      <c r="N133" t="n">
        <v>0</v>
      </c>
      <c r="O133" t="n">
        <v>0</v>
      </c>
      <c r="P133" t="n">
        <v>0</v>
      </c>
      <c r="Q133" t="n">
        <v>1</v>
      </c>
      <c r="R133" s="2" t="inlineStr">
        <is>
          <t>Revlummer</t>
        </is>
      </c>
      <c r="S133">
        <f>HYPERLINK("https://klasma.github.io/Logging_0380/artfynd/A 2729-2024 artfynd.xlsx", "A 2729-2024")</f>
        <v/>
      </c>
      <c r="T133">
        <f>HYPERLINK("https://klasma.github.io/Logging_0380/kartor/A 2729-2024 karta.png", "A 2729-2024")</f>
        <v/>
      </c>
      <c r="V133">
        <f>HYPERLINK("https://klasma.github.io/Logging_0380/klagomål/A 2729-2024 FSC-klagomål.docx", "A 2729-2024")</f>
        <v/>
      </c>
      <c r="W133">
        <f>HYPERLINK("https://klasma.github.io/Logging_0380/klagomålsmail/A 2729-2024 FSC-klagomål mail.docx", "A 2729-2024")</f>
        <v/>
      </c>
      <c r="X133">
        <f>HYPERLINK("https://klasma.github.io/Logging_0380/tillsyn/A 2729-2024 tillsynsbegäran.docx", "A 2729-2024")</f>
        <v/>
      </c>
      <c r="Y133">
        <f>HYPERLINK("https://klasma.github.io/Logging_0380/tillsynsmail/A 2729-2024 tillsynsbegäran mail.docx", "A 2729-2024")</f>
        <v/>
      </c>
    </row>
    <row r="134" ht="15" customHeight="1">
      <c r="A134" t="inlineStr">
        <is>
          <t>A 16761-2022</t>
        </is>
      </c>
      <c r="B134" s="1" t="n">
        <v>44673.47858796296</v>
      </c>
      <c r="C134" s="1" t="n">
        <v>46033</v>
      </c>
      <c r="D134" t="inlineStr">
        <is>
          <t>UPPSALA LÄN</t>
        </is>
      </c>
      <c r="E134" t="inlineStr">
        <is>
          <t>UPPSALA</t>
        </is>
      </c>
      <c r="G134" t="n">
        <v>0.6</v>
      </c>
      <c r="H134" t="n">
        <v>1</v>
      </c>
      <c r="I134" t="n">
        <v>0</v>
      </c>
      <c r="J134" t="n">
        <v>0</v>
      </c>
      <c r="K134" t="n">
        <v>0</v>
      </c>
      <c r="L134" t="n">
        <v>0</v>
      </c>
      <c r="M134" t="n">
        <v>0</v>
      </c>
      <c r="N134" t="n">
        <v>0</v>
      </c>
      <c r="O134" t="n">
        <v>0</v>
      </c>
      <c r="P134" t="n">
        <v>0</v>
      </c>
      <c r="Q134" t="n">
        <v>1</v>
      </c>
      <c r="R134" s="2" t="inlineStr">
        <is>
          <t>Trädlärka</t>
        </is>
      </c>
      <c r="S134">
        <f>HYPERLINK("https://klasma.github.io/Logging_0380/artfynd/A 16761-2022 artfynd.xlsx", "A 16761-2022")</f>
        <v/>
      </c>
      <c r="T134">
        <f>HYPERLINK("https://klasma.github.io/Logging_0380/kartor/A 16761-2022 karta.png", "A 16761-2022")</f>
        <v/>
      </c>
      <c r="V134">
        <f>HYPERLINK("https://klasma.github.io/Logging_0380/klagomål/A 16761-2022 FSC-klagomål.docx", "A 16761-2022")</f>
        <v/>
      </c>
      <c r="W134">
        <f>HYPERLINK("https://klasma.github.io/Logging_0380/klagomålsmail/A 16761-2022 FSC-klagomål mail.docx", "A 16761-2022")</f>
        <v/>
      </c>
      <c r="X134">
        <f>HYPERLINK("https://klasma.github.io/Logging_0380/tillsyn/A 16761-2022 tillsynsbegäran.docx", "A 16761-2022")</f>
        <v/>
      </c>
      <c r="Y134">
        <f>HYPERLINK("https://klasma.github.io/Logging_0380/tillsynsmail/A 16761-2022 tillsynsbegäran mail.docx", "A 16761-2022")</f>
        <v/>
      </c>
      <c r="Z134">
        <f>HYPERLINK("https://klasma.github.io/Logging_0380/fåglar/A 16761-2022 prioriterade fågelarter.docx", "A 16761-2022")</f>
        <v/>
      </c>
    </row>
    <row r="135" ht="15" customHeight="1">
      <c r="A135" t="inlineStr">
        <is>
          <t>A 21657-2024</t>
        </is>
      </c>
      <c r="B135" s="1" t="n">
        <v>45442</v>
      </c>
      <c r="C135" s="1" t="n">
        <v>46033</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18373-2025</t>
        </is>
      </c>
      <c r="B136" s="1" t="n">
        <v>45762.57244212963</v>
      </c>
      <c r="C136" s="1" t="n">
        <v>46033</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29902-2023</t>
        </is>
      </c>
      <c r="B137" s="1" t="n">
        <v>45107</v>
      </c>
      <c r="C137" s="1" t="n">
        <v>46033</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63172-2023</t>
        </is>
      </c>
      <c r="B138" s="1" t="n">
        <v>45273</v>
      </c>
      <c r="C138" s="1" t="n">
        <v>46033</v>
      </c>
      <c r="D138" t="inlineStr">
        <is>
          <t>UPPSALA LÄN</t>
        </is>
      </c>
      <c r="E138" t="inlineStr">
        <is>
          <t>UPPSALA</t>
        </is>
      </c>
      <c r="G138" t="n">
        <v>1.8</v>
      </c>
      <c r="H138" t="n">
        <v>0</v>
      </c>
      <c r="I138" t="n">
        <v>1</v>
      </c>
      <c r="J138" t="n">
        <v>0</v>
      </c>
      <c r="K138" t="n">
        <v>0</v>
      </c>
      <c r="L138" t="n">
        <v>0</v>
      </c>
      <c r="M138" t="n">
        <v>0</v>
      </c>
      <c r="N138" t="n">
        <v>0</v>
      </c>
      <c r="O138" t="n">
        <v>0</v>
      </c>
      <c r="P138" t="n">
        <v>0</v>
      </c>
      <c r="Q138" t="n">
        <v>1</v>
      </c>
      <c r="R138" s="2" t="inlineStr">
        <is>
          <t>Ögonpyrola</t>
        </is>
      </c>
      <c r="S138">
        <f>HYPERLINK("https://klasma.github.io/Logging_0380/artfynd/A 63172-2023 artfynd.xlsx", "A 63172-2023")</f>
        <v/>
      </c>
      <c r="T138">
        <f>HYPERLINK("https://klasma.github.io/Logging_0380/kartor/A 63172-2023 karta.png", "A 63172-2023")</f>
        <v/>
      </c>
      <c r="V138">
        <f>HYPERLINK("https://klasma.github.io/Logging_0380/klagomål/A 63172-2023 FSC-klagomål.docx", "A 63172-2023")</f>
        <v/>
      </c>
      <c r="W138">
        <f>HYPERLINK("https://klasma.github.io/Logging_0380/klagomålsmail/A 63172-2023 FSC-klagomål mail.docx", "A 63172-2023")</f>
        <v/>
      </c>
      <c r="X138">
        <f>HYPERLINK("https://klasma.github.io/Logging_0380/tillsyn/A 63172-2023 tillsynsbegäran.docx", "A 63172-2023")</f>
        <v/>
      </c>
      <c r="Y138">
        <f>HYPERLINK("https://klasma.github.io/Logging_0380/tillsynsmail/A 63172-2023 tillsynsbegäran mail.docx", "A 63172-2023")</f>
        <v/>
      </c>
    </row>
    <row r="139" ht="15" customHeight="1">
      <c r="A139" t="inlineStr">
        <is>
          <t>A 17484-2025</t>
        </is>
      </c>
      <c r="B139" s="1" t="n">
        <v>45757.49934027778</v>
      </c>
      <c r="C139" s="1" t="n">
        <v>46033</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61830-2022</t>
        </is>
      </c>
      <c r="B140" s="1" t="n">
        <v>44917.59298611111</v>
      </c>
      <c r="C140" s="1" t="n">
        <v>46033</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3260-2022</t>
        </is>
      </c>
      <c r="B141" s="1" t="n">
        <v>44583.61803240741</v>
      </c>
      <c r="C141" s="1" t="n">
        <v>46033</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6853-2022</t>
        </is>
      </c>
      <c r="B142" s="1" t="n">
        <v>44602</v>
      </c>
      <c r="C142" s="1" t="n">
        <v>46033</v>
      </c>
      <c r="D142" t="inlineStr">
        <is>
          <t>UPPSALA LÄN</t>
        </is>
      </c>
      <c r="E142" t="inlineStr">
        <is>
          <t>UPPSALA</t>
        </is>
      </c>
      <c r="G142" t="n">
        <v>12</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46033</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46033</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46033</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46033</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72225-2021</t>
        </is>
      </c>
      <c r="B147" s="1" t="n">
        <v>44544</v>
      </c>
      <c r="C147" s="1" t="n">
        <v>46033</v>
      </c>
      <c r="D147" t="inlineStr">
        <is>
          <t>UPPSALA LÄN</t>
        </is>
      </c>
      <c r="E147" t="inlineStr">
        <is>
          <t>UPPSALA</t>
        </is>
      </c>
      <c r="G147" t="n">
        <v>6.2</v>
      </c>
      <c r="H147" t="n">
        <v>0</v>
      </c>
      <c r="I147" t="n">
        <v>0</v>
      </c>
      <c r="J147" t="n">
        <v>0</v>
      </c>
      <c r="K147" t="n">
        <v>0</v>
      </c>
      <c r="L147" t="n">
        <v>0</v>
      </c>
      <c r="M147" t="n">
        <v>0</v>
      </c>
      <c r="N147" t="n">
        <v>0</v>
      </c>
      <c r="O147" t="n">
        <v>0</v>
      </c>
      <c r="P147" t="n">
        <v>0</v>
      </c>
      <c r="Q147" t="n">
        <v>0</v>
      </c>
      <c r="R147" s="2" t="inlineStr"/>
    </row>
    <row r="148" ht="15" customHeight="1">
      <c r="A148" t="inlineStr">
        <is>
          <t>A 68139-2021</t>
        </is>
      </c>
      <c r="B148" s="1" t="n">
        <v>44526</v>
      </c>
      <c r="C148" s="1" t="n">
        <v>46033</v>
      </c>
      <c r="D148" t="inlineStr">
        <is>
          <t>UPPSALA LÄN</t>
        </is>
      </c>
      <c r="E148" t="inlineStr">
        <is>
          <t>UPPSALA</t>
        </is>
      </c>
      <c r="F148" t="inlineStr">
        <is>
          <t>Bergvik skog öst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58897-2021</t>
        </is>
      </c>
      <c r="B149" s="1" t="n">
        <v>44489</v>
      </c>
      <c r="C149" s="1" t="n">
        <v>46033</v>
      </c>
      <c r="D149" t="inlineStr">
        <is>
          <t>UPPSALA LÄN</t>
        </is>
      </c>
      <c r="E149" t="inlineStr">
        <is>
          <t>UPPSALA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46033</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46033</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46033</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46033</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46033</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46033</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46033</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57890-2021</t>
        </is>
      </c>
      <c r="B157" s="1" t="n">
        <v>44486</v>
      </c>
      <c r="C157" s="1" t="n">
        <v>46033</v>
      </c>
      <c r="D157" t="inlineStr">
        <is>
          <t>UPPSALA LÄN</t>
        </is>
      </c>
      <c r="E157" t="inlineStr">
        <is>
          <t>UPPSALA</t>
        </is>
      </c>
      <c r="G157" t="n">
        <v>0.8</v>
      </c>
      <c r="H157" t="n">
        <v>0</v>
      </c>
      <c r="I157" t="n">
        <v>0</v>
      </c>
      <c r="J157" t="n">
        <v>0</v>
      </c>
      <c r="K157" t="n">
        <v>0</v>
      </c>
      <c r="L157" t="n">
        <v>0</v>
      </c>
      <c r="M157" t="n">
        <v>0</v>
      </c>
      <c r="N157" t="n">
        <v>0</v>
      </c>
      <c r="O157" t="n">
        <v>0</v>
      </c>
      <c r="P157" t="n">
        <v>0</v>
      </c>
      <c r="Q157" t="n">
        <v>0</v>
      </c>
      <c r="R157" s="2" t="inlineStr"/>
    </row>
    <row r="158" ht="15" customHeight="1">
      <c r="A158" t="inlineStr">
        <is>
          <t>A 15583-2022</t>
        </is>
      </c>
      <c r="B158" s="1" t="n">
        <v>44662.56783564815</v>
      </c>
      <c r="C158" s="1" t="n">
        <v>46033</v>
      </c>
      <c r="D158" t="inlineStr">
        <is>
          <t>UPPSALA LÄN</t>
        </is>
      </c>
      <c r="E158" t="inlineStr">
        <is>
          <t>UPPSALA</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1148-2022</t>
        </is>
      </c>
      <c r="B159" s="1" t="n">
        <v>44572.39640046296</v>
      </c>
      <c r="C159" s="1" t="n">
        <v>46033</v>
      </c>
      <c r="D159" t="inlineStr">
        <is>
          <t>UPPSALA LÄN</t>
        </is>
      </c>
      <c r="E159" t="inlineStr">
        <is>
          <t>UPPSALA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7124-2022</t>
        </is>
      </c>
      <c r="B160" s="1" t="n">
        <v>44603</v>
      </c>
      <c r="C160" s="1" t="n">
        <v>46033</v>
      </c>
      <c r="D160" t="inlineStr">
        <is>
          <t>UPPSALA LÄN</t>
        </is>
      </c>
      <c r="E160" t="inlineStr">
        <is>
          <t>UPPSALA</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46033</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46033</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59881-2021</t>
        </is>
      </c>
      <c r="B163" s="1" t="n">
        <v>44494</v>
      </c>
      <c r="C163" s="1" t="n">
        <v>46033</v>
      </c>
      <c r="D163" t="inlineStr">
        <is>
          <t>UPPSALA LÄN</t>
        </is>
      </c>
      <c r="E163" t="inlineStr">
        <is>
          <t>UPPSALA</t>
        </is>
      </c>
      <c r="F163" t="inlineStr">
        <is>
          <t>Allmännings- och besparingsskogar</t>
        </is>
      </c>
      <c r="G163" t="n">
        <v>1.6</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46033</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44265-2022</t>
        </is>
      </c>
      <c r="B165" s="1" t="n">
        <v>44839</v>
      </c>
      <c r="C165" s="1" t="n">
        <v>46033</v>
      </c>
      <c r="D165" t="inlineStr">
        <is>
          <t>UPPSALA LÄN</t>
        </is>
      </c>
      <c r="E165" t="inlineStr">
        <is>
          <t>UPPSALA</t>
        </is>
      </c>
      <c r="G165" t="n">
        <v>2</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46033</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46033</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46033</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46033</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46033</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46033</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46033</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20276-2021</t>
        </is>
      </c>
      <c r="B173" s="1" t="n">
        <v>44314</v>
      </c>
      <c r="C173" s="1" t="n">
        <v>46033</v>
      </c>
      <c r="D173" t="inlineStr">
        <is>
          <t>UPPSALA LÄN</t>
        </is>
      </c>
      <c r="E173" t="inlineStr">
        <is>
          <t>UPPSALA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46033</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46033</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46033</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46033</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46033</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46033</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46033</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46033</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46033</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46033</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46033</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46033</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46033</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46033</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8475-2022</t>
        </is>
      </c>
      <c r="B188" s="1" t="n">
        <v>44610</v>
      </c>
      <c r="C188" s="1" t="n">
        <v>46033</v>
      </c>
      <c r="D188" t="inlineStr">
        <is>
          <t>UPPSALA LÄN</t>
        </is>
      </c>
      <c r="E188" t="inlineStr">
        <is>
          <t>UPPSALA</t>
        </is>
      </c>
      <c r="F188" t="inlineStr">
        <is>
          <t>Allmännings- och besparingsskogar</t>
        </is>
      </c>
      <c r="G188" t="n">
        <v>32.7</v>
      </c>
      <c r="H188" t="n">
        <v>0</v>
      </c>
      <c r="I188" t="n">
        <v>0</v>
      </c>
      <c r="J188" t="n">
        <v>0</v>
      </c>
      <c r="K188" t="n">
        <v>0</v>
      </c>
      <c r="L188" t="n">
        <v>0</v>
      </c>
      <c r="M188" t="n">
        <v>0</v>
      </c>
      <c r="N188" t="n">
        <v>0</v>
      </c>
      <c r="O188" t="n">
        <v>0</v>
      </c>
      <c r="P188" t="n">
        <v>0</v>
      </c>
      <c r="Q188" t="n">
        <v>0</v>
      </c>
      <c r="R188" s="2" t="inlineStr"/>
    </row>
    <row r="189" ht="15" customHeight="1">
      <c r="A189" t="inlineStr">
        <is>
          <t>A 14941-2021</t>
        </is>
      </c>
      <c r="B189" s="1" t="n">
        <v>44281.4499537037</v>
      </c>
      <c r="C189" s="1" t="n">
        <v>46033</v>
      </c>
      <c r="D189" t="inlineStr">
        <is>
          <t>UPPSALA LÄN</t>
        </is>
      </c>
      <c r="E189" t="inlineStr">
        <is>
          <t>UPPSALA</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23877-2021</t>
        </is>
      </c>
      <c r="B190" s="1" t="n">
        <v>44335.52201388889</v>
      </c>
      <c r="C190" s="1" t="n">
        <v>46033</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64858-2021</t>
        </is>
      </c>
      <c r="B191" s="1" t="n">
        <v>44512</v>
      </c>
      <c r="C191" s="1" t="n">
        <v>46033</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26972-2022</t>
        </is>
      </c>
      <c r="B192" s="1" t="n">
        <v>44740.68142361111</v>
      </c>
      <c r="C192" s="1" t="n">
        <v>46033</v>
      </c>
      <c r="D192" t="inlineStr">
        <is>
          <t>UPPSALA LÄN</t>
        </is>
      </c>
      <c r="E192" t="inlineStr">
        <is>
          <t>UPPSALA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46033</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46033</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46033</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46033</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46033</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46033</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46033</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51821-2021</t>
        </is>
      </c>
      <c r="B200" s="1" t="n">
        <v>44461</v>
      </c>
      <c r="C200" s="1" t="n">
        <v>46033</v>
      </c>
      <c r="D200" t="inlineStr">
        <is>
          <t>UPPSALA LÄN</t>
        </is>
      </c>
      <c r="E200" t="inlineStr">
        <is>
          <t>UPPSALA</t>
        </is>
      </c>
      <c r="F200" t="inlineStr">
        <is>
          <t>Övriga Aktiebolag</t>
        </is>
      </c>
      <c r="G200" t="n">
        <v>5.3</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46033</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46033</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46033</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46033</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46033</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46033</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46033</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46033</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46079-2022</t>
        </is>
      </c>
      <c r="B209" s="1" t="n">
        <v>44847.35622685185</v>
      </c>
      <c r="C209" s="1" t="n">
        <v>46033</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46033</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46033</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46033</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46033</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46033</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46033</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31646-2021</t>
        </is>
      </c>
      <c r="B216" s="1" t="n">
        <v>44369</v>
      </c>
      <c r="C216" s="1" t="n">
        <v>46033</v>
      </c>
      <c r="D216" t="inlineStr">
        <is>
          <t>UPPSALA LÄN</t>
        </is>
      </c>
      <c r="E216" t="inlineStr">
        <is>
          <t>UPPSALA</t>
        </is>
      </c>
      <c r="G216" t="n">
        <v>1.7</v>
      </c>
      <c r="H216" t="n">
        <v>0</v>
      </c>
      <c r="I216" t="n">
        <v>0</v>
      </c>
      <c r="J216" t="n">
        <v>0</v>
      </c>
      <c r="K216" t="n">
        <v>0</v>
      </c>
      <c r="L216" t="n">
        <v>0</v>
      </c>
      <c r="M216" t="n">
        <v>0</v>
      </c>
      <c r="N216" t="n">
        <v>0</v>
      </c>
      <c r="O216" t="n">
        <v>0</v>
      </c>
      <c r="P216" t="n">
        <v>0</v>
      </c>
      <c r="Q216" t="n">
        <v>0</v>
      </c>
      <c r="R216" s="2" t="inlineStr"/>
    </row>
    <row r="217" ht="15" customHeight="1">
      <c r="A217" t="inlineStr">
        <is>
          <t>A 22946-2021</t>
        </is>
      </c>
      <c r="B217" s="1" t="n">
        <v>44328.57100694445</v>
      </c>
      <c r="C217" s="1" t="n">
        <v>46033</v>
      </c>
      <c r="D217" t="inlineStr">
        <is>
          <t>UPPSALA LÄN</t>
        </is>
      </c>
      <c r="E217" t="inlineStr">
        <is>
          <t>UPPSALA</t>
        </is>
      </c>
      <c r="G217" t="n">
        <v>2.3</v>
      </c>
      <c r="H217" t="n">
        <v>0</v>
      </c>
      <c r="I217" t="n">
        <v>0</v>
      </c>
      <c r="J217" t="n">
        <v>0</v>
      </c>
      <c r="K217" t="n">
        <v>0</v>
      </c>
      <c r="L217" t="n">
        <v>0</v>
      </c>
      <c r="M217" t="n">
        <v>0</v>
      </c>
      <c r="N217" t="n">
        <v>0</v>
      </c>
      <c r="O217" t="n">
        <v>0</v>
      </c>
      <c r="P217" t="n">
        <v>0</v>
      </c>
      <c r="Q217" t="n">
        <v>0</v>
      </c>
      <c r="R217" s="2" t="inlineStr"/>
    </row>
    <row r="218" ht="15" customHeight="1">
      <c r="A218" t="inlineStr">
        <is>
          <t>A 20980-2022</t>
        </is>
      </c>
      <c r="B218" s="1" t="n">
        <v>44702.70721064815</v>
      </c>
      <c r="C218" s="1" t="n">
        <v>46033</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46033</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46033</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46033</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46033</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874-2022</t>
        </is>
      </c>
      <c r="B223" s="1" t="n">
        <v>44571.44563657408</v>
      </c>
      <c r="C223" s="1" t="n">
        <v>46033</v>
      </c>
      <c r="D223" t="inlineStr">
        <is>
          <t>UPPSALA LÄN</t>
        </is>
      </c>
      <c r="E223" t="inlineStr">
        <is>
          <t>UPPSALA</t>
        </is>
      </c>
      <c r="G223" t="n">
        <v>7.2</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46033</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46033</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46033</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46033</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46033</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46033</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46033</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50092-2022</t>
        </is>
      </c>
      <c r="B231" s="1" t="n">
        <v>44865</v>
      </c>
      <c r="C231" s="1" t="n">
        <v>46033</v>
      </c>
      <c r="D231" t="inlineStr">
        <is>
          <t>UPPSALA LÄN</t>
        </is>
      </c>
      <c r="E231" t="inlineStr">
        <is>
          <t>UPPSALA</t>
        </is>
      </c>
      <c r="G231" t="n">
        <v>1.1</v>
      </c>
      <c r="H231" t="n">
        <v>0</v>
      </c>
      <c r="I231" t="n">
        <v>0</v>
      </c>
      <c r="J231" t="n">
        <v>0</v>
      </c>
      <c r="K231" t="n">
        <v>0</v>
      </c>
      <c r="L231" t="n">
        <v>0</v>
      </c>
      <c r="M231" t="n">
        <v>0</v>
      </c>
      <c r="N231" t="n">
        <v>0</v>
      </c>
      <c r="O231" t="n">
        <v>0</v>
      </c>
      <c r="P231" t="n">
        <v>0</v>
      </c>
      <c r="Q231" t="n">
        <v>0</v>
      </c>
      <c r="R231" s="2" t="inlineStr"/>
    </row>
    <row r="232" ht="15" customHeight="1">
      <c r="A232" t="inlineStr">
        <is>
          <t>A 51396-2021</t>
        </is>
      </c>
      <c r="B232" s="1" t="n">
        <v>44461.73350694445</v>
      </c>
      <c r="C232" s="1" t="n">
        <v>46033</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46033</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46033</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56463-2021</t>
        </is>
      </c>
      <c r="B235" s="1" t="n">
        <v>44479</v>
      </c>
      <c r="C235" s="1" t="n">
        <v>46033</v>
      </c>
      <c r="D235" t="inlineStr">
        <is>
          <t>UPPSALA LÄN</t>
        </is>
      </c>
      <c r="E235" t="inlineStr">
        <is>
          <t>UPPSALA</t>
        </is>
      </c>
      <c r="G235" t="n">
        <v>6.4</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46033</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46033</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46033</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46033</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46293-2022</t>
        </is>
      </c>
      <c r="B240" s="1" t="n">
        <v>44847</v>
      </c>
      <c r="C240" s="1" t="n">
        <v>46033</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46033</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46033</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46033</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46033</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46033</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46033</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46033</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46033</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16615-2021</t>
        </is>
      </c>
      <c r="B249" s="1" t="n">
        <v>44294.37555555555</v>
      </c>
      <c r="C249" s="1" t="n">
        <v>46033</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34061-2022</t>
        </is>
      </c>
      <c r="B250" s="1" t="n">
        <v>44791.38336805555</v>
      </c>
      <c r="C250" s="1" t="n">
        <v>46033</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44659.57912037037</v>
      </c>
      <c r="C251" s="1" t="n">
        <v>46033</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46033</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46033</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15310-2022</t>
        </is>
      </c>
      <c r="B254" s="1" t="n">
        <v>44659</v>
      </c>
      <c r="C254" s="1" t="n">
        <v>46033</v>
      </c>
      <c r="D254" t="inlineStr">
        <is>
          <t>UPPSALA LÄN</t>
        </is>
      </c>
      <c r="E254" t="inlineStr">
        <is>
          <t>UPPSALA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46033</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46033</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2980-2025</t>
        </is>
      </c>
      <c r="B257" s="1" t="n">
        <v>45678</v>
      </c>
      <c r="C257" s="1" t="n">
        <v>46033</v>
      </c>
      <c r="D257" t="inlineStr">
        <is>
          <t>UPPSALA LÄN</t>
        </is>
      </c>
      <c r="E257" t="inlineStr">
        <is>
          <t>UPPSALA</t>
        </is>
      </c>
      <c r="G257" t="n">
        <v>5</v>
      </c>
      <c r="H257" t="n">
        <v>0</v>
      </c>
      <c r="I257" t="n">
        <v>0</v>
      </c>
      <c r="J257" t="n">
        <v>0</v>
      </c>
      <c r="K257" t="n">
        <v>0</v>
      </c>
      <c r="L257" t="n">
        <v>0</v>
      </c>
      <c r="M257" t="n">
        <v>0</v>
      </c>
      <c r="N257" t="n">
        <v>0</v>
      </c>
      <c r="O257" t="n">
        <v>0</v>
      </c>
      <c r="P257" t="n">
        <v>0</v>
      </c>
      <c r="Q257" t="n">
        <v>0</v>
      </c>
      <c r="R257" s="2" t="inlineStr"/>
    </row>
    <row r="258" ht="15" customHeight="1">
      <c r="A258" t="inlineStr">
        <is>
          <t>A 45-2024</t>
        </is>
      </c>
      <c r="B258" s="1" t="n">
        <v>45293</v>
      </c>
      <c r="C258" s="1" t="n">
        <v>46033</v>
      </c>
      <c r="D258" t="inlineStr">
        <is>
          <t>UPPSALA LÄN</t>
        </is>
      </c>
      <c r="E258" t="inlineStr">
        <is>
          <t>UPPSALA</t>
        </is>
      </c>
      <c r="G258" t="n">
        <v>12.5</v>
      </c>
      <c r="H258" t="n">
        <v>0</v>
      </c>
      <c r="I258" t="n">
        <v>0</v>
      </c>
      <c r="J258" t="n">
        <v>0</v>
      </c>
      <c r="K258" t="n">
        <v>0</v>
      </c>
      <c r="L258" t="n">
        <v>0</v>
      </c>
      <c r="M258" t="n">
        <v>0</v>
      </c>
      <c r="N258" t="n">
        <v>0</v>
      </c>
      <c r="O258" t="n">
        <v>0</v>
      </c>
      <c r="P258" t="n">
        <v>0</v>
      </c>
      <c r="Q258" t="n">
        <v>0</v>
      </c>
      <c r="R258" s="2" t="inlineStr"/>
    </row>
    <row r="259" ht="15" customHeight="1">
      <c r="A259" t="inlineStr">
        <is>
          <t>A 9201-2024</t>
        </is>
      </c>
      <c r="B259" s="1" t="n">
        <v>45358</v>
      </c>
      <c r="C259" s="1" t="n">
        <v>46033</v>
      </c>
      <c r="D259" t="inlineStr">
        <is>
          <t>UPPSALA LÄN</t>
        </is>
      </c>
      <c r="E259" t="inlineStr">
        <is>
          <t>UPPSALA</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56679-2022</t>
        </is>
      </c>
      <c r="B260" s="1" t="n">
        <v>44893</v>
      </c>
      <c r="C260" s="1" t="n">
        <v>46033</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8494-2021</t>
        </is>
      </c>
      <c r="B261" s="1" t="n">
        <v>44245</v>
      </c>
      <c r="C261" s="1" t="n">
        <v>46033</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46033</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46033</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46033</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6059-2025</t>
        </is>
      </c>
      <c r="B265" s="1" t="n">
        <v>45695.8391550926</v>
      </c>
      <c r="C265" s="1" t="n">
        <v>46033</v>
      </c>
      <c r="D265" t="inlineStr">
        <is>
          <t>UPPSALA LÄN</t>
        </is>
      </c>
      <c r="E265" t="inlineStr">
        <is>
          <t>UPPSALA</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46033</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46033</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46033</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5989-2022</t>
        </is>
      </c>
      <c r="B269" s="1" t="n">
        <v>44599.42277777778</v>
      </c>
      <c r="C269" s="1" t="n">
        <v>46033</v>
      </c>
      <c r="D269" t="inlineStr">
        <is>
          <t>UPPSALA LÄN</t>
        </is>
      </c>
      <c r="E269" t="inlineStr">
        <is>
          <t>UPPSALA</t>
        </is>
      </c>
      <c r="G269" t="n">
        <v>2.8</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46033</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66686-2021</t>
        </is>
      </c>
      <c r="B271" s="1" t="n">
        <v>44519</v>
      </c>
      <c r="C271" s="1" t="n">
        <v>46033</v>
      </c>
      <c r="D271" t="inlineStr">
        <is>
          <t>UPPSALA LÄN</t>
        </is>
      </c>
      <c r="E271" t="inlineStr">
        <is>
          <t>UPPSALA</t>
        </is>
      </c>
      <c r="G271" t="n">
        <v>6.4</v>
      </c>
      <c r="H271" t="n">
        <v>0</v>
      </c>
      <c r="I271" t="n">
        <v>0</v>
      </c>
      <c r="J271" t="n">
        <v>0</v>
      </c>
      <c r="K271" t="n">
        <v>0</v>
      </c>
      <c r="L271" t="n">
        <v>0</v>
      </c>
      <c r="M271" t="n">
        <v>0</v>
      </c>
      <c r="N271" t="n">
        <v>0</v>
      </c>
      <c r="O271" t="n">
        <v>0</v>
      </c>
      <c r="P271" t="n">
        <v>0</v>
      </c>
      <c r="Q271" t="n">
        <v>0</v>
      </c>
      <c r="R271" s="2" t="inlineStr"/>
    </row>
    <row r="272" ht="15" customHeight="1">
      <c r="A272" t="inlineStr">
        <is>
          <t>A 6997-2023</t>
        </is>
      </c>
      <c r="B272" s="1" t="n">
        <v>44967.78984953704</v>
      </c>
      <c r="C272" s="1" t="n">
        <v>46033</v>
      </c>
      <c r="D272" t="inlineStr">
        <is>
          <t>UPPSALA LÄN</t>
        </is>
      </c>
      <c r="E272" t="inlineStr">
        <is>
          <t>UPPSALA</t>
        </is>
      </c>
      <c r="G272" t="n">
        <v>3.9</v>
      </c>
      <c r="H272" t="n">
        <v>0</v>
      </c>
      <c r="I272" t="n">
        <v>0</v>
      </c>
      <c r="J272" t="n">
        <v>0</v>
      </c>
      <c r="K272" t="n">
        <v>0</v>
      </c>
      <c r="L272" t="n">
        <v>0</v>
      </c>
      <c r="M272" t="n">
        <v>0</v>
      </c>
      <c r="N272" t="n">
        <v>0</v>
      </c>
      <c r="O272" t="n">
        <v>0</v>
      </c>
      <c r="P272" t="n">
        <v>0</v>
      </c>
      <c r="Q272" t="n">
        <v>0</v>
      </c>
      <c r="R272" s="2" t="inlineStr"/>
    </row>
    <row r="273" ht="15" customHeight="1">
      <c r="A273" t="inlineStr">
        <is>
          <t>A 17595-2025</t>
        </is>
      </c>
      <c r="B273" s="1" t="n">
        <v>45757</v>
      </c>
      <c r="C273" s="1" t="n">
        <v>46033</v>
      </c>
      <c r="D273" t="inlineStr">
        <is>
          <t>UPPSALA LÄN</t>
        </is>
      </c>
      <c r="E273" t="inlineStr">
        <is>
          <t>UPPSALA</t>
        </is>
      </c>
      <c r="G273" t="n">
        <v>2.7</v>
      </c>
      <c r="H273" t="n">
        <v>0</v>
      </c>
      <c r="I273" t="n">
        <v>0</v>
      </c>
      <c r="J273" t="n">
        <v>0</v>
      </c>
      <c r="K273" t="n">
        <v>0</v>
      </c>
      <c r="L273" t="n">
        <v>0</v>
      </c>
      <c r="M273" t="n">
        <v>0</v>
      </c>
      <c r="N273" t="n">
        <v>0</v>
      </c>
      <c r="O273" t="n">
        <v>0</v>
      </c>
      <c r="P273" t="n">
        <v>0</v>
      </c>
      <c r="Q273" t="n">
        <v>0</v>
      </c>
      <c r="R273" s="2" t="inlineStr"/>
    </row>
    <row r="274" ht="15" customHeight="1">
      <c r="A274" t="inlineStr">
        <is>
          <t>A 179-2024</t>
        </is>
      </c>
      <c r="B274" s="1" t="n">
        <v>45294.5666550926</v>
      </c>
      <c r="C274" s="1" t="n">
        <v>46033</v>
      </c>
      <c r="D274" t="inlineStr">
        <is>
          <t>UPPSALA LÄN</t>
        </is>
      </c>
      <c r="E274" t="inlineStr">
        <is>
          <t>UPPSALA</t>
        </is>
      </c>
      <c r="F274" t="inlineStr">
        <is>
          <t>Bergvik skog öst AB</t>
        </is>
      </c>
      <c r="G274" t="n">
        <v>12.7</v>
      </c>
      <c r="H274" t="n">
        <v>0</v>
      </c>
      <c r="I274" t="n">
        <v>0</v>
      </c>
      <c r="J274" t="n">
        <v>0</v>
      </c>
      <c r="K274" t="n">
        <v>0</v>
      </c>
      <c r="L274" t="n">
        <v>0</v>
      </c>
      <c r="M274" t="n">
        <v>0</v>
      </c>
      <c r="N274" t="n">
        <v>0</v>
      </c>
      <c r="O274" t="n">
        <v>0</v>
      </c>
      <c r="P274" t="n">
        <v>0</v>
      </c>
      <c r="Q274" t="n">
        <v>0</v>
      </c>
      <c r="R274" s="2" t="inlineStr"/>
    </row>
    <row r="275" ht="15" customHeight="1">
      <c r="A275" t="inlineStr">
        <is>
          <t>A 22018-2025</t>
        </is>
      </c>
      <c r="B275" s="1" t="n">
        <v>45784.80497685185</v>
      </c>
      <c r="C275" s="1" t="n">
        <v>46033</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50897-2025</t>
        </is>
      </c>
      <c r="B276" s="1" t="n">
        <v>45946.64121527778</v>
      </c>
      <c r="C276" s="1" t="n">
        <v>46033</v>
      </c>
      <c r="D276" t="inlineStr">
        <is>
          <t>UPPSALA LÄN</t>
        </is>
      </c>
      <c r="E276" t="inlineStr">
        <is>
          <t>UPPSALA</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21936-2025</t>
        </is>
      </c>
      <c r="B277" s="1" t="n">
        <v>45784.57266203704</v>
      </c>
      <c r="C277" s="1" t="n">
        <v>46033</v>
      </c>
      <c r="D277" t="inlineStr">
        <is>
          <t>UPPSALA LÄN</t>
        </is>
      </c>
      <c r="E277" t="inlineStr">
        <is>
          <t>UPPSALA</t>
        </is>
      </c>
      <c r="F277" t="inlineStr">
        <is>
          <t>Bergvik skog öst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46033</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1573-2021</t>
        </is>
      </c>
      <c r="B279" s="1" t="n">
        <v>44209</v>
      </c>
      <c r="C279" s="1" t="n">
        <v>46033</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40701-2024</t>
        </is>
      </c>
      <c r="B280" s="1" t="n">
        <v>45558.42498842593</v>
      </c>
      <c r="C280" s="1" t="n">
        <v>46033</v>
      </c>
      <c r="D280" t="inlineStr">
        <is>
          <t>UPPSALA LÄN</t>
        </is>
      </c>
      <c r="E280" t="inlineStr">
        <is>
          <t>UPPSALA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758-2022</t>
        </is>
      </c>
      <c r="B281" s="1" t="n">
        <v>44569.69358796296</v>
      </c>
      <c r="C281" s="1" t="n">
        <v>46033</v>
      </c>
      <c r="D281" t="inlineStr">
        <is>
          <t>UPPSALA LÄN</t>
        </is>
      </c>
      <c r="E281" t="inlineStr">
        <is>
          <t>UPPSALA</t>
        </is>
      </c>
      <c r="F281" t="inlineStr">
        <is>
          <t>Holmen skog AB</t>
        </is>
      </c>
      <c r="G281" t="n">
        <v>5.2</v>
      </c>
      <c r="H281" t="n">
        <v>0</v>
      </c>
      <c r="I281" t="n">
        <v>0</v>
      </c>
      <c r="J281" t="n">
        <v>0</v>
      </c>
      <c r="K281" t="n">
        <v>0</v>
      </c>
      <c r="L281" t="n">
        <v>0</v>
      </c>
      <c r="M281" t="n">
        <v>0</v>
      </c>
      <c r="N281" t="n">
        <v>0</v>
      </c>
      <c r="O281" t="n">
        <v>0</v>
      </c>
      <c r="P281" t="n">
        <v>0</v>
      </c>
      <c r="Q281" t="n">
        <v>0</v>
      </c>
      <c r="R281" s="2" t="inlineStr"/>
    </row>
    <row r="282" ht="15" customHeight="1">
      <c r="A282" t="inlineStr">
        <is>
          <t>A 59570-2023</t>
        </is>
      </c>
      <c r="B282" s="1" t="n">
        <v>45254</v>
      </c>
      <c r="C282" s="1" t="n">
        <v>46033</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8090-2022</t>
        </is>
      </c>
      <c r="B283" s="1" t="n">
        <v>44608</v>
      </c>
      <c r="C283" s="1" t="n">
        <v>46033</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10650-2024</t>
        </is>
      </c>
      <c r="B284" s="1" t="n">
        <v>45368.64787037037</v>
      </c>
      <c r="C284" s="1" t="n">
        <v>46033</v>
      </c>
      <c r="D284" t="inlineStr">
        <is>
          <t>UPPSALA LÄN</t>
        </is>
      </c>
      <c r="E284" t="inlineStr">
        <is>
          <t>UPPSALA</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51158-2025</t>
        </is>
      </c>
      <c r="B285" s="1" t="n">
        <v>45947.58105324074</v>
      </c>
      <c r="C285" s="1" t="n">
        <v>46033</v>
      </c>
      <c r="D285" t="inlineStr">
        <is>
          <t>UPPSALA LÄN</t>
        </is>
      </c>
      <c r="E285" t="inlineStr">
        <is>
          <t>UPPSALA</t>
        </is>
      </c>
      <c r="F285" t="inlineStr">
        <is>
          <t>Övriga Aktiebolag</t>
        </is>
      </c>
      <c r="G285" t="n">
        <v>12.1</v>
      </c>
      <c r="H285" t="n">
        <v>0</v>
      </c>
      <c r="I285" t="n">
        <v>0</v>
      </c>
      <c r="J285" t="n">
        <v>0</v>
      </c>
      <c r="K285" t="n">
        <v>0</v>
      </c>
      <c r="L285" t="n">
        <v>0</v>
      </c>
      <c r="M285" t="n">
        <v>0</v>
      </c>
      <c r="N285" t="n">
        <v>0</v>
      </c>
      <c r="O285" t="n">
        <v>0</v>
      </c>
      <c r="P285" t="n">
        <v>0</v>
      </c>
      <c r="Q285" t="n">
        <v>0</v>
      </c>
      <c r="R285" s="2" t="inlineStr"/>
    </row>
    <row r="286" ht="15" customHeight="1">
      <c r="A286" t="inlineStr">
        <is>
          <t>A 50951-2025</t>
        </is>
      </c>
      <c r="B286" s="1" t="n">
        <v>45946.76038194444</v>
      </c>
      <c r="C286" s="1" t="n">
        <v>46033</v>
      </c>
      <c r="D286" t="inlineStr">
        <is>
          <t>UPPSALA LÄN</t>
        </is>
      </c>
      <c r="E286" t="inlineStr">
        <is>
          <t>UPPSALA</t>
        </is>
      </c>
      <c r="G286" t="n">
        <v>2.9</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46033</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5729-2025</t>
        </is>
      </c>
      <c r="B288" s="1" t="n">
        <v>45694.49037037037</v>
      </c>
      <c r="C288" s="1" t="n">
        <v>46033</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50706-2025</t>
        </is>
      </c>
      <c r="B289" s="1" t="n">
        <v>45946.30063657407</v>
      </c>
      <c r="C289" s="1" t="n">
        <v>46033</v>
      </c>
      <c r="D289" t="inlineStr">
        <is>
          <t>UPPSALA LÄN</t>
        </is>
      </c>
      <c r="E289" t="inlineStr">
        <is>
          <t>UPPSALA</t>
        </is>
      </c>
      <c r="G289" t="n">
        <v>3.6</v>
      </c>
      <c r="H289" t="n">
        <v>0</v>
      </c>
      <c r="I289" t="n">
        <v>0</v>
      </c>
      <c r="J289" t="n">
        <v>0</v>
      </c>
      <c r="K289" t="n">
        <v>0</v>
      </c>
      <c r="L289" t="n">
        <v>0</v>
      </c>
      <c r="M289" t="n">
        <v>0</v>
      </c>
      <c r="N289" t="n">
        <v>0</v>
      </c>
      <c r="O289" t="n">
        <v>0</v>
      </c>
      <c r="P289" t="n">
        <v>0</v>
      </c>
      <c r="Q289" t="n">
        <v>0</v>
      </c>
      <c r="R289" s="2" t="inlineStr"/>
    </row>
    <row r="290" ht="15" customHeight="1">
      <c r="A290" t="inlineStr">
        <is>
          <t>A 50708-2025</t>
        </is>
      </c>
      <c r="B290" s="1" t="n">
        <v>45946.31299768519</v>
      </c>
      <c r="C290" s="1" t="n">
        <v>46033</v>
      </c>
      <c r="D290" t="inlineStr">
        <is>
          <t>UPPSALA LÄN</t>
        </is>
      </c>
      <c r="E290" t="inlineStr">
        <is>
          <t>UPPSALA</t>
        </is>
      </c>
      <c r="G290" t="n">
        <v>6.7</v>
      </c>
      <c r="H290" t="n">
        <v>0</v>
      </c>
      <c r="I290" t="n">
        <v>0</v>
      </c>
      <c r="J290" t="n">
        <v>0</v>
      </c>
      <c r="K290" t="n">
        <v>0</v>
      </c>
      <c r="L290" t="n">
        <v>0</v>
      </c>
      <c r="M290" t="n">
        <v>0</v>
      </c>
      <c r="N290" t="n">
        <v>0</v>
      </c>
      <c r="O290" t="n">
        <v>0</v>
      </c>
      <c r="P290" t="n">
        <v>0</v>
      </c>
      <c r="Q290" t="n">
        <v>0</v>
      </c>
      <c r="R290" s="2" t="inlineStr"/>
    </row>
    <row r="291" ht="15" customHeight="1">
      <c r="A291" t="inlineStr">
        <is>
          <t>A 46925-2024</t>
        </is>
      </c>
      <c r="B291" s="1" t="n">
        <v>45584.60038194444</v>
      </c>
      <c r="C291" s="1" t="n">
        <v>46033</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50949-2025</t>
        </is>
      </c>
      <c r="B292" s="1" t="n">
        <v>45946.75140046296</v>
      </c>
      <c r="C292" s="1" t="n">
        <v>46033</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11744-2023</t>
        </is>
      </c>
      <c r="B293" s="1" t="n">
        <v>44993</v>
      </c>
      <c r="C293" s="1" t="n">
        <v>46033</v>
      </c>
      <c r="D293" t="inlineStr">
        <is>
          <t>UPPSALA LÄN</t>
        </is>
      </c>
      <c r="E293" t="inlineStr">
        <is>
          <t>UPPSALA</t>
        </is>
      </c>
      <c r="G293" t="n">
        <v>1.4</v>
      </c>
      <c r="H293" t="n">
        <v>0</v>
      </c>
      <c r="I293" t="n">
        <v>0</v>
      </c>
      <c r="J293" t="n">
        <v>0</v>
      </c>
      <c r="K293" t="n">
        <v>0</v>
      </c>
      <c r="L293" t="n">
        <v>0</v>
      </c>
      <c r="M293" t="n">
        <v>0</v>
      </c>
      <c r="N293" t="n">
        <v>0</v>
      </c>
      <c r="O293" t="n">
        <v>0</v>
      </c>
      <c r="P293" t="n">
        <v>0</v>
      </c>
      <c r="Q293" t="n">
        <v>0</v>
      </c>
      <c r="R293" s="2" t="inlineStr"/>
    </row>
    <row r="294" ht="15" customHeight="1">
      <c r="A294" t="inlineStr">
        <is>
          <t>A 26208-2023</t>
        </is>
      </c>
      <c r="B294" s="1" t="n">
        <v>45091</v>
      </c>
      <c r="C294" s="1" t="n">
        <v>46033</v>
      </c>
      <c r="D294" t="inlineStr">
        <is>
          <t>UPPSALA LÄN</t>
        </is>
      </c>
      <c r="E294" t="inlineStr">
        <is>
          <t>UPPSALA</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11260-2024</t>
        </is>
      </c>
      <c r="B295" s="1" t="n">
        <v>45371.67368055556</v>
      </c>
      <c r="C295" s="1" t="n">
        <v>46033</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3973-2025</t>
        </is>
      </c>
      <c r="B296" s="1" t="n">
        <v>45684</v>
      </c>
      <c r="C296" s="1" t="n">
        <v>46033</v>
      </c>
      <c r="D296" t="inlineStr">
        <is>
          <t>UPPSALA LÄN</t>
        </is>
      </c>
      <c r="E296" t="inlineStr">
        <is>
          <t>UPPSALA</t>
        </is>
      </c>
      <c r="G296" t="n">
        <v>8</v>
      </c>
      <c r="H296" t="n">
        <v>0</v>
      </c>
      <c r="I296" t="n">
        <v>0</v>
      </c>
      <c r="J296" t="n">
        <v>0</v>
      </c>
      <c r="K296" t="n">
        <v>0</v>
      </c>
      <c r="L296" t="n">
        <v>0</v>
      </c>
      <c r="M296" t="n">
        <v>0</v>
      </c>
      <c r="N296" t="n">
        <v>0</v>
      </c>
      <c r="O296" t="n">
        <v>0</v>
      </c>
      <c r="P296" t="n">
        <v>0</v>
      </c>
      <c r="Q296" t="n">
        <v>0</v>
      </c>
      <c r="R296" s="2" t="inlineStr"/>
    </row>
    <row r="297" ht="15" customHeight="1">
      <c r="A297" t="inlineStr">
        <is>
          <t>A 8132-2024</t>
        </is>
      </c>
      <c r="B297" s="1" t="n">
        <v>45351.54596064815</v>
      </c>
      <c r="C297" s="1" t="n">
        <v>46033</v>
      </c>
      <c r="D297" t="inlineStr">
        <is>
          <t>UPPSALA LÄN</t>
        </is>
      </c>
      <c r="E297" t="inlineStr">
        <is>
          <t>UPPSALA</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16324-2024</t>
        </is>
      </c>
      <c r="B298" s="1" t="n">
        <v>45407.49721064815</v>
      </c>
      <c r="C298" s="1" t="n">
        <v>46033</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5006-2022</t>
        </is>
      </c>
      <c r="B299" s="1" t="n">
        <v>44593</v>
      </c>
      <c r="C299" s="1" t="n">
        <v>46033</v>
      </c>
      <c r="D299" t="inlineStr">
        <is>
          <t>UPPSALA LÄN</t>
        </is>
      </c>
      <c r="E299" t="inlineStr">
        <is>
          <t>UPPSALA</t>
        </is>
      </c>
      <c r="F299" t="inlineStr">
        <is>
          <t>BillerudKorsnäs AB</t>
        </is>
      </c>
      <c r="G299" t="n">
        <v>1.4</v>
      </c>
      <c r="H299" t="n">
        <v>0</v>
      </c>
      <c r="I299" t="n">
        <v>0</v>
      </c>
      <c r="J299" t="n">
        <v>0</v>
      </c>
      <c r="K299" t="n">
        <v>0</v>
      </c>
      <c r="L299" t="n">
        <v>0</v>
      </c>
      <c r="M299" t="n">
        <v>0</v>
      </c>
      <c r="N299" t="n">
        <v>0</v>
      </c>
      <c r="O299" t="n">
        <v>0</v>
      </c>
      <c r="P299" t="n">
        <v>0</v>
      </c>
      <c r="Q299" t="n">
        <v>0</v>
      </c>
      <c r="R299" s="2" t="inlineStr"/>
    </row>
    <row r="300" ht="15" customHeight="1">
      <c r="A300" t="inlineStr">
        <is>
          <t>A 42276-2024</t>
        </is>
      </c>
      <c r="B300" s="1" t="n">
        <v>45562</v>
      </c>
      <c r="C300" s="1" t="n">
        <v>46033</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42131-2023</t>
        </is>
      </c>
      <c r="B301" s="1" t="n">
        <v>45177.79766203704</v>
      </c>
      <c r="C301" s="1" t="n">
        <v>46033</v>
      </c>
      <c r="D301" t="inlineStr">
        <is>
          <t>UPPSALA LÄN</t>
        </is>
      </c>
      <c r="E301" t="inlineStr">
        <is>
          <t>UPPSALA</t>
        </is>
      </c>
      <c r="F301" t="inlineStr">
        <is>
          <t>Allmännings- och besparingsskogar</t>
        </is>
      </c>
      <c r="G301" t="n">
        <v>6.3</v>
      </c>
      <c r="H301" t="n">
        <v>0</v>
      </c>
      <c r="I301" t="n">
        <v>0</v>
      </c>
      <c r="J301" t="n">
        <v>0</v>
      </c>
      <c r="K301" t="n">
        <v>0</v>
      </c>
      <c r="L301" t="n">
        <v>0</v>
      </c>
      <c r="M301" t="n">
        <v>0</v>
      </c>
      <c r="N301" t="n">
        <v>0</v>
      </c>
      <c r="O301" t="n">
        <v>0</v>
      </c>
      <c r="P301" t="n">
        <v>0</v>
      </c>
      <c r="Q301" t="n">
        <v>0</v>
      </c>
      <c r="R301" s="2" t="inlineStr"/>
    </row>
    <row r="302" ht="15" customHeight="1">
      <c r="A302" t="inlineStr">
        <is>
          <t>A 56564-2024</t>
        </is>
      </c>
      <c r="B302" s="1" t="n">
        <v>45625.58501157408</v>
      </c>
      <c r="C302" s="1" t="n">
        <v>46033</v>
      </c>
      <c r="D302" t="inlineStr">
        <is>
          <t>UPPSALA LÄN</t>
        </is>
      </c>
      <c r="E302" t="inlineStr">
        <is>
          <t>UPPSALA</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38469-2025</t>
        </is>
      </c>
      <c r="B303" s="1" t="n">
        <v>45884</v>
      </c>
      <c r="C303" s="1" t="n">
        <v>46033</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32928-2025</t>
        </is>
      </c>
      <c r="B304" s="1" t="n">
        <v>45839</v>
      </c>
      <c r="C304" s="1" t="n">
        <v>46033</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4980-2024</t>
        </is>
      </c>
      <c r="B305" s="1" t="n">
        <v>45329</v>
      </c>
      <c r="C305" s="1" t="n">
        <v>46033</v>
      </c>
      <c r="D305" t="inlineStr">
        <is>
          <t>UPPSALA LÄN</t>
        </is>
      </c>
      <c r="E305" t="inlineStr">
        <is>
          <t>UPPSALA</t>
        </is>
      </c>
      <c r="G305" t="n">
        <v>10.8</v>
      </c>
      <c r="H305" t="n">
        <v>0</v>
      </c>
      <c r="I305" t="n">
        <v>0</v>
      </c>
      <c r="J305" t="n">
        <v>0</v>
      </c>
      <c r="K305" t="n">
        <v>0</v>
      </c>
      <c r="L305" t="n">
        <v>0</v>
      </c>
      <c r="M305" t="n">
        <v>0</v>
      </c>
      <c r="N305" t="n">
        <v>0</v>
      </c>
      <c r="O305" t="n">
        <v>0</v>
      </c>
      <c r="P305" t="n">
        <v>0</v>
      </c>
      <c r="Q305" t="n">
        <v>0</v>
      </c>
      <c r="R305" s="2" t="inlineStr"/>
    </row>
    <row r="306" ht="15" customHeight="1">
      <c r="A306" t="inlineStr">
        <is>
          <t>A 750-2022</t>
        </is>
      </c>
      <c r="B306" s="1" t="n">
        <v>44569.49344907407</v>
      </c>
      <c r="C306" s="1" t="n">
        <v>46033</v>
      </c>
      <c r="D306" t="inlineStr">
        <is>
          <t>UPPSALA LÄN</t>
        </is>
      </c>
      <c r="E306" t="inlineStr">
        <is>
          <t>UPPSALA</t>
        </is>
      </c>
      <c r="F306" t="inlineStr">
        <is>
          <t>Holmen skog AB</t>
        </is>
      </c>
      <c r="G306" t="n">
        <v>6</v>
      </c>
      <c r="H306" t="n">
        <v>0</v>
      </c>
      <c r="I306" t="n">
        <v>0</v>
      </c>
      <c r="J306" t="n">
        <v>0</v>
      </c>
      <c r="K306" t="n">
        <v>0</v>
      </c>
      <c r="L306" t="n">
        <v>0</v>
      </c>
      <c r="M306" t="n">
        <v>0</v>
      </c>
      <c r="N306" t="n">
        <v>0</v>
      </c>
      <c r="O306" t="n">
        <v>0</v>
      </c>
      <c r="P306" t="n">
        <v>0</v>
      </c>
      <c r="Q306" t="n">
        <v>0</v>
      </c>
      <c r="R306" s="2" t="inlineStr"/>
    </row>
    <row r="307" ht="15" customHeight="1">
      <c r="A307" t="inlineStr">
        <is>
          <t>A 46751-2024</t>
        </is>
      </c>
      <c r="B307" s="1" t="n">
        <v>45583.48449074074</v>
      </c>
      <c r="C307" s="1" t="n">
        <v>46033</v>
      </c>
      <c r="D307" t="inlineStr">
        <is>
          <t>UPPSALA LÄN</t>
        </is>
      </c>
      <c r="E307" t="inlineStr">
        <is>
          <t>UPPSALA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46033</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51661-2022</t>
        </is>
      </c>
      <c r="B309" s="1" t="n">
        <v>44872</v>
      </c>
      <c r="C309" s="1" t="n">
        <v>46033</v>
      </c>
      <c r="D309" t="inlineStr">
        <is>
          <t>UPPSALA LÄN</t>
        </is>
      </c>
      <c r="E309" t="inlineStr">
        <is>
          <t>UPPSALA</t>
        </is>
      </c>
      <c r="G309" t="n">
        <v>8.9</v>
      </c>
      <c r="H309" t="n">
        <v>0</v>
      </c>
      <c r="I309" t="n">
        <v>0</v>
      </c>
      <c r="J309" t="n">
        <v>0</v>
      </c>
      <c r="K309" t="n">
        <v>0</v>
      </c>
      <c r="L309" t="n">
        <v>0</v>
      </c>
      <c r="M309" t="n">
        <v>0</v>
      </c>
      <c r="N309" t="n">
        <v>0</v>
      </c>
      <c r="O309" t="n">
        <v>0</v>
      </c>
      <c r="P309" t="n">
        <v>0</v>
      </c>
      <c r="Q309" t="n">
        <v>0</v>
      </c>
      <c r="R309" s="2" t="inlineStr"/>
    </row>
    <row r="310" ht="15" customHeight="1">
      <c r="A310" t="inlineStr">
        <is>
          <t>A 51090-2025</t>
        </is>
      </c>
      <c r="B310" s="1" t="n">
        <v>45947.4724537037</v>
      </c>
      <c r="C310" s="1" t="n">
        <v>46033</v>
      </c>
      <c r="D310" t="inlineStr">
        <is>
          <t>UPPSALA LÄN</t>
        </is>
      </c>
      <c r="E310" t="inlineStr">
        <is>
          <t>UPPSALA</t>
        </is>
      </c>
      <c r="F310" t="inlineStr">
        <is>
          <t>Övriga Aktiebolag</t>
        </is>
      </c>
      <c r="G310" t="n">
        <v>17.5</v>
      </c>
      <c r="H310" t="n">
        <v>0</v>
      </c>
      <c r="I310" t="n">
        <v>0</v>
      </c>
      <c r="J310" t="n">
        <v>0</v>
      </c>
      <c r="K310" t="n">
        <v>0</v>
      </c>
      <c r="L310" t="n">
        <v>0</v>
      </c>
      <c r="M310" t="n">
        <v>0</v>
      </c>
      <c r="N310" t="n">
        <v>0</v>
      </c>
      <c r="O310" t="n">
        <v>0</v>
      </c>
      <c r="P310" t="n">
        <v>0</v>
      </c>
      <c r="Q310" t="n">
        <v>0</v>
      </c>
      <c r="R310" s="2" t="inlineStr"/>
    </row>
    <row r="311" ht="15" customHeight="1">
      <c r="A311" t="inlineStr">
        <is>
          <t>A 22930-2025</t>
        </is>
      </c>
      <c r="B311" s="1" t="n">
        <v>45790.44972222222</v>
      </c>
      <c r="C311" s="1" t="n">
        <v>46033</v>
      </c>
      <c r="D311" t="inlineStr">
        <is>
          <t>UPPSALA LÄN</t>
        </is>
      </c>
      <c r="E311" t="inlineStr">
        <is>
          <t>UPPSALA</t>
        </is>
      </c>
      <c r="G311" t="n">
        <v>7.7</v>
      </c>
      <c r="H311" t="n">
        <v>0</v>
      </c>
      <c r="I311" t="n">
        <v>0</v>
      </c>
      <c r="J311" t="n">
        <v>0</v>
      </c>
      <c r="K311" t="n">
        <v>0</v>
      </c>
      <c r="L311" t="n">
        <v>0</v>
      </c>
      <c r="M311" t="n">
        <v>0</v>
      </c>
      <c r="N311" t="n">
        <v>0</v>
      </c>
      <c r="O311" t="n">
        <v>0</v>
      </c>
      <c r="P311" t="n">
        <v>0</v>
      </c>
      <c r="Q311" t="n">
        <v>0</v>
      </c>
      <c r="R311" s="2" t="inlineStr"/>
    </row>
    <row r="312" ht="15" customHeight="1">
      <c r="A312" t="inlineStr">
        <is>
          <t>A 59779-2025</t>
        </is>
      </c>
      <c r="B312" s="1" t="n">
        <v>45992.60832175926</v>
      </c>
      <c r="C312" s="1" t="n">
        <v>46033</v>
      </c>
      <c r="D312" t="inlineStr">
        <is>
          <t>UPPSALA LÄN</t>
        </is>
      </c>
      <c r="E312" t="inlineStr">
        <is>
          <t>UPPSALA</t>
        </is>
      </c>
      <c r="G312" t="n">
        <v>1.4</v>
      </c>
      <c r="H312" t="n">
        <v>0</v>
      </c>
      <c r="I312" t="n">
        <v>0</v>
      </c>
      <c r="J312" t="n">
        <v>0</v>
      </c>
      <c r="K312" t="n">
        <v>0</v>
      </c>
      <c r="L312" t="n">
        <v>0</v>
      </c>
      <c r="M312" t="n">
        <v>0</v>
      </c>
      <c r="N312" t="n">
        <v>0</v>
      </c>
      <c r="O312" t="n">
        <v>0</v>
      </c>
      <c r="P312" t="n">
        <v>0</v>
      </c>
      <c r="Q312" t="n">
        <v>0</v>
      </c>
      <c r="R312" s="2" t="inlineStr"/>
    </row>
    <row r="313" ht="15" customHeight="1">
      <c r="A313" t="inlineStr">
        <is>
          <t>A 11339-2025</t>
        </is>
      </c>
      <c r="B313" s="1" t="n">
        <v>45726</v>
      </c>
      <c r="C313" s="1" t="n">
        <v>46033</v>
      </c>
      <c r="D313" t="inlineStr">
        <is>
          <t>UPPSALA LÄN</t>
        </is>
      </c>
      <c r="E313" t="inlineStr">
        <is>
          <t>UPPSALA</t>
        </is>
      </c>
      <c r="G313" t="n">
        <v>13.4</v>
      </c>
      <c r="H313" t="n">
        <v>0</v>
      </c>
      <c r="I313" t="n">
        <v>0</v>
      </c>
      <c r="J313" t="n">
        <v>0</v>
      </c>
      <c r="K313" t="n">
        <v>0</v>
      </c>
      <c r="L313" t="n">
        <v>0</v>
      </c>
      <c r="M313" t="n">
        <v>0</v>
      </c>
      <c r="N313" t="n">
        <v>0</v>
      </c>
      <c r="O313" t="n">
        <v>0</v>
      </c>
      <c r="P313" t="n">
        <v>0</v>
      </c>
      <c r="Q313" t="n">
        <v>0</v>
      </c>
      <c r="R313" s="2" t="inlineStr"/>
    </row>
    <row r="314" ht="15" customHeight="1">
      <c r="A314" t="inlineStr">
        <is>
          <t>A 51433-2025</t>
        </is>
      </c>
      <c r="B314" s="1" t="n">
        <v>45950.55603009259</v>
      </c>
      <c r="C314" s="1" t="n">
        <v>46033</v>
      </c>
      <c r="D314" t="inlineStr">
        <is>
          <t>UPPSALA LÄN</t>
        </is>
      </c>
      <c r="E314" t="inlineStr">
        <is>
          <t>UPPSALA</t>
        </is>
      </c>
      <c r="F314" t="inlineStr">
        <is>
          <t>Bergvik skog öst AB</t>
        </is>
      </c>
      <c r="G314" t="n">
        <v>14.7</v>
      </c>
      <c r="H314" t="n">
        <v>0</v>
      </c>
      <c r="I314" t="n">
        <v>0</v>
      </c>
      <c r="J314" t="n">
        <v>0</v>
      </c>
      <c r="K314" t="n">
        <v>0</v>
      </c>
      <c r="L314" t="n">
        <v>0</v>
      </c>
      <c r="M314" t="n">
        <v>0</v>
      </c>
      <c r="N314" t="n">
        <v>0</v>
      </c>
      <c r="O314" t="n">
        <v>0</v>
      </c>
      <c r="P314" t="n">
        <v>0</v>
      </c>
      <c r="Q314" t="n">
        <v>0</v>
      </c>
      <c r="R314" s="2" t="inlineStr"/>
    </row>
    <row r="315" ht="15" customHeight="1">
      <c r="A315" t="inlineStr">
        <is>
          <t>A 22951-2025</t>
        </is>
      </c>
      <c r="B315" s="1" t="n">
        <v>45790.51040509259</v>
      </c>
      <c r="C315" s="1" t="n">
        <v>46033</v>
      </c>
      <c r="D315" t="inlineStr">
        <is>
          <t>UPPSALA LÄN</t>
        </is>
      </c>
      <c r="E315" t="inlineStr">
        <is>
          <t>UPPSALA</t>
        </is>
      </c>
      <c r="G315" t="n">
        <v>0.9</v>
      </c>
      <c r="H315" t="n">
        <v>0</v>
      </c>
      <c r="I315" t="n">
        <v>0</v>
      </c>
      <c r="J315" t="n">
        <v>0</v>
      </c>
      <c r="K315" t="n">
        <v>0</v>
      </c>
      <c r="L315" t="n">
        <v>0</v>
      </c>
      <c r="M315" t="n">
        <v>0</v>
      </c>
      <c r="N315" t="n">
        <v>0</v>
      </c>
      <c r="O315" t="n">
        <v>0</v>
      </c>
      <c r="P315" t="n">
        <v>0</v>
      </c>
      <c r="Q315" t="n">
        <v>0</v>
      </c>
      <c r="R315" s="2" t="inlineStr"/>
    </row>
    <row r="316" ht="15" customHeight="1">
      <c r="A316" t="inlineStr">
        <is>
          <t>A 34243-2021</t>
        </is>
      </c>
      <c r="B316" s="1" t="n">
        <v>44379.56163194445</v>
      </c>
      <c r="C316" s="1" t="n">
        <v>46033</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49682-2023</t>
        </is>
      </c>
      <c r="B317" s="1" t="n">
        <v>45212.34997685185</v>
      </c>
      <c r="C317" s="1" t="n">
        <v>46033</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69691-2021</t>
        </is>
      </c>
      <c r="B318" s="1" t="n">
        <v>44532</v>
      </c>
      <c r="C318" s="1" t="n">
        <v>46033</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5362-2023</t>
        </is>
      </c>
      <c r="B319" s="1" t="n">
        <v>44944</v>
      </c>
      <c r="C319" s="1" t="n">
        <v>46033</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26762-2023</t>
        </is>
      </c>
      <c r="B320" s="1" t="n">
        <v>45093.46706018518</v>
      </c>
      <c r="C320" s="1" t="n">
        <v>46033</v>
      </c>
      <c r="D320" t="inlineStr">
        <is>
          <t>UPPSALA LÄN</t>
        </is>
      </c>
      <c r="E320" t="inlineStr">
        <is>
          <t>UPPSALA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7058-2023</t>
        </is>
      </c>
      <c r="B321" s="1" t="n">
        <v>44969</v>
      </c>
      <c r="C321" s="1" t="n">
        <v>46033</v>
      </c>
      <c r="D321" t="inlineStr">
        <is>
          <t>UPPSALA LÄN</t>
        </is>
      </c>
      <c r="E321" t="inlineStr">
        <is>
          <t>UPPSALA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30319-2024</t>
        </is>
      </c>
      <c r="B322" s="1" t="n">
        <v>45490</v>
      </c>
      <c r="C322" s="1" t="n">
        <v>46033</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39792-2025</t>
        </is>
      </c>
      <c r="B323" s="1" t="n">
        <v>45891.4865625</v>
      </c>
      <c r="C323" s="1" t="n">
        <v>46033</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45885-2023</t>
        </is>
      </c>
      <c r="B324" s="1" t="n">
        <v>45195.64807870371</v>
      </c>
      <c r="C324" s="1" t="n">
        <v>46033</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16811-2023</t>
        </is>
      </c>
      <c r="B325" s="1" t="n">
        <v>45033</v>
      </c>
      <c r="C325" s="1" t="n">
        <v>46033</v>
      </c>
      <c r="D325" t="inlineStr">
        <is>
          <t>UPPSALA LÄN</t>
        </is>
      </c>
      <c r="E325" t="inlineStr">
        <is>
          <t>UPPSALA</t>
        </is>
      </c>
      <c r="G325" t="n">
        <v>10.1</v>
      </c>
      <c r="H325" t="n">
        <v>0</v>
      </c>
      <c r="I325" t="n">
        <v>0</v>
      </c>
      <c r="J325" t="n">
        <v>0</v>
      </c>
      <c r="K325" t="n">
        <v>0</v>
      </c>
      <c r="L325" t="n">
        <v>0</v>
      </c>
      <c r="M325" t="n">
        <v>0</v>
      </c>
      <c r="N325" t="n">
        <v>0</v>
      </c>
      <c r="O325" t="n">
        <v>0</v>
      </c>
      <c r="P325" t="n">
        <v>0</v>
      </c>
      <c r="Q325" t="n">
        <v>0</v>
      </c>
      <c r="R325" s="2" t="inlineStr"/>
    </row>
    <row r="326" ht="15" customHeight="1">
      <c r="A326" t="inlineStr">
        <is>
          <t>A 39777-2025</t>
        </is>
      </c>
      <c r="B326" s="1" t="n">
        <v>45891.46827546296</v>
      </c>
      <c r="C326" s="1" t="n">
        <v>46033</v>
      </c>
      <c r="D326" t="inlineStr">
        <is>
          <t>UPPSALA LÄN</t>
        </is>
      </c>
      <c r="E326" t="inlineStr">
        <is>
          <t>UPPSALA</t>
        </is>
      </c>
      <c r="G326" t="n">
        <v>6.5</v>
      </c>
      <c r="H326" t="n">
        <v>0</v>
      </c>
      <c r="I326" t="n">
        <v>0</v>
      </c>
      <c r="J326" t="n">
        <v>0</v>
      </c>
      <c r="K326" t="n">
        <v>0</v>
      </c>
      <c r="L326" t="n">
        <v>0</v>
      </c>
      <c r="M326" t="n">
        <v>0</v>
      </c>
      <c r="N326" t="n">
        <v>0</v>
      </c>
      <c r="O326" t="n">
        <v>0</v>
      </c>
      <c r="P326" t="n">
        <v>0</v>
      </c>
      <c r="Q326" t="n">
        <v>0</v>
      </c>
      <c r="R326" s="2" t="inlineStr"/>
    </row>
    <row r="327" ht="15" customHeight="1">
      <c r="A327" t="inlineStr">
        <is>
          <t>A 59688-2025</t>
        </is>
      </c>
      <c r="B327" s="1" t="n">
        <v>45992.47825231482</v>
      </c>
      <c r="C327" s="1" t="n">
        <v>46033</v>
      </c>
      <c r="D327" t="inlineStr">
        <is>
          <t>UPPSALA LÄN</t>
        </is>
      </c>
      <c r="E327" t="inlineStr">
        <is>
          <t>UPPSALA</t>
        </is>
      </c>
      <c r="G327" t="n">
        <v>2.8</v>
      </c>
      <c r="H327" t="n">
        <v>0</v>
      </c>
      <c r="I327" t="n">
        <v>0</v>
      </c>
      <c r="J327" t="n">
        <v>0</v>
      </c>
      <c r="K327" t="n">
        <v>0</v>
      </c>
      <c r="L327" t="n">
        <v>0</v>
      </c>
      <c r="M327" t="n">
        <v>0</v>
      </c>
      <c r="N327" t="n">
        <v>0</v>
      </c>
      <c r="O327" t="n">
        <v>0</v>
      </c>
      <c r="P327" t="n">
        <v>0</v>
      </c>
      <c r="Q327" t="n">
        <v>0</v>
      </c>
      <c r="R327" s="2" t="inlineStr"/>
    </row>
    <row r="328" ht="15" customHeight="1">
      <c r="A328" t="inlineStr">
        <is>
          <t>A 39721-2025</t>
        </is>
      </c>
      <c r="B328" s="1" t="n">
        <v>45891.33204861111</v>
      </c>
      <c r="C328" s="1" t="n">
        <v>46033</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39529-2025</t>
        </is>
      </c>
      <c r="B329" s="1" t="n">
        <v>45890</v>
      </c>
      <c r="C329" s="1" t="n">
        <v>46033</v>
      </c>
      <c r="D329" t="inlineStr">
        <is>
          <t>UPPSALA LÄN</t>
        </is>
      </c>
      <c r="E329" t="inlineStr">
        <is>
          <t>UPPSALA</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20903-2024</t>
        </is>
      </c>
      <c r="B330" s="1" t="n">
        <v>45439</v>
      </c>
      <c r="C330" s="1" t="n">
        <v>46033</v>
      </c>
      <c r="D330" t="inlineStr">
        <is>
          <t>UPPSALA LÄN</t>
        </is>
      </c>
      <c r="E330" t="inlineStr">
        <is>
          <t>UPPSALA</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5876-2024</t>
        </is>
      </c>
      <c r="B331" s="1" t="n">
        <v>45335.66331018518</v>
      </c>
      <c r="C331" s="1" t="n">
        <v>46033</v>
      </c>
      <c r="D331" t="inlineStr">
        <is>
          <t>UPPSALA LÄN</t>
        </is>
      </c>
      <c r="E331" t="inlineStr">
        <is>
          <t>UPPSALA</t>
        </is>
      </c>
      <c r="F331" t="inlineStr">
        <is>
          <t>Kyrkan</t>
        </is>
      </c>
      <c r="G331" t="n">
        <v>1.7</v>
      </c>
      <c r="H331" t="n">
        <v>0</v>
      </c>
      <c r="I331" t="n">
        <v>0</v>
      </c>
      <c r="J331" t="n">
        <v>0</v>
      </c>
      <c r="K331" t="n">
        <v>0</v>
      </c>
      <c r="L331" t="n">
        <v>0</v>
      </c>
      <c r="M331" t="n">
        <v>0</v>
      </c>
      <c r="N331" t="n">
        <v>0</v>
      </c>
      <c r="O331" t="n">
        <v>0</v>
      </c>
      <c r="P331" t="n">
        <v>0</v>
      </c>
      <c r="Q331" t="n">
        <v>0</v>
      </c>
      <c r="R331" s="2" t="inlineStr"/>
    </row>
    <row r="332" ht="15" customHeight="1">
      <c r="A332" t="inlineStr">
        <is>
          <t>A 59098-2024</t>
        </is>
      </c>
      <c r="B332" s="1" t="n">
        <v>45636</v>
      </c>
      <c r="C332" s="1" t="n">
        <v>46033</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24268-2025</t>
        </is>
      </c>
      <c r="B333" s="1" t="n">
        <v>45797.42777777778</v>
      </c>
      <c r="C333" s="1" t="n">
        <v>46033</v>
      </c>
      <c r="D333" t="inlineStr">
        <is>
          <t>UPPSALA LÄN</t>
        </is>
      </c>
      <c r="E333" t="inlineStr">
        <is>
          <t>UPPSALA</t>
        </is>
      </c>
      <c r="G333" t="n">
        <v>2.5</v>
      </c>
      <c r="H333" t="n">
        <v>0</v>
      </c>
      <c r="I333" t="n">
        <v>0</v>
      </c>
      <c r="J333" t="n">
        <v>0</v>
      </c>
      <c r="K333" t="n">
        <v>0</v>
      </c>
      <c r="L333" t="n">
        <v>0</v>
      </c>
      <c r="M333" t="n">
        <v>0</v>
      </c>
      <c r="N333" t="n">
        <v>0</v>
      </c>
      <c r="O333" t="n">
        <v>0</v>
      </c>
      <c r="P333" t="n">
        <v>0</v>
      </c>
      <c r="Q333" t="n">
        <v>0</v>
      </c>
      <c r="R333" s="2" t="inlineStr"/>
    </row>
    <row r="334" ht="15" customHeight="1">
      <c r="A334" t="inlineStr">
        <is>
          <t>A 53893-2023</t>
        </is>
      </c>
      <c r="B334" s="1" t="n">
        <v>45231</v>
      </c>
      <c r="C334" s="1" t="n">
        <v>46033</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14026-2021</t>
        </is>
      </c>
      <c r="B335" s="1" t="n">
        <v>44277.65650462963</v>
      </c>
      <c r="C335" s="1" t="n">
        <v>46033</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24284-2025</t>
        </is>
      </c>
      <c r="B336" s="1" t="n">
        <v>45797.45900462963</v>
      </c>
      <c r="C336" s="1" t="n">
        <v>46033</v>
      </c>
      <c r="D336" t="inlineStr">
        <is>
          <t>UPPSALA LÄN</t>
        </is>
      </c>
      <c r="E336" t="inlineStr">
        <is>
          <t>UPPSALA</t>
        </is>
      </c>
      <c r="F336" t="inlineStr">
        <is>
          <t>Holmen skog AB</t>
        </is>
      </c>
      <c r="G336" t="n">
        <v>12.7</v>
      </c>
      <c r="H336" t="n">
        <v>0</v>
      </c>
      <c r="I336" t="n">
        <v>0</v>
      </c>
      <c r="J336" t="n">
        <v>0</v>
      </c>
      <c r="K336" t="n">
        <v>0</v>
      </c>
      <c r="L336" t="n">
        <v>0</v>
      </c>
      <c r="M336" t="n">
        <v>0</v>
      </c>
      <c r="N336" t="n">
        <v>0</v>
      </c>
      <c r="O336" t="n">
        <v>0</v>
      </c>
      <c r="P336" t="n">
        <v>0</v>
      </c>
      <c r="Q336" t="n">
        <v>0</v>
      </c>
      <c r="R336" s="2" t="inlineStr"/>
    </row>
    <row r="337" ht="15" customHeight="1">
      <c r="A337" t="inlineStr">
        <is>
          <t>A 40325-2023</t>
        </is>
      </c>
      <c r="B337" s="1" t="n">
        <v>45169</v>
      </c>
      <c r="C337" s="1" t="n">
        <v>46033</v>
      </c>
      <c r="D337" t="inlineStr">
        <is>
          <t>UPPSALA LÄN</t>
        </is>
      </c>
      <c r="E337" t="inlineStr">
        <is>
          <t>UPPSALA</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34520-2024</t>
        </is>
      </c>
      <c r="B338" s="1" t="n">
        <v>45525</v>
      </c>
      <c r="C338" s="1" t="n">
        <v>46033</v>
      </c>
      <c r="D338" t="inlineStr">
        <is>
          <t>UPPSALA LÄN</t>
        </is>
      </c>
      <c r="E338" t="inlineStr">
        <is>
          <t>UPPSALA</t>
        </is>
      </c>
      <c r="G338" t="n">
        <v>2.5</v>
      </c>
      <c r="H338" t="n">
        <v>0</v>
      </c>
      <c r="I338" t="n">
        <v>0</v>
      </c>
      <c r="J338" t="n">
        <v>0</v>
      </c>
      <c r="K338" t="n">
        <v>0</v>
      </c>
      <c r="L338" t="n">
        <v>0</v>
      </c>
      <c r="M338" t="n">
        <v>0</v>
      </c>
      <c r="N338" t="n">
        <v>0</v>
      </c>
      <c r="O338" t="n">
        <v>0</v>
      </c>
      <c r="P338" t="n">
        <v>0</v>
      </c>
      <c r="Q338" t="n">
        <v>0</v>
      </c>
      <c r="R338" s="2" t="inlineStr"/>
    </row>
    <row r="339" ht="15" customHeight="1">
      <c r="A339" t="inlineStr">
        <is>
          <t>A 19539-2024</t>
        </is>
      </c>
      <c r="B339" s="1" t="n">
        <v>45429</v>
      </c>
      <c r="C339" s="1" t="n">
        <v>46033</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50395-2023</t>
        </is>
      </c>
      <c r="B340" s="1" t="n">
        <v>45216</v>
      </c>
      <c r="C340" s="1" t="n">
        <v>46033</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4412-2024</t>
        </is>
      </c>
      <c r="B341" s="1" t="n">
        <v>45327</v>
      </c>
      <c r="C341" s="1" t="n">
        <v>46033</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24912-2025</t>
        </is>
      </c>
      <c r="B342" s="1" t="n">
        <v>45799.53803240741</v>
      </c>
      <c r="C342" s="1" t="n">
        <v>46033</v>
      </c>
      <c r="D342" t="inlineStr">
        <is>
          <t>UPPSALA LÄN</t>
        </is>
      </c>
      <c r="E342" t="inlineStr">
        <is>
          <t>UPPSALA</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40610-2025</t>
        </is>
      </c>
      <c r="B343" s="1" t="n">
        <v>45896.57368055556</v>
      </c>
      <c r="C343" s="1" t="n">
        <v>46033</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40504-2025</t>
        </is>
      </c>
      <c r="B344" s="1" t="n">
        <v>45896</v>
      </c>
      <c r="C344" s="1" t="n">
        <v>46033</v>
      </c>
      <c r="D344" t="inlineStr">
        <is>
          <t>UPPSALA LÄN</t>
        </is>
      </c>
      <c r="E344" t="inlineStr">
        <is>
          <t>UPPSALA</t>
        </is>
      </c>
      <c r="G344" t="n">
        <v>4.4</v>
      </c>
      <c r="H344" t="n">
        <v>0</v>
      </c>
      <c r="I344" t="n">
        <v>0</v>
      </c>
      <c r="J344" t="n">
        <v>0</v>
      </c>
      <c r="K344" t="n">
        <v>0</v>
      </c>
      <c r="L344" t="n">
        <v>0</v>
      </c>
      <c r="M344" t="n">
        <v>0</v>
      </c>
      <c r="N344" t="n">
        <v>0</v>
      </c>
      <c r="O344" t="n">
        <v>0</v>
      </c>
      <c r="P344" t="n">
        <v>0</v>
      </c>
      <c r="Q344" t="n">
        <v>0</v>
      </c>
      <c r="R344" s="2" t="inlineStr"/>
    </row>
    <row r="345" ht="15" customHeight="1">
      <c r="A345" t="inlineStr">
        <is>
          <t>A 9313-2023</t>
        </is>
      </c>
      <c r="B345" s="1" t="n">
        <v>44980</v>
      </c>
      <c r="C345" s="1" t="n">
        <v>46033</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40606-2025</t>
        </is>
      </c>
      <c r="B346" s="1" t="n">
        <v>45896.57171296296</v>
      </c>
      <c r="C346" s="1" t="n">
        <v>46033</v>
      </c>
      <c r="D346" t="inlineStr">
        <is>
          <t>UPPSALA LÄN</t>
        </is>
      </c>
      <c r="E346" t="inlineStr">
        <is>
          <t>UPPSALA</t>
        </is>
      </c>
      <c r="G346" t="n">
        <v>3.2</v>
      </c>
      <c r="H346" t="n">
        <v>0</v>
      </c>
      <c r="I346" t="n">
        <v>0</v>
      </c>
      <c r="J346" t="n">
        <v>0</v>
      </c>
      <c r="K346" t="n">
        <v>0</v>
      </c>
      <c r="L346" t="n">
        <v>0</v>
      </c>
      <c r="M346" t="n">
        <v>0</v>
      </c>
      <c r="N346" t="n">
        <v>0</v>
      </c>
      <c r="O346" t="n">
        <v>0</v>
      </c>
      <c r="P346" t="n">
        <v>0</v>
      </c>
      <c r="Q346" t="n">
        <v>0</v>
      </c>
      <c r="R346" s="2" t="inlineStr"/>
    </row>
    <row r="347" ht="15" customHeight="1">
      <c r="A347" t="inlineStr">
        <is>
          <t>A 40501-2025</t>
        </is>
      </c>
      <c r="B347" s="1" t="n">
        <v>45896</v>
      </c>
      <c r="C347" s="1" t="n">
        <v>46033</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39818-2024</t>
        </is>
      </c>
      <c r="B348" s="1" t="n">
        <v>45552</v>
      </c>
      <c r="C348" s="1" t="n">
        <v>46033</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40855-2025</t>
        </is>
      </c>
      <c r="B349" s="1" t="n">
        <v>45897</v>
      </c>
      <c r="C349" s="1" t="n">
        <v>46033</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24961-2025</t>
        </is>
      </c>
      <c r="B350" s="1" t="n">
        <v>45799.57714120371</v>
      </c>
      <c r="C350" s="1" t="n">
        <v>46033</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40639-2025</t>
        </is>
      </c>
      <c r="B351" s="1" t="n">
        <v>45896.61050925926</v>
      </c>
      <c r="C351" s="1" t="n">
        <v>46033</v>
      </c>
      <c r="D351" t="inlineStr">
        <is>
          <t>UPPSALA LÄN</t>
        </is>
      </c>
      <c r="E351" t="inlineStr">
        <is>
          <t>UPPSALA</t>
        </is>
      </c>
      <c r="G351" t="n">
        <v>6.9</v>
      </c>
      <c r="H351" t="n">
        <v>0</v>
      </c>
      <c r="I351" t="n">
        <v>0</v>
      </c>
      <c r="J351" t="n">
        <v>0</v>
      </c>
      <c r="K351" t="n">
        <v>0</v>
      </c>
      <c r="L351" t="n">
        <v>0</v>
      </c>
      <c r="M351" t="n">
        <v>0</v>
      </c>
      <c r="N351" t="n">
        <v>0</v>
      </c>
      <c r="O351" t="n">
        <v>0</v>
      </c>
      <c r="P351" t="n">
        <v>0</v>
      </c>
      <c r="Q351" t="n">
        <v>0</v>
      </c>
      <c r="R351" s="2" t="inlineStr"/>
    </row>
    <row r="352" ht="15" customHeight="1">
      <c r="A352" t="inlineStr">
        <is>
          <t>A 12828-2025</t>
        </is>
      </c>
      <c r="B352" s="1" t="n">
        <v>45733.62903935185</v>
      </c>
      <c r="C352" s="1" t="n">
        <v>46033</v>
      </c>
      <c r="D352" t="inlineStr">
        <is>
          <t>UPPSALA LÄN</t>
        </is>
      </c>
      <c r="E352" t="inlineStr">
        <is>
          <t>UPPSALA</t>
        </is>
      </c>
      <c r="G352" t="n">
        <v>5.3</v>
      </c>
      <c r="H352" t="n">
        <v>0</v>
      </c>
      <c r="I352" t="n">
        <v>0</v>
      </c>
      <c r="J352" t="n">
        <v>0</v>
      </c>
      <c r="K352" t="n">
        <v>0</v>
      </c>
      <c r="L352" t="n">
        <v>0</v>
      </c>
      <c r="M352" t="n">
        <v>0</v>
      </c>
      <c r="N352" t="n">
        <v>0</v>
      </c>
      <c r="O352" t="n">
        <v>0</v>
      </c>
      <c r="P352" t="n">
        <v>0</v>
      </c>
      <c r="Q352" t="n">
        <v>0</v>
      </c>
      <c r="R352" s="2" t="inlineStr"/>
    </row>
    <row r="353" ht="15" customHeight="1">
      <c r="A353" t="inlineStr">
        <is>
          <t>A 25026-2025</t>
        </is>
      </c>
      <c r="B353" s="1" t="n">
        <v>45799.65021990741</v>
      </c>
      <c r="C353" s="1" t="n">
        <v>46033</v>
      </c>
      <c r="D353" t="inlineStr">
        <is>
          <t>UPPSALA LÄN</t>
        </is>
      </c>
      <c r="E353" t="inlineStr">
        <is>
          <t>UPPSALA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25030-2025</t>
        </is>
      </c>
      <c r="B354" s="1" t="n">
        <v>45799.6527199074</v>
      </c>
      <c r="C354" s="1" t="n">
        <v>46033</v>
      </c>
      <c r="D354" t="inlineStr">
        <is>
          <t>UPPSALA LÄN</t>
        </is>
      </c>
      <c r="E354" t="inlineStr">
        <is>
          <t>UPPSALA</t>
        </is>
      </c>
      <c r="F354" t="inlineStr">
        <is>
          <t>Sveaskog</t>
        </is>
      </c>
      <c r="G354" t="n">
        <v>6</v>
      </c>
      <c r="H354" t="n">
        <v>0</v>
      </c>
      <c r="I354" t="n">
        <v>0</v>
      </c>
      <c r="J354" t="n">
        <v>0</v>
      </c>
      <c r="K354" t="n">
        <v>0</v>
      </c>
      <c r="L354" t="n">
        <v>0</v>
      </c>
      <c r="M354" t="n">
        <v>0</v>
      </c>
      <c r="N354" t="n">
        <v>0</v>
      </c>
      <c r="O354" t="n">
        <v>0</v>
      </c>
      <c r="P354" t="n">
        <v>0</v>
      </c>
      <c r="Q354" t="n">
        <v>0</v>
      </c>
      <c r="R354" s="2" t="inlineStr"/>
    </row>
    <row r="355" ht="15" customHeight="1">
      <c r="A355" t="inlineStr">
        <is>
          <t>A 41444-2025</t>
        </is>
      </c>
      <c r="B355" s="1" t="n">
        <v>45901.41756944444</v>
      </c>
      <c r="C355" s="1" t="n">
        <v>46033</v>
      </c>
      <c r="D355" t="inlineStr">
        <is>
          <t>UPPSALA LÄN</t>
        </is>
      </c>
      <c r="E355" t="inlineStr">
        <is>
          <t>UPPSALA</t>
        </is>
      </c>
      <c r="F355" t="inlineStr">
        <is>
          <t>Kyrkan</t>
        </is>
      </c>
      <c r="G355" t="n">
        <v>4.5</v>
      </c>
      <c r="H355" t="n">
        <v>0</v>
      </c>
      <c r="I355" t="n">
        <v>0</v>
      </c>
      <c r="J355" t="n">
        <v>0</v>
      </c>
      <c r="K355" t="n">
        <v>0</v>
      </c>
      <c r="L355" t="n">
        <v>0</v>
      </c>
      <c r="M355" t="n">
        <v>0</v>
      </c>
      <c r="N355" t="n">
        <v>0</v>
      </c>
      <c r="O355" t="n">
        <v>0</v>
      </c>
      <c r="P355" t="n">
        <v>0</v>
      </c>
      <c r="Q355" t="n">
        <v>0</v>
      </c>
      <c r="R355" s="2" t="inlineStr"/>
    </row>
    <row r="356" ht="15" customHeight="1">
      <c r="A356" t="inlineStr">
        <is>
          <t>A 18607-2024</t>
        </is>
      </c>
      <c r="B356" s="1" t="n">
        <v>45425.94947916667</v>
      </c>
      <c r="C356" s="1" t="n">
        <v>46033</v>
      </c>
      <c r="D356" t="inlineStr">
        <is>
          <t>UPPSALA LÄN</t>
        </is>
      </c>
      <c r="E356" t="inlineStr">
        <is>
          <t>UPPSALA</t>
        </is>
      </c>
      <c r="G356" t="n">
        <v>4.3</v>
      </c>
      <c r="H356" t="n">
        <v>0</v>
      </c>
      <c r="I356" t="n">
        <v>0</v>
      </c>
      <c r="J356" t="n">
        <v>0</v>
      </c>
      <c r="K356" t="n">
        <v>0</v>
      </c>
      <c r="L356" t="n">
        <v>0</v>
      </c>
      <c r="M356" t="n">
        <v>0</v>
      </c>
      <c r="N356" t="n">
        <v>0</v>
      </c>
      <c r="O356" t="n">
        <v>0</v>
      </c>
      <c r="P356" t="n">
        <v>0</v>
      </c>
      <c r="Q356" t="n">
        <v>0</v>
      </c>
      <c r="R356" s="2" t="inlineStr"/>
    </row>
    <row r="357" ht="15" customHeight="1">
      <c r="A357" t="inlineStr">
        <is>
          <t>A 13742-2025</t>
        </is>
      </c>
      <c r="B357" s="1" t="n">
        <v>45737.40503472222</v>
      </c>
      <c r="C357" s="1" t="n">
        <v>46033</v>
      </c>
      <c r="D357" t="inlineStr">
        <is>
          <t>UPPSALA LÄN</t>
        </is>
      </c>
      <c r="E357" t="inlineStr">
        <is>
          <t>UPPSALA</t>
        </is>
      </c>
      <c r="G357" t="n">
        <v>5.1</v>
      </c>
      <c r="H357" t="n">
        <v>0</v>
      </c>
      <c r="I357" t="n">
        <v>0</v>
      </c>
      <c r="J357" t="n">
        <v>0</v>
      </c>
      <c r="K357" t="n">
        <v>0</v>
      </c>
      <c r="L357" t="n">
        <v>0</v>
      </c>
      <c r="M357" t="n">
        <v>0</v>
      </c>
      <c r="N357" t="n">
        <v>0</v>
      </c>
      <c r="O357" t="n">
        <v>0</v>
      </c>
      <c r="P357" t="n">
        <v>0</v>
      </c>
      <c r="Q357" t="n">
        <v>0</v>
      </c>
      <c r="R357" s="2" t="inlineStr"/>
    </row>
    <row r="358" ht="15" customHeight="1">
      <c r="A358" t="inlineStr">
        <is>
          <t>A 24913-2025</t>
        </is>
      </c>
      <c r="B358" s="1" t="n">
        <v>45799.53947916667</v>
      </c>
      <c r="C358" s="1" t="n">
        <v>46033</v>
      </c>
      <c r="D358" t="inlineStr">
        <is>
          <t>UPPSALA LÄN</t>
        </is>
      </c>
      <c r="E358" t="inlineStr">
        <is>
          <t>UPPSALA</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24915-2025</t>
        </is>
      </c>
      <c r="B359" s="1" t="n">
        <v>45799.54104166666</v>
      </c>
      <c r="C359" s="1" t="n">
        <v>46033</v>
      </c>
      <c r="D359" t="inlineStr">
        <is>
          <t>UPPSALA LÄN</t>
        </is>
      </c>
      <c r="E359" t="inlineStr">
        <is>
          <t>UPPSALA</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56872-2023</t>
        </is>
      </c>
      <c r="B360" s="1" t="n">
        <v>45244.52202546296</v>
      </c>
      <c r="C360" s="1" t="n">
        <v>46033</v>
      </c>
      <c r="D360" t="inlineStr">
        <is>
          <t>UPPSALA LÄN</t>
        </is>
      </c>
      <c r="E360" t="inlineStr">
        <is>
          <t>UPPSALA</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6988-2025</t>
        </is>
      </c>
      <c r="B361" s="1" t="n">
        <v>45693</v>
      </c>
      <c r="C361" s="1" t="n">
        <v>46033</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24794-2025</t>
        </is>
      </c>
      <c r="B362" s="1" t="n">
        <v>45799.43496527777</v>
      </c>
      <c r="C362" s="1" t="n">
        <v>46033</v>
      </c>
      <c r="D362" t="inlineStr">
        <is>
          <t>UPPSALA LÄN</t>
        </is>
      </c>
      <c r="E362" t="inlineStr">
        <is>
          <t>UPPSALA</t>
        </is>
      </c>
      <c r="F362" t="inlineStr">
        <is>
          <t>BillerudKorsnäs AB</t>
        </is>
      </c>
      <c r="G362" t="n">
        <v>1.4</v>
      </c>
      <c r="H362" t="n">
        <v>0</v>
      </c>
      <c r="I362" t="n">
        <v>0</v>
      </c>
      <c r="J362" t="n">
        <v>0</v>
      </c>
      <c r="K362" t="n">
        <v>0</v>
      </c>
      <c r="L362" t="n">
        <v>0</v>
      </c>
      <c r="M362" t="n">
        <v>0</v>
      </c>
      <c r="N362" t="n">
        <v>0</v>
      </c>
      <c r="O362" t="n">
        <v>0</v>
      </c>
      <c r="P362" t="n">
        <v>0</v>
      </c>
      <c r="Q362" t="n">
        <v>0</v>
      </c>
      <c r="R362" s="2" t="inlineStr"/>
    </row>
    <row r="363" ht="15" customHeight="1">
      <c r="A363" t="inlineStr">
        <is>
          <t>A 24916-2025</t>
        </is>
      </c>
      <c r="B363" s="1" t="n">
        <v>45799.5421875</v>
      </c>
      <c r="C363" s="1" t="n">
        <v>46033</v>
      </c>
      <c r="D363" t="inlineStr">
        <is>
          <t>UPPSALA LÄN</t>
        </is>
      </c>
      <c r="E363" t="inlineStr">
        <is>
          <t>UPPSALA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5204-2025</t>
        </is>
      </c>
      <c r="B364" s="1" t="n">
        <v>45691</v>
      </c>
      <c r="C364" s="1" t="n">
        <v>46033</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25025-2025</t>
        </is>
      </c>
      <c r="B365" s="1" t="n">
        <v>45799.64877314815</v>
      </c>
      <c r="C365" s="1" t="n">
        <v>46033</v>
      </c>
      <c r="D365" t="inlineStr">
        <is>
          <t>UPPSALA LÄN</t>
        </is>
      </c>
      <c r="E365" t="inlineStr">
        <is>
          <t>UPPSALA</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24525-2025</t>
        </is>
      </c>
      <c r="B366" s="1" t="n">
        <v>45798.42252314815</v>
      </c>
      <c r="C366" s="1" t="n">
        <v>46033</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5678-2023</t>
        </is>
      </c>
      <c r="B367" s="1" t="n">
        <v>44960</v>
      </c>
      <c r="C367" s="1" t="n">
        <v>46033</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41445-2025</t>
        </is>
      </c>
      <c r="B368" s="1" t="n">
        <v>45901.41853009259</v>
      </c>
      <c r="C368" s="1" t="n">
        <v>46033</v>
      </c>
      <c r="D368" t="inlineStr">
        <is>
          <t>UPPSALA LÄN</t>
        </is>
      </c>
      <c r="E368" t="inlineStr">
        <is>
          <t>UPPSALA</t>
        </is>
      </c>
      <c r="F368" t="inlineStr">
        <is>
          <t>Kyrkan</t>
        </is>
      </c>
      <c r="G368" t="n">
        <v>4.5</v>
      </c>
      <c r="H368" t="n">
        <v>0</v>
      </c>
      <c r="I368" t="n">
        <v>0</v>
      </c>
      <c r="J368" t="n">
        <v>0</v>
      </c>
      <c r="K368" t="n">
        <v>0</v>
      </c>
      <c r="L368" t="n">
        <v>0</v>
      </c>
      <c r="M368" t="n">
        <v>0</v>
      </c>
      <c r="N368" t="n">
        <v>0</v>
      </c>
      <c r="O368" t="n">
        <v>0</v>
      </c>
      <c r="P368" t="n">
        <v>0</v>
      </c>
      <c r="Q368" t="n">
        <v>0</v>
      </c>
      <c r="R368" s="2" t="inlineStr"/>
    </row>
    <row r="369" ht="15" customHeight="1">
      <c r="A369" t="inlineStr">
        <is>
          <t>A 46796-2024</t>
        </is>
      </c>
      <c r="B369" s="1" t="n">
        <v>45583</v>
      </c>
      <c r="C369" s="1" t="n">
        <v>46033</v>
      </c>
      <c r="D369" t="inlineStr">
        <is>
          <t>UPPSALA LÄN</t>
        </is>
      </c>
      <c r="E369" t="inlineStr">
        <is>
          <t>UPPSALA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341-2024</t>
        </is>
      </c>
      <c r="B370" s="1" t="n">
        <v>45295</v>
      </c>
      <c r="C370" s="1" t="n">
        <v>46033</v>
      </c>
      <c r="D370" t="inlineStr">
        <is>
          <t>UPPSALA LÄN</t>
        </is>
      </c>
      <c r="E370" t="inlineStr">
        <is>
          <t>UPPSALA</t>
        </is>
      </c>
      <c r="F370" t="inlineStr">
        <is>
          <t>Allmännings- och besparingsskogar</t>
        </is>
      </c>
      <c r="G370" t="n">
        <v>1.8</v>
      </c>
      <c r="H370" t="n">
        <v>0</v>
      </c>
      <c r="I370" t="n">
        <v>0</v>
      </c>
      <c r="J370" t="n">
        <v>0</v>
      </c>
      <c r="K370" t="n">
        <v>0</v>
      </c>
      <c r="L370" t="n">
        <v>0</v>
      </c>
      <c r="M370" t="n">
        <v>0</v>
      </c>
      <c r="N370" t="n">
        <v>0</v>
      </c>
      <c r="O370" t="n">
        <v>0</v>
      </c>
      <c r="P370" t="n">
        <v>0</v>
      </c>
      <c r="Q370" t="n">
        <v>0</v>
      </c>
      <c r="R370" s="2" t="inlineStr"/>
    </row>
    <row r="371" ht="15" customHeight="1">
      <c r="A371" t="inlineStr">
        <is>
          <t>A 25513-2025</t>
        </is>
      </c>
      <c r="B371" s="1" t="n">
        <v>45803.36384259259</v>
      </c>
      <c r="C371" s="1" t="n">
        <v>46033</v>
      </c>
      <c r="D371" t="inlineStr">
        <is>
          <t>UPPSALA LÄN</t>
        </is>
      </c>
      <c r="E371" t="inlineStr">
        <is>
          <t>UPPSALA</t>
        </is>
      </c>
      <c r="F371" t="inlineStr">
        <is>
          <t>Bergvik skog öst AB</t>
        </is>
      </c>
      <c r="G371" t="n">
        <v>8.9</v>
      </c>
      <c r="H371" t="n">
        <v>0</v>
      </c>
      <c r="I371" t="n">
        <v>0</v>
      </c>
      <c r="J371" t="n">
        <v>0</v>
      </c>
      <c r="K371" t="n">
        <v>0</v>
      </c>
      <c r="L371" t="n">
        <v>0</v>
      </c>
      <c r="M371" t="n">
        <v>0</v>
      </c>
      <c r="N371" t="n">
        <v>0</v>
      </c>
      <c r="O371" t="n">
        <v>0</v>
      </c>
      <c r="P371" t="n">
        <v>0</v>
      </c>
      <c r="Q371" t="n">
        <v>0</v>
      </c>
      <c r="R371" s="2" t="inlineStr"/>
    </row>
    <row r="372" ht="15" customHeight="1">
      <c r="A372" t="inlineStr">
        <is>
          <t>A 25280-2023</t>
        </is>
      </c>
      <c r="B372" s="1" t="n">
        <v>45086.7037037037</v>
      </c>
      <c r="C372" s="1" t="n">
        <v>46033</v>
      </c>
      <c r="D372" t="inlineStr">
        <is>
          <t>UPPSALA LÄN</t>
        </is>
      </c>
      <c r="E372" t="inlineStr">
        <is>
          <t>UPPSALA</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10827-2024</t>
        </is>
      </c>
      <c r="B373" s="1" t="n">
        <v>45369</v>
      </c>
      <c r="C373" s="1" t="n">
        <v>46033</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25674-2025</t>
        </is>
      </c>
      <c r="B374" s="1" t="n">
        <v>45803.63395833333</v>
      </c>
      <c r="C374" s="1" t="n">
        <v>46033</v>
      </c>
      <c r="D374" t="inlineStr">
        <is>
          <t>UPPSALA LÄN</t>
        </is>
      </c>
      <c r="E374" t="inlineStr">
        <is>
          <t>UPPSALA</t>
        </is>
      </c>
      <c r="G374" t="n">
        <v>0.9</v>
      </c>
      <c r="H374" t="n">
        <v>0</v>
      </c>
      <c r="I374" t="n">
        <v>0</v>
      </c>
      <c r="J374" t="n">
        <v>0</v>
      </c>
      <c r="K374" t="n">
        <v>0</v>
      </c>
      <c r="L374" t="n">
        <v>0</v>
      </c>
      <c r="M374" t="n">
        <v>0</v>
      </c>
      <c r="N374" t="n">
        <v>0</v>
      </c>
      <c r="O374" t="n">
        <v>0</v>
      </c>
      <c r="P374" t="n">
        <v>0</v>
      </c>
      <c r="Q374" t="n">
        <v>0</v>
      </c>
      <c r="R374" s="2" t="inlineStr"/>
    </row>
    <row r="375" ht="15" customHeight="1">
      <c r="A375" t="inlineStr">
        <is>
          <t>A 41954-2025</t>
        </is>
      </c>
      <c r="B375" s="1" t="n">
        <v>45903</v>
      </c>
      <c r="C375" s="1" t="n">
        <v>46033</v>
      </c>
      <c r="D375" t="inlineStr">
        <is>
          <t>UPPSALA LÄN</t>
        </is>
      </c>
      <c r="E375" t="inlineStr">
        <is>
          <t>UPPSALA</t>
        </is>
      </c>
      <c r="G375" t="n">
        <v>7.5</v>
      </c>
      <c r="H375" t="n">
        <v>0</v>
      </c>
      <c r="I375" t="n">
        <v>0</v>
      </c>
      <c r="J375" t="n">
        <v>0</v>
      </c>
      <c r="K375" t="n">
        <v>0</v>
      </c>
      <c r="L375" t="n">
        <v>0</v>
      </c>
      <c r="M375" t="n">
        <v>0</v>
      </c>
      <c r="N375" t="n">
        <v>0</v>
      </c>
      <c r="O375" t="n">
        <v>0</v>
      </c>
      <c r="P375" t="n">
        <v>0</v>
      </c>
      <c r="Q375" t="n">
        <v>0</v>
      </c>
      <c r="R375" s="2" t="inlineStr"/>
    </row>
    <row r="376" ht="15" customHeight="1">
      <c r="A376" t="inlineStr">
        <is>
          <t>A 52197-2024</t>
        </is>
      </c>
      <c r="B376" s="1" t="n">
        <v>45608</v>
      </c>
      <c r="C376" s="1" t="n">
        <v>46033</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12830-2025</t>
        </is>
      </c>
      <c r="B377" s="1" t="n">
        <v>45733.63099537037</v>
      </c>
      <c r="C377" s="1" t="n">
        <v>46033</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6628-2024</t>
        </is>
      </c>
      <c r="B378" s="1" t="n">
        <v>45341</v>
      </c>
      <c r="C378" s="1" t="n">
        <v>46033</v>
      </c>
      <c r="D378" t="inlineStr">
        <is>
          <t>UPPSALA LÄN</t>
        </is>
      </c>
      <c r="E378" t="inlineStr">
        <is>
          <t>UPPSALA</t>
        </is>
      </c>
      <c r="G378" t="n">
        <v>4.3</v>
      </c>
      <c r="H378" t="n">
        <v>0</v>
      </c>
      <c r="I378" t="n">
        <v>0</v>
      </c>
      <c r="J378" t="n">
        <v>0</v>
      </c>
      <c r="K378" t="n">
        <v>0</v>
      </c>
      <c r="L378" t="n">
        <v>0</v>
      </c>
      <c r="M378" t="n">
        <v>0</v>
      </c>
      <c r="N378" t="n">
        <v>0</v>
      </c>
      <c r="O378" t="n">
        <v>0</v>
      </c>
      <c r="P378" t="n">
        <v>0</v>
      </c>
      <c r="Q378" t="n">
        <v>0</v>
      </c>
      <c r="R378" s="2" t="inlineStr"/>
    </row>
    <row r="379" ht="15" customHeight="1">
      <c r="A379" t="inlineStr">
        <is>
          <t>A 15264-2025</t>
        </is>
      </c>
      <c r="B379" s="1" t="n">
        <v>45744</v>
      </c>
      <c r="C379" s="1" t="n">
        <v>46033</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46033</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42084-2025</t>
        </is>
      </c>
      <c r="B381" s="1" t="n">
        <v>45903.69096064815</v>
      </c>
      <c r="C381" s="1" t="n">
        <v>46033</v>
      </c>
      <c r="D381" t="inlineStr">
        <is>
          <t>UPPSALA LÄN</t>
        </is>
      </c>
      <c r="E381" t="inlineStr">
        <is>
          <t>UPPSALA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26130-2025</t>
        </is>
      </c>
      <c r="B382" s="1" t="n">
        <v>45805.4094675926</v>
      </c>
      <c r="C382" s="1" t="n">
        <v>46033</v>
      </c>
      <c r="D382" t="inlineStr">
        <is>
          <t>UPPSALA LÄN</t>
        </is>
      </c>
      <c r="E382" t="inlineStr">
        <is>
          <t>UPPSALA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46033</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41707-2025</t>
        </is>
      </c>
      <c r="B384" s="1" t="n">
        <v>45902.42243055555</v>
      </c>
      <c r="C384" s="1" t="n">
        <v>46033</v>
      </c>
      <c r="D384" t="inlineStr">
        <is>
          <t>UPPSALA LÄN</t>
        </is>
      </c>
      <c r="E384" t="inlineStr">
        <is>
          <t>UPPSALA</t>
        </is>
      </c>
      <c r="F384" t="inlineStr">
        <is>
          <t>Allmännings- och besparingsskogar</t>
        </is>
      </c>
      <c r="G384" t="n">
        <v>3.3</v>
      </c>
      <c r="H384" t="n">
        <v>0</v>
      </c>
      <c r="I384" t="n">
        <v>0</v>
      </c>
      <c r="J384" t="n">
        <v>0</v>
      </c>
      <c r="K384" t="n">
        <v>0</v>
      </c>
      <c r="L384" t="n">
        <v>0</v>
      </c>
      <c r="M384" t="n">
        <v>0</v>
      </c>
      <c r="N384" t="n">
        <v>0</v>
      </c>
      <c r="O384" t="n">
        <v>0</v>
      </c>
      <c r="P384" t="n">
        <v>0</v>
      </c>
      <c r="Q384" t="n">
        <v>0</v>
      </c>
      <c r="R384" s="2" t="inlineStr"/>
    </row>
    <row r="385" ht="15" customHeight="1">
      <c r="A385" t="inlineStr">
        <is>
          <t>A 26139-2025</t>
        </is>
      </c>
      <c r="B385" s="1" t="n">
        <v>45805.41813657407</v>
      </c>
      <c r="C385" s="1" t="n">
        <v>46033</v>
      </c>
      <c r="D385" t="inlineStr">
        <is>
          <t>UPPSALA LÄN</t>
        </is>
      </c>
      <c r="E385" t="inlineStr">
        <is>
          <t>UPPSALA</t>
        </is>
      </c>
      <c r="F385" t="inlineStr">
        <is>
          <t>Holmen skog AB</t>
        </is>
      </c>
      <c r="G385" t="n">
        <v>0.7</v>
      </c>
      <c r="H385" t="n">
        <v>0</v>
      </c>
      <c r="I385" t="n">
        <v>0</v>
      </c>
      <c r="J385" t="n">
        <v>0</v>
      </c>
      <c r="K385" t="n">
        <v>0</v>
      </c>
      <c r="L385" t="n">
        <v>0</v>
      </c>
      <c r="M385" t="n">
        <v>0</v>
      </c>
      <c r="N385" t="n">
        <v>0</v>
      </c>
      <c r="O385" t="n">
        <v>0</v>
      </c>
      <c r="P385" t="n">
        <v>0</v>
      </c>
      <c r="Q385" t="n">
        <v>0</v>
      </c>
      <c r="R385" s="2" t="inlineStr"/>
    </row>
    <row r="386" ht="15" customHeight="1">
      <c r="A386" t="inlineStr">
        <is>
          <t>A 26141-2025</t>
        </is>
      </c>
      <c r="B386" s="1" t="n">
        <v>45805.4255787037</v>
      </c>
      <c r="C386" s="1" t="n">
        <v>46033</v>
      </c>
      <c r="D386" t="inlineStr">
        <is>
          <t>UPPSALA LÄN</t>
        </is>
      </c>
      <c r="E386" t="inlineStr">
        <is>
          <t>UPPSALA</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42541-2025</t>
        </is>
      </c>
      <c r="B387" s="1" t="n">
        <v>45905.5756712963</v>
      </c>
      <c r="C387" s="1" t="n">
        <v>46033</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26155-2025</t>
        </is>
      </c>
      <c r="B388" s="1" t="n">
        <v>45805.43402777778</v>
      </c>
      <c r="C388" s="1" t="n">
        <v>46033</v>
      </c>
      <c r="D388" t="inlineStr">
        <is>
          <t>UPPSALA LÄN</t>
        </is>
      </c>
      <c r="E388" t="inlineStr">
        <is>
          <t>UPPSALA</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24909-2025</t>
        </is>
      </c>
      <c r="B389" s="1" t="n">
        <v>45799.53348379629</v>
      </c>
      <c r="C389" s="1" t="n">
        <v>46033</v>
      </c>
      <c r="D389" t="inlineStr">
        <is>
          <t>UPPSALA LÄN</t>
        </is>
      </c>
      <c r="E389" t="inlineStr">
        <is>
          <t>UPPSALA</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26739-2025</t>
        </is>
      </c>
      <c r="B390" s="1" t="n">
        <v>45809</v>
      </c>
      <c r="C390" s="1" t="n">
        <v>46033</v>
      </c>
      <c r="D390" t="inlineStr">
        <is>
          <t>UPPSALA LÄN</t>
        </is>
      </c>
      <c r="E390" t="inlineStr">
        <is>
          <t>UPPSALA</t>
        </is>
      </c>
      <c r="F390" t="inlineStr">
        <is>
          <t>Övriga Aktiebolag</t>
        </is>
      </c>
      <c r="G390" t="n">
        <v>3.6</v>
      </c>
      <c r="H390" t="n">
        <v>0</v>
      </c>
      <c r="I390" t="n">
        <v>0</v>
      </c>
      <c r="J390" t="n">
        <v>0</v>
      </c>
      <c r="K390" t="n">
        <v>0</v>
      </c>
      <c r="L390" t="n">
        <v>0</v>
      </c>
      <c r="M390" t="n">
        <v>0</v>
      </c>
      <c r="N390" t="n">
        <v>0</v>
      </c>
      <c r="O390" t="n">
        <v>0</v>
      </c>
      <c r="P390" t="n">
        <v>0</v>
      </c>
      <c r="Q390" t="n">
        <v>0</v>
      </c>
      <c r="R390" s="2" t="inlineStr"/>
    </row>
    <row r="391" ht="15" customHeight="1">
      <c r="A391" t="inlineStr">
        <is>
          <t>A 37588-2022</t>
        </is>
      </c>
      <c r="B391" s="1" t="n">
        <v>44809.92752314815</v>
      </c>
      <c r="C391" s="1" t="n">
        <v>46033</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42347-2025</t>
        </is>
      </c>
      <c r="B392" s="1" t="n">
        <v>45904.77746527778</v>
      </c>
      <c r="C392" s="1" t="n">
        <v>46033</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12211-2025</t>
        </is>
      </c>
      <c r="B393" s="1" t="n">
        <v>45729</v>
      </c>
      <c r="C393" s="1" t="n">
        <v>46033</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59549-2024</t>
        </is>
      </c>
      <c r="B394" s="1" t="n">
        <v>45638</v>
      </c>
      <c r="C394" s="1" t="n">
        <v>46033</v>
      </c>
      <c r="D394" t="inlineStr">
        <is>
          <t>UPPSALA LÄN</t>
        </is>
      </c>
      <c r="E394" t="inlineStr">
        <is>
          <t>UPPSALA</t>
        </is>
      </c>
      <c r="G394" t="n">
        <v>0.9</v>
      </c>
      <c r="H394" t="n">
        <v>0</v>
      </c>
      <c r="I394" t="n">
        <v>0</v>
      </c>
      <c r="J394" t="n">
        <v>0</v>
      </c>
      <c r="K394" t="n">
        <v>0</v>
      </c>
      <c r="L394" t="n">
        <v>0</v>
      </c>
      <c r="M394" t="n">
        <v>0</v>
      </c>
      <c r="N394" t="n">
        <v>0</v>
      </c>
      <c r="O394" t="n">
        <v>0</v>
      </c>
      <c r="P394" t="n">
        <v>0</v>
      </c>
      <c r="Q394" t="n">
        <v>0</v>
      </c>
      <c r="R394" s="2" t="inlineStr"/>
    </row>
    <row r="395" ht="15" customHeight="1">
      <c r="A395" t="inlineStr">
        <is>
          <t>A 26131-2025</t>
        </is>
      </c>
      <c r="B395" s="1" t="n">
        <v>45805.41010416667</v>
      </c>
      <c r="C395" s="1" t="n">
        <v>46033</v>
      </c>
      <c r="D395" t="inlineStr">
        <is>
          <t>UPPSALA LÄN</t>
        </is>
      </c>
      <c r="E395" t="inlineStr">
        <is>
          <t>UPPSALA</t>
        </is>
      </c>
      <c r="F395" t="inlineStr">
        <is>
          <t>Bergvik skog öst AB</t>
        </is>
      </c>
      <c r="G395" t="n">
        <v>3.8</v>
      </c>
      <c r="H395" t="n">
        <v>0</v>
      </c>
      <c r="I395" t="n">
        <v>0</v>
      </c>
      <c r="J395" t="n">
        <v>0</v>
      </c>
      <c r="K395" t="n">
        <v>0</v>
      </c>
      <c r="L395" t="n">
        <v>0</v>
      </c>
      <c r="M395" t="n">
        <v>0</v>
      </c>
      <c r="N395" t="n">
        <v>0</v>
      </c>
      <c r="O395" t="n">
        <v>0</v>
      </c>
      <c r="P395" t="n">
        <v>0</v>
      </c>
      <c r="Q395" t="n">
        <v>0</v>
      </c>
      <c r="R395" s="2" t="inlineStr"/>
    </row>
    <row r="396" ht="15" customHeight="1">
      <c r="A396" t="inlineStr">
        <is>
          <t>A 51493-2025</t>
        </is>
      </c>
      <c r="B396" s="1" t="n">
        <v>45950</v>
      </c>
      <c r="C396" s="1" t="n">
        <v>46033</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51505-2025</t>
        </is>
      </c>
      <c r="B397" s="1" t="n">
        <v>45950</v>
      </c>
      <c r="C397" s="1" t="n">
        <v>46033</v>
      </c>
      <c r="D397" t="inlineStr">
        <is>
          <t>UPPSALA LÄN</t>
        </is>
      </c>
      <c r="E397" t="inlineStr">
        <is>
          <t>UPPSALA</t>
        </is>
      </c>
      <c r="G397" t="n">
        <v>6.7</v>
      </c>
      <c r="H397" t="n">
        <v>0</v>
      </c>
      <c r="I397" t="n">
        <v>0</v>
      </c>
      <c r="J397" t="n">
        <v>0</v>
      </c>
      <c r="K397" t="n">
        <v>0</v>
      </c>
      <c r="L397" t="n">
        <v>0</v>
      </c>
      <c r="M397" t="n">
        <v>0</v>
      </c>
      <c r="N397" t="n">
        <v>0</v>
      </c>
      <c r="O397" t="n">
        <v>0</v>
      </c>
      <c r="P397" t="n">
        <v>0</v>
      </c>
      <c r="Q397" t="n">
        <v>0</v>
      </c>
      <c r="R397" s="2" t="inlineStr"/>
    </row>
    <row r="398" ht="15" customHeight="1">
      <c r="A398" t="inlineStr">
        <is>
          <t>A 42593-2025</t>
        </is>
      </c>
      <c r="B398" s="1" t="n">
        <v>45905.64862268518</v>
      </c>
      <c r="C398" s="1" t="n">
        <v>46033</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26740-2025</t>
        </is>
      </c>
      <c r="B399" s="1" t="n">
        <v>45809</v>
      </c>
      <c r="C399" s="1" t="n">
        <v>46033</v>
      </c>
      <c r="D399" t="inlineStr">
        <is>
          <t>UPPSALA LÄN</t>
        </is>
      </c>
      <c r="E399" t="inlineStr">
        <is>
          <t>UPPSALA</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26738-2025</t>
        </is>
      </c>
      <c r="B400" s="1" t="n">
        <v>45809</v>
      </c>
      <c r="C400" s="1" t="n">
        <v>46033</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42134-2025</t>
        </is>
      </c>
      <c r="B401" s="1" t="n">
        <v>45904</v>
      </c>
      <c r="C401" s="1" t="n">
        <v>46033</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49996-2023</t>
        </is>
      </c>
      <c r="B402" s="1" t="n">
        <v>45215.44233796297</v>
      </c>
      <c r="C402" s="1" t="n">
        <v>46033</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26697-2025</t>
        </is>
      </c>
      <c r="B403" s="1" t="n">
        <v>45810.44339120371</v>
      </c>
      <c r="C403" s="1" t="n">
        <v>46033</v>
      </c>
      <c r="D403" t="inlineStr">
        <is>
          <t>UPPSALA LÄN</t>
        </is>
      </c>
      <c r="E403" t="inlineStr">
        <is>
          <t>UPPSALA</t>
        </is>
      </c>
      <c r="F403" t="inlineStr">
        <is>
          <t>Bergvik skog öst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26713-2025</t>
        </is>
      </c>
      <c r="B404" s="1" t="n">
        <v>45809</v>
      </c>
      <c r="C404" s="1" t="n">
        <v>46033</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51275-2025</t>
        </is>
      </c>
      <c r="B405" s="1" t="n">
        <v>45949</v>
      </c>
      <c r="C405" s="1" t="n">
        <v>46033</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10394-2025</t>
        </is>
      </c>
      <c r="B406" s="1" t="n">
        <v>45720.60410879629</v>
      </c>
      <c r="C406" s="1" t="n">
        <v>46033</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781-2024</t>
        </is>
      </c>
      <c r="B407" s="1" t="n">
        <v>45300.55028935185</v>
      </c>
      <c r="C407" s="1" t="n">
        <v>46033</v>
      </c>
      <c r="D407" t="inlineStr">
        <is>
          <t>UPPSALA LÄN</t>
        </is>
      </c>
      <c r="E407" t="inlineStr">
        <is>
          <t>UPPSALA</t>
        </is>
      </c>
      <c r="G407" t="n">
        <v>6.3</v>
      </c>
      <c r="H407" t="n">
        <v>0</v>
      </c>
      <c r="I407" t="n">
        <v>0</v>
      </c>
      <c r="J407" t="n">
        <v>0</v>
      </c>
      <c r="K407" t="n">
        <v>0</v>
      </c>
      <c r="L407" t="n">
        <v>0</v>
      </c>
      <c r="M407" t="n">
        <v>0</v>
      </c>
      <c r="N407" t="n">
        <v>0</v>
      </c>
      <c r="O407" t="n">
        <v>0</v>
      </c>
      <c r="P407" t="n">
        <v>0</v>
      </c>
      <c r="Q407" t="n">
        <v>0</v>
      </c>
      <c r="R407" s="2" t="inlineStr"/>
    </row>
    <row r="408" ht="15" customHeight="1">
      <c r="A408" t="inlineStr">
        <is>
          <t>A 23494-2024</t>
        </is>
      </c>
      <c r="B408" s="1" t="n">
        <v>45453.69339120371</v>
      </c>
      <c r="C408" s="1" t="n">
        <v>46033</v>
      </c>
      <c r="D408" t="inlineStr">
        <is>
          <t>UPPSALA LÄN</t>
        </is>
      </c>
      <c r="E408" t="inlineStr">
        <is>
          <t>UPPSALA</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32127-2024</t>
        </is>
      </c>
      <c r="B409" s="1" t="n">
        <v>45511</v>
      </c>
      <c r="C409" s="1" t="n">
        <v>46033</v>
      </c>
      <c r="D409" t="inlineStr">
        <is>
          <t>UPPSALA LÄN</t>
        </is>
      </c>
      <c r="E409" t="inlineStr">
        <is>
          <t>UPPSALA</t>
        </is>
      </c>
      <c r="G409" t="n">
        <v>3.7</v>
      </c>
      <c r="H409" t="n">
        <v>0</v>
      </c>
      <c r="I409" t="n">
        <v>0</v>
      </c>
      <c r="J409" t="n">
        <v>0</v>
      </c>
      <c r="K409" t="n">
        <v>0</v>
      </c>
      <c r="L409" t="n">
        <v>0</v>
      </c>
      <c r="M409" t="n">
        <v>0</v>
      </c>
      <c r="N409" t="n">
        <v>0</v>
      </c>
      <c r="O409" t="n">
        <v>0</v>
      </c>
      <c r="P409" t="n">
        <v>0</v>
      </c>
      <c r="Q409" t="n">
        <v>0</v>
      </c>
      <c r="R409" s="2" t="inlineStr"/>
    </row>
    <row r="410" ht="15" customHeight="1">
      <c r="A410" t="inlineStr">
        <is>
          <t>A 43056-2025</t>
        </is>
      </c>
      <c r="B410" s="1" t="n">
        <v>45909.57565972222</v>
      </c>
      <c r="C410" s="1" t="n">
        <v>46033</v>
      </c>
      <c r="D410" t="inlineStr">
        <is>
          <t>UPPSALA LÄN</t>
        </is>
      </c>
      <c r="E410" t="inlineStr">
        <is>
          <t>UPPSALA</t>
        </is>
      </c>
      <c r="F410" t="inlineStr">
        <is>
          <t>Allmännings- och besparingsskogar</t>
        </is>
      </c>
      <c r="G410" t="n">
        <v>11.8</v>
      </c>
      <c r="H410" t="n">
        <v>0</v>
      </c>
      <c r="I410" t="n">
        <v>0</v>
      </c>
      <c r="J410" t="n">
        <v>0</v>
      </c>
      <c r="K410" t="n">
        <v>0</v>
      </c>
      <c r="L410" t="n">
        <v>0</v>
      </c>
      <c r="M410" t="n">
        <v>0</v>
      </c>
      <c r="N410" t="n">
        <v>0</v>
      </c>
      <c r="O410" t="n">
        <v>0</v>
      </c>
      <c r="P410" t="n">
        <v>0</v>
      </c>
      <c r="Q410" t="n">
        <v>0</v>
      </c>
      <c r="R410" s="2" t="inlineStr"/>
    </row>
    <row r="411" ht="15" customHeight="1">
      <c r="A411" t="inlineStr">
        <is>
          <t>A 26696-2025</t>
        </is>
      </c>
      <c r="B411" s="1" t="n">
        <v>45810.44299768518</v>
      </c>
      <c r="C411" s="1" t="n">
        <v>46033</v>
      </c>
      <c r="D411" t="inlineStr">
        <is>
          <t>UPPSALA LÄN</t>
        </is>
      </c>
      <c r="E411" t="inlineStr">
        <is>
          <t>UPPSALA</t>
        </is>
      </c>
      <c r="F411" t="inlineStr">
        <is>
          <t>Bergvik skog öst AB</t>
        </is>
      </c>
      <c r="G411" t="n">
        <v>7.1</v>
      </c>
      <c r="H411" t="n">
        <v>0</v>
      </c>
      <c r="I411" t="n">
        <v>0</v>
      </c>
      <c r="J411" t="n">
        <v>0</v>
      </c>
      <c r="K411" t="n">
        <v>0</v>
      </c>
      <c r="L411" t="n">
        <v>0</v>
      </c>
      <c r="M411" t="n">
        <v>0</v>
      </c>
      <c r="N411" t="n">
        <v>0</v>
      </c>
      <c r="O411" t="n">
        <v>0</v>
      </c>
      <c r="P411" t="n">
        <v>0</v>
      </c>
      <c r="Q411" t="n">
        <v>0</v>
      </c>
      <c r="R411" s="2" t="inlineStr"/>
    </row>
    <row r="412" ht="15" customHeight="1">
      <c r="A412" t="inlineStr">
        <is>
          <t>A 9592-2022</t>
        </is>
      </c>
      <c r="B412" s="1" t="n">
        <v>44617.48311342593</v>
      </c>
      <c r="C412" s="1" t="n">
        <v>46033</v>
      </c>
      <c r="D412" t="inlineStr">
        <is>
          <t>UPPSALA LÄN</t>
        </is>
      </c>
      <c r="E412" t="inlineStr">
        <is>
          <t>UPPSALA</t>
        </is>
      </c>
      <c r="G412" t="n">
        <v>7.5</v>
      </c>
      <c r="H412" t="n">
        <v>0</v>
      </c>
      <c r="I412" t="n">
        <v>0</v>
      </c>
      <c r="J412" t="n">
        <v>0</v>
      </c>
      <c r="K412" t="n">
        <v>0</v>
      </c>
      <c r="L412" t="n">
        <v>0</v>
      </c>
      <c r="M412" t="n">
        <v>0</v>
      </c>
      <c r="N412" t="n">
        <v>0</v>
      </c>
      <c r="O412" t="n">
        <v>0</v>
      </c>
      <c r="P412" t="n">
        <v>0</v>
      </c>
      <c r="Q412" t="n">
        <v>0</v>
      </c>
      <c r="R412" s="2" t="inlineStr"/>
    </row>
    <row r="413" ht="15" customHeight="1">
      <c r="A413" t="inlineStr">
        <is>
          <t>A 27265-2025</t>
        </is>
      </c>
      <c r="B413" s="1" t="n">
        <v>45812.48032407407</v>
      </c>
      <c r="C413" s="1" t="n">
        <v>46033</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46033</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29926-2023</t>
        </is>
      </c>
      <c r="B415" s="1" t="n">
        <v>45107</v>
      </c>
      <c r="C415" s="1" t="n">
        <v>46033</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27538-2025</t>
        </is>
      </c>
      <c r="B416" s="1" t="n">
        <v>45813.46034722222</v>
      </c>
      <c r="C416" s="1" t="n">
        <v>46033</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60269-2025</t>
        </is>
      </c>
      <c r="B417" s="1" t="n">
        <v>45994.62346064814</v>
      </c>
      <c r="C417" s="1" t="n">
        <v>46033</v>
      </c>
      <c r="D417" t="inlineStr">
        <is>
          <t>UPPSALA LÄN</t>
        </is>
      </c>
      <c r="E417" t="inlineStr">
        <is>
          <t>UPPSALA</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60357-2025</t>
        </is>
      </c>
      <c r="B418" s="1" t="n">
        <v>45995.31793981481</v>
      </c>
      <c r="C418" s="1" t="n">
        <v>46033</v>
      </c>
      <c r="D418" t="inlineStr">
        <is>
          <t>UPPSALA LÄN</t>
        </is>
      </c>
      <c r="E418" t="inlineStr">
        <is>
          <t>UPPSALA</t>
        </is>
      </c>
      <c r="G418" t="n">
        <v>1</v>
      </c>
      <c r="H418" t="n">
        <v>0</v>
      </c>
      <c r="I418" t="n">
        <v>0</v>
      </c>
      <c r="J418" t="n">
        <v>0</v>
      </c>
      <c r="K418" t="n">
        <v>0</v>
      </c>
      <c r="L418" t="n">
        <v>0</v>
      </c>
      <c r="M418" t="n">
        <v>0</v>
      </c>
      <c r="N418" t="n">
        <v>0</v>
      </c>
      <c r="O418" t="n">
        <v>0</v>
      </c>
      <c r="P418" t="n">
        <v>0</v>
      </c>
      <c r="Q418" t="n">
        <v>0</v>
      </c>
      <c r="R418" s="2" t="inlineStr"/>
    </row>
    <row r="419" ht="15" customHeight="1">
      <c r="A419" t="inlineStr">
        <is>
          <t>A 43893-2025</t>
        </is>
      </c>
      <c r="B419" s="1" t="n">
        <v>45912.7097337963</v>
      </c>
      <c r="C419" s="1" t="n">
        <v>46033</v>
      </c>
      <c r="D419" t="inlineStr">
        <is>
          <t>UPPSALA LÄN</t>
        </is>
      </c>
      <c r="E419" t="inlineStr">
        <is>
          <t>UPPSALA</t>
        </is>
      </c>
      <c r="F419" t="inlineStr">
        <is>
          <t>Kyrkan</t>
        </is>
      </c>
      <c r="G419" t="n">
        <v>5.7</v>
      </c>
      <c r="H419" t="n">
        <v>0</v>
      </c>
      <c r="I419" t="n">
        <v>0</v>
      </c>
      <c r="J419" t="n">
        <v>0</v>
      </c>
      <c r="K419" t="n">
        <v>0</v>
      </c>
      <c r="L419" t="n">
        <v>0</v>
      </c>
      <c r="M419" t="n">
        <v>0</v>
      </c>
      <c r="N419" t="n">
        <v>0</v>
      </c>
      <c r="O419" t="n">
        <v>0</v>
      </c>
      <c r="P419" t="n">
        <v>0</v>
      </c>
      <c r="Q419" t="n">
        <v>0</v>
      </c>
      <c r="R419" s="2" t="inlineStr"/>
    </row>
    <row r="420" ht="15" customHeight="1">
      <c r="A420" t="inlineStr">
        <is>
          <t>A 10489-2025</t>
        </is>
      </c>
      <c r="B420" s="1" t="n">
        <v>45721.34715277778</v>
      </c>
      <c r="C420" s="1" t="n">
        <v>46033</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27917-2025</t>
        </is>
      </c>
      <c r="B421" s="1" t="n">
        <v>45814</v>
      </c>
      <c r="C421" s="1" t="n">
        <v>46033</v>
      </c>
      <c r="D421" t="inlineStr">
        <is>
          <t>UPPSALA LÄN</t>
        </is>
      </c>
      <c r="E421" t="inlineStr">
        <is>
          <t>UPPSALA</t>
        </is>
      </c>
      <c r="G421" t="n">
        <v>4</v>
      </c>
      <c r="H421" t="n">
        <v>0</v>
      </c>
      <c r="I421" t="n">
        <v>0</v>
      </c>
      <c r="J421" t="n">
        <v>0</v>
      </c>
      <c r="K421" t="n">
        <v>0</v>
      </c>
      <c r="L421" t="n">
        <v>0</v>
      </c>
      <c r="M421" t="n">
        <v>0</v>
      </c>
      <c r="N421" t="n">
        <v>0</v>
      </c>
      <c r="O421" t="n">
        <v>0</v>
      </c>
      <c r="P421" t="n">
        <v>0</v>
      </c>
      <c r="Q421" t="n">
        <v>0</v>
      </c>
      <c r="R421" s="2" t="inlineStr"/>
    </row>
    <row r="422" ht="15" customHeight="1">
      <c r="A422" t="inlineStr">
        <is>
          <t>A 44226-2025</t>
        </is>
      </c>
      <c r="B422" s="1" t="n">
        <v>45915.64064814815</v>
      </c>
      <c r="C422" s="1" t="n">
        <v>46033</v>
      </c>
      <c r="D422" t="inlineStr">
        <is>
          <t>UPPSALA LÄN</t>
        </is>
      </c>
      <c r="E422" t="inlineStr">
        <is>
          <t>UPPSALA</t>
        </is>
      </c>
      <c r="F422" t="inlineStr">
        <is>
          <t>Kyrkan</t>
        </is>
      </c>
      <c r="G422" t="n">
        <v>2.5</v>
      </c>
      <c r="H422" t="n">
        <v>0</v>
      </c>
      <c r="I422" t="n">
        <v>0</v>
      </c>
      <c r="J422" t="n">
        <v>0</v>
      </c>
      <c r="K422" t="n">
        <v>0</v>
      </c>
      <c r="L422" t="n">
        <v>0</v>
      </c>
      <c r="M422" t="n">
        <v>0</v>
      </c>
      <c r="N422" t="n">
        <v>0</v>
      </c>
      <c r="O422" t="n">
        <v>0</v>
      </c>
      <c r="P422" t="n">
        <v>0</v>
      </c>
      <c r="Q422" t="n">
        <v>0</v>
      </c>
      <c r="R422" s="2" t="inlineStr"/>
    </row>
    <row r="423" ht="15" customHeight="1">
      <c r="A423" t="inlineStr">
        <is>
          <t>A 43903-2025</t>
        </is>
      </c>
      <c r="B423" s="1" t="n">
        <v>45913.39467592593</v>
      </c>
      <c r="C423" s="1" t="n">
        <v>46033</v>
      </c>
      <c r="D423" t="inlineStr">
        <is>
          <t>UPPSALA LÄN</t>
        </is>
      </c>
      <c r="E423" t="inlineStr">
        <is>
          <t>UPPSALA</t>
        </is>
      </c>
      <c r="F423" t="inlineStr">
        <is>
          <t>Bergvik skog öst AB</t>
        </is>
      </c>
      <c r="G423" t="n">
        <v>3.5</v>
      </c>
      <c r="H423" t="n">
        <v>0</v>
      </c>
      <c r="I423" t="n">
        <v>0</v>
      </c>
      <c r="J423" t="n">
        <v>0</v>
      </c>
      <c r="K423" t="n">
        <v>0</v>
      </c>
      <c r="L423" t="n">
        <v>0</v>
      </c>
      <c r="M423" t="n">
        <v>0</v>
      </c>
      <c r="N423" t="n">
        <v>0</v>
      </c>
      <c r="O423" t="n">
        <v>0</v>
      </c>
      <c r="P423" t="n">
        <v>0</v>
      </c>
      <c r="Q423" t="n">
        <v>0</v>
      </c>
      <c r="R423" s="2" t="inlineStr"/>
    </row>
    <row r="424" ht="15" customHeight="1">
      <c r="A424" t="inlineStr">
        <is>
          <t>A 28121-2025</t>
        </is>
      </c>
      <c r="B424" s="1" t="n">
        <v>45817</v>
      </c>
      <c r="C424" s="1" t="n">
        <v>46033</v>
      </c>
      <c r="D424" t="inlineStr">
        <is>
          <t>UPPSALA LÄN</t>
        </is>
      </c>
      <c r="E424" t="inlineStr">
        <is>
          <t>UPPSALA</t>
        </is>
      </c>
      <c r="G424" t="n">
        <v>5.6</v>
      </c>
      <c r="H424" t="n">
        <v>0</v>
      </c>
      <c r="I424" t="n">
        <v>0</v>
      </c>
      <c r="J424" t="n">
        <v>0</v>
      </c>
      <c r="K424" t="n">
        <v>0</v>
      </c>
      <c r="L424" t="n">
        <v>0</v>
      </c>
      <c r="M424" t="n">
        <v>0</v>
      </c>
      <c r="N424" t="n">
        <v>0</v>
      </c>
      <c r="O424" t="n">
        <v>0</v>
      </c>
      <c r="P424" t="n">
        <v>0</v>
      </c>
      <c r="Q424" t="n">
        <v>0</v>
      </c>
      <c r="R424" s="2" t="inlineStr"/>
    </row>
    <row r="425" ht="15" customHeight="1">
      <c r="A425" t="inlineStr">
        <is>
          <t>A 52267-2025</t>
        </is>
      </c>
      <c r="B425" s="1" t="n">
        <v>45953.53460648148</v>
      </c>
      <c r="C425" s="1" t="n">
        <v>46033</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3353-2023</t>
        </is>
      </c>
      <c r="B426" s="1" t="n">
        <v>44949.4708912037</v>
      </c>
      <c r="C426" s="1" t="n">
        <v>46033</v>
      </c>
      <c r="D426" t="inlineStr">
        <is>
          <t>UPPSALA LÄN</t>
        </is>
      </c>
      <c r="E426" t="inlineStr">
        <is>
          <t>UPPSALA</t>
        </is>
      </c>
      <c r="G426" t="n">
        <v>3</v>
      </c>
      <c r="H426" t="n">
        <v>0</v>
      </c>
      <c r="I426" t="n">
        <v>0</v>
      </c>
      <c r="J426" t="n">
        <v>0</v>
      </c>
      <c r="K426" t="n">
        <v>0</v>
      </c>
      <c r="L426" t="n">
        <v>0</v>
      </c>
      <c r="M426" t="n">
        <v>0</v>
      </c>
      <c r="N426" t="n">
        <v>0</v>
      </c>
      <c r="O426" t="n">
        <v>0</v>
      </c>
      <c r="P426" t="n">
        <v>0</v>
      </c>
      <c r="Q426" t="n">
        <v>0</v>
      </c>
      <c r="R426" s="2" t="inlineStr"/>
    </row>
    <row r="427" ht="15" customHeight="1">
      <c r="A427" t="inlineStr">
        <is>
          <t>A 28275-2025</t>
        </is>
      </c>
      <c r="B427" s="1" t="n">
        <v>45818.57910879629</v>
      </c>
      <c r="C427" s="1" t="n">
        <v>46033</v>
      </c>
      <c r="D427" t="inlineStr">
        <is>
          <t>UPPSALA LÄN</t>
        </is>
      </c>
      <c r="E427" t="inlineStr">
        <is>
          <t>UPPSALA</t>
        </is>
      </c>
      <c r="F427" t="inlineStr">
        <is>
          <t>Holmen skog AB</t>
        </is>
      </c>
      <c r="G427" t="n">
        <v>6.5</v>
      </c>
      <c r="H427" t="n">
        <v>0</v>
      </c>
      <c r="I427" t="n">
        <v>0</v>
      </c>
      <c r="J427" t="n">
        <v>0</v>
      </c>
      <c r="K427" t="n">
        <v>0</v>
      </c>
      <c r="L427" t="n">
        <v>0</v>
      </c>
      <c r="M427" t="n">
        <v>0</v>
      </c>
      <c r="N427" t="n">
        <v>0</v>
      </c>
      <c r="O427" t="n">
        <v>0</v>
      </c>
      <c r="P427" t="n">
        <v>0</v>
      </c>
      <c r="Q427" t="n">
        <v>0</v>
      </c>
      <c r="R427" s="2" t="inlineStr"/>
    </row>
    <row r="428" ht="15" customHeight="1">
      <c r="A428" t="inlineStr">
        <is>
          <t>A 44385-2025</t>
        </is>
      </c>
      <c r="B428" s="1" t="n">
        <v>45916.48704861111</v>
      </c>
      <c r="C428" s="1" t="n">
        <v>46033</v>
      </c>
      <c r="D428" t="inlineStr">
        <is>
          <t>UPPSALA LÄN</t>
        </is>
      </c>
      <c r="E428" t="inlineStr">
        <is>
          <t>UPPSALA</t>
        </is>
      </c>
      <c r="F428" t="inlineStr">
        <is>
          <t>Bergvik skog öst AB</t>
        </is>
      </c>
      <c r="G428" t="n">
        <v>6.8</v>
      </c>
      <c r="H428" t="n">
        <v>0</v>
      </c>
      <c r="I428" t="n">
        <v>0</v>
      </c>
      <c r="J428" t="n">
        <v>0</v>
      </c>
      <c r="K428" t="n">
        <v>0</v>
      </c>
      <c r="L428" t="n">
        <v>0</v>
      </c>
      <c r="M428" t="n">
        <v>0</v>
      </c>
      <c r="N428" t="n">
        <v>0</v>
      </c>
      <c r="O428" t="n">
        <v>0</v>
      </c>
      <c r="P428" t="n">
        <v>0</v>
      </c>
      <c r="Q428" t="n">
        <v>0</v>
      </c>
      <c r="R428" s="2" t="inlineStr"/>
    </row>
    <row r="429" ht="15" customHeight="1">
      <c r="A429" t="inlineStr">
        <is>
          <t>A 27922-2025</t>
        </is>
      </c>
      <c r="B429" s="1" t="n">
        <v>45817</v>
      </c>
      <c r="C429" s="1" t="n">
        <v>46033</v>
      </c>
      <c r="D429" t="inlineStr">
        <is>
          <t>UPPSALA LÄN</t>
        </is>
      </c>
      <c r="E429" t="inlineStr">
        <is>
          <t>UPPSALA</t>
        </is>
      </c>
      <c r="F429" t="inlineStr">
        <is>
          <t>Övriga Aktiebolag</t>
        </is>
      </c>
      <c r="G429" t="n">
        <v>0.1</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46033</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44470-2025</t>
        </is>
      </c>
      <c r="B431" s="1" t="n">
        <v>45916</v>
      </c>
      <c r="C431" s="1" t="n">
        <v>46033</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36123-2023</t>
        </is>
      </c>
      <c r="B432" s="1" t="n">
        <v>45149.56928240741</v>
      </c>
      <c r="C432" s="1" t="n">
        <v>46033</v>
      </c>
      <c r="D432" t="inlineStr">
        <is>
          <t>UPPSALA LÄN</t>
        </is>
      </c>
      <c r="E432" t="inlineStr">
        <is>
          <t>UPPSALA</t>
        </is>
      </c>
      <c r="F432" t="inlineStr">
        <is>
          <t>Allmännings- och besparingsskogar</t>
        </is>
      </c>
      <c r="G432" t="n">
        <v>4.2</v>
      </c>
      <c r="H432" t="n">
        <v>0</v>
      </c>
      <c r="I432" t="n">
        <v>0</v>
      </c>
      <c r="J432" t="n">
        <v>0</v>
      </c>
      <c r="K432" t="n">
        <v>0</v>
      </c>
      <c r="L432" t="n">
        <v>0</v>
      </c>
      <c r="M432" t="n">
        <v>0</v>
      </c>
      <c r="N432" t="n">
        <v>0</v>
      </c>
      <c r="O432" t="n">
        <v>0</v>
      </c>
      <c r="P432" t="n">
        <v>0</v>
      </c>
      <c r="Q432" t="n">
        <v>0</v>
      </c>
      <c r="R432" s="2" t="inlineStr"/>
    </row>
    <row r="433" ht="15" customHeight="1">
      <c r="A433" t="inlineStr">
        <is>
          <t>A 28876-2025</t>
        </is>
      </c>
      <c r="B433" s="1" t="n">
        <v>45820</v>
      </c>
      <c r="C433" s="1" t="n">
        <v>46033</v>
      </c>
      <c r="D433" t="inlineStr">
        <is>
          <t>UPPSALA LÄN</t>
        </is>
      </c>
      <c r="E433" t="inlineStr">
        <is>
          <t>UPPSALA</t>
        </is>
      </c>
      <c r="G433" t="n">
        <v>4</v>
      </c>
      <c r="H433" t="n">
        <v>0</v>
      </c>
      <c r="I433" t="n">
        <v>0</v>
      </c>
      <c r="J433" t="n">
        <v>0</v>
      </c>
      <c r="K433" t="n">
        <v>0</v>
      </c>
      <c r="L433" t="n">
        <v>0</v>
      </c>
      <c r="M433" t="n">
        <v>0</v>
      </c>
      <c r="N433" t="n">
        <v>0</v>
      </c>
      <c r="O433" t="n">
        <v>0</v>
      </c>
      <c r="P433" t="n">
        <v>0</v>
      </c>
      <c r="Q433" t="n">
        <v>0</v>
      </c>
      <c r="R433" s="2" t="inlineStr"/>
    </row>
    <row r="434" ht="15" customHeight="1">
      <c r="A434" t="inlineStr">
        <is>
          <t>A 37162-2021</t>
        </is>
      </c>
      <c r="B434" s="1" t="n">
        <v>44395</v>
      </c>
      <c r="C434" s="1" t="n">
        <v>46033</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28871-2025</t>
        </is>
      </c>
      <c r="B435" s="1" t="n">
        <v>45820</v>
      </c>
      <c r="C435" s="1" t="n">
        <v>46033</v>
      </c>
      <c r="D435" t="inlineStr">
        <is>
          <t>UPPSALA LÄN</t>
        </is>
      </c>
      <c r="E435" t="inlineStr">
        <is>
          <t>UPPSALA</t>
        </is>
      </c>
      <c r="G435" t="n">
        <v>6.5</v>
      </c>
      <c r="H435" t="n">
        <v>0</v>
      </c>
      <c r="I435" t="n">
        <v>0</v>
      </c>
      <c r="J435" t="n">
        <v>0</v>
      </c>
      <c r="K435" t="n">
        <v>0</v>
      </c>
      <c r="L435" t="n">
        <v>0</v>
      </c>
      <c r="M435" t="n">
        <v>0</v>
      </c>
      <c r="N435" t="n">
        <v>0</v>
      </c>
      <c r="O435" t="n">
        <v>0</v>
      </c>
      <c r="P435" t="n">
        <v>0</v>
      </c>
      <c r="Q435" t="n">
        <v>0</v>
      </c>
      <c r="R435" s="2" t="inlineStr"/>
    </row>
    <row r="436" ht="15" customHeight="1">
      <c r="A436" t="inlineStr">
        <is>
          <t>A 28878-2025</t>
        </is>
      </c>
      <c r="B436" s="1" t="n">
        <v>45820</v>
      </c>
      <c r="C436" s="1" t="n">
        <v>46033</v>
      </c>
      <c r="D436" t="inlineStr">
        <is>
          <t>UPPSALA LÄN</t>
        </is>
      </c>
      <c r="E436" t="inlineStr">
        <is>
          <t>UPPSALA</t>
        </is>
      </c>
      <c r="G436" t="n">
        <v>5.5</v>
      </c>
      <c r="H436" t="n">
        <v>0</v>
      </c>
      <c r="I436" t="n">
        <v>0</v>
      </c>
      <c r="J436" t="n">
        <v>0</v>
      </c>
      <c r="K436" t="n">
        <v>0</v>
      </c>
      <c r="L436" t="n">
        <v>0</v>
      </c>
      <c r="M436" t="n">
        <v>0</v>
      </c>
      <c r="N436" t="n">
        <v>0</v>
      </c>
      <c r="O436" t="n">
        <v>0</v>
      </c>
      <c r="P436" t="n">
        <v>0</v>
      </c>
      <c r="Q436" t="n">
        <v>0</v>
      </c>
      <c r="R436" s="2" t="inlineStr"/>
    </row>
    <row r="437" ht="15" customHeight="1">
      <c r="A437" t="inlineStr">
        <is>
          <t>A 73326-2021</t>
        </is>
      </c>
      <c r="B437" s="1" t="n">
        <v>44548</v>
      </c>
      <c r="C437" s="1" t="n">
        <v>46033</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29030-2025</t>
        </is>
      </c>
      <c r="B438" s="1" t="n">
        <v>45821.44101851852</v>
      </c>
      <c r="C438" s="1" t="n">
        <v>46033</v>
      </c>
      <c r="D438" t="inlineStr">
        <is>
          <t>UPPSALA LÄN</t>
        </is>
      </c>
      <c r="E438" t="inlineStr">
        <is>
          <t>UPPSALA</t>
        </is>
      </c>
      <c r="G438" t="n">
        <v>3.9</v>
      </c>
      <c r="H438" t="n">
        <v>0</v>
      </c>
      <c r="I438" t="n">
        <v>0</v>
      </c>
      <c r="J438" t="n">
        <v>0</v>
      </c>
      <c r="K438" t="n">
        <v>0</v>
      </c>
      <c r="L438" t="n">
        <v>0</v>
      </c>
      <c r="M438" t="n">
        <v>0</v>
      </c>
      <c r="N438" t="n">
        <v>0</v>
      </c>
      <c r="O438" t="n">
        <v>0</v>
      </c>
      <c r="P438" t="n">
        <v>0</v>
      </c>
      <c r="Q438" t="n">
        <v>0</v>
      </c>
      <c r="R438" s="2" t="inlineStr"/>
    </row>
    <row r="439" ht="15" customHeight="1">
      <c r="A439" t="inlineStr">
        <is>
          <t>A 44813-2025</t>
        </is>
      </c>
      <c r="B439" s="1" t="n">
        <v>45918.37322916667</v>
      </c>
      <c r="C439" s="1" t="n">
        <v>46033</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5309-2022</t>
        </is>
      </c>
      <c r="B440" s="1" t="n">
        <v>44594</v>
      </c>
      <c r="C440" s="1" t="n">
        <v>46033</v>
      </c>
      <c r="D440" t="inlineStr">
        <is>
          <t>UPPSALA LÄN</t>
        </is>
      </c>
      <c r="E440" t="inlineStr">
        <is>
          <t>UPPSALA</t>
        </is>
      </c>
      <c r="G440" t="n">
        <v>4.8</v>
      </c>
      <c r="H440" t="n">
        <v>0</v>
      </c>
      <c r="I440" t="n">
        <v>0</v>
      </c>
      <c r="J440" t="n">
        <v>0</v>
      </c>
      <c r="K440" t="n">
        <v>0</v>
      </c>
      <c r="L440" t="n">
        <v>0</v>
      </c>
      <c r="M440" t="n">
        <v>0</v>
      </c>
      <c r="N440" t="n">
        <v>0</v>
      </c>
      <c r="O440" t="n">
        <v>0</v>
      </c>
      <c r="P440" t="n">
        <v>0</v>
      </c>
      <c r="Q440" t="n">
        <v>0</v>
      </c>
      <c r="R440" s="2" t="inlineStr"/>
    </row>
    <row r="441" ht="15" customHeight="1">
      <c r="A441" t="inlineStr">
        <is>
          <t>A 24012-2023</t>
        </is>
      </c>
      <c r="B441" s="1" t="n">
        <v>45078</v>
      </c>
      <c r="C441" s="1" t="n">
        <v>46033</v>
      </c>
      <c r="D441" t="inlineStr">
        <is>
          <t>UPPSALA LÄN</t>
        </is>
      </c>
      <c r="E441" t="inlineStr">
        <is>
          <t>UPPSALA</t>
        </is>
      </c>
      <c r="F441" t="inlineStr">
        <is>
          <t>Kyrkan</t>
        </is>
      </c>
      <c r="G441" t="n">
        <v>1.6</v>
      </c>
      <c r="H441" t="n">
        <v>0</v>
      </c>
      <c r="I441" t="n">
        <v>0</v>
      </c>
      <c r="J441" t="n">
        <v>0</v>
      </c>
      <c r="K441" t="n">
        <v>0</v>
      </c>
      <c r="L441" t="n">
        <v>0</v>
      </c>
      <c r="M441" t="n">
        <v>0</v>
      </c>
      <c r="N441" t="n">
        <v>0</v>
      </c>
      <c r="O441" t="n">
        <v>0</v>
      </c>
      <c r="P441" t="n">
        <v>0</v>
      </c>
      <c r="Q441" t="n">
        <v>0</v>
      </c>
      <c r="R441" s="2" t="inlineStr"/>
    </row>
    <row r="442" ht="15" customHeight="1">
      <c r="A442" t="inlineStr">
        <is>
          <t>A 10612-2025</t>
        </is>
      </c>
      <c r="B442" s="1" t="n">
        <v>45721.60894675926</v>
      </c>
      <c r="C442" s="1" t="n">
        <v>46033</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45519-2025</t>
        </is>
      </c>
      <c r="B443" s="1" t="n">
        <v>45922</v>
      </c>
      <c r="C443" s="1" t="n">
        <v>46033</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45588-2025</t>
        </is>
      </c>
      <c r="B444" s="1" t="n">
        <v>45922</v>
      </c>
      <c r="C444" s="1" t="n">
        <v>46033</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29287-2025</t>
        </is>
      </c>
      <c r="B445" s="1" t="n">
        <v>45824.43798611111</v>
      </c>
      <c r="C445" s="1" t="n">
        <v>46033</v>
      </c>
      <c r="D445" t="inlineStr">
        <is>
          <t>UPPSALA LÄN</t>
        </is>
      </c>
      <c r="E445" t="inlineStr">
        <is>
          <t>UPPSALA</t>
        </is>
      </c>
      <c r="F445" t="inlineStr">
        <is>
          <t>Kyrkan</t>
        </is>
      </c>
      <c r="G445" t="n">
        <v>5.2</v>
      </c>
      <c r="H445" t="n">
        <v>0</v>
      </c>
      <c r="I445" t="n">
        <v>0</v>
      </c>
      <c r="J445" t="n">
        <v>0</v>
      </c>
      <c r="K445" t="n">
        <v>0</v>
      </c>
      <c r="L445" t="n">
        <v>0</v>
      </c>
      <c r="M445" t="n">
        <v>0</v>
      </c>
      <c r="N445" t="n">
        <v>0</v>
      </c>
      <c r="O445" t="n">
        <v>0</v>
      </c>
      <c r="P445" t="n">
        <v>0</v>
      </c>
      <c r="Q445" t="n">
        <v>0</v>
      </c>
      <c r="R445" s="2" t="inlineStr"/>
    </row>
    <row r="446" ht="15" customHeight="1">
      <c r="A446" t="inlineStr">
        <is>
          <t>A 45904-2025</t>
        </is>
      </c>
      <c r="B446" s="1" t="n">
        <v>45923.70230324074</v>
      </c>
      <c r="C446" s="1" t="n">
        <v>46033</v>
      </c>
      <c r="D446" t="inlineStr">
        <is>
          <t>UPPSALA LÄN</t>
        </is>
      </c>
      <c r="E446" t="inlineStr">
        <is>
          <t>UPPSALA</t>
        </is>
      </c>
      <c r="F446" t="inlineStr">
        <is>
          <t>Kyrkan</t>
        </is>
      </c>
      <c r="G446" t="n">
        <v>1.4</v>
      </c>
      <c r="H446" t="n">
        <v>0</v>
      </c>
      <c r="I446" t="n">
        <v>0</v>
      </c>
      <c r="J446" t="n">
        <v>0</v>
      </c>
      <c r="K446" t="n">
        <v>0</v>
      </c>
      <c r="L446" t="n">
        <v>0</v>
      </c>
      <c r="M446" t="n">
        <v>0</v>
      </c>
      <c r="N446" t="n">
        <v>0</v>
      </c>
      <c r="O446" t="n">
        <v>0</v>
      </c>
      <c r="P446" t="n">
        <v>0</v>
      </c>
      <c r="Q446" t="n">
        <v>0</v>
      </c>
      <c r="R446" s="2" t="inlineStr"/>
    </row>
    <row r="447" ht="15" customHeight="1">
      <c r="A447" t="inlineStr">
        <is>
          <t>A 29627-2025</t>
        </is>
      </c>
      <c r="B447" s="1" t="n">
        <v>45825.44482638889</v>
      </c>
      <c r="C447" s="1" t="n">
        <v>46033</v>
      </c>
      <c r="D447" t="inlineStr">
        <is>
          <t>UPPSALA LÄN</t>
        </is>
      </c>
      <c r="E447" t="inlineStr">
        <is>
          <t>UPPSALA</t>
        </is>
      </c>
      <c r="F447" t="inlineStr">
        <is>
          <t>Kommuner</t>
        </is>
      </c>
      <c r="G447" t="n">
        <v>1.6</v>
      </c>
      <c r="H447" t="n">
        <v>0</v>
      </c>
      <c r="I447" t="n">
        <v>0</v>
      </c>
      <c r="J447" t="n">
        <v>0</v>
      </c>
      <c r="K447" t="n">
        <v>0</v>
      </c>
      <c r="L447" t="n">
        <v>0</v>
      </c>
      <c r="M447" t="n">
        <v>0</v>
      </c>
      <c r="N447" t="n">
        <v>0</v>
      </c>
      <c r="O447" t="n">
        <v>0</v>
      </c>
      <c r="P447" t="n">
        <v>0</v>
      </c>
      <c r="Q447" t="n">
        <v>0</v>
      </c>
      <c r="R447" s="2" t="inlineStr"/>
    </row>
    <row r="448" ht="15" customHeight="1">
      <c r="A448" t="inlineStr">
        <is>
          <t>A 29047-2025</t>
        </is>
      </c>
      <c r="B448" s="1" t="n">
        <v>45821.45905092593</v>
      </c>
      <c r="C448" s="1" t="n">
        <v>46033</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40503-2024</t>
        </is>
      </c>
      <c r="B449" s="1" t="n">
        <v>45555.5727662037</v>
      </c>
      <c r="C449" s="1" t="n">
        <v>46033</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45436-2025</t>
        </is>
      </c>
      <c r="B450" s="1" t="n">
        <v>45922.46763888889</v>
      </c>
      <c r="C450" s="1" t="n">
        <v>46033</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45405-2025</t>
        </is>
      </c>
      <c r="B451" s="1" t="n">
        <v>45922.42865740741</v>
      </c>
      <c r="C451" s="1" t="n">
        <v>46033</v>
      </c>
      <c r="D451" t="inlineStr">
        <is>
          <t>UPPSALA LÄN</t>
        </is>
      </c>
      <c r="E451" t="inlineStr">
        <is>
          <t>UPPSALA</t>
        </is>
      </c>
      <c r="G451" t="n">
        <v>1.6</v>
      </c>
      <c r="H451" t="n">
        <v>0</v>
      </c>
      <c r="I451" t="n">
        <v>0</v>
      </c>
      <c r="J451" t="n">
        <v>0</v>
      </c>
      <c r="K451" t="n">
        <v>0</v>
      </c>
      <c r="L451" t="n">
        <v>0</v>
      </c>
      <c r="M451" t="n">
        <v>0</v>
      </c>
      <c r="N451" t="n">
        <v>0</v>
      </c>
      <c r="O451" t="n">
        <v>0</v>
      </c>
      <c r="P451" t="n">
        <v>0</v>
      </c>
      <c r="Q451" t="n">
        <v>0</v>
      </c>
      <c r="R451" s="2" t="inlineStr"/>
    </row>
    <row r="452" ht="15" customHeight="1">
      <c r="A452" t="inlineStr">
        <is>
          <t>A 45903-2025</t>
        </is>
      </c>
      <c r="B452" s="1" t="n">
        <v>45923.70146990741</v>
      </c>
      <c r="C452" s="1" t="n">
        <v>46033</v>
      </c>
      <c r="D452" t="inlineStr">
        <is>
          <t>UPPSALA LÄN</t>
        </is>
      </c>
      <c r="E452" t="inlineStr">
        <is>
          <t>UPPSALA</t>
        </is>
      </c>
      <c r="F452" t="inlineStr">
        <is>
          <t>Kyrkan</t>
        </is>
      </c>
      <c r="G452" t="n">
        <v>1.4</v>
      </c>
      <c r="H452" t="n">
        <v>0</v>
      </c>
      <c r="I452" t="n">
        <v>0</v>
      </c>
      <c r="J452" t="n">
        <v>0</v>
      </c>
      <c r="K452" t="n">
        <v>0</v>
      </c>
      <c r="L452" t="n">
        <v>0</v>
      </c>
      <c r="M452" t="n">
        <v>0</v>
      </c>
      <c r="N452" t="n">
        <v>0</v>
      </c>
      <c r="O452" t="n">
        <v>0</v>
      </c>
      <c r="P452" t="n">
        <v>0</v>
      </c>
      <c r="Q452" t="n">
        <v>0</v>
      </c>
      <c r="R452" s="2" t="inlineStr"/>
    </row>
    <row r="453" ht="15" customHeight="1">
      <c r="A453" t="inlineStr">
        <is>
          <t>A 43818-2023</t>
        </is>
      </c>
      <c r="B453" s="1" t="n">
        <v>45182</v>
      </c>
      <c r="C453" s="1" t="n">
        <v>46033</v>
      </c>
      <c r="D453" t="inlineStr">
        <is>
          <t>UPPSALA LÄN</t>
        </is>
      </c>
      <c r="E453" t="inlineStr">
        <is>
          <t>UPPSALA</t>
        </is>
      </c>
      <c r="G453" t="n">
        <v>10.8</v>
      </c>
      <c r="H453" t="n">
        <v>0</v>
      </c>
      <c r="I453" t="n">
        <v>0</v>
      </c>
      <c r="J453" t="n">
        <v>0</v>
      </c>
      <c r="K453" t="n">
        <v>0</v>
      </c>
      <c r="L453" t="n">
        <v>0</v>
      </c>
      <c r="M453" t="n">
        <v>0</v>
      </c>
      <c r="N453" t="n">
        <v>0</v>
      </c>
      <c r="O453" t="n">
        <v>0</v>
      </c>
      <c r="P453" t="n">
        <v>0</v>
      </c>
      <c r="Q453" t="n">
        <v>0</v>
      </c>
      <c r="R453" s="2" t="inlineStr"/>
    </row>
    <row r="454" ht="15" customHeight="1">
      <c r="A454" t="inlineStr">
        <is>
          <t>A 45447-2025</t>
        </is>
      </c>
      <c r="B454" s="1" t="n">
        <v>45922.48148148148</v>
      </c>
      <c r="C454" s="1" t="n">
        <v>46033</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c r="U454">
        <f>HYPERLINK("https://klasma.github.io/Logging_0380/knärot/A 45447-2025 karta knärot.png", "A 45447-2025")</f>
        <v/>
      </c>
      <c r="V454">
        <f>HYPERLINK("https://klasma.github.io/Logging_0380/klagomål/A 45447-2025 FSC-klagomål.docx", "A 45447-2025")</f>
        <v/>
      </c>
      <c r="W454">
        <f>HYPERLINK("https://klasma.github.io/Logging_0380/klagomålsmail/A 45447-2025 FSC-klagomål mail.docx", "A 45447-2025")</f>
        <v/>
      </c>
      <c r="X454">
        <f>HYPERLINK("https://klasma.github.io/Logging_0380/tillsyn/A 45447-2025 tillsynsbegäran.docx", "A 45447-2025")</f>
        <v/>
      </c>
      <c r="Y454">
        <f>HYPERLINK("https://klasma.github.io/Logging_0380/tillsynsmail/A 45447-2025 tillsynsbegäran mail.docx", "A 45447-2025")</f>
        <v/>
      </c>
    </row>
    <row r="455" ht="15" customHeight="1">
      <c r="A455" t="inlineStr">
        <is>
          <t>A 30437-2025</t>
        </is>
      </c>
      <c r="B455" s="1" t="n">
        <v>45827.64092592592</v>
      </c>
      <c r="C455" s="1" t="n">
        <v>46033</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60512-2025</t>
        </is>
      </c>
      <c r="B456" s="1" t="n">
        <v>45995.63483796296</v>
      </c>
      <c r="C456" s="1" t="n">
        <v>46033</v>
      </c>
      <c r="D456" t="inlineStr">
        <is>
          <t>UPPSALA LÄN</t>
        </is>
      </c>
      <c r="E456" t="inlineStr">
        <is>
          <t>UPPSALA</t>
        </is>
      </c>
      <c r="G456" t="n">
        <v>2.6</v>
      </c>
      <c r="H456" t="n">
        <v>0</v>
      </c>
      <c r="I456" t="n">
        <v>0</v>
      </c>
      <c r="J456" t="n">
        <v>0</v>
      </c>
      <c r="K456" t="n">
        <v>0</v>
      </c>
      <c r="L456" t="n">
        <v>0</v>
      </c>
      <c r="M456" t="n">
        <v>0</v>
      </c>
      <c r="N456" t="n">
        <v>0</v>
      </c>
      <c r="O456" t="n">
        <v>0</v>
      </c>
      <c r="P456" t="n">
        <v>0</v>
      </c>
      <c r="Q456" t="n">
        <v>0</v>
      </c>
      <c r="R456" s="2" t="inlineStr"/>
    </row>
    <row r="457" ht="15" customHeight="1">
      <c r="A457" t="inlineStr">
        <is>
          <t>A 30282-2025</t>
        </is>
      </c>
      <c r="B457" s="1" t="n">
        <v>45827.46288194445</v>
      </c>
      <c r="C457" s="1" t="n">
        <v>46033</v>
      </c>
      <c r="D457" t="inlineStr">
        <is>
          <t>UPPSALA LÄN</t>
        </is>
      </c>
      <c r="E457" t="inlineStr">
        <is>
          <t>UPPSALA</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46033</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9206-2022</t>
        </is>
      </c>
      <c r="B459" s="1" t="n">
        <v>44616</v>
      </c>
      <c r="C459" s="1" t="n">
        <v>46033</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9981-2025</t>
        </is>
      </c>
      <c r="B460" s="1" t="n">
        <v>45719.40723379629</v>
      </c>
      <c r="C460" s="1" t="n">
        <v>46033</v>
      </c>
      <c r="D460" t="inlineStr">
        <is>
          <t>UPPSALA LÄN</t>
        </is>
      </c>
      <c r="E460" t="inlineStr">
        <is>
          <t>UPPSALA</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60698-2024</t>
        </is>
      </c>
      <c r="B461" s="1" t="n">
        <v>45644</v>
      </c>
      <c r="C461" s="1" t="n">
        <v>46033</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60735-2024</t>
        </is>
      </c>
      <c r="B462" s="1" t="n">
        <v>45644</v>
      </c>
      <c r="C462" s="1" t="n">
        <v>46033</v>
      </c>
      <c r="D462" t="inlineStr">
        <is>
          <t>UPPSALA LÄN</t>
        </is>
      </c>
      <c r="E462" t="inlineStr">
        <is>
          <t>UPPSALA</t>
        </is>
      </c>
      <c r="G462" t="n">
        <v>1.4</v>
      </c>
      <c r="H462" t="n">
        <v>0</v>
      </c>
      <c r="I462" t="n">
        <v>0</v>
      </c>
      <c r="J462" t="n">
        <v>0</v>
      </c>
      <c r="K462" t="n">
        <v>0</v>
      </c>
      <c r="L462" t="n">
        <v>0</v>
      </c>
      <c r="M462" t="n">
        <v>0</v>
      </c>
      <c r="N462" t="n">
        <v>0</v>
      </c>
      <c r="O462" t="n">
        <v>0</v>
      </c>
      <c r="P462" t="n">
        <v>0</v>
      </c>
      <c r="Q462" t="n">
        <v>0</v>
      </c>
      <c r="R462" s="2" t="inlineStr"/>
    </row>
    <row r="463" ht="15" customHeight="1">
      <c r="A463" t="inlineStr">
        <is>
          <t>A 30429-2025</t>
        </is>
      </c>
      <c r="B463" s="1" t="n">
        <v>45827.62096064815</v>
      </c>
      <c r="C463" s="1" t="n">
        <v>46033</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61463-2024</t>
        </is>
      </c>
      <c r="B464" s="1" t="n">
        <v>45646.50211805556</v>
      </c>
      <c r="C464" s="1" t="n">
        <v>46033</v>
      </c>
      <c r="D464" t="inlineStr">
        <is>
          <t>UPPSALA LÄN</t>
        </is>
      </c>
      <c r="E464" t="inlineStr">
        <is>
          <t>UPPSALA</t>
        </is>
      </c>
      <c r="G464" t="n">
        <v>0.8</v>
      </c>
      <c r="H464" t="n">
        <v>0</v>
      </c>
      <c r="I464" t="n">
        <v>0</v>
      </c>
      <c r="J464" t="n">
        <v>0</v>
      </c>
      <c r="K464" t="n">
        <v>0</v>
      </c>
      <c r="L464" t="n">
        <v>0</v>
      </c>
      <c r="M464" t="n">
        <v>0</v>
      </c>
      <c r="N464" t="n">
        <v>0</v>
      </c>
      <c r="O464" t="n">
        <v>0</v>
      </c>
      <c r="P464" t="n">
        <v>0</v>
      </c>
      <c r="Q464" t="n">
        <v>0</v>
      </c>
      <c r="R464" s="2" t="inlineStr"/>
    </row>
    <row r="465" ht="15" customHeight="1">
      <c r="A465" t="inlineStr">
        <is>
          <t>A 30567-2025</t>
        </is>
      </c>
      <c r="B465" s="1" t="n">
        <v>45831.40671296296</v>
      </c>
      <c r="C465" s="1" t="n">
        <v>46033</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20206-2023</t>
        </is>
      </c>
      <c r="B466" s="1" t="n">
        <v>45055</v>
      </c>
      <c r="C466" s="1" t="n">
        <v>46033</v>
      </c>
      <c r="D466" t="inlineStr">
        <is>
          <t>UPPSALA LÄN</t>
        </is>
      </c>
      <c r="E466" t="inlineStr">
        <is>
          <t>UPPSALA</t>
        </is>
      </c>
      <c r="G466" t="n">
        <v>5.7</v>
      </c>
      <c r="H466" t="n">
        <v>0</v>
      </c>
      <c r="I466" t="n">
        <v>0</v>
      </c>
      <c r="J466" t="n">
        <v>0</v>
      </c>
      <c r="K466" t="n">
        <v>0</v>
      </c>
      <c r="L466" t="n">
        <v>0</v>
      </c>
      <c r="M466" t="n">
        <v>0</v>
      </c>
      <c r="N466" t="n">
        <v>0</v>
      </c>
      <c r="O466" t="n">
        <v>0</v>
      </c>
      <c r="P466" t="n">
        <v>0</v>
      </c>
      <c r="Q466" t="n">
        <v>0</v>
      </c>
      <c r="R466" s="2" t="inlineStr"/>
    </row>
    <row r="467" ht="15" customHeight="1">
      <c r="A467" t="inlineStr">
        <is>
          <t>A 46772-2025</t>
        </is>
      </c>
      <c r="B467" s="1" t="n">
        <v>45926.63232638889</v>
      </c>
      <c r="C467" s="1" t="n">
        <v>46033</v>
      </c>
      <c r="D467" t="inlineStr">
        <is>
          <t>UPPSALA LÄN</t>
        </is>
      </c>
      <c r="E467" t="inlineStr">
        <is>
          <t>UPPSALA</t>
        </is>
      </c>
      <c r="F467" t="inlineStr">
        <is>
          <t>Kyrkan</t>
        </is>
      </c>
      <c r="G467" t="n">
        <v>0.9</v>
      </c>
      <c r="H467" t="n">
        <v>0</v>
      </c>
      <c r="I467" t="n">
        <v>0</v>
      </c>
      <c r="J467" t="n">
        <v>0</v>
      </c>
      <c r="K467" t="n">
        <v>0</v>
      </c>
      <c r="L467" t="n">
        <v>0</v>
      </c>
      <c r="M467" t="n">
        <v>0</v>
      </c>
      <c r="N467" t="n">
        <v>0</v>
      </c>
      <c r="O467" t="n">
        <v>0</v>
      </c>
      <c r="P467" t="n">
        <v>0</v>
      </c>
      <c r="Q467" t="n">
        <v>0</v>
      </c>
      <c r="R467" s="2" t="inlineStr"/>
    </row>
    <row r="468" ht="15" customHeight="1">
      <c r="A468" t="inlineStr">
        <is>
          <t>A 46632-2025</t>
        </is>
      </c>
      <c r="B468" s="1" t="n">
        <v>45926.45846064815</v>
      </c>
      <c r="C468" s="1" t="n">
        <v>46033</v>
      </c>
      <c r="D468" t="inlineStr">
        <is>
          <t>UPPSALA LÄN</t>
        </is>
      </c>
      <c r="E468" t="inlineStr">
        <is>
          <t>UPPSALA</t>
        </is>
      </c>
      <c r="F468" t="inlineStr">
        <is>
          <t>Bergvik skog öst AB</t>
        </is>
      </c>
      <c r="G468" t="n">
        <v>2.9</v>
      </c>
      <c r="H468" t="n">
        <v>0</v>
      </c>
      <c r="I468" t="n">
        <v>0</v>
      </c>
      <c r="J468" t="n">
        <v>0</v>
      </c>
      <c r="K468" t="n">
        <v>0</v>
      </c>
      <c r="L468" t="n">
        <v>0</v>
      </c>
      <c r="M468" t="n">
        <v>0</v>
      </c>
      <c r="N468" t="n">
        <v>0</v>
      </c>
      <c r="O468" t="n">
        <v>0</v>
      </c>
      <c r="P468" t="n">
        <v>0</v>
      </c>
      <c r="Q468" t="n">
        <v>0</v>
      </c>
      <c r="R468" s="2" t="inlineStr"/>
    </row>
    <row r="469" ht="15" customHeight="1">
      <c r="A469" t="inlineStr">
        <is>
          <t>A 60701-2022</t>
        </is>
      </c>
      <c r="B469" s="1" t="n">
        <v>44912</v>
      </c>
      <c r="C469" s="1" t="n">
        <v>46033</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30838-2025</t>
        </is>
      </c>
      <c r="B470" s="1" t="n">
        <v>45831.72686342592</v>
      </c>
      <c r="C470" s="1" t="n">
        <v>46033</v>
      </c>
      <c r="D470" t="inlineStr">
        <is>
          <t>UPPSALA LÄN</t>
        </is>
      </c>
      <c r="E470" t="inlineStr">
        <is>
          <t>UPPSALA</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30839-2025</t>
        </is>
      </c>
      <c r="B471" s="1" t="n">
        <v>45831.73</v>
      </c>
      <c r="C471" s="1" t="n">
        <v>46033</v>
      </c>
      <c r="D471" t="inlineStr">
        <is>
          <t>UPPSALA LÄN</t>
        </is>
      </c>
      <c r="E471" t="inlineStr">
        <is>
          <t>UPPSALA</t>
        </is>
      </c>
      <c r="F471" t="inlineStr">
        <is>
          <t>Kyrkan</t>
        </is>
      </c>
      <c r="G471" t="n">
        <v>2.2</v>
      </c>
      <c r="H471" t="n">
        <v>0</v>
      </c>
      <c r="I471" t="n">
        <v>0</v>
      </c>
      <c r="J471" t="n">
        <v>0</v>
      </c>
      <c r="K471" t="n">
        <v>0</v>
      </c>
      <c r="L471" t="n">
        <v>0</v>
      </c>
      <c r="M471" t="n">
        <v>0</v>
      </c>
      <c r="N471" t="n">
        <v>0</v>
      </c>
      <c r="O471" t="n">
        <v>0</v>
      </c>
      <c r="P471" t="n">
        <v>0</v>
      </c>
      <c r="Q471" t="n">
        <v>0</v>
      </c>
      <c r="R471" s="2" t="inlineStr"/>
    </row>
    <row r="472" ht="15" customHeight="1">
      <c r="A472" t="inlineStr">
        <is>
          <t>A 53384-2024</t>
        </is>
      </c>
      <c r="B472" s="1" t="n">
        <v>45614</v>
      </c>
      <c r="C472" s="1" t="n">
        <v>46033</v>
      </c>
      <c r="D472" t="inlineStr">
        <is>
          <t>UPPSALA LÄN</t>
        </is>
      </c>
      <c r="E472" t="inlineStr">
        <is>
          <t>UPPSALA</t>
        </is>
      </c>
      <c r="G472" t="n">
        <v>3.7</v>
      </c>
      <c r="H472" t="n">
        <v>0</v>
      </c>
      <c r="I472" t="n">
        <v>0</v>
      </c>
      <c r="J472" t="n">
        <v>0</v>
      </c>
      <c r="K472" t="n">
        <v>0</v>
      </c>
      <c r="L472" t="n">
        <v>0</v>
      </c>
      <c r="M472" t="n">
        <v>0</v>
      </c>
      <c r="N472" t="n">
        <v>0</v>
      </c>
      <c r="O472" t="n">
        <v>0</v>
      </c>
      <c r="P472" t="n">
        <v>0</v>
      </c>
      <c r="Q472" t="n">
        <v>0</v>
      </c>
      <c r="R472" s="2" t="inlineStr"/>
    </row>
    <row r="473" ht="15" customHeight="1">
      <c r="A473" t="inlineStr">
        <is>
          <t>A 30585-2025</t>
        </is>
      </c>
      <c r="B473" s="1" t="n">
        <v>45831.42616898148</v>
      </c>
      <c r="C473" s="1" t="n">
        <v>46033</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53614-2024</t>
        </is>
      </c>
      <c r="B474" s="1" t="n">
        <v>45611</v>
      </c>
      <c r="C474" s="1" t="n">
        <v>46033</v>
      </c>
      <c r="D474" t="inlineStr">
        <is>
          <t>UPPSALA LÄN</t>
        </is>
      </c>
      <c r="E474" t="inlineStr">
        <is>
          <t>UPPSALA</t>
        </is>
      </c>
      <c r="G474" t="n">
        <v>2.1</v>
      </c>
      <c r="H474" t="n">
        <v>0</v>
      </c>
      <c r="I474" t="n">
        <v>0</v>
      </c>
      <c r="J474" t="n">
        <v>0</v>
      </c>
      <c r="K474" t="n">
        <v>0</v>
      </c>
      <c r="L474" t="n">
        <v>0</v>
      </c>
      <c r="M474" t="n">
        <v>0</v>
      </c>
      <c r="N474" t="n">
        <v>0</v>
      </c>
      <c r="O474" t="n">
        <v>0</v>
      </c>
      <c r="P474" t="n">
        <v>0</v>
      </c>
      <c r="Q474" t="n">
        <v>0</v>
      </c>
      <c r="R474" s="2" t="inlineStr"/>
    </row>
    <row r="475" ht="15" customHeight="1">
      <c r="A475" t="inlineStr">
        <is>
          <t>A 46571-2025</t>
        </is>
      </c>
      <c r="B475" s="1" t="n">
        <v>45926.366875</v>
      </c>
      <c r="C475" s="1" t="n">
        <v>46033</v>
      </c>
      <c r="D475" t="inlineStr">
        <is>
          <t>UPPSALA LÄN</t>
        </is>
      </c>
      <c r="E475" t="inlineStr">
        <is>
          <t>UPPSALA</t>
        </is>
      </c>
      <c r="F475" t="inlineStr">
        <is>
          <t>Bergvik skog öst AB</t>
        </is>
      </c>
      <c r="G475" t="n">
        <v>11.1</v>
      </c>
      <c r="H475" t="n">
        <v>0</v>
      </c>
      <c r="I475" t="n">
        <v>0</v>
      </c>
      <c r="J475" t="n">
        <v>0</v>
      </c>
      <c r="K475" t="n">
        <v>0</v>
      </c>
      <c r="L475" t="n">
        <v>0</v>
      </c>
      <c r="M475" t="n">
        <v>0</v>
      </c>
      <c r="N475" t="n">
        <v>0</v>
      </c>
      <c r="O475" t="n">
        <v>0</v>
      </c>
      <c r="P475" t="n">
        <v>0</v>
      </c>
      <c r="Q475" t="n">
        <v>0</v>
      </c>
      <c r="R475" s="2" t="inlineStr"/>
    </row>
    <row r="476" ht="15" customHeight="1">
      <c r="A476" t="inlineStr">
        <is>
          <t>A 46773-2025</t>
        </is>
      </c>
      <c r="B476" s="1" t="n">
        <v>45926.63290509259</v>
      </c>
      <c r="C476" s="1" t="n">
        <v>46033</v>
      </c>
      <c r="D476" t="inlineStr">
        <is>
          <t>UPPSALA LÄN</t>
        </is>
      </c>
      <c r="E476" t="inlineStr">
        <is>
          <t>UPPSALA</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47131-2025</t>
        </is>
      </c>
      <c r="B477" s="1" t="n">
        <v>45929.69553240741</v>
      </c>
      <c r="C477" s="1" t="n">
        <v>46033</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47132-2025</t>
        </is>
      </c>
      <c r="B478" s="1" t="n">
        <v>45929.6965162037</v>
      </c>
      <c r="C478" s="1" t="n">
        <v>46033</v>
      </c>
      <c r="D478" t="inlineStr">
        <is>
          <t>UPPSALA LÄN</t>
        </is>
      </c>
      <c r="E478" t="inlineStr">
        <is>
          <t>UPPSALA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30897-2025</t>
        </is>
      </c>
      <c r="B479" s="1" t="n">
        <v>45832.35545138889</v>
      </c>
      <c r="C479" s="1" t="n">
        <v>46033</v>
      </c>
      <c r="D479" t="inlineStr">
        <is>
          <t>UPPSALA LÄN</t>
        </is>
      </c>
      <c r="E479" t="inlineStr">
        <is>
          <t>UPPSALA</t>
        </is>
      </c>
      <c r="F479" t="inlineStr">
        <is>
          <t>Kyrkan</t>
        </is>
      </c>
      <c r="G479" t="n">
        <v>2.8</v>
      </c>
      <c r="H479" t="n">
        <v>0</v>
      </c>
      <c r="I479" t="n">
        <v>0</v>
      </c>
      <c r="J479" t="n">
        <v>0</v>
      </c>
      <c r="K479" t="n">
        <v>0</v>
      </c>
      <c r="L479" t="n">
        <v>0</v>
      </c>
      <c r="M479" t="n">
        <v>0</v>
      </c>
      <c r="N479" t="n">
        <v>0</v>
      </c>
      <c r="O479" t="n">
        <v>0</v>
      </c>
      <c r="P479" t="n">
        <v>0</v>
      </c>
      <c r="Q479" t="n">
        <v>0</v>
      </c>
      <c r="R479" s="2" t="inlineStr"/>
    </row>
    <row r="480" ht="15" customHeight="1">
      <c r="A480" t="inlineStr">
        <is>
          <t>A 16434-2024</t>
        </is>
      </c>
      <c r="B480" s="1" t="n">
        <v>45407.69575231482</v>
      </c>
      <c r="C480" s="1" t="n">
        <v>46033</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1825-2024</t>
        </is>
      </c>
      <c r="B481" s="1" t="n">
        <v>45307</v>
      </c>
      <c r="C481" s="1" t="n">
        <v>46033</v>
      </c>
      <c r="D481" t="inlineStr">
        <is>
          <t>UPPSALA LÄN</t>
        </is>
      </c>
      <c r="E481" t="inlineStr">
        <is>
          <t>UPPSALA</t>
        </is>
      </c>
      <c r="G481" t="n">
        <v>4.2</v>
      </c>
      <c r="H481" t="n">
        <v>0</v>
      </c>
      <c r="I481" t="n">
        <v>0</v>
      </c>
      <c r="J481" t="n">
        <v>0</v>
      </c>
      <c r="K481" t="n">
        <v>0</v>
      </c>
      <c r="L481" t="n">
        <v>0</v>
      </c>
      <c r="M481" t="n">
        <v>0</v>
      </c>
      <c r="N481" t="n">
        <v>0</v>
      </c>
      <c r="O481" t="n">
        <v>0</v>
      </c>
      <c r="P481" t="n">
        <v>0</v>
      </c>
      <c r="Q481" t="n">
        <v>0</v>
      </c>
      <c r="R481" s="2" t="inlineStr"/>
    </row>
    <row r="482" ht="15" customHeight="1">
      <c r="A482" t="inlineStr">
        <is>
          <t>A 46983-2025</t>
        </is>
      </c>
      <c r="B482" s="1" t="n">
        <v>45929.53203703704</v>
      </c>
      <c r="C482" s="1" t="n">
        <v>46033</v>
      </c>
      <c r="D482" t="inlineStr">
        <is>
          <t>UPPSALA LÄN</t>
        </is>
      </c>
      <c r="E482" t="inlineStr">
        <is>
          <t>UPPSALA</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46775-2025</t>
        </is>
      </c>
      <c r="B483" s="1" t="n">
        <v>45926.63366898148</v>
      </c>
      <c r="C483" s="1" t="n">
        <v>46033</v>
      </c>
      <c r="D483" t="inlineStr">
        <is>
          <t>UPPSALA LÄN</t>
        </is>
      </c>
      <c r="E483" t="inlineStr">
        <is>
          <t>UPPSALA</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64855-2021</t>
        </is>
      </c>
      <c r="B484" s="1" t="n">
        <v>44512</v>
      </c>
      <c r="C484" s="1" t="n">
        <v>46033</v>
      </c>
      <c r="D484" t="inlineStr">
        <is>
          <t>UPPSALA LÄN</t>
        </is>
      </c>
      <c r="E484" t="inlineStr">
        <is>
          <t>UPPSALA</t>
        </is>
      </c>
      <c r="G484" t="n">
        <v>3.1</v>
      </c>
      <c r="H484" t="n">
        <v>0</v>
      </c>
      <c r="I484" t="n">
        <v>0</v>
      </c>
      <c r="J484" t="n">
        <v>0</v>
      </c>
      <c r="K484" t="n">
        <v>0</v>
      </c>
      <c r="L484" t="n">
        <v>0</v>
      </c>
      <c r="M484" t="n">
        <v>0</v>
      </c>
      <c r="N484" t="n">
        <v>0</v>
      </c>
      <c r="O484" t="n">
        <v>0</v>
      </c>
      <c r="P484" t="n">
        <v>0</v>
      </c>
      <c r="Q484" t="n">
        <v>0</v>
      </c>
      <c r="R484" s="2" t="inlineStr"/>
    </row>
    <row r="485" ht="15" customHeight="1">
      <c r="A485" t="inlineStr">
        <is>
          <t>A 30898-2025</t>
        </is>
      </c>
      <c r="B485" s="1" t="n">
        <v>45832.35590277778</v>
      </c>
      <c r="C485" s="1" t="n">
        <v>46033</v>
      </c>
      <c r="D485" t="inlineStr">
        <is>
          <t>UPPSALA LÄN</t>
        </is>
      </c>
      <c r="E485" t="inlineStr">
        <is>
          <t>UPPSALA</t>
        </is>
      </c>
      <c r="F485" t="inlineStr">
        <is>
          <t>Kyrkan</t>
        </is>
      </c>
      <c r="G485" t="n">
        <v>2.8</v>
      </c>
      <c r="H485" t="n">
        <v>0</v>
      </c>
      <c r="I485" t="n">
        <v>0</v>
      </c>
      <c r="J485" t="n">
        <v>0</v>
      </c>
      <c r="K485" t="n">
        <v>0</v>
      </c>
      <c r="L485" t="n">
        <v>0</v>
      </c>
      <c r="M485" t="n">
        <v>0</v>
      </c>
      <c r="N485" t="n">
        <v>0</v>
      </c>
      <c r="O485" t="n">
        <v>0</v>
      </c>
      <c r="P485" t="n">
        <v>0</v>
      </c>
      <c r="Q485" t="n">
        <v>0</v>
      </c>
      <c r="R485" s="2" t="inlineStr"/>
    </row>
    <row r="486" ht="15" customHeight="1">
      <c r="A486" t="inlineStr">
        <is>
          <t>A 27622-2023</t>
        </is>
      </c>
      <c r="B486" s="1" t="n">
        <v>45097</v>
      </c>
      <c r="C486" s="1" t="n">
        <v>46033</v>
      </c>
      <c r="D486" t="inlineStr">
        <is>
          <t>UPPSALA LÄN</t>
        </is>
      </c>
      <c r="E486" t="inlineStr">
        <is>
          <t>UPPSALA</t>
        </is>
      </c>
      <c r="G486" t="n">
        <v>3.2</v>
      </c>
      <c r="H486" t="n">
        <v>0</v>
      </c>
      <c r="I486" t="n">
        <v>0</v>
      </c>
      <c r="J486" t="n">
        <v>0</v>
      </c>
      <c r="K486" t="n">
        <v>0</v>
      </c>
      <c r="L486" t="n">
        <v>0</v>
      </c>
      <c r="M486" t="n">
        <v>0</v>
      </c>
      <c r="N486" t="n">
        <v>0</v>
      </c>
      <c r="O486" t="n">
        <v>0</v>
      </c>
      <c r="P486" t="n">
        <v>0</v>
      </c>
      <c r="Q486" t="n">
        <v>0</v>
      </c>
      <c r="R486" s="2" t="inlineStr"/>
    </row>
    <row r="487" ht="15" customHeight="1">
      <c r="A487" t="inlineStr">
        <is>
          <t>A 9993-2025</t>
        </is>
      </c>
      <c r="B487" s="1" t="n">
        <v>45719.43755787037</v>
      </c>
      <c r="C487" s="1" t="n">
        <v>46033</v>
      </c>
      <c r="D487" t="inlineStr">
        <is>
          <t>UPPSALA LÄN</t>
        </is>
      </c>
      <c r="E487" t="inlineStr">
        <is>
          <t>UPPSALA</t>
        </is>
      </c>
      <c r="F487" t="inlineStr">
        <is>
          <t>Kyrkan</t>
        </is>
      </c>
      <c r="G487" t="n">
        <v>6.1</v>
      </c>
      <c r="H487" t="n">
        <v>0</v>
      </c>
      <c r="I487" t="n">
        <v>0</v>
      </c>
      <c r="J487" t="n">
        <v>0</v>
      </c>
      <c r="K487" t="n">
        <v>0</v>
      </c>
      <c r="L487" t="n">
        <v>0</v>
      </c>
      <c r="M487" t="n">
        <v>0</v>
      </c>
      <c r="N487" t="n">
        <v>0</v>
      </c>
      <c r="O487" t="n">
        <v>0</v>
      </c>
      <c r="P487" t="n">
        <v>0</v>
      </c>
      <c r="Q487" t="n">
        <v>0</v>
      </c>
      <c r="R487" s="2" t="inlineStr"/>
    </row>
    <row r="488" ht="15" customHeight="1">
      <c r="A488" t="inlineStr">
        <is>
          <t>A 46564-2025</t>
        </is>
      </c>
      <c r="B488" s="1" t="n">
        <v>45926.35917824074</v>
      </c>
      <c r="C488" s="1" t="n">
        <v>46033</v>
      </c>
      <c r="D488" t="inlineStr">
        <is>
          <t>UPPSALA LÄN</t>
        </is>
      </c>
      <c r="E488" t="inlineStr">
        <is>
          <t>UPPSALA</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46565-2025</t>
        </is>
      </c>
      <c r="B489" s="1" t="n">
        <v>45926.35998842592</v>
      </c>
      <c r="C489" s="1" t="n">
        <v>46033</v>
      </c>
      <c r="D489" t="inlineStr">
        <is>
          <t>UPPSALA LÄN</t>
        </is>
      </c>
      <c r="E489" t="inlineStr">
        <is>
          <t>UPPSALA</t>
        </is>
      </c>
      <c r="F489" t="inlineStr">
        <is>
          <t>Bergvik skog öst AB</t>
        </is>
      </c>
      <c r="G489" t="n">
        <v>1.4</v>
      </c>
      <c r="H489" t="n">
        <v>0</v>
      </c>
      <c r="I489" t="n">
        <v>0</v>
      </c>
      <c r="J489" t="n">
        <v>0</v>
      </c>
      <c r="K489" t="n">
        <v>0</v>
      </c>
      <c r="L489" t="n">
        <v>0</v>
      </c>
      <c r="M489" t="n">
        <v>0</v>
      </c>
      <c r="N489" t="n">
        <v>0</v>
      </c>
      <c r="O489" t="n">
        <v>0</v>
      </c>
      <c r="P489" t="n">
        <v>0</v>
      </c>
      <c r="Q489" t="n">
        <v>0</v>
      </c>
      <c r="R489" s="2" t="inlineStr"/>
    </row>
    <row r="490" ht="15" customHeight="1">
      <c r="A490" t="inlineStr">
        <is>
          <t>A 60356-2025</t>
        </is>
      </c>
      <c r="B490" s="1" t="n">
        <v>45995.31737268518</v>
      </c>
      <c r="C490" s="1" t="n">
        <v>46033</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47558-2025</t>
        </is>
      </c>
      <c r="B491" s="1" t="n">
        <v>45931.37796296296</v>
      </c>
      <c r="C491" s="1" t="n">
        <v>46033</v>
      </c>
      <c r="D491" t="inlineStr">
        <is>
          <t>UPPSALA LÄN</t>
        </is>
      </c>
      <c r="E491" t="inlineStr">
        <is>
          <t>UPPSALA</t>
        </is>
      </c>
      <c r="F491" t="inlineStr">
        <is>
          <t>Kyrkan</t>
        </is>
      </c>
      <c r="G491" t="n">
        <v>1.9</v>
      </c>
      <c r="H491" t="n">
        <v>0</v>
      </c>
      <c r="I491" t="n">
        <v>0</v>
      </c>
      <c r="J491" t="n">
        <v>0</v>
      </c>
      <c r="K491" t="n">
        <v>0</v>
      </c>
      <c r="L491" t="n">
        <v>0</v>
      </c>
      <c r="M491" t="n">
        <v>0</v>
      </c>
      <c r="N491" t="n">
        <v>0</v>
      </c>
      <c r="O491" t="n">
        <v>0</v>
      </c>
      <c r="P491" t="n">
        <v>0</v>
      </c>
      <c r="Q491" t="n">
        <v>0</v>
      </c>
      <c r="R491" s="2" t="inlineStr"/>
    </row>
    <row r="492" ht="15" customHeight="1">
      <c r="A492" t="inlineStr">
        <is>
          <t>A 47649-2025</t>
        </is>
      </c>
      <c r="B492" s="1" t="n">
        <v>45931.52792824074</v>
      </c>
      <c r="C492" s="1" t="n">
        <v>46033</v>
      </c>
      <c r="D492" t="inlineStr">
        <is>
          <t>UPPSALA LÄN</t>
        </is>
      </c>
      <c r="E492" t="inlineStr">
        <is>
          <t>UPPSALA</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52269-2025</t>
        </is>
      </c>
      <c r="B493" s="1" t="n">
        <v>45953.53765046296</v>
      </c>
      <c r="C493" s="1" t="n">
        <v>46033</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47316-2025</t>
        </is>
      </c>
      <c r="B494" s="1" t="n">
        <v>45930.55024305556</v>
      </c>
      <c r="C494" s="1" t="n">
        <v>46033</v>
      </c>
      <c r="D494" t="inlineStr">
        <is>
          <t>UPPSALA LÄN</t>
        </is>
      </c>
      <c r="E494" t="inlineStr">
        <is>
          <t>UPPSALA</t>
        </is>
      </c>
      <c r="G494" t="n">
        <v>1.5</v>
      </c>
      <c r="H494" t="n">
        <v>0</v>
      </c>
      <c r="I494" t="n">
        <v>0</v>
      </c>
      <c r="J494" t="n">
        <v>0</v>
      </c>
      <c r="K494" t="n">
        <v>0</v>
      </c>
      <c r="L494" t="n">
        <v>0</v>
      </c>
      <c r="M494" t="n">
        <v>0</v>
      </c>
      <c r="N494" t="n">
        <v>0</v>
      </c>
      <c r="O494" t="n">
        <v>0</v>
      </c>
      <c r="P494" t="n">
        <v>0</v>
      </c>
      <c r="Q494" t="n">
        <v>0</v>
      </c>
      <c r="R494" s="2" t="inlineStr"/>
    </row>
    <row r="495" ht="15" customHeight="1">
      <c r="A495" t="inlineStr">
        <is>
          <t>A 43031-2023</t>
        </is>
      </c>
      <c r="B495" s="1" t="n">
        <v>45182</v>
      </c>
      <c r="C495" s="1" t="n">
        <v>46033</v>
      </c>
      <c r="D495" t="inlineStr">
        <is>
          <t>UPPSALA LÄN</t>
        </is>
      </c>
      <c r="E495" t="inlineStr">
        <is>
          <t>UPPSALA</t>
        </is>
      </c>
      <c r="G495" t="n">
        <v>2.3</v>
      </c>
      <c r="H495" t="n">
        <v>0</v>
      </c>
      <c r="I495" t="n">
        <v>0</v>
      </c>
      <c r="J495" t="n">
        <v>0</v>
      </c>
      <c r="K495" t="n">
        <v>0</v>
      </c>
      <c r="L495" t="n">
        <v>0</v>
      </c>
      <c r="M495" t="n">
        <v>0</v>
      </c>
      <c r="N495" t="n">
        <v>0</v>
      </c>
      <c r="O495" t="n">
        <v>0</v>
      </c>
      <c r="P495" t="n">
        <v>0</v>
      </c>
      <c r="Q495" t="n">
        <v>0</v>
      </c>
      <c r="R495" s="2" t="inlineStr"/>
    </row>
    <row r="496" ht="15" customHeight="1">
      <c r="A496" t="inlineStr">
        <is>
          <t>A 47557-2025</t>
        </is>
      </c>
      <c r="B496" s="1" t="n">
        <v>45931.37734953704</v>
      </c>
      <c r="C496" s="1" t="n">
        <v>46033</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47690-2025</t>
        </is>
      </c>
      <c r="B497" s="1" t="n">
        <v>45931.59373842592</v>
      </c>
      <c r="C497" s="1" t="n">
        <v>46033</v>
      </c>
      <c r="D497" t="inlineStr">
        <is>
          <t>UPPSALA LÄN</t>
        </is>
      </c>
      <c r="E497" t="inlineStr">
        <is>
          <t>UPPSALA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47688-2025</t>
        </is>
      </c>
      <c r="B498" s="1" t="n">
        <v>45931.59091435185</v>
      </c>
      <c r="C498" s="1" t="n">
        <v>46033</v>
      </c>
      <c r="D498" t="inlineStr">
        <is>
          <t>UPPSALA LÄN</t>
        </is>
      </c>
      <c r="E498" t="inlineStr">
        <is>
          <t>UPPSALA</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52429-2025</t>
        </is>
      </c>
      <c r="B499" s="1" t="n">
        <v>45954.38475694445</v>
      </c>
      <c r="C499" s="1" t="n">
        <v>46033</v>
      </c>
      <c r="D499" t="inlineStr">
        <is>
          <t>UPPSALA LÄN</t>
        </is>
      </c>
      <c r="E499" t="inlineStr">
        <is>
          <t>UPPSALA</t>
        </is>
      </c>
      <c r="G499" t="n">
        <v>16.6</v>
      </c>
      <c r="H499" t="n">
        <v>0</v>
      </c>
      <c r="I499" t="n">
        <v>0</v>
      </c>
      <c r="J499" t="n">
        <v>0</v>
      </c>
      <c r="K499" t="n">
        <v>0</v>
      </c>
      <c r="L499" t="n">
        <v>0</v>
      </c>
      <c r="M499" t="n">
        <v>0</v>
      </c>
      <c r="N499" t="n">
        <v>0</v>
      </c>
      <c r="O499" t="n">
        <v>0</v>
      </c>
      <c r="P499" t="n">
        <v>0</v>
      </c>
      <c r="Q499" t="n">
        <v>0</v>
      </c>
      <c r="R499" s="2" t="inlineStr"/>
    </row>
    <row r="500" ht="15" customHeight="1">
      <c r="A500" t="inlineStr">
        <is>
          <t>A 59133-2022</t>
        </is>
      </c>
      <c r="B500" s="1" t="n">
        <v>44904</v>
      </c>
      <c r="C500" s="1" t="n">
        <v>46033</v>
      </c>
      <c r="D500" t="inlineStr">
        <is>
          <t>UPPSALA LÄN</t>
        </is>
      </c>
      <c r="E500" t="inlineStr">
        <is>
          <t>UPPSALA</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32479-2025</t>
        </is>
      </c>
      <c r="B501" s="1" t="n">
        <v>45838</v>
      </c>
      <c r="C501" s="1" t="n">
        <v>46033</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43795-2023</t>
        </is>
      </c>
      <c r="B502" s="1" t="n">
        <v>45182</v>
      </c>
      <c r="C502" s="1" t="n">
        <v>46033</v>
      </c>
      <c r="D502" t="inlineStr">
        <is>
          <t>UPPSALA LÄN</t>
        </is>
      </c>
      <c r="E502" t="inlineStr">
        <is>
          <t>UPPSALA</t>
        </is>
      </c>
      <c r="G502" t="n">
        <v>4.7</v>
      </c>
      <c r="H502" t="n">
        <v>0</v>
      </c>
      <c r="I502" t="n">
        <v>0</v>
      </c>
      <c r="J502" t="n">
        <v>0</v>
      </c>
      <c r="K502" t="n">
        <v>0</v>
      </c>
      <c r="L502" t="n">
        <v>0</v>
      </c>
      <c r="M502" t="n">
        <v>0</v>
      </c>
      <c r="N502" t="n">
        <v>0</v>
      </c>
      <c r="O502" t="n">
        <v>0</v>
      </c>
      <c r="P502" t="n">
        <v>0</v>
      </c>
      <c r="Q502" t="n">
        <v>0</v>
      </c>
      <c r="R502" s="2" t="inlineStr"/>
    </row>
    <row r="503" ht="15" customHeight="1">
      <c r="A503" t="inlineStr">
        <is>
          <t>A 53244-2025</t>
        </is>
      </c>
      <c r="B503" s="1" t="n">
        <v>45957</v>
      </c>
      <c r="C503" s="1" t="n">
        <v>46033</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47840-2025</t>
        </is>
      </c>
      <c r="B504" s="1" t="n">
        <v>45932.37375</v>
      </c>
      <c r="C504" s="1" t="n">
        <v>46033</v>
      </c>
      <c r="D504" t="inlineStr">
        <is>
          <t>UPPSALA LÄN</t>
        </is>
      </c>
      <c r="E504" t="inlineStr">
        <is>
          <t>UPPSALA</t>
        </is>
      </c>
      <c r="G504" t="n">
        <v>1.8</v>
      </c>
      <c r="H504" t="n">
        <v>0</v>
      </c>
      <c r="I504" t="n">
        <v>0</v>
      </c>
      <c r="J504" t="n">
        <v>0</v>
      </c>
      <c r="K504" t="n">
        <v>0</v>
      </c>
      <c r="L504" t="n">
        <v>0</v>
      </c>
      <c r="M504" t="n">
        <v>0</v>
      </c>
      <c r="N504" t="n">
        <v>0</v>
      </c>
      <c r="O504" t="n">
        <v>0</v>
      </c>
      <c r="P504" t="n">
        <v>0</v>
      </c>
      <c r="Q504" t="n">
        <v>0</v>
      </c>
      <c r="R504" s="2" t="inlineStr"/>
    </row>
    <row r="505" ht="15" customHeight="1">
      <c r="A505" t="inlineStr">
        <is>
          <t>A 52963-2025</t>
        </is>
      </c>
      <c r="B505" s="1" t="n">
        <v>45957.66506944445</v>
      </c>
      <c r="C505" s="1" t="n">
        <v>46033</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47999-2025</t>
        </is>
      </c>
      <c r="B506" s="1" t="n">
        <v>45932.62907407407</v>
      </c>
      <c r="C506" s="1" t="n">
        <v>46033</v>
      </c>
      <c r="D506" t="inlineStr">
        <is>
          <t>UPPSALA LÄN</t>
        </is>
      </c>
      <c r="E506" t="inlineStr">
        <is>
          <t>UPPSALA</t>
        </is>
      </c>
      <c r="F506" t="inlineStr">
        <is>
          <t>Allmännings- och besparingsskogar</t>
        </is>
      </c>
      <c r="G506" t="n">
        <v>1</v>
      </c>
      <c r="H506" t="n">
        <v>0</v>
      </c>
      <c r="I506" t="n">
        <v>0</v>
      </c>
      <c r="J506" t="n">
        <v>0</v>
      </c>
      <c r="K506" t="n">
        <v>0</v>
      </c>
      <c r="L506" t="n">
        <v>0</v>
      </c>
      <c r="M506" t="n">
        <v>0</v>
      </c>
      <c r="N506" t="n">
        <v>0</v>
      </c>
      <c r="O506" t="n">
        <v>0</v>
      </c>
      <c r="P506" t="n">
        <v>0</v>
      </c>
      <c r="Q506" t="n">
        <v>0</v>
      </c>
      <c r="R506" s="2" t="inlineStr"/>
    </row>
    <row r="507" ht="15" customHeight="1">
      <c r="A507" t="inlineStr">
        <is>
          <t>A 47961-2025</t>
        </is>
      </c>
      <c r="B507" s="1" t="n">
        <v>45932.59373842592</v>
      </c>
      <c r="C507" s="1" t="n">
        <v>46033</v>
      </c>
      <c r="D507" t="inlineStr">
        <is>
          <t>UPPSALA LÄN</t>
        </is>
      </c>
      <c r="E507" t="inlineStr">
        <is>
          <t>UPPSALA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47978-2025</t>
        </is>
      </c>
      <c r="B508" s="1" t="n">
        <v>45932.61177083333</v>
      </c>
      <c r="C508" s="1" t="n">
        <v>46033</v>
      </c>
      <c r="D508" t="inlineStr">
        <is>
          <t>UPPSALA LÄN</t>
        </is>
      </c>
      <c r="E508" t="inlineStr">
        <is>
          <t>UPPSALA</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32252-2025</t>
        </is>
      </c>
      <c r="B509" s="1" t="n">
        <v>45835.62752314815</v>
      </c>
      <c r="C509" s="1" t="n">
        <v>46033</v>
      </c>
      <c r="D509" t="inlineStr">
        <is>
          <t>UPPSALA LÄN</t>
        </is>
      </c>
      <c r="E509" t="inlineStr">
        <is>
          <t>UPPSALA</t>
        </is>
      </c>
      <c r="F509" t="inlineStr">
        <is>
          <t>Kyrkan</t>
        </is>
      </c>
      <c r="G509" t="n">
        <v>3.8</v>
      </c>
      <c r="H509" t="n">
        <v>0</v>
      </c>
      <c r="I509" t="n">
        <v>0</v>
      </c>
      <c r="J509" t="n">
        <v>0</v>
      </c>
      <c r="K509" t="n">
        <v>0</v>
      </c>
      <c r="L509" t="n">
        <v>0</v>
      </c>
      <c r="M509" t="n">
        <v>0</v>
      </c>
      <c r="N509" t="n">
        <v>0</v>
      </c>
      <c r="O509" t="n">
        <v>0</v>
      </c>
      <c r="P509" t="n">
        <v>0</v>
      </c>
      <c r="Q509" t="n">
        <v>0</v>
      </c>
      <c r="R509" s="2" t="inlineStr"/>
    </row>
    <row r="510" ht="15" customHeight="1">
      <c r="A510" t="inlineStr">
        <is>
          <t>A 42124-2021</t>
        </is>
      </c>
      <c r="B510" s="1" t="n">
        <v>44426</v>
      </c>
      <c r="C510" s="1" t="n">
        <v>46033</v>
      </c>
      <c r="D510" t="inlineStr">
        <is>
          <t>UPPSALA LÄN</t>
        </is>
      </c>
      <c r="E510" t="inlineStr">
        <is>
          <t>UPPSALA</t>
        </is>
      </c>
      <c r="G510" t="n">
        <v>6.3</v>
      </c>
      <c r="H510" t="n">
        <v>0</v>
      </c>
      <c r="I510" t="n">
        <v>0</v>
      </c>
      <c r="J510" t="n">
        <v>0</v>
      </c>
      <c r="K510" t="n">
        <v>0</v>
      </c>
      <c r="L510" t="n">
        <v>0</v>
      </c>
      <c r="M510" t="n">
        <v>0</v>
      </c>
      <c r="N510" t="n">
        <v>0</v>
      </c>
      <c r="O510" t="n">
        <v>0</v>
      </c>
      <c r="P510" t="n">
        <v>0</v>
      </c>
      <c r="Q510" t="n">
        <v>0</v>
      </c>
      <c r="R510" s="2" t="inlineStr"/>
    </row>
    <row r="511" ht="15" customHeight="1">
      <c r="A511" t="inlineStr">
        <is>
          <t>A 39795-2022</t>
        </is>
      </c>
      <c r="B511" s="1" t="n">
        <v>44819.50233796296</v>
      </c>
      <c r="C511" s="1" t="n">
        <v>46033</v>
      </c>
      <c r="D511" t="inlineStr">
        <is>
          <t>UPPSALA LÄN</t>
        </is>
      </c>
      <c r="E511" t="inlineStr">
        <is>
          <t>UPPSALA</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11409-2025</t>
        </is>
      </c>
      <c r="B512" s="1" t="n">
        <v>45726</v>
      </c>
      <c r="C512" s="1" t="n">
        <v>46033</v>
      </c>
      <c r="D512" t="inlineStr">
        <is>
          <t>UPPSALA LÄN</t>
        </is>
      </c>
      <c r="E512" t="inlineStr">
        <is>
          <t>UPPSALA</t>
        </is>
      </c>
      <c r="G512" t="n">
        <v>0.3</v>
      </c>
      <c r="H512" t="n">
        <v>0</v>
      </c>
      <c r="I512" t="n">
        <v>0</v>
      </c>
      <c r="J512" t="n">
        <v>0</v>
      </c>
      <c r="K512" t="n">
        <v>0</v>
      </c>
      <c r="L512" t="n">
        <v>0</v>
      </c>
      <c r="M512" t="n">
        <v>0</v>
      </c>
      <c r="N512" t="n">
        <v>0</v>
      </c>
      <c r="O512" t="n">
        <v>0</v>
      </c>
      <c r="P512" t="n">
        <v>0</v>
      </c>
      <c r="Q512" t="n">
        <v>0</v>
      </c>
      <c r="R512" s="2" t="inlineStr"/>
    </row>
    <row r="513" ht="15" customHeight="1">
      <c r="A513" t="inlineStr">
        <is>
          <t>A 668-2025</t>
        </is>
      </c>
      <c r="B513" s="1" t="n">
        <v>45664</v>
      </c>
      <c r="C513" s="1" t="n">
        <v>46033</v>
      </c>
      <c r="D513" t="inlineStr">
        <is>
          <t>UPPSALA LÄN</t>
        </is>
      </c>
      <c r="E513" t="inlineStr">
        <is>
          <t>UPPSALA</t>
        </is>
      </c>
      <c r="F513" t="inlineStr">
        <is>
          <t>Bergvik skog öst AB</t>
        </is>
      </c>
      <c r="G513" t="n">
        <v>4.7</v>
      </c>
      <c r="H513" t="n">
        <v>0</v>
      </c>
      <c r="I513" t="n">
        <v>0</v>
      </c>
      <c r="J513" t="n">
        <v>0</v>
      </c>
      <c r="K513" t="n">
        <v>0</v>
      </c>
      <c r="L513" t="n">
        <v>0</v>
      </c>
      <c r="M513" t="n">
        <v>0</v>
      </c>
      <c r="N513" t="n">
        <v>0</v>
      </c>
      <c r="O513" t="n">
        <v>0</v>
      </c>
      <c r="P513" t="n">
        <v>0</v>
      </c>
      <c r="Q513" t="n">
        <v>0</v>
      </c>
      <c r="R513" s="2" t="inlineStr"/>
    </row>
    <row r="514" ht="15" customHeight="1">
      <c r="A514" t="inlineStr">
        <is>
          <t>A 28958-2025</t>
        </is>
      </c>
      <c r="B514" s="1" t="n">
        <v>45821.31292824074</v>
      </c>
      <c r="C514" s="1" t="n">
        <v>46033</v>
      </c>
      <c r="D514" t="inlineStr">
        <is>
          <t>UPPSALA LÄN</t>
        </is>
      </c>
      <c r="E514" t="inlineStr">
        <is>
          <t>UPPSALA</t>
        </is>
      </c>
      <c r="G514" t="n">
        <v>4.6</v>
      </c>
      <c r="H514" t="n">
        <v>0</v>
      </c>
      <c r="I514" t="n">
        <v>0</v>
      </c>
      <c r="J514" t="n">
        <v>0</v>
      </c>
      <c r="K514" t="n">
        <v>0</v>
      </c>
      <c r="L514" t="n">
        <v>0</v>
      </c>
      <c r="M514" t="n">
        <v>0</v>
      </c>
      <c r="N514" t="n">
        <v>0</v>
      </c>
      <c r="O514" t="n">
        <v>0</v>
      </c>
      <c r="P514" t="n">
        <v>0</v>
      </c>
      <c r="Q514" t="n">
        <v>0</v>
      </c>
      <c r="R514" s="2" t="inlineStr"/>
    </row>
    <row r="515" ht="15" customHeight="1">
      <c r="A515" t="inlineStr">
        <is>
          <t>A 32923-2025</t>
        </is>
      </c>
      <c r="B515" s="1" t="n">
        <v>45839</v>
      </c>
      <c r="C515" s="1" t="n">
        <v>46033</v>
      </c>
      <c r="D515" t="inlineStr">
        <is>
          <t>UPPSALA LÄN</t>
        </is>
      </c>
      <c r="E515" t="inlineStr">
        <is>
          <t>UPPSALA</t>
        </is>
      </c>
      <c r="G515" t="n">
        <v>5.1</v>
      </c>
      <c r="H515" t="n">
        <v>0</v>
      </c>
      <c r="I515" t="n">
        <v>0</v>
      </c>
      <c r="J515" t="n">
        <v>0</v>
      </c>
      <c r="K515" t="n">
        <v>0</v>
      </c>
      <c r="L515" t="n">
        <v>0</v>
      </c>
      <c r="M515" t="n">
        <v>0</v>
      </c>
      <c r="N515" t="n">
        <v>0</v>
      </c>
      <c r="O515" t="n">
        <v>0</v>
      </c>
      <c r="P515" t="n">
        <v>0</v>
      </c>
      <c r="Q515" t="n">
        <v>0</v>
      </c>
      <c r="R515" s="2" t="inlineStr"/>
    </row>
    <row r="516" ht="15" customHeight="1">
      <c r="A516" t="inlineStr">
        <is>
          <t>A 6408-2022</t>
        </is>
      </c>
      <c r="B516" s="1" t="n">
        <v>44600</v>
      </c>
      <c r="C516" s="1" t="n">
        <v>46033</v>
      </c>
      <c r="D516" t="inlineStr">
        <is>
          <t>UPPSALA LÄN</t>
        </is>
      </c>
      <c r="E516" t="inlineStr">
        <is>
          <t>UPPSALA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24098-2024</t>
        </is>
      </c>
      <c r="B517" s="1" t="n">
        <v>45456.59535879629</v>
      </c>
      <c r="C517" s="1" t="n">
        <v>46033</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5722-2025</t>
        </is>
      </c>
      <c r="B518" s="1" t="n">
        <v>45694</v>
      </c>
      <c r="C518" s="1" t="n">
        <v>46033</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37316-2022</t>
        </is>
      </c>
      <c r="B519" s="1" t="n">
        <v>44806</v>
      </c>
      <c r="C519" s="1" t="n">
        <v>46033</v>
      </c>
      <c r="D519" t="inlineStr">
        <is>
          <t>UPPSALA LÄN</t>
        </is>
      </c>
      <c r="E519" t="inlineStr">
        <is>
          <t>UPPSALA</t>
        </is>
      </c>
      <c r="G519" t="n">
        <v>10.6</v>
      </c>
      <c r="H519" t="n">
        <v>0</v>
      </c>
      <c r="I519" t="n">
        <v>0</v>
      </c>
      <c r="J519" t="n">
        <v>0</v>
      </c>
      <c r="K519" t="n">
        <v>0</v>
      </c>
      <c r="L519" t="n">
        <v>0</v>
      </c>
      <c r="M519" t="n">
        <v>0</v>
      </c>
      <c r="N519" t="n">
        <v>0</v>
      </c>
      <c r="O519" t="n">
        <v>0</v>
      </c>
      <c r="P519" t="n">
        <v>0</v>
      </c>
      <c r="Q519" t="n">
        <v>0</v>
      </c>
      <c r="R519" s="2" t="inlineStr"/>
    </row>
    <row r="520" ht="15" customHeight="1">
      <c r="A520" t="inlineStr">
        <is>
          <t>A 48418-2025</t>
        </is>
      </c>
      <c r="B520" s="1" t="n">
        <v>45934.55967592593</v>
      </c>
      <c r="C520" s="1" t="n">
        <v>46033</v>
      </c>
      <c r="D520" t="inlineStr">
        <is>
          <t>UPPSALA LÄN</t>
        </is>
      </c>
      <c r="E520" t="inlineStr">
        <is>
          <t>UPPSALA</t>
        </is>
      </c>
      <c r="F520" t="inlineStr">
        <is>
          <t>Bergvik skog öst AB</t>
        </is>
      </c>
      <c r="G520" t="n">
        <v>5.2</v>
      </c>
      <c r="H520" t="n">
        <v>0</v>
      </c>
      <c r="I520" t="n">
        <v>0</v>
      </c>
      <c r="J520" t="n">
        <v>0</v>
      </c>
      <c r="K520" t="n">
        <v>0</v>
      </c>
      <c r="L520" t="n">
        <v>0</v>
      </c>
      <c r="M520" t="n">
        <v>0</v>
      </c>
      <c r="N520" t="n">
        <v>0</v>
      </c>
      <c r="O520" t="n">
        <v>0</v>
      </c>
      <c r="P520" t="n">
        <v>0</v>
      </c>
      <c r="Q520" t="n">
        <v>0</v>
      </c>
      <c r="R520" s="2" t="inlineStr"/>
    </row>
    <row r="521" ht="15" customHeight="1">
      <c r="A521" t="inlineStr">
        <is>
          <t>A 6363-2024</t>
        </is>
      </c>
      <c r="B521" s="1" t="n">
        <v>45338.49412037037</v>
      </c>
      <c r="C521" s="1" t="n">
        <v>46033</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32711-2025</t>
        </is>
      </c>
      <c r="B522" s="1" t="n">
        <v>45839</v>
      </c>
      <c r="C522" s="1" t="n">
        <v>46033</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c r="U522">
        <f>HYPERLINK("https://klasma.github.io/Logging_0380/knärot/A 32711-2025 karta knärot.png", "A 32711-2025")</f>
        <v/>
      </c>
      <c r="V522">
        <f>HYPERLINK("https://klasma.github.io/Logging_0380/klagomål/A 32711-2025 FSC-klagomål.docx", "A 32711-2025")</f>
        <v/>
      </c>
      <c r="W522">
        <f>HYPERLINK("https://klasma.github.io/Logging_0380/klagomålsmail/A 32711-2025 FSC-klagomål mail.docx", "A 32711-2025")</f>
        <v/>
      </c>
      <c r="X522">
        <f>HYPERLINK("https://klasma.github.io/Logging_0380/tillsyn/A 32711-2025 tillsynsbegäran.docx", "A 32711-2025")</f>
        <v/>
      </c>
      <c r="Y522">
        <f>HYPERLINK("https://klasma.github.io/Logging_0380/tillsynsmail/A 32711-2025 tillsynsbegäran mail.docx", "A 32711-2025")</f>
        <v/>
      </c>
    </row>
    <row r="523" ht="15" customHeight="1">
      <c r="A523" t="inlineStr">
        <is>
          <t>A 54808-2023</t>
        </is>
      </c>
      <c r="B523" s="1" t="n">
        <v>45236</v>
      </c>
      <c r="C523" s="1" t="n">
        <v>46033</v>
      </c>
      <c r="D523" t="inlineStr">
        <is>
          <t>UPPSALA LÄN</t>
        </is>
      </c>
      <c r="E523" t="inlineStr">
        <is>
          <t>UPPSALA</t>
        </is>
      </c>
      <c r="G523" t="n">
        <v>4.1</v>
      </c>
      <c r="H523" t="n">
        <v>0</v>
      </c>
      <c r="I523" t="n">
        <v>0</v>
      </c>
      <c r="J523" t="n">
        <v>0</v>
      </c>
      <c r="K523" t="n">
        <v>0</v>
      </c>
      <c r="L523" t="n">
        <v>0</v>
      </c>
      <c r="M523" t="n">
        <v>0</v>
      </c>
      <c r="N523" t="n">
        <v>0</v>
      </c>
      <c r="O523" t="n">
        <v>0</v>
      </c>
      <c r="P523" t="n">
        <v>0</v>
      </c>
      <c r="Q523" t="n">
        <v>0</v>
      </c>
      <c r="R523" s="2" t="inlineStr"/>
    </row>
    <row r="524" ht="15" customHeight="1">
      <c r="A524" t="inlineStr">
        <is>
          <t>A 33571-2025</t>
        </is>
      </c>
      <c r="B524" s="1" t="n">
        <v>45841.5847337963</v>
      </c>
      <c r="C524" s="1" t="n">
        <v>46033</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33261-2025</t>
        </is>
      </c>
      <c r="B525" s="1" t="n">
        <v>45840</v>
      </c>
      <c r="C525" s="1" t="n">
        <v>46033</v>
      </c>
      <c r="D525" t="inlineStr">
        <is>
          <t>UPPSALA LÄN</t>
        </is>
      </c>
      <c r="E525" t="inlineStr">
        <is>
          <t>UPPSALA</t>
        </is>
      </c>
      <c r="G525" t="n">
        <v>3.4</v>
      </c>
      <c r="H525" t="n">
        <v>0</v>
      </c>
      <c r="I525" t="n">
        <v>0</v>
      </c>
      <c r="J525" t="n">
        <v>0</v>
      </c>
      <c r="K525" t="n">
        <v>0</v>
      </c>
      <c r="L525" t="n">
        <v>0</v>
      </c>
      <c r="M525" t="n">
        <v>0</v>
      </c>
      <c r="N525" t="n">
        <v>0</v>
      </c>
      <c r="O525" t="n">
        <v>0</v>
      </c>
      <c r="P525" t="n">
        <v>0</v>
      </c>
      <c r="Q525" t="n">
        <v>0</v>
      </c>
      <c r="R525" s="2" t="inlineStr"/>
    </row>
    <row r="526" ht="15" customHeight="1">
      <c r="A526" t="inlineStr">
        <is>
          <t>A 49160-2025</t>
        </is>
      </c>
      <c r="B526" s="1" t="n">
        <v>45938.35063657408</v>
      </c>
      <c r="C526" s="1" t="n">
        <v>46033</v>
      </c>
      <c r="D526" t="inlineStr">
        <is>
          <t>UPPSALA LÄN</t>
        </is>
      </c>
      <c r="E526" t="inlineStr">
        <is>
          <t>UPPSALA</t>
        </is>
      </c>
      <c r="F526" t="inlineStr">
        <is>
          <t>Kyrkan</t>
        </is>
      </c>
      <c r="G526" t="n">
        <v>1.4</v>
      </c>
      <c r="H526" t="n">
        <v>0</v>
      </c>
      <c r="I526" t="n">
        <v>0</v>
      </c>
      <c r="J526" t="n">
        <v>0</v>
      </c>
      <c r="K526" t="n">
        <v>0</v>
      </c>
      <c r="L526" t="n">
        <v>0</v>
      </c>
      <c r="M526" t="n">
        <v>0</v>
      </c>
      <c r="N526" t="n">
        <v>0</v>
      </c>
      <c r="O526" t="n">
        <v>0</v>
      </c>
      <c r="P526" t="n">
        <v>0</v>
      </c>
      <c r="Q526" t="n">
        <v>0</v>
      </c>
      <c r="R526" s="2" t="inlineStr"/>
    </row>
    <row r="527" ht="15" customHeight="1">
      <c r="A527" t="inlineStr">
        <is>
          <t>A 54813-2022</t>
        </is>
      </c>
      <c r="B527" s="1" t="n">
        <v>44883</v>
      </c>
      <c r="C527" s="1" t="n">
        <v>46033</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49094-2025</t>
        </is>
      </c>
      <c r="B528" s="1" t="n">
        <v>45937.68865740741</v>
      </c>
      <c r="C528" s="1" t="n">
        <v>46033</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52523-2025</t>
        </is>
      </c>
      <c r="B529" s="1" t="n">
        <v>45954.528125</v>
      </c>
      <c r="C529" s="1" t="n">
        <v>46033</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49164-2025</t>
        </is>
      </c>
      <c r="B530" s="1" t="n">
        <v>45938.3615625</v>
      </c>
      <c r="C530" s="1" t="n">
        <v>46033</v>
      </c>
      <c r="D530" t="inlineStr">
        <is>
          <t>UPPSALA LÄN</t>
        </is>
      </c>
      <c r="E530" t="inlineStr">
        <is>
          <t>UPPSALA</t>
        </is>
      </c>
      <c r="F530" t="inlineStr">
        <is>
          <t>Kyrkan</t>
        </is>
      </c>
      <c r="G530" t="n">
        <v>1</v>
      </c>
      <c r="H530" t="n">
        <v>0</v>
      </c>
      <c r="I530" t="n">
        <v>0</v>
      </c>
      <c r="J530" t="n">
        <v>0</v>
      </c>
      <c r="K530" t="n">
        <v>0</v>
      </c>
      <c r="L530" t="n">
        <v>0</v>
      </c>
      <c r="M530" t="n">
        <v>0</v>
      </c>
      <c r="N530" t="n">
        <v>0</v>
      </c>
      <c r="O530" t="n">
        <v>0</v>
      </c>
      <c r="P530" t="n">
        <v>0</v>
      </c>
      <c r="Q530" t="n">
        <v>0</v>
      </c>
      <c r="R530" s="2" t="inlineStr"/>
    </row>
    <row r="531" ht="15" customHeight="1">
      <c r="A531" t="inlineStr">
        <is>
          <t>A 35542-2022</t>
        </is>
      </c>
      <c r="B531" s="1" t="n">
        <v>44799.36695601852</v>
      </c>
      <c r="C531" s="1" t="n">
        <v>46033</v>
      </c>
      <c r="D531" t="inlineStr">
        <is>
          <t>UPPSALA LÄN</t>
        </is>
      </c>
      <c r="E531" t="inlineStr">
        <is>
          <t>UPPSALA</t>
        </is>
      </c>
      <c r="G531" t="n">
        <v>3.2</v>
      </c>
      <c r="H531" t="n">
        <v>0</v>
      </c>
      <c r="I531" t="n">
        <v>0</v>
      </c>
      <c r="J531" t="n">
        <v>0</v>
      </c>
      <c r="K531" t="n">
        <v>0</v>
      </c>
      <c r="L531" t="n">
        <v>0</v>
      </c>
      <c r="M531" t="n">
        <v>0</v>
      </c>
      <c r="N531" t="n">
        <v>0</v>
      </c>
      <c r="O531" t="n">
        <v>0</v>
      </c>
      <c r="P531" t="n">
        <v>0</v>
      </c>
      <c r="Q531" t="n">
        <v>0</v>
      </c>
      <c r="R531" s="2" t="inlineStr"/>
    </row>
    <row r="532" ht="15" customHeight="1">
      <c r="A532" t="inlineStr">
        <is>
          <t>A 49463-2025</t>
        </is>
      </c>
      <c r="B532" s="1" t="n">
        <v>45939.32621527778</v>
      </c>
      <c r="C532" s="1" t="n">
        <v>46033</v>
      </c>
      <c r="D532" t="inlineStr">
        <is>
          <t>UPPSALA LÄN</t>
        </is>
      </c>
      <c r="E532" t="inlineStr">
        <is>
          <t>UPPSALA</t>
        </is>
      </c>
      <c r="G532" t="n">
        <v>3.4</v>
      </c>
      <c r="H532" t="n">
        <v>0</v>
      </c>
      <c r="I532" t="n">
        <v>0</v>
      </c>
      <c r="J532" t="n">
        <v>0</v>
      </c>
      <c r="K532" t="n">
        <v>0</v>
      </c>
      <c r="L532" t="n">
        <v>0</v>
      </c>
      <c r="M532" t="n">
        <v>0</v>
      </c>
      <c r="N532" t="n">
        <v>0</v>
      </c>
      <c r="O532" t="n">
        <v>0</v>
      </c>
      <c r="P532" t="n">
        <v>0</v>
      </c>
      <c r="Q532" t="n">
        <v>0</v>
      </c>
      <c r="R532" s="2" t="inlineStr"/>
    </row>
    <row r="533" ht="15" customHeight="1">
      <c r="A533" t="inlineStr">
        <is>
          <t>A 49080-2025</t>
        </is>
      </c>
      <c r="B533" s="1" t="n">
        <v>45937</v>
      </c>
      <c r="C533" s="1" t="n">
        <v>46033</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49098-2025</t>
        </is>
      </c>
      <c r="B534" s="1" t="n">
        <v>45937</v>
      </c>
      <c r="C534" s="1" t="n">
        <v>46033</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47316-2023</t>
        </is>
      </c>
      <c r="B535" s="1" t="n">
        <v>45202.4997337963</v>
      </c>
      <c r="C535" s="1" t="n">
        <v>46033</v>
      </c>
      <c r="D535" t="inlineStr">
        <is>
          <t>UPPSALA LÄN</t>
        </is>
      </c>
      <c r="E535" t="inlineStr">
        <is>
          <t>UPPSALA</t>
        </is>
      </c>
      <c r="F535" t="inlineStr">
        <is>
          <t>Bergvik skog öst AB</t>
        </is>
      </c>
      <c r="G535" t="n">
        <v>0.3</v>
      </c>
      <c r="H535" t="n">
        <v>0</v>
      </c>
      <c r="I535" t="n">
        <v>0</v>
      </c>
      <c r="J535" t="n">
        <v>0</v>
      </c>
      <c r="K535" t="n">
        <v>0</v>
      </c>
      <c r="L535" t="n">
        <v>0</v>
      </c>
      <c r="M535" t="n">
        <v>0</v>
      </c>
      <c r="N535" t="n">
        <v>0</v>
      </c>
      <c r="O535" t="n">
        <v>0</v>
      </c>
      <c r="P535" t="n">
        <v>0</v>
      </c>
      <c r="Q535" t="n">
        <v>0</v>
      </c>
      <c r="R535" s="2" t="inlineStr"/>
    </row>
    <row r="536" ht="15" customHeight="1">
      <c r="A536" t="inlineStr">
        <is>
          <t>A 6851-2022</t>
        </is>
      </c>
      <c r="B536" s="1" t="n">
        <v>44602</v>
      </c>
      <c r="C536" s="1" t="n">
        <v>46033</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49938-2025</t>
        </is>
      </c>
      <c r="B537" s="1" t="n">
        <v>45940</v>
      </c>
      <c r="C537" s="1" t="n">
        <v>46033</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39107-2023</t>
        </is>
      </c>
      <c r="B538" s="1" t="n">
        <v>45164.82913194445</v>
      </c>
      <c r="C538" s="1" t="n">
        <v>46033</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52517-2025</t>
        </is>
      </c>
      <c r="B539" s="1" t="n">
        <v>45954.51438657408</v>
      </c>
      <c r="C539" s="1" t="n">
        <v>46033</v>
      </c>
      <c r="D539" t="inlineStr">
        <is>
          <t>UPPSALA LÄN</t>
        </is>
      </c>
      <c r="E539" t="inlineStr">
        <is>
          <t>UPPSALA</t>
        </is>
      </c>
      <c r="G539" t="n">
        <v>10.3</v>
      </c>
      <c r="H539" t="n">
        <v>0</v>
      </c>
      <c r="I539" t="n">
        <v>0</v>
      </c>
      <c r="J539" t="n">
        <v>0</v>
      </c>
      <c r="K539" t="n">
        <v>0</v>
      </c>
      <c r="L539" t="n">
        <v>0</v>
      </c>
      <c r="M539" t="n">
        <v>0</v>
      </c>
      <c r="N539" t="n">
        <v>0</v>
      </c>
      <c r="O539" t="n">
        <v>0</v>
      </c>
      <c r="P539" t="n">
        <v>0</v>
      </c>
      <c r="Q539" t="n">
        <v>0</v>
      </c>
      <c r="R539" s="2" t="inlineStr"/>
    </row>
    <row r="540" ht="15" customHeight="1">
      <c r="A540" t="inlineStr">
        <is>
          <t>A 49986-2025</t>
        </is>
      </c>
      <c r="B540" s="1" t="n">
        <v>45942.79476851852</v>
      </c>
      <c r="C540" s="1" t="n">
        <v>46033</v>
      </c>
      <c r="D540" t="inlineStr">
        <is>
          <t>UPPSALA LÄN</t>
        </is>
      </c>
      <c r="E540" t="inlineStr">
        <is>
          <t>UPPSALA</t>
        </is>
      </c>
      <c r="F540" t="inlineStr">
        <is>
          <t>Bergvik skog öst AB</t>
        </is>
      </c>
      <c r="G540" t="n">
        <v>4.5</v>
      </c>
      <c r="H540" t="n">
        <v>0</v>
      </c>
      <c r="I540" t="n">
        <v>0</v>
      </c>
      <c r="J540" t="n">
        <v>0</v>
      </c>
      <c r="K540" t="n">
        <v>0</v>
      </c>
      <c r="L540" t="n">
        <v>0</v>
      </c>
      <c r="M540" t="n">
        <v>0</v>
      </c>
      <c r="N540" t="n">
        <v>0</v>
      </c>
      <c r="O540" t="n">
        <v>0</v>
      </c>
      <c r="P540" t="n">
        <v>0</v>
      </c>
      <c r="Q540" t="n">
        <v>0</v>
      </c>
      <c r="R540" s="2" t="inlineStr"/>
    </row>
    <row r="541" ht="15" customHeight="1">
      <c r="A541" t="inlineStr">
        <is>
          <t>A 33964-2025</t>
        </is>
      </c>
      <c r="B541" s="1" t="n">
        <v>45842.74049768518</v>
      </c>
      <c r="C541" s="1" t="n">
        <v>46033</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49989-2025</t>
        </is>
      </c>
      <c r="B542" s="1" t="n">
        <v>45942.8396412037</v>
      </c>
      <c r="C542" s="1" t="n">
        <v>46033</v>
      </c>
      <c r="D542" t="inlineStr">
        <is>
          <t>UPPSALA LÄN</t>
        </is>
      </c>
      <c r="E542" t="inlineStr">
        <is>
          <t>UPPSALA</t>
        </is>
      </c>
      <c r="G542" t="n">
        <v>2.4</v>
      </c>
      <c r="H542" t="n">
        <v>0</v>
      </c>
      <c r="I542" t="n">
        <v>0</v>
      </c>
      <c r="J542" t="n">
        <v>0</v>
      </c>
      <c r="K542" t="n">
        <v>0</v>
      </c>
      <c r="L542" t="n">
        <v>0</v>
      </c>
      <c r="M542" t="n">
        <v>0</v>
      </c>
      <c r="N542" t="n">
        <v>0</v>
      </c>
      <c r="O542" t="n">
        <v>0</v>
      </c>
      <c r="P542" t="n">
        <v>0</v>
      </c>
      <c r="Q542" t="n">
        <v>0</v>
      </c>
      <c r="R542" s="2" t="inlineStr"/>
    </row>
    <row r="543" ht="15" customHeight="1">
      <c r="A543" t="inlineStr">
        <is>
          <t>A 36478-2023</t>
        </is>
      </c>
      <c r="B543" s="1" t="n">
        <v>45152</v>
      </c>
      <c r="C543" s="1" t="n">
        <v>46033</v>
      </c>
      <c r="D543" t="inlineStr">
        <is>
          <t>UPPSALA LÄN</t>
        </is>
      </c>
      <c r="E543" t="inlineStr">
        <is>
          <t>UPPSALA</t>
        </is>
      </c>
      <c r="F543" t="inlineStr">
        <is>
          <t>Allmännings- och besparingsskogar</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3314-2025</t>
        </is>
      </c>
      <c r="B544" s="1" t="n">
        <v>45679</v>
      </c>
      <c r="C544" s="1" t="n">
        <v>46033</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49988-2025</t>
        </is>
      </c>
      <c r="B545" s="1" t="n">
        <v>45942.80318287037</v>
      </c>
      <c r="C545" s="1" t="n">
        <v>46033</v>
      </c>
      <c r="D545" t="inlineStr">
        <is>
          <t>UPPSALA LÄN</t>
        </is>
      </c>
      <c r="E545" t="inlineStr">
        <is>
          <t>UPPSALA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49937-2025</t>
        </is>
      </c>
      <c r="B546" s="1" t="n">
        <v>45940.67084490741</v>
      </c>
      <c r="C546" s="1" t="n">
        <v>46033</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49940-2025</t>
        </is>
      </c>
      <c r="B547" s="1" t="n">
        <v>45940.67305555556</v>
      </c>
      <c r="C547" s="1" t="n">
        <v>46033</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18625-2025</t>
        </is>
      </c>
      <c r="B548" s="1" t="n">
        <v>45763.52744212963</v>
      </c>
      <c r="C548" s="1" t="n">
        <v>46033</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48564-2023</t>
        </is>
      </c>
      <c r="B549" s="1" t="n">
        <v>45208.4350462963</v>
      </c>
      <c r="C549" s="1" t="n">
        <v>46033</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50232-2025</t>
        </is>
      </c>
      <c r="B550" s="1" t="n">
        <v>45943.70756944444</v>
      </c>
      <c r="C550" s="1" t="n">
        <v>46033</v>
      </c>
      <c r="D550" t="inlineStr">
        <is>
          <t>UPPSALA LÄN</t>
        </is>
      </c>
      <c r="E550" t="inlineStr">
        <is>
          <t>UPPSALA</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21727-2023</t>
        </is>
      </c>
      <c r="B551" s="1" t="n">
        <v>45065.43013888889</v>
      </c>
      <c r="C551" s="1" t="n">
        <v>46033</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49829-2025</t>
        </is>
      </c>
      <c r="B552" s="1" t="n">
        <v>45940.45038194444</v>
      </c>
      <c r="C552" s="1" t="n">
        <v>46033</v>
      </c>
      <c r="D552" t="inlineStr">
        <is>
          <t>UPPSALA LÄN</t>
        </is>
      </c>
      <c r="E552" t="inlineStr">
        <is>
          <t>UPPSALA</t>
        </is>
      </c>
      <c r="F552" t="inlineStr">
        <is>
          <t>Bergvik skog öst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18668-2024</t>
        </is>
      </c>
      <c r="B553" s="1" t="n">
        <v>45426.34148148148</v>
      </c>
      <c r="C553" s="1" t="n">
        <v>46033</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49990-2025</t>
        </is>
      </c>
      <c r="B554" s="1" t="n">
        <v>45942.84414351852</v>
      </c>
      <c r="C554" s="1" t="n">
        <v>46033</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49987-2025</t>
        </is>
      </c>
      <c r="B555" s="1" t="n">
        <v>45942.80185185185</v>
      </c>
      <c r="C555" s="1" t="n">
        <v>46033</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34132-2025</t>
        </is>
      </c>
      <c r="B556" s="1" t="n">
        <v>45845.53202546296</v>
      </c>
      <c r="C556" s="1" t="n">
        <v>46033</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32276-2021</t>
        </is>
      </c>
      <c r="B557" s="1" t="n">
        <v>44371.49178240741</v>
      </c>
      <c r="C557" s="1" t="n">
        <v>46033</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11103-2025</t>
        </is>
      </c>
      <c r="B558" s="1" t="n">
        <v>45723</v>
      </c>
      <c r="C558" s="1" t="n">
        <v>46033</v>
      </c>
      <c r="D558" t="inlineStr">
        <is>
          <t>UPPSALA LÄN</t>
        </is>
      </c>
      <c r="E558" t="inlineStr">
        <is>
          <t>UPPSALA</t>
        </is>
      </c>
      <c r="G558" t="n">
        <v>7.9</v>
      </c>
      <c r="H558" t="n">
        <v>0</v>
      </c>
      <c r="I558" t="n">
        <v>0</v>
      </c>
      <c r="J558" t="n">
        <v>0</v>
      </c>
      <c r="K558" t="n">
        <v>0</v>
      </c>
      <c r="L558" t="n">
        <v>0</v>
      </c>
      <c r="M558" t="n">
        <v>0</v>
      </c>
      <c r="N558" t="n">
        <v>0</v>
      </c>
      <c r="O558" t="n">
        <v>0</v>
      </c>
      <c r="P558" t="n">
        <v>0</v>
      </c>
      <c r="Q558" t="n">
        <v>0</v>
      </c>
      <c r="R558" s="2" t="inlineStr"/>
    </row>
    <row r="559" ht="15" customHeight="1">
      <c r="A559" t="inlineStr">
        <is>
          <t>A 6549-2025</t>
        </is>
      </c>
      <c r="B559" s="1" t="n">
        <v>45699</v>
      </c>
      <c r="C559" s="1" t="n">
        <v>46033</v>
      </c>
      <c r="D559" t="inlineStr">
        <is>
          <t>UPPSALA LÄN</t>
        </is>
      </c>
      <c r="E559" t="inlineStr">
        <is>
          <t>UPPSALA</t>
        </is>
      </c>
      <c r="G559" t="n">
        <v>2.4</v>
      </c>
      <c r="H559" t="n">
        <v>0</v>
      </c>
      <c r="I559" t="n">
        <v>0</v>
      </c>
      <c r="J559" t="n">
        <v>0</v>
      </c>
      <c r="K559" t="n">
        <v>0</v>
      </c>
      <c r="L559" t="n">
        <v>0</v>
      </c>
      <c r="M559" t="n">
        <v>0</v>
      </c>
      <c r="N559" t="n">
        <v>0</v>
      </c>
      <c r="O559" t="n">
        <v>0</v>
      </c>
      <c r="P559" t="n">
        <v>0</v>
      </c>
      <c r="Q559" t="n">
        <v>0</v>
      </c>
      <c r="R559" s="2" t="inlineStr"/>
    </row>
    <row r="560" ht="15" customHeight="1">
      <c r="A560" t="inlineStr">
        <is>
          <t>A 6999-2023</t>
        </is>
      </c>
      <c r="B560" s="1" t="n">
        <v>44967.80034722222</v>
      </c>
      <c r="C560" s="1" t="n">
        <v>46033</v>
      </c>
      <c r="D560" t="inlineStr">
        <is>
          <t>UPPSALA LÄN</t>
        </is>
      </c>
      <c r="E560" t="inlineStr">
        <is>
          <t>UPPSALA</t>
        </is>
      </c>
      <c r="G560" t="n">
        <v>1</v>
      </c>
      <c r="H560" t="n">
        <v>0</v>
      </c>
      <c r="I560" t="n">
        <v>0</v>
      </c>
      <c r="J560" t="n">
        <v>0</v>
      </c>
      <c r="K560" t="n">
        <v>0</v>
      </c>
      <c r="L560" t="n">
        <v>0</v>
      </c>
      <c r="M560" t="n">
        <v>0</v>
      </c>
      <c r="N560" t="n">
        <v>0</v>
      </c>
      <c r="O560" t="n">
        <v>0</v>
      </c>
      <c r="P560" t="n">
        <v>0</v>
      </c>
      <c r="Q560" t="n">
        <v>0</v>
      </c>
      <c r="R560" s="2" t="inlineStr"/>
    </row>
    <row r="561" ht="15" customHeight="1">
      <c r="A561" t="inlineStr">
        <is>
          <t>A 50591-2025</t>
        </is>
      </c>
      <c r="B561" s="1" t="n">
        <v>45944</v>
      </c>
      <c r="C561" s="1" t="n">
        <v>46033</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7002-2023</t>
        </is>
      </c>
      <c r="B562" s="1" t="n">
        <v>44967</v>
      </c>
      <c r="C562" s="1" t="n">
        <v>46033</v>
      </c>
      <c r="D562" t="inlineStr">
        <is>
          <t>UPPSALA LÄN</t>
        </is>
      </c>
      <c r="E562" t="inlineStr">
        <is>
          <t>UPPSALA</t>
        </is>
      </c>
      <c r="G562" t="n">
        <v>5</v>
      </c>
      <c r="H562" t="n">
        <v>0</v>
      </c>
      <c r="I562" t="n">
        <v>0</v>
      </c>
      <c r="J562" t="n">
        <v>0</v>
      </c>
      <c r="K562" t="n">
        <v>0</v>
      </c>
      <c r="L562" t="n">
        <v>0</v>
      </c>
      <c r="M562" t="n">
        <v>0</v>
      </c>
      <c r="N562" t="n">
        <v>0</v>
      </c>
      <c r="O562" t="n">
        <v>0</v>
      </c>
      <c r="P562" t="n">
        <v>0</v>
      </c>
      <c r="Q562" t="n">
        <v>0</v>
      </c>
      <c r="R562" s="2" t="inlineStr"/>
    </row>
    <row r="563" ht="15" customHeight="1">
      <c r="A563" t="inlineStr">
        <is>
          <t>A 41112-2025</t>
        </is>
      </c>
      <c r="B563" s="1" t="n">
        <v>45898.46040509259</v>
      </c>
      <c r="C563" s="1" t="n">
        <v>46033</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57871-2024</t>
        </is>
      </c>
      <c r="B564" s="1" t="n">
        <v>45631.44464120371</v>
      </c>
      <c r="C564" s="1" t="n">
        <v>46033</v>
      </c>
      <c r="D564" t="inlineStr">
        <is>
          <t>UPPSALA LÄN</t>
        </is>
      </c>
      <c r="E564" t="inlineStr">
        <is>
          <t>UPPSALA</t>
        </is>
      </c>
      <c r="G564" t="n">
        <v>2.9</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46033</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34893-2025</t>
        </is>
      </c>
      <c r="B566" s="1" t="n">
        <v>45849.49259259259</v>
      </c>
      <c r="C566" s="1" t="n">
        <v>46033</v>
      </c>
      <c r="D566" t="inlineStr">
        <is>
          <t>UPPSALA LÄN</t>
        </is>
      </c>
      <c r="E566" t="inlineStr">
        <is>
          <t>UPPSALA</t>
        </is>
      </c>
      <c r="G566" t="n">
        <v>1.5</v>
      </c>
      <c r="H566" t="n">
        <v>0</v>
      </c>
      <c r="I566" t="n">
        <v>0</v>
      </c>
      <c r="J566" t="n">
        <v>0</v>
      </c>
      <c r="K566" t="n">
        <v>0</v>
      </c>
      <c r="L566" t="n">
        <v>0</v>
      </c>
      <c r="M566" t="n">
        <v>0</v>
      </c>
      <c r="N566" t="n">
        <v>0</v>
      </c>
      <c r="O566" t="n">
        <v>0</v>
      </c>
      <c r="P566" t="n">
        <v>0</v>
      </c>
      <c r="Q566" t="n">
        <v>0</v>
      </c>
      <c r="R566" s="2" t="inlineStr"/>
    </row>
    <row r="567" ht="15" customHeight="1">
      <c r="A567" t="inlineStr">
        <is>
          <t>A 12606-2023</t>
        </is>
      </c>
      <c r="B567" s="1" t="n">
        <v>45000.44666666666</v>
      </c>
      <c r="C567" s="1" t="n">
        <v>46033</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6602-2023</t>
        </is>
      </c>
      <c r="B568" s="1" t="n">
        <v>44966</v>
      </c>
      <c r="C568" s="1" t="n">
        <v>46033</v>
      </c>
      <c r="D568" t="inlineStr">
        <is>
          <t>UPPSALA LÄN</t>
        </is>
      </c>
      <c r="E568" t="inlineStr">
        <is>
          <t>UPPSALA</t>
        </is>
      </c>
      <c r="F568" t="inlineStr">
        <is>
          <t>Allmännings- och besparingsskogar</t>
        </is>
      </c>
      <c r="G568" t="n">
        <v>20.2</v>
      </c>
      <c r="H568" t="n">
        <v>0</v>
      </c>
      <c r="I568" t="n">
        <v>0</v>
      </c>
      <c r="J568" t="n">
        <v>0</v>
      </c>
      <c r="K568" t="n">
        <v>0</v>
      </c>
      <c r="L568" t="n">
        <v>0</v>
      </c>
      <c r="M568" t="n">
        <v>0</v>
      </c>
      <c r="N568" t="n">
        <v>0</v>
      </c>
      <c r="O568" t="n">
        <v>0</v>
      </c>
      <c r="P568" t="n">
        <v>0</v>
      </c>
      <c r="Q568" t="n">
        <v>0</v>
      </c>
      <c r="R568" s="2" t="inlineStr"/>
    </row>
    <row r="569" ht="15" customHeight="1">
      <c r="A569" t="inlineStr">
        <is>
          <t>A 53224-2025</t>
        </is>
      </c>
      <c r="B569" s="1" t="n">
        <v>45958.60826388889</v>
      </c>
      <c r="C569" s="1" t="n">
        <v>46033</v>
      </c>
      <c r="D569" t="inlineStr">
        <is>
          <t>UPPSALA LÄN</t>
        </is>
      </c>
      <c r="E569" t="inlineStr">
        <is>
          <t>UPPSALA</t>
        </is>
      </c>
      <c r="F569" t="inlineStr">
        <is>
          <t>Bergvik skog väst AB</t>
        </is>
      </c>
      <c r="G569" t="n">
        <v>3.7</v>
      </c>
      <c r="H569" t="n">
        <v>0</v>
      </c>
      <c r="I569" t="n">
        <v>0</v>
      </c>
      <c r="J569" t="n">
        <v>0</v>
      </c>
      <c r="K569" t="n">
        <v>0</v>
      </c>
      <c r="L569" t="n">
        <v>0</v>
      </c>
      <c r="M569" t="n">
        <v>0</v>
      </c>
      <c r="N569" t="n">
        <v>0</v>
      </c>
      <c r="O569" t="n">
        <v>0</v>
      </c>
      <c r="P569" t="n">
        <v>0</v>
      </c>
      <c r="Q569" t="n">
        <v>0</v>
      </c>
      <c r="R569" s="2" t="inlineStr"/>
    </row>
    <row r="570" ht="15" customHeight="1">
      <c r="A570" t="inlineStr">
        <is>
          <t>A 53230-2025</t>
        </is>
      </c>
      <c r="B570" s="1" t="n">
        <v>45958.62303240741</v>
      </c>
      <c r="C570" s="1" t="n">
        <v>46033</v>
      </c>
      <c r="D570" t="inlineStr">
        <is>
          <t>UPPSALA LÄN</t>
        </is>
      </c>
      <c r="E570" t="inlineStr">
        <is>
          <t>UPPSALA</t>
        </is>
      </c>
      <c r="F570" t="inlineStr">
        <is>
          <t>Bergvik skog väst AB</t>
        </is>
      </c>
      <c r="G570" t="n">
        <v>2.2</v>
      </c>
      <c r="H570" t="n">
        <v>0</v>
      </c>
      <c r="I570" t="n">
        <v>0</v>
      </c>
      <c r="J570" t="n">
        <v>0</v>
      </c>
      <c r="K570" t="n">
        <v>0</v>
      </c>
      <c r="L570" t="n">
        <v>0</v>
      </c>
      <c r="M570" t="n">
        <v>0</v>
      </c>
      <c r="N570" t="n">
        <v>0</v>
      </c>
      <c r="O570" t="n">
        <v>0</v>
      </c>
      <c r="P570" t="n">
        <v>0</v>
      </c>
      <c r="Q570" t="n">
        <v>0</v>
      </c>
      <c r="R570" s="2" t="inlineStr"/>
    </row>
    <row r="571" ht="15" customHeight="1">
      <c r="A571" t="inlineStr">
        <is>
          <t>A 60820-2024</t>
        </is>
      </c>
      <c r="B571" s="1" t="n">
        <v>45644.62677083333</v>
      </c>
      <c r="C571" s="1" t="n">
        <v>46033</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35056-2025</t>
        </is>
      </c>
      <c r="B572" s="1" t="n">
        <v>45852.39642361111</v>
      </c>
      <c r="C572" s="1" t="n">
        <v>46033</v>
      </c>
      <c r="D572" t="inlineStr">
        <is>
          <t>UPPSALA LÄN</t>
        </is>
      </c>
      <c r="E572" t="inlineStr">
        <is>
          <t>UPPSALA</t>
        </is>
      </c>
      <c r="G572" t="n">
        <v>2.6</v>
      </c>
      <c r="H572" t="n">
        <v>0</v>
      </c>
      <c r="I572" t="n">
        <v>0</v>
      </c>
      <c r="J572" t="n">
        <v>0</v>
      </c>
      <c r="K572" t="n">
        <v>0</v>
      </c>
      <c r="L572" t="n">
        <v>0</v>
      </c>
      <c r="M572" t="n">
        <v>0</v>
      </c>
      <c r="N572" t="n">
        <v>0</v>
      </c>
      <c r="O572" t="n">
        <v>0</v>
      </c>
      <c r="P572" t="n">
        <v>0</v>
      </c>
      <c r="Q572" t="n">
        <v>0</v>
      </c>
      <c r="R572" s="2" t="inlineStr"/>
    </row>
    <row r="573" ht="15" customHeight="1">
      <c r="A573" t="inlineStr">
        <is>
          <t>A 18675-2024</t>
        </is>
      </c>
      <c r="B573" s="1" t="n">
        <v>45426</v>
      </c>
      <c r="C573" s="1" t="n">
        <v>46033</v>
      </c>
      <c r="D573" t="inlineStr">
        <is>
          <t>UPPSALA LÄN</t>
        </is>
      </c>
      <c r="E573" t="inlineStr">
        <is>
          <t>UPPSALA</t>
        </is>
      </c>
      <c r="G573" t="n">
        <v>8.1</v>
      </c>
      <c r="H573" t="n">
        <v>0</v>
      </c>
      <c r="I573" t="n">
        <v>0</v>
      </c>
      <c r="J573" t="n">
        <v>0</v>
      </c>
      <c r="K573" t="n">
        <v>0</v>
      </c>
      <c r="L573" t="n">
        <v>0</v>
      </c>
      <c r="M573" t="n">
        <v>0</v>
      </c>
      <c r="N573" t="n">
        <v>0</v>
      </c>
      <c r="O573" t="n">
        <v>0</v>
      </c>
      <c r="P573" t="n">
        <v>0</v>
      </c>
      <c r="Q573" t="n">
        <v>0</v>
      </c>
      <c r="R573" s="2" t="inlineStr"/>
    </row>
    <row r="574" ht="15" customHeight="1">
      <c r="A574" t="inlineStr">
        <is>
          <t>A 44115-2023</t>
        </is>
      </c>
      <c r="B574" s="1" t="n">
        <v>45188</v>
      </c>
      <c r="C574" s="1" t="n">
        <v>46033</v>
      </c>
      <c r="D574" t="inlineStr">
        <is>
          <t>UPPSALA LÄN</t>
        </is>
      </c>
      <c r="E574" t="inlineStr">
        <is>
          <t>UPPSALA</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35167-2025</t>
        </is>
      </c>
      <c r="B575" s="1" t="n">
        <v>45852.72965277778</v>
      </c>
      <c r="C575" s="1" t="n">
        <v>46033</v>
      </c>
      <c r="D575" t="inlineStr">
        <is>
          <t>UPPSALA LÄN</t>
        </is>
      </c>
      <c r="E575" t="inlineStr">
        <is>
          <t>UPPSALA</t>
        </is>
      </c>
      <c r="F575" t="inlineStr">
        <is>
          <t>Holmen skog AB</t>
        </is>
      </c>
      <c r="G575" t="n">
        <v>10</v>
      </c>
      <c r="H575" t="n">
        <v>0</v>
      </c>
      <c r="I575" t="n">
        <v>0</v>
      </c>
      <c r="J575" t="n">
        <v>0</v>
      </c>
      <c r="K575" t="n">
        <v>0</v>
      </c>
      <c r="L575" t="n">
        <v>0</v>
      </c>
      <c r="M575" t="n">
        <v>0</v>
      </c>
      <c r="N575" t="n">
        <v>0</v>
      </c>
      <c r="O575" t="n">
        <v>0</v>
      </c>
      <c r="P575" t="n">
        <v>0</v>
      </c>
      <c r="Q575" t="n">
        <v>0</v>
      </c>
      <c r="R575" s="2" t="inlineStr"/>
    </row>
    <row r="576" ht="15" customHeight="1">
      <c r="A576" t="inlineStr">
        <is>
          <t>A 35150-2025</t>
        </is>
      </c>
      <c r="B576" s="1" t="n">
        <v>45852</v>
      </c>
      <c r="C576" s="1" t="n">
        <v>46033</v>
      </c>
      <c r="D576" t="inlineStr">
        <is>
          <t>UPPSALA LÄN</t>
        </is>
      </c>
      <c r="E576" t="inlineStr">
        <is>
          <t>UPPSALA</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42063-2023</t>
        </is>
      </c>
      <c r="B577" s="1" t="n">
        <v>45177.56940972222</v>
      </c>
      <c r="C577" s="1" t="n">
        <v>46033</v>
      </c>
      <c r="D577" t="inlineStr">
        <is>
          <t>UPPSALA LÄN</t>
        </is>
      </c>
      <c r="E577" t="inlineStr">
        <is>
          <t>UPPSALA</t>
        </is>
      </c>
      <c r="G577" t="n">
        <v>5.6</v>
      </c>
      <c r="H577" t="n">
        <v>0</v>
      </c>
      <c r="I577" t="n">
        <v>0</v>
      </c>
      <c r="J577" t="n">
        <v>0</v>
      </c>
      <c r="K577" t="n">
        <v>0</v>
      </c>
      <c r="L577" t="n">
        <v>0</v>
      </c>
      <c r="M577" t="n">
        <v>0</v>
      </c>
      <c r="N577" t="n">
        <v>0</v>
      </c>
      <c r="O577" t="n">
        <v>0</v>
      </c>
      <c r="P577" t="n">
        <v>0</v>
      </c>
      <c r="Q577" t="n">
        <v>0</v>
      </c>
      <c r="R577" s="2" t="inlineStr"/>
    </row>
    <row r="578" ht="15" customHeight="1">
      <c r="A578" t="inlineStr">
        <is>
          <t>A 35015-2025</t>
        </is>
      </c>
      <c r="B578" s="1" t="n">
        <v>45851.62018518519</v>
      </c>
      <c r="C578" s="1" t="n">
        <v>46033</v>
      </c>
      <c r="D578" t="inlineStr">
        <is>
          <t>UPPSALA LÄN</t>
        </is>
      </c>
      <c r="E578" t="inlineStr">
        <is>
          <t>UPPSALA</t>
        </is>
      </c>
      <c r="F578" t="inlineStr">
        <is>
          <t>Bergvik skog öst AB</t>
        </is>
      </c>
      <c r="G578" t="n">
        <v>0.3</v>
      </c>
      <c r="H578" t="n">
        <v>0</v>
      </c>
      <c r="I578" t="n">
        <v>0</v>
      </c>
      <c r="J578" t="n">
        <v>0</v>
      </c>
      <c r="K578" t="n">
        <v>0</v>
      </c>
      <c r="L578" t="n">
        <v>0</v>
      </c>
      <c r="M578" t="n">
        <v>0</v>
      </c>
      <c r="N578" t="n">
        <v>0</v>
      </c>
      <c r="O578" t="n">
        <v>0</v>
      </c>
      <c r="P578" t="n">
        <v>0</v>
      </c>
      <c r="Q578" t="n">
        <v>0</v>
      </c>
      <c r="R578" s="2" t="inlineStr"/>
    </row>
    <row r="579" ht="15" customHeight="1">
      <c r="A579" t="inlineStr">
        <is>
          <t>A 74493-2021</t>
        </is>
      </c>
      <c r="B579" s="1" t="n">
        <v>44560</v>
      </c>
      <c r="C579" s="1" t="n">
        <v>46033</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35155-2025</t>
        </is>
      </c>
      <c r="B580" s="1" t="n">
        <v>45852.68978009259</v>
      </c>
      <c r="C580" s="1" t="n">
        <v>46033</v>
      </c>
      <c r="D580" t="inlineStr">
        <is>
          <t>UPPSALA LÄN</t>
        </is>
      </c>
      <c r="E580" t="inlineStr">
        <is>
          <t>UPPSALA</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35148-2025</t>
        </is>
      </c>
      <c r="B581" s="1" t="n">
        <v>45852.67366898148</v>
      </c>
      <c r="C581" s="1" t="n">
        <v>46033</v>
      </c>
      <c r="D581" t="inlineStr">
        <is>
          <t>UPPSALA LÄN</t>
        </is>
      </c>
      <c r="E581" t="inlineStr">
        <is>
          <t>UPPSALA</t>
        </is>
      </c>
      <c r="F581" t="inlineStr">
        <is>
          <t>Holmen skog AB</t>
        </is>
      </c>
      <c r="G581" t="n">
        <v>2.2</v>
      </c>
      <c r="H581" t="n">
        <v>0</v>
      </c>
      <c r="I581" t="n">
        <v>0</v>
      </c>
      <c r="J581" t="n">
        <v>0</v>
      </c>
      <c r="K581" t="n">
        <v>0</v>
      </c>
      <c r="L581" t="n">
        <v>0</v>
      </c>
      <c r="M581" t="n">
        <v>0</v>
      </c>
      <c r="N581" t="n">
        <v>0</v>
      </c>
      <c r="O581" t="n">
        <v>0</v>
      </c>
      <c r="P581" t="n">
        <v>0</v>
      </c>
      <c r="Q581" t="n">
        <v>0</v>
      </c>
      <c r="R581" s="2" t="inlineStr"/>
    </row>
    <row r="582" ht="15" customHeight="1">
      <c r="A582" t="inlineStr">
        <is>
          <t>A 35053-2025</t>
        </is>
      </c>
      <c r="B582" s="1" t="n">
        <v>45852.36871527778</v>
      </c>
      <c r="C582" s="1" t="n">
        <v>46033</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17481-2023</t>
        </is>
      </c>
      <c r="B583" s="1" t="n">
        <v>45036</v>
      </c>
      <c r="C583" s="1" t="n">
        <v>46033</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35014-2025</t>
        </is>
      </c>
      <c r="B584" s="1" t="n">
        <v>45851.60097222222</v>
      </c>
      <c r="C584" s="1" t="n">
        <v>46033</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53322-2025</t>
        </is>
      </c>
      <c r="B585" s="1" t="n">
        <v>45959.35965277778</v>
      </c>
      <c r="C585" s="1" t="n">
        <v>46033</v>
      </c>
      <c r="D585" t="inlineStr">
        <is>
          <t>UPPSALA LÄN</t>
        </is>
      </c>
      <c r="E585" t="inlineStr">
        <is>
          <t>UPPSALA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2695-2025</t>
        </is>
      </c>
      <c r="B586" s="1" t="n">
        <v>45677.39440972222</v>
      </c>
      <c r="C586" s="1" t="n">
        <v>46033</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46033</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53234-2025</t>
        </is>
      </c>
      <c r="B588" s="1" t="n">
        <v>45958.62765046296</v>
      </c>
      <c r="C588" s="1" t="n">
        <v>46033</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53235-2025</t>
        </is>
      </c>
      <c r="B589" s="1" t="n">
        <v>45958.62983796297</v>
      </c>
      <c r="C589" s="1" t="n">
        <v>46033</v>
      </c>
      <c r="D589" t="inlineStr">
        <is>
          <t>UPPSALA LÄN</t>
        </is>
      </c>
      <c r="E589" t="inlineStr">
        <is>
          <t>UPPSALA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15629-2023</t>
        </is>
      </c>
      <c r="B590" s="1" t="n">
        <v>45021.29524305555</v>
      </c>
      <c r="C590" s="1" t="n">
        <v>46033</v>
      </c>
      <c r="D590" t="inlineStr">
        <is>
          <t>UPPSALA LÄN</t>
        </is>
      </c>
      <c r="E590" t="inlineStr">
        <is>
          <t>UPPSALA</t>
        </is>
      </c>
      <c r="F590" t="inlineStr">
        <is>
          <t>Övriga Aktiebolag</t>
        </is>
      </c>
      <c r="G590" t="n">
        <v>7</v>
      </c>
      <c r="H590" t="n">
        <v>0</v>
      </c>
      <c r="I590" t="n">
        <v>0</v>
      </c>
      <c r="J590" t="n">
        <v>0</v>
      </c>
      <c r="K590" t="n">
        <v>0</v>
      </c>
      <c r="L590" t="n">
        <v>0</v>
      </c>
      <c r="M590" t="n">
        <v>0</v>
      </c>
      <c r="N590" t="n">
        <v>0</v>
      </c>
      <c r="O590" t="n">
        <v>0</v>
      </c>
      <c r="P590" t="n">
        <v>0</v>
      </c>
      <c r="Q590" t="n">
        <v>0</v>
      </c>
      <c r="R590" s="2" t="inlineStr"/>
    </row>
    <row r="591" ht="15" customHeight="1">
      <c r="A591" t="inlineStr">
        <is>
          <t>A 53062-2025</t>
        </is>
      </c>
      <c r="B591" s="1" t="n">
        <v>45958.37273148148</v>
      </c>
      <c r="C591" s="1" t="n">
        <v>46033</v>
      </c>
      <c r="D591" t="inlineStr">
        <is>
          <t>UPPSALA LÄN</t>
        </is>
      </c>
      <c r="E591" t="inlineStr">
        <is>
          <t>UPPSALA</t>
        </is>
      </c>
      <c r="G591" t="n">
        <v>2.1</v>
      </c>
      <c r="H591" t="n">
        <v>0</v>
      </c>
      <c r="I591" t="n">
        <v>0</v>
      </c>
      <c r="J591" t="n">
        <v>0</v>
      </c>
      <c r="K591" t="n">
        <v>0</v>
      </c>
      <c r="L591" t="n">
        <v>0</v>
      </c>
      <c r="M591" t="n">
        <v>0</v>
      </c>
      <c r="N591" t="n">
        <v>0</v>
      </c>
      <c r="O591" t="n">
        <v>0</v>
      </c>
      <c r="P591" t="n">
        <v>0</v>
      </c>
      <c r="Q591" t="n">
        <v>0</v>
      </c>
      <c r="R591" s="2" t="inlineStr"/>
    </row>
    <row r="592" ht="15" customHeight="1">
      <c r="A592" t="inlineStr">
        <is>
          <t>A 35504-2025</t>
        </is>
      </c>
      <c r="B592" s="1" t="n">
        <v>45856.34034722222</v>
      </c>
      <c r="C592" s="1" t="n">
        <v>46033</v>
      </c>
      <c r="D592" t="inlineStr">
        <is>
          <t>UPPSALA LÄN</t>
        </is>
      </c>
      <c r="E592" t="inlineStr">
        <is>
          <t>UPPSALA</t>
        </is>
      </c>
      <c r="F592" t="inlineStr">
        <is>
          <t>Bergvik skog öst AB</t>
        </is>
      </c>
      <c r="G592" t="n">
        <v>6.7</v>
      </c>
      <c r="H592" t="n">
        <v>0</v>
      </c>
      <c r="I592" t="n">
        <v>0</v>
      </c>
      <c r="J592" t="n">
        <v>0</v>
      </c>
      <c r="K592" t="n">
        <v>0</v>
      </c>
      <c r="L592" t="n">
        <v>0</v>
      </c>
      <c r="M592" t="n">
        <v>0</v>
      </c>
      <c r="N592" t="n">
        <v>0</v>
      </c>
      <c r="O592" t="n">
        <v>0</v>
      </c>
      <c r="P592" t="n">
        <v>0</v>
      </c>
      <c r="Q592" t="n">
        <v>0</v>
      </c>
      <c r="R592" s="2" t="inlineStr"/>
    </row>
    <row r="593" ht="15" customHeight="1">
      <c r="A593" t="inlineStr">
        <is>
          <t>A 35505-2025</t>
        </is>
      </c>
      <c r="B593" s="1" t="n">
        <v>45856.34231481481</v>
      </c>
      <c r="C593" s="1" t="n">
        <v>46033</v>
      </c>
      <c r="D593" t="inlineStr">
        <is>
          <t>UPPSALA LÄN</t>
        </is>
      </c>
      <c r="E593" t="inlineStr">
        <is>
          <t>UPPSALA</t>
        </is>
      </c>
      <c r="F593" t="inlineStr">
        <is>
          <t>Bergvik skog öst AB</t>
        </is>
      </c>
      <c r="G593" t="n">
        <v>7.9</v>
      </c>
      <c r="H593" t="n">
        <v>0</v>
      </c>
      <c r="I593" t="n">
        <v>0</v>
      </c>
      <c r="J593" t="n">
        <v>0</v>
      </c>
      <c r="K593" t="n">
        <v>0</v>
      </c>
      <c r="L593" t="n">
        <v>0</v>
      </c>
      <c r="M593" t="n">
        <v>0</v>
      </c>
      <c r="N593" t="n">
        <v>0</v>
      </c>
      <c r="O593" t="n">
        <v>0</v>
      </c>
      <c r="P593" t="n">
        <v>0</v>
      </c>
      <c r="Q593" t="n">
        <v>0</v>
      </c>
      <c r="R593" s="2" t="inlineStr"/>
    </row>
    <row r="594" ht="15" customHeight="1">
      <c r="A594" t="inlineStr">
        <is>
          <t>A 20497-2022</t>
        </is>
      </c>
      <c r="B594" s="1" t="n">
        <v>44699</v>
      </c>
      <c r="C594" s="1" t="n">
        <v>46033</v>
      </c>
      <c r="D594" t="inlineStr">
        <is>
          <t>UPPSALA LÄN</t>
        </is>
      </c>
      <c r="E594" t="inlineStr">
        <is>
          <t>UPPSALA</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44080-2023</t>
        </is>
      </c>
      <c r="B595" s="1" t="n">
        <v>45188.42052083334</v>
      </c>
      <c r="C595" s="1" t="n">
        <v>46033</v>
      </c>
      <c r="D595" t="inlineStr">
        <is>
          <t>UPPSALA LÄN</t>
        </is>
      </c>
      <c r="E595" t="inlineStr">
        <is>
          <t>UPPSALA</t>
        </is>
      </c>
      <c r="G595" t="n">
        <v>13.3</v>
      </c>
      <c r="H595" t="n">
        <v>0</v>
      </c>
      <c r="I595" t="n">
        <v>0</v>
      </c>
      <c r="J595" t="n">
        <v>0</v>
      </c>
      <c r="K595" t="n">
        <v>0</v>
      </c>
      <c r="L595" t="n">
        <v>0</v>
      </c>
      <c r="M595" t="n">
        <v>0</v>
      </c>
      <c r="N595" t="n">
        <v>0</v>
      </c>
      <c r="O595" t="n">
        <v>0</v>
      </c>
      <c r="P595" t="n">
        <v>0</v>
      </c>
      <c r="Q595" t="n">
        <v>0</v>
      </c>
      <c r="R595" s="2" t="inlineStr"/>
    </row>
    <row r="596" ht="15" customHeight="1">
      <c r="A596" t="inlineStr">
        <is>
          <t>A 35509-2025</t>
        </is>
      </c>
      <c r="B596" s="1" t="n">
        <v>45856.34959490741</v>
      </c>
      <c r="C596" s="1" t="n">
        <v>46033</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10490-2025</t>
        </is>
      </c>
      <c r="B597" s="1" t="n">
        <v>45721.35173611111</v>
      </c>
      <c r="C597" s="1" t="n">
        <v>46033</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55021-2022</t>
        </is>
      </c>
      <c r="B598" s="1" t="n">
        <v>44886</v>
      </c>
      <c r="C598" s="1" t="n">
        <v>46033</v>
      </c>
      <c r="D598" t="inlineStr">
        <is>
          <t>UPPSALA LÄN</t>
        </is>
      </c>
      <c r="E598" t="inlineStr">
        <is>
          <t>UPPSALA</t>
        </is>
      </c>
      <c r="G598" t="n">
        <v>1.2</v>
      </c>
      <c r="H598" t="n">
        <v>0</v>
      </c>
      <c r="I598" t="n">
        <v>0</v>
      </c>
      <c r="J598" t="n">
        <v>0</v>
      </c>
      <c r="K598" t="n">
        <v>0</v>
      </c>
      <c r="L598" t="n">
        <v>0</v>
      </c>
      <c r="M598" t="n">
        <v>0</v>
      </c>
      <c r="N598" t="n">
        <v>0</v>
      </c>
      <c r="O598" t="n">
        <v>0</v>
      </c>
      <c r="P598" t="n">
        <v>0</v>
      </c>
      <c r="Q598" t="n">
        <v>0</v>
      </c>
      <c r="R598" s="2" t="inlineStr"/>
    </row>
    <row r="599" ht="15" customHeight="1">
      <c r="A599" t="inlineStr">
        <is>
          <t>A 35510-2025</t>
        </is>
      </c>
      <c r="B599" s="1" t="n">
        <v>45856</v>
      </c>
      <c r="C599" s="1" t="n">
        <v>46033</v>
      </c>
      <c r="D599" t="inlineStr">
        <is>
          <t>UPPSALA LÄN</t>
        </is>
      </c>
      <c r="E599" t="inlineStr">
        <is>
          <t>UPPSALA</t>
        </is>
      </c>
      <c r="F599" t="inlineStr">
        <is>
          <t>Bergvik skog öst AB</t>
        </is>
      </c>
      <c r="G599" t="n">
        <v>0.3</v>
      </c>
      <c r="H599" t="n">
        <v>0</v>
      </c>
      <c r="I599" t="n">
        <v>0</v>
      </c>
      <c r="J599" t="n">
        <v>0</v>
      </c>
      <c r="K599" t="n">
        <v>0</v>
      </c>
      <c r="L599" t="n">
        <v>0</v>
      </c>
      <c r="M599" t="n">
        <v>0</v>
      </c>
      <c r="N599" t="n">
        <v>0</v>
      </c>
      <c r="O599" t="n">
        <v>0</v>
      </c>
      <c r="P599" t="n">
        <v>0</v>
      </c>
      <c r="Q599" t="n">
        <v>0</v>
      </c>
      <c r="R599" s="2" t="inlineStr"/>
    </row>
    <row r="600" ht="15" customHeight="1">
      <c r="A600" t="inlineStr">
        <is>
          <t>A 53021-2025</t>
        </is>
      </c>
      <c r="B600" s="1" t="n">
        <v>45957.95233796296</v>
      </c>
      <c r="C600" s="1" t="n">
        <v>46033</v>
      </c>
      <c r="D600" t="inlineStr">
        <is>
          <t>UPPSALA LÄN</t>
        </is>
      </c>
      <c r="E600" t="inlineStr">
        <is>
          <t>UPPSALA</t>
        </is>
      </c>
      <c r="G600" t="n">
        <v>1.6</v>
      </c>
      <c r="H600" t="n">
        <v>0</v>
      </c>
      <c r="I600" t="n">
        <v>0</v>
      </c>
      <c r="J600" t="n">
        <v>0</v>
      </c>
      <c r="K600" t="n">
        <v>0</v>
      </c>
      <c r="L600" t="n">
        <v>0</v>
      </c>
      <c r="M600" t="n">
        <v>0</v>
      </c>
      <c r="N600" t="n">
        <v>0</v>
      </c>
      <c r="O600" t="n">
        <v>0</v>
      </c>
      <c r="P600" t="n">
        <v>0</v>
      </c>
      <c r="Q600" t="n">
        <v>0</v>
      </c>
      <c r="R600" s="2" t="inlineStr"/>
    </row>
    <row r="601" ht="15" customHeight="1">
      <c r="A601" t="inlineStr">
        <is>
          <t>A 53161-2025</t>
        </is>
      </c>
      <c r="B601" s="1" t="n">
        <v>45958.49162037037</v>
      </c>
      <c r="C601" s="1" t="n">
        <v>46033</v>
      </c>
      <c r="D601" t="inlineStr">
        <is>
          <t>UPPSALA LÄN</t>
        </is>
      </c>
      <c r="E601" t="inlineStr">
        <is>
          <t>UPPSALA</t>
        </is>
      </c>
      <c r="F601" t="inlineStr">
        <is>
          <t>Bergvik skog väst AB</t>
        </is>
      </c>
      <c r="G601" t="n">
        <v>14.5</v>
      </c>
      <c r="H601" t="n">
        <v>0</v>
      </c>
      <c r="I601" t="n">
        <v>0</v>
      </c>
      <c r="J601" t="n">
        <v>0</v>
      </c>
      <c r="K601" t="n">
        <v>0</v>
      </c>
      <c r="L601" t="n">
        <v>0</v>
      </c>
      <c r="M601" t="n">
        <v>0</v>
      </c>
      <c r="N601" t="n">
        <v>0</v>
      </c>
      <c r="O601" t="n">
        <v>0</v>
      </c>
      <c r="P601" t="n">
        <v>0</v>
      </c>
      <c r="Q601" t="n">
        <v>0</v>
      </c>
      <c r="R601" s="2" t="inlineStr"/>
    </row>
    <row r="602" ht="15" customHeight="1">
      <c r="A602" t="inlineStr">
        <is>
          <t>A 32484-2025</t>
        </is>
      </c>
      <c r="B602" s="1" t="n">
        <v>45838</v>
      </c>
      <c r="C602" s="1" t="n">
        <v>46033</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65659-2021</t>
        </is>
      </c>
      <c r="B603" s="1" t="n">
        <v>44516</v>
      </c>
      <c r="C603" s="1" t="n">
        <v>46033</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53423-2025</t>
        </is>
      </c>
      <c r="B604" s="1" t="n">
        <v>45959.60851851852</v>
      </c>
      <c r="C604" s="1" t="n">
        <v>46033</v>
      </c>
      <c r="D604" t="inlineStr">
        <is>
          <t>UPPSALA LÄN</t>
        </is>
      </c>
      <c r="E604" t="inlineStr">
        <is>
          <t>UPPSALA</t>
        </is>
      </c>
      <c r="F604" t="inlineStr">
        <is>
          <t>Övriga Aktiebolag</t>
        </is>
      </c>
      <c r="G604" t="n">
        <v>23.6</v>
      </c>
      <c r="H604" t="n">
        <v>0</v>
      </c>
      <c r="I604" t="n">
        <v>0</v>
      </c>
      <c r="J604" t="n">
        <v>0</v>
      </c>
      <c r="K604" t="n">
        <v>0</v>
      </c>
      <c r="L604" t="n">
        <v>0</v>
      </c>
      <c r="M604" t="n">
        <v>0</v>
      </c>
      <c r="N604" t="n">
        <v>0</v>
      </c>
      <c r="O604" t="n">
        <v>0</v>
      </c>
      <c r="P604" t="n">
        <v>0</v>
      </c>
      <c r="Q604" t="n">
        <v>0</v>
      </c>
      <c r="R604" s="2" t="inlineStr"/>
    </row>
    <row r="605" ht="15" customHeight="1">
      <c r="A605" t="inlineStr">
        <is>
          <t>A 784-2024</t>
        </is>
      </c>
      <c r="B605" s="1" t="n">
        <v>45300.55680555556</v>
      </c>
      <c r="C605" s="1" t="n">
        <v>46033</v>
      </c>
      <c r="D605" t="inlineStr">
        <is>
          <t>UPPSALA LÄN</t>
        </is>
      </c>
      <c r="E605" t="inlineStr">
        <is>
          <t>UPPSALA</t>
        </is>
      </c>
      <c r="G605" t="n">
        <v>6.6</v>
      </c>
      <c r="H605" t="n">
        <v>0</v>
      </c>
      <c r="I605" t="n">
        <v>0</v>
      </c>
      <c r="J605" t="n">
        <v>0</v>
      </c>
      <c r="K605" t="n">
        <v>0</v>
      </c>
      <c r="L605" t="n">
        <v>0</v>
      </c>
      <c r="M605" t="n">
        <v>0</v>
      </c>
      <c r="N605" t="n">
        <v>0</v>
      </c>
      <c r="O605" t="n">
        <v>0</v>
      </c>
      <c r="P605" t="n">
        <v>0</v>
      </c>
      <c r="Q605" t="n">
        <v>0</v>
      </c>
      <c r="R605" s="2" t="inlineStr"/>
    </row>
    <row r="606" ht="15" customHeight="1">
      <c r="A606" t="inlineStr">
        <is>
          <t>A 32475-2025</t>
        </is>
      </c>
      <c r="B606" s="1" t="n">
        <v>45838</v>
      </c>
      <c r="C606" s="1" t="n">
        <v>46033</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48571-2023</t>
        </is>
      </c>
      <c r="B607" s="1" t="n">
        <v>45208.46130787037</v>
      </c>
      <c r="C607" s="1" t="n">
        <v>46033</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35978-2025</t>
        </is>
      </c>
      <c r="B608" s="1" t="n">
        <v>45863.44648148148</v>
      </c>
      <c r="C608" s="1" t="n">
        <v>46033</v>
      </c>
      <c r="D608" t="inlineStr">
        <is>
          <t>UPPSALA LÄN</t>
        </is>
      </c>
      <c r="E608" t="inlineStr">
        <is>
          <t>UPPSALA</t>
        </is>
      </c>
      <c r="G608" t="n">
        <v>1.6</v>
      </c>
      <c r="H608" t="n">
        <v>0</v>
      </c>
      <c r="I608" t="n">
        <v>0</v>
      </c>
      <c r="J608" t="n">
        <v>0</v>
      </c>
      <c r="K608" t="n">
        <v>0</v>
      </c>
      <c r="L608" t="n">
        <v>0</v>
      </c>
      <c r="M608" t="n">
        <v>0</v>
      </c>
      <c r="N608" t="n">
        <v>0</v>
      </c>
      <c r="O608" t="n">
        <v>0</v>
      </c>
      <c r="P608" t="n">
        <v>0</v>
      </c>
      <c r="Q608" t="n">
        <v>0</v>
      </c>
      <c r="R608" s="2" t="inlineStr"/>
    </row>
    <row r="609" ht="15" customHeight="1">
      <c r="A609" t="inlineStr">
        <is>
          <t>A 35984-2025</t>
        </is>
      </c>
      <c r="B609" s="1" t="n">
        <v>45863.45355324074</v>
      </c>
      <c r="C609" s="1" t="n">
        <v>46033</v>
      </c>
      <c r="D609" t="inlineStr">
        <is>
          <t>UPPSALA LÄN</t>
        </is>
      </c>
      <c r="E609" t="inlineStr">
        <is>
          <t>UPPSALA</t>
        </is>
      </c>
      <c r="G609" t="n">
        <v>6.1</v>
      </c>
      <c r="H609" t="n">
        <v>0</v>
      </c>
      <c r="I609" t="n">
        <v>0</v>
      </c>
      <c r="J609" t="n">
        <v>0</v>
      </c>
      <c r="K609" t="n">
        <v>0</v>
      </c>
      <c r="L609" t="n">
        <v>0</v>
      </c>
      <c r="M609" t="n">
        <v>0</v>
      </c>
      <c r="N609" t="n">
        <v>0</v>
      </c>
      <c r="O609" t="n">
        <v>0</v>
      </c>
      <c r="P609" t="n">
        <v>0</v>
      </c>
      <c r="Q609" t="n">
        <v>0</v>
      </c>
      <c r="R609" s="2" t="inlineStr"/>
    </row>
    <row r="610" ht="15" customHeight="1">
      <c r="A610" t="inlineStr">
        <is>
          <t>A 41002-2023</t>
        </is>
      </c>
      <c r="B610" s="1" t="n">
        <v>45173</v>
      </c>
      <c r="C610" s="1" t="n">
        <v>46033</v>
      </c>
      <c r="D610" t="inlineStr">
        <is>
          <t>UPPSALA LÄN</t>
        </is>
      </c>
      <c r="E610" t="inlineStr">
        <is>
          <t>UPPSALA</t>
        </is>
      </c>
      <c r="G610" t="n">
        <v>6.2</v>
      </c>
      <c r="H610" t="n">
        <v>0</v>
      </c>
      <c r="I610" t="n">
        <v>0</v>
      </c>
      <c r="J610" t="n">
        <v>0</v>
      </c>
      <c r="K610" t="n">
        <v>0</v>
      </c>
      <c r="L610" t="n">
        <v>0</v>
      </c>
      <c r="M610" t="n">
        <v>0</v>
      </c>
      <c r="N610" t="n">
        <v>0</v>
      </c>
      <c r="O610" t="n">
        <v>0</v>
      </c>
      <c r="P610" t="n">
        <v>0</v>
      </c>
      <c r="Q610" t="n">
        <v>0</v>
      </c>
      <c r="R610" s="2" t="inlineStr"/>
    </row>
    <row r="611" ht="15" customHeight="1">
      <c r="A611" t="inlineStr">
        <is>
          <t>A 7727-2024</t>
        </is>
      </c>
      <c r="B611" s="1" t="n">
        <v>45349</v>
      </c>
      <c r="C611" s="1" t="n">
        <v>46033</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53228-2025</t>
        </is>
      </c>
      <c r="B612" s="1" t="n">
        <v>45958.61577546296</v>
      </c>
      <c r="C612" s="1" t="n">
        <v>46033</v>
      </c>
      <c r="D612" t="inlineStr">
        <is>
          <t>UPPSALA LÄN</t>
        </is>
      </c>
      <c r="E612" t="inlineStr">
        <is>
          <t>UPPSALA</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53238-2025</t>
        </is>
      </c>
      <c r="B613" s="1" t="n">
        <v>45958.63368055555</v>
      </c>
      <c r="C613" s="1" t="n">
        <v>46033</v>
      </c>
      <c r="D613" t="inlineStr">
        <is>
          <t>UPPSALA LÄN</t>
        </is>
      </c>
      <c r="E613" t="inlineStr">
        <is>
          <t>UPPSALA</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36253-2025</t>
        </is>
      </c>
      <c r="B614" s="1" t="n">
        <v>45867.58056712963</v>
      </c>
      <c r="C614" s="1" t="n">
        <v>46033</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53242-2025</t>
        </is>
      </c>
      <c r="B615" s="1" t="n">
        <v>45958.64146990741</v>
      </c>
      <c r="C615" s="1" t="n">
        <v>46033</v>
      </c>
      <c r="D615" t="inlineStr">
        <is>
          <t>UPPSALA LÄN</t>
        </is>
      </c>
      <c r="E615" t="inlineStr">
        <is>
          <t>UPPSALA</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53248-2025</t>
        </is>
      </c>
      <c r="B616" s="1" t="n">
        <v>45958.6516087963</v>
      </c>
      <c r="C616" s="1" t="n">
        <v>46033</v>
      </c>
      <c r="D616" t="inlineStr">
        <is>
          <t>UPPSALA LÄN</t>
        </is>
      </c>
      <c r="E616" t="inlineStr">
        <is>
          <t>UPPSALA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45489-2023</t>
        </is>
      </c>
      <c r="B617" s="1" t="n">
        <v>45194</v>
      </c>
      <c r="C617" s="1" t="n">
        <v>46033</v>
      </c>
      <c r="D617" t="inlineStr">
        <is>
          <t>UPPSALA LÄN</t>
        </is>
      </c>
      <c r="E617" t="inlineStr">
        <is>
          <t>UPPSALA</t>
        </is>
      </c>
      <c r="F617" t="inlineStr">
        <is>
          <t>Allmännings- och besparingsskogar</t>
        </is>
      </c>
      <c r="G617" t="n">
        <v>15.8</v>
      </c>
      <c r="H617" t="n">
        <v>0</v>
      </c>
      <c r="I617" t="n">
        <v>0</v>
      </c>
      <c r="J617" t="n">
        <v>0</v>
      </c>
      <c r="K617" t="n">
        <v>0</v>
      </c>
      <c r="L617" t="n">
        <v>0</v>
      </c>
      <c r="M617" t="n">
        <v>0</v>
      </c>
      <c r="N617" t="n">
        <v>0</v>
      </c>
      <c r="O617" t="n">
        <v>0</v>
      </c>
      <c r="P617" t="n">
        <v>0</v>
      </c>
      <c r="Q617" t="n">
        <v>0</v>
      </c>
      <c r="R617" s="2" t="inlineStr"/>
    </row>
    <row r="618" ht="15" customHeight="1">
      <c r="A618" t="inlineStr">
        <is>
          <t>A 53906-2023</t>
        </is>
      </c>
      <c r="B618" s="1" t="n">
        <v>45231</v>
      </c>
      <c r="C618" s="1" t="n">
        <v>46033</v>
      </c>
      <c r="D618" t="inlineStr">
        <is>
          <t>UPPSALA LÄN</t>
        </is>
      </c>
      <c r="E618" t="inlineStr">
        <is>
          <t>UPPSALA</t>
        </is>
      </c>
      <c r="G618" t="n">
        <v>13.2</v>
      </c>
      <c r="H618" t="n">
        <v>0</v>
      </c>
      <c r="I618" t="n">
        <v>0</v>
      </c>
      <c r="J618" t="n">
        <v>0</v>
      </c>
      <c r="K618" t="n">
        <v>0</v>
      </c>
      <c r="L618" t="n">
        <v>0</v>
      </c>
      <c r="M618" t="n">
        <v>0</v>
      </c>
      <c r="N618" t="n">
        <v>0</v>
      </c>
      <c r="O618" t="n">
        <v>0</v>
      </c>
      <c r="P618" t="n">
        <v>0</v>
      </c>
      <c r="Q618" t="n">
        <v>0</v>
      </c>
      <c r="R618" s="2" t="inlineStr"/>
    </row>
    <row r="619" ht="15" customHeight="1">
      <c r="A619" t="inlineStr">
        <is>
          <t>A 55073-2022</t>
        </is>
      </c>
      <c r="B619" s="1" t="n">
        <v>44886.5928125</v>
      </c>
      <c r="C619" s="1" t="n">
        <v>46033</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33816-2024</t>
        </is>
      </c>
      <c r="B620" s="1" t="n">
        <v>45520</v>
      </c>
      <c r="C620" s="1" t="n">
        <v>46033</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47083-2023</t>
        </is>
      </c>
      <c r="B621" s="1" t="n">
        <v>45201.62318287037</v>
      </c>
      <c r="C621" s="1" t="n">
        <v>46033</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61245-2025</t>
        </is>
      </c>
      <c r="B622" s="1" t="n">
        <v>45999</v>
      </c>
      <c r="C622" s="1" t="n">
        <v>46033</v>
      </c>
      <c r="D622" t="inlineStr">
        <is>
          <t>UPPSALA LÄN</t>
        </is>
      </c>
      <c r="E622" t="inlineStr">
        <is>
          <t>UPPSALA</t>
        </is>
      </c>
      <c r="G622" t="n">
        <v>3.4</v>
      </c>
      <c r="H622" t="n">
        <v>0</v>
      </c>
      <c r="I622" t="n">
        <v>0</v>
      </c>
      <c r="J622" t="n">
        <v>0</v>
      </c>
      <c r="K622" t="n">
        <v>0</v>
      </c>
      <c r="L622" t="n">
        <v>0</v>
      </c>
      <c r="M622" t="n">
        <v>0</v>
      </c>
      <c r="N622" t="n">
        <v>0</v>
      </c>
      <c r="O622" t="n">
        <v>0</v>
      </c>
      <c r="P622" t="n">
        <v>0</v>
      </c>
      <c r="Q622" t="n">
        <v>0</v>
      </c>
      <c r="R622" s="2" t="inlineStr"/>
    </row>
    <row r="623" ht="15" customHeight="1">
      <c r="A623" t="inlineStr">
        <is>
          <t>A 37670-2022</t>
        </is>
      </c>
      <c r="B623" s="1" t="n">
        <v>44810</v>
      </c>
      <c r="C623" s="1" t="n">
        <v>46033</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32688-2023</t>
        </is>
      </c>
      <c r="B624" s="1" t="n">
        <v>45121</v>
      </c>
      <c r="C624" s="1" t="n">
        <v>46033</v>
      </c>
      <c r="D624" t="inlineStr">
        <is>
          <t>UPPSALA LÄN</t>
        </is>
      </c>
      <c r="E624" t="inlineStr">
        <is>
          <t>UPPSALA</t>
        </is>
      </c>
      <c r="F624" t="inlineStr">
        <is>
          <t>Holmen skog AB</t>
        </is>
      </c>
      <c r="G624" t="n">
        <v>4.3</v>
      </c>
      <c r="H624" t="n">
        <v>0</v>
      </c>
      <c r="I624" t="n">
        <v>0</v>
      </c>
      <c r="J624" t="n">
        <v>0</v>
      </c>
      <c r="K624" t="n">
        <v>0</v>
      </c>
      <c r="L624" t="n">
        <v>0</v>
      </c>
      <c r="M624" t="n">
        <v>0</v>
      </c>
      <c r="N624" t="n">
        <v>0</v>
      </c>
      <c r="O624" t="n">
        <v>0</v>
      </c>
      <c r="P624" t="n">
        <v>0</v>
      </c>
      <c r="Q624" t="n">
        <v>0</v>
      </c>
      <c r="R624" s="2" t="inlineStr"/>
    </row>
    <row r="625" ht="15" customHeight="1">
      <c r="A625" t="inlineStr">
        <is>
          <t>A 53266-2024</t>
        </is>
      </c>
      <c r="B625" s="1" t="n">
        <v>45614</v>
      </c>
      <c r="C625" s="1" t="n">
        <v>46033</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12282-2025</t>
        </is>
      </c>
      <c r="B626" s="1" t="n">
        <v>45729</v>
      </c>
      <c r="C626" s="1" t="n">
        <v>46033</v>
      </c>
      <c r="D626" t="inlineStr">
        <is>
          <t>UPPSALA LÄN</t>
        </is>
      </c>
      <c r="E626" t="inlineStr">
        <is>
          <t>UPPSALA</t>
        </is>
      </c>
      <c r="G626" t="n">
        <v>3.3</v>
      </c>
      <c r="H626" t="n">
        <v>0</v>
      </c>
      <c r="I626" t="n">
        <v>0</v>
      </c>
      <c r="J626" t="n">
        <v>0</v>
      </c>
      <c r="K626" t="n">
        <v>0</v>
      </c>
      <c r="L626" t="n">
        <v>0</v>
      </c>
      <c r="M626" t="n">
        <v>0</v>
      </c>
      <c r="N626" t="n">
        <v>0</v>
      </c>
      <c r="O626" t="n">
        <v>0</v>
      </c>
      <c r="P626" t="n">
        <v>0</v>
      </c>
      <c r="Q626" t="n">
        <v>0</v>
      </c>
      <c r="R626" s="2" t="inlineStr"/>
    </row>
    <row r="627" ht="15" customHeight="1">
      <c r="A627" t="inlineStr">
        <is>
          <t>A 53582-2025</t>
        </is>
      </c>
      <c r="B627" s="1" t="n">
        <v>45960.43065972222</v>
      </c>
      <c r="C627" s="1" t="n">
        <v>46033</v>
      </c>
      <c r="D627" t="inlineStr">
        <is>
          <t>UPPSALA LÄN</t>
        </is>
      </c>
      <c r="E627" t="inlineStr">
        <is>
          <t>UPPSALA</t>
        </is>
      </c>
      <c r="G627" t="n">
        <v>12.2</v>
      </c>
      <c r="H627" t="n">
        <v>0</v>
      </c>
      <c r="I627" t="n">
        <v>0</v>
      </c>
      <c r="J627" t="n">
        <v>0</v>
      </c>
      <c r="K627" t="n">
        <v>0</v>
      </c>
      <c r="L627" t="n">
        <v>0</v>
      </c>
      <c r="M627" t="n">
        <v>0</v>
      </c>
      <c r="N627" t="n">
        <v>0</v>
      </c>
      <c r="O627" t="n">
        <v>0</v>
      </c>
      <c r="P627" t="n">
        <v>0</v>
      </c>
      <c r="Q627" t="n">
        <v>0</v>
      </c>
      <c r="R627" s="2" t="inlineStr"/>
    </row>
    <row r="628" ht="15" customHeight="1">
      <c r="A628" t="inlineStr">
        <is>
          <t>A 59116-2024</t>
        </is>
      </c>
      <c r="B628" s="1" t="n">
        <v>45637</v>
      </c>
      <c r="C628" s="1" t="n">
        <v>46033</v>
      </c>
      <c r="D628" t="inlineStr">
        <is>
          <t>UPPSALA LÄN</t>
        </is>
      </c>
      <c r="E628" t="inlineStr">
        <is>
          <t>UPPSALA</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30616-2025</t>
        </is>
      </c>
      <c r="B629" s="1" t="n">
        <v>45831.46731481481</v>
      </c>
      <c r="C629" s="1" t="n">
        <v>46033</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13799-2024</t>
        </is>
      </c>
      <c r="B630" s="1" t="n">
        <v>45391.37361111111</v>
      </c>
      <c r="C630" s="1" t="n">
        <v>46033</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42772-2022</t>
        </is>
      </c>
      <c r="B631" s="1" t="n">
        <v>44832.49594907407</v>
      </c>
      <c r="C631" s="1" t="n">
        <v>46033</v>
      </c>
      <c r="D631" t="inlineStr">
        <is>
          <t>UPPSALA LÄN</t>
        </is>
      </c>
      <c r="E631" t="inlineStr">
        <is>
          <t>UPPSALA</t>
        </is>
      </c>
      <c r="G631" t="n">
        <v>17.7</v>
      </c>
      <c r="H631" t="n">
        <v>0</v>
      </c>
      <c r="I631" t="n">
        <v>0</v>
      </c>
      <c r="J631" t="n">
        <v>0</v>
      </c>
      <c r="K631" t="n">
        <v>0</v>
      </c>
      <c r="L631" t="n">
        <v>0</v>
      </c>
      <c r="M631" t="n">
        <v>0</v>
      </c>
      <c r="N631" t="n">
        <v>0</v>
      </c>
      <c r="O631" t="n">
        <v>0</v>
      </c>
      <c r="P631" t="n">
        <v>0</v>
      </c>
      <c r="Q631" t="n">
        <v>0</v>
      </c>
      <c r="R631" s="2" t="inlineStr"/>
    </row>
    <row r="632" ht="15" customHeight="1">
      <c r="A632" t="inlineStr">
        <is>
          <t>A 3261-2024</t>
        </is>
      </c>
      <c r="B632" s="1" t="n">
        <v>45317</v>
      </c>
      <c r="C632" s="1" t="n">
        <v>46033</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36913-2025</t>
        </is>
      </c>
      <c r="B633" s="1" t="n">
        <v>45874</v>
      </c>
      <c r="C633" s="1" t="n">
        <v>46033</v>
      </c>
      <c r="D633" t="inlineStr">
        <is>
          <t>UPPSALA LÄN</t>
        </is>
      </c>
      <c r="E633" t="inlineStr">
        <is>
          <t>UPPSALA</t>
        </is>
      </c>
      <c r="G633" t="n">
        <v>1.7</v>
      </c>
      <c r="H633" t="n">
        <v>0</v>
      </c>
      <c r="I633" t="n">
        <v>0</v>
      </c>
      <c r="J633" t="n">
        <v>0</v>
      </c>
      <c r="K633" t="n">
        <v>0</v>
      </c>
      <c r="L633" t="n">
        <v>0</v>
      </c>
      <c r="M633" t="n">
        <v>0</v>
      </c>
      <c r="N633" t="n">
        <v>0</v>
      </c>
      <c r="O633" t="n">
        <v>0</v>
      </c>
      <c r="P633" t="n">
        <v>0</v>
      </c>
      <c r="Q633" t="n">
        <v>0</v>
      </c>
      <c r="R633" s="2" t="inlineStr"/>
    </row>
    <row r="634" ht="15" customHeight="1">
      <c r="A634" t="inlineStr">
        <is>
          <t>A 59489-2023</t>
        </is>
      </c>
      <c r="B634" s="1" t="n">
        <v>45254</v>
      </c>
      <c r="C634" s="1" t="n">
        <v>46033</v>
      </c>
      <c r="D634" t="inlineStr">
        <is>
          <t>UPPSALA LÄN</t>
        </is>
      </c>
      <c r="E634" t="inlineStr">
        <is>
          <t>UPPSALA</t>
        </is>
      </c>
      <c r="G634" t="n">
        <v>6.5</v>
      </c>
      <c r="H634" t="n">
        <v>0</v>
      </c>
      <c r="I634" t="n">
        <v>0</v>
      </c>
      <c r="J634" t="n">
        <v>0</v>
      </c>
      <c r="K634" t="n">
        <v>0</v>
      </c>
      <c r="L634" t="n">
        <v>0</v>
      </c>
      <c r="M634" t="n">
        <v>0</v>
      </c>
      <c r="N634" t="n">
        <v>0</v>
      </c>
      <c r="O634" t="n">
        <v>0</v>
      </c>
      <c r="P634" t="n">
        <v>0</v>
      </c>
      <c r="Q634" t="n">
        <v>0</v>
      </c>
      <c r="R634" s="2" t="inlineStr"/>
    </row>
    <row r="635" ht="15" customHeight="1">
      <c r="A635" t="inlineStr">
        <is>
          <t>A 37010-2025</t>
        </is>
      </c>
      <c r="B635" s="1" t="n">
        <v>45874.705</v>
      </c>
      <c r="C635" s="1" t="n">
        <v>46033</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18805-2025</t>
        </is>
      </c>
      <c r="B636" s="1" t="n">
        <v>45763</v>
      </c>
      <c r="C636" s="1" t="n">
        <v>46033</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37486-2025</t>
        </is>
      </c>
      <c r="B637" s="1" t="n">
        <v>45877.62969907407</v>
      </c>
      <c r="C637" s="1" t="n">
        <v>46033</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37351-2025</t>
        </is>
      </c>
      <c r="B638" s="1" t="n">
        <v>45876</v>
      </c>
      <c r="C638" s="1" t="n">
        <v>46033</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53886-2025</t>
        </is>
      </c>
      <c r="B639" s="1" t="n">
        <v>45961.40716435185</v>
      </c>
      <c r="C639" s="1" t="n">
        <v>46033</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35016-2025</t>
        </is>
      </c>
      <c r="B640" s="1" t="n">
        <v>45851.62179398148</v>
      </c>
      <c r="C640" s="1" t="n">
        <v>46033</v>
      </c>
      <c r="D640" t="inlineStr">
        <is>
          <t>UPPSALA LÄN</t>
        </is>
      </c>
      <c r="E640" t="inlineStr">
        <is>
          <t>UPPSALA</t>
        </is>
      </c>
      <c r="F640" t="inlineStr">
        <is>
          <t>Bergvik skog öst AB</t>
        </is>
      </c>
      <c r="G640" t="n">
        <v>7</v>
      </c>
      <c r="H640" t="n">
        <v>0</v>
      </c>
      <c r="I640" t="n">
        <v>0</v>
      </c>
      <c r="J640" t="n">
        <v>0</v>
      </c>
      <c r="K640" t="n">
        <v>0</v>
      </c>
      <c r="L640" t="n">
        <v>0</v>
      </c>
      <c r="M640" t="n">
        <v>0</v>
      </c>
      <c r="N640" t="n">
        <v>0</v>
      </c>
      <c r="O640" t="n">
        <v>0</v>
      </c>
      <c r="P640" t="n">
        <v>0</v>
      </c>
      <c r="Q640" t="n">
        <v>0</v>
      </c>
      <c r="R640" s="2" t="inlineStr"/>
    </row>
    <row r="641" ht="15" customHeight="1">
      <c r="A641" t="inlineStr">
        <is>
          <t>A 1032-2023</t>
        </is>
      </c>
      <c r="B641" s="1" t="n">
        <v>44935</v>
      </c>
      <c r="C641" s="1" t="n">
        <v>46033</v>
      </c>
      <c r="D641" t="inlineStr">
        <is>
          <t>UPPSALA LÄN</t>
        </is>
      </c>
      <c r="E641" t="inlineStr">
        <is>
          <t>UPPSALA</t>
        </is>
      </c>
      <c r="G641" t="n">
        <v>0.8</v>
      </c>
      <c r="H641" t="n">
        <v>0</v>
      </c>
      <c r="I641" t="n">
        <v>0</v>
      </c>
      <c r="J641" t="n">
        <v>0</v>
      </c>
      <c r="K641" t="n">
        <v>0</v>
      </c>
      <c r="L641" t="n">
        <v>0</v>
      </c>
      <c r="M641" t="n">
        <v>0</v>
      </c>
      <c r="N641" t="n">
        <v>0</v>
      </c>
      <c r="O641" t="n">
        <v>0</v>
      </c>
      <c r="P641" t="n">
        <v>0</v>
      </c>
      <c r="Q641" t="n">
        <v>0</v>
      </c>
      <c r="R641" s="2" t="inlineStr"/>
    </row>
    <row r="642" ht="15" customHeight="1">
      <c r="A642" t="inlineStr">
        <is>
          <t>A 51576-2023</t>
        </is>
      </c>
      <c r="B642" s="1" t="n">
        <v>45222</v>
      </c>
      <c r="C642" s="1" t="n">
        <v>46033</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37352-2025</t>
        </is>
      </c>
      <c r="B643" s="1" t="n">
        <v>45876</v>
      </c>
      <c r="C643" s="1" t="n">
        <v>46033</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37468-2025</t>
        </is>
      </c>
      <c r="B644" s="1" t="n">
        <v>45877.57847222222</v>
      </c>
      <c r="C644" s="1" t="n">
        <v>46033</v>
      </c>
      <c r="D644" t="inlineStr">
        <is>
          <t>UPPSALA LÄN</t>
        </is>
      </c>
      <c r="E644" t="inlineStr">
        <is>
          <t>UPPSALA</t>
        </is>
      </c>
      <c r="G644" t="n">
        <v>2.9</v>
      </c>
      <c r="H644" t="n">
        <v>0</v>
      </c>
      <c r="I644" t="n">
        <v>0</v>
      </c>
      <c r="J644" t="n">
        <v>0</v>
      </c>
      <c r="K644" t="n">
        <v>0</v>
      </c>
      <c r="L644" t="n">
        <v>0</v>
      </c>
      <c r="M644" t="n">
        <v>0</v>
      </c>
      <c r="N644" t="n">
        <v>0</v>
      </c>
      <c r="O644" t="n">
        <v>0</v>
      </c>
      <c r="P644" t="n">
        <v>0</v>
      </c>
      <c r="Q644" t="n">
        <v>0</v>
      </c>
      <c r="R644" s="2" t="inlineStr"/>
    </row>
    <row r="645" ht="15" customHeight="1">
      <c r="A645" t="inlineStr">
        <is>
          <t>A 37561-2025</t>
        </is>
      </c>
      <c r="B645" s="1" t="n">
        <v>45880.34064814815</v>
      </c>
      <c r="C645" s="1" t="n">
        <v>46033</v>
      </c>
      <c r="D645" t="inlineStr">
        <is>
          <t>UPPSALA LÄN</t>
        </is>
      </c>
      <c r="E645" t="inlineStr">
        <is>
          <t>UPPSALA</t>
        </is>
      </c>
      <c r="G645" t="n">
        <v>1.4</v>
      </c>
      <c r="H645" t="n">
        <v>0</v>
      </c>
      <c r="I645" t="n">
        <v>0</v>
      </c>
      <c r="J645" t="n">
        <v>0</v>
      </c>
      <c r="K645" t="n">
        <v>0</v>
      </c>
      <c r="L645" t="n">
        <v>0</v>
      </c>
      <c r="M645" t="n">
        <v>0</v>
      </c>
      <c r="N645" t="n">
        <v>0</v>
      </c>
      <c r="O645" t="n">
        <v>0</v>
      </c>
      <c r="P645" t="n">
        <v>0</v>
      </c>
      <c r="Q645" t="n">
        <v>0</v>
      </c>
      <c r="R645" s="2" t="inlineStr"/>
    </row>
    <row r="646" ht="15" customHeight="1">
      <c r="A646" t="inlineStr">
        <is>
          <t>A 56084-2024</t>
        </is>
      </c>
      <c r="B646" s="1" t="n">
        <v>45624</v>
      </c>
      <c r="C646" s="1" t="n">
        <v>46033</v>
      </c>
      <c r="D646" t="inlineStr">
        <is>
          <t>UPPSALA LÄN</t>
        </is>
      </c>
      <c r="E646" t="inlineStr">
        <is>
          <t>UPPSALA</t>
        </is>
      </c>
      <c r="G646" t="n">
        <v>3.8</v>
      </c>
      <c r="H646" t="n">
        <v>0</v>
      </c>
      <c r="I646" t="n">
        <v>0</v>
      </c>
      <c r="J646" t="n">
        <v>0</v>
      </c>
      <c r="K646" t="n">
        <v>0</v>
      </c>
      <c r="L646" t="n">
        <v>0</v>
      </c>
      <c r="M646" t="n">
        <v>0</v>
      </c>
      <c r="N646" t="n">
        <v>0</v>
      </c>
      <c r="O646" t="n">
        <v>0</v>
      </c>
      <c r="P646" t="n">
        <v>0</v>
      </c>
      <c r="Q646" t="n">
        <v>0</v>
      </c>
      <c r="R646" s="2" t="inlineStr"/>
    </row>
    <row r="647" ht="15" customHeight="1">
      <c r="A647" t="inlineStr">
        <is>
          <t>A 50267-2023</t>
        </is>
      </c>
      <c r="B647" s="1" t="n">
        <v>45216.39040509259</v>
      </c>
      <c r="C647" s="1" t="n">
        <v>46033</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37611-2025</t>
        </is>
      </c>
      <c r="B648" s="1" t="n">
        <v>45880</v>
      </c>
      <c r="C648" s="1" t="n">
        <v>46033</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37759-2025</t>
        </is>
      </c>
      <c r="B649" s="1" t="n">
        <v>45880.68200231482</v>
      </c>
      <c r="C649" s="1" t="n">
        <v>46033</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37851-2025</t>
        </is>
      </c>
      <c r="B650" s="1" t="n">
        <v>45881.44938657407</v>
      </c>
      <c r="C650" s="1" t="n">
        <v>46033</v>
      </c>
      <c r="D650" t="inlineStr">
        <is>
          <t>UPPSALA LÄN</t>
        </is>
      </c>
      <c r="E650" t="inlineStr">
        <is>
          <t>UPPSALA</t>
        </is>
      </c>
      <c r="G650" t="n">
        <v>2.3</v>
      </c>
      <c r="H650" t="n">
        <v>0</v>
      </c>
      <c r="I650" t="n">
        <v>0</v>
      </c>
      <c r="J650" t="n">
        <v>0</v>
      </c>
      <c r="K650" t="n">
        <v>0</v>
      </c>
      <c r="L650" t="n">
        <v>0</v>
      </c>
      <c r="M650" t="n">
        <v>0</v>
      </c>
      <c r="N650" t="n">
        <v>0</v>
      </c>
      <c r="O650" t="n">
        <v>0</v>
      </c>
      <c r="P650" t="n">
        <v>0</v>
      </c>
      <c r="Q650" t="n">
        <v>0</v>
      </c>
      <c r="R650" s="2" t="inlineStr"/>
    </row>
    <row r="651" ht="15" customHeight="1">
      <c r="A651" t="inlineStr">
        <is>
          <t>A 6058-2025</t>
        </is>
      </c>
      <c r="B651" s="1" t="n">
        <v>45695.83655092592</v>
      </c>
      <c r="C651" s="1" t="n">
        <v>46033</v>
      </c>
      <c r="D651" t="inlineStr">
        <is>
          <t>UPPSALA LÄN</t>
        </is>
      </c>
      <c r="E651" t="inlineStr">
        <is>
          <t>UPPSALA</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37557-2025</t>
        </is>
      </c>
      <c r="B652" s="1" t="n">
        <v>45880.32907407408</v>
      </c>
      <c r="C652" s="1" t="n">
        <v>46033</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37856-2025</t>
        </is>
      </c>
      <c r="B653" s="1" t="n">
        <v>45881.45898148148</v>
      </c>
      <c r="C653" s="1" t="n">
        <v>46033</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53891-2025</t>
        </is>
      </c>
      <c r="B654" s="1" t="n">
        <v>45961.41853009259</v>
      </c>
      <c r="C654" s="1" t="n">
        <v>46033</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59358-2024</t>
        </is>
      </c>
      <c r="B655" s="1" t="n">
        <v>45638</v>
      </c>
      <c r="C655" s="1" t="n">
        <v>46033</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3287-2025</t>
        </is>
      </c>
      <c r="B656" s="1" t="n">
        <v>45679</v>
      </c>
      <c r="C656" s="1" t="n">
        <v>46033</v>
      </c>
      <c r="D656" t="inlineStr">
        <is>
          <t>UPPSALA LÄN</t>
        </is>
      </c>
      <c r="E656" t="inlineStr">
        <is>
          <t>UPPSALA</t>
        </is>
      </c>
      <c r="F656" t="inlineStr">
        <is>
          <t>Kyrkan</t>
        </is>
      </c>
      <c r="G656" t="n">
        <v>6.7</v>
      </c>
      <c r="H656" t="n">
        <v>0</v>
      </c>
      <c r="I656" t="n">
        <v>0</v>
      </c>
      <c r="J656" t="n">
        <v>0</v>
      </c>
      <c r="K656" t="n">
        <v>0</v>
      </c>
      <c r="L656" t="n">
        <v>0</v>
      </c>
      <c r="M656" t="n">
        <v>0</v>
      </c>
      <c r="N656" t="n">
        <v>0</v>
      </c>
      <c r="O656" t="n">
        <v>0</v>
      </c>
      <c r="P656" t="n">
        <v>0</v>
      </c>
      <c r="Q656" t="n">
        <v>0</v>
      </c>
      <c r="R656" s="2" t="inlineStr"/>
    </row>
    <row r="657" ht="15" customHeight="1">
      <c r="A657" t="inlineStr">
        <is>
          <t>A 53324-2025</t>
        </is>
      </c>
      <c r="B657" s="1" t="n">
        <v>45959.36146990741</v>
      </c>
      <c r="C657" s="1" t="n">
        <v>46033</v>
      </c>
      <c r="D657" t="inlineStr">
        <is>
          <t>UPPSALA LÄN</t>
        </is>
      </c>
      <c r="E657" t="inlineStr">
        <is>
          <t>UPPSALA</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17232-2022</t>
        </is>
      </c>
      <c r="B658" s="1" t="n">
        <v>44678.3315625</v>
      </c>
      <c r="C658" s="1" t="n">
        <v>46033</v>
      </c>
      <c r="D658" t="inlineStr">
        <is>
          <t>UPPSALA LÄN</t>
        </is>
      </c>
      <c r="E658" t="inlineStr">
        <is>
          <t>UPPSALA</t>
        </is>
      </c>
      <c r="F658" t="inlineStr">
        <is>
          <t>Övriga Aktiebolag</t>
        </is>
      </c>
      <c r="G658" t="n">
        <v>7.4</v>
      </c>
      <c r="H658" t="n">
        <v>0</v>
      </c>
      <c r="I658" t="n">
        <v>0</v>
      </c>
      <c r="J658" t="n">
        <v>0</v>
      </c>
      <c r="K658" t="n">
        <v>0</v>
      </c>
      <c r="L658" t="n">
        <v>0</v>
      </c>
      <c r="M658" t="n">
        <v>0</v>
      </c>
      <c r="N658" t="n">
        <v>0</v>
      </c>
      <c r="O658" t="n">
        <v>0</v>
      </c>
      <c r="P658" t="n">
        <v>0</v>
      </c>
      <c r="Q658" t="n">
        <v>0</v>
      </c>
      <c r="R658" s="2" t="inlineStr"/>
    </row>
    <row r="659" ht="15" customHeight="1">
      <c r="A659" t="inlineStr">
        <is>
          <t>A 61805-2021</t>
        </is>
      </c>
      <c r="B659" s="1" t="n">
        <v>44501.71344907407</v>
      </c>
      <c r="C659" s="1" t="n">
        <v>46033</v>
      </c>
      <c r="D659" t="inlineStr">
        <is>
          <t>UPPSALA LÄN</t>
        </is>
      </c>
      <c r="E659" t="inlineStr">
        <is>
          <t>UPPSALA</t>
        </is>
      </c>
      <c r="F659" t="inlineStr">
        <is>
          <t>Bergvik skog öst AB</t>
        </is>
      </c>
      <c r="G659" t="n">
        <v>3.8</v>
      </c>
      <c r="H659" t="n">
        <v>0</v>
      </c>
      <c r="I659" t="n">
        <v>0</v>
      </c>
      <c r="J659" t="n">
        <v>0</v>
      </c>
      <c r="K659" t="n">
        <v>0</v>
      </c>
      <c r="L659" t="n">
        <v>0</v>
      </c>
      <c r="M659" t="n">
        <v>0</v>
      </c>
      <c r="N659" t="n">
        <v>0</v>
      </c>
      <c r="O659" t="n">
        <v>0</v>
      </c>
      <c r="P659" t="n">
        <v>0</v>
      </c>
      <c r="Q659" t="n">
        <v>0</v>
      </c>
      <c r="R659" s="2" t="inlineStr"/>
    </row>
    <row r="660" ht="15" customHeight="1">
      <c r="A660" t="inlineStr">
        <is>
          <t>A 54393-2025</t>
        </is>
      </c>
      <c r="B660" s="1" t="n">
        <v>45965</v>
      </c>
      <c r="C660" s="1" t="n">
        <v>46033</v>
      </c>
      <c r="D660" t="inlineStr">
        <is>
          <t>UPPSALA LÄN</t>
        </is>
      </c>
      <c r="E660" t="inlineStr">
        <is>
          <t>UPPSALA</t>
        </is>
      </c>
      <c r="F660" t="inlineStr">
        <is>
          <t>Kyrkan</t>
        </is>
      </c>
      <c r="G660" t="n">
        <v>1</v>
      </c>
      <c r="H660" t="n">
        <v>0</v>
      </c>
      <c r="I660" t="n">
        <v>0</v>
      </c>
      <c r="J660" t="n">
        <v>0</v>
      </c>
      <c r="K660" t="n">
        <v>0</v>
      </c>
      <c r="L660" t="n">
        <v>0</v>
      </c>
      <c r="M660" t="n">
        <v>0</v>
      </c>
      <c r="N660" t="n">
        <v>0</v>
      </c>
      <c r="O660" t="n">
        <v>0</v>
      </c>
      <c r="P660" t="n">
        <v>0</v>
      </c>
      <c r="Q660" t="n">
        <v>0</v>
      </c>
      <c r="R660" s="2" t="inlineStr"/>
    </row>
    <row r="661" ht="15" customHeight="1">
      <c r="A661" t="inlineStr">
        <is>
          <t>A 4312-2022</t>
        </is>
      </c>
      <c r="B661" s="1" t="n">
        <v>44588</v>
      </c>
      <c r="C661" s="1" t="n">
        <v>46033</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60814-2023</t>
        </is>
      </c>
      <c r="B662" s="1" t="n">
        <v>45259</v>
      </c>
      <c r="C662" s="1" t="n">
        <v>46033</v>
      </c>
      <c r="D662" t="inlineStr">
        <is>
          <t>UPPSALA LÄN</t>
        </is>
      </c>
      <c r="E662" t="inlineStr">
        <is>
          <t>UPPSALA</t>
        </is>
      </c>
      <c r="G662" t="n">
        <v>5.9</v>
      </c>
      <c r="H662" t="n">
        <v>0</v>
      </c>
      <c r="I662" t="n">
        <v>0</v>
      </c>
      <c r="J662" t="n">
        <v>0</v>
      </c>
      <c r="K662" t="n">
        <v>0</v>
      </c>
      <c r="L662" t="n">
        <v>0</v>
      </c>
      <c r="M662" t="n">
        <v>0</v>
      </c>
      <c r="N662" t="n">
        <v>0</v>
      </c>
      <c r="O662" t="n">
        <v>0</v>
      </c>
      <c r="P662" t="n">
        <v>0</v>
      </c>
      <c r="Q662" t="n">
        <v>0</v>
      </c>
      <c r="R662" s="2" t="inlineStr"/>
    </row>
    <row r="663" ht="15" customHeight="1">
      <c r="A663" t="inlineStr">
        <is>
          <t>A 38034-2025</t>
        </is>
      </c>
      <c r="B663" s="1" t="n">
        <v>45882.37202546297</v>
      </c>
      <c r="C663" s="1" t="n">
        <v>46033</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54284-2025</t>
        </is>
      </c>
      <c r="B664" s="1" t="n">
        <v>45964.76486111111</v>
      </c>
      <c r="C664" s="1" t="n">
        <v>46033</v>
      </c>
      <c r="D664" t="inlineStr">
        <is>
          <t>UPPSALA LÄN</t>
        </is>
      </c>
      <c r="E664" t="inlineStr">
        <is>
          <t>UPPSALA</t>
        </is>
      </c>
      <c r="G664" t="n">
        <v>3.9</v>
      </c>
      <c r="H664" t="n">
        <v>0</v>
      </c>
      <c r="I664" t="n">
        <v>0</v>
      </c>
      <c r="J664" t="n">
        <v>0</v>
      </c>
      <c r="K664" t="n">
        <v>0</v>
      </c>
      <c r="L664" t="n">
        <v>0</v>
      </c>
      <c r="M664" t="n">
        <v>0</v>
      </c>
      <c r="N664" t="n">
        <v>0</v>
      </c>
      <c r="O664" t="n">
        <v>0</v>
      </c>
      <c r="P664" t="n">
        <v>0</v>
      </c>
      <c r="Q664" t="n">
        <v>0</v>
      </c>
      <c r="R664" s="2" t="inlineStr"/>
    </row>
    <row r="665" ht="15" customHeight="1">
      <c r="A665" t="inlineStr">
        <is>
          <t>A 53963-2023</t>
        </is>
      </c>
      <c r="B665" s="1" t="n">
        <v>45231.62840277778</v>
      </c>
      <c r="C665" s="1" t="n">
        <v>46033</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7501-2025</t>
        </is>
      </c>
      <c r="B666" s="1" t="n">
        <v>45705</v>
      </c>
      <c r="C666" s="1" t="n">
        <v>46033</v>
      </c>
      <c r="D666" t="inlineStr">
        <is>
          <t>UPPSALA LÄN</t>
        </is>
      </c>
      <c r="E666" t="inlineStr">
        <is>
          <t>UPPSALA</t>
        </is>
      </c>
      <c r="G666" t="n">
        <v>4.2</v>
      </c>
      <c r="H666" t="n">
        <v>0</v>
      </c>
      <c r="I666" t="n">
        <v>0</v>
      </c>
      <c r="J666" t="n">
        <v>0</v>
      </c>
      <c r="K666" t="n">
        <v>0</v>
      </c>
      <c r="L666" t="n">
        <v>0</v>
      </c>
      <c r="M666" t="n">
        <v>0</v>
      </c>
      <c r="N666" t="n">
        <v>0</v>
      </c>
      <c r="O666" t="n">
        <v>0</v>
      </c>
      <c r="P666" t="n">
        <v>0</v>
      </c>
      <c r="Q666" t="n">
        <v>0</v>
      </c>
      <c r="R666" s="2" t="inlineStr"/>
    </row>
    <row r="667" ht="15" customHeight="1">
      <c r="A667" t="inlineStr">
        <is>
          <t>A 60444-2023</t>
        </is>
      </c>
      <c r="B667" s="1" t="n">
        <v>45259.52809027778</v>
      </c>
      <c r="C667" s="1" t="n">
        <v>46033</v>
      </c>
      <c r="D667" t="inlineStr">
        <is>
          <t>UPPSALA LÄN</t>
        </is>
      </c>
      <c r="E667" t="inlineStr">
        <is>
          <t>UPPSALA</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4993-2025</t>
        </is>
      </c>
      <c r="B668" s="1" t="n">
        <v>45691</v>
      </c>
      <c r="C668" s="1" t="n">
        <v>46033</v>
      </c>
      <c r="D668" t="inlineStr">
        <is>
          <t>UPPSALA LÄN</t>
        </is>
      </c>
      <c r="E668" t="inlineStr">
        <is>
          <t>UPPSALA</t>
        </is>
      </c>
      <c r="F668" t="inlineStr">
        <is>
          <t>Kyrkan</t>
        </is>
      </c>
      <c r="G668" t="n">
        <v>6.7</v>
      </c>
      <c r="H668" t="n">
        <v>0</v>
      </c>
      <c r="I668" t="n">
        <v>0</v>
      </c>
      <c r="J668" t="n">
        <v>0</v>
      </c>
      <c r="K668" t="n">
        <v>0</v>
      </c>
      <c r="L668" t="n">
        <v>0</v>
      </c>
      <c r="M668" t="n">
        <v>0</v>
      </c>
      <c r="N668" t="n">
        <v>0</v>
      </c>
      <c r="O668" t="n">
        <v>0</v>
      </c>
      <c r="P668" t="n">
        <v>0</v>
      </c>
      <c r="Q668" t="n">
        <v>0</v>
      </c>
      <c r="R668" s="2" t="inlineStr"/>
    </row>
    <row r="669" ht="15" customHeight="1">
      <c r="A669" t="inlineStr">
        <is>
          <t>A 38113-2025</t>
        </is>
      </c>
      <c r="B669" s="1" t="n">
        <v>45882.52290509259</v>
      </c>
      <c r="C669" s="1" t="n">
        <v>46033</v>
      </c>
      <c r="D669" t="inlineStr">
        <is>
          <t>UPPSALA LÄN</t>
        </is>
      </c>
      <c r="E669" t="inlineStr">
        <is>
          <t>UPPSALA</t>
        </is>
      </c>
      <c r="G669" t="n">
        <v>5.8</v>
      </c>
      <c r="H669" t="n">
        <v>0</v>
      </c>
      <c r="I669" t="n">
        <v>0</v>
      </c>
      <c r="J669" t="n">
        <v>0</v>
      </c>
      <c r="K669" t="n">
        <v>0</v>
      </c>
      <c r="L669" t="n">
        <v>0</v>
      </c>
      <c r="M669" t="n">
        <v>0</v>
      </c>
      <c r="N669" t="n">
        <v>0</v>
      </c>
      <c r="O669" t="n">
        <v>0</v>
      </c>
      <c r="P669" t="n">
        <v>0</v>
      </c>
      <c r="Q669" t="n">
        <v>0</v>
      </c>
      <c r="R669" s="2" t="inlineStr"/>
    </row>
    <row r="670" ht="15" customHeight="1">
      <c r="A670" t="inlineStr">
        <is>
          <t>A 59996-2024</t>
        </is>
      </c>
      <c r="B670" s="1" t="n">
        <v>45642</v>
      </c>
      <c r="C670" s="1" t="n">
        <v>46033</v>
      </c>
      <c r="D670" t="inlineStr">
        <is>
          <t>UPPSALA LÄN</t>
        </is>
      </c>
      <c r="E670" t="inlineStr">
        <is>
          <t>UPPSALA</t>
        </is>
      </c>
      <c r="F670" t="inlineStr">
        <is>
          <t>Bergvik skog väst AB</t>
        </is>
      </c>
      <c r="G670" t="n">
        <v>14.5</v>
      </c>
      <c r="H670" t="n">
        <v>0</v>
      </c>
      <c r="I670" t="n">
        <v>0</v>
      </c>
      <c r="J670" t="n">
        <v>0</v>
      </c>
      <c r="K670" t="n">
        <v>0</v>
      </c>
      <c r="L670" t="n">
        <v>0</v>
      </c>
      <c r="M670" t="n">
        <v>0</v>
      </c>
      <c r="N670" t="n">
        <v>0</v>
      </c>
      <c r="O670" t="n">
        <v>0</v>
      </c>
      <c r="P670" t="n">
        <v>0</v>
      </c>
      <c r="Q670" t="n">
        <v>0</v>
      </c>
      <c r="R670" s="2" t="inlineStr"/>
    </row>
    <row r="671" ht="15" customHeight="1">
      <c r="A671" t="inlineStr">
        <is>
          <t>A 13644-2024</t>
        </is>
      </c>
      <c r="B671" s="1" t="n">
        <v>45390</v>
      </c>
      <c r="C671" s="1" t="n">
        <v>46033</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44815-2023</t>
        </is>
      </c>
      <c r="B672" s="1" t="n">
        <v>45190</v>
      </c>
      <c r="C672" s="1" t="n">
        <v>46033</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20102-2023</t>
        </is>
      </c>
      <c r="B673" s="1" t="n">
        <v>45054.95675925926</v>
      </c>
      <c r="C673" s="1" t="n">
        <v>46033</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1975-2022</t>
        </is>
      </c>
      <c r="B674" s="1" t="n">
        <v>44575</v>
      </c>
      <c r="C674" s="1" t="n">
        <v>46033</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11568-2023</t>
        </is>
      </c>
      <c r="B675" s="1" t="n">
        <v>44994</v>
      </c>
      <c r="C675" s="1" t="n">
        <v>46033</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54507-2025</t>
        </is>
      </c>
      <c r="B676" s="1" t="n">
        <v>45965.61792824074</v>
      </c>
      <c r="C676" s="1" t="n">
        <v>46033</v>
      </c>
      <c r="D676" t="inlineStr">
        <is>
          <t>UPPSALA LÄN</t>
        </is>
      </c>
      <c r="E676" t="inlineStr">
        <is>
          <t>UPPSALA</t>
        </is>
      </c>
      <c r="G676" t="n">
        <v>7.7</v>
      </c>
      <c r="H676" t="n">
        <v>0</v>
      </c>
      <c r="I676" t="n">
        <v>0</v>
      </c>
      <c r="J676" t="n">
        <v>0</v>
      </c>
      <c r="K676" t="n">
        <v>0</v>
      </c>
      <c r="L676" t="n">
        <v>0</v>
      </c>
      <c r="M676" t="n">
        <v>0</v>
      </c>
      <c r="N676" t="n">
        <v>0</v>
      </c>
      <c r="O676" t="n">
        <v>0</v>
      </c>
      <c r="P676" t="n">
        <v>0</v>
      </c>
      <c r="Q676" t="n">
        <v>0</v>
      </c>
      <c r="R676" s="2" t="inlineStr"/>
    </row>
    <row r="677" ht="15" customHeight="1">
      <c r="A677" t="inlineStr">
        <is>
          <t>A 17562-2022</t>
        </is>
      </c>
      <c r="B677" s="1" t="n">
        <v>44679.68706018518</v>
      </c>
      <c r="C677" s="1" t="n">
        <v>46033</v>
      </c>
      <c r="D677" t="inlineStr">
        <is>
          <t>UPPSALA LÄN</t>
        </is>
      </c>
      <c r="E677" t="inlineStr">
        <is>
          <t>UPPSALA</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60445-2024</t>
        </is>
      </c>
      <c r="B678" s="1" t="n">
        <v>45643</v>
      </c>
      <c r="C678" s="1" t="n">
        <v>46033</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25776-2022</t>
        </is>
      </c>
      <c r="B679" s="1" t="n">
        <v>44733</v>
      </c>
      <c r="C679" s="1" t="n">
        <v>46033</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63059-2025</t>
        </is>
      </c>
      <c r="B680" s="1" t="n">
        <v>46009.63920138889</v>
      </c>
      <c r="C680" s="1" t="n">
        <v>46033</v>
      </c>
      <c r="D680" t="inlineStr">
        <is>
          <t>UPPSALA LÄN</t>
        </is>
      </c>
      <c r="E680" t="inlineStr">
        <is>
          <t>UPPSALA</t>
        </is>
      </c>
      <c r="G680" t="n">
        <v>15.4</v>
      </c>
      <c r="H680" t="n">
        <v>0</v>
      </c>
      <c r="I680" t="n">
        <v>0</v>
      </c>
      <c r="J680" t="n">
        <v>0</v>
      </c>
      <c r="K680" t="n">
        <v>0</v>
      </c>
      <c r="L680" t="n">
        <v>0</v>
      </c>
      <c r="M680" t="n">
        <v>0</v>
      </c>
      <c r="N680" t="n">
        <v>0</v>
      </c>
      <c r="O680" t="n">
        <v>0</v>
      </c>
      <c r="P680" t="n">
        <v>0</v>
      </c>
      <c r="Q680" t="n">
        <v>0</v>
      </c>
      <c r="R680" s="2" t="inlineStr"/>
    </row>
    <row r="681" ht="15" customHeight="1">
      <c r="A681" t="inlineStr">
        <is>
          <t>A 54724-2025</t>
        </is>
      </c>
      <c r="B681" s="1" t="n">
        <v>45966.53849537037</v>
      </c>
      <c r="C681" s="1" t="n">
        <v>46033</v>
      </c>
      <c r="D681" t="inlineStr">
        <is>
          <t>UPPSALA LÄN</t>
        </is>
      </c>
      <c r="E681" t="inlineStr">
        <is>
          <t>UPPSALA</t>
        </is>
      </c>
      <c r="F681" t="inlineStr">
        <is>
          <t>Bergvik skog öst AB</t>
        </is>
      </c>
      <c r="G681" t="n">
        <v>3.9</v>
      </c>
      <c r="H681" t="n">
        <v>0</v>
      </c>
      <c r="I681" t="n">
        <v>0</v>
      </c>
      <c r="J681" t="n">
        <v>0</v>
      </c>
      <c r="K681" t="n">
        <v>0</v>
      </c>
      <c r="L681" t="n">
        <v>0</v>
      </c>
      <c r="M681" t="n">
        <v>0</v>
      </c>
      <c r="N681" t="n">
        <v>0</v>
      </c>
      <c r="O681" t="n">
        <v>0</v>
      </c>
      <c r="P681" t="n">
        <v>0</v>
      </c>
      <c r="Q681" t="n">
        <v>0</v>
      </c>
      <c r="R681" s="2" t="inlineStr"/>
    </row>
    <row r="682" ht="15" customHeight="1">
      <c r="A682" t="inlineStr">
        <is>
          <t>A 9982-2025</t>
        </is>
      </c>
      <c r="B682" s="1" t="n">
        <v>45719.4094212963</v>
      </c>
      <c r="C682" s="1" t="n">
        <v>46033</v>
      </c>
      <c r="D682" t="inlineStr">
        <is>
          <t>UPPSALA LÄN</t>
        </is>
      </c>
      <c r="E682" t="inlineStr">
        <is>
          <t>UPPSALA</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9995-2025</t>
        </is>
      </c>
      <c r="B683" s="1" t="n">
        <v>45719.43872685185</v>
      </c>
      <c r="C683" s="1" t="n">
        <v>46033</v>
      </c>
      <c r="D683" t="inlineStr">
        <is>
          <t>UPPSALA LÄN</t>
        </is>
      </c>
      <c r="E683" t="inlineStr">
        <is>
          <t>UPPSALA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19276-2023</t>
        </is>
      </c>
      <c r="B684" s="1" t="n">
        <v>45049</v>
      </c>
      <c r="C684" s="1" t="n">
        <v>46033</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47287-2023</t>
        </is>
      </c>
      <c r="B685" s="1" t="n">
        <v>45202</v>
      </c>
      <c r="C685" s="1" t="n">
        <v>46033</v>
      </c>
      <c r="D685" t="inlineStr">
        <is>
          <t>UPPSALA LÄN</t>
        </is>
      </c>
      <c r="E685" t="inlineStr">
        <is>
          <t>UPPSALA</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60447-2023</t>
        </is>
      </c>
      <c r="B686" s="1" t="n">
        <v>45259</v>
      </c>
      <c r="C686" s="1" t="n">
        <v>46033</v>
      </c>
      <c r="D686" t="inlineStr">
        <is>
          <t>UPPSALA LÄN</t>
        </is>
      </c>
      <c r="E686" t="inlineStr">
        <is>
          <t>UPPSALA</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54601-2025</t>
        </is>
      </c>
      <c r="B687" s="1" t="n">
        <v>45965.82398148148</v>
      </c>
      <c r="C687" s="1" t="n">
        <v>46033</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54723-2025</t>
        </is>
      </c>
      <c r="B688" s="1" t="n">
        <v>45966.53721064814</v>
      </c>
      <c r="C688" s="1" t="n">
        <v>46033</v>
      </c>
      <c r="D688" t="inlineStr">
        <is>
          <t>UPPSALA LÄN</t>
        </is>
      </c>
      <c r="E688" t="inlineStr">
        <is>
          <t>UPPSALA</t>
        </is>
      </c>
      <c r="F688" t="inlineStr">
        <is>
          <t>Bergvik skog öst AB</t>
        </is>
      </c>
      <c r="G688" t="n">
        <v>4.7</v>
      </c>
      <c r="H688" t="n">
        <v>0</v>
      </c>
      <c r="I688" t="n">
        <v>0</v>
      </c>
      <c r="J688" t="n">
        <v>0</v>
      </c>
      <c r="K688" t="n">
        <v>0</v>
      </c>
      <c r="L688" t="n">
        <v>0</v>
      </c>
      <c r="M688" t="n">
        <v>0</v>
      </c>
      <c r="N688" t="n">
        <v>0</v>
      </c>
      <c r="O688" t="n">
        <v>0</v>
      </c>
      <c r="P688" t="n">
        <v>0</v>
      </c>
      <c r="Q688" t="n">
        <v>0</v>
      </c>
      <c r="R688" s="2" t="inlineStr"/>
    </row>
    <row r="689" ht="15" customHeight="1">
      <c r="A689" t="inlineStr">
        <is>
          <t>A 57770-2025</t>
        </is>
      </c>
      <c r="B689" s="1" t="n">
        <v>45981</v>
      </c>
      <c r="C689" s="1" t="n">
        <v>46033</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54600-2025</t>
        </is>
      </c>
      <c r="B690" s="1" t="n">
        <v>45965.81543981482</v>
      </c>
      <c r="C690" s="1" t="n">
        <v>46033</v>
      </c>
      <c r="D690" t="inlineStr">
        <is>
          <t>UPPSALA LÄN</t>
        </is>
      </c>
      <c r="E690" t="inlineStr">
        <is>
          <t>UPPSALA</t>
        </is>
      </c>
      <c r="F690" t="inlineStr">
        <is>
          <t>Bergvik skog öst AB</t>
        </is>
      </c>
      <c r="G690" t="n">
        <v>4.7</v>
      </c>
      <c r="H690" t="n">
        <v>0</v>
      </c>
      <c r="I690" t="n">
        <v>0</v>
      </c>
      <c r="J690" t="n">
        <v>0</v>
      </c>
      <c r="K690" t="n">
        <v>0</v>
      </c>
      <c r="L690" t="n">
        <v>0</v>
      </c>
      <c r="M690" t="n">
        <v>0</v>
      </c>
      <c r="N690" t="n">
        <v>0</v>
      </c>
      <c r="O690" t="n">
        <v>0</v>
      </c>
      <c r="P690" t="n">
        <v>0</v>
      </c>
      <c r="Q690" t="n">
        <v>0</v>
      </c>
      <c r="R690" s="2" t="inlineStr"/>
    </row>
    <row r="691" ht="15" customHeight="1">
      <c r="A691" t="inlineStr">
        <is>
          <t>A 22996-2021</t>
        </is>
      </c>
      <c r="B691" s="1" t="n">
        <v>44328</v>
      </c>
      <c r="C691" s="1" t="n">
        <v>46033</v>
      </c>
      <c r="D691" t="inlineStr">
        <is>
          <t>UPPSALA LÄN</t>
        </is>
      </c>
      <c r="E691" t="inlineStr">
        <is>
          <t>UPPSALA</t>
        </is>
      </c>
      <c r="F691" t="inlineStr">
        <is>
          <t>Bergvik skog öst AB</t>
        </is>
      </c>
      <c r="G691" t="n">
        <v>3.1</v>
      </c>
      <c r="H691" t="n">
        <v>0</v>
      </c>
      <c r="I691" t="n">
        <v>0</v>
      </c>
      <c r="J691" t="n">
        <v>0</v>
      </c>
      <c r="K691" t="n">
        <v>0</v>
      </c>
      <c r="L691" t="n">
        <v>0</v>
      </c>
      <c r="M691" t="n">
        <v>0</v>
      </c>
      <c r="N691" t="n">
        <v>0</v>
      </c>
      <c r="O691" t="n">
        <v>0</v>
      </c>
      <c r="P691" t="n">
        <v>0</v>
      </c>
      <c r="Q691" t="n">
        <v>0</v>
      </c>
      <c r="R691" s="2" t="inlineStr"/>
    </row>
    <row r="692" ht="15" customHeight="1">
      <c r="A692" t="inlineStr">
        <is>
          <t>A 62287-2023</t>
        </is>
      </c>
      <c r="B692" s="1" t="n">
        <v>45267</v>
      </c>
      <c r="C692" s="1" t="n">
        <v>46033</v>
      </c>
      <c r="D692" t="inlineStr">
        <is>
          <t>UPPSALA LÄN</t>
        </is>
      </c>
      <c r="E692" t="inlineStr">
        <is>
          <t>UPPSALA</t>
        </is>
      </c>
      <c r="F692" t="inlineStr">
        <is>
          <t>Allmännings- och besparingsskogar</t>
        </is>
      </c>
      <c r="G692" t="n">
        <v>2.8</v>
      </c>
      <c r="H692" t="n">
        <v>0</v>
      </c>
      <c r="I692" t="n">
        <v>0</v>
      </c>
      <c r="J692" t="n">
        <v>0</v>
      </c>
      <c r="K692" t="n">
        <v>0</v>
      </c>
      <c r="L692" t="n">
        <v>0</v>
      </c>
      <c r="M692" t="n">
        <v>0</v>
      </c>
      <c r="N692" t="n">
        <v>0</v>
      </c>
      <c r="O692" t="n">
        <v>0</v>
      </c>
      <c r="P692" t="n">
        <v>0</v>
      </c>
      <c r="Q692" t="n">
        <v>0</v>
      </c>
      <c r="R692" s="2" t="inlineStr"/>
    </row>
    <row r="693" ht="15" customHeight="1">
      <c r="A693" t="inlineStr">
        <is>
          <t>A 63532-2025</t>
        </is>
      </c>
      <c r="B693" s="1" t="n">
        <v>46013.56641203703</v>
      </c>
      <c r="C693" s="1" t="n">
        <v>46033</v>
      </c>
      <c r="D693" t="inlineStr">
        <is>
          <t>UPPSALA LÄN</t>
        </is>
      </c>
      <c r="E693" t="inlineStr">
        <is>
          <t>UPPSALA</t>
        </is>
      </c>
      <c r="G693" t="n">
        <v>2.6</v>
      </c>
      <c r="H693" t="n">
        <v>0</v>
      </c>
      <c r="I693" t="n">
        <v>0</v>
      </c>
      <c r="J693" t="n">
        <v>0</v>
      </c>
      <c r="K693" t="n">
        <v>0</v>
      </c>
      <c r="L693" t="n">
        <v>0</v>
      </c>
      <c r="M693" t="n">
        <v>0</v>
      </c>
      <c r="N693" t="n">
        <v>0</v>
      </c>
      <c r="O693" t="n">
        <v>0</v>
      </c>
      <c r="P693" t="n">
        <v>0</v>
      </c>
      <c r="Q693" t="n">
        <v>0</v>
      </c>
      <c r="R693" s="2" t="inlineStr"/>
    </row>
    <row r="694" ht="15" customHeight="1">
      <c r="A694" t="inlineStr">
        <is>
          <t>A 55594-2025</t>
        </is>
      </c>
      <c r="B694" s="1" t="n">
        <v>45971.70613425926</v>
      </c>
      <c r="C694" s="1" t="n">
        <v>46033</v>
      </c>
      <c r="D694" t="inlineStr">
        <is>
          <t>UPPSALA LÄN</t>
        </is>
      </c>
      <c r="E694" t="inlineStr">
        <is>
          <t>UPPSALA</t>
        </is>
      </c>
      <c r="F694" t="inlineStr">
        <is>
          <t>Allmännings- och besparingsskogar</t>
        </is>
      </c>
      <c r="G694" t="n">
        <v>3.2</v>
      </c>
      <c r="H694" t="n">
        <v>0</v>
      </c>
      <c r="I694" t="n">
        <v>0</v>
      </c>
      <c r="J694" t="n">
        <v>0</v>
      </c>
      <c r="K694" t="n">
        <v>0</v>
      </c>
      <c r="L694" t="n">
        <v>0</v>
      </c>
      <c r="M694" t="n">
        <v>0</v>
      </c>
      <c r="N694" t="n">
        <v>0</v>
      </c>
      <c r="O694" t="n">
        <v>0</v>
      </c>
      <c r="P694" t="n">
        <v>0</v>
      </c>
      <c r="Q694" t="n">
        <v>0</v>
      </c>
      <c r="R694" s="2" t="inlineStr"/>
    </row>
    <row r="695" ht="15" customHeight="1">
      <c r="A695" t="inlineStr">
        <is>
          <t>A 63530-2025</t>
        </is>
      </c>
      <c r="B695" s="1" t="n">
        <v>46013.56292824074</v>
      </c>
      <c r="C695" s="1" t="n">
        <v>46033</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16288-2025</t>
        </is>
      </c>
      <c r="B696" s="1" t="n">
        <v>45751.32001157408</v>
      </c>
      <c r="C696" s="1" t="n">
        <v>46033</v>
      </c>
      <c r="D696" t="inlineStr">
        <is>
          <t>UPPSALA LÄN</t>
        </is>
      </c>
      <c r="E696" t="inlineStr">
        <is>
          <t>UPPSALA</t>
        </is>
      </c>
      <c r="G696" t="n">
        <v>3.9</v>
      </c>
      <c r="H696" t="n">
        <v>0</v>
      </c>
      <c r="I696" t="n">
        <v>0</v>
      </c>
      <c r="J696" t="n">
        <v>0</v>
      </c>
      <c r="K696" t="n">
        <v>0</v>
      </c>
      <c r="L696" t="n">
        <v>0</v>
      </c>
      <c r="M696" t="n">
        <v>0</v>
      </c>
      <c r="N696" t="n">
        <v>0</v>
      </c>
      <c r="O696" t="n">
        <v>0</v>
      </c>
      <c r="P696" t="n">
        <v>0</v>
      </c>
      <c r="Q696" t="n">
        <v>0</v>
      </c>
      <c r="R696" s="2" t="inlineStr"/>
    </row>
    <row r="697" ht="15" customHeight="1">
      <c r="A697" t="inlineStr">
        <is>
          <t>A 63389-2025</t>
        </is>
      </c>
      <c r="B697" s="1" t="n">
        <v>46011.70635416666</v>
      </c>
      <c r="C697" s="1" t="n">
        <v>46033</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17658-2025</t>
        </is>
      </c>
      <c r="B698" s="1" t="n">
        <v>45758</v>
      </c>
      <c r="C698" s="1" t="n">
        <v>46033</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55275-2025</t>
        </is>
      </c>
      <c r="B699" s="1" t="n">
        <v>45968.76021990741</v>
      </c>
      <c r="C699" s="1" t="n">
        <v>46033</v>
      </c>
      <c r="D699" t="inlineStr">
        <is>
          <t>UPPSALA LÄN</t>
        </is>
      </c>
      <c r="E699" t="inlineStr">
        <is>
          <t>UPPSALA</t>
        </is>
      </c>
      <c r="F699" t="inlineStr">
        <is>
          <t>Allmännings- och besparingsskogar</t>
        </is>
      </c>
      <c r="G699" t="n">
        <v>13.2</v>
      </c>
      <c r="H699" t="n">
        <v>0</v>
      </c>
      <c r="I699" t="n">
        <v>0</v>
      </c>
      <c r="J699" t="n">
        <v>0</v>
      </c>
      <c r="K699" t="n">
        <v>0</v>
      </c>
      <c r="L699" t="n">
        <v>0</v>
      </c>
      <c r="M699" t="n">
        <v>0</v>
      </c>
      <c r="N699" t="n">
        <v>0</v>
      </c>
      <c r="O699" t="n">
        <v>0</v>
      </c>
      <c r="P699" t="n">
        <v>0</v>
      </c>
      <c r="Q699" t="n">
        <v>0</v>
      </c>
      <c r="R699" s="2" t="inlineStr"/>
    </row>
    <row r="700" ht="15" customHeight="1">
      <c r="A700" t="inlineStr">
        <is>
          <t>A 18781-2025</t>
        </is>
      </c>
      <c r="B700" s="1" t="n">
        <v>45763</v>
      </c>
      <c r="C700" s="1" t="n">
        <v>46033</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59547-2024</t>
        </is>
      </c>
      <c r="B701" s="1" t="n">
        <v>45638</v>
      </c>
      <c r="C701" s="1" t="n">
        <v>46033</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55357-2025</t>
        </is>
      </c>
      <c r="B702" s="1" t="n">
        <v>45971.37480324074</v>
      </c>
      <c r="C702" s="1" t="n">
        <v>46033</v>
      </c>
      <c r="D702" t="inlineStr">
        <is>
          <t>UPPSALA LÄN</t>
        </is>
      </c>
      <c r="E702" t="inlineStr">
        <is>
          <t>UPPSALA</t>
        </is>
      </c>
      <c r="G702" t="n">
        <v>6</v>
      </c>
      <c r="H702" t="n">
        <v>0</v>
      </c>
      <c r="I702" t="n">
        <v>0</v>
      </c>
      <c r="J702" t="n">
        <v>0</v>
      </c>
      <c r="K702" t="n">
        <v>0</v>
      </c>
      <c r="L702" t="n">
        <v>0</v>
      </c>
      <c r="M702" t="n">
        <v>0</v>
      </c>
      <c r="N702" t="n">
        <v>0</v>
      </c>
      <c r="O702" t="n">
        <v>0</v>
      </c>
      <c r="P702" t="n">
        <v>0</v>
      </c>
      <c r="Q702" t="n">
        <v>0</v>
      </c>
      <c r="R702" s="2" t="inlineStr"/>
    </row>
    <row r="703" ht="15" customHeight="1">
      <c r="A703" t="inlineStr">
        <is>
          <t>A 63527-2025</t>
        </is>
      </c>
      <c r="B703" s="1" t="n">
        <v>46013.55923611111</v>
      </c>
      <c r="C703" s="1" t="n">
        <v>46033</v>
      </c>
      <c r="D703" t="inlineStr">
        <is>
          <t>UPPSALA LÄN</t>
        </is>
      </c>
      <c r="E703" t="inlineStr">
        <is>
          <t>UPPSALA</t>
        </is>
      </c>
      <c r="G703" t="n">
        <v>6.3</v>
      </c>
      <c r="H703" t="n">
        <v>0</v>
      </c>
      <c r="I703" t="n">
        <v>0</v>
      </c>
      <c r="J703" t="n">
        <v>0</v>
      </c>
      <c r="K703" t="n">
        <v>0</v>
      </c>
      <c r="L703" t="n">
        <v>0</v>
      </c>
      <c r="M703" t="n">
        <v>0</v>
      </c>
      <c r="N703" t="n">
        <v>0</v>
      </c>
      <c r="O703" t="n">
        <v>0</v>
      </c>
      <c r="P703" t="n">
        <v>0</v>
      </c>
      <c r="Q703" t="n">
        <v>0</v>
      </c>
      <c r="R703" s="2" t="inlineStr"/>
    </row>
    <row r="704" ht="15" customHeight="1">
      <c r="A704" t="inlineStr">
        <is>
          <t>A 31161-2023</t>
        </is>
      </c>
      <c r="B704" s="1" t="n">
        <v>45113.80170138889</v>
      </c>
      <c r="C704" s="1" t="n">
        <v>46033</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63534-2025</t>
        </is>
      </c>
      <c r="B705" s="1" t="n">
        <v>46013.57037037037</v>
      </c>
      <c r="C705" s="1" t="n">
        <v>46033</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48757-2025</t>
        </is>
      </c>
      <c r="B706" s="1" t="n">
        <v>45936.73660879629</v>
      </c>
      <c r="C706" s="1" t="n">
        <v>46033</v>
      </c>
      <c r="D706" t="inlineStr">
        <is>
          <t>UPPSALA LÄN</t>
        </is>
      </c>
      <c r="E706" t="inlineStr">
        <is>
          <t>UPPSALA</t>
        </is>
      </c>
      <c r="G706" t="n">
        <v>4.2</v>
      </c>
      <c r="H706" t="n">
        <v>0</v>
      </c>
      <c r="I706" t="n">
        <v>0</v>
      </c>
      <c r="J706" t="n">
        <v>0</v>
      </c>
      <c r="K706" t="n">
        <v>0</v>
      </c>
      <c r="L706" t="n">
        <v>0</v>
      </c>
      <c r="M706" t="n">
        <v>0</v>
      </c>
      <c r="N706" t="n">
        <v>0</v>
      </c>
      <c r="O706" t="n">
        <v>0</v>
      </c>
      <c r="P706" t="n">
        <v>0</v>
      </c>
      <c r="Q706" t="n">
        <v>0</v>
      </c>
      <c r="R706" s="2" t="inlineStr"/>
    </row>
    <row r="707" ht="15" customHeight="1">
      <c r="A707" t="inlineStr">
        <is>
          <t>A 63621-2025</t>
        </is>
      </c>
      <c r="B707" s="1" t="n">
        <v>46014.35287037037</v>
      </c>
      <c r="C707" s="1" t="n">
        <v>46033</v>
      </c>
      <c r="D707" t="inlineStr">
        <is>
          <t>UPPSALA LÄN</t>
        </is>
      </c>
      <c r="E707" t="inlineStr">
        <is>
          <t>UPPSALA</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6155-2023</t>
        </is>
      </c>
      <c r="B708" s="1" t="n">
        <v>44964.65261574074</v>
      </c>
      <c r="C708" s="1" t="n">
        <v>46033</v>
      </c>
      <c r="D708" t="inlineStr">
        <is>
          <t>UPPSALA LÄN</t>
        </is>
      </c>
      <c r="E708" t="inlineStr">
        <is>
          <t>UPPSALA</t>
        </is>
      </c>
      <c r="G708" t="n">
        <v>0.5</v>
      </c>
      <c r="H708" t="n">
        <v>0</v>
      </c>
      <c r="I708" t="n">
        <v>0</v>
      </c>
      <c r="J708" t="n">
        <v>0</v>
      </c>
      <c r="K708" t="n">
        <v>0</v>
      </c>
      <c r="L708" t="n">
        <v>0</v>
      </c>
      <c r="M708" t="n">
        <v>0</v>
      </c>
      <c r="N708" t="n">
        <v>0</v>
      </c>
      <c r="O708" t="n">
        <v>0</v>
      </c>
      <c r="P708" t="n">
        <v>0</v>
      </c>
      <c r="Q708" t="n">
        <v>0</v>
      </c>
      <c r="R708" s="2" t="inlineStr"/>
    </row>
    <row r="709" ht="15" customHeight="1">
      <c r="A709" t="inlineStr">
        <is>
          <t>A 63669-2025</t>
        </is>
      </c>
      <c r="B709" s="1" t="n">
        <v>46014.45854166667</v>
      </c>
      <c r="C709" s="1" t="n">
        <v>46033</v>
      </c>
      <c r="D709" t="inlineStr">
        <is>
          <t>UPPSALA LÄN</t>
        </is>
      </c>
      <c r="E709" t="inlineStr">
        <is>
          <t>UPPSALA</t>
        </is>
      </c>
      <c r="G709" t="n">
        <v>5.4</v>
      </c>
      <c r="H709" t="n">
        <v>0</v>
      </c>
      <c r="I709" t="n">
        <v>0</v>
      </c>
      <c r="J709" t="n">
        <v>0</v>
      </c>
      <c r="K709" t="n">
        <v>0</v>
      </c>
      <c r="L709" t="n">
        <v>0</v>
      </c>
      <c r="M709" t="n">
        <v>0</v>
      </c>
      <c r="N709" t="n">
        <v>0</v>
      </c>
      <c r="O709" t="n">
        <v>0</v>
      </c>
      <c r="P709" t="n">
        <v>0</v>
      </c>
      <c r="Q709" t="n">
        <v>0</v>
      </c>
      <c r="R709" s="2" t="inlineStr"/>
    </row>
    <row r="710" ht="15" customHeight="1">
      <c r="A710" t="inlineStr">
        <is>
          <t>A 55732-2025</t>
        </is>
      </c>
      <c r="B710" s="1" t="n">
        <v>45972</v>
      </c>
      <c r="C710" s="1" t="n">
        <v>46033</v>
      </c>
      <c r="D710" t="inlineStr">
        <is>
          <t>UPPSALA LÄN</t>
        </is>
      </c>
      <c r="E710" t="inlineStr">
        <is>
          <t>UPPSALA</t>
        </is>
      </c>
      <c r="G710" t="n">
        <v>10.9</v>
      </c>
      <c r="H710" t="n">
        <v>0</v>
      </c>
      <c r="I710" t="n">
        <v>0</v>
      </c>
      <c r="J710" t="n">
        <v>0</v>
      </c>
      <c r="K710" t="n">
        <v>0</v>
      </c>
      <c r="L710" t="n">
        <v>0</v>
      </c>
      <c r="M710" t="n">
        <v>0</v>
      </c>
      <c r="N710" t="n">
        <v>0</v>
      </c>
      <c r="O710" t="n">
        <v>0</v>
      </c>
      <c r="P710" t="n">
        <v>0</v>
      </c>
      <c r="Q710" t="n">
        <v>0</v>
      </c>
      <c r="R710" s="2" t="inlineStr"/>
    </row>
    <row r="711" ht="15" customHeight="1">
      <c r="A711" t="inlineStr">
        <is>
          <t>A 1588-2025</t>
        </is>
      </c>
      <c r="B711" s="1" t="n">
        <v>45670</v>
      </c>
      <c r="C711" s="1" t="n">
        <v>46033</v>
      </c>
      <c r="D711" t="inlineStr">
        <is>
          <t>UPPSALA LÄN</t>
        </is>
      </c>
      <c r="E711" t="inlineStr">
        <is>
          <t>UPPSALA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31157-2023</t>
        </is>
      </c>
      <c r="B712" s="1" t="n">
        <v>45113</v>
      </c>
      <c r="C712" s="1" t="n">
        <v>46033</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33272-2025</t>
        </is>
      </c>
      <c r="B713" s="1" t="n">
        <v>45840.68518518518</v>
      </c>
      <c r="C713" s="1" t="n">
        <v>46033</v>
      </c>
      <c r="D713" t="inlineStr">
        <is>
          <t>UPPSALA LÄN</t>
        </is>
      </c>
      <c r="E713" t="inlineStr">
        <is>
          <t>UPPSALA</t>
        </is>
      </c>
      <c r="G713" t="n">
        <v>4.7</v>
      </c>
      <c r="H713" t="n">
        <v>0</v>
      </c>
      <c r="I713" t="n">
        <v>0</v>
      </c>
      <c r="J713" t="n">
        <v>0</v>
      </c>
      <c r="K713" t="n">
        <v>0</v>
      </c>
      <c r="L713" t="n">
        <v>0</v>
      </c>
      <c r="M713" t="n">
        <v>0</v>
      </c>
      <c r="N713" t="n">
        <v>0</v>
      </c>
      <c r="O713" t="n">
        <v>0</v>
      </c>
      <c r="P713" t="n">
        <v>0</v>
      </c>
      <c r="Q713" t="n">
        <v>0</v>
      </c>
      <c r="R713" s="2" t="inlineStr"/>
    </row>
    <row r="714" ht="15" customHeight="1">
      <c r="A714" t="inlineStr">
        <is>
          <t>A 56493-2025</t>
        </is>
      </c>
      <c r="B714" s="1" t="n">
        <v>45975.424375</v>
      </c>
      <c r="C714" s="1" t="n">
        <v>46033</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33332-2022</t>
        </is>
      </c>
      <c r="B715" s="1" t="n">
        <v>44788</v>
      </c>
      <c r="C715" s="1" t="n">
        <v>46033</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27912-2023</t>
        </is>
      </c>
      <c r="B716" s="1" t="n">
        <v>45098.63572916666</v>
      </c>
      <c r="C716" s="1" t="n">
        <v>46033</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1592-2025</t>
        </is>
      </c>
      <c r="B717" s="1" t="n">
        <v>45670</v>
      </c>
      <c r="C717" s="1" t="n">
        <v>46033</v>
      </c>
      <c r="D717" t="inlineStr">
        <is>
          <t>UPPSALA LÄN</t>
        </is>
      </c>
      <c r="E717" t="inlineStr">
        <is>
          <t>UPPSALA</t>
        </is>
      </c>
      <c r="F717" t="inlineStr">
        <is>
          <t>Bergvik skog väst AB</t>
        </is>
      </c>
      <c r="G717" t="n">
        <v>0.7</v>
      </c>
      <c r="H717" t="n">
        <v>0</v>
      </c>
      <c r="I717" t="n">
        <v>0</v>
      </c>
      <c r="J717" t="n">
        <v>0</v>
      </c>
      <c r="K717" t="n">
        <v>0</v>
      </c>
      <c r="L717" t="n">
        <v>0</v>
      </c>
      <c r="M717" t="n">
        <v>0</v>
      </c>
      <c r="N717" t="n">
        <v>0</v>
      </c>
      <c r="O717" t="n">
        <v>0</v>
      </c>
      <c r="P717" t="n">
        <v>0</v>
      </c>
      <c r="Q717" t="n">
        <v>0</v>
      </c>
      <c r="R717" s="2" t="inlineStr"/>
    </row>
    <row r="718" ht="15" customHeight="1">
      <c r="A718" t="inlineStr">
        <is>
          <t>A 56466-2025</t>
        </is>
      </c>
      <c r="B718" s="1" t="n">
        <v>45975.37621527778</v>
      </c>
      <c r="C718" s="1" t="n">
        <v>46033</v>
      </c>
      <c r="D718" t="inlineStr">
        <is>
          <t>UPPSALA LÄN</t>
        </is>
      </c>
      <c r="E718" t="inlineStr">
        <is>
          <t>UPPSALA</t>
        </is>
      </c>
      <c r="F718" t="inlineStr">
        <is>
          <t>Holmen skog AB</t>
        </is>
      </c>
      <c r="G718" t="n">
        <v>3.4</v>
      </c>
      <c r="H718" t="n">
        <v>0</v>
      </c>
      <c r="I718" t="n">
        <v>0</v>
      </c>
      <c r="J718" t="n">
        <v>0</v>
      </c>
      <c r="K718" t="n">
        <v>0</v>
      </c>
      <c r="L718" t="n">
        <v>0</v>
      </c>
      <c r="M718" t="n">
        <v>0</v>
      </c>
      <c r="N718" t="n">
        <v>0</v>
      </c>
      <c r="O718" t="n">
        <v>0</v>
      </c>
      <c r="P718" t="n">
        <v>0</v>
      </c>
      <c r="Q718" t="n">
        <v>0</v>
      </c>
      <c r="R718" s="2" t="inlineStr"/>
    </row>
    <row r="719" ht="15" customHeight="1">
      <c r="A719" t="inlineStr">
        <is>
          <t>A 9611-2024</t>
        </is>
      </c>
      <c r="B719" s="1" t="n">
        <v>45361.57299768519</v>
      </c>
      <c r="C719" s="1" t="n">
        <v>46033</v>
      </c>
      <c r="D719" t="inlineStr">
        <is>
          <t>UPPSALA LÄN</t>
        </is>
      </c>
      <c r="E719" t="inlineStr">
        <is>
          <t>UPPSALA</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56577-2025</t>
        </is>
      </c>
      <c r="B720" s="1" t="n">
        <v>45975.5341550926</v>
      </c>
      <c r="C720" s="1" t="n">
        <v>46033</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24091-2024</t>
        </is>
      </c>
      <c r="B721" s="1" t="n">
        <v>45456.58491898148</v>
      </c>
      <c r="C721" s="1" t="n">
        <v>46033</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56620-2025</t>
        </is>
      </c>
      <c r="B722" s="1" t="n">
        <v>45975.59520833333</v>
      </c>
      <c r="C722" s="1" t="n">
        <v>46033</v>
      </c>
      <c r="D722" t="inlineStr">
        <is>
          <t>UPPSALA LÄN</t>
        </is>
      </c>
      <c r="E722" t="inlineStr">
        <is>
          <t>UPPSALA</t>
        </is>
      </c>
      <c r="G722" t="n">
        <v>3.6</v>
      </c>
      <c r="H722" t="n">
        <v>0</v>
      </c>
      <c r="I722" t="n">
        <v>0</v>
      </c>
      <c r="J722" t="n">
        <v>0</v>
      </c>
      <c r="K722" t="n">
        <v>0</v>
      </c>
      <c r="L722" t="n">
        <v>0</v>
      </c>
      <c r="M722" t="n">
        <v>0</v>
      </c>
      <c r="N722" t="n">
        <v>0</v>
      </c>
      <c r="O722" t="n">
        <v>0</v>
      </c>
      <c r="P722" t="n">
        <v>0</v>
      </c>
      <c r="Q722" t="n">
        <v>0</v>
      </c>
      <c r="R722" s="2" t="inlineStr"/>
    </row>
    <row r="723" ht="15" customHeight="1">
      <c r="A723" t="inlineStr">
        <is>
          <t>A 56656-2025</t>
        </is>
      </c>
      <c r="B723" s="1" t="n">
        <v>45975.65054398148</v>
      </c>
      <c r="C723" s="1" t="n">
        <v>46033</v>
      </c>
      <c r="D723" t="inlineStr">
        <is>
          <t>UPPSALA LÄN</t>
        </is>
      </c>
      <c r="E723" t="inlineStr">
        <is>
          <t>UPPSALA</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60781-2023</t>
        </is>
      </c>
      <c r="B724" s="1" t="n">
        <v>45259</v>
      </c>
      <c r="C724" s="1" t="n">
        <v>46033</v>
      </c>
      <c r="D724" t="inlineStr">
        <is>
          <t>UPPSALA LÄN</t>
        </is>
      </c>
      <c r="E724" t="inlineStr">
        <is>
          <t>UPPSALA</t>
        </is>
      </c>
      <c r="G724" t="n">
        <v>4.1</v>
      </c>
      <c r="H724" t="n">
        <v>0</v>
      </c>
      <c r="I724" t="n">
        <v>0</v>
      </c>
      <c r="J724" t="n">
        <v>0</v>
      </c>
      <c r="K724" t="n">
        <v>0</v>
      </c>
      <c r="L724" t="n">
        <v>0</v>
      </c>
      <c r="M724" t="n">
        <v>0</v>
      </c>
      <c r="N724" t="n">
        <v>0</v>
      </c>
      <c r="O724" t="n">
        <v>0</v>
      </c>
      <c r="P724" t="n">
        <v>0</v>
      </c>
      <c r="Q724" t="n">
        <v>0</v>
      </c>
      <c r="R724" s="2" t="inlineStr"/>
    </row>
    <row r="725" ht="15" customHeight="1">
      <c r="A725" t="inlineStr">
        <is>
          <t>A 24787-2024</t>
        </is>
      </c>
      <c r="B725" s="1" t="n">
        <v>45460</v>
      </c>
      <c r="C725" s="1" t="n">
        <v>46033</v>
      </c>
      <c r="D725" t="inlineStr">
        <is>
          <t>UPPSALA LÄN</t>
        </is>
      </c>
      <c r="E725" t="inlineStr">
        <is>
          <t>UPPSALA</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60167-2024</t>
        </is>
      </c>
      <c r="B726" s="1" t="n">
        <v>45642.63524305556</v>
      </c>
      <c r="C726" s="1" t="n">
        <v>46033</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18717-2025</t>
        </is>
      </c>
      <c r="B727" s="1" t="n">
        <v>45763.6503125</v>
      </c>
      <c r="C727" s="1" t="n">
        <v>46033</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38865-2022</t>
        </is>
      </c>
      <c r="B728" s="1" t="n">
        <v>44816</v>
      </c>
      <c r="C728" s="1" t="n">
        <v>46033</v>
      </c>
      <c r="D728" t="inlineStr">
        <is>
          <t>UPPSALA LÄN</t>
        </is>
      </c>
      <c r="E728" t="inlineStr">
        <is>
          <t>UPPSALA</t>
        </is>
      </c>
      <c r="G728" t="n">
        <v>14.6</v>
      </c>
      <c r="H728" t="n">
        <v>0</v>
      </c>
      <c r="I728" t="n">
        <v>0</v>
      </c>
      <c r="J728" t="n">
        <v>0</v>
      </c>
      <c r="K728" t="n">
        <v>0</v>
      </c>
      <c r="L728" t="n">
        <v>0</v>
      </c>
      <c r="M728" t="n">
        <v>0</v>
      </c>
      <c r="N728" t="n">
        <v>0</v>
      </c>
      <c r="O728" t="n">
        <v>0</v>
      </c>
      <c r="P728" t="n">
        <v>0</v>
      </c>
      <c r="Q728" t="n">
        <v>0</v>
      </c>
      <c r="R728" s="2" t="inlineStr"/>
    </row>
    <row r="729" ht="15" customHeight="1">
      <c r="A729" t="inlineStr">
        <is>
          <t>A 1994-2024</t>
        </is>
      </c>
      <c r="B729" s="1" t="n">
        <v>45308.63298611111</v>
      </c>
      <c r="C729" s="1" t="n">
        <v>46033</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29927-2023</t>
        </is>
      </c>
      <c r="B730" s="1" t="n">
        <v>45107</v>
      </c>
      <c r="C730" s="1" t="n">
        <v>46033</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70228-2021</t>
        </is>
      </c>
      <c r="B731" s="1" t="n">
        <v>44535</v>
      </c>
      <c r="C731" s="1" t="n">
        <v>46033</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11224-2022</t>
        </is>
      </c>
      <c r="B732" s="1" t="n">
        <v>44629.57741898148</v>
      </c>
      <c r="C732" s="1" t="n">
        <v>46033</v>
      </c>
      <c r="D732" t="inlineStr">
        <is>
          <t>UPPSALA LÄN</t>
        </is>
      </c>
      <c r="E732" t="inlineStr">
        <is>
          <t>UPPSALA</t>
        </is>
      </c>
      <c r="F732" t="inlineStr">
        <is>
          <t>Bergvik skog öst AB</t>
        </is>
      </c>
      <c r="G732" t="n">
        <v>1.5</v>
      </c>
      <c r="H732" t="n">
        <v>0</v>
      </c>
      <c r="I732" t="n">
        <v>0</v>
      </c>
      <c r="J732" t="n">
        <v>0</v>
      </c>
      <c r="K732" t="n">
        <v>0</v>
      </c>
      <c r="L732" t="n">
        <v>0</v>
      </c>
      <c r="M732" t="n">
        <v>0</v>
      </c>
      <c r="N732" t="n">
        <v>0</v>
      </c>
      <c r="O732" t="n">
        <v>0</v>
      </c>
      <c r="P732" t="n">
        <v>0</v>
      </c>
      <c r="Q732" t="n">
        <v>0</v>
      </c>
      <c r="R732" s="2" t="inlineStr"/>
    </row>
    <row r="733" ht="15" customHeight="1">
      <c r="A733" t="inlineStr">
        <is>
          <t>A 7899-2022</t>
        </is>
      </c>
      <c r="B733" s="1" t="n">
        <v>44608</v>
      </c>
      <c r="C733" s="1" t="n">
        <v>46033</v>
      </c>
      <c r="D733" t="inlineStr">
        <is>
          <t>UPPSALA LÄN</t>
        </is>
      </c>
      <c r="E733" t="inlineStr">
        <is>
          <t>UPPSALA</t>
        </is>
      </c>
      <c r="F733" t="inlineStr">
        <is>
          <t>Övriga Aktiebolag</t>
        </is>
      </c>
      <c r="G733" t="n">
        <v>7.1</v>
      </c>
      <c r="H733" t="n">
        <v>0</v>
      </c>
      <c r="I733" t="n">
        <v>0</v>
      </c>
      <c r="J733" t="n">
        <v>0</v>
      </c>
      <c r="K733" t="n">
        <v>0</v>
      </c>
      <c r="L733" t="n">
        <v>0</v>
      </c>
      <c r="M733" t="n">
        <v>0</v>
      </c>
      <c r="N733" t="n">
        <v>0</v>
      </c>
      <c r="O733" t="n">
        <v>0</v>
      </c>
      <c r="P733" t="n">
        <v>0</v>
      </c>
      <c r="Q733" t="n">
        <v>0</v>
      </c>
      <c r="R733" s="2" t="inlineStr"/>
    </row>
    <row r="734" ht="15" customHeight="1">
      <c r="A734" t="inlineStr">
        <is>
          <t>A 1573-2021</t>
        </is>
      </c>
      <c r="B734" s="1" t="n">
        <v>44209</v>
      </c>
      <c r="C734" s="1" t="n">
        <v>46033</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57789-2025</t>
        </is>
      </c>
      <c r="B735" s="1" t="n">
        <v>45981.57793981482</v>
      </c>
      <c r="C735" s="1" t="n">
        <v>46033</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8164-2025</t>
        </is>
      </c>
      <c r="B736" s="1" t="n">
        <v>45707</v>
      </c>
      <c r="C736" s="1" t="n">
        <v>46033</v>
      </c>
      <c r="D736" t="inlineStr">
        <is>
          <t>UPPSALA LÄN</t>
        </is>
      </c>
      <c r="E736" t="inlineStr">
        <is>
          <t>UPPSALA</t>
        </is>
      </c>
      <c r="F736" t="inlineStr">
        <is>
          <t>Övriga Aktiebolag</t>
        </is>
      </c>
      <c r="G736" t="n">
        <v>12.2</v>
      </c>
      <c r="H736" t="n">
        <v>0</v>
      </c>
      <c r="I736" t="n">
        <v>0</v>
      </c>
      <c r="J736" t="n">
        <v>0</v>
      </c>
      <c r="K736" t="n">
        <v>0</v>
      </c>
      <c r="L736" t="n">
        <v>0</v>
      </c>
      <c r="M736" t="n">
        <v>0</v>
      </c>
      <c r="N736" t="n">
        <v>0</v>
      </c>
      <c r="O736" t="n">
        <v>0</v>
      </c>
      <c r="P736" t="n">
        <v>0</v>
      </c>
      <c r="Q736" t="n">
        <v>0</v>
      </c>
      <c r="R736" s="2" t="inlineStr"/>
    </row>
    <row r="737" ht="15" customHeight="1">
      <c r="A737" t="inlineStr">
        <is>
          <t>A 60729-2024</t>
        </is>
      </c>
      <c r="B737" s="1" t="n">
        <v>45644</v>
      </c>
      <c r="C737" s="1" t="n">
        <v>46033</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60925-2021</t>
        </is>
      </c>
      <c r="B738" s="1" t="n">
        <v>44497.4666087963</v>
      </c>
      <c r="C738" s="1" t="n">
        <v>46033</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3086-2023</t>
        </is>
      </c>
      <c r="B739" s="1" t="n">
        <v>44946.43564814814</v>
      </c>
      <c r="C739" s="1" t="n">
        <v>46033</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57736-2025</t>
        </is>
      </c>
      <c r="B740" s="1" t="n">
        <v>45981</v>
      </c>
      <c r="C740" s="1" t="n">
        <v>46033</v>
      </c>
      <c r="D740" t="inlineStr">
        <is>
          <t>UPPSALA LÄN</t>
        </is>
      </c>
      <c r="E740" t="inlineStr">
        <is>
          <t>UPPSALA</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6422-2023</t>
        </is>
      </c>
      <c r="B741" s="1" t="n">
        <v>44965</v>
      </c>
      <c r="C741" s="1" t="n">
        <v>46033</v>
      </c>
      <c r="D741" t="inlineStr">
        <is>
          <t>UPPSALA LÄN</t>
        </is>
      </c>
      <c r="E741" t="inlineStr">
        <is>
          <t>UPPSALA</t>
        </is>
      </c>
      <c r="G741" t="n">
        <v>3.1</v>
      </c>
      <c r="H741" t="n">
        <v>0</v>
      </c>
      <c r="I741" t="n">
        <v>0</v>
      </c>
      <c r="J741" t="n">
        <v>0</v>
      </c>
      <c r="K741" t="n">
        <v>0</v>
      </c>
      <c r="L741" t="n">
        <v>0</v>
      </c>
      <c r="M741" t="n">
        <v>0</v>
      </c>
      <c r="N741" t="n">
        <v>0</v>
      </c>
      <c r="O741" t="n">
        <v>0</v>
      </c>
      <c r="P741" t="n">
        <v>0</v>
      </c>
      <c r="Q741" t="n">
        <v>0</v>
      </c>
      <c r="R741" s="2" t="inlineStr"/>
    </row>
    <row r="742" ht="15" customHeight="1">
      <c r="A742" t="inlineStr">
        <is>
          <t>A 6423-2023</t>
        </is>
      </c>
      <c r="B742" s="1" t="n">
        <v>44965</v>
      </c>
      <c r="C742" s="1" t="n">
        <v>46033</v>
      </c>
      <c r="D742" t="inlineStr">
        <is>
          <t>UPPSALA LÄN</t>
        </is>
      </c>
      <c r="E742" t="inlineStr">
        <is>
          <t>UPPSALA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57709-2025</t>
        </is>
      </c>
      <c r="B743" s="1" t="n">
        <v>45981</v>
      </c>
      <c r="C743" s="1" t="n">
        <v>46033</v>
      </c>
      <c r="D743" t="inlineStr">
        <is>
          <t>UPPSALA LÄN</t>
        </is>
      </c>
      <c r="E743" t="inlineStr">
        <is>
          <t>UPPSALA</t>
        </is>
      </c>
      <c r="F743" t="inlineStr">
        <is>
          <t>Kommuner</t>
        </is>
      </c>
      <c r="G743" t="n">
        <v>1.2</v>
      </c>
      <c r="H743" t="n">
        <v>0</v>
      </c>
      <c r="I743" t="n">
        <v>0</v>
      </c>
      <c r="J743" t="n">
        <v>0</v>
      </c>
      <c r="K743" t="n">
        <v>0</v>
      </c>
      <c r="L743" t="n">
        <v>0</v>
      </c>
      <c r="M743" t="n">
        <v>0</v>
      </c>
      <c r="N743" t="n">
        <v>0</v>
      </c>
      <c r="O743" t="n">
        <v>0</v>
      </c>
      <c r="P743" t="n">
        <v>0</v>
      </c>
      <c r="Q743" t="n">
        <v>0</v>
      </c>
      <c r="R743" s="2" t="inlineStr"/>
    </row>
    <row r="744" ht="15" customHeight="1">
      <c r="A744" t="inlineStr">
        <is>
          <t>A 17448-2022</t>
        </is>
      </c>
      <c r="B744" s="1" t="n">
        <v>44679</v>
      </c>
      <c r="C744" s="1" t="n">
        <v>46033</v>
      </c>
      <c r="D744" t="inlineStr">
        <is>
          <t>UPPSALA LÄN</t>
        </is>
      </c>
      <c r="E744" t="inlineStr">
        <is>
          <t>UPPSALA</t>
        </is>
      </c>
      <c r="G744" t="n">
        <v>2.7</v>
      </c>
      <c r="H744" t="n">
        <v>0</v>
      </c>
      <c r="I744" t="n">
        <v>0</v>
      </c>
      <c r="J744" t="n">
        <v>0</v>
      </c>
      <c r="K744" t="n">
        <v>0</v>
      </c>
      <c r="L744" t="n">
        <v>0</v>
      </c>
      <c r="M744" t="n">
        <v>0</v>
      </c>
      <c r="N744" t="n">
        <v>0</v>
      </c>
      <c r="O744" t="n">
        <v>0</v>
      </c>
      <c r="P744" t="n">
        <v>0</v>
      </c>
      <c r="Q744" t="n">
        <v>0</v>
      </c>
      <c r="R744" s="2" t="inlineStr"/>
    </row>
    <row r="745" ht="15" customHeight="1">
      <c r="A745" t="inlineStr">
        <is>
          <t>A 57827-2025</t>
        </is>
      </c>
      <c r="B745" s="1" t="n">
        <v>45981.60923611111</v>
      </c>
      <c r="C745" s="1" t="n">
        <v>46033</v>
      </c>
      <c r="D745" t="inlineStr">
        <is>
          <t>UPPSALA LÄN</t>
        </is>
      </c>
      <c r="E745" t="inlineStr">
        <is>
          <t>UPPSALA</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5974-2024</t>
        </is>
      </c>
      <c r="B746" s="1" t="n">
        <v>45336.53908564815</v>
      </c>
      <c r="C746" s="1" t="n">
        <v>46033</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57796-2025</t>
        </is>
      </c>
      <c r="B747" s="1" t="n">
        <v>45981.58204861111</v>
      </c>
      <c r="C747" s="1" t="n">
        <v>46033</v>
      </c>
      <c r="D747" t="inlineStr">
        <is>
          <t>UPPSALA LÄN</t>
        </is>
      </c>
      <c r="E747" t="inlineStr">
        <is>
          <t>UPPSALA</t>
        </is>
      </c>
      <c r="G747" t="n">
        <v>2.6</v>
      </c>
      <c r="H747" t="n">
        <v>0</v>
      </c>
      <c r="I747" t="n">
        <v>0</v>
      </c>
      <c r="J747" t="n">
        <v>0</v>
      </c>
      <c r="K747" t="n">
        <v>0</v>
      </c>
      <c r="L747" t="n">
        <v>0</v>
      </c>
      <c r="M747" t="n">
        <v>0</v>
      </c>
      <c r="N747" t="n">
        <v>0</v>
      </c>
      <c r="O747" t="n">
        <v>0</v>
      </c>
      <c r="P747" t="n">
        <v>0</v>
      </c>
      <c r="Q747" t="n">
        <v>0</v>
      </c>
      <c r="R747" s="2" t="inlineStr"/>
    </row>
    <row r="748" ht="15" customHeight="1">
      <c r="A748" t="inlineStr">
        <is>
          <t>A 57836-2025</t>
        </is>
      </c>
      <c r="B748" s="1" t="n">
        <v>45981.61822916667</v>
      </c>
      <c r="C748" s="1" t="n">
        <v>46033</v>
      </c>
      <c r="D748" t="inlineStr">
        <is>
          <t>UPPSALA LÄN</t>
        </is>
      </c>
      <c r="E748" t="inlineStr">
        <is>
          <t>UPPSALA</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57410-2025</t>
        </is>
      </c>
      <c r="B749" s="1" t="n">
        <v>45980.4484837963</v>
      </c>
      <c r="C749" s="1" t="n">
        <v>46033</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5975-2024</t>
        </is>
      </c>
      <c r="B750" s="1" t="n">
        <v>45336.54270833333</v>
      </c>
      <c r="C750" s="1" t="n">
        <v>46033</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4875-2021</t>
        </is>
      </c>
      <c r="B751" s="1" t="n">
        <v>44223</v>
      </c>
      <c r="C751" s="1" t="n">
        <v>46033</v>
      </c>
      <c r="D751" t="inlineStr">
        <is>
          <t>UPPSALA LÄN</t>
        </is>
      </c>
      <c r="E751" t="inlineStr">
        <is>
          <t>UPPSALA</t>
        </is>
      </c>
      <c r="G751" t="n">
        <v>0.4</v>
      </c>
      <c r="H751" t="n">
        <v>0</v>
      </c>
      <c r="I751" t="n">
        <v>0</v>
      </c>
      <c r="J751" t="n">
        <v>0</v>
      </c>
      <c r="K751" t="n">
        <v>0</v>
      </c>
      <c r="L751" t="n">
        <v>0</v>
      </c>
      <c r="M751" t="n">
        <v>0</v>
      </c>
      <c r="N751" t="n">
        <v>0</v>
      </c>
      <c r="O751" t="n">
        <v>0</v>
      </c>
      <c r="P751" t="n">
        <v>0</v>
      </c>
      <c r="Q751" t="n">
        <v>0</v>
      </c>
      <c r="R751" s="2" t="inlineStr"/>
    </row>
    <row r="752" ht="15" customHeight="1">
      <c r="A752" t="inlineStr">
        <is>
          <t>A 53206-2025</t>
        </is>
      </c>
      <c r="B752" s="1" t="n">
        <v>45958.58711805556</v>
      </c>
      <c r="C752" s="1" t="n">
        <v>46033</v>
      </c>
      <c r="D752" t="inlineStr">
        <is>
          <t>UPPSALA LÄN</t>
        </is>
      </c>
      <c r="E752" t="inlineStr">
        <is>
          <t>UPPSALA</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60954-2024</t>
        </is>
      </c>
      <c r="B753" s="1" t="n">
        <v>45645</v>
      </c>
      <c r="C753" s="1" t="n">
        <v>46033</v>
      </c>
      <c r="D753" t="inlineStr">
        <is>
          <t>UPPSALA LÄN</t>
        </is>
      </c>
      <c r="E753" t="inlineStr">
        <is>
          <t>UPPSALA</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8933-2022</t>
        </is>
      </c>
      <c r="B754" s="1" t="n">
        <v>44614.69730324074</v>
      </c>
      <c r="C754" s="1" t="n">
        <v>46033</v>
      </c>
      <c r="D754" t="inlineStr">
        <is>
          <t>UPPSALA LÄN</t>
        </is>
      </c>
      <c r="E754" t="inlineStr">
        <is>
          <t>UPPSALA</t>
        </is>
      </c>
      <c r="F754" t="inlineStr">
        <is>
          <t>Holmen skog AB</t>
        </is>
      </c>
      <c r="G754" t="n">
        <v>3.6</v>
      </c>
      <c r="H754" t="n">
        <v>0</v>
      </c>
      <c r="I754" t="n">
        <v>0</v>
      </c>
      <c r="J754" t="n">
        <v>0</v>
      </c>
      <c r="K754" t="n">
        <v>0</v>
      </c>
      <c r="L754" t="n">
        <v>0</v>
      </c>
      <c r="M754" t="n">
        <v>0</v>
      </c>
      <c r="N754" t="n">
        <v>0</v>
      </c>
      <c r="O754" t="n">
        <v>0</v>
      </c>
      <c r="P754" t="n">
        <v>0</v>
      </c>
      <c r="Q754" t="n">
        <v>0</v>
      </c>
      <c r="R754" s="2" t="inlineStr"/>
    </row>
    <row r="755" ht="15" customHeight="1">
      <c r="A755" t="inlineStr">
        <is>
          <t>A 60714-2023</t>
        </is>
      </c>
      <c r="B755" s="1" t="n">
        <v>45259</v>
      </c>
      <c r="C755" s="1" t="n">
        <v>46033</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48153-2024</t>
        </is>
      </c>
      <c r="B756" s="1" t="n">
        <v>45589</v>
      </c>
      <c r="C756" s="1" t="n">
        <v>46033</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48154-2024</t>
        </is>
      </c>
      <c r="B757" s="1" t="n">
        <v>45589</v>
      </c>
      <c r="C757" s="1" t="n">
        <v>46033</v>
      </c>
      <c r="D757" t="inlineStr">
        <is>
          <t>UPPSALA LÄN</t>
        </is>
      </c>
      <c r="E757" t="inlineStr">
        <is>
          <t>UPPSALA</t>
        </is>
      </c>
      <c r="G757" t="n">
        <v>5.1</v>
      </c>
      <c r="H757" t="n">
        <v>0</v>
      </c>
      <c r="I757" t="n">
        <v>0</v>
      </c>
      <c r="J757" t="n">
        <v>0</v>
      </c>
      <c r="K757" t="n">
        <v>0</v>
      </c>
      <c r="L757" t="n">
        <v>0</v>
      </c>
      <c r="M757" t="n">
        <v>0</v>
      </c>
      <c r="N757" t="n">
        <v>0</v>
      </c>
      <c r="O757" t="n">
        <v>0</v>
      </c>
      <c r="P757" t="n">
        <v>0</v>
      </c>
      <c r="Q757" t="n">
        <v>0</v>
      </c>
      <c r="R757" s="2" t="inlineStr"/>
    </row>
    <row r="758" ht="15" customHeight="1">
      <c r="A758" t="inlineStr">
        <is>
          <t>A 58104-2025</t>
        </is>
      </c>
      <c r="B758" s="1" t="n">
        <v>45982</v>
      </c>
      <c r="C758" s="1" t="n">
        <v>46033</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6060-2025</t>
        </is>
      </c>
      <c r="B759" s="1" t="n">
        <v>45695.84078703704</v>
      </c>
      <c r="C759" s="1" t="n">
        <v>46033</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58193-2025</t>
        </is>
      </c>
      <c r="B760" s="1" t="n">
        <v>45983.85069444445</v>
      </c>
      <c r="C760" s="1" t="n">
        <v>46033</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50106-2025</t>
        </is>
      </c>
      <c r="B761" s="1" t="n">
        <v>45943.53659722222</v>
      </c>
      <c r="C761" s="1" t="n">
        <v>46033</v>
      </c>
      <c r="D761" t="inlineStr">
        <is>
          <t>UPPSALA LÄN</t>
        </is>
      </c>
      <c r="E761" t="inlineStr">
        <is>
          <t>UPPSALA</t>
        </is>
      </c>
      <c r="F761" t="inlineStr">
        <is>
          <t>Bergvik skog öst AB</t>
        </is>
      </c>
      <c r="G761" t="n">
        <v>3.4</v>
      </c>
      <c r="H761" t="n">
        <v>0</v>
      </c>
      <c r="I761" t="n">
        <v>0</v>
      </c>
      <c r="J761" t="n">
        <v>0</v>
      </c>
      <c r="K761" t="n">
        <v>0</v>
      </c>
      <c r="L761" t="n">
        <v>0</v>
      </c>
      <c r="M761" t="n">
        <v>0</v>
      </c>
      <c r="N761" t="n">
        <v>0</v>
      </c>
      <c r="O761" t="n">
        <v>0</v>
      </c>
      <c r="P761" t="n">
        <v>0</v>
      </c>
      <c r="Q761" t="n">
        <v>0</v>
      </c>
      <c r="R761" s="2" t="inlineStr"/>
    </row>
    <row r="762" ht="15" customHeight="1">
      <c r="A762" t="inlineStr">
        <is>
          <t>A 6006-2025</t>
        </is>
      </c>
      <c r="B762" s="1" t="n">
        <v>45695.59197916667</v>
      </c>
      <c r="C762" s="1" t="n">
        <v>46033</v>
      </c>
      <c r="D762" t="inlineStr">
        <is>
          <t>UPPSALA LÄN</t>
        </is>
      </c>
      <c r="E762" t="inlineStr">
        <is>
          <t>UPPSALA</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28825-2024</t>
        </is>
      </c>
      <c r="B763" s="1" t="n">
        <v>45478</v>
      </c>
      <c r="C763" s="1" t="n">
        <v>46033</v>
      </c>
      <c r="D763" t="inlineStr">
        <is>
          <t>UPPSALA LÄN</t>
        </is>
      </c>
      <c r="E763" t="inlineStr">
        <is>
          <t>UPPSALA</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45592-2023</t>
        </is>
      </c>
      <c r="B764" s="1" t="n">
        <v>45194.63479166666</v>
      </c>
      <c r="C764" s="1" t="n">
        <v>46033</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45575-2023</t>
        </is>
      </c>
      <c r="B765" s="1" t="n">
        <v>45194.60876157408</v>
      </c>
      <c r="C765" s="1" t="n">
        <v>46033</v>
      </c>
      <c r="D765" t="inlineStr">
        <is>
          <t>UPPSALA LÄN</t>
        </is>
      </c>
      <c r="E765" t="inlineStr">
        <is>
          <t>UPPSALA</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50037-2024</t>
        </is>
      </c>
      <c r="B766" s="1" t="n">
        <v>45599</v>
      </c>
      <c r="C766" s="1" t="n">
        <v>46033</v>
      </c>
      <c r="D766" t="inlineStr">
        <is>
          <t>UPPSALA LÄN</t>
        </is>
      </c>
      <c r="E766" t="inlineStr">
        <is>
          <t>UPPSALA</t>
        </is>
      </c>
      <c r="G766" t="n">
        <v>13.7</v>
      </c>
      <c r="H766" t="n">
        <v>0</v>
      </c>
      <c r="I766" t="n">
        <v>0</v>
      </c>
      <c r="J766" t="n">
        <v>0</v>
      </c>
      <c r="K766" t="n">
        <v>0</v>
      </c>
      <c r="L766" t="n">
        <v>0</v>
      </c>
      <c r="M766" t="n">
        <v>0</v>
      </c>
      <c r="N766" t="n">
        <v>0</v>
      </c>
      <c r="O766" t="n">
        <v>0</v>
      </c>
      <c r="P766" t="n">
        <v>0</v>
      </c>
      <c r="Q766" t="n">
        <v>0</v>
      </c>
      <c r="R766" s="2" t="inlineStr"/>
    </row>
    <row r="767" ht="15" customHeight="1">
      <c r="A767" t="inlineStr">
        <is>
          <t>A 50535-2024</t>
        </is>
      </c>
      <c r="B767" s="1" t="n">
        <v>45600</v>
      </c>
      <c r="C767" s="1" t="n">
        <v>46033</v>
      </c>
      <c r="D767" t="inlineStr">
        <is>
          <t>UPPSALA LÄN</t>
        </is>
      </c>
      <c r="E767" t="inlineStr">
        <is>
          <t>UPPSALA</t>
        </is>
      </c>
      <c r="F767" t="inlineStr">
        <is>
          <t>Övriga statliga verk och myndigheter</t>
        </is>
      </c>
      <c r="G767" t="n">
        <v>3.2</v>
      </c>
      <c r="H767" t="n">
        <v>0</v>
      </c>
      <c r="I767" t="n">
        <v>0</v>
      </c>
      <c r="J767" t="n">
        <v>0</v>
      </c>
      <c r="K767" t="n">
        <v>0</v>
      </c>
      <c r="L767" t="n">
        <v>0</v>
      </c>
      <c r="M767" t="n">
        <v>0</v>
      </c>
      <c r="N767" t="n">
        <v>0</v>
      </c>
      <c r="O767" t="n">
        <v>0</v>
      </c>
      <c r="P767" t="n">
        <v>0</v>
      </c>
      <c r="Q767" t="n">
        <v>0</v>
      </c>
      <c r="R767" s="2" t="inlineStr"/>
    </row>
    <row r="768" ht="15" customHeight="1">
      <c r="A768" t="inlineStr">
        <is>
          <t>A 58965-2025</t>
        </is>
      </c>
      <c r="B768" s="1" t="n">
        <v>45987</v>
      </c>
      <c r="C768" s="1" t="n">
        <v>46033</v>
      </c>
      <c r="D768" t="inlineStr">
        <is>
          <t>UPPSALA LÄN</t>
        </is>
      </c>
      <c r="E768" t="inlineStr">
        <is>
          <t>UPPSALA</t>
        </is>
      </c>
      <c r="G768" t="n">
        <v>7.7</v>
      </c>
      <c r="H768" t="n">
        <v>0</v>
      </c>
      <c r="I768" t="n">
        <v>0</v>
      </c>
      <c r="J768" t="n">
        <v>0</v>
      </c>
      <c r="K768" t="n">
        <v>0</v>
      </c>
      <c r="L768" t="n">
        <v>0</v>
      </c>
      <c r="M768" t="n">
        <v>0</v>
      </c>
      <c r="N768" t="n">
        <v>0</v>
      </c>
      <c r="O768" t="n">
        <v>0</v>
      </c>
      <c r="P768" t="n">
        <v>0</v>
      </c>
      <c r="Q768" t="n">
        <v>0</v>
      </c>
      <c r="R768" s="2" t="inlineStr"/>
    </row>
    <row r="769" ht="15" customHeight="1">
      <c r="A769" t="inlineStr">
        <is>
          <t>A 16126-2022</t>
        </is>
      </c>
      <c r="B769" s="1" t="n">
        <v>44665</v>
      </c>
      <c r="C769" s="1" t="n">
        <v>46033</v>
      </c>
      <c r="D769" t="inlineStr">
        <is>
          <t>UPPSALA LÄN</t>
        </is>
      </c>
      <c r="E769" t="inlineStr">
        <is>
          <t>UPPSALA</t>
        </is>
      </c>
      <c r="F769" t="inlineStr">
        <is>
          <t>Bergvik skog öst AB</t>
        </is>
      </c>
      <c r="G769" t="n">
        <v>4.4</v>
      </c>
      <c r="H769" t="n">
        <v>0</v>
      </c>
      <c r="I769" t="n">
        <v>0</v>
      </c>
      <c r="J769" t="n">
        <v>0</v>
      </c>
      <c r="K769" t="n">
        <v>0</v>
      </c>
      <c r="L769" t="n">
        <v>0</v>
      </c>
      <c r="M769" t="n">
        <v>0</v>
      </c>
      <c r="N769" t="n">
        <v>0</v>
      </c>
      <c r="O769" t="n">
        <v>0</v>
      </c>
      <c r="P769" t="n">
        <v>0</v>
      </c>
      <c r="Q769" t="n">
        <v>0</v>
      </c>
      <c r="R769" s="2" t="inlineStr"/>
    </row>
    <row r="770" ht="15" customHeight="1">
      <c r="A770" t="inlineStr">
        <is>
          <t>A 7388-2024</t>
        </is>
      </c>
      <c r="B770" s="1" t="n">
        <v>45345.56</v>
      </c>
      <c r="C770" s="1" t="n">
        <v>46033</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50103-2025</t>
        </is>
      </c>
      <c r="B771" s="1" t="n">
        <v>45943.53451388889</v>
      </c>
      <c r="C771" s="1" t="n">
        <v>46033</v>
      </c>
      <c r="D771" t="inlineStr">
        <is>
          <t>UPPSALA LÄN</t>
        </is>
      </c>
      <c r="E771" t="inlineStr">
        <is>
          <t>UPPSALA</t>
        </is>
      </c>
      <c r="F771" t="inlineStr">
        <is>
          <t>Bergvik skog öst AB</t>
        </is>
      </c>
      <c r="G771" t="n">
        <v>3.5</v>
      </c>
      <c r="H771" t="n">
        <v>0</v>
      </c>
      <c r="I771" t="n">
        <v>0</v>
      </c>
      <c r="J771" t="n">
        <v>0</v>
      </c>
      <c r="K771" t="n">
        <v>0</v>
      </c>
      <c r="L771" t="n">
        <v>0</v>
      </c>
      <c r="M771" t="n">
        <v>0</v>
      </c>
      <c r="N771" t="n">
        <v>0</v>
      </c>
      <c r="O771" t="n">
        <v>0</v>
      </c>
      <c r="P771" t="n">
        <v>0</v>
      </c>
      <c r="Q771" t="n">
        <v>0</v>
      </c>
      <c r="R771" s="2" t="inlineStr"/>
    </row>
    <row r="772" ht="15" customHeight="1">
      <c r="A772" t="inlineStr">
        <is>
          <t>A 50104-2025</t>
        </is>
      </c>
      <c r="B772" s="1" t="n">
        <v>45943.5354050926</v>
      </c>
      <c r="C772" s="1" t="n">
        <v>46033</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14400-2025</t>
        </is>
      </c>
      <c r="B773" s="1" t="n">
        <v>45741.45114583334</v>
      </c>
      <c r="C773" s="1" t="n">
        <v>46033</v>
      </c>
      <c r="D773" t="inlineStr">
        <is>
          <t>UPPSALA LÄN</t>
        </is>
      </c>
      <c r="E773" t="inlineStr">
        <is>
          <t>UPPSALA</t>
        </is>
      </c>
      <c r="G773" t="n">
        <v>6.6</v>
      </c>
      <c r="H773" t="n">
        <v>0</v>
      </c>
      <c r="I773" t="n">
        <v>0</v>
      </c>
      <c r="J773" t="n">
        <v>0</v>
      </c>
      <c r="K773" t="n">
        <v>0</v>
      </c>
      <c r="L773" t="n">
        <v>0</v>
      </c>
      <c r="M773" t="n">
        <v>0</v>
      </c>
      <c r="N773" t="n">
        <v>0</v>
      </c>
      <c r="O773" t="n">
        <v>0</v>
      </c>
      <c r="P773" t="n">
        <v>0</v>
      </c>
      <c r="Q773" t="n">
        <v>0</v>
      </c>
      <c r="R773" s="2" t="inlineStr"/>
    </row>
    <row r="774" ht="15" customHeight="1">
      <c r="A774" t="inlineStr">
        <is>
          <t>A 36781-2023</t>
        </is>
      </c>
      <c r="B774" s="1" t="n">
        <v>45154.34931712963</v>
      </c>
      <c r="C774" s="1" t="n">
        <v>46033</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50102-2025</t>
        </is>
      </c>
      <c r="B775" s="1" t="n">
        <v>45943.53341435185</v>
      </c>
      <c r="C775" s="1" t="n">
        <v>46033</v>
      </c>
      <c r="D775" t="inlineStr">
        <is>
          <t>UPPSALA LÄN</t>
        </is>
      </c>
      <c r="E775" t="inlineStr">
        <is>
          <t>UPPSALA</t>
        </is>
      </c>
      <c r="F775" t="inlineStr">
        <is>
          <t>Bergvik skog öst AB</t>
        </is>
      </c>
      <c r="G775" t="n">
        <v>5.8</v>
      </c>
      <c r="H775" t="n">
        <v>0</v>
      </c>
      <c r="I775" t="n">
        <v>0</v>
      </c>
      <c r="J775" t="n">
        <v>0</v>
      </c>
      <c r="K775" t="n">
        <v>0</v>
      </c>
      <c r="L775" t="n">
        <v>0</v>
      </c>
      <c r="M775" t="n">
        <v>0</v>
      </c>
      <c r="N775" t="n">
        <v>0</v>
      </c>
      <c r="O775" t="n">
        <v>0</v>
      </c>
      <c r="P775" t="n">
        <v>0</v>
      </c>
      <c r="Q775" t="n">
        <v>0</v>
      </c>
      <c r="R775" s="2" t="inlineStr"/>
    </row>
    <row r="776" ht="15" customHeight="1">
      <c r="A776" t="inlineStr">
        <is>
          <t>A 482-2026</t>
        </is>
      </c>
      <c r="B776" s="1" t="n">
        <v>46029.40886574074</v>
      </c>
      <c r="C776" s="1" t="n">
        <v>46033</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918-2026</t>
        </is>
      </c>
      <c r="B777" s="1" t="n">
        <v>46030.48498842592</v>
      </c>
      <c r="C777" s="1" t="n">
        <v>46033</v>
      </c>
      <c r="D777" t="inlineStr">
        <is>
          <t>UPPSALA LÄN</t>
        </is>
      </c>
      <c r="E777" t="inlineStr">
        <is>
          <t>UPPSALA</t>
        </is>
      </c>
      <c r="F777" t="inlineStr">
        <is>
          <t>Övriga statliga verk och myndigheter</t>
        </is>
      </c>
      <c r="G777" t="n">
        <v>15.1</v>
      </c>
      <c r="H777" t="n">
        <v>0</v>
      </c>
      <c r="I777" t="n">
        <v>0</v>
      </c>
      <c r="J777" t="n">
        <v>0</v>
      </c>
      <c r="K777" t="n">
        <v>0</v>
      </c>
      <c r="L777" t="n">
        <v>0</v>
      </c>
      <c r="M777" t="n">
        <v>0</v>
      </c>
      <c r="N777" t="n">
        <v>0</v>
      </c>
      <c r="O777" t="n">
        <v>0</v>
      </c>
      <c r="P777" t="n">
        <v>0</v>
      </c>
      <c r="Q777" t="n">
        <v>0</v>
      </c>
      <c r="R777" s="2" t="inlineStr"/>
    </row>
    <row r="778" ht="15" customHeight="1">
      <c r="A778" t="inlineStr">
        <is>
          <t>A 21859-2024</t>
        </is>
      </c>
      <c r="B778" s="1" t="n">
        <v>45443</v>
      </c>
      <c r="C778" s="1" t="n">
        <v>46033</v>
      </c>
      <c r="D778" t="inlineStr">
        <is>
          <t>UPPSALA LÄN</t>
        </is>
      </c>
      <c r="E778" t="inlineStr">
        <is>
          <t>UPPSALA</t>
        </is>
      </c>
      <c r="F778" t="inlineStr">
        <is>
          <t>Kyrkan</t>
        </is>
      </c>
      <c r="G778" t="n">
        <v>1.4</v>
      </c>
      <c r="H778" t="n">
        <v>0</v>
      </c>
      <c r="I778" t="n">
        <v>0</v>
      </c>
      <c r="J778" t="n">
        <v>0</v>
      </c>
      <c r="K778" t="n">
        <v>0</v>
      </c>
      <c r="L778" t="n">
        <v>0</v>
      </c>
      <c r="M778" t="n">
        <v>0</v>
      </c>
      <c r="N778" t="n">
        <v>0</v>
      </c>
      <c r="O778" t="n">
        <v>0</v>
      </c>
      <c r="P778" t="n">
        <v>0</v>
      </c>
      <c r="Q778" t="n">
        <v>0</v>
      </c>
      <c r="R778" s="2" t="inlineStr"/>
    </row>
    <row r="779" ht="15" customHeight="1">
      <c r="A779" t="inlineStr">
        <is>
          <t>A 6009-2022</t>
        </is>
      </c>
      <c r="B779" s="1" t="n">
        <v>44599.44832175926</v>
      </c>
      <c r="C779" s="1" t="n">
        <v>46033</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2357-2024</t>
        </is>
      </c>
      <c r="B780" s="1" t="n">
        <v>45310</v>
      </c>
      <c r="C780" s="1" t="n">
        <v>46033</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4503-2024</t>
        </is>
      </c>
      <c r="B781" s="1" t="n">
        <v>45327.61831018519</v>
      </c>
      <c r="C781" s="1" t="n">
        <v>46033</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44315-2021</t>
        </is>
      </c>
      <c r="B782" s="1" t="n">
        <v>44435.38657407407</v>
      </c>
      <c r="C782" s="1" t="n">
        <v>46033</v>
      </c>
      <c r="D782" t="inlineStr">
        <is>
          <t>UPPSALA LÄN</t>
        </is>
      </c>
      <c r="E782" t="inlineStr">
        <is>
          <t>UPPSALA</t>
        </is>
      </c>
      <c r="G782" t="n">
        <v>5.2</v>
      </c>
      <c r="H782" t="n">
        <v>0</v>
      </c>
      <c r="I782" t="n">
        <v>0</v>
      </c>
      <c r="J782" t="n">
        <v>0</v>
      </c>
      <c r="K782" t="n">
        <v>0</v>
      </c>
      <c r="L782" t="n">
        <v>0</v>
      </c>
      <c r="M782" t="n">
        <v>0</v>
      </c>
      <c r="N782" t="n">
        <v>0</v>
      </c>
      <c r="O782" t="n">
        <v>0</v>
      </c>
      <c r="P782" t="n">
        <v>0</v>
      </c>
      <c r="Q782" t="n">
        <v>0</v>
      </c>
      <c r="R782" s="2" t="inlineStr"/>
    </row>
    <row r="783" ht="15" customHeight="1">
      <c r="A783" t="inlineStr">
        <is>
          <t>A 4461-2024</t>
        </is>
      </c>
      <c r="B783" s="1" t="n">
        <v>45327</v>
      </c>
      <c r="C783" s="1" t="n">
        <v>46033</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59207-2025</t>
        </is>
      </c>
      <c r="B784" s="1" t="n">
        <v>45988.61304398148</v>
      </c>
      <c r="C784" s="1" t="n">
        <v>46033</v>
      </c>
      <c r="D784" t="inlineStr">
        <is>
          <t>UPPSALA LÄN</t>
        </is>
      </c>
      <c r="E784" t="inlineStr">
        <is>
          <t>UPPSALA</t>
        </is>
      </c>
      <c r="F784" t="inlineStr">
        <is>
          <t>Kyrkan</t>
        </is>
      </c>
      <c r="G784" t="n">
        <v>1.5</v>
      </c>
      <c r="H784" t="n">
        <v>0</v>
      </c>
      <c r="I784" t="n">
        <v>0</v>
      </c>
      <c r="J784" t="n">
        <v>0</v>
      </c>
      <c r="K784" t="n">
        <v>0</v>
      </c>
      <c r="L784" t="n">
        <v>0</v>
      </c>
      <c r="M784" t="n">
        <v>0</v>
      </c>
      <c r="N784" t="n">
        <v>0</v>
      </c>
      <c r="O784" t="n">
        <v>0</v>
      </c>
      <c r="P784" t="n">
        <v>0</v>
      </c>
      <c r="Q784" t="n">
        <v>0</v>
      </c>
      <c r="R784" s="2" t="inlineStr"/>
    </row>
    <row r="785" ht="15" customHeight="1">
      <c r="A785" t="inlineStr">
        <is>
          <t>A 12209-2025</t>
        </is>
      </c>
      <c r="B785" s="1" t="n">
        <v>45729</v>
      </c>
      <c r="C785" s="1" t="n">
        <v>46033</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1390-2026</t>
        </is>
      </c>
      <c r="B786" s="1" t="n">
        <v>46031.63210648148</v>
      </c>
      <c r="C786" s="1" t="n">
        <v>46033</v>
      </c>
      <c r="D786" t="inlineStr">
        <is>
          <t>UPPSALA LÄN</t>
        </is>
      </c>
      <c r="E786" t="inlineStr">
        <is>
          <t>UPPSALA</t>
        </is>
      </c>
      <c r="G786" t="n">
        <v>7.9</v>
      </c>
      <c r="H786" t="n">
        <v>0</v>
      </c>
      <c r="I786" t="n">
        <v>0</v>
      </c>
      <c r="J786" t="n">
        <v>0</v>
      </c>
      <c r="K786" t="n">
        <v>0</v>
      </c>
      <c r="L786" t="n">
        <v>0</v>
      </c>
      <c r="M786" t="n">
        <v>0</v>
      </c>
      <c r="N786" t="n">
        <v>0</v>
      </c>
      <c r="O786" t="n">
        <v>0</v>
      </c>
      <c r="P786" t="n">
        <v>0</v>
      </c>
      <c r="Q786" t="n">
        <v>0</v>
      </c>
      <c r="R786" s="2" t="inlineStr"/>
    </row>
    <row r="787" ht="15" customHeight="1">
      <c r="A787" t="inlineStr">
        <is>
          <t>A 968-2026</t>
        </is>
      </c>
      <c r="B787" s="1" t="n">
        <v>46030.56152777778</v>
      </c>
      <c r="C787" s="1" t="n">
        <v>46033</v>
      </c>
      <c r="D787" t="inlineStr">
        <is>
          <t>UPPSALA LÄN</t>
        </is>
      </c>
      <c r="E787" t="inlineStr">
        <is>
          <t>UPPSALA</t>
        </is>
      </c>
      <c r="G787" t="n">
        <v>1.5</v>
      </c>
      <c r="H787" t="n">
        <v>0</v>
      </c>
      <c r="I787" t="n">
        <v>0</v>
      </c>
      <c r="J787" t="n">
        <v>0</v>
      </c>
      <c r="K787" t="n">
        <v>0</v>
      </c>
      <c r="L787" t="n">
        <v>0</v>
      </c>
      <c r="M787" t="n">
        <v>0</v>
      </c>
      <c r="N787" t="n">
        <v>0</v>
      </c>
      <c r="O787" t="n">
        <v>0</v>
      </c>
      <c r="P787" t="n">
        <v>0</v>
      </c>
      <c r="Q787" t="n">
        <v>0</v>
      </c>
      <c r="R787" s="2" t="inlineStr"/>
    </row>
    <row r="788" ht="15" customHeight="1">
      <c r="A788" t="inlineStr">
        <is>
          <t>A 3813-2024</t>
        </is>
      </c>
      <c r="B788" s="1" t="n">
        <v>45321</v>
      </c>
      <c r="C788" s="1" t="n">
        <v>46033</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37820-2021</t>
        </is>
      </c>
      <c r="B789" s="1" t="n">
        <v>44403.3119212963</v>
      </c>
      <c r="C789" s="1" t="n">
        <v>46033</v>
      </c>
      <c r="D789" t="inlineStr">
        <is>
          <t>UPPSALA LÄN</t>
        </is>
      </c>
      <c r="E789" t="inlineStr">
        <is>
          <t>UPPSALA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40507-2021</t>
        </is>
      </c>
      <c r="B790" s="1" t="n">
        <v>44420</v>
      </c>
      <c r="C790" s="1" t="n">
        <v>46033</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40111-2024</t>
        </is>
      </c>
      <c r="B791" s="1" t="n">
        <v>45554</v>
      </c>
      <c r="C791" s="1" t="n">
        <v>46033</v>
      </c>
      <c r="D791" t="inlineStr">
        <is>
          <t>UPPSALA LÄN</t>
        </is>
      </c>
      <c r="E791" t="inlineStr">
        <is>
          <t>UPPSALA</t>
        </is>
      </c>
      <c r="G791" t="n">
        <v>3.7</v>
      </c>
      <c r="H791" t="n">
        <v>0</v>
      </c>
      <c r="I791" t="n">
        <v>0</v>
      </c>
      <c r="J791" t="n">
        <v>0</v>
      </c>
      <c r="K791" t="n">
        <v>0</v>
      </c>
      <c r="L791" t="n">
        <v>0</v>
      </c>
      <c r="M791" t="n">
        <v>0</v>
      </c>
      <c r="N791" t="n">
        <v>0</v>
      </c>
      <c r="O791" t="n">
        <v>0</v>
      </c>
      <c r="P791" t="n">
        <v>0</v>
      </c>
      <c r="Q791" t="n">
        <v>0</v>
      </c>
      <c r="R791" s="2" t="inlineStr"/>
    </row>
    <row r="792" ht="15" customHeight="1">
      <c r="A792" t="inlineStr">
        <is>
          <t>A 2790-2025</t>
        </is>
      </c>
      <c r="B792" s="1" t="n">
        <v>45677</v>
      </c>
      <c r="C792" s="1" t="n">
        <v>46033</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12414-2025</t>
        </is>
      </c>
      <c r="B793" s="1" t="n">
        <v>45730.43966435185</v>
      </c>
      <c r="C793" s="1" t="n">
        <v>46033</v>
      </c>
      <c r="D793" t="inlineStr">
        <is>
          <t>UPPSALA LÄN</t>
        </is>
      </c>
      <c r="E793" t="inlineStr">
        <is>
          <t>UPPSALA</t>
        </is>
      </c>
      <c r="F793" t="inlineStr">
        <is>
          <t>Övriga statliga verk och myndigheter</t>
        </is>
      </c>
      <c r="G793" t="n">
        <v>6.8</v>
      </c>
      <c r="H793" t="n">
        <v>0</v>
      </c>
      <c r="I793" t="n">
        <v>0</v>
      </c>
      <c r="J793" t="n">
        <v>0</v>
      </c>
      <c r="K793" t="n">
        <v>0</v>
      </c>
      <c r="L793" t="n">
        <v>0</v>
      </c>
      <c r="M793" t="n">
        <v>0</v>
      </c>
      <c r="N793" t="n">
        <v>0</v>
      </c>
      <c r="O793" t="n">
        <v>0</v>
      </c>
      <c r="P793" t="n">
        <v>0</v>
      </c>
      <c r="Q793" t="n">
        <v>0</v>
      </c>
      <c r="R793" s="2" t="inlineStr"/>
    </row>
    <row r="794" ht="15" customHeight="1">
      <c r="A794" t="inlineStr">
        <is>
          <t>A 4929-2022</t>
        </is>
      </c>
      <c r="B794" s="1" t="n">
        <v>44593</v>
      </c>
      <c r="C794" s="1" t="n">
        <v>46033</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33622-2024</t>
        </is>
      </c>
      <c r="B795" s="1" t="n">
        <v>45520</v>
      </c>
      <c r="C795" s="1" t="n">
        <v>46033</v>
      </c>
      <c r="D795" t="inlineStr">
        <is>
          <t>UPPSALA LÄN</t>
        </is>
      </c>
      <c r="E795" t="inlineStr">
        <is>
          <t>UPPSALA</t>
        </is>
      </c>
      <c r="G795" t="n">
        <v>1</v>
      </c>
      <c r="H795" t="n">
        <v>0</v>
      </c>
      <c r="I795" t="n">
        <v>0</v>
      </c>
      <c r="J795" t="n">
        <v>0</v>
      </c>
      <c r="K795" t="n">
        <v>0</v>
      </c>
      <c r="L795" t="n">
        <v>0</v>
      </c>
      <c r="M795" t="n">
        <v>0</v>
      </c>
      <c r="N795" t="n">
        <v>0</v>
      </c>
      <c r="O795" t="n">
        <v>0</v>
      </c>
      <c r="P795" t="n">
        <v>0</v>
      </c>
      <c r="Q795" t="n">
        <v>0</v>
      </c>
      <c r="R795" s="2" t="inlineStr"/>
    </row>
    <row r="796" ht="15" customHeight="1">
      <c r="A796" t="inlineStr">
        <is>
          <t>A 41545-2023</t>
        </is>
      </c>
      <c r="B796" s="1" t="n">
        <v>45175.57060185185</v>
      </c>
      <c r="C796" s="1" t="n">
        <v>46033</v>
      </c>
      <c r="D796" t="inlineStr">
        <is>
          <t>UPPSALA LÄN</t>
        </is>
      </c>
      <c r="E796" t="inlineStr">
        <is>
          <t>UPPSALA</t>
        </is>
      </c>
      <c r="G796" t="n">
        <v>6.6</v>
      </c>
      <c r="H796" t="n">
        <v>0</v>
      </c>
      <c r="I796" t="n">
        <v>0</v>
      </c>
      <c r="J796" t="n">
        <v>0</v>
      </c>
      <c r="K796" t="n">
        <v>0</v>
      </c>
      <c r="L796" t="n">
        <v>0</v>
      </c>
      <c r="M796" t="n">
        <v>0</v>
      </c>
      <c r="N796" t="n">
        <v>0</v>
      </c>
      <c r="O796" t="n">
        <v>0</v>
      </c>
      <c r="P796" t="n">
        <v>0</v>
      </c>
      <c r="Q796" t="n">
        <v>0</v>
      </c>
      <c r="R796" s="2" t="inlineStr"/>
    </row>
    <row r="797" ht="15" customHeight="1">
      <c r="A797" t="inlineStr">
        <is>
          <t>A 60047-2022</t>
        </is>
      </c>
      <c r="B797" s="1" t="n">
        <v>44909.51885416666</v>
      </c>
      <c r="C797" s="1" t="n">
        <v>46033</v>
      </c>
      <c r="D797" t="inlineStr">
        <is>
          <t>UPPSALA LÄN</t>
        </is>
      </c>
      <c r="E797" t="inlineStr">
        <is>
          <t>UPPSALA</t>
        </is>
      </c>
      <c r="F797" t="inlineStr">
        <is>
          <t>Kyrkan</t>
        </is>
      </c>
      <c r="G797" t="n">
        <v>0.7</v>
      </c>
      <c r="H797" t="n">
        <v>0</v>
      </c>
      <c r="I797" t="n">
        <v>0</v>
      </c>
      <c r="J797" t="n">
        <v>0</v>
      </c>
      <c r="K797" t="n">
        <v>0</v>
      </c>
      <c r="L797" t="n">
        <v>0</v>
      </c>
      <c r="M797" t="n">
        <v>0</v>
      </c>
      <c r="N797" t="n">
        <v>0</v>
      </c>
      <c r="O797" t="n">
        <v>0</v>
      </c>
      <c r="P797" t="n">
        <v>0</v>
      </c>
      <c r="Q797" t="n">
        <v>0</v>
      </c>
      <c r="R797" s="2" t="inlineStr"/>
    </row>
    <row r="798" ht="15" customHeight="1">
      <c r="A798" t="inlineStr">
        <is>
          <t>A 12284-2025</t>
        </is>
      </c>
      <c r="B798" s="1" t="n">
        <v>45729</v>
      </c>
      <c r="C798" s="1" t="n">
        <v>46033</v>
      </c>
      <c r="D798" t="inlineStr">
        <is>
          <t>UPPSALA LÄN</t>
        </is>
      </c>
      <c r="E798" t="inlineStr">
        <is>
          <t>UPPSALA</t>
        </is>
      </c>
      <c r="G798" t="n">
        <v>6.7</v>
      </c>
      <c r="H798" t="n">
        <v>0</v>
      </c>
      <c r="I798" t="n">
        <v>0</v>
      </c>
      <c r="J798" t="n">
        <v>0</v>
      </c>
      <c r="K798" t="n">
        <v>0</v>
      </c>
      <c r="L798" t="n">
        <v>0</v>
      </c>
      <c r="M798" t="n">
        <v>0</v>
      </c>
      <c r="N798" t="n">
        <v>0</v>
      </c>
      <c r="O798" t="n">
        <v>0</v>
      </c>
      <c r="P798" t="n">
        <v>0</v>
      </c>
      <c r="Q798" t="n">
        <v>0</v>
      </c>
      <c r="R798" s="2" t="inlineStr"/>
    </row>
    <row r="799" ht="15" customHeight="1">
      <c r="A799" t="inlineStr">
        <is>
          <t>A 12287-2025</t>
        </is>
      </c>
      <c r="B799" s="1" t="n">
        <v>45729</v>
      </c>
      <c r="C799" s="1" t="n">
        <v>46033</v>
      </c>
      <c r="D799" t="inlineStr">
        <is>
          <t>UPPSALA LÄN</t>
        </is>
      </c>
      <c r="E799" t="inlineStr">
        <is>
          <t>UPPSALA</t>
        </is>
      </c>
      <c r="G799" t="n">
        <v>4.6</v>
      </c>
      <c r="H799" t="n">
        <v>0</v>
      </c>
      <c r="I799" t="n">
        <v>0</v>
      </c>
      <c r="J799" t="n">
        <v>0</v>
      </c>
      <c r="K799" t="n">
        <v>0</v>
      </c>
      <c r="L799" t="n">
        <v>0</v>
      </c>
      <c r="M799" t="n">
        <v>0</v>
      </c>
      <c r="N799" t="n">
        <v>0</v>
      </c>
      <c r="O799" t="n">
        <v>0</v>
      </c>
      <c r="P799" t="n">
        <v>0</v>
      </c>
      <c r="Q799" t="n">
        <v>0</v>
      </c>
      <c r="R799" s="2" t="inlineStr"/>
    </row>
    <row r="800" ht="15" customHeight="1">
      <c r="A800" t="inlineStr">
        <is>
          <t>A 42543-2023</t>
        </is>
      </c>
      <c r="B800" s="1" t="n">
        <v>45181.36815972222</v>
      </c>
      <c r="C800" s="1" t="n">
        <v>46033</v>
      </c>
      <c r="D800" t="inlineStr">
        <is>
          <t>UPPSALA LÄN</t>
        </is>
      </c>
      <c r="E800" t="inlineStr">
        <is>
          <t>UPPSALA</t>
        </is>
      </c>
      <c r="G800" t="n">
        <v>1.4</v>
      </c>
      <c r="H800" t="n">
        <v>0</v>
      </c>
      <c r="I800" t="n">
        <v>0</v>
      </c>
      <c r="J800" t="n">
        <v>0</v>
      </c>
      <c r="K800" t="n">
        <v>0</v>
      </c>
      <c r="L800" t="n">
        <v>0</v>
      </c>
      <c r="M800" t="n">
        <v>0</v>
      </c>
      <c r="N800" t="n">
        <v>0</v>
      </c>
      <c r="O800" t="n">
        <v>0</v>
      </c>
      <c r="P800" t="n">
        <v>0</v>
      </c>
      <c r="Q800" t="n">
        <v>0</v>
      </c>
      <c r="R800" s="2" t="inlineStr"/>
    </row>
    <row r="801" ht="15" customHeight="1">
      <c r="A801" t="inlineStr">
        <is>
          <t>A 8931-2025</t>
        </is>
      </c>
      <c r="B801" s="1" t="n">
        <v>45713.44519675926</v>
      </c>
      <c r="C801" s="1" t="n">
        <v>46033</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74023-2021</t>
        </is>
      </c>
      <c r="B802" s="1" t="n">
        <v>44553</v>
      </c>
      <c r="C802" s="1" t="n">
        <v>46033</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44830-2023</t>
        </is>
      </c>
      <c r="B803" s="1" t="n">
        <v>45190</v>
      </c>
      <c r="C803" s="1" t="n">
        <v>46033</v>
      </c>
      <c r="D803" t="inlineStr">
        <is>
          <t>UPPSALA LÄN</t>
        </is>
      </c>
      <c r="E803" t="inlineStr">
        <is>
          <t>UPPSALA</t>
        </is>
      </c>
      <c r="G803" t="n">
        <v>1.9</v>
      </c>
      <c r="H803" t="n">
        <v>0</v>
      </c>
      <c r="I803" t="n">
        <v>0</v>
      </c>
      <c r="J803" t="n">
        <v>0</v>
      </c>
      <c r="K803" t="n">
        <v>0</v>
      </c>
      <c r="L803" t="n">
        <v>0</v>
      </c>
      <c r="M803" t="n">
        <v>0</v>
      </c>
      <c r="N803" t="n">
        <v>0</v>
      </c>
      <c r="O803" t="n">
        <v>0</v>
      </c>
      <c r="P803" t="n">
        <v>0</v>
      </c>
      <c r="Q803" t="n">
        <v>0</v>
      </c>
      <c r="R803" s="2" t="inlineStr"/>
    </row>
    <row r="804" ht="15" customHeight="1">
      <c r="A804" t="inlineStr">
        <is>
          <t>A 73044-2021</t>
        </is>
      </c>
      <c r="B804" s="1" t="n">
        <v>44550.37994212963</v>
      </c>
      <c r="C804" s="1" t="n">
        <v>46033</v>
      </c>
      <c r="D804" t="inlineStr">
        <is>
          <t>UPPSALA LÄN</t>
        </is>
      </c>
      <c r="E804" t="inlineStr">
        <is>
          <t>UPPSALA</t>
        </is>
      </c>
      <c r="F804" t="inlineStr">
        <is>
          <t>Sveaskog</t>
        </is>
      </c>
      <c r="G804" t="n">
        <v>2.5</v>
      </c>
      <c r="H804" t="n">
        <v>0</v>
      </c>
      <c r="I804" t="n">
        <v>0</v>
      </c>
      <c r="J804" t="n">
        <v>0</v>
      </c>
      <c r="K804" t="n">
        <v>0</v>
      </c>
      <c r="L804" t="n">
        <v>0</v>
      </c>
      <c r="M804" t="n">
        <v>0</v>
      </c>
      <c r="N804" t="n">
        <v>0</v>
      </c>
      <c r="O804" t="n">
        <v>0</v>
      </c>
      <c r="P804" t="n">
        <v>0</v>
      </c>
      <c r="Q804" t="n">
        <v>0</v>
      </c>
      <c r="R804" s="2" t="inlineStr"/>
    </row>
    <row r="805" ht="15" customHeight="1">
      <c r="A805" t="inlineStr">
        <is>
          <t>A 19139-2023</t>
        </is>
      </c>
      <c r="B805" s="1" t="n">
        <v>45048.55349537037</v>
      </c>
      <c r="C805" s="1" t="n">
        <v>46033</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1617-2021</t>
        </is>
      </c>
      <c r="B806" s="1" t="n">
        <v>44209</v>
      </c>
      <c r="C806" s="1" t="n">
        <v>46033</v>
      </c>
      <c r="D806" t="inlineStr">
        <is>
          <t>UPPSALA LÄN</t>
        </is>
      </c>
      <c r="E806" t="inlineStr">
        <is>
          <t>UPPSALA</t>
        </is>
      </c>
      <c r="G806" t="n">
        <v>2.5</v>
      </c>
      <c r="H806" t="n">
        <v>0</v>
      </c>
      <c r="I806" t="n">
        <v>0</v>
      </c>
      <c r="J806" t="n">
        <v>0</v>
      </c>
      <c r="K806" t="n">
        <v>0</v>
      </c>
      <c r="L806" t="n">
        <v>0</v>
      </c>
      <c r="M806" t="n">
        <v>0</v>
      </c>
      <c r="N806" t="n">
        <v>0</v>
      </c>
      <c r="O806" t="n">
        <v>0</v>
      </c>
      <c r="P806" t="n">
        <v>0</v>
      </c>
      <c r="Q806" t="n">
        <v>0</v>
      </c>
      <c r="R806" s="2" t="inlineStr"/>
    </row>
    <row r="807" ht="15" customHeight="1">
      <c r="A807" t="inlineStr">
        <is>
          <t>A 29799-2023</t>
        </is>
      </c>
      <c r="B807" s="1" t="n">
        <v>45107.53688657407</v>
      </c>
      <c r="C807" s="1" t="n">
        <v>46033</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179-2023</t>
        </is>
      </c>
      <c r="B808" s="1" t="n">
        <v>44928</v>
      </c>
      <c r="C808" s="1" t="n">
        <v>46033</v>
      </c>
      <c r="D808" t="inlineStr">
        <is>
          <t>UPPSALA LÄN</t>
        </is>
      </c>
      <c r="E808" t="inlineStr">
        <is>
          <t>UPPSALA</t>
        </is>
      </c>
      <c r="F808" t="inlineStr">
        <is>
          <t>Kommuner</t>
        </is>
      </c>
      <c r="G808" t="n">
        <v>1.4</v>
      </c>
      <c r="H808" t="n">
        <v>0</v>
      </c>
      <c r="I808" t="n">
        <v>0</v>
      </c>
      <c r="J808" t="n">
        <v>0</v>
      </c>
      <c r="K808" t="n">
        <v>0</v>
      </c>
      <c r="L808" t="n">
        <v>0</v>
      </c>
      <c r="M808" t="n">
        <v>0</v>
      </c>
      <c r="N808" t="n">
        <v>0</v>
      </c>
      <c r="O808" t="n">
        <v>0</v>
      </c>
      <c r="P808" t="n">
        <v>0</v>
      </c>
      <c r="Q808" t="n">
        <v>0</v>
      </c>
      <c r="R808" s="2" t="inlineStr"/>
    </row>
    <row r="809" ht="15" customHeight="1">
      <c r="A809" t="inlineStr">
        <is>
          <t>A 21052-2023</t>
        </is>
      </c>
      <c r="B809" s="1" t="n">
        <v>45061</v>
      </c>
      <c r="C809" s="1" t="n">
        <v>46033</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62054-2024</t>
        </is>
      </c>
      <c r="B810" s="1" t="n">
        <v>45656</v>
      </c>
      <c r="C810" s="1" t="n">
        <v>46033</v>
      </c>
      <c r="D810" t="inlineStr">
        <is>
          <t>UPPSALA LÄN</t>
        </is>
      </c>
      <c r="E810" t="inlineStr">
        <is>
          <t>UPPSALA</t>
        </is>
      </c>
      <c r="F810" t="inlineStr">
        <is>
          <t>Övriga statliga verk och myndigheter</t>
        </is>
      </c>
      <c r="G810" t="n">
        <v>29.3</v>
      </c>
      <c r="H810" t="n">
        <v>0</v>
      </c>
      <c r="I810" t="n">
        <v>0</v>
      </c>
      <c r="J810" t="n">
        <v>0</v>
      </c>
      <c r="K810" t="n">
        <v>0</v>
      </c>
      <c r="L810" t="n">
        <v>0</v>
      </c>
      <c r="M810" t="n">
        <v>0</v>
      </c>
      <c r="N810" t="n">
        <v>0</v>
      </c>
      <c r="O810" t="n">
        <v>0</v>
      </c>
      <c r="P810" t="n">
        <v>0</v>
      </c>
      <c r="Q810" t="n">
        <v>0</v>
      </c>
      <c r="R810" s="2" t="inlineStr"/>
    </row>
    <row r="811" ht="15" customHeight="1">
      <c r="A811" t="inlineStr">
        <is>
          <t>A 9398-2023</t>
        </is>
      </c>
      <c r="B811" s="1" t="n">
        <v>44977</v>
      </c>
      <c r="C811" s="1" t="n">
        <v>46033</v>
      </c>
      <c r="D811" t="inlineStr">
        <is>
          <t>UPPSALA LÄN</t>
        </is>
      </c>
      <c r="E811" t="inlineStr">
        <is>
          <t>UPPSALA</t>
        </is>
      </c>
      <c r="G811" t="n">
        <v>5.1</v>
      </c>
      <c r="H811" t="n">
        <v>0</v>
      </c>
      <c r="I811" t="n">
        <v>0</v>
      </c>
      <c r="J811" t="n">
        <v>0</v>
      </c>
      <c r="K811" t="n">
        <v>0</v>
      </c>
      <c r="L811" t="n">
        <v>0</v>
      </c>
      <c r="M811" t="n">
        <v>0</v>
      </c>
      <c r="N811" t="n">
        <v>0</v>
      </c>
      <c r="O811" t="n">
        <v>0</v>
      </c>
      <c r="P811" t="n">
        <v>0</v>
      </c>
      <c r="Q811" t="n">
        <v>0</v>
      </c>
      <c r="R811" s="2" t="inlineStr"/>
    </row>
    <row r="812" ht="15" customHeight="1">
      <c r="A812" t="inlineStr">
        <is>
          <t>A 39548-2023</t>
        </is>
      </c>
      <c r="B812" s="1" t="n">
        <v>45167.3721412037</v>
      </c>
      <c r="C812" s="1" t="n">
        <v>46033</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26099-2024</t>
        </is>
      </c>
      <c r="B813" s="1" t="n">
        <v>45468</v>
      </c>
      <c r="C813" s="1" t="n">
        <v>46033</v>
      </c>
      <c r="D813" t="inlineStr">
        <is>
          <t>UPPSALA LÄN</t>
        </is>
      </c>
      <c r="E813" t="inlineStr">
        <is>
          <t>UPPSALA</t>
        </is>
      </c>
      <c r="G813" t="n">
        <v>0.3</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46033</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33689-2023</t>
        </is>
      </c>
      <c r="B815" s="1" t="n">
        <v>45119</v>
      </c>
      <c r="C815" s="1" t="n">
        <v>46033</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18626-2025</t>
        </is>
      </c>
      <c r="B816" s="1" t="n">
        <v>45763.52995370371</v>
      </c>
      <c r="C816" s="1" t="n">
        <v>46033</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3183-2024</t>
        </is>
      </c>
      <c r="B817" s="1" t="n">
        <v>45316</v>
      </c>
      <c r="C817" s="1" t="n">
        <v>46033</v>
      </c>
      <c r="D817" t="inlineStr">
        <is>
          <t>UPPSALA LÄN</t>
        </is>
      </c>
      <c r="E817" t="inlineStr">
        <is>
          <t>UPPSALA</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53569-2024</t>
        </is>
      </c>
      <c r="B818" s="1" t="n">
        <v>45614.65928240741</v>
      </c>
      <c r="C818" s="1" t="n">
        <v>46033</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69436-2021</t>
        </is>
      </c>
      <c r="B819" s="1" t="n">
        <v>44531</v>
      </c>
      <c r="C819" s="1" t="n">
        <v>46033</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7253-2024</t>
        </is>
      </c>
      <c r="B820" s="1" t="n">
        <v>45344.69567129629</v>
      </c>
      <c r="C820" s="1" t="n">
        <v>46033</v>
      </c>
      <c r="D820" t="inlineStr">
        <is>
          <t>UPPSALA LÄN</t>
        </is>
      </c>
      <c r="E820" t="inlineStr">
        <is>
          <t>UPPSALA</t>
        </is>
      </c>
      <c r="F820" t="inlineStr">
        <is>
          <t>Kyrkan</t>
        </is>
      </c>
      <c r="G820" t="n">
        <v>2.5</v>
      </c>
      <c r="H820" t="n">
        <v>0</v>
      </c>
      <c r="I820" t="n">
        <v>0</v>
      </c>
      <c r="J820" t="n">
        <v>0</v>
      </c>
      <c r="K820" t="n">
        <v>0</v>
      </c>
      <c r="L820" t="n">
        <v>0</v>
      </c>
      <c r="M820" t="n">
        <v>0</v>
      </c>
      <c r="N820" t="n">
        <v>0</v>
      </c>
      <c r="O820" t="n">
        <v>0</v>
      </c>
      <c r="P820" t="n">
        <v>0</v>
      </c>
      <c r="Q820" t="n">
        <v>0</v>
      </c>
      <c r="R820" s="2" t="inlineStr"/>
    </row>
    <row r="821" ht="15" customHeight="1">
      <c r="A821" t="inlineStr">
        <is>
          <t>A 5764-2025</t>
        </is>
      </c>
      <c r="B821" s="1" t="n">
        <v>45694</v>
      </c>
      <c r="C821" s="1" t="n">
        <v>46033</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63307-2021</t>
        </is>
      </c>
      <c r="B822" s="1" t="n">
        <v>44508.44033564815</v>
      </c>
      <c r="C822" s="1" t="n">
        <v>46033</v>
      </c>
      <c r="D822" t="inlineStr">
        <is>
          <t>UPPSALA LÄN</t>
        </is>
      </c>
      <c r="E822" t="inlineStr">
        <is>
          <t>UPPSALA</t>
        </is>
      </c>
      <c r="F822" t="inlineStr">
        <is>
          <t>Bergvik skog öst AB</t>
        </is>
      </c>
      <c r="G822" t="n">
        <v>2.8</v>
      </c>
      <c r="H822" t="n">
        <v>0</v>
      </c>
      <c r="I822" t="n">
        <v>0</v>
      </c>
      <c r="J822" t="n">
        <v>0</v>
      </c>
      <c r="K822" t="n">
        <v>0</v>
      </c>
      <c r="L822" t="n">
        <v>0</v>
      </c>
      <c r="M822" t="n">
        <v>0</v>
      </c>
      <c r="N822" t="n">
        <v>0</v>
      </c>
      <c r="O822" t="n">
        <v>0</v>
      </c>
      <c r="P822" t="n">
        <v>0</v>
      </c>
      <c r="Q822" t="n">
        <v>0</v>
      </c>
      <c r="R822" s="2" t="inlineStr"/>
    </row>
    <row r="823" ht="15" customHeight="1">
      <c r="A823" t="inlineStr">
        <is>
          <t>A 13128-2022</t>
        </is>
      </c>
      <c r="B823" s="1" t="n">
        <v>44644.37548611111</v>
      </c>
      <c r="C823" s="1" t="n">
        <v>46033</v>
      </c>
      <c r="D823" t="inlineStr">
        <is>
          <t>UPPSALA LÄN</t>
        </is>
      </c>
      <c r="E823" t="inlineStr">
        <is>
          <t>UPPSALA</t>
        </is>
      </c>
      <c r="F823" t="inlineStr">
        <is>
          <t>Övriga Aktiebolag</t>
        </is>
      </c>
      <c r="G823" t="n">
        <v>3.7</v>
      </c>
      <c r="H823" t="n">
        <v>0</v>
      </c>
      <c r="I823" t="n">
        <v>0</v>
      </c>
      <c r="J823" t="n">
        <v>0</v>
      </c>
      <c r="K823" t="n">
        <v>0</v>
      </c>
      <c r="L823" t="n">
        <v>0</v>
      </c>
      <c r="M823" t="n">
        <v>0</v>
      </c>
      <c r="N823" t="n">
        <v>0</v>
      </c>
      <c r="O823" t="n">
        <v>0</v>
      </c>
      <c r="P823" t="n">
        <v>0</v>
      </c>
      <c r="Q823" t="n">
        <v>0</v>
      </c>
      <c r="R823" s="2" t="inlineStr"/>
    </row>
    <row r="824" ht="15" customHeight="1">
      <c r="A824" t="inlineStr">
        <is>
          <t>A 18808-2024</t>
        </is>
      </c>
      <c r="B824" s="1" t="n">
        <v>45426.61569444444</v>
      </c>
      <c r="C824" s="1" t="n">
        <v>46033</v>
      </c>
      <c r="D824" t="inlineStr">
        <is>
          <t>UPPSALA LÄN</t>
        </is>
      </c>
      <c r="E824" t="inlineStr">
        <is>
          <t>UPPSALA</t>
        </is>
      </c>
      <c r="G824" t="n">
        <v>11.5</v>
      </c>
      <c r="H824" t="n">
        <v>0</v>
      </c>
      <c r="I824" t="n">
        <v>0</v>
      </c>
      <c r="J824" t="n">
        <v>0</v>
      </c>
      <c r="K824" t="n">
        <v>0</v>
      </c>
      <c r="L824" t="n">
        <v>0</v>
      </c>
      <c r="M824" t="n">
        <v>0</v>
      </c>
      <c r="N824" t="n">
        <v>0</v>
      </c>
      <c r="O824" t="n">
        <v>0</v>
      </c>
      <c r="P824" t="n">
        <v>0</v>
      </c>
      <c r="Q824" t="n">
        <v>0</v>
      </c>
      <c r="R824" s="2" t="inlineStr"/>
    </row>
    <row r="825" ht="15" customHeight="1">
      <c r="A825" t="inlineStr">
        <is>
          <t>A 43855-2023</t>
        </is>
      </c>
      <c r="B825" s="1" t="n">
        <v>45187.61136574074</v>
      </c>
      <c r="C825" s="1" t="n">
        <v>46033</v>
      </c>
      <c r="D825" t="inlineStr">
        <is>
          <t>UPPSALA LÄN</t>
        </is>
      </c>
      <c r="E825" t="inlineStr">
        <is>
          <t>UPPSALA</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69432-2021</t>
        </is>
      </c>
      <c r="B826" s="1" t="n">
        <v>44531</v>
      </c>
      <c r="C826" s="1" t="n">
        <v>46033</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37763-2021</t>
        </is>
      </c>
      <c r="B827" s="1" t="n">
        <v>44400.6750925926</v>
      </c>
      <c r="C827" s="1" t="n">
        <v>46033</v>
      </c>
      <c r="D827" t="inlineStr">
        <is>
          <t>UPPSALA LÄN</t>
        </is>
      </c>
      <c r="E827" t="inlineStr">
        <is>
          <t>UPPSALA</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69595-2021</t>
        </is>
      </c>
      <c r="B828" s="1" t="n">
        <v>44532</v>
      </c>
      <c r="C828" s="1" t="n">
        <v>46033</v>
      </c>
      <c r="D828" t="inlineStr">
        <is>
          <t>UPPSALA LÄN</t>
        </is>
      </c>
      <c r="E828" t="inlineStr">
        <is>
          <t>UPPSALA</t>
        </is>
      </c>
      <c r="G828" t="n">
        <v>3.9</v>
      </c>
      <c r="H828" t="n">
        <v>0</v>
      </c>
      <c r="I828" t="n">
        <v>0</v>
      </c>
      <c r="J828" t="n">
        <v>0</v>
      </c>
      <c r="K828" t="n">
        <v>0</v>
      </c>
      <c r="L828" t="n">
        <v>0</v>
      </c>
      <c r="M828" t="n">
        <v>0</v>
      </c>
      <c r="N828" t="n">
        <v>0</v>
      </c>
      <c r="O828" t="n">
        <v>0</v>
      </c>
      <c r="P828" t="n">
        <v>0</v>
      </c>
      <c r="Q828" t="n">
        <v>0</v>
      </c>
      <c r="R828" s="2" t="inlineStr"/>
    </row>
    <row r="829" ht="15" customHeight="1">
      <c r="A829" t="inlineStr">
        <is>
          <t>A 3214-2023</t>
        </is>
      </c>
      <c r="B829" s="1" t="n">
        <v>44944</v>
      </c>
      <c r="C829" s="1" t="n">
        <v>46033</v>
      </c>
      <c r="D829" t="inlineStr">
        <is>
          <t>UPPSALA LÄN</t>
        </is>
      </c>
      <c r="E829" t="inlineStr">
        <is>
          <t>UPPSALA</t>
        </is>
      </c>
      <c r="G829" t="n">
        <v>4.1</v>
      </c>
      <c r="H829" t="n">
        <v>0</v>
      </c>
      <c r="I829" t="n">
        <v>0</v>
      </c>
      <c r="J829" t="n">
        <v>0</v>
      </c>
      <c r="K829" t="n">
        <v>0</v>
      </c>
      <c r="L829" t="n">
        <v>0</v>
      </c>
      <c r="M829" t="n">
        <v>0</v>
      </c>
      <c r="N829" t="n">
        <v>0</v>
      </c>
      <c r="O829" t="n">
        <v>0</v>
      </c>
      <c r="P829" t="n">
        <v>0</v>
      </c>
      <c r="Q829" t="n">
        <v>0</v>
      </c>
      <c r="R829" s="2" t="inlineStr"/>
    </row>
    <row r="830" ht="15" customHeight="1">
      <c r="A830" t="inlineStr">
        <is>
          <t>A 38190-2023</t>
        </is>
      </c>
      <c r="B830" s="1" t="n">
        <v>45161</v>
      </c>
      <c r="C830" s="1" t="n">
        <v>46033</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54924-2024</t>
        </is>
      </c>
      <c r="B831" s="1" t="n">
        <v>45618.71140046296</v>
      </c>
      <c r="C831" s="1" t="n">
        <v>46033</v>
      </c>
      <c r="D831" t="inlineStr">
        <is>
          <t>UPPSALA LÄN</t>
        </is>
      </c>
      <c r="E831" t="inlineStr">
        <is>
          <t>UPPSALA</t>
        </is>
      </c>
      <c r="G831" t="n">
        <v>2.4</v>
      </c>
      <c r="H831" t="n">
        <v>0</v>
      </c>
      <c r="I831" t="n">
        <v>0</v>
      </c>
      <c r="J831" t="n">
        <v>0</v>
      </c>
      <c r="K831" t="n">
        <v>0</v>
      </c>
      <c r="L831" t="n">
        <v>0</v>
      </c>
      <c r="M831" t="n">
        <v>0</v>
      </c>
      <c r="N831" t="n">
        <v>0</v>
      </c>
      <c r="O831" t="n">
        <v>0</v>
      </c>
      <c r="P831" t="n">
        <v>0</v>
      </c>
      <c r="Q831" t="n">
        <v>0</v>
      </c>
      <c r="R831" s="2" t="inlineStr"/>
    </row>
    <row r="832" ht="15" customHeight="1">
      <c r="A832" t="inlineStr">
        <is>
          <t>A 39007-2024</t>
        </is>
      </c>
      <c r="B832" s="1" t="n">
        <v>45548.42854166667</v>
      </c>
      <c r="C832" s="1" t="n">
        <v>46033</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27543-2022</t>
        </is>
      </c>
      <c r="B833" s="1" t="n">
        <v>44742</v>
      </c>
      <c r="C833" s="1" t="n">
        <v>46033</v>
      </c>
      <c r="D833" t="inlineStr">
        <is>
          <t>UPPSALA LÄN</t>
        </is>
      </c>
      <c r="E833" t="inlineStr">
        <is>
          <t>UPPSALA</t>
        </is>
      </c>
      <c r="F833" t="inlineStr">
        <is>
          <t>Kyrkan</t>
        </is>
      </c>
      <c r="G833" t="n">
        <v>2.6</v>
      </c>
      <c r="H833" t="n">
        <v>0</v>
      </c>
      <c r="I833" t="n">
        <v>0</v>
      </c>
      <c r="J833" t="n">
        <v>0</v>
      </c>
      <c r="K833" t="n">
        <v>0</v>
      </c>
      <c r="L833" t="n">
        <v>0</v>
      </c>
      <c r="M833" t="n">
        <v>0</v>
      </c>
      <c r="N833" t="n">
        <v>0</v>
      </c>
      <c r="O833" t="n">
        <v>0</v>
      </c>
      <c r="P833" t="n">
        <v>0</v>
      </c>
      <c r="Q833" t="n">
        <v>0</v>
      </c>
      <c r="R833" s="2" t="inlineStr"/>
    </row>
    <row r="834" ht="15" customHeight="1">
      <c r="A834" t="inlineStr">
        <is>
          <t>A 46743-2024</t>
        </is>
      </c>
      <c r="B834" s="1" t="n">
        <v>45583.47836805556</v>
      </c>
      <c r="C834" s="1" t="n">
        <v>46033</v>
      </c>
      <c r="D834" t="inlineStr">
        <is>
          <t>UPPSALA LÄN</t>
        </is>
      </c>
      <c r="E834" t="inlineStr">
        <is>
          <t>UPPSALA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66690-2021</t>
        </is>
      </c>
      <c r="B835" s="1" t="n">
        <v>44519.64902777778</v>
      </c>
      <c r="C835" s="1" t="n">
        <v>46033</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13602-2025</t>
        </is>
      </c>
      <c r="B836" s="1" t="n">
        <v>45736.60863425926</v>
      </c>
      <c r="C836" s="1" t="n">
        <v>46033</v>
      </c>
      <c r="D836" t="inlineStr">
        <is>
          <t>UPPSALA LÄN</t>
        </is>
      </c>
      <c r="E836" t="inlineStr">
        <is>
          <t>UPPSALA</t>
        </is>
      </c>
      <c r="F836" t="inlineStr">
        <is>
          <t>Allmännings- och besparingsskogar</t>
        </is>
      </c>
      <c r="G836" t="n">
        <v>9.5</v>
      </c>
      <c r="H836" t="n">
        <v>0</v>
      </c>
      <c r="I836" t="n">
        <v>0</v>
      </c>
      <c r="J836" t="n">
        <v>0</v>
      </c>
      <c r="K836" t="n">
        <v>0</v>
      </c>
      <c r="L836" t="n">
        <v>0</v>
      </c>
      <c r="M836" t="n">
        <v>0</v>
      </c>
      <c r="N836" t="n">
        <v>0</v>
      </c>
      <c r="O836" t="n">
        <v>0</v>
      </c>
      <c r="P836" t="n">
        <v>0</v>
      </c>
      <c r="Q836" t="n">
        <v>0</v>
      </c>
      <c r="R836" s="2" t="inlineStr"/>
    </row>
    <row r="837" ht="15" customHeight="1">
      <c r="A837" t="inlineStr">
        <is>
          <t>A 7611-2023</t>
        </is>
      </c>
      <c r="B837" s="1" t="n">
        <v>44967</v>
      </c>
      <c r="C837" s="1" t="n">
        <v>46033</v>
      </c>
      <c r="D837" t="inlineStr">
        <is>
          <t>UPPSALA LÄN</t>
        </is>
      </c>
      <c r="E837" t="inlineStr">
        <is>
          <t>UPPSALA</t>
        </is>
      </c>
      <c r="G837" t="n">
        <v>3.5</v>
      </c>
      <c r="H837" t="n">
        <v>0</v>
      </c>
      <c r="I837" t="n">
        <v>0</v>
      </c>
      <c r="J837" t="n">
        <v>0</v>
      </c>
      <c r="K837" t="n">
        <v>0</v>
      </c>
      <c r="L837" t="n">
        <v>0</v>
      </c>
      <c r="M837" t="n">
        <v>0</v>
      </c>
      <c r="N837" t="n">
        <v>0</v>
      </c>
      <c r="O837" t="n">
        <v>0</v>
      </c>
      <c r="P837" t="n">
        <v>0</v>
      </c>
      <c r="Q837" t="n">
        <v>0</v>
      </c>
      <c r="R837" s="2" t="inlineStr"/>
    </row>
    <row r="838" ht="15" customHeight="1">
      <c r="A838" t="inlineStr">
        <is>
          <t>A 733-2022</t>
        </is>
      </c>
      <c r="B838" s="1" t="n">
        <v>44568.67040509259</v>
      </c>
      <c r="C838" s="1" t="n">
        <v>46033</v>
      </c>
      <c r="D838" t="inlineStr">
        <is>
          <t>UPPSALA LÄN</t>
        </is>
      </c>
      <c r="E838" t="inlineStr">
        <is>
          <t>UPPSALA</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20087-2023</t>
        </is>
      </c>
      <c r="B839" s="1" t="n">
        <v>45054.9271875</v>
      </c>
      <c r="C839" s="1" t="n">
        <v>46033</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48588-2022</t>
        </is>
      </c>
      <c r="B840" s="1" t="n">
        <v>44859.36896990741</v>
      </c>
      <c r="C840" s="1" t="n">
        <v>46033</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6971-2025</t>
        </is>
      </c>
      <c r="B841" s="1" t="n">
        <v>45693</v>
      </c>
      <c r="C841" s="1" t="n">
        <v>46033</v>
      </c>
      <c r="D841" t="inlineStr">
        <is>
          <t>UPPSALA LÄN</t>
        </is>
      </c>
      <c r="E841" t="inlineStr">
        <is>
          <t>UPPSALA</t>
        </is>
      </c>
      <c r="G841" t="n">
        <v>1.7</v>
      </c>
      <c r="H841" t="n">
        <v>0</v>
      </c>
      <c r="I841" t="n">
        <v>0</v>
      </c>
      <c r="J841" t="n">
        <v>0</v>
      </c>
      <c r="K841" t="n">
        <v>0</v>
      </c>
      <c r="L841" t="n">
        <v>0</v>
      </c>
      <c r="M841" t="n">
        <v>0</v>
      </c>
      <c r="N841" t="n">
        <v>0</v>
      </c>
      <c r="O841" t="n">
        <v>0</v>
      </c>
      <c r="P841" t="n">
        <v>0</v>
      </c>
      <c r="Q841" t="n">
        <v>0</v>
      </c>
      <c r="R841" s="2" t="inlineStr"/>
    </row>
    <row r="842" ht="15" customHeight="1">
      <c r="A842" t="inlineStr">
        <is>
          <t>A 43032-2022</t>
        </is>
      </c>
      <c r="B842" s="1" t="n">
        <v>44832</v>
      </c>
      <c r="C842" s="1" t="n">
        <v>46033</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50669-2024</t>
        </is>
      </c>
      <c r="B843" s="1" t="n">
        <v>45601</v>
      </c>
      <c r="C843" s="1" t="n">
        <v>46033</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34509-2023</t>
        </is>
      </c>
      <c r="B844" s="1" t="n">
        <v>45133</v>
      </c>
      <c r="C844" s="1" t="n">
        <v>46033</v>
      </c>
      <c r="D844" t="inlineStr">
        <is>
          <t>UPPSALA LÄN</t>
        </is>
      </c>
      <c r="E844" t="inlineStr">
        <is>
          <t>UPPSALA</t>
        </is>
      </c>
      <c r="G844" t="n">
        <v>2.6</v>
      </c>
      <c r="H844" t="n">
        <v>0</v>
      </c>
      <c r="I844" t="n">
        <v>0</v>
      </c>
      <c r="J844" t="n">
        <v>0</v>
      </c>
      <c r="K844" t="n">
        <v>0</v>
      </c>
      <c r="L844" t="n">
        <v>0</v>
      </c>
      <c r="M844" t="n">
        <v>0</v>
      </c>
      <c r="N844" t="n">
        <v>0</v>
      </c>
      <c r="O844" t="n">
        <v>0</v>
      </c>
      <c r="P844" t="n">
        <v>0</v>
      </c>
      <c r="Q844" t="n">
        <v>0</v>
      </c>
      <c r="R844" s="2" t="inlineStr"/>
    </row>
    <row r="845" ht="15" customHeight="1">
      <c r="A845" t="inlineStr">
        <is>
          <t>A 33939-2024</t>
        </is>
      </c>
      <c r="B845" s="1" t="n">
        <v>45523</v>
      </c>
      <c r="C845" s="1" t="n">
        <v>46033</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13343-2022</t>
        </is>
      </c>
      <c r="B846" s="1" t="n">
        <v>44645.39157407408</v>
      </c>
      <c r="C846" s="1" t="n">
        <v>46033</v>
      </c>
      <c r="D846" t="inlineStr">
        <is>
          <t>UPPSALA LÄN</t>
        </is>
      </c>
      <c r="E846" t="inlineStr">
        <is>
          <t>UPPSALA</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11173-2024</t>
        </is>
      </c>
      <c r="B847" s="1" t="n">
        <v>45371.50738425926</v>
      </c>
      <c r="C847" s="1" t="n">
        <v>46033</v>
      </c>
      <c r="D847" t="inlineStr">
        <is>
          <t>UPPSALA LÄN</t>
        </is>
      </c>
      <c r="E847" t="inlineStr">
        <is>
          <t>UPPSALA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9242-2022</t>
        </is>
      </c>
      <c r="B848" s="1" t="n">
        <v>44616</v>
      </c>
      <c r="C848" s="1" t="n">
        <v>46033</v>
      </c>
      <c r="D848" t="inlineStr">
        <is>
          <t>UPPSALA LÄN</t>
        </is>
      </c>
      <c r="E848" t="inlineStr">
        <is>
          <t>UPPSALA</t>
        </is>
      </c>
      <c r="F848" t="inlineStr">
        <is>
          <t>Övriga Aktiebolag</t>
        </is>
      </c>
      <c r="G848" t="n">
        <v>5.9</v>
      </c>
      <c r="H848" t="n">
        <v>0</v>
      </c>
      <c r="I848" t="n">
        <v>0</v>
      </c>
      <c r="J848" t="n">
        <v>0</v>
      </c>
      <c r="K848" t="n">
        <v>0</v>
      </c>
      <c r="L848" t="n">
        <v>0</v>
      </c>
      <c r="M848" t="n">
        <v>0</v>
      </c>
      <c r="N848" t="n">
        <v>0</v>
      </c>
      <c r="O848" t="n">
        <v>0</v>
      </c>
      <c r="P848" t="n">
        <v>0</v>
      </c>
      <c r="Q848" t="n">
        <v>0</v>
      </c>
      <c r="R848" s="2" t="inlineStr"/>
    </row>
    <row r="849" ht="15" customHeight="1">
      <c r="A849" t="inlineStr">
        <is>
          <t>A 14907-2025</t>
        </is>
      </c>
      <c r="B849" s="1" t="n">
        <v>45743.50744212963</v>
      </c>
      <c r="C849" s="1" t="n">
        <v>46033</v>
      </c>
      <c r="D849" t="inlineStr">
        <is>
          <t>UPPSALA LÄN</t>
        </is>
      </c>
      <c r="E849" t="inlineStr">
        <is>
          <t>UPPSALA</t>
        </is>
      </c>
      <c r="G849" t="n">
        <v>7</v>
      </c>
      <c r="H849" t="n">
        <v>0</v>
      </c>
      <c r="I849" t="n">
        <v>0</v>
      </c>
      <c r="J849" t="n">
        <v>0</v>
      </c>
      <c r="K849" t="n">
        <v>0</v>
      </c>
      <c r="L849" t="n">
        <v>0</v>
      </c>
      <c r="M849" t="n">
        <v>0</v>
      </c>
      <c r="N849" t="n">
        <v>0</v>
      </c>
      <c r="O849" t="n">
        <v>0</v>
      </c>
      <c r="P849" t="n">
        <v>0</v>
      </c>
      <c r="Q849" t="n">
        <v>0</v>
      </c>
      <c r="R849" s="2" t="inlineStr"/>
    </row>
    <row r="850" ht="15" customHeight="1">
      <c r="A850" t="inlineStr">
        <is>
          <t>A 18443-2023</t>
        </is>
      </c>
      <c r="B850" s="1" t="n">
        <v>45042</v>
      </c>
      <c r="C850" s="1" t="n">
        <v>46033</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19017-2023</t>
        </is>
      </c>
      <c r="B851" s="1" t="n">
        <v>45047.31793981481</v>
      </c>
      <c r="C851" s="1" t="n">
        <v>46033</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10674-2022</t>
        </is>
      </c>
      <c r="B852" s="1" t="n">
        <v>44624.64538194444</v>
      </c>
      <c r="C852" s="1" t="n">
        <v>46033</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4509-2024</t>
        </is>
      </c>
      <c r="B853" s="1" t="n">
        <v>45327</v>
      </c>
      <c r="C853" s="1" t="n">
        <v>46033</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19513-2023</t>
        </is>
      </c>
      <c r="B854" s="1" t="n">
        <v>45050.49392361111</v>
      </c>
      <c r="C854" s="1" t="n">
        <v>46033</v>
      </c>
      <c r="D854" t="inlineStr">
        <is>
          <t>UPPSALA LÄN</t>
        </is>
      </c>
      <c r="E854" t="inlineStr">
        <is>
          <t>UPPSALA</t>
        </is>
      </c>
      <c r="G854" t="n">
        <v>6.6</v>
      </c>
      <c r="H854" t="n">
        <v>0</v>
      </c>
      <c r="I854" t="n">
        <v>0</v>
      </c>
      <c r="J854" t="n">
        <v>0</v>
      </c>
      <c r="K854" t="n">
        <v>0</v>
      </c>
      <c r="L854" t="n">
        <v>0</v>
      </c>
      <c r="M854" t="n">
        <v>0</v>
      </c>
      <c r="N854" t="n">
        <v>0</v>
      </c>
      <c r="O854" t="n">
        <v>0</v>
      </c>
      <c r="P854" t="n">
        <v>0</v>
      </c>
      <c r="Q854" t="n">
        <v>0</v>
      </c>
      <c r="R854" s="2" t="inlineStr"/>
    </row>
    <row r="855" ht="15" customHeight="1">
      <c r="A855" t="inlineStr">
        <is>
          <t>A 17788-2023</t>
        </is>
      </c>
      <c r="B855" s="1" t="n">
        <v>45037</v>
      </c>
      <c r="C855" s="1" t="n">
        <v>46033</v>
      </c>
      <c r="D855" t="inlineStr">
        <is>
          <t>UPPSALA LÄN</t>
        </is>
      </c>
      <c r="E855" t="inlineStr">
        <is>
          <t>UPPSALA</t>
        </is>
      </c>
      <c r="F855" t="inlineStr">
        <is>
          <t>Övriga Aktiebolag</t>
        </is>
      </c>
      <c r="G855" t="n">
        <v>3.7</v>
      </c>
      <c r="H855" t="n">
        <v>0</v>
      </c>
      <c r="I855" t="n">
        <v>0</v>
      </c>
      <c r="J855" t="n">
        <v>0</v>
      </c>
      <c r="K855" t="n">
        <v>0</v>
      </c>
      <c r="L855" t="n">
        <v>0</v>
      </c>
      <c r="M855" t="n">
        <v>0</v>
      </c>
      <c r="N855" t="n">
        <v>0</v>
      </c>
      <c r="O855" t="n">
        <v>0</v>
      </c>
      <c r="P855" t="n">
        <v>0</v>
      </c>
      <c r="Q855" t="n">
        <v>0</v>
      </c>
      <c r="R855" s="2" t="inlineStr"/>
    </row>
    <row r="856" ht="15" customHeight="1">
      <c r="A856" t="inlineStr">
        <is>
          <t>A 787-2024</t>
        </is>
      </c>
      <c r="B856" s="1" t="n">
        <v>45300</v>
      </c>
      <c r="C856" s="1" t="n">
        <v>46033</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70031-2021</t>
        </is>
      </c>
      <c r="B857" s="1" t="n">
        <v>44533.46665509259</v>
      </c>
      <c r="C857" s="1" t="n">
        <v>46033</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38493-2023</t>
        </is>
      </c>
      <c r="B858" s="1" t="n">
        <v>45162</v>
      </c>
      <c r="C858" s="1" t="n">
        <v>46033</v>
      </c>
      <c r="D858" t="inlineStr">
        <is>
          <t>UPPSALA LÄN</t>
        </is>
      </c>
      <c r="E858" t="inlineStr">
        <is>
          <t>UPPSALA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36782-2023</t>
        </is>
      </c>
      <c r="B859" s="1" t="n">
        <v>45154.35092592592</v>
      </c>
      <c r="C859" s="1" t="n">
        <v>46033</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6970-2025</t>
        </is>
      </c>
      <c r="B860" s="1" t="n">
        <v>45693</v>
      </c>
      <c r="C860" s="1" t="n">
        <v>46033</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5068-2025</t>
        </is>
      </c>
      <c r="B861" s="1" t="n">
        <v>45691</v>
      </c>
      <c r="C861" s="1" t="n">
        <v>46033</v>
      </c>
      <c r="D861" t="inlineStr">
        <is>
          <t>UPPSALA LÄN</t>
        </is>
      </c>
      <c r="E861" t="inlineStr">
        <is>
          <t>UPPSALA</t>
        </is>
      </c>
      <c r="G861" t="n">
        <v>5.9</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46033</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2897-2025</t>
        </is>
      </c>
      <c r="B863" s="1" t="n">
        <v>45677</v>
      </c>
      <c r="C863" s="1" t="n">
        <v>46033</v>
      </c>
      <c r="D863" t="inlineStr">
        <is>
          <t>UPPSALA LÄN</t>
        </is>
      </c>
      <c r="E863" t="inlineStr">
        <is>
          <t>UPPSALA</t>
        </is>
      </c>
      <c r="G863" t="n">
        <v>2.7</v>
      </c>
      <c r="H863" t="n">
        <v>0</v>
      </c>
      <c r="I863" t="n">
        <v>0</v>
      </c>
      <c r="J863" t="n">
        <v>0</v>
      </c>
      <c r="K863" t="n">
        <v>0</v>
      </c>
      <c r="L863" t="n">
        <v>0</v>
      </c>
      <c r="M863" t="n">
        <v>0</v>
      </c>
      <c r="N863" t="n">
        <v>0</v>
      </c>
      <c r="O863" t="n">
        <v>0</v>
      </c>
      <c r="P863" t="n">
        <v>0</v>
      </c>
      <c r="Q863" t="n">
        <v>0</v>
      </c>
      <c r="R863" s="2" t="inlineStr"/>
    </row>
    <row r="864" ht="15" customHeight="1">
      <c r="A864" t="inlineStr">
        <is>
          <t>A 17593-2025</t>
        </is>
      </c>
      <c r="B864" s="1" t="n">
        <v>45757.6997337963</v>
      </c>
      <c r="C864" s="1" t="n">
        <v>46033</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17596-2025</t>
        </is>
      </c>
      <c r="B865" s="1" t="n">
        <v>45757</v>
      </c>
      <c r="C865" s="1" t="n">
        <v>46033</v>
      </c>
      <c r="D865" t="inlineStr">
        <is>
          <t>UPPSALA LÄN</t>
        </is>
      </c>
      <c r="E865" t="inlineStr">
        <is>
          <t>UPPSALA</t>
        </is>
      </c>
      <c r="G865" t="n">
        <v>4.8</v>
      </c>
      <c r="H865" t="n">
        <v>0</v>
      </c>
      <c r="I865" t="n">
        <v>0</v>
      </c>
      <c r="J865" t="n">
        <v>0</v>
      </c>
      <c r="K865" t="n">
        <v>0</v>
      </c>
      <c r="L865" t="n">
        <v>0</v>
      </c>
      <c r="M865" t="n">
        <v>0</v>
      </c>
      <c r="N865" t="n">
        <v>0</v>
      </c>
      <c r="O865" t="n">
        <v>0</v>
      </c>
      <c r="P865" t="n">
        <v>0</v>
      </c>
      <c r="Q865" t="n">
        <v>0</v>
      </c>
      <c r="R865" s="2" t="inlineStr"/>
    </row>
    <row r="866" ht="15" customHeight="1">
      <c r="A866" t="inlineStr">
        <is>
          <t>A 54512-2024</t>
        </is>
      </c>
      <c r="B866" s="1" t="n">
        <v>45617.59006944444</v>
      </c>
      <c r="C866" s="1" t="n">
        <v>46033</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8473-2023</t>
        </is>
      </c>
      <c r="B867" s="1" t="n">
        <v>44977</v>
      </c>
      <c r="C867" s="1" t="n">
        <v>46033</v>
      </c>
      <c r="D867" t="inlineStr">
        <is>
          <t>UPPSALA LÄN</t>
        </is>
      </c>
      <c r="E867" t="inlineStr">
        <is>
          <t>UPPSALA</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11739-2023</t>
        </is>
      </c>
      <c r="B868" s="1" t="n">
        <v>44993</v>
      </c>
      <c r="C868" s="1" t="n">
        <v>46033</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21935-2023</t>
        </is>
      </c>
      <c r="B869" s="1" t="n">
        <v>45068.58563657408</v>
      </c>
      <c r="C869" s="1" t="n">
        <v>46033</v>
      </c>
      <c r="D869" t="inlineStr">
        <is>
          <t>UPPSALA LÄN</t>
        </is>
      </c>
      <c r="E869" t="inlineStr">
        <is>
          <t>UPPSALA</t>
        </is>
      </c>
      <c r="G869" t="n">
        <v>2.6</v>
      </c>
      <c r="H869" t="n">
        <v>0</v>
      </c>
      <c r="I869" t="n">
        <v>0</v>
      </c>
      <c r="J869" t="n">
        <v>0</v>
      </c>
      <c r="K869" t="n">
        <v>0</v>
      </c>
      <c r="L869" t="n">
        <v>0</v>
      </c>
      <c r="M869" t="n">
        <v>0</v>
      </c>
      <c r="N869" t="n">
        <v>0</v>
      </c>
      <c r="O869" t="n">
        <v>0</v>
      </c>
      <c r="P869" t="n">
        <v>0</v>
      </c>
      <c r="Q869" t="n">
        <v>0</v>
      </c>
      <c r="R869" s="2" t="inlineStr"/>
    </row>
    <row r="870" ht="15" customHeight="1">
      <c r="A870" t="inlineStr">
        <is>
          <t>A 367-2023</t>
        </is>
      </c>
      <c r="B870" s="1" t="n">
        <v>44929</v>
      </c>
      <c r="C870" s="1" t="n">
        <v>46033</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46069-2022</t>
        </is>
      </c>
      <c r="B871" s="1" t="n">
        <v>44847</v>
      </c>
      <c r="C871" s="1" t="n">
        <v>46033</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50463-2024</t>
        </is>
      </c>
      <c r="B872" s="1" t="n">
        <v>45601</v>
      </c>
      <c r="C872" s="1" t="n">
        <v>46033</v>
      </c>
      <c r="D872" t="inlineStr">
        <is>
          <t>UPPSALA LÄN</t>
        </is>
      </c>
      <c r="E872" t="inlineStr">
        <is>
          <t>UPPSALA</t>
        </is>
      </c>
      <c r="F872" t="inlineStr">
        <is>
          <t>Allmännings- och besparingsskogar</t>
        </is>
      </c>
      <c r="G872" t="n">
        <v>12.6</v>
      </c>
      <c r="H872" t="n">
        <v>0</v>
      </c>
      <c r="I872" t="n">
        <v>0</v>
      </c>
      <c r="J872" t="n">
        <v>0</v>
      </c>
      <c r="K872" t="n">
        <v>0</v>
      </c>
      <c r="L872" t="n">
        <v>0</v>
      </c>
      <c r="M872" t="n">
        <v>0</v>
      </c>
      <c r="N872" t="n">
        <v>0</v>
      </c>
      <c r="O872" t="n">
        <v>0</v>
      </c>
      <c r="P872" t="n">
        <v>0</v>
      </c>
      <c r="Q872" t="n">
        <v>0</v>
      </c>
      <c r="R872" s="2" t="inlineStr"/>
    </row>
    <row r="873" ht="15" customHeight="1">
      <c r="A873" t="inlineStr">
        <is>
          <t>A 72224-2021</t>
        </is>
      </c>
      <c r="B873" s="1" t="n">
        <v>44544</v>
      </c>
      <c r="C873" s="1" t="n">
        <v>46033</v>
      </c>
      <c r="D873" t="inlineStr">
        <is>
          <t>UPPSALA LÄN</t>
        </is>
      </c>
      <c r="E873" t="inlineStr">
        <is>
          <t>UPPSALA</t>
        </is>
      </c>
      <c r="G873" t="n">
        <v>2.5</v>
      </c>
      <c r="H873" t="n">
        <v>0</v>
      </c>
      <c r="I873" t="n">
        <v>0</v>
      </c>
      <c r="J873" t="n">
        <v>0</v>
      </c>
      <c r="K873" t="n">
        <v>0</v>
      </c>
      <c r="L873" t="n">
        <v>0</v>
      </c>
      <c r="M873" t="n">
        <v>0</v>
      </c>
      <c r="N873" t="n">
        <v>0</v>
      </c>
      <c r="O873" t="n">
        <v>0</v>
      </c>
      <c r="P873" t="n">
        <v>0</v>
      </c>
      <c r="Q873" t="n">
        <v>0</v>
      </c>
      <c r="R873" s="2" t="inlineStr"/>
    </row>
    <row r="874" ht="15" customHeight="1">
      <c r="A874" t="inlineStr">
        <is>
          <t>A 37626-2023</t>
        </is>
      </c>
      <c r="B874" s="1" t="n">
        <v>45159.45748842593</v>
      </c>
      <c r="C874" s="1" t="n">
        <v>46033</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56067-2024</t>
        </is>
      </c>
      <c r="B875" s="1" t="n">
        <v>45624</v>
      </c>
      <c r="C875" s="1" t="n">
        <v>46033</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33191-2023</t>
        </is>
      </c>
      <c r="B876" s="1" t="n">
        <v>45127</v>
      </c>
      <c r="C876" s="1" t="n">
        <v>46033</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50473-2023</t>
        </is>
      </c>
      <c r="B877" s="1" t="n">
        <v>45216</v>
      </c>
      <c r="C877" s="1" t="n">
        <v>46033</v>
      </c>
      <c r="D877" t="inlineStr">
        <is>
          <t>UPPSALA LÄN</t>
        </is>
      </c>
      <c r="E877" t="inlineStr">
        <is>
          <t>UPPSALA</t>
        </is>
      </c>
      <c r="F877" t="inlineStr">
        <is>
          <t>Allmännings- och besparingsskogar</t>
        </is>
      </c>
      <c r="G877" t="n">
        <v>7.6</v>
      </c>
      <c r="H877" t="n">
        <v>0</v>
      </c>
      <c r="I877" t="n">
        <v>0</v>
      </c>
      <c r="J877" t="n">
        <v>0</v>
      </c>
      <c r="K877" t="n">
        <v>0</v>
      </c>
      <c r="L877" t="n">
        <v>0</v>
      </c>
      <c r="M877" t="n">
        <v>0</v>
      </c>
      <c r="N877" t="n">
        <v>0</v>
      </c>
      <c r="O877" t="n">
        <v>0</v>
      </c>
      <c r="P877" t="n">
        <v>0</v>
      </c>
      <c r="Q877" t="n">
        <v>0</v>
      </c>
      <c r="R877" s="2" t="inlineStr"/>
    </row>
    <row r="878" ht="15" customHeight="1">
      <c r="A878" t="inlineStr">
        <is>
          <t>A 60056-2022</t>
        </is>
      </c>
      <c r="B878" s="1" t="n">
        <v>44909</v>
      </c>
      <c r="C878" s="1" t="n">
        <v>46033</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53365-2024</t>
        </is>
      </c>
      <c r="B879" s="1" t="n">
        <v>45614</v>
      </c>
      <c r="C879" s="1" t="n">
        <v>46033</v>
      </c>
      <c r="D879" t="inlineStr">
        <is>
          <t>UPPSALA LÄN</t>
        </is>
      </c>
      <c r="E879" t="inlineStr">
        <is>
          <t>UPPSALA</t>
        </is>
      </c>
      <c r="F879" t="inlineStr">
        <is>
          <t>Allmännings- och besparingsskogar</t>
        </is>
      </c>
      <c r="G879" t="n">
        <v>6.6</v>
      </c>
      <c r="H879" t="n">
        <v>0</v>
      </c>
      <c r="I879" t="n">
        <v>0</v>
      </c>
      <c r="J879" t="n">
        <v>0</v>
      </c>
      <c r="K879" t="n">
        <v>0</v>
      </c>
      <c r="L879" t="n">
        <v>0</v>
      </c>
      <c r="M879" t="n">
        <v>0</v>
      </c>
      <c r="N879" t="n">
        <v>0</v>
      </c>
      <c r="O879" t="n">
        <v>0</v>
      </c>
      <c r="P879" t="n">
        <v>0</v>
      </c>
      <c r="Q879" t="n">
        <v>0</v>
      </c>
      <c r="R879" s="2" t="inlineStr"/>
    </row>
    <row r="880" ht="15" customHeight="1">
      <c r="A880" t="inlineStr">
        <is>
          <t>A 35142-2023</t>
        </is>
      </c>
      <c r="B880" s="1" t="n">
        <v>45145</v>
      </c>
      <c r="C880" s="1" t="n">
        <v>46033</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73531-2021</t>
        </is>
      </c>
      <c r="B881" s="1" t="n">
        <v>44551.76711805556</v>
      </c>
      <c r="C881" s="1" t="n">
        <v>46033</v>
      </c>
      <c r="D881" t="inlineStr">
        <is>
          <t>UPPSALA LÄN</t>
        </is>
      </c>
      <c r="E881" t="inlineStr">
        <is>
          <t>UPPSALA</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54783-2023</t>
        </is>
      </c>
      <c r="B882" s="1" t="n">
        <v>45236.47697916667</v>
      </c>
      <c r="C882" s="1" t="n">
        <v>46033</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6677-2024</t>
        </is>
      </c>
      <c r="B883" s="1" t="n">
        <v>45341</v>
      </c>
      <c r="C883" s="1" t="n">
        <v>46033</v>
      </c>
      <c r="D883" t="inlineStr">
        <is>
          <t>UPPSALA LÄN</t>
        </is>
      </c>
      <c r="E883" t="inlineStr">
        <is>
          <t>UPPSALA</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13526-2023</t>
        </is>
      </c>
      <c r="B884" s="1" t="n">
        <v>45006</v>
      </c>
      <c r="C884" s="1" t="n">
        <v>46033</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47221-2023</t>
        </is>
      </c>
      <c r="B885" s="1" t="n">
        <v>45202</v>
      </c>
      <c r="C885" s="1" t="n">
        <v>46033</v>
      </c>
      <c r="D885" t="inlineStr">
        <is>
          <t>UPPSALA LÄN</t>
        </is>
      </c>
      <c r="E885" t="inlineStr">
        <is>
          <t>UPPSALA</t>
        </is>
      </c>
      <c r="G885" t="n">
        <v>8.6</v>
      </c>
      <c r="H885" t="n">
        <v>0</v>
      </c>
      <c r="I885" t="n">
        <v>0</v>
      </c>
      <c r="J885" t="n">
        <v>0</v>
      </c>
      <c r="K885" t="n">
        <v>0</v>
      </c>
      <c r="L885" t="n">
        <v>0</v>
      </c>
      <c r="M885" t="n">
        <v>0</v>
      </c>
      <c r="N885" t="n">
        <v>0</v>
      </c>
      <c r="O885" t="n">
        <v>0</v>
      </c>
      <c r="P885" t="n">
        <v>0</v>
      </c>
      <c r="Q885" t="n">
        <v>0</v>
      </c>
      <c r="R885" s="2" t="inlineStr"/>
    </row>
    <row r="886" ht="15" customHeight="1">
      <c r="A886" t="inlineStr">
        <is>
          <t>A 27442-2024</t>
        </is>
      </c>
      <c r="B886" s="1" t="n">
        <v>45474.41729166666</v>
      </c>
      <c r="C886" s="1" t="n">
        <v>46033</v>
      </c>
      <c r="D886" t="inlineStr">
        <is>
          <t>UPPSALA LÄN</t>
        </is>
      </c>
      <c r="E886" t="inlineStr">
        <is>
          <t>UPPSALA</t>
        </is>
      </c>
      <c r="F886" t="inlineStr">
        <is>
          <t>Holmen skog AB</t>
        </is>
      </c>
      <c r="G886" t="n">
        <v>2.6</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46033</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66983-2021</t>
        </is>
      </c>
      <c r="B888" s="1" t="n">
        <v>44522</v>
      </c>
      <c r="C888" s="1" t="n">
        <v>46033</v>
      </c>
      <c r="D888" t="inlineStr">
        <is>
          <t>UPPSALA LÄN</t>
        </is>
      </c>
      <c r="E888" t="inlineStr">
        <is>
          <t>UPPSALA</t>
        </is>
      </c>
      <c r="G888" t="n">
        <v>2.5</v>
      </c>
      <c r="H888" t="n">
        <v>0</v>
      </c>
      <c r="I888" t="n">
        <v>0</v>
      </c>
      <c r="J888" t="n">
        <v>0</v>
      </c>
      <c r="K888" t="n">
        <v>0</v>
      </c>
      <c r="L888" t="n">
        <v>0</v>
      </c>
      <c r="M888" t="n">
        <v>0</v>
      </c>
      <c r="N888" t="n">
        <v>0</v>
      </c>
      <c r="O888" t="n">
        <v>0</v>
      </c>
      <c r="P888" t="n">
        <v>0</v>
      </c>
      <c r="Q888" t="n">
        <v>0</v>
      </c>
      <c r="R888" s="2" t="inlineStr"/>
    </row>
    <row r="889" ht="15" customHeight="1">
      <c r="A889" t="inlineStr">
        <is>
          <t>A 5028-2022</t>
        </is>
      </c>
      <c r="B889" s="1" t="n">
        <v>44593.64863425926</v>
      </c>
      <c r="C889" s="1" t="n">
        <v>46033</v>
      </c>
      <c r="D889" t="inlineStr">
        <is>
          <t>UPPSALA LÄN</t>
        </is>
      </c>
      <c r="E889" t="inlineStr">
        <is>
          <t>UPPSALA</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36479-2023</t>
        </is>
      </c>
      <c r="B890" s="1" t="n">
        <v>45152</v>
      </c>
      <c r="C890" s="1" t="n">
        <v>46033</v>
      </c>
      <c r="D890" t="inlineStr">
        <is>
          <t>UPPSALA LÄN</t>
        </is>
      </c>
      <c r="E890" t="inlineStr">
        <is>
          <t>UPPSALA</t>
        </is>
      </c>
      <c r="F890" t="inlineStr">
        <is>
          <t>Allmännings- och besparingsskogar</t>
        </is>
      </c>
      <c r="G890" t="n">
        <v>3.4</v>
      </c>
      <c r="H890" t="n">
        <v>0</v>
      </c>
      <c r="I890" t="n">
        <v>0</v>
      </c>
      <c r="J890" t="n">
        <v>0</v>
      </c>
      <c r="K890" t="n">
        <v>0</v>
      </c>
      <c r="L890" t="n">
        <v>0</v>
      </c>
      <c r="M890" t="n">
        <v>0</v>
      </c>
      <c r="N890" t="n">
        <v>0</v>
      </c>
      <c r="O890" t="n">
        <v>0</v>
      </c>
      <c r="P890" t="n">
        <v>0</v>
      </c>
      <c r="Q890" t="n">
        <v>0</v>
      </c>
      <c r="R890" s="2" t="inlineStr"/>
    </row>
    <row r="891" ht="15" customHeight="1">
      <c r="A891" t="inlineStr">
        <is>
          <t>A 600-2024</t>
        </is>
      </c>
      <c r="B891" s="1" t="n">
        <v>45299</v>
      </c>
      <c r="C891" s="1" t="n">
        <v>46033</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37819-2021</t>
        </is>
      </c>
      <c r="B892" s="1" t="n">
        <v>44403.29719907408</v>
      </c>
      <c r="C892" s="1" t="n">
        <v>46033</v>
      </c>
      <c r="D892" t="inlineStr">
        <is>
          <t>UPPSALA LÄN</t>
        </is>
      </c>
      <c r="E892" t="inlineStr">
        <is>
          <t>UPPSALA</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60003-2024</t>
        </is>
      </c>
      <c r="B893" s="1" t="n">
        <v>45642</v>
      </c>
      <c r="C893" s="1" t="n">
        <v>46033</v>
      </c>
      <c r="D893" t="inlineStr">
        <is>
          <t>UPPSALA LÄN</t>
        </is>
      </c>
      <c r="E893" t="inlineStr">
        <is>
          <t>UPPSALA</t>
        </is>
      </c>
      <c r="F893" t="inlineStr">
        <is>
          <t>Bergvik skog väst AB</t>
        </is>
      </c>
      <c r="G893" t="n">
        <v>14.5</v>
      </c>
      <c r="H893" t="n">
        <v>0</v>
      </c>
      <c r="I893" t="n">
        <v>0</v>
      </c>
      <c r="J893" t="n">
        <v>0</v>
      </c>
      <c r="K893" t="n">
        <v>0</v>
      </c>
      <c r="L893" t="n">
        <v>0</v>
      </c>
      <c r="M893" t="n">
        <v>0</v>
      </c>
      <c r="N893" t="n">
        <v>0</v>
      </c>
      <c r="O893" t="n">
        <v>0</v>
      </c>
      <c r="P893" t="n">
        <v>0</v>
      </c>
      <c r="Q893" t="n">
        <v>0</v>
      </c>
      <c r="R893" s="2" t="inlineStr"/>
    </row>
    <row r="894" ht="15" customHeight="1">
      <c r="A894" t="inlineStr">
        <is>
          <t>A 1838-2024</t>
        </is>
      </c>
      <c r="B894" s="1" t="n">
        <v>45307</v>
      </c>
      <c r="C894" s="1" t="n">
        <v>46033</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8109-2024</t>
        </is>
      </c>
      <c r="B895" s="1" t="n">
        <v>45351.48662037037</v>
      </c>
      <c r="C895" s="1" t="n">
        <v>46033</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11201-2024</t>
        </is>
      </c>
      <c r="B896" s="1" t="n">
        <v>45371</v>
      </c>
      <c r="C896" s="1" t="n">
        <v>46033</v>
      </c>
      <c r="D896" t="inlineStr">
        <is>
          <t>UPPSALA LÄN</t>
        </is>
      </c>
      <c r="E896" t="inlineStr">
        <is>
          <t>UPPSALA</t>
        </is>
      </c>
      <c r="F896" t="inlineStr">
        <is>
          <t>Kommuner</t>
        </is>
      </c>
      <c r="G896" t="n">
        <v>0.5</v>
      </c>
      <c r="H896" t="n">
        <v>0</v>
      </c>
      <c r="I896" t="n">
        <v>0</v>
      </c>
      <c r="J896" t="n">
        <v>0</v>
      </c>
      <c r="K896" t="n">
        <v>0</v>
      </c>
      <c r="L896" t="n">
        <v>0</v>
      </c>
      <c r="M896" t="n">
        <v>0</v>
      </c>
      <c r="N896" t="n">
        <v>0</v>
      </c>
      <c r="O896" t="n">
        <v>0</v>
      </c>
      <c r="P896" t="n">
        <v>0</v>
      </c>
      <c r="Q896" t="n">
        <v>0</v>
      </c>
      <c r="R896" s="2" t="inlineStr"/>
    </row>
    <row r="897" ht="15" customHeight="1">
      <c r="A897" t="inlineStr">
        <is>
          <t>A 29145-2021</t>
        </is>
      </c>
      <c r="B897" s="1" t="n">
        <v>44358.63490740741</v>
      </c>
      <c r="C897" s="1" t="n">
        <v>46033</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59719-2022</t>
        </is>
      </c>
      <c r="B898" s="1" t="n">
        <v>44908.425625</v>
      </c>
      <c r="C898" s="1" t="n">
        <v>46033</v>
      </c>
      <c r="D898" t="inlineStr">
        <is>
          <t>UPPSALA LÄN</t>
        </is>
      </c>
      <c r="E898" t="inlineStr">
        <is>
          <t>UPPSALA</t>
        </is>
      </c>
      <c r="G898" t="n">
        <v>3.6</v>
      </c>
      <c r="H898" t="n">
        <v>0</v>
      </c>
      <c r="I898" t="n">
        <v>0</v>
      </c>
      <c r="J898" t="n">
        <v>0</v>
      </c>
      <c r="K898" t="n">
        <v>0</v>
      </c>
      <c r="L898" t="n">
        <v>0</v>
      </c>
      <c r="M898" t="n">
        <v>0</v>
      </c>
      <c r="N898" t="n">
        <v>0</v>
      </c>
      <c r="O898" t="n">
        <v>0</v>
      </c>
      <c r="P898" t="n">
        <v>0</v>
      </c>
      <c r="Q898" t="n">
        <v>0</v>
      </c>
      <c r="R898" s="2" t="inlineStr"/>
    </row>
    <row r="899" ht="15" customHeight="1">
      <c r="A899" t="inlineStr">
        <is>
          <t>A 38934-2023</t>
        </is>
      </c>
      <c r="B899" s="1" t="n">
        <v>45163.59913194444</v>
      </c>
      <c r="C899" s="1" t="n">
        <v>46033</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42681-2023</t>
        </is>
      </c>
      <c r="B900" s="1" t="n">
        <v>45181.58055555556</v>
      </c>
      <c r="C900" s="1" t="n">
        <v>46033</v>
      </c>
      <c r="D900" t="inlineStr">
        <is>
          <t>UPPSALA LÄN</t>
        </is>
      </c>
      <c r="E900" t="inlineStr">
        <is>
          <t>UPPSALA</t>
        </is>
      </c>
      <c r="F900" t="inlineStr">
        <is>
          <t>Bergvik skog öst AB</t>
        </is>
      </c>
      <c r="G900" t="n">
        <v>3.1</v>
      </c>
      <c r="H900" t="n">
        <v>0</v>
      </c>
      <c r="I900" t="n">
        <v>0</v>
      </c>
      <c r="J900" t="n">
        <v>0</v>
      </c>
      <c r="K900" t="n">
        <v>0</v>
      </c>
      <c r="L900" t="n">
        <v>0</v>
      </c>
      <c r="M900" t="n">
        <v>0</v>
      </c>
      <c r="N900" t="n">
        <v>0</v>
      </c>
      <c r="O900" t="n">
        <v>0</v>
      </c>
      <c r="P900" t="n">
        <v>0</v>
      </c>
      <c r="Q900" t="n">
        <v>0</v>
      </c>
      <c r="R900" s="2" t="inlineStr"/>
    </row>
    <row r="901" ht="15" customHeight="1">
      <c r="A901" t="inlineStr">
        <is>
          <t>A 33941-2023</t>
        </is>
      </c>
      <c r="B901" s="1" t="n">
        <v>45134.57021990741</v>
      </c>
      <c r="C901" s="1" t="n">
        <v>46033</v>
      </c>
      <c r="D901" t="inlineStr">
        <is>
          <t>UPPSALA LÄN</t>
        </is>
      </c>
      <c r="E901" t="inlineStr">
        <is>
          <t>UPPSALA</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50954-2022</t>
        </is>
      </c>
      <c r="B902" s="1" t="n">
        <v>44866</v>
      </c>
      <c r="C902" s="1" t="n">
        <v>46033</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36392-2023</t>
        </is>
      </c>
      <c r="B903" s="1" t="n">
        <v>45152</v>
      </c>
      <c r="C903" s="1" t="n">
        <v>46033</v>
      </c>
      <c r="D903" t="inlineStr">
        <is>
          <t>UPPSALA LÄN</t>
        </is>
      </c>
      <c r="E903" t="inlineStr">
        <is>
          <t>UPPSALA</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6630-2024</t>
        </is>
      </c>
      <c r="B904" s="1" t="n">
        <v>45341.63811342593</v>
      </c>
      <c r="C904" s="1" t="n">
        <v>46033</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22431-2024</t>
        </is>
      </c>
      <c r="B905" s="1" t="n">
        <v>45446.78256944445</v>
      </c>
      <c r="C905" s="1" t="n">
        <v>46033</v>
      </c>
      <c r="D905" t="inlineStr">
        <is>
          <t>UPPSALA LÄN</t>
        </is>
      </c>
      <c r="E905" t="inlineStr">
        <is>
          <t>UPPSALA</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1855-2021</t>
        </is>
      </c>
      <c r="B906" s="1" t="n">
        <v>44210</v>
      </c>
      <c r="C906" s="1" t="n">
        <v>46033</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34114-2024</t>
        </is>
      </c>
      <c r="B907" s="1" t="n">
        <v>45524</v>
      </c>
      <c r="C907" s="1" t="n">
        <v>46033</v>
      </c>
      <c r="D907" t="inlineStr">
        <is>
          <t>UPPSALA LÄN</t>
        </is>
      </c>
      <c r="E907" t="inlineStr">
        <is>
          <t>UPPSALA</t>
        </is>
      </c>
      <c r="F907" t="inlineStr">
        <is>
          <t>Allmännings- och besparingsskogar</t>
        </is>
      </c>
      <c r="G907" t="n">
        <v>1.3</v>
      </c>
      <c r="H907" t="n">
        <v>0</v>
      </c>
      <c r="I907" t="n">
        <v>0</v>
      </c>
      <c r="J907" t="n">
        <v>0</v>
      </c>
      <c r="K907" t="n">
        <v>0</v>
      </c>
      <c r="L907" t="n">
        <v>0</v>
      </c>
      <c r="M907" t="n">
        <v>0</v>
      </c>
      <c r="N907" t="n">
        <v>0</v>
      </c>
      <c r="O907" t="n">
        <v>0</v>
      </c>
      <c r="P907" t="n">
        <v>0</v>
      </c>
      <c r="Q907" t="n">
        <v>0</v>
      </c>
      <c r="R907" s="2" t="inlineStr"/>
    </row>
    <row r="908" ht="15" customHeight="1">
      <c r="A908" t="inlineStr">
        <is>
          <t>A 7276-2024</t>
        </is>
      </c>
      <c r="B908" s="1" t="n">
        <v>45344</v>
      </c>
      <c r="C908" s="1" t="n">
        <v>46033</v>
      </c>
      <c r="D908" t="inlineStr">
        <is>
          <t>UPPSALA LÄN</t>
        </is>
      </c>
      <c r="E908" t="inlineStr">
        <is>
          <t>UPPSALA</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46033</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42622-2022</t>
        </is>
      </c>
      <c r="B910" s="1" t="n">
        <v>44831</v>
      </c>
      <c r="C910" s="1" t="n">
        <v>46033</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11162-2022</t>
        </is>
      </c>
      <c r="B911" s="1" t="n">
        <v>44629.42423611111</v>
      </c>
      <c r="C911" s="1" t="n">
        <v>46033</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1731-2022</t>
        </is>
      </c>
      <c r="B912" s="1" t="n">
        <v>44574</v>
      </c>
      <c r="C912" s="1" t="n">
        <v>46033</v>
      </c>
      <c r="D912" t="inlineStr">
        <is>
          <t>UPPSALA LÄN</t>
        </is>
      </c>
      <c r="E912" t="inlineStr">
        <is>
          <t>UPPSALA</t>
        </is>
      </c>
      <c r="G912" t="n">
        <v>10.1</v>
      </c>
      <c r="H912" t="n">
        <v>0</v>
      </c>
      <c r="I912" t="n">
        <v>0</v>
      </c>
      <c r="J912" t="n">
        <v>0</v>
      </c>
      <c r="K912" t="n">
        <v>0</v>
      </c>
      <c r="L912" t="n">
        <v>0</v>
      </c>
      <c r="M912" t="n">
        <v>0</v>
      </c>
      <c r="N912" t="n">
        <v>0</v>
      </c>
      <c r="O912" t="n">
        <v>0</v>
      </c>
      <c r="P912" t="n">
        <v>0</v>
      </c>
      <c r="Q912" t="n">
        <v>0</v>
      </c>
      <c r="R912" s="2" t="inlineStr"/>
    </row>
    <row r="913" ht="15" customHeight="1">
      <c r="A913" t="inlineStr">
        <is>
          <t>A 27068-2023</t>
        </is>
      </c>
      <c r="B913" s="1" t="n">
        <v>45096</v>
      </c>
      <c r="C913" s="1" t="n">
        <v>46033</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45878-2024</t>
        </is>
      </c>
      <c r="B914" s="1" t="n">
        <v>45580</v>
      </c>
      <c r="C914" s="1" t="n">
        <v>46033</v>
      </c>
      <c r="D914" t="inlineStr">
        <is>
          <t>UPPSALA LÄN</t>
        </is>
      </c>
      <c r="E914" t="inlineStr">
        <is>
          <t>UPPSALA</t>
        </is>
      </c>
      <c r="G914" t="n">
        <v>2.8</v>
      </c>
      <c r="H914" t="n">
        <v>0</v>
      </c>
      <c r="I914" t="n">
        <v>0</v>
      </c>
      <c r="J914" t="n">
        <v>0</v>
      </c>
      <c r="K914" t="n">
        <v>0</v>
      </c>
      <c r="L914" t="n">
        <v>0</v>
      </c>
      <c r="M914" t="n">
        <v>0</v>
      </c>
      <c r="N914" t="n">
        <v>0</v>
      </c>
      <c r="O914" t="n">
        <v>0</v>
      </c>
      <c r="P914" t="n">
        <v>0</v>
      </c>
      <c r="Q914" t="n">
        <v>0</v>
      </c>
      <c r="R914" s="2" t="inlineStr"/>
    </row>
    <row r="915" ht="15" customHeight="1">
      <c r="A915" t="inlineStr">
        <is>
          <t>A 43-2024</t>
        </is>
      </c>
      <c r="B915" s="1" t="n">
        <v>45293</v>
      </c>
      <c r="C915" s="1" t="n">
        <v>46033</v>
      </c>
      <c r="D915" t="inlineStr">
        <is>
          <t>UPPSALA LÄN</t>
        </is>
      </c>
      <c r="E915" t="inlineStr">
        <is>
          <t>UPPSALA</t>
        </is>
      </c>
      <c r="G915" t="n">
        <v>2.8</v>
      </c>
      <c r="H915" t="n">
        <v>0</v>
      </c>
      <c r="I915" t="n">
        <v>0</v>
      </c>
      <c r="J915" t="n">
        <v>0</v>
      </c>
      <c r="K915" t="n">
        <v>0</v>
      </c>
      <c r="L915" t="n">
        <v>0</v>
      </c>
      <c r="M915" t="n">
        <v>0</v>
      </c>
      <c r="N915" t="n">
        <v>0</v>
      </c>
      <c r="O915" t="n">
        <v>0</v>
      </c>
      <c r="P915" t="n">
        <v>0</v>
      </c>
      <c r="Q915" t="n">
        <v>0</v>
      </c>
      <c r="R915" s="2" t="inlineStr"/>
    </row>
    <row r="916" ht="15" customHeight="1">
      <c r="A916" t="inlineStr">
        <is>
          <t>A 62044-2024</t>
        </is>
      </c>
      <c r="B916" s="1" t="n">
        <v>45656</v>
      </c>
      <c r="C916" s="1" t="n">
        <v>46033</v>
      </c>
      <c r="D916" t="inlineStr">
        <is>
          <t>UPPSALA LÄN</t>
        </is>
      </c>
      <c r="E916" t="inlineStr">
        <is>
          <t>UPPSALA</t>
        </is>
      </c>
      <c r="F916" t="inlineStr">
        <is>
          <t>Övriga statliga verk och myndigheter</t>
        </is>
      </c>
      <c r="G916" t="n">
        <v>11.6</v>
      </c>
      <c r="H916" t="n">
        <v>0</v>
      </c>
      <c r="I916" t="n">
        <v>0</v>
      </c>
      <c r="J916" t="n">
        <v>0</v>
      </c>
      <c r="K916" t="n">
        <v>0</v>
      </c>
      <c r="L916" t="n">
        <v>0</v>
      </c>
      <c r="M916" t="n">
        <v>0</v>
      </c>
      <c r="N916" t="n">
        <v>0</v>
      </c>
      <c r="O916" t="n">
        <v>0</v>
      </c>
      <c r="P916" t="n">
        <v>0</v>
      </c>
      <c r="Q916" t="n">
        <v>0</v>
      </c>
      <c r="R916" s="2" t="inlineStr"/>
    </row>
    <row r="917" ht="15" customHeight="1">
      <c r="A917" t="inlineStr">
        <is>
          <t>A 17587-2025</t>
        </is>
      </c>
      <c r="B917" s="1" t="n">
        <v>45757.67611111111</v>
      </c>
      <c r="C917" s="1" t="n">
        <v>46033</v>
      </c>
      <c r="D917" t="inlineStr">
        <is>
          <t>UPPSALA LÄN</t>
        </is>
      </c>
      <c r="E917" t="inlineStr">
        <is>
          <t>UPPSALA</t>
        </is>
      </c>
      <c r="G917" t="n">
        <v>2.4</v>
      </c>
      <c r="H917" t="n">
        <v>0</v>
      </c>
      <c r="I917" t="n">
        <v>0</v>
      </c>
      <c r="J917" t="n">
        <v>0</v>
      </c>
      <c r="K917" t="n">
        <v>0</v>
      </c>
      <c r="L917" t="n">
        <v>0</v>
      </c>
      <c r="M917" t="n">
        <v>0</v>
      </c>
      <c r="N917" t="n">
        <v>0</v>
      </c>
      <c r="O917" t="n">
        <v>0</v>
      </c>
      <c r="P917" t="n">
        <v>0</v>
      </c>
      <c r="Q917" t="n">
        <v>0</v>
      </c>
      <c r="R917" s="2" t="inlineStr"/>
    </row>
    <row r="918" ht="15" customHeight="1">
      <c r="A918" t="inlineStr">
        <is>
          <t>A 74495-2021</t>
        </is>
      </c>
      <c r="B918" s="1" t="n">
        <v>44560</v>
      </c>
      <c r="C918" s="1" t="n">
        <v>46033</v>
      </c>
      <c r="D918" t="inlineStr">
        <is>
          <t>UPPSALA LÄN</t>
        </is>
      </c>
      <c r="E918" t="inlineStr">
        <is>
          <t>UPPSALA</t>
        </is>
      </c>
      <c r="G918" t="n">
        <v>1.9</v>
      </c>
      <c r="H918" t="n">
        <v>0</v>
      </c>
      <c r="I918" t="n">
        <v>0</v>
      </c>
      <c r="J918" t="n">
        <v>0</v>
      </c>
      <c r="K918" t="n">
        <v>0</v>
      </c>
      <c r="L918" t="n">
        <v>0</v>
      </c>
      <c r="M918" t="n">
        <v>0</v>
      </c>
      <c r="N918" t="n">
        <v>0</v>
      </c>
      <c r="O918" t="n">
        <v>0</v>
      </c>
      <c r="P918" t="n">
        <v>0</v>
      </c>
      <c r="Q918" t="n">
        <v>0</v>
      </c>
      <c r="R918" s="2" t="inlineStr"/>
    </row>
    <row r="919" ht="15" customHeight="1">
      <c r="A919" t="inlineStr">
        <is>
          <t>A 46920-2021</t>
        </is>
      </c>
      <c r="B919" s="1" t="n">
        <v>44446</v>
      </c>
      <c r="C919" s="1" t="n">
        <v>46033</v>
      </c>
      <c r="D919" t="inlineStr">
        <is>
          <t>UPPSALA LÄN</t>
        </is>
      </c>
      <c r="E919" t="inlineStr">
        <is>
          <t>UPPSALA</t>
        </is>
      </c>
      <c r="G919" t="n">
        <v>1.6</v>
      </c>
      <c r="H919" t="n">
        <v>0</v>
      </c>
      <c r="I919" t="n">
        <v>0</v>
      </c>
      <c r="J919" t="n">
        <v>0</v>
      </c>
      <c r="K919" t="n">
        <v>0</v>
      </c>
      <c r="L919" t="n">
        <v>0</v>
      </c>
      <c r="M919" t="n">
        <v>0</v>
      </c>
      <c r="N919" t="n">
        <v>0</v>
      </c>
      <c r="O919" t="n">
        <v>0</v>
      </c>
      <c r="P919" t="n">
        <v>0</v>
      </c>
      <c r="Q919" t="n">
        <v>0</v>
      </c>
      <c r="R919" s="2" t="inlineStr"/>
    </row>
    <row r="920" ht="15" customHeight="1">
      <c r="A920" t="inlineStr">
        <is>
          <t>A 5189-2022</t>
        </is>
      </c>
      <c r="B920" s="1" t="n">
        <v>44594</v>
      </c>
      <c r="C920" s="1" t="n">
        <v>46033</v>
      </c>
      <c r="D920" t="inlineStr">
        <is>
          <t>UPPSALA LÄN</t>
        </is>
      </c>
      <c r="E920" t="inlineStr">
        <is>
          <t>UPPSALA</t>
        </is>
      </c>
      <c r="G920" t="n">
        <v>5.9</v>
      </c>
      <c r="H920" t="n">
        <v>0</v>
      </c>
      <c r="I920" t="n">
        <v>0</v>
      </c>
      <c r="J920" t="n">
        <v>0</v>
      </c>
      <c r="K920" t="n">
        <v>0</v>
      </c>
      <c r="L920" t="n">
        <v>0</v>
      </c>
      <c r="M920" t="n">
        <v>0</v>
      </c>
      <c r="N920" t="n">
        <v>0</v>
      </c>
      <c r="O920" t="n">
        <v>0</v>
      </c>
      <c r="P920" t="n">
        <v>0</v>
      </c>
      <c r="Q920" t="n">
        <v>0</v>
      </c>
      <c r="R920" s="2" t="inlineStr"/>
    </row>
    <row r="921" ht="15" customHeight="1">
      <c r="A921" t="inlineStr">
        <is>
          <t>A 39812-2024</t>
        </is>
      </c>
      <c r="B921" s="1" t="n">
        <v>45552</v>
      </c>
      <c r="C921" s="1" t="n">
        <v>46033</v>
      </c>
      <c r="D921" t="inlineStr">
        <is>
          <t>UPPSALA LÄN</t>
        </is>
      </c>
      <c r="E921" t="inlineStr">
        <is>
          <t>UPPSALA</t>
        </is>
      </c>
      <c r="G921" t="n">
        <v>7.9</v>
      </c>
      <c r="H921" t="n">
        <v>0</v>
      </c>
      <c r="I921" t="n">
        <v>0</v>
      </c>
      <c r="J921" t="n">
        <v>0</v>
      </c>
      <c r="K921" t="n">
        <v>0</v>
      </c>
      <c r="L921" t="n">
        <v>0</v>
      </c>
      <c r="M921" t="n">
        <v>0</v>
      </c>
      <c r="N921" t="n">
        <v>0</v>
      </c>
      <c r="O921" t="n">
        <v>0</v>
      </c>
      <c r="P921" t="n">
        <v>0</v>
      </c>
      <c r="Q921" t="n">
        <v>0</v>
      </c>
      <c r="R921" s="2" t="inlineStr"/>
    </row>
    <row r="922" ht="15" customHeight="1">
      <c r="A922" t="inlineStr">
        <is>
          <t>A 18677-2024</t>
        </is>
      </c>
      <c r="B922" s="1" t="n">
        <v>45426</v>
      </c>
      <c r="C922" s="1" t="n">
        <v>46033</v>
      </c>
      <c r="D922" t="inlineStr">
        <is>
          <t>UPPSALA LÄN</t>
        </is>
      </c>
      <c r="E922" t="inlineStr">
        <is>
          <t>UPPSALA</t>
        </is>
      </c>
      <c r="G922" t="n">
        <v>2.8</v>
      </c>
      <c r="H922" t="n">
        <v>0</v>
      </c>
      <c r="I922" t="n">
        <v>0</v>
      </c>
      <c r="J922" t="n">
        <v>0</v>
      </c>
      <c r="K922" t="n">
        <v>0</v>
      </c>
      <c r="L922" t="n">
        <v>0</v>
      </c>
      <c r="M922" t="n">
        <v>0</v>
      </c>
      <c r="N922" t="n">
        <v>0</v>
      </c>
      <c r="O922" t="n">
        <v>0</v>
      </c>
      <c r="P922" t="n">
        <v>0</v>
      </c>
      <c r="Q922" t="n">
        <v>0</v>
      </c>
      <c r="R922" s="2" t="inlineStr"/>
    </row>
    <row r="923" ht="15" customHeight="1">
      <c r="A923" t="inlineStr">
        <is>
          <t>A 60702-2022</t>
        </is>
      </c>
      <c r="B923" s="1" t="n">
        <v>44912.29869212963</v>
      </c>
      <c r="C923" s="1" t="n">
        <v>46033</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44967.55960648148</v>
      </c>
      <c r="C924" s="1" t="n">
        <v>46033</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8877-2022</t>
        </is>
      </c>
      <c r="B925" s="1" t="n">
        <v>44614.59027777778</v>
      </c>
      <c r="C925" s="1" t="n">
        <v>46033</v>
      </c>
      <c r="D925" t="inlineStr">
        <is>
          <t>UPPSALA LÄN</t>
        </is>
      </c>
      <c r="E925" t="inlineStr">
        <is>
          <t>UPPSALA</t>
        </is>
      </c>
      <c r="G925" t="n">
        <v>1.4</v>
      </c>
      <c r="H925" t="n">
        <v>0</v>
      </c>
      <c r="I925" t="n">
        <v>0</v>
      </c>
      <c r="J925" t="n">
        <v>0</v>
      </c>
      <c r="K925" t="n">
        <v>0</v>
      </c>
      <c r="L925" t="n">
        <v>0</v>
      </c>
      <c r="M925" t="n">
        <v>0</v>
      </c>
      <c r="N925" t="n">
        <v>0</v>
      </c>
      <c r="O925" t="n">
        <v>0</v>
      </c>
      <c r="P925" t="n">
        <v>0</v>
      </c>
      <c r="Q925" t="n">
        <v>0</v>
      </c>
      <c r="R925" s="2" t="inlineStr"/>
    </row>
    <row r="926" ht="15" customHeight="1">
      <c r="A926" t="inlineStr">
        <is>
          <t>A 554-2023</t>
        </is>
      </c>
      <c r="B926" s="1" t="n">
        <v>44930</v>
      </c>
      <c r="C926" s="1" t="n">
        <v>46033</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27903-2023</t>
        </is>
      </c>
      <c r="B927" s="1" t="n">
        <v>45098.62966435185</v>
      </c>
      <c r="C927" s="1" t="n">
        <v>46033</v>
      </c>
      <c r="D927" t="inlineStr">
        <is>
          <t>UPPSALA LÄN</t>
        </is>
      </c>
      <c r="E927" t="inlineStr">
        <is>
          <t>UPPSALA</t>
        </is>
      </c>
      <c r="G927" t="n">
        <v>2.4</v>
      </c>
      <c r="H927" t="n">
        <v>0</v>
      </c>
      <c r="I927" t="n">
        <v>0</v>
      </c>
      <c r="J927" t="n">
        <v>0</v>
      </c>
      <c r="K927" t="n">
        <v>0</v>
      </c>
      <c r="L927" t="n">
        <v>0</v>
      </c>
      <c r="M927" t="n">
        <v>0</v>
      </c>
      <c r="N927" t="n">
        <v>0</v>
      </c>
      <c r="O927" t="n">
        <v>0</v>
      </c>
      <c r="P927" t="n">
        <v>0</v>
      </c>
      <c r="Q927" t="n">
        <v>0</v>
      </c>
      <c r="R927" s="2" t="inlineStr"/>
    </row>
    <row r="928" ht="15" customHeight="1">
      <c r="A928" t="inlineStr">
        <is>
          <t>A 17250-2025</t>
        </is>
      </c>
      <c r="B928" s="1" t="n">
        <v>45756.50738425926</v>
      </c>
      <c r="C928" s="1" t="n">
        <v>46033</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14784-2023</t>
        </is>
      </c>
      <c r="B929" s="1" t="n">
        <v>45014</v>
      </c>
      <c r="C929" s="1" t="n">
        <v>46033</v>
      </c>
      <c r="D929" t="inlineStr">
        <is>
          <t>UPPSALA LÄN</t>
        </is>
      </c>
      <c r="E929" t="inlineStr">
        <is>
          <t>UPPSALA</t>
        </is>
      </c>
      <c r="G929" t="n">
        <v>4.7</v>
      </c>
      <c r="H929" t="n">
        <v>0</v>
      </c>
      <c r="I929" t="n">
        <v>0</v>
      </c>
      <c r="J929" t="n">
        <v>0</v>
      </c>
      <c r="K929" t="n">
        <v>0</v>
      </c>
      <c r="L929" t="n">
        <v>0</v>
      </c>
      <c r="M929" t="n">
        <v>0</v>
      </c>
      <c r="N929" t="n">
        <v>0</v>
      </c>
      <c r="O929" t="n">
        <v>0</v>
      </c>
      <c r="P929" t="n">
        <v>0</v>
      </c>
      <c r="Q929" t="n">
        <v>0</v>
      </c>
      <c r="R929" s="2" t="inlineStr"/>
    </row>
    <row r="930" ht="15" customHeight="1">
      <c r="A930" t="inlineStr">
        <is>
          <t>A 41422-2023</t>
        </is>
      </c>
      <c r="B930" s="1" t="n">
        <v>45175</v>
      </c>
      <c r="C930" s="1" t="n">
        <v>46033</v>
      </c>
      <c r="D930" t="inlineStr">
        <is>
          <t>UPPSALA LÄN</t>
        </is>
      </c>
      <c r="E930" t="inlineStr">
        <is>
          <t>UPPSALA</t>
        </is>
      </c>
      <c r="F930" t="inlineStr">
        <is>
          <t>Kyrkan</t>
        </is>
      </c>
      <c r="G930" t="n">
        <v>5.2</v>
      </c>
      <c r="H930" t="n">
        <v>0</v>
      </c>
      <c r="I930" t="n">
        <v>0</v>
      </c>
      <c r="J930" t="n">
        <v>0</v>
      </c>
      <c r="K930" t="n">
        <v>0</v>
      </c>
      <c r="L930" t="n">
        <v>0</v>
      </c>
      <c r="M930" t="n">
        <v>0</v>
      </c>
      <c r="N930" t="n">
        <v>0</v>
      </c>
      <c r="O930" t="n">
        <v>0</v>
      </c>
      <c r="P930" t="n">
        <v>0</v>
      </c>
      <c r="Q930" t="n">
        <v>0</v>
      </c>
      <c r="R930" s="2" t="inlineStr"/>
    </row>
    <row r="931" ht="15" customHeight="1">
      <c r="A931" t="inlineStr">
        <is>
          <t>A 27473-2024</t>
        </is>
      </c>
      <c r="B931" s="1" t="n">
        <v>45474</v>
      </c>
      <c r="C931" s="1" t="n">
        <v>46033</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45662-2023</t>
        </is>
      </c>
      <c r="B932" s="1" t="n">
        <v>45194</v>
      </c>
      <c r="C932" s="1" t="n">
        <v>46033</v>
      </c>
      <c r="D932" t="inlineStr">
        <is>
          <t>UPPSALA LÄN</t>
        </is>
      </c>
      <c r="E932" t="inlineStr">
        <is>
          <t>UPPSALA</t>
        </is>
      </c>
      <c r="F932" t="inlineStr">
        <is>
          <t>Bergvik skog öst AB</t>
        </is>
      </c>
      <c r="G932" t="n">
        <v>2.8</v>
      </c>
      <c r="H932" t="n">
        <v>0</v>
      </c>
      <c r="I932" t="n">
        <v>0</v>
      </c>
      <c r="J932" t="n">
        <v>0</v>
      </c>
      <c r="K932" t="n">
        <v>0</v>
      </c>
      <c r="L932" t="n">
        <v>0</v>
      </c>
      <c r="M932" t="n">
        <v>0</v>
      </c>
      <c r="N932" t="n">
        <v>0</v>
      </c>
      <c r="O932" t="n">
        <v>0</v>
      </c>
      <c r="P932" t="n">
        <v>0</v>
      </c>
      <c r="Q932" t="n">
        <v>0</v>
      </c>
      <c r="R932" s="2" t="inlineStr"/>
    </row>
    <row r="933" ht="15" customHeight="1">
      <c r="A933" t="inlineStr">
        <is>
          <t>A 39865-2022</t>
        </is>
      </c>
      <c r="B933" s="1" t="n">
        <v>44819.62</v>
      </c>
      <c r="C933" s="1" t="n">
        <v>46033</v>
      </c>
      <c r="D933" t="inlineStr">
        <is>
          <t>UPPSALA LÄN</t>
        </is>
      </c>
      <c r="E933" t="inlineStr">
        <is>
          <t>UPPSALA</t>
        </is>
      </c>
      <c r="G933" t="n">
        <v>2.5</v>
      </c>
      <c r="H933" t="n">
        <v>0</v>
      </c>
      <c r="I933" t="n">
        <v>0</v>
      </c>
      <c r="J933" t="n">
        <v>0</v>
      </c>
      <c r="K933" t="n">
        <v>0</v>
      </c>
      <c r="L933" t="n">
        <v>0</v>
      </c>
      <c r="M933" t="n">
        <v>0</v>
      </c>
      <c r="N933" t="n">
        <v>0</v>
      </c>
      <c r="O933" t="n">
        <v>0</v>
      </c>
      <c r="P933" t="n">
        <v>0</v>
      </c>
      <c r="Q933" t="n">
        <v>0</v>
      </c>
      <c r="R933" s="2" t="inlineStr"/>
    </row>
    <row r="934" ht="15" customHeight="1">
      <c r="A934" t="inlineStr">
        <is>
          <t>A 5899-2024</t>
        </is>
      </c>
      <c r="B934" s="1" t="n">
        <v>45335</v>
      </c>
      <c r="C934" s="1" t="n">
        <v>46033</v>
      </c>
      <c r="D934" t="inlineStr">
        <is>
          <t>UPPSALA LÄN</t>
        </is>
      </c>
      <c r="E934" t="inlineStr">
        <is>
          <t>UPPSALA</t>
        </is>
      </c>
      <c r="F934" t="inlineStr">
        <is>
          <t>Allmännings- och besparingsskogar</t>
        </is>
      </c>
      <c r="G934" t="n">
        <v>3.7</v>
      </c>
      <c r="H934" t="n">
        <v>0</v>
      </c>
      <c r="I934" t="n">
        <v>0</v>
      </c>
      <c r="J934" t="n">
        <v>0</v>
      </c>
      <c r="K934" t="n">
        <v>0</v>
      </c>
      <c r="L934" t="n">
        <v>0</v>
      </c>
      <c r="M934" t="n">
        <v>0</v>
      </c>
      <c r="N934" t="n">
        <v>0</v>
      </c>
      <c r="O934" t="n">
        <v>0</v>
      </c>
      <c r="P934" t="n">
        <v>0</v>
      </c>
      <c r="Q934" t="n">
        <v>0</v>
      </c>
      <c r="R934" s="2" t="inlineStr"/>
    </row>
    <row r="935" ht="15" customHeight="1">
      <c r="A935" t="inlineStr">
        <is>
          <t>A 6679-2024</t>
        </is>
      </c>
      <c r="B935" s="1" t="n">
        <v>45341</v>
      </c>
      <c r="C935" s="1" t="n">
        <v>46033</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9235-2025</t>
        </is>
      </c>
      <c r="B936" s="1" t="n">
        <v>45714.55368055555</v>
      </c>
      <c r="C936" s="1" t="n">
        <v>46033</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9984-2025</t>
        </is>
      </c>
      <c r="B937" s="1" t="n">
        <v>45719.42197916667</v>
      </c>
      <c r="C937" s="1" t="n">
        <v>46033</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9991-2025</t>
        </is>
      </c>
      <c r="B938" s="1" t="n">
        <v>45719.43646990741</v>
      </c>
      <c r="C938" s="1" t="n">
        <v>46033</v>
      </c>
      <c r="D938" t="inlineStr">
        <is>
          <t>UPPSALA LÄN</t>
        </is>
      </c>
      <c r="E938" t="inlineStr">
        <is>
          <t>UPPSALA</t>
        </is>
      </c>
      <c r="F938" t="inlineStr">
        <is>
          <t>Kyrkan</t>
        </is>
      </c>
      <c r="G938" t="n">
        <v>6.1</v>
      </c>
      <c r="H938" t="n">
        <v>0</v>
      </c>
      <c r="I938" t="n">
        <v>0</v>
      </c>
      <c r="J938" t="n">
        <v>0</v>
      </c>
      <c r="K938" t="n">
        <v>0</v>
      </c>
      <c r="L938" t="n">
        <v>0</v>
      </c>
      <c r="M938" t="n">
        <v>0</v>
      </c>
      <c r="N938" t="n">
        <v>0</v>
      </c>
      <c r="O938" t="n">
        <v>0</v>
      </c>
      <c r="P938" t="n">
        <v>0</v>
      </c>
      <c r="Q938" t="n">
        <v>0</v>
      </c>
      <c r="R938" s="2" t="inlineStr"/>
    </row>
    <row r="939" ht="15" customHeight="1">
      <c r="A939" t="inlineStr">
        <is>
          <t>A 60984-2022</t>
        </is>
      </c>
      <c r="B939" s="1" t="n">
        <v>44914.67600694444</v>
      </c>
      <c r="C939" s="1" t="n">
        <v>46033</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46033</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34265-2021</t>
        </is>
      </c>
      <c r="B941" s="1" t="n">
        <v>44379.5745949074</v>
      </c>
      <c r="C941" s="1" t="n">
        <v>46033</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1020-2021</t>
        </is>
      </c>
      <c r="B942" s="1" t="n">
        <v>44207</v>
      </c>
      <c r="C942" s="1" t="n">
        <v>46033</v>
      </c>
      <c r="D942" t="inlineStr">
        <is>
          <t>UPPSALA LÄN</t>
        </is>
      </c>
      <c r="E942" t="inlineStr">
        <is>
          <t>UPPSALA</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34147-2024</t>
        </is>
      </c>
      <c r="B943" s="1" t="n">
        <v>45524</v>
      </c>
      <c r="C943" s="1" t="n">
        <v>46033</v>
      </c>
      <c r="D943" t="inlineStr">
        <is>
          <t>UPPSALA LÄN</t>
        </is>
      </c>
      <c r="E943" t="inlineStr">
        <is>
          <t>UPPSALA</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10456-2022</t>
        </is>
      </c>
      <c r="B944" s="1" t="n">
        <v>44623.5571875</v>
      </c>
      <c r="C944" s="1" t="n">
        <v>46033</v>
      </c>
      <c r="D944" t="inlineStr">
        <is>
          <t>UPPSALA LÄN</t>
        </is>
      </c>
      <c r="E944" t="inlineStr">
        <is>
          <t>UPPSALA</t>
        </is>
      </c>
      <c r="F944" t="inlineStr">
        <is>
          <t>Övriga Aktiebolag</t>
        </is>
      </c>
      <c r="G944" t="n">
        <v>12.6</v>
      </c>
      <c r="H944" t="n">
        <v>0</v>
      </c>
      <c r="I944" t="n">
        <v>0</v>
      </c>
      <c r="J944" t="n">
        <v>0</v>
      </c>
      <c r="K944" t="n">
        <v>0</v>
      </c>
      <c r="L944" t="n">
        <v>0</v>
      </c>
      <c r="M944" t="n">
        <v>0</v>
      </c>
      <c r="N944" t="n">
        <v>0</v>
      </c>
      <c r="O944" t="n">
        <v>0</v>
      </c>
      <c r="P944" t="n">
        <v>0</v>
      </c>
      <c r="Q944" t="n">
        <v>0</v>
      </c>
      <c r="R944" s="2" t="inlineStr"/>
    </row>
    <row r="945" ht="15" customHeight="1">
      <c r="A945" t="inlineStr">
        <is>
          <t>A 5663-2023</t>
        </is>
      </c>
      <c r="B945" s="1" t="n">
        <v>44960</v>
      </c>
      <c r="C945" s="1" t="n">
        <v>46033</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5675-2023</t>
        </is>
      </c>
      <c r="B946" s="1" t="n">
        <v>44960.66233796296</v>
      </c>
      <c r="C946" s="1" t="n">
        <v>46033</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69698-2021</t>
        </is>
      </c>
      <c r="B947" s="1" t="n">
        <v>44532</v>
      </c>
      <c r="C947" s="1" t="n">
        <v>46033</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40100-2022</t>
        </is>
      </c>
      <c r="B948" s="1" t="n">
        <v>44820.47935185185</v>
      </c>
      <c r="C948" s="1" t="n">
        <v>46033</v>
      </c>
      <c r="D948" t="inlineStr">
        <is>
          <t>UPPSALA LÄN</t>
        </is>
      </c>
      <c r="E948" t="inlineStr">
        <is>
          <t>UPPSALA</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8672-2024</t>
        </is>
      </c>
      <c r="B949" s="1" t="n">
        <v>45352</v>
      </c>
      <c r="C949" s="1" t="n">
        <v>46033</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42528-2023</t>
        </is>
      </c>
      <c r="B950" s="1" t="n">
        <v>45181.33571759259</v>
      </c>
      <c r="C950" s="1" t="n">
        <v>46033</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9255-2024</t>
        </is>
      </c>
      <c r="B951" s="1" t="n">
        <v>45358</v>
      </c>
      <c r="C951" s="1" t="n">
        <v>46033</v>
      </c>
      <c r="D951" t="inlineStr">
        <is>
          <t>UPPSALA LÄN</t>
        </is>
      </c>
      <c r="E951" t="inlineStr">
        <is>
          <t>UPPSALA</t>
        </is>
      </c>
      <c r="G951" t="n">
        <v>1.8</v>
      </c>
      <c r="H951" t="n">
        <v>0</v>
      </c>
      <c r="I951" t="n">
        <v>0</v>
      </c>
      <c r="J951" t="n">
        <v>0</v>
      </c>
      <c r="K951" t="n">
        <v>0</v>
      </c>
      <c r="L951" t="n">
        <v>0</v>
      </c>
      <c r="M951" t="n">
        <v>0</v>
      </c>
      <c r="N951" t="n">
        <v>0</v>
      </c>
      <c r="O951" t="n">
        <v>0</v>
      </c>
      <c r="P951" t="n">
        <v>0</v>
      </c>
      <c r="Q951" t="n">
        <v>0</v>
      </c>
      <c r="R951" s="2" t="inlineStr"/>
    </row>
    <row r="952" ht="15" customHeight="1">
      <c r="A952" t="inlineStr">
        <is>
          <t>A 56889-2022</t>
        </is>
      </c>
      <c r="B952" s="1" t="n">
        <v>44894.57065972222</v>
      </c>
      <c r="C952" s="1" t="n">
        <v>46033</v>
      </c>
      <c r="D952" t="inlineStr">
        <is>
          <t>UPPSALA LÄN</t>
        </is>
      </c>
      <c r="E952" t="inlineStr">
        <is>
          <t>UPPSALA</t>
        </is>
      </c>
      <c r="F952" t="inlineStr">
        <is>
          <t>Övriga Aktiebolag</t>
        </is>
      </c>
      <c r="G952" t="n">
        <v>21.6</v>
      </c>
      <c r="H952" t="n">
        <v>0</v>
      </c>
      <c r="I952" t="n">
        <v>0</v>
      </c>
      <c r="J952" t="n">
        <v>0</v>
      </c>
      <c r="K952" t="n">
        <v>0</v>
      </c>
      <c r="L952" t="n">
        <v>0</v>
      </c>
      <c r="M952" t="n">
        <v>0</v>
      </c>
      <c r="N952" t="n">
        <v>0</v>
      </c>
      <c r="O952" t="n">
        <v>0</v>
      </c>
      <c r="P952" t="n">
        <v>0</v>
      </c>
      <c r="Q952" t="n">
        <v>0</v>
      </c>
      <c r="R952" s="2" t="inlineStr"/>
    </row>
    <row r="953" ht="15" customHeight="1">
      <c r="A953" t="inlineStr">
        <is>
          <t>A 33797-2021</t>
        </is>
      </c>
      <c r="B953" s="1" t="n">
        <v>44378.56137731481</v>
      </c>
      <c r="C953" s="1" t="n">
        <v>46033</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5374-2023</t>
        </is>
      </c>
      <c r="B954" s="1" t="n">
        <v>44944</v>
      </c>
      <c r="C954" s="1" t="n">
        <v>46033</v>
      </c>
      <c r="D954" t="inlineStr">
        <is>
          <t>UPPSALA LÄN</t>
        </is>
      </c>
      <c r="E954" t="inlineStr">
        <is>
          <t>UPPSALA</t>
        </is>
      </c>
      <c r="G954" t="n">
        <v>3.5</v>
      </c>
      <c r="H954" t="n">
        <v>0</v>
      </c>
      <c r="I954" t="n">
        <v>0</v>
      </c>
      <c r="J954" t="n">
        <v>0</v>
      </c>
      <c r="K954" t="n">
        <v>0</v>
      </c>
      <c r="L954" t="n">
        <v>0</v>
      </c>
      <c r="M954" t="n">
        <v>0</v>
      </c>
      <c r="N954" t="n">
        <v>0</v>
      </c>
      <c r="O954" t="n">
        <v>0</v>
      </c>
      <c r="P954" t="n">
        <v>0</v>
      </c>
      <c r="Q954" t="n">
        <v>0</v>
      </c>
      <c r="R954" s="2" t="inlineStr"/>
    </row>
    <row r="955" ht="15" customHeight="1">
      <c r="A955" t="inlineStr">
        <is>
          <t>A 63011-2021</t>
        </is>
      </c>
      <c r="B955" s="1" t="n">
        <v>44504</v>
      </c>
      <c r="C955" s="1" t="n">
        <v>46033</v>
      </c>
      <c r="D955" t="inlineStr">
        <is>
          <t>UPPSALA LÄN</t>
        </is>
      </c>
      <c r="E955" t="inlineStr">
        <is>
          <t>UPPSALA</t>
        </is>
      </c>
      <c r="G955" t="n">
        <v>11.2</v>
      </c>
      <c r="H955" t="n">
        <v>0</v>
      </c>
      <c r="I955" t="n">
        <v>0</v>
      </c>
      <c r="J955" t="n">
        <v>0</v>
      </c>
      <c r="K955" t="n">
        <v>0</v>
      </c>
      <c r="L955" t="n">
        <v>0</v>
      </c>
      <c r="M955" t="n">
        <v>0</v>
      </c>
      <c r="N955" t="n">
        <v>0</v>
      </c>
      <c r="O955" t="n">
        <v>0</v>
      </c>
      <c r="P955" t="n">
        <v>0</v>
      </c>
      <c r="Q955" t="n">
        <v>0</v>
      </c>
      <c r="R955" s="2" t="inlineStr"/>
    </row>
    <row r="956" ht="15" customHeight="1">
      <c r="A956" t="inlineStr">
        <is>
          <t>A 3955-2021</t>
        </is>
      </c>
      <c r="B956" s="1" t="n">
        <v>44222</v>
      </c>
      <c r="C956" s="1" t="n">
        <v>46033</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52503-2023</t>
        </is>
      </c>
      <c r="B957" s="1" t="n">
        <v>45225.46480324074</v>
      </c>
      <c r="C957" s="1" t="n">
        <v>46033</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59585-2023</t>
        </is>
      </c>
      <c r="B958" s="1" t="n">
        <v>45254</v>
      </c>
      <c r="C958" s="1" t="n">
        <v>46033</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6989-2022</t>
        </is>
      </c>
      <c r="B959" s="1" t="n">
        <v>44603</v>
      </c>
      <c r="C959" s="1" t="n">
        <v>46033</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32553-2024</t>
        </is>
      </c>
      <c r="B960" s="1" t="n">
        <v>45513.51815972223</v>
      </c>
      <c r="C960" s="1" t="n">
        <v>46033</v>
      </c>
      <c r="D960" t="inlineStr">
        <is>
          <t>UPPSALA LÄN</t>
        </is>
      </c>
      <c r="E960" t="inlineStr">
        <is>
          <t>UPPSALA</t>
        </is>
      </c>
      <c r="F960" t="inlineStr">
        <is>
          <t>Bergvik skog öst AB</t>
        </is>
      </c>
      <c r="G960" t="n">
        <v>4.1</v>
      </c>
      <c r="H960" t="n">
        <v>0</v>
      </c>
      <c r="I960" t="n">
        <v>0</v>
      </c>
      <c r="J960" t="n">
        <v>0</v>
      </c>
      <c r="K960" t="n">
        <v>0</v>
      </c>
      <c r="L960" t="n">
        <v>0</v>
      </c>
      <c r="M960" t="n">
        <v>0</v>
      </c>
      <c r="N960" t="n">
        <v>0</v>
      </c>
      <c r="O960" t="n">
        <v>0</v>
      </c>
      <c r="P960" t="n">
        <v>0</v>
      </c>
      <c r="Q960" t="n">
        <v>0</v>
      </c>
      <c r="R960" s="2" t="inlineStr"/>
    </row>
    <row r="961" ht="15" customHeight="1">
      <c r="A961" t="inlineStr">
        <is>
          <t>A 46807-2022</t>
        </is>
      </c>
      <c r="B961" s="1" t="n">
        <v>44848</v>
      </c>
      <c r="C961" s="1" t="n">
        <v>46033</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44781-2021</t>
        </is>
      </c>
      <c r="B962" s="1" t="n">
        <v>44438</v>
      </c>
      <c r="C962" s="1" t="n">
        <v>46033</v>
      </c>
      <c r="D962" t="inlineStr">
        <is>
          <t>UPPSALA LÄN</t>
        </is>
      </c>
      <c r="E962" t="inlineStr">
        <is>
          <t>UPPSALA</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5605-2025</t>
        </is>
      </c>
      <c r="B963" s="1" t="n">
        <v>45693</v>
      </c>
      <c r="C963" s="1" t="n">
        <v>46033</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12507-2024</t>
        </is>
      </c>
      <c r="B964" s="1" t="n">
        <v>45379</v>
      </c>
      <c r="C964" s="1" t="n">
        <v>46033</v>
      </c>
      <c r="D964" t="inlineStr">
        <is>
          <t>UPPSALA LÄN</t>
        </is>
      </c>
      <c r="E964" t="inlineStr">
        <is>
          <t>UPPSALA</t>
        </is>
      </c>
      <c r="G964" t="n">
        <v>4.6</v>
      </c>
      <c r="H964" t="n">
        <v>0</v>
      </c>
      <c r="I964" t="n">
        <v>0</v>
      </c>
      <c r="J964" t="n">
        <v>0</v>
      </c>
      <c r="K964" t="n">
        <v>0</v>
      </c>
      <c r="L964" t="n">
        <v>0</v>
      </c>
      <c r="M964" t="n">
        <v>0</v>
      </c>
      <c r="N964" t="n">
        <v>0</v>
      </c>
      <c r="O964" t="n">
        <v>0</v>
      </c>
      <c r="P964" t="n">
        <v>0</v>
      </c>
      <c r="Q964" t="n">
        <v>0</v>
      </c>
      <c r="R964" s="2" t="inlineStr"/>
    </row>
    <row r="965" ht="15" customHeight="1">
      <c r="A965" t="inlineStr">
        <is>
          <t>A 4065-2024</t>
        </is>
      </c>
      <c r="B965" s="1" t="n">
        <v>45323.55914351852</v>
      </c>
      <c r="C965" s="1" t="n">
        <v>46033</v>
      </c>
      <c r="D965" t="inlineStr">
        <is>
          <t>UPPSALA LÄN</t>
        </is>
      </c>
      <c r="E965" t="inlineStr">
        <is>
          <t>UPPSALA</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4059-2022</t>
        </is>
      </c>
      <c r="B966" s="1" t="n">
        <v>44588</v>
      </c>
      <c r="C966" s="1" t="n">
        <v>46033</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54715-2022</t>
        </is>
      </c>
      <c r="B967" s="1" t="n">
        <v>44883</v>
      </c>
      <c r="C967" s="1" t="n">
        <v>46033</v>
      </c>
      <c r="D967" t="inlineStr">
        <is>
          <t>UPPSALA LÄN</t>
        </is>
      </c>
      <c r="E967" t="inlineStr">
        <is>
          <t>UPPSALA</t>
        </is>
      </c>
      <c r="F967" t="inlineStr">
        <is>
          <t>Övriga Aktiebolag</t>
        </is>
      </c>
      <c r="G967" t="n">
        <v>9.5</v>
      </c>
      <c r="H967" t="n">
        <v>0</v>
      </c>
      <c r="I967" t="n">
        <v>0</v>
      </c>
      <c r="J967" t="n">
        <v>0</v>
      </c>
      <c r="K967" t="n">
        <v>0</v>
      </c>
      <c r="L967" t="n">
        <v>0</v>
      </c>
      <c r="M967" t="n">
        <v>0</v>
      </c>
      <c r="N967" t="n">
        <v>0</v>
      </c>
      <c r="O967" t="n">
        <v>0</v>
      </c>
      <c r="P967" t="n">
        <v>0</v>
      </c>
      <c r="Q967" t="n">
        <v>0</v>
      </c>
      <c r="R967" s="2" t="inlineStr"/>
    </row>
    <row r="968" ht="15" customHeight="1">
      <c r="A968" t="inlineStr">
        <is>
          <t>A 6973-2025</t>
        </is>
      </c>
      <c r="B968" s="1" t="n">
        <v>45693</v>
      </c>
      <c r="C968" s="1" t="n">
        <v>46033</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74019-2021</t>
        </is>
      </c>
      <c r="B969" s="1" t="n">
        <v>44553</v>
      </c>
      <c r="C969" s="1" t="n">
        <v>46033</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19613-2025</t>
        </is>
      </c>
      <c r="B970" s="1" t="n">
        <v>45770.61341435185</v>
      </c>
      <c r="C970" s="1" t="n">
        <v>46033</v>
      </c>
      <c r="D970" t="inlineStr">
        <is>
          <t>UPPSALA LÄN</t>
        </is>
      </c>
      <c r="E970" t="inlineStr">
        <is>
          <t>UPPSALA</t>
        </is>
      </c>
      <c r="F970" t="inlineStr">
        <is>
          <t>Övriga Aktiebolag</t>
        </is>
      </c>
      <c r="G970" t="n">
        <v>2.2</v>
      </c>
      <c r="H970" t="n">
        <v>0</v>
      </c>
      <c r="I970" t="n">
        <v>0</v>
      </c>
      <c r="J970" t="n">
        <v>0</v>
      </c>
      <c r="K970" t="n">
        <v>0</v>
      </c>
      <c r="L970" t="n">
        <v>0</v>
      </c>
      <c r="M970" t="n">
        <v>0</v>
      </c>
      <c r="N970" t="n">
        <v>0</v>
      </c>
      <c r="O970" t="n">
        <v>0</v>
      </c>
      <c r="P970" t="n">
        <v>0</v>
      </c>
      <c r="Q970" t="n">
        <v>0</v>
      </c>
      <c r="R970" s="2" t="inlineStr"/>
    </row>
    <row r="971" ht="15" customHeight="1">
      <c r="A971" t="inlineStr">
        <is>
          <t>A 27119-2023</t>
        </is>
      </c>
      <c r="B971" s="1" t="n">
        <v>45096</v>
      </c>
      <c r="C971" s="1" t="n">
        <v>46033</v>
      </c>
      <c r="D971" t="inlineStr">
        <is>
          <t>UPPSALA LÄN</t>
        </is>
      </c>
      <c r="E971" t="inlineStr">
        <is>
          <t>UPPSALA</t>
        </is>
      </c>
      <c r="G971" t="n">
        <v>3.1</v>
      </c>
      <c r="H971" t="n">
        <v>0</v>
      </c>
      <c r="I971" t="n">
        <v>0</v>
      </c>
      <c r="J971" t="n">
        <v>0</v>
      </c>
      <c r="K971" t="n">
        <v>0</v>
      </c>
      <c r="L971" t="n">
        <v>0</v>
      </c>
      <c r="M971" t="n">
        <v>0</v>
      </c>
      <c r="N971" t="n">
        <v>0</v>
      </c>
      <c r="O971" t="n">
        <v>0</v>
      </c>
      <c r="P971" t="n">
        <v>0</v>
      </c>
      <c r="Q971" t="n">
        <v>0</v>
      </c>
      <c r="R971" s="2" t="inlineStr"/>
    </row>
    <row r="972" ht="15" customHeight="1">
      <c r="A972" t="inlineStr">
        <is>
          <t>A 35906-2023</t>
        </is>
      </c>
      <c r="B972" s="1" t="n">
        <v>45148</v>
      </c>
      <c r="C972" s="1" t="n">
        <v>46033</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9295-2023</t>
        </is>
      </c>
      <c r="B973" s="1" t="n">
        <v>44980</v>
      </c>
      <c r="C973" s="1" t="n">
        <v>46033</v>
      </c>
      <c r="D973" t="inlineStr">
        <is>
          <t>UPPSALA LÄN</t>
        </is>
      </c>
      <c r="E973" t="inlineStr">
        <is>
          <t>UPPSALA</t>
        </is>
      </c>
      <c r="G973" t="n">
        <v>2.1</v>
      </c>
      <c r="H973" t="n">
        <v>0</v>
      </c>
      <c r="I973" t="n">
        <v>0</v>
      </c>
      <c r="J973" t="n">
        <v>0</v>
      </c>
      <c r="K973" t="n">
        <v>0</v>
      </c>
      <c r="L973" t="n">
        <v>0</v>
      </c>
      <c r="M973" t="n">
        <v>0</v>
      </c>
      <c r="N973" t="n">
        <v>0</v>
      </c>
      <c r="O973" t="n">
        <v>0</v>
      </c>
      <c r="P973" t="n">
        <v>0</v>
      </c>
      <c r="Q973" t="n">
        <v>0</v>
      </c>
      <c r="R973" s="2" t="inlineStr"/>
    </row>
    <row r="974" ht="15" customHeight="1">
      <c r="A974" t="inlineStr">
        <is>
          <t>A 29019-2023</t>
        </is>
      </c>
      <c r="B974" s="1" t="n">
        <v>45104.6828125</v>
      </c>
      <c r="C974" s="1" t="n">
        <v>46033</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28782-2024</t>
        </is>
      </c>
      <c r="B975" s="1" t="n">
        <v>45478.60802083334</v>
      </c>
      <c r="C975" s="1" t="n">
        <v>46033</v>
      </c>
      <c r="D975" t="inlineStr">
        <is>
          <t>UPPSALA LÄN</t>
        </is>
      </c>
      <c r="E975" t="inlineStr">
        <is>
          <t>UPPSALA</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27125-2023</t>
        </is>
      </c>
      <c r="B976" s="1" t="n">
        <v>45096</v>
      </c>
      <c r="C976" s="1" t="n">
        <v>46033</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9426-2023</t>
        </is>
      </c>
      <c r="B977" s="1" t="n">
        <v>44977</v>
      </c>
      <c r="C977" s="1" t="n">
        <v>46033</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53900-2023</t>
        </is>
      </c>
      <c r="B978" s="1" t="n">
        <v>45231.54601851852</v>
      </c>
      <c r="C978" s="1" t="n">
        <v>46033</v>
      </c>
      <c r="D978" t="inlineStr">
        <is>
          <t>UPPSALA LÄN</t>
        </is>
      </c>
      <c r="E978" t="inlineStr">
        <is>
          <t>UPPSALA</t>
        </is>
      </c>
      <c r="G978" t="n">
        <v>2.1</v>
      </c>
      <c r="H978" t="n">
        <v>0</v>
      </c>
      <c r="I978" t="n">
        <v>0</v>
      </c>
      <c r="J978" t="n">
        <v>0</v>
      </c>
      <c r="K978" t="n">
        <v>0</v>
      </c>
      <c r="L978" t="n">
        <v>0</v>
      </c>
      <c r="M978" t="n">
        <v>0</v>
      </c>
      <c r="N978" t="n">
        <v>0</v>
      </c>
      <c r="O978" t="n">
        <v>0</v>
      </c>
      <c r="P978" t="n">
        <v>0</v>
      </c>
      <c r="Q978" t="n">
        <v>0</v>
      </c>
      <c r="R978" s="2" t="inlineStr"/>
    </row>
    <row r="979" ht="15" customHeight="1">
      <c r="A979" t="inlineStr">
        <is>
          <t>A 8132-2022</t>
        </is>
      </c>
      <c r="B979" s="1" t="n">
        <v>44609.60171296296</v>
      </c>
      <c r="C979" s="1" t="n">
        <v>46033</v>
      </c>
      <c r="D979" t="inlineStr">
        <is>
          <t>UPPSALA LÄN</t>
        </is>
      </c>
      <c r="E979" t="inlineStr">
        <is>
          <t>UPPSALA</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18054-2025</t>
        </is>
      </c>
      <c r="B980" s="1" t="n">
        <v>45761.47540509259</v>
      </c>
      <c r="C980" s="1" t="n">
        <v>46033</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18058-2025</t>
        </is>
      </c>
      <c r="B981" s="1" t="n">
        <v>45761.47748842592</v>
      </c>
      <c r="C981" s="1" t="n">
        <v>46033</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40872-2023</t>
        </is>
      </c>
      <c r="B982" s="1" t="n">
        <v>45173</v>
      </c>
      <c r="C982" s="1" t="n">
        <v>46033</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6550-2025</t>
        </is>
      </c>
      <c r="B983" s="1" t="n">
        <v>45699.71063657408</v>
      </c>
      <c r="C983" s="1" t="n">
        <v>46033</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55862-2022</t>
        </is>
      </c>
      <c r="B984" s="1" t="n">
        <v>44888</v>
      </c>
      <c r="C984" s="1" t="n">
        <v>46033</v>
      </c>
      <c r="D984" t="inlineStr">
        <is>
          <t>UPPSALA LÄN</t>
        </is>
      </c>
      <c r="E984" t="inlineStr">
        <is>
          <t>UPPSALA</t>
        </is>
      </c>
      <c r="F984" t="inlineStr">
        <is>
          <t>Bergvik skog öst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32428-2023</t>
        </is>
      </c>
      <c r="B985" s="1" t="n">
        <v>45110</v>
      </c>
      <c r="C985" s="1" t="n">
        <v>46033</v>
      </c>
      <c r="D985" t="inlineStr">
        <is>
          <t>UPPSALA LÄN</t>
        </is>
      </c>
      <c r="E985" t="inlineStr">
        <is>
          <t>UPPSALA</t>
        </is>
      </c>
      <c r="G985" t="n">
        <v>3.1</v>
      </c>
      <c r="H985" t="n">
        <v>0</v>
      </c>
      <c r="I985" t="n">
        <v>0</v>
      </c>
      <c r="J985" t="n">
        <v>0</v>
      </c>
      <c r="K985" t="n">
        <v>0</v>
      </c>
      <c r="L985" t="n">
        <v>0</v>
      </c>
      <c r="M985" t="n">
        <v>0</v>
      </c>
      <c r="N985" t="n">
        <v>0</v>
      </c>
      <c r="O985" t="n">
        <v>0</v>
      </c>
      <c r="P985" t="n">
        <v>0</v>
      </c>
      <c r="Q985" t="n">
        <v>0</v>
      </c>
      <c r="R985" s="2" t="inlineStr"/>
    </row>
    <row r="986" ht="15" customHeight="1">
      <c r="A986" t="inlineStr">
        <is>
          <t>A 49050-2024</t>
        </is>
      </c>
      <c r="B986" s="1" t="n">
        <v>45594</v>
      </c>
      <c r="C986" s="1" t="n">
        <v>46033</v>
      </c>
      <c r="D986" t="inlineStr">
        <is>
          <t>UPPSALA LÄN</t>
        </is>
      </c>
      <c r="E986" t="inlineStr">
        <is>
          <t>UPPSALA</t>
        </is>
      </c>
      <c r="F986" t="inlineStr">
        <is>
          <t>Övriga statliga verk och myndigheter</t>
        </is>
      </c>
      <c r="G986" t="n">
        <v>3.9</v>
      </c>
      <c r="H986" t="n">
        <v>0</v>
      </c>
      <c r="I986" t="n">
        <v>0</v>
      </c>
      <c r="J986" t="n">
        <v>0</v>
      </c>
      <c r="K986" t="n">
        <v>0</v>
      </c>
      <c r="L986" t="n">
        <v>0</v>
      </c>
      <c r="M986" t="n">
        <v>0</v>
      </c>
      <c r="N986" t="n">
        <v>0</v>
      </c>
      <c r="O986" t="n">
        <v>0</v>
      </c>
      <c r="P986" t="n">
        <v>0</v>
      </c>
      <c r="Q986" t="n">
        <v>0</v>
      </c>
      <c r="R986" s="2" t="inlineStr"/>
    </row>
    <row r="987" ht="15" customHeight="1">
      <c r="A987" t="inlineStr">
        <is>
          <t>A 10383-2022</t>
        </is>
      </c>
      <c r="B987" s="1" t="n">
        <v>44623.41775462963</v>
      </c>
      <c r="C987" s="1" t="n">
        <v>46033</v>
      </c>
      <c r="D987" t="inlineStr">
        <is>
          <t>UPPSALA LÄN</t>
        </is>
      </c>
      <c r="E987" t="inlineStr">
        <is>
          <t>UPPSALA</t>
        </is>
      </c>
      <c r="F987" t="inlineStr">
        <is>
          <t>Övriga Aktiebolag</t>
        </is>
      </c>
      <c r="G987" t="n">
        <v>2.8</v>
      </c>
      <c r="H987" t="n">
        <v>0</v>
      </c>
      <c r="I987" t="n">
        <v>0</v>
      </c>
      <c r="J987" t="n">
        <v>0</v>
      </c>
      <c r="K987" t="n">
        <v>0</v>
      </c>
      <c r="L987" t="n">
        <v>0</v>
      </c>
      <c r="M987" t="n">
        <v>0</v>
      </c>
      <c r="N987" t="n">
        <v>0</v>
      </c>
      <c r="O987" t="n">
        <v>0</v>
      </c>
      <c r="P987" t="n">
        <v>0</v>
      </c>
      <c r="Q987" t="n">
        <v>0</v>
      </c>
      <c r="R987" s="2" t="inlineStr"/>
    </row>
    <row r="988" ht="15" customHeight="1">
      <c r="A988" t="inlineStr">
        <is>
          <t>A 60691-2024</t>
        </is>
      </c>
      <c r="B988" s="1" t="n">
        <v>45644.47723379629</v>
      </c>
      <c r="C988" s="1" t="n">
        <v>46033</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23157-2023</t>
        </is>
      </c>
      <c r="B989" s="1" t="n">
        <v>45075.51982638889</v>
      </c>
      <c r="C989" s="1" t="n">
        <v>46033</v>
      </c>
      <c r="D989" t="inlineStr">
        <is>
          <t>UPPSALA LÄN</t>
        </is>
      </c>
      <c r="E989" t="inlineStr">
        <is>
          <t>UPPSALA</t>
        </is>
      </c>
      <c r="G989" t="n">
        <v>1.1</v>
      </c>
      <c r="H989" t="n">
        <v>0</v>
      </c>
      <c r="I989" t="n">
        <v>0</v>
      </c>
      <c r="J989" t="n">
        <v>0</v>
      </c>
      <c r="K989" t="n">
        <v>0</v>
      </c>
      <c r="L989" t="n">
        <v>0</v>
      </c>
      <c r="M989" t="n">
        <v>0</v>
      </c>
      <c r="N989" t="n">
        <v>0</v>
      </c>
      <c r="O989" t="n">
        <v>0</v>
      </c>
      <c r="P989" t="n">
        <v>0</v>
      </c>
      <c r="Q989" t="n">
        <v>0</v>
      </c>
      <c r="R989" s="2" t="inlineStr"/>
    </row>
    <row r="990" ht="15" customHeight="1">
      <c r="A990" t="inlineStr">
        <is>
          <t>A 53589-2024</t>
        </is>
      </c>
      <c r="B990" s="1" t="n">
        <v>45614.67020833334</v>
      </c>
      <c r="C990" s="1" t="n">
        <v>46033</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35914-2023</t>
        </is>
      </c>
      <c r="B991" s="1" t="n">
        <v>45148</v>
      </c>
      <c r="C991" s="1" t="n">
        <v>46033</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35916-2023</t>
        </is>
      </c>
      <c r="B992" s="1" t="n">
        <v>45148</v>
      </c>
      <c r="C992" s="1" t="n">
        <v>46033</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43029-2023</t>
        </is>
      </c>
      <c r="B993" s="1" t="n">
        <v>45182</v>
      </c>
      <c r="C993" s="1" t="n">
        <v>46033</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61947-2023</t>
        </is>
      </c>
      <c r="B994" s="1" t="n">
        <v>45266</v>
      </c>
      <c r="C994" s="1" t="n">
        <v>46033</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61574-2024</t>
        </is>
      </c>
      <c r="B995" s="1" t="n">
        <v>45646.61892361111</v>
      </c>
      <c r="C995" s="1" t="n">
        <v>46033</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25462-2023</t>
        </is>
      </c>
      <c r="B996" s="1" t="n">
        <v>45089</v>
      </c>
      <c r="C996" s="1" t="n">
        <v>46033</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14337-2022</t>
        </is>
      </c>
      <c r="B997" s="1" t="n">
        <v>44652</v>
      </c>
      <c r="C997" s="1" t="n">
        <v>46033</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46745-2024</t>
        </is>
      </c>
      <c r="B998" s="1" t="n">
        <v>45583</v>
      </c>
      <c r="C998" s="1" t="n">
        <v>46033</v>
      </c>
      <c r="D998" t="inlineStr">
        <is>
          <t>UPPSALA LÄN</t>
        </is>
      </c>
      <c r="E998" t="inlineStr">
        <is>
          <t>UPPSALA</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46748-2024</t>
        </is>
      </c>
      <c r="B999" s="1" t="n">
        <v>45583</v>
      </c>
      <c r="C999" s="1" t="n">
        <v>46033</v>
      </c>
      <c r="D999" t="inlineStr">
        <is>
          <t>UPPSALA LÄN</t>
        </is>
      </c>
      <c r="E999" t="inlineStr">
        <is>
          <t>UPPSALA</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6541-2025</t>
        </is>
      </c>
      <c r="B1000" s="1" t="n">
        <v>45699</v>
      </c>
      <c r="C1000" s="1" t="n">
        <v>46033</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33562-2023</t>
        </is>
      </c>
      <c r="B1001" s="1" t="n">
        <v>45131</v>
      </c>
      <c r="C1001" s="1" t="n">
        <v>46033</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5725-2025</t>
        </is>
      </c>
      <c r="B1002" s="1" t="n">
        <v>45694</v>
      </c>
      <c r="C1002" s="1" t="n">
        <v>46033</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10565-2022</t>
        </is>
      </c>
      <c r="B1003" s="1" t="n">
        <v>44624.35083333333</v>
      </c>
      <c r="C1003" s="1" t="n">
        <v>46033</v>
      </c>
      <c r="D1003" t="inlineStr">
        <is>
          <t>UPPSALA LÄN</t>
        </is>
      </c>
      <c r="E1003" t="inlineStr">
        <is>
          <t>UPPSALA</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4240-2025</t>
        </is>
      </c>
      <c r="B1004" s="1" t="n">
        <v>45685.5778125</v>
      </c>
      <c r="C1004" s="1" t="n">
        <v>46033</v>
      </c>
      <c r="D1004" t="inlineStr">
        <is>
          <t>UPPSALA LÄN</t>
        </is>
      </c>
      <c r="E1004" t="inlineStr">
        <is>
          <t>UPPSALA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27599-2023</t>
        </is>
      </c>
      <c r="B1005" s="1" t="n">
        <v>45097</v>
      </c>
      <c r="C1005" s="1" t="n">
        <v>46033</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20301-2024</t>
        </is>
      </c>
      <c r="B1006" s="1" t="n">
        <v>45435.34778935185</v>
      </c>
      <c r="C1006" s="1" t="n">
        <v>46033</v>
      </c>
      <c r="D1006" t="inlineStr">
        <is>
          <t>UPPSALA LÄN</t>
        </is>
      </c>
      <c r="E1006" t="inlineStr">
        <is>
          <t>UPPSALA</t>
        </is>
      </c>
      <c r="F1006" t="inlineStr">
        <is>
          <t>Kyrkan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57714-2022</t>
        </is>
      </c>
      <c r="B1007" s="1" t="n">
        <v>44897</v>
      </c>
      <c r="C1007" s="1" t="n">
        <v>46033</v>
      </c>
      <c r="D1007" t="inlineStr">
        <is>
          <t>UPPSALA LÄN</t>
        </is>
      </c>
      <c r="E1007" t="inlineStr">
        <is>
          <t>UPPSALA</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3260-2024</t>
        </is>
      </c>
      <c r="B1008" s="1" t="n">
        <v>45317</v>
      </c>
      <c r="C1008" s="1" t="n">
        <v>46033</v>
      </c>
      <c r="D1008" t="inlineStr">
        <is>
          <t>UPPSALA LÄN</t>
        </is>
      </c>
      <c r="E1008" t="inlineStr">
        <is>
          <t>UPPSALA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42273-2023</t>
        </is>
      </c>
      <c r="B1009" s="1" t="n">
        <v>45180.40255787037</v>
      </c>
      <c r="C1009" s="1" t="n">
        <v>46033</v>
      </c>
      <c r="D1009" t="inlineStr">
        <is>
          <t>UPPSALA LÄN</t>
        </is>
      </c>
      <c r="E1009" t="inlineStr">
        <is>
          <t>UPPSALA</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53615-2024</t>
        </is>
      </c>
      <c r="B1010" s="1" t="n">
        <v>45611</v>
      </c>
      <c r="C1010" s="1" t="n">
        <v>46033</v>
      </c>
      <c r="D1010" t="inlineStr">
        <is>
          <t>UPPSALA LÄN</t>
        </is>
      </c>
      <c r="E1010" t="inlineStr">
        <is>
          <t>UPPSALA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19380-2023</t>
        </is>
      </c>
      <c r="B1011" s="1" t="n">
        <v>45049.66025462963</v>
      </c>
      <c r="C1011" s="1" t="n">
        <v>46033</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37618-2023</t>
        </is>
      </c>
      <c r="B1012" s="1" t="n">
        <v>45159.44694444445</v>
      </c>
      <c r="C1012" s="1" t="n">
        <v>46033</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59521-2023</t>
        </is>
      </c>
      <c r="B1013" s="1" t="n">
        <v>45254.49552083333</v>
      </c>
      <c r="C1013" s="1" t="n">
        <v>46033</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7226-2024</t>
        </is>
      </c>
      <c r="B1014" s="1" t="n">
        <v>45344.64759259259</v>
      </c>
      <c r="C1014" s="1" t="n">
        <v>46033</v>
      </c>
      <c r="D1014" t="inlineStr">
        <is>
          <t>UPPSALA LÄN</t>
        </is>
      </c>
      <c r="E1014" t="inlineStr">
        <is>
          <t>UPPSALA</t>
        </is>
      </c>
      <c r="F1014" t="inlineStr">
        <is>
          <t>Kyrkan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19345-2025</t>
        </is>
      </c>
      <c r="B1015" s="1" t="n">
        <v>45769.6009375</v>
      </c>
      <c r="C1015" s="1" t="n">
        <v>46033</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18410-2025</t>
        </is>
      </c>
      <c r="B1016" s="1" t="n">
        <v>45762.61341435185</v>
      </c>
      <c r="C1016" s="1" t="n">
        <v>46033</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8404-2022</t>
        </is>
      </c>
      <c r="B1017" s="1" t="n">
        <v>44610</v>
      </c>
      <c r="C1017" s="1" t="n">
        <v>46033</v>
      </c>
      <c r="D1017" t="inlineStr">
        <is>
          <t>UPPSALA LÄN</t>
        </is>
      </c>
      <c r="E1017" t="inlineStr">
        <is>
          <t>UPPSALA</t>
        </is>
      </c>
      <c r="F1017" t="inlineStr">
        <is>
          <t>Allmännings- och besparingsskogar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23291-2024</t>
        </is>
      </c>
      <c r="B1018" s="1" t="n">
        <v>45453</v>
      </c>
      <c r="C1018" s="1" t="n">
        <v>46033</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59562-2024</t>
        </is>
      </c>
      <c r="B1019" s="1" t="n">
        <v>45638</v>
      </c>
      <c r="C1019" s="1" t="n">
        <v>46033</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20797-2025</t>
        </is>
      </c>
      <c r="B1020" s="1" t="n">
        <v>45776.6415162037</v>
      </c>
      <c r="C1020" s="1" t="n">
        <v>46033</v>
      </c>
      <c r="D1020" t="inlineStr">
        <is>
          <t>UPPSALA LÄN</t>
        </is>
      </c>
      <c r="E1020" t="inlineStr">
        <is>
          <t>UPPSALA</t>
        </is>
      </c>
      <c r="F1020" t="inlineStr">
        <is>
          <t>Kommuner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33667-2024</t>
        </is>
      </c>
      <c r="B1021" s="1" t="n">
        <v>45520</v>
      </c>
      <c r="C1021" s="1" t="n">
        <v>46033</v>
      </c>
      <c r="D1021" t="inlineStr">
        <is>
          <t>UPPSALA LÄN</t>
        </is>
      </c>
      <c r="E1021" t="inlineStr">
        <is>
          <t>UPPSALA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20888-2025</t>
        </is>
      </c>
      <c r="B1022" s="1" t="n">
        <v>45777.37119212963</v>
      </c>
      <c r="C1022" s="1" t="n">
        <v>46033</v>
      </c>
      <c r="D1022" t="inlineStr">
        <is>
          <t>UPPSALA LÄN</t>
        </is>
      </c>
      <c r="E1022" t="inlineStr">
        <is>
          <t>UPPSALA</t>
        </is>
      </c>
      <c r="F1022" t="inlineStr">
        <is>
          <t>Övriga statliga verk och myndigheter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20928-2025</t>
        </is>
      </c>
      <c r="B1023" s="1" t="n">
        <v>45777</v>
      </c>
      <c r="C1023" s="1" t="n">
        <v>46033</v>
      </c>
      <c r="D1023" t="inlineStr">
        <is>
          <t>UPPSALA LÄN</t>
        </is>
      </c>
      <c r="E1023" t="inlineStr">
        <is>
          <t>UPPSALA</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29815-2023</t>
        </is>
      </c>
      <c r="B1024" s="1" t="n">
        <v>45107.55574074074</v>
      </c>
      <c r="C1024" s="1" t="n">
        <v>46033</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20686-2025</t>
        </is>
      </c>
      <c r="B1025" s="1" t="n">
        <v>45776.45263888889</v>
      </c>
      <c r="C1025" s="1" t="n">
        <v>46033</v>
      </c>
      <c r="D1025" t="inlineStr">
        <is>
          <t>UPPSALA LÄN</t>
        </is>
      </c>
      <c r="E1025" t="inlineStr">
        <is>
          <t>UPPSALA</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21033-2025</t>
        </is>
      </c>
      <c r="B1026" s="1" t="n">
        <v>45777.52655092593</v>
      </c>
      <c r="C1026" s="1" t="n">
        <v>46033</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20874-2025</t>
        </is>
      </c>
      <c r="B1027" s="1" t="n">
        <v>45777.34894675926</v>
      </c>
      <c r="C1027" s="1" t="n">
        <v>46033</v>
      </c>
      <c r="D1027" t="inlineStr">
        <is>
          <t>UPPSALA LÄN</t>
        </is>
      </c>
      <c r="E1027" t="inlineStr">
        <is>
          <t>UPPSALA</t>
        </is>
      </c>
      <c r="F1027" t="inlineStr">
        <is>
          <t>Övriga Aktiebolag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44847-2024</t>
        </is>
      </c>
      <c r="B1028" s="1" t="n">
        <v>45574</v>
      </c>
      <c r="C1028" s="1" t="n">
        <v>46033</v>
      </c>
      <c r="D1028" t="inlineStr">
        <is>
          <t>UPPSALA LÄN</t>
        </is>
      </c>
      <c r="E1028" t="inlineStr">
        <is>
          <t>UPPSALA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20703-2025</t>
        </is>
      </c>
      <c r="B1029" s="1" t="n">
        <v>45776.48275462963</v>
      </c>
      <c r="C1029" s="1" t="n">
        <v>46033</v>
      </c>
      <c r="D1029" t="inlineStr">
        <is>
          <t>UPPSALA LÄN</t>
        </is>
      </c>
      <c r="E1029" t="inlineStr">
        <is>
          <t>UPPSALA</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20712-2025</t>
        </is>
      </c>
      <c r="B1030" s="1" t="n">
        <v>45776</v>
      </c>
      <c r="C1030" s="1" t="n">
        <v>46033</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20858-2025</t>
        </is>
      </c>
      <c r="B1031" s="1" t="n">
        <v>45777.32731481481</v>
      </c>
      <c r="C1031" s="1" t="n">
        <v>46033</v>
      </c>
      <c r="D1031" t="inlineStr">
        <is>
          <t>UPPSALA LÄN</t>
        </is>
      </c>
      <c r="E1031" t="inlineStr">
        <is>
          <t>UPPSALA</t>
        </is>
      </c>
      <c r="F1031" t="inlineStr">
        <is>
          <t>Övriga Aktiebolag</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21217-2025</t>
        </is>
      </c>
      <c r="B1032" s="1" t="n">
        <v>45779.49085648148</v>
      </c>
      <c r="C1032" s="1" t="n">
        <v>46033</v>
      </c>
      <c r="D1032" t="inlineStr">
        <is>
          <t>UPPSALA LÄN</t>
        </is>
      </c>
      <c r="E1032" t="inlineStr">
        <is>
          <t>UPPSALA</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21281-2025</t>
        </is>
      </c>
      <c r="B1033" s="1" t="n">
        <v>45779.6665162037</v>
      </c>
      <c r="C1033" s="1" t="n">
        <v>46033</v>
      </c>
      <c r="D1033" t="inlineStr">
        <is>
          <t>UPPSALA LÄN</t>
        </is>
      </c>
      <c r="E1033" t="inlineStr">
        <is>
          <t>UPPSALA</t>
        </is>
      </c>
      <c r="F1033" t="inlineStr">
        <is>
          <t>Övriga Aktiebolag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21279-2025</t>
        </is>
      </c>
      <c r="B1034" s="1" t="n">
        <v>45779.65787037037</v>
      </c>
      <c r="C1034" s="1" t="n">
        <v>46033</v>
      </c>
      <c r="D1034" t="inlineStr">
        <is>
          <t>UPPSALA LÄN</t>
        </is>
      </c>
      <c r="E1034" t="inlineStr">
        <is>
          <t>UPPSALA</t>
        </is>
      </c>
      <c r="F1034" t="inlineStr">
        <is>
          <t>Övriga Aktiebolag</t>
        </is>
      </c>
      <c r="G1034" t="n">
        <v>0.8</v>
      </c>
      <c r="H1034" t="n">
        <v>0</v>
      </c>
      <c r="I1034" t="n">
        <v>0</v>
      </c>
      <c r="J1034" t="n">
        <v>0</v>
      </c>
      <c r="K1034" t="n">
        <v>0</v>
      </c>
      <c r="L1034" t="n">
        <v>0</v>
      </c>
      <c r="M1034" t="n">
        <v>0</v>
      </c>
      <c r="N1034" t="n">
        <v>0</v>
      </c>
      <c r="O1034" t="n">
        <v>0</v>
      </c>
      <c r="P1034" t="n">
        <v>0</v>
      </c>
      <c r="Q1034" t="n">
        <v>0</v>
      </c>
      <c r="R1034" s="2" t="inlineStr"/>
    </row>
    <row r="1035">
      <c r="A1035" t="inlineStr">
        <is>
          <t>A 21748-2025</t>
        </is>
      </c>
      <c r="B1035" s="1" t="n">
        <v>45783.61053240741</v>
      </c>
      <c r="C1035" s="1" t="n">
        <v>46033</v>
      </c>
      <c r="D1035" t="inlineStr">
        <is>
          <t>UPPSALA LÄN</t>
        </is>
      </c>
      <c r="E1035" t="inlineStr">
        <is>
          <t>UPPSALA</t>
        </is>
      </c>
      <c r="G1035" t="n">
        <v>1.3</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2026-01-11T10:53:53Z</dcterms:created>
  <dcterms:modified xmlns:dcterms="http://purl.org/dc/terms/" xmlns:xsi="http://www.w3.org/2001/XMLSchema-instance" xsi:type="dcterms:W3CDTF">2026-01-11T10:53:54Z</dcterms:modified>
</cp:coreProperties>
</file>