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45987</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45987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45987</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45987</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45987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45987</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45987</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45987</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45987</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45987</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45987</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45987</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45987</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45987</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45987</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45987</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45987</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25651-2025</t>
        </is>
      </c>
      <c r="B25" s="1" t="n">
        <v>45803.61035879629</v>
      </c>
      <c r="C25" s="1" t="n">
        <v>45987</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45987</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28450-2021</t>
        </is>
      </c>
      <c r="B27" s="1" t="n">
        <v>44356</v>
      </c>
      <c r="C27" s="1" t="n">
        <v>45987</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45987</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26460-2023</t>
        </is>
      </c>
      <c r="B29" s="1" t="n">
        <v>45092</v>
      </c>
      <c r="C29" s="1" t="n">
        <v>45987</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61014-2021</t>
        </is>
      </c>
      <c r="B30" s="1" t="n">
        <v>44497</v>
      </c>
      <c r="C30" s="1" t="n">
        <v>45987</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25608-2025</t>
        </is>
      </c>
      <c r="B31" s="1" t="n">
        <v>45803.55535879629</v>
      </c>
      <c r="C31" s="1" t="n">
        <v>45987</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21674-2024</t>
        </is>
      </c>
      <c r="B32" s="1" t="n">
        <v>45442</v>
      </c>
      <c r="C32" s="1" t="n">
        <v>45987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34459-2022</t>
        </is>
      </c>
      <c r="B33" s="1" t="n">
        <v>44792</v>
      </c>
      <c r="C33" s="1" t="n">
        <v>45987</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45987</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45987</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45987</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45987</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45987</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21809-2024</t>
        </is>
      </c>
      <c r="B39" s="1" t="n">
        <v>45442</v>
      </c>
      <c r="C39" s="1" t="n">
        <v>45987</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45987</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45987</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13546-2025</t>
        </is>
      </c>
      <c r="B42" s="1" t="n">
        <v>45736.53695601852</v>
      </c>
      <c r="C42" s="1" t="n">
        <v>45987</v>
      </c>
      <c r="D42" t="inlineStr">
        <is>
          <t>UPPSALA LÄN</t>
        </is>
      </c>
      <c r="E42" t="inlineStr">
        <is>
          <t>UPPSALA</t>
        </is>
      </c>
      <c r="F42" t="inlineStr">
        <is>
          <t>Allmännings- och besparingsskogar</t>
        </is>
      </c>
      <c r="G42" t="n">
        <v>3.7</v>
      </c>
      <c r="H42" t="n">
        <v>1</v>
      </c>
      <c r="I42" t="n">
        <v>3</v>
      </c>
      <c r="J42" t="n">
        <v>1</v>
      </c>
      <c r="K42" t="n">
        <v>0</v>
      </c>
      <c r="L42" t="n">
        <v>0</v>
      </c>
      <c r="M42" t="n">
        <v>0</v>
      </c>
      <c r="N42" t="n">
        <v>0</v>
      </c>
      <c r="O42" t="n">
        <v>1</v>
      </c>
      <c r="P42" t="n">
        <v>0</v>
      </c>
      <c r="Q42" t="n">
        <v>5</v>
      </c>
      <c r="R42" s="2" t="inlineStr">
        <is>
          <t>Ullticka
Bronshjon
Thomsons trägnagare
Vanlig flatbagge
Blåsippa</t>
        </is>
      </c>
      <c r="S42">
        <f>HYPERLINK("https://klasma.github.io/Logging_0380/artfynd/A 13546-2025 artfynd.xlsx", "A 13546-2025")</f>
        <v/>
      </c>
      <c r="T42">
        <f>HYPERLINK("https://klasma.github.io/Logging_0380/kartor/A 13546-2025 karta.png", "A 13546-2025")</f>
        <v/>
      </c>
      <c r="V42">
        <f>HYPERLINK("https://klasma.github.io/Logging_0380/klagomål/A 13546-2025 FSC-klagomål.docx", "A 13546-2025")</f>
        <v/>
      </c>
      <c r="W42">
        <f>HYPERLINK("https://klasma.github.io/Logging_0380/klagomålsmail/A 13546-2025 FSC-klagomål mail.docx", "A 13546-2025")</f>
        <v/>
      </c>
      <c r="X42">
        <f>HYPERLINK("https://klasma.github.io/Logging_0380/tillsyn/A 13546-2025 tillsynsbegäran.docx", "A 13546-2025")</f>
        <v/>
      </c>
      <c r="Y42">
        <f>HYPERLINK("https://klasma.github.io/Logging_0380/tillsynsmail/A 13546-2025 tillsynsbegäran mail.docx", "A 13546-2025")</f>
        <v/>
      </c>
    </row>
    <row r="43" ht="15" customHeight="1">
      <c r="A43" t="inlineStr">
        <is>
          <t>A 3100-2024</t>
        </is>
      </c>
      <c r="B43" s="1" t="n">
        <v>45316</v>
      </c>
      <c r="C43" s="1" t="n">
        <v>45987</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27625-2023</t>
        </is>
      </c>
      <c r="B44" s="1" t="n">
        <v>45097</v>
      </c>
      <c r="C44" s="1" t="n">
        <v>45987</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45987</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45987</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45987</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45987</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45987</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45987</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45987</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45987</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45987</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45987</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45987</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43280-2025</t>
        </is>
      </c>
      <c r="B56" s="1" t="n">
        <v>45910.59475694445</v>
      </c>
      <c r="C56" s="1" t="n">
        <v>45987</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45987</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45627-2025</t>
        </is>
      </c>
      <c r="B58" s="1" t="n">
        <v>45922.80255787037</v>
      </c>
      <c r="C58" s="1" t="n">
        <v>45987</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55788-2025</t>
        </is>
      </c>
      <c r="B59" s="1" t="n">
        <v>45972.64483796297</v>
      </c>
      <c r="C59" s="1" t="n">
        <v>45987</v>
      </c>
      <c r="D59" t="inlineStr">
        <is>
          <t>UPPSALA LÄN</t>
        </is>
      </c>
      <c r="E59" t="inlineStr">
        <is>
          <t>UPPSALA</t>
        </is>
      </c>
      <c r="F59" t="inlineStr">
        <is>
          <t>Holmen skog AB</t>
        </is>
      </c>
      <c r="G59" t="n">
        <v>6.9</v>
      </c>
      <c r="H59" t="n">
        <v>3</v>
      </c>
      <c r="I59" t="n">
        <v>0</v>
      </c>
      <c r="J59" t="n">
        <v>1</v>
      </c>
      <c r="K59" t="n">
        <v>0</v>
      </c>
      <c r="L59" t="n">
        <v>0</v>
      </c>
      <c r="M59" t="n">
        <v>0</v>
      </c>
      <c r="N59" t="n">
        <v>0</v>
      </c>
      <c r="O59" t="n">
        <v>1</v>
      </c>
      <c r="P59" t="n">
        <v>0</v>
      </c>
      <c r="Q59" t="n">
        <v>3</v>
      </c>
      <c r="R59" s="2" t="inlineStr">
        <is>
          <t>Talltita
Kungsfågel
Gullviva</t>
        </is>
      </c>
      <c r="S59">
        <f>HYPERLINK("https://klasma.github.io/Logging_0380/artfynd/A 55788-2025 artfynd.xlsx", "A 55788-2025")</f>
        <v/>
      </c>
      <c r="T59">
        <f>HYPERLINK("https://klasma.github.io/Logging_0380/kartor/A 55788-2025 karta.png", "A 55788-2025")</f>
        <v/>
      </c>
      <c r="V59">
        <f>HYPERLINK("https://klasma.github.io/Logging_0380/klagomål/A 55788-2025 FSC-klagomål.docx", "A 55788-2025")</f>
        <v/>
      </c>
      <c r="W59">
        <f>HYPERLINK("https://klasma.github.io/Logging_0380/klagomålsmail/A 55788-2025 FSC-klagomål mail.docx", "A 55788-2025")</f>
        <v/>
      </c>
      <c r="X59">
        <f>HYPERLINK("https://klasma.github.io/Logging_0380/tillsyn/A 55788-2025 tillsynsbegäran.docx", "A 55788-2025")</f>
        <v/>
      </c>
      <c r="Y59">
        <f>HYPERLINK("https://klasma.github.io/Logging_0380/tillsynsmail/A 55788-2025 tillsynsbegäran mail.docx", "A 55788-2025")</f>
        <v/>
      </c>
      <c r="Z59">
        <f>HYPERLINK("https://klasma.github.io/Logging_0380/fåglar/A 55788-2025 prioriterade fågelarter.docx", "A 55788-2025")</f>
        <v/>
      </c>
    </row>
    <row r="60" ht="15" customHeight="1">
      <c r="A60" t="inlineStr">
        <is>
          <t>A 17277-2023</t>
        </is>
      </c>
      <c r="B60" s="1" t="n">
        <v>45035.44672453704</v>
      </c>
      <c r="C60" s="1" t="n">
        <v>45987</v>
      </c>
      <c r="D60" t="inlineStr">
        <is>
          <t>UPPSALA LÄN</t>
        </is>
      </c>
      <c r="E60" t="inlineStr">
        <is>
          <t>UPPSALA</t>
        </is>
      </c>
      <c r="F60" t="inlineStr">
        <is>
          <t>Övriga Aktiebolag</t>
        </is>
      </c>
      <c r="G60" t="n">
        <v>6.1</v>
      </c>
      <c r="H60" t="n">
        <v>3</v>
      </c>
      <c r="I60" t="n">
        <v>0</v>
      </c>
      <c r="J60" t="n">
        <v>2</v>
      </c>
      <c r="K60" t="n">
        <v>0</v>
      </c>
      <c r="L60" t="n">
        <v>0</v>
      </c>
      <c r="M60" t="n">
        <v>0</v>
      </c>
      <c r="N60" t="n">
        <v>0</v>
      </c>
      <c r="O60" t="n">
        <v>2</v>
      </c>
      <c r="P60" t="n">
        <v>0</v>
      </c>
      <c r="Q60" t="n">
        <v>3</v>
      </c>
      <c r="R60" s="2" t="inlineStr">
        <is>
          <t>Duvhök
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18079-2022</t>
        </is>
      </c>
      <c r="B61" s="1" t="n">
        <v>44684</v>
      </c>
      <c r="C61" s="1" t="n">
        <v>45987</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60038-2021</t>
        </is>
      </c>
      <c r="B62" s="1" t="n">
        <v>44495</v>
      </c>
      <c r="C62" s="1" t="n">
        <v>45987</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36471-2022</t>
        </is>
      </c>
      <c r="B63" s="1" t="n">
        <v>44804</v>
      </c>
      <c r="C63" s="1" t="n">
        <v>45987</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45987</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51749-2023</t>
        </is>
      </c>
      <c r="B65" s="1" t="n">
        <v>45222</v>
      </c>
      <c r="C65" s="1" t="n">
        <v>45987</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25660-2025</t>
        </is>
      </c>
      <c r="B66" s="1" t="n">
        <v>45803.61554398148</v>
      </c>
      <c r="C66" s="1" t="n">
        <v>45987</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9401-2025</t>
        </is>
      </c>
      <c r="B67" s="1" t="n">
        <v>45715.38105324074</v>
      </c>
      <c r="C67" s="1" t="n">
        <v>45987</v>
      </c>
      <c r="D67" t="inlineStr">
        <is>
          <t>UPPSALA LÄN</t>
        </is>
      </c>
      <c r="E67" t="inlineStr">
        <is>
          <t>UPPSALA</t>
        </is>
      </c>
      <c r="G67" t="n">
        <v>3.1</v>
      </c>
      <c r="H67" t="n">
        <v>2</v>
      </c>
      <c r="I67" t="n">
        <v>0</v>
      </c>
      <c r="J67" t="n">
        <v>0</v>
      </c>
      <c r="K67" t="n">
        <v>0</v>
      </c>
      <c r="L67" t="n">
        <v>0</v>
      </c>
      <c r="M67" t="n">
        <v>0</v>
      </c>
      <c r="N67" t="n">
        <v>0</v>
      </c>
      <c r="O67" t="n">
        <v>0</v>
      </c>
      <c r="P67" t="n">
        <v>0</v>
      </c>
      <c r="Q67" t="n">
        <v>2</v>
      </c>
      <c r="R67" s="2" t="inlineStr">
        <is>
          <t>Vanlig padda
Blåsippa</t>
        </is>
      </c>
      <c r="S67">
        <f>HYPERLINK("https://klasma.github.io/Logging_0380/artfynd/A 9401-2025 artfynd.xlsx", "A 9401-2025")</f>
        <v/>
      </c>
      <c r="T67">
        <f>HYPERLINK("https://klasma.github.io/Logging_0380/kartor/A 9401-2025 karta.png", "A 9401-2025")</f>
        <v/>
      </c>
      <c r="V67">
        <f>HYPERLINK("https://klasma.github.io/Logging_0380/klagomål/A 9401-2025 FSC-klagomål.docx", "A 9401-2025")</f>
        <v/>
      </c>
      <c r="W67">
        <f>HYPERLINK("https://klasma.github.io/Logging_0380/klagomålsmail/A 9401-2025 FSC-klagomål mail.docx", "A 9401-2025")</f>
        <v/>
      </c>
      <c r="X67">
        <f>HYPERLINK("https://klasma.github.io/Logging_0380/tillsyn/A 9401-2025 tillsynsbegäran.docx", "A 9401-2025")</f>
        <v/>
      </c>
      <c r="Y67">
        <f>HYPERLINK("https://klasma.github.io/Logging_0380/tillsynsmail/A 9401-2025 tillsynsbegäran mail.docx", "A 9401-2025")</f>
        <v/>
      </c>
    </row>
    <row r="68" ht="15" customHeight="1">
      <c r="A68" t="inlineStr">
        <is>
          <t>A 41921-2025</t>
        </is>
      </c>
      <c r="B68" s="1" t="n">
        <v>45903</v>
      </c>
      <c r="C68" s="1" t="n">
        <v>45987</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52503-2025</t>
        </is>
      </c>
      <c r="B69" s="1" t="n">
        <v>45954.49768518518</v>
      </c>
      <c r="C69" s="1" t="n">
        <v>45987</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58906-2021</t>
        </is>
      </c>
      <c r="B70" s="1" t="n">
        <v>44489</v>
      </c>
      <c r="C70" s="1" t="n">
        <v>45987</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33708-2025</t>
        </is>
      </c>
      <c r="B71" s="1" t="n">
        <v>45841.81555555556</v>
      </c>
      <c r="C71" s="1" t="n">
        <v>45987</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18425-2025</t>
        </is>
      </c>
      <c r="B72" s="1" t="n">
        <v>45762.62260416667</v>
      </c>
      <c r="C72" s="1" t="n">
        <v>45987</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44675-2023</t>
        </is>
      </c>
      <c r="B73" s="1" t="n">
        <v>45189</v>
      </c>
      <c r="C73" s="1" t="n">
        <v>45987</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39933-2023</t>
        </is>
      </c>
      <c r="B74" s="1" t="n">
        <v>45168.50667824074</v>
      </c>
      <c r="C74" s="1" t="n">
        <v>45987</v>
      </c>
      <c r="D74" t="inlineStr">
        <is>
          <t>UPPSALA LÄN</t>
        </is>
      </c>
      <c r="E74" t="inlineStr">
        <is>
          <t>UPPSALA</t>
        </is>
      </c>
      <c r="F74" t="inlineStr">
        <is>
          <t>Holmen skog AB</t>
        </is>
      </c>
      <c r="G74" t="n">
        <v>6.3</v>
      </c>
      <c r="H74" t="n">
        <v>2</v>
      </c>
      <c r="I74" t="n">
        <v>0</v>
      </c>
      <c r="J74" t="n">
        <v>2</v>
      </c>
      <c r="K74" t="n">
        <v>0</v>
      </c>
      <c r="L74" t="n">
        <v>0</v>
      </c>
      <c r="M74" t="n">
        <v>0</v>
      </c>
      <c r="N74" t="n">
        <v>0</v>
      </c>
      <c r="O74" t="n">
        <v>2</v>
      </c>
      <c r="P74" t="n">
        <v>0</v>
      </c>
      <c r="Q74" t="n">
        <v>2</v>
      </c>
      <c r="R74" s="2" t="inlineStr">
        <is>
          <t>Entita
Spillkråka</t>
        </is>
      </c>
      <c r="S74">
        <f>HYPERLINK("https://klasma.github.io/Logging_0380/artfynd/A 39933-2023 artfynd.xlsx", "A 39933-2023")</f>
        <v/>
      </c>
      <c r="T74">
        <f>HYPERLINK("https://klasma.github.io/Logging_0380/kartor/A 39933-2023 karta.png", "A 39933-2023")</f>
        <v/>
      </c>
      <c r="V74">
        <f>HYPERLINK("https://klasma.github.io/Logging_0380/klagomål/A 39933-2023 FSC-klagomål.docx", "A 39933-2023")</f>
        <v/>
      </c>
      <c r="W74">
        <f>HYPERLINK("https://klasma.github.io/Logging_0380/klagomålsmail/A 39933-2023 FSC-klagomål mail.docx", "A 39933-2023")</f>
        <v/>
      </c>
      <c r="X74">
        <f>HYPERLINK("https://klasma.github.io/Logging_0380/tillsyn/A 39933-2023 tillsynsbegäran.docx", "A 39933-2023")</f>
        <v/>
      </c>
      <c r="Y74">
        <f>HYPERLINK("https://klasma.github.io/Logging_0380/tillsynsmail/A 39933-2023 tillsynsbegäran mail.docx", "A 39933-2023")</f>
        <v/>
      </c>
      <c r="Z74">
        <f>HYPERLINK("https://klasma.github.io/Logging_0380/fåglar/A 39933-2023 prioriterade fågelarter.docx", "A 39933-2023")</f>
        <v/>
      </c>
    </row>
    <row r="75" ht="15" customHeight="1">
      <c r="A75" t="inlineStr">
        <is>
          <t>A 57715-2025</t>
        </is>
      </c>
      <c r="B75" s="1" t="n">
        <v>45981</v>
      </c>
      <c r="C75" s="1" t="n">
        <v>45987</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88-2024</t>
        </is>
      </c>
      <c r="B76" s="1" t="n">
        <v>45293</v>
      </c>
      <c r="C76" s="1" t="n">
        <v>45987</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6998-2023</t>
        </is>
      </c>
      <c r="B77" s="1" t="n">
        <v>44967</v>
      </c>
      <c r="C77" s="1" t="n">
        <v>45987</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45987</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8865-2022</t>
        </is>
      </c>
      <c r="B79" s="1" t="n">
        <v>44614</v>
      </c>
      <c r="C79" s="1" t="n">
        <v>45987</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45987</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45987</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5750-2023</t>
        </is>
      </c>
      <c r="B82" s="1" t="n">
        <v>44963</v>
      </c>
      <c r="C82" s="1" t="n">
        <v>45987</v>
      </c>
      <c r="D82" t="inlineStr">
        <is>
          <t>UPPSALA LÄN</t>
        </is>
      </c>
      <c r="E82" t="inlineStr">
        <is>
          <t>UPPSALA</t>
        </is>
      </c>
      <c r="G82" t="n">
        <v>13.8</v>
      </c>
      <c r="H82" t="n">
        <v>0</v>
      </c>
      <c r="I82" t="n">
        <v>0</v>
      </c>
      <c r="J82" t="n">
        <v>0</v>
      </c>
      <c r="K82" t="n">
        <v>1</v>
      </c>
      <c r="L82" t="n">
        <v>0</v>
      </c>
      <c r="M82" t="n">
        <v>0</v>
      </c>
      <c r="N82" t="n">
        <v>0</v>
      </c>
      <c r="O82" t="n">
        <v>1</v>
      </c>
      <c r="P82" t="n">
        <v>1</v>
      </c>
      <c r="Q82" t="n">
        <v>1</v>
      </c>
      <c r="R82" s="2" t="inlineStr">
        <is>
          <t>Raggbock</t>
        </is>
      </c>
      <c r="S82">
        <f>HYPERLINK("https://klasma.github.io/Logging_0380/artfynd/A 5750-2023 artfynd.xlsx", "A 5750-2023")</f>
        <v/>
      </c>
      <c r="T82">
        <f>HYPERLINK("https://klasma.github.io/Logging_0380/kartor/A 5750-2023 karta.png", "A 5750-2023")</f>
        <v/>
      </c>
      <c r="V82">
        <f>HYPERLINK("https://klasma.github.io/Logging_0380/klagomål/A 5750-2023 FSC-klagomål.docx", "A 5750-2023")</f>
        <v/>
      </c>
      <c r="W82">
        <f>HYPERLINK("https://klasma.github.io/Logging_0380/klagomålsmail/A 5750-2023 FSC-klagomål mail.docx", "A 5750-2023")</f>
        <v/>
      </c>
      <c r="X82">
        <f>HYPERLINK("https://klasma.github.io/Logging_0380/tillsyn/A 5750-2023 tillsynsbegäran.docx", "A 5750-2023")</f>
        <v/>
      </c>
      <c r="Y82">
        <f>HYPERLINK("https://klasma.github.io/Logging_0380/tillsynsmail/A 5750-2023 tillsynsbegäran mail.docx", "A 5750-2023")</f>
        <v/>
      </c>
    </row>
    <row r="83" ht="15" customHeight="1">
      <c r="A83" t="inlineStr">
        <is>
          <t>A 25729-2024</t>
        </is>
      </c>
      <c r="B83" s="1" t="n">
        <v>45464</v>
      </c>
      <c r="C83" s="1" t="n">
        <v>45987</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45987</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45987</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45987</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27848-2023</t>
        </is>
      </c>
      <c r="B87" s="1" t="n">
        <v>45098</v>
      </c>
      <c r="C87" s="1" t="n">
        <v>45987</v>
      </c>
      <c r="D87" t="inlineStr">
        <is>
          <t>UPPSALA LÄN</t>
        </is>
      </c>
      <c r="E87" t="inlineStr">
        <is>
          <t>UPPSALA</t>
        </is>
      </c>
      <c r="G87" t="n">
        <v>14.3</v>
      </c>
      <c r="H87" t="n">
        <v>0</v>
      </c>
      <c r="I87" t="n">
        <v>1</v>
      </c>
      <c r="J87" t="n">
        <v>0</v>
      </c>
      <c r="K87" t="n">
        <v>0</v>
      </c>
      <c r="L87" t="n">
        <v>0</v>
      </c>
      <c r="M87" t="n">
        <v>0</v>
      </c>
      <c r="N87" t="n">
        <v>0</v>
      </c>
      <c r="O87" t="n">
        <v>0</v>
      </c>
      <c r="P87" t="n">
        <v>0</v>
      </c>
      <c r="Q87" t="n">
        <v>1</v>
      </c>
      <c r="R87" s="2" t="inlineStr">
        <is>
          <t>Blåmossa</t>
        </is>
      </c>
      <c r="S87">
        <f>HYPERLINK("https://klasma.github.io/Logging_0380/artfynd/A 27848-2023 artfynd.xlsx", "A 27848-2023")</f>
        <v/>
      </c>
      <c r="T87">
        <f>HYPERLINK("https://klasma.github.io/Logging_0380/kartor/A 27848-2023 karta.png", "A 27848-2023")</f>
        <v/>
      </c>
      <c r="V87">
        <f>HYPERLINK("https://klasma.github.io/Logging_0380/klagomål/A 27848-2023 FSC-klagomål.docx", "A 27848-2023")</f>
        <v/>
      </c>
      <c r="W87">
        <f>HYPERLINK("https://klasma.github.io/Logging_0380/klagomålsmail/A 27848-2023 FSC-klagomål mail.docx", "A 27848-2023")</f>
        <v/>
      </c>
      <c r="X87">
        <f>HYPERLINK("https://klasma.github.io/Logging_0380/tillsyn/A 27848-2023 tillsynsbegäran.docx", "A 27848-2023")</f>
        <v/>
      </c>
      <c r="Y87">
        <f>HYPERLINK("https://klasma.github.io/Logging_0380/tillsynsmail/A 27848-2023 tillsynsbegäran mail.docx", "A 27848-2023")</f>
        <v/>
      </c>
    </row>
    <row r="88" ht="15" customHeight="1">
      <c r="A88" t="inlineStr">
        <is>
          <t>A 40568-2025</t>
        </is>
      </c>
      <c r="B88" s="1" t="n">
        <v>45896.47487268518</v>
      </c>
      <c r="C88" s="1" t="n">
        <v>45987</v>
      </c>
      <c r="D88" t="inlineStr">
        <is>
          <t>UPPSALA LÄN</t>
        </is>
      </c>
      <c r="E88" t="inlineStr">
        <is>
          <t>UPPSALA</t>
        </is>
      </c>
      <c r="F88" t="inlineStr">
        <is>
          <t>Kyrkan</t>
        </is>
      </c>
      <c r="G88" t="n">
        <v>2.1</v>
      </c>
      <c r="H88" t="n">
        <v>0</v>
      </c>
      <c r="I88" t="n">
        <v>1</v>
      </c>
      <c r="J88" t="n">
        <v>0</v>
      </c>
      <c r="K88" t="n">
        <v>0</v>
      </c>
      <c r="L88" t="n">
        <v>0</v>
      </c>
      <c r="M88" t="n">
        <v>0</v>
      </c>
      <c r="N88" t="n">
        <v>0</v>
      </c>
      <c r="O88" t="n">
        <v>0</v>
      </c>
      <c r="P88" t="n">
        <v>0</v>
      </c>
      <c r="Q88" t="n">
        <v>1</v>
      </c>
      <c r="R88" s="2" t="inlineStr">
        <is>
          <t>Rödgul trumpetsvamp</t>
        </is>
      </c>
      <c r="S88">
        <f>HYPERLINK("https://klasma.github.io/Logging_0380/artfynd/A 40568-2025 artfynd.xlsx", "A 40568-2025")</f>
        <v/>
      </c>
      <c r="T88">
        <f>HYPERLINK("https://klasma.github.io/Logging_0380/kartor/A 40568-2025 karta.png", "A 40568-2025")</f>
        <v/>
      </c>
      <c r="V88">
        <f>HYPERLINK("https://klasma.github.io/Logging_0380/klagomål/A 40568-2025 FSC-klagomål.docx", "A 40568-2025")</f>
        <v/>
      </c>
      <c r="W88">
        <f>HYPERLINK("https://klasma.github.io/Logging_0380/klagomålsmail/A 40568-2025 FSC-klagomål mail.docx", "A 40568-2025")</f>
        <v/>
      </c>
      <c r="X88">
        <f>HYPERLINK("https://klasma.github.io/Logging_0380/tillsyn/A 40568-2025 tillsynsbegäran.docx", "A 40568-2025")</f>
        <v/>
      </c>
      <c r="Y88">
        <f>HYPERLINK("https://klasma.github.io/Logging_0380/tillsynsmail/A 40568-2025 tillsynsbegäran mail.docx", "A 40568-2025")</f>
        <v/>
      </c>
    </row>
    <row r="89" ht="15" customHeight="1">
      <c r="A89" t="inlineStr">
        <is>
          <t>A 26923-2025</t>
        </is>
      </c>
      <c r="B89" s="1" t="n">
        <v>45811.38710648148</v>
      </c>
      <c r="C89" s="1" t="n">
        <v>45987</v>
      </c>
      <c r="D89" t="inlineStr">
        <is>
          <t>UPPSALA LÄN</t>
        </is>
      </c>
      <c r="E89" t="inlineStr">
        <is>
          <t>UPPSALA</t>
        </is>
      </c>
      <c r="F89" t="inlineStr">
        <is>
          <t>Kyrkan</t>
        </is>
      </c>
      <c r="G89" t="n">
        <v>9.800000000000001</v>
      </c>
      <c r="H89" t="n">
        <v>1</v>
      </c>
      <c r="I89" t="n">
        <v>0</v>
      </c>
      <c r="J89" t="n">
        <v>0</v>
      </c>
      <c r="K89" t="n">
        <v>0</v>
      </c>
      <c r="L89" t="n">
        <v>0</v>
      </c>
      <c r="M89" t="n">
        <v>0</v>
      </c>
      <c r="N89" t="n">
        <v>0</v>
      </c>
      <c r="O89" t="n">
        <v>0</v>
      </c>
      <c r="P89" t="n">
        <v>0</v>
      </c>
      <c r="Q89" t="n">
        <v>1</v>
      </c>
      <c r="R89" s="2" t="inlineStr">
        <is>
          <t>Fläcknycklar</t>
        </is>
      </c>
      <c r="S89">
        <f>HYPERLINK("https://klasma.github.io/Logging_0380/artfynd/A 26923-2025 artfynd.xlsx", "A 26923-2025")</f>
        <v/>
      </c>
      <c r="T89">
        <f>HYPERLINK("https://klasma.github.io/Logging_0380/kartor/A 26923-2025 karta.png", "A 26923-2025")</f>
        <v/>
      </c>
      <c r="V89">
        <f>HYPERLINK("https://klasma.github.io/Logging_0380/klagomål/A 26923-2025 FSC-klagomål.docx", "A 26923-2025")</f>
        <v/>
      </c>
      <c r="W89">
        <f>HYPERLINK("https://klasma.github.io/Logging_0380/klagomålsmail/A 26923-2025 FSC-klagomål mail.docx", "A 26923-2025")</f>
        <v/>
      </c>
      <c r="X89">
        <f>HYPERLINK("https://klasma.github.io/Logging_0380/tillsyn/A 26923-2025 tillsynsbegäran.docx", "A 26923-2025")</f>
        <v/>
      </c>
      <c r="Y89">
        <f>HYPERLINK("https://klasma.github.io/Logging_0380/tillsynsmail/A 26923-2025 tillsynsbegäran mail.docx", "A 26923-2025")</f>
        <v/>
      </c>
    </row>
    <row r="90" ht="15" customHeight="1">
      <c r="A90" t="inlineStr">
        <is>
          <t>A 3304-2025</t>
        </is>
      </c>
      <c r="B90" s="1" t="n">
        <v>45679</v>
      </c>
      <c r="C90" s="1" t="n">
        <v>45987</v>
      </c>
      <c r="D90" t="inlineStr">
        <is>
          <t>UPPSALA LÄN</t>
        </is>
      </c>
      <c r="E90" t="inlineStr">
        <is>
          <t>UPPSALA</t>
        </is>
      </c>
      <c r="F90" t="inlineStr">
        <is>
          <t>Övriga statliga verk och myndigheter</t>
        </is>
      </c>
      <c r="G90" t="n">
        <v>3.8</v>
      </c>
      <c r="H90" t="n">
        <v>1</v>
      </c>
      <c r="I90" t="n">
        <v>0</v>
      </c>
      <c r="J90" t="n">
        <v>0</v>
      </c>
      <c r="K90" t="n">
        <v>0</v>
      </c>
      <c r="L90" t="n">
        <v>0</v>
      </c>
      <c r="M90" t="n">
        <v>0</v>
      </c>
      <c r="N90" t="n">
        <v>0</v>
      </c>
      <c r="O90" t="n">
        <v>0</v>
      </c>
      <c r="P90" t="n">
        <v>0</v>
      </c>
      <c r="Q90" t="n">
        <v>1</v>
      </c>
      <c r="R90" s="2" t="inlineStr">
        <is>
          <t>Blåsippa</t>
        </is>
      </c>
      <c r="S90">
        <f>HYPERLINK("https://klasma.github.io/Logging_0380/artfynd/A 3304-2025 artfynd.xlsx", "A 3304-2025")</f>
        <v/>
      </c>
      <c r="T90">
        <f>HYPERLINK("https://klasma.github.io/Logging_0380/kartor/A 3304-2025 karta.png", "A 3304-2025")</f>
        <v/>
      </c>
      <c r="V90">
        <f>HYPERLINK("https://klasma.github.io/Logging_0380/klagomål/A 3304-2025 FSC-klagomål.docx", "A 3304-2025")</f>
        <v/>
      </c>
      <c r="W90">
        <f>HYPERLINK("https://klasma.github.io/Logging_0380/klagomålsmail/A 3304-2025 FSC-klagomål mail.docx", "A 3304-2025")</f>
        <v/>
      </c>
      <c r="X90">
        <f>HYPERLINK("https://klasma.github.io/Logging_0380/tillsyn/A 3304-2025 tillsynsbegäran.docx", "A 3304-2025")</f>
        <v/>
      </c>
      <c r="Y90">
        <f>HYPERLINK("https://klasma.github.io/Logging_0380/tillsynsmail/A 3304-2025 tillsynsbegäran mail.docx", "A 3304-2025")</f>
        <v/>
      </c>
    </row>
    <row r="91" ht="15" customHeight="1">
      <c r="A91" t="inlineStr">
        <is>
          <t>A 16761-2022</t>
        </is>
      </c>
      <c r="B91" s="1" t="n">
        <v>44673.47858796296</v>
      </c>
      <c r="C91" s="1" t="n">
        <v>45987</v>
      </c>
      <c r="D91" t="inlineStr">
        <is>
          <t>UPPSALA LÄN</t>
        </is>
      </c>
      <c r="E91" t="inlineStr">
        <is>
          <t>UPPSALA</t>
        </is>
      </c>
      <c r="G91" t="n">
        <v>0.6</v>
      </c>
      <c r="H91" t="n">
        <v>1</v>
      </c>
      <c r="I91" t="n">
        <v>0</v>
      </c>
      <c r="J91" t="n">
        <v>0</v>
      </c>
      <c r="K91" t="n">
        <v>0</v>
      </c>
      <c r="L91" t="n">
        <v>0</v>
      </c>
      <c r="M91" t="n">
        <v>0</v>
      </c>
      <c r="N91" t="n">
        <v>0</v>
      </c>
      <c r="O91" t="n">
        <v>0</v>
      </c>
      <c r="P91" t="n">
        <v>0</v>
      </c>
      <c r="Q91" t="n">
        <v>1</v>
      </c>
      <c r="R91" s="2" t="inlineStr">
        <is>
          <t>Trädlärka</t>
        </is>
      </c>
      <c r="S91">
        <f>HYPERLINK("https://klasma.github.io/Logging_0380/artfynd/A 16761-2022 artfynd.xlsx", "A 16761-2022")</f>
        <v/>
      </c>
      <c r="T91">
        <f>HYPERLINK("https://klasma.github.io/Logging_0380/kartor/A 16761-2022 karta.png", "A 16761-2022")</f>
        <v/>
      </c>
      <c r="V91">
        <f>HYPERLINK("https://klasma.github.io/Logging_0380/klagomål/A 16761-2022 FSC-klagomål.docx", "A 16761-2022")</f>
        <v/>
      </c>
      <c r="W91">
        <f>HYPERLINK("https://klasma.github.io/Logging_0380/klagomålsmail/A 16761-2022 FSC-klagomål mail.docx", "A 16761-2022")</f>
        <v/>
      </c>
      <c r="X91">
        <f>HYPERLINK("https://klasma.github.io/Logging_0380/tillsyn/A 16761-2022 tillsynsbegäran.docx", "A 16761-2022")</f>
        <v/>
      </c>
      <c r="Y91">
        <f>HYPERLINK("https://klasma.github.io/Logging_0380/tillsynsmail/A 16761-2022 tillsynsbegäran mail.docx", "A 16761-2022")</f>
        <v/>
      </c>
      <c r="Z91">
        <f>HYPERLINK("https://klasma.github.io/Logging_0380/fåglar/A 16761-2022 prioriterade fågelarter.docx", "A 16761-2022")</f>
        <v/>
      </c>
    </row>
    <row r="92" ht="15" customHeight="1">
      <c r="A92" t="inlineStr">
        <is>
          <t>A 28299-2025</t>
        </is>
      </c>
      <c r="B92" s="1" t="n">
        <v>45818.60254629629</v>
      </c>
      <c r="C92" s="1" t="n">
        <v>45987</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27824-2025</t>
        </is>
      </c>
      <c r="B93" s="1" t="n">
        <v>45817.34614583333</v>
      </c>
      <c r="C93" s="1" t="n">
        <v>45987</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41606-2025</t>
        </is>
      </c>
      <c r="B94" s="1" t="n">
        <v>45901.66702546296</v>
      </c>
      <c r="C94" s="1" t="n">
        <v>45987</v>
      </c>
      <c r="D94" t="inlineStr">
        <is>
          <t>UPPSALA LÄN</t>
        </is>
      </c>
      <c r="E94" t="inlineStr">
        <is>
          <t>UPPSALA</t>
        </is>
      </c>
      <c r="G94" t="n">
        <v>5.1</v>
      </c>
      <c r="H94" t="n">
        <v>0</v>
      </c>
      <c r="I94" t="n">
        <v>1</v>
      </c>
      <c r="J94" t="n">
        <v>0</v>
      </c>
      <c r="K94" t="n">
        <v>0</v>
      </c>
      <c r="L94" t="n">
        <v>0</v>
      </c>
      <c r="M94" t="n">
        <v>0</v>
      </c>
      <c r="N94" t="n">
        <v>0</v>
      </c>
      <c r="O94" t="n">
        <v>0</v>
      </c>
      <c r="P94" t="n">
        <v>0</v>
      </c>
      <c r="Q94" t="n">
        <v>1</v>
      </c>
      <c r="R94" s="2" t="inlineStr">
        <is>
          <t>Granbräken</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28056-2025</t>
        </is>
      </c>
      <c r="B95" s="1" t="n">
        <v>45817</v>
      </c>
      <c r="C95" s="1" t="n">
        <v>45987</v>
      </c>
      <c r="D95" t="inlineStr">
        <is>
          <t>UPPSALA LÄN</t>
        </is>
      </c>
      <c r="E95" t="inlineStr">
        <is>
          <t>UPPSALA</t>
        </is>
      </c>
      <c r="G95" t="n">
        <v>19.3</v>
      </c>
      <c r="H95" t="n">
        <v>1</v>
      </c>
      <c r="I95" t="n">
        <v>0</v>
      </c>
      <c r="J95" t="n">
        <v>0</v>
      </c>
      <c r="K95" t="n">
        <v>1</v>
      </c>
      <c r="L95" t="n">
        <v>0</v>
      </c>
      <c r="M95" t="n">
        <v>0</v>
      </c>
      <c r="N95" t="n">
        <v>0</v>
      </c>
      <c r="O95" t="n">
        <v>1</v>
      </c>
      <c r="P95" t="n">
        <v>1</v>
      </c>
      <c r="Q95" t="n">
        <v>1</v>
      </c>
      <c r="R95" s="2" t="inlineStr">
        <is>
          <t>Knärot</t>
        </is>
      </c>
      <c r="S95">
        <f>HYPERLINK("https://klasma.github.io/Logging_0380/artfynd/A 28056-2025 artfynd.xlsx", "A 28056-2025")</f>
        <v/>
      </c>
      <c r="T95">
        <f>HYPERLINK("https://klasma.github.io/Logging_0380/kartor/A 28056-2025 karta.png", "A 28056-2025")</f>
        <v/>
      </c>
      <c r="U95">
        <f>HYPERLINK("https://klasma.github.io/Logging_0380/knärot/A 28056-2025 karta knärot.png", "A 28056-2025")</f>
        <v/>
      </c>
      <c r="V95">
        <f>HYPERLINK("https://klasma.github.io/Logging_0380/klagomål/A 28056-2025 FSC-klagomål.docx", "A 28056-2025")</f>
        <v/>
      </c>
      <c r="W95">
        <f>HYPERLINK("https://klasma.github.io/Logging_0380/klagomålsmail/A 28056-2025 FSC-klagomål mail.docx", "A 28056-2025")</f>
        <v/>
      </c>
      <c r="X95">
        <f>HYPERLINK("https://klasma.github.io/Logging_0380/tillsyn/A 28056-2025 tillsynsbegäran.docx", "A 28056-2025")</f>
        <v/>
      </c>
      <c r="Y95">
        <f>HYPERLINK("https://klasma.github.io/Logging_0380/tillsynsmail/A 28056-2025 tillsynsbegäran mail.docx", "A 28056-2025")</f>
        <v/>
      </c>
    </row>
    <row r="96" ht="15" customHeight="1">
      <c r="A96" t="inlineStr">
        <is>
          <t>A 13526-2025</t>
        </is>
      </c>
      <c r="B96" s="1" t="n">
        <v>45736.49902777778</v>
      </c>
      <c r="C96" s="1" t="n">
        <v>45987</v>
      </c>
      <c r="D96" t="inlineStr">
        <is>
          <t>UPPSALA LÄN</t>
        </is>
      </c>
      <c r="E96" t="inlineStr">
        <is>
          <t>UPPSALA</t>
        </is>
      </c>
      <c r="F96" t="inlineStr">
        <is>
          <t>Allmännings- och besparingsskogar</t>
        </is>
      </c>
      <c r="G96" t="n">
        <v>3</v>
      </c>
      <c r="H96" t="n">
        <v>0</v>
      </c>
      <c r="I96" t="n">
        <v>0</v>
      </c>
      <c r="J96" t="n">
        <v>1</v>
      </c>
      <c r="K96" t="n">
        <v>0</v>
      </c>
      <c r="L96" t="n">
        <v>0</v>
      </c>
      <c r="M96" t="n">
        <v>0</v>
      </c>
      <c r="N96" t="n">
        <v>0</v>
      </c>
      <c r="O96" t="n">
        <v>1</v>
      </c>
      <c r="P96" t="n">
        <v>0</v>
      </c>
      <c r="Q96" t="n">
        <v>1</v>
      </c>
      <c r="R96" s="2" t="inlineStr">
        <is>
          <t>Vedtrappmossa</t>
        </is>
      </c>
      <c r="S96">
        <f>HYPERLINK("https://klasma.github.io/Logging_0380/artfynd/A 13526-2025 artfynd.xlsx", "A 13526-2025")</f>
        <v/>
      </c>
      <c r="T96">
        <f>HYPERLINK("https://klasma.github.io/Logging_0380/kartor/A 13526-2025 karta.png", "A 13526-2025")</f>
        <v/>
      </c>
      <c r="V96">
        <f>HYPERLINK("https://klasma.github.io/Logging_0380/klagomål/A 13526-2025 FSC-klagomål.docx", "A 13526-2025")</f>
        <v/>
      </c>
      <c r="W96">
        <f>HYPERLINK("https://klasma.github.io/Logging_0380/klagomålsmail/A 13526-2025 FSC-klagomål mail.docx", "A 13526-2025")</f>
        <v/>
      </c>
      <c r="X96">
        <f>HYPERLINK("https://klasma.github.io/Logging_0380/tillsyn/A 13526-2025 tillsynsbegäran.docx", "A 13526-2025")</f>
        <v/>
      </c>
      <c r="Y96">
        <f>HYPERLINK("https://klasma.github.io/Logging_0380/tillsynsmail/A 13526-2025 tillsynsbegäran mail.docx", "A 13526-2025")</f>
        <v/>
      </c>
    </row>
    <row r="97" ht="15" customHeight="1">
      <c r="A97" t="inlineStr">
        <is>
          <t>A 29664-2025</t>
        </is>
      </c>
      <c r="B97" s="1" t="n">
        <v>45825.49060185185</v>
      </c>
      <c r="C97" s="1" t="n">
        <v>45987</v>
      </c>
      <c r="D97" t="inlineStr">
        <is>
          <t>UPPSALA LÄN</t>
        </is>
      </c>
      <c r="E97" t="inlineStr">
        <is>
          <t>UPPSALA</t>
        </is>
      </c>
      <c r="F97" t="inlineStr">
        <is>
          <t>Holmen skog AB</t>
        </is>
      </c>
      <c r="G97" t="n">
        <v>16.8</v>
      </c>
      <c r="H97" t="n">
        <v>0</v>
      </c>
      <c r="I97" t="n">
        <v>1</v>
      </c>
      <c r="J97" t="n">
        <v>0</v>
      </c>
      <c r="K97" t="n">
        <v>0</v>
      </c>
      <c r="L97" t="n">
        <v>0</v>
      </c>
      <c r="M97" t="n">
        <v>0</v>
      </c>
      <c r="N97" t="n">
        <v>0</v>
      </c>
      <c r="O97" t="n">
        <v>0</v>
      </c>
      <c r="P97" t="n">
        <v>0</v>
      </c>
      <c r="Q97" t="n">
        <v>1</v>
      </c>
      <c r="R97" s="2" t="inlineStr">
        <is>
          <t>Fjällig taggsvamp s.str.</t>
        </is>
      </c>
      <c r="S97">
        <f>HYPERLINK("https://klasma.github.io/Logging_0380/artfynd/A 29664-2025 artfynd.xlsx", "A 29664-2025")</f>
        <v/>
      </c>
      <c r="T97">
        <f>HYPERLINK("https://klasma.github.io/Logging_0380/kartor/A 29664-2025 karta.png", "A 29664-2025")</f>
        <v/>
      </c>
      <c r="V97">
        <f>HYPERLINK("https://klasma.github.io/Logging_0380/klagomål/A 29664-2025 FSC-klagomål.docx", "A 29664-2025")</f>
        <v/>
      </c>
      <c r="W97">
        <f>HYPERLINK("https://klasma.github.io/Logging_0380/klagomålsmail/A 29664-2025 FSC-klagomål mail.docx", "A 29664-2025")</f>
        <v/>
      </c>
      <c r="X97">
        <f>HYPERLINK("https://klasma.github.io/Logging_0380/tillsyn/A 29664-2025 tillsynsbegäran.docx", "A 29664-2025")</f>
        <v/>
      </c>
      <c r="Y97">
        <f>HYPERLINK("https://klasma.github.io/Logging_0380/tillsynsmail/A 29664-2025 tillsynsbegäran mail.docx", "A 29664-2025")</f>
        <v/>
      </c>
    </row>
    <row r="98" ht="15" customHeight="1">
      <c r="A98" t="inlineStr">
        <is>
          <t>A 57793-2022</t>
        </is>
      </c>
      <c r="B98" s="1" t="n">
        <v>44897</v>
      </c>
      <c r="C98" s="1" t="n">
        <v>45987</v>
      </c>
      <c r="D98" t="inlineStr">
        <is>
          <t>UPPSALA LÄN</t>
        </is>
      </c>
      <c r="E98" t="inlineStr">
        <is>
          <t>UPPSALA</t>
        </is>
      </c>
      <c r="G98" t="n">
        <v>2.9</v>
      </c>
      <c r="H98" t="n">
        <v>1</v>
      </c>
      <c r="I98" t="n">
        <v>0</v>
      </c>
      <c r="J98" t="n">
        <v>1</v>
      </c>
      <c r="K98" t="n">
        <v>0</v>
      </c>
      <c r="L98" t="n">
        <v>0</v>
      </c>
      <c r="M98" t="n">
        <v>0</v>
      </c>
      <c r="N98" t="n">
        <v>0</v>
      </c>
      <c r="O98" t="n">
        <v>1</v>
      </c>
      <c r="P98" t="n">
        <v>0</v>
      </c>
      <c r="Q98" t="n">
        <v>1</v>
      </c>
      <c r="R98" s="2" t="inlineStr">
        <is>
          <t>Talltita</t>
        </is>
      </c>
      <c r="S98">
        <f>HYPERLINK("https://klasma.github.io/Logging_0380/artfynd/A 57793-2022 artfynd.xlsx", "A 57793-2022")</f>
        <v/>
      </c>
      <c r="T98">
        <f>HYPERLINK("https://klasma.github.io/Logging_0380/kartor/A 57793-2022 karta.png", "A 57793-2022")</f>
        <v/>
      </c>
      <c r="V98">
        <f>HYPERLINK("https://klasma.github.io/Logging_0380/klagomål/A 57793-2022 FSC-klagomål.docx", "A 57793-2022")</f>
        <v/>
      </c>
      <c r="W98">
        <f>HYPERLINK("https://klasma.github.io/Logging_0380/klagomålsmail/A 57793-2022 FSC-klagomål mail.docx", "A 57793-2022")</f>
        <v/>
      </c>
      <c r="X98">
        <f>HYPERLINK("https://klasma.github.io/Logging_0380/tillsyn/A 57793-2022 tillsynsbegäran.docx", "A 57793-2022")</f>
        <v/>
      </c>
      <c r="Y98">
        <f>HYPERLINK("https://klasma.github.io/Logging_0380/tillsynsmail/A 57793-2022 tillsynsbegäran mail.docx", "A 57793-2022")</f>
        <v/>
      </c>
      <c r="Z98">
        <f>HYPERLINK("https://klasma.github.io/Logging_0380/fåglar/A 57793-2022 prioriterade fågelarter.docx", "A 57793-2022")</f>
        <v/>
      </c>
    </row>
    <row r="99" ht="15" customHeight="1">
      <c r="A99" t="inlineStr">
        <is>
          <t>A 13363-2022</t>
        </is>
      </c>
      <c r="B99" s="1" t="n">
        <v>44645</v>
      </c>
      <c r="C99" s="1" t="n">
        <v>45987</v>
      </c>
      <c r="D99" t="inlineStr">
        <is>
          <t>UPPSALA LÄN</t>
        </is>
      </c>
      <c r="E99" t="inlineStr">
        <is>
          <t>UPPSALA</t>
        </is>
      </c>
      <c r="F99" t="inlineStr">
        <is>
          <t>Övriga Aktiebolag</t>
        </is>
      </c>
      <c r="G99" t="n">
        <v>9.4</v>
      </c>
      <c r="H99" t="n">
        <v>1</v>
      </c>
      <c r="I99" t="n">
        <v>0</v>
      </c>
      <c r="J99" t="n">
        <v>0</v>
      </c>
      <c r="K99" t="n">
        <v>0</v>
      </c>
      <c r="L99" t="n">
        <v>0</v>
      </c>
      <c r="M99" t="n">
        <v>0</v>
      </c>
      <c r="N99" t="n">
        <v>0</v>
      </c>
      <c r="O99" t="n">
        <v>0</v>
      </c>
      <c r="P99" t="n">
        <v>0</v>
      </c>
      <c r="Q99" t="n">
        <v>1</v>
      </c>
      <c r="R99" s="2" t="inlineStr">
        <is>
          <t>Huggorm</t>
        </is>
      </c>
      <c r="S99">
        <f>HYPERLINK("https://klasma.github.io/Logging_0380/artfynd/A 13363-2022 artfynd.xlsx", "A 13363-2022")</f>
        <v/>
      </c>
      <c r="T99">
        <f>HYPERLINK("https://klasma.github.io/Logging_0380/kartor/A 13363-2022 karta.png", "A 13363-2022")</f>
        <v/>
      </c>
      <c r="V99">
        <f>HYPERLINK("https://klasma.github.io/Logging_0380/klagomål/A 13363-2022 FSC-klagomål.docx", "A 13363-2022")</f>
        <v/>
      </c>
      <c r="W99">
        <f>HYPERLINK("https://klasma.github.io/Logging_0380/klagomålsmail/A 13363-2022 FSC-klagomål mail.docx", "A 13363-2022")</f>
        <v/>
      </c>
      <c r="X99">
        <f>HYPERLINK("https://klasma.github.io/Logging_0380/tillsyn/A 13363-2022 tillsynsbegäran.docx", "A 13363-2022")</f>
        <v/>
      </c>
      <c r="Y99">
        <f>HYPERLINK("https://klasma.github.io/Logging_0380/tillsynsmail/A 13363-2022 tillsynsbegäran mail.docx", "A 13363-2022")</f>
        <v/>
      </c>
    </row>
    <row r="100" ht="15" customHeight="1">
      <c r="A100" t="inlineStr">
        <is>
          <t>A 51475-2025</t>
        </is>
      </c>
      <c r="B100" s="1" t="n">
        <v>45950</v>
      </c>
      <c r="C100" s="1" t="n">
        <v>45987</v>
      </c>
      <c r="D100" t="inlineStr">
        <is>
          <t>UPPSALA LÄN</t>
        </is>
      </c>
      <c r="E100" t="inlineStr">
        <is>
          <t>UPPSALA</t>
        </is>
      </c>
      <c r="G100" t="n">
        <v>3.3</v>
      </c>
      <c r="H100" t="n">
        <v>0</v>
      </c>
      <c r="I100" t="n">
        <v>1</v>
      </c>
      <c r="J100" t="n">
        <v>0</v>
      </c>
      <c r="K100" t="n">
        <v>0</v>
      </c>
      <c r="L100" t="n">
        <v>0</v>
      </c>
      <c r="M100" t="n">
        <v>0</v>
      </c>
      <c r="N100" t="n">
        <v>0</v>
      </c>
      <c r="O100" t="n">
        <v>0</v>
      </c>
      <c r="P100" t="n">
        <v>0</v>
      </c>
      <c r="Q100" t="n">
        <v>1</v>
      </c>
      <c r="R100" s="2" t="inlineStr">
        <is>
          <t>Bronshjon</t>
        </is>
      </c>
      <c r="S100">
        <f>HYPERLINK("https://klasma.github.io/Logging_0380/artfynd/A 51475-2025 artfynd.xlsx", "A 51475-2025")</f>
        <v/>
      </c>
      <c r="T100">
        <f>HYPERLINK("https://klasma.github.io/Logging_0380/kartor/A 51475-2025 karta.png", "A 51475-2025")</f>
        <v/>
      </c>
      <c r="V100">
        <f>HYPERLINK("https://klasma.github.io/Logging_0380/klagomål/A 51475-2025 FSC-klagomål.docx", "A 51475-2025")</f>
        <v/>
      </c>
      <c r="W100">
        <f>HYPERLINK("https://klasma.github.io/Logging_0380/klagomålsmail/A 51475-2025 FSC-klagomål mail.docx", "A 51475-2025")</f>
        <v/>
      </c>
      <c r="X100">
        <f>HYPERLINK("https://klasma.github.io/Logging_0380/tillsyn/A 51475-2025 tillsynsbegäran.docx", "A 51475-2025")</f>
        <v/>
      </c>
      <c r="Y100">
        <f>HYPERLINK("https://klasma.github.io/Logging_0380/tillsynsmail/A 51475-2025 tillsynsbegäran mail.docx", "A 51475-2025")</f>
        <v/>
      </c>
    </row>
    <row r="101" ht="15" customHeight="1">
      <c r="A101" t="inlineStr">
        <is>
          <t>A 35260-2025</t>
        </is>
      </c>
      <c r="B101" s="1" t="n">
        <v>45853.76976851852</v>
      </c>
      <c r="C101" s="1" t="n">
        <v>45987</v>
      </c>
      <c r="D101" t="inlineStr">
        <is>
          <t>UPPSALA LÄN</t>
        </is>
      </c>
      <c r="E101" t="inlineStr">
        <is>
          <t>UPPSALA</t>
        </is>
      </c>
      <c r="G101" t="n">
        <v>7.3</v>
      </c>
      <c r="H101" t="n">
        <v>0</v>
      </c>
      <c r="I101" t="n">
        <v>1</v>
      </c>
      <c r="J101" t="n">
        <v>0</v>
      </c>
      <c r="K101" t="n">
        <v>0</v>
      </c>
      <c r="L101" t="n">
        <v>0</v>
      </c>
      <c r="M101" t="n">
        <v>0</v>
      </c>
      <c r="N101" t="n">
        <v>0</v>
      </c>
      <c r="O101" t="n">
        <v>0</v>
      </c>
      <c r="P101" t="n">
        <v>0</v>
      </c>
      <c r="Q101" t="n">
        <v>1</v>
      </c>
      <c r="R101" s="2" t="inlineStr">
        <is>
          <t>Svavelriska</t>
        </is>
      </c>
      <c r="S101">
        <f>HYPERLINK("https://klasma.github.io/Logging_0380/artfynd/A 35260-2025 artfynd.xlsx", "A 35260-2025")</f>
        <v/>
      </c>
      <c r="T101">
        <f>HYPERLINK("https://klasma.github.io/Logging_0380/kartor/A 35260-2025 karta.png", "A 35260-2025")</f>
        <v/>
      </c>
      <c r="V101">
        <f>HYPERLINK("https://klasma.github.io/Logging_0380/klagomål/A 35260-2025 FSC-klagomål.docx", "A 35260-2025")</f>
        <v/>
      </c>
      <c r="W101">
        <f>HYPERLINK("https://klasma.github.io/Logging_0380/klagomålsmail/A 35260-2025 FSC-klagomål mail.docx", "A 35260-2025")</f>
        <v/>
      </c>
      <c r="X101">
        <f>HYPERLINK("https://klasma.github.io/Logging_0380/tillsyn/A 35260-2025 tillsynsbegäran.docx", "A 35260-2025")</f>
        <v/>
      </c>
      <c r="Y101">
        <f>HYPERLINK("https://klasma.github.io/Logging_0380/tillsynsmail/A 35260-2025 tillsynsbegäran mail.docx", "A 35260-2025")</f>
        <v/>
      </c>
    </row>
    <row r="102" ht="15" customHeight="1">
      <c r="A102" t="inlineStr">
        <is>
          <t>A 5009-2023</t>
        </is>
      </c>
      <c r="B102" s="1" t="n">
        <v>44958</v>
      </c>
      <c r="C102" s="1" t="n">
        <v>45987</v>
      </c>
      <c r="D102" t="inlineStr">
        <is>
          <t>UPPSALA LÄN</t>
        </is>
      </c>
      <c r="E102" t="inlineStr">
        <is>
          <t>UPPSALA</t>
        </is>
      </c>
      <c r="G102" t="n">
        <v>4.7</v>
      </c>
      <c r="H102" t="n">
        <v>1</v>
      </c>
      <c r="I102" t="n">
        <v>0</v>
      </c>
      <c r="J102" t="n">
        <v>0</v>
      </c>
      <c r="K102" t="n">
        <v>0</v>
      </c>
      <c r="L102" t="n">
        <v>0</v>
      </c>
      <c r="M102" t="n">
        <v>0</v>
      </c>
      <c r="N102" t="n">
        <v>0</v>
      </c>
      <c r="O102" t="n">
        <v>0</v>
      </c>
      <c r="P102" t="n">
        <v>0</v>
      </c>
      <c r="Q102" t="n">
        <v>1</v>
      </c>
      <c r="R102" s="2" t="inlineStr">
        <is>
          <t>Blåsippa</t>
        </is>
      </c>
      <c r="S102">
        <f>HYPERLINK("https://klasma.github.io/Logging_0380/artfynd/A 5009-2023 artfynd.xlsx", "A 5009-2023")</f>
        <v/>
      </c>
      <c r="T102">
        <f>HYPERLINK("https://klasma.github.io/Logging_0380/kartor/A 5009-2023 karta.png", "A 5009-2023")</f>
        <v/>
      </c>
      <c r="V102">
        <f>HYPERLINK("https://klasma.github.io/Logging_0380/klagomål/A 5009-2023 FSC-klagomål.docx", "A 5009-2023")</f>
        <v/>
      </c>
      <c r="W102">
        <f>HYPERLINK("https://klasma.github.io/Logging_0380/klagomålsmail/A 5009-2023 FSC-klagomål mail.docx", "A 5009-2023")</f>
        <v/>
      </c>
      <c r="X102">
        <f>HYPERLINK("https://klasma.github.io/Logging_0380/tillsyn/A 5009-2023 tillsynsbegäran.docx", "A 5009-2023")</f>
        <v/>
      </c>
      <c r="Y102">
        <f>HYPERLINK("https://klasma.github.io/Logging_0380/tillsynsmail/A 5009-2023 tillsynsbegäran mail.docx", "A 5009-2023")</f>
        <v/>
      </c>
    </row>
    <row r="103" ht="15" customHeight="1">
      <c r="A103" t="inlineStr">
        <is>
          <t>A 36842-2025</t>
        </is>
      </c>
      <c r="B103" s="1" t="n">
        <v>45874</v>
      </c>
      <c r="C103" s="1" t="n">
        <v>45987</v>
      </c>
      <c r="D103" t="inlineStr">
        <is>
          <t>UPPSALA LÄN</t>
        </is>
      </c>
      <c r="E103" t="inlineStr">
        <is>
          <t>UPPSALA</t>
        </is>
      </c>
      <c r="G103" t="n">
        <v>9.9</v>
      </c>
      <c r="H103" t="n">
        <v>0</v>
      </c>
      <c r="I103" t="n">
        <v>1</v>
      </c>
      <c r="J103" t="n">
        <v>0</v>
      </c>
      <c r="K103" t="n">
        <v>0</v>
      </c>
      <c r="L103" t="n">
        <v>0</v>
      </c>
      <c r="M103" t="n">
        <v>0</v>
      </c>
      <c r="N103" t="n">
        <v>0</v>
      </c>
      <c r="O103" t="n">
        <v>0</v>
      </c>
      <c r="P103" t="n">
        <v>0</v>
      </c>
      <c r="Q103" t="n">
        <v>1</v>
      </c>
      <c r="R103" s="2" t="inlineStr">
        <is>
          <t>Vedticka</t>
        </is>
      </c>
      <c r="S103">
        <f>HYPERLINK("https://klasma.github.io/Logging_0380/artfynd/A 36842-2025 artfynd.xlsx", "A 36842-2025")</f>
        <v/>
      </c>
      <c r="T103">
        <f>HYPERLINK("https://klasma.github.io/Logging_0380/kartor/A 36842-2025 karta.png", "A 36842-2025")</f>
        <v/>
      </c>
      <c r="V103">
        <f>HYPERLINK("https://klasma.github.io/Logging_0380/klagomål/A 36842-2025 FSC-klagomål.docx", "A 36842-2025")</f>
        <v/>
      </c>
      <c r="W103">
        <f>HYPERLINK("https://klasma.github.io/Logging_0380/klagomålsmail/A 36842-2025 FSC-klagomål mail.docx", "A 36842-2025")</f>
        <v/>
      </c>
      <c r="X103">
        <f>HYPERLINK("https://klasma.github.io/Logging_0380/tillsyn/A 36842-2025 tillsynsbegäran.docx", "A 36842-2025")</f>
        <v/>
      </c>
      <c r="Y103">
        <f>HYPERLINK("https://klasma.github.io/Logging_0380/tillsynsmail/A 36842-2025 tillsynsbegäran mail.docx", "A 36842-2025")</f>
        <v/>
      </c>
    </row>
    <row r="104" ht="15" customHeight="1">
      <c r="A104" t="inlineStr">
        <is>
          <t>A 26135-2025</t>
        </is>
      </c>
      <c r="B104" s="1" t="n">
        <v>45805.41232638889</v>
      </c>
      <c r="C104" s="1" t="n">
        <v>45987</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21657-2024</t>
        </is>
      </c>
      <c r="B105" s="1" t="n">
        <v>45442</v>
      </c>
      <c r="C105" s="1" t="n">
        <v>45987</v>
      </c>
      <c r="D105" t="inlineStr">
        <is>
          <t>UPPSALA LÄN</t>
        </is>
      </c>
      <c r="E105" t="inlineStr">
        <is>
          <t>UPPSALA</t>
        </is>
      </c>
      <c r="G105" t="n">
        <v>5.7</v>
      </c>
      <c r="H105" t="n">
        <v>1</v>
      </c>
      <c r="I105" t="n">
        <v>0</v>
      </c>
      <c r="J105" t="n">
        <v>0</v>
      </c>
      <c r="K105" t="n">
        <v>0</v>
      </c>
      <c r="L105" t="n">
        <v>0</v>
      </c>
      <c r="M105" t="n">
        <v>0</v>
      </c>
      <c r="N105" t="n">
        <v>0</v>
      </c>
      <c r="O105" t="n">
        <v>0</v>
      </c>
      <c r="P105" t="n">
        <v>0</v>
      </c>
      <c r="Q105" t="n">
        <v>1</v>
      </c>
      <c r="R105" s="2" t="inlineStr">
        <is>
          <t>Kungsfågel</t>
        </is>
      </c>
      <c r="S105">
        <f>HYPERLINK("https://klasma.github.io/Logging_0380/artfynd/A 21657-2024 artfynd.xlsx", "A 21657-2024")</f>
        <v/>
      </c>
      <c r="T105">
        <f>HYPERLINK("https://klasma.github.io/Logging_0380/kartor/A 21657-2024 karta.png", "A 21657-2024")</f>
        <v/>
      </c>
      <c r="V105">
        <f>HYPERLINK("https://klasma.github.io/Logging_0380/klagomål/A 21657-2024 FSC-klagomål.docx", "A 21657-2024")</f>
        <v/>
      </c>
      <c r="W105">
        <f>HYPERLINK("https://klasma.github.io/Logging_0380/klagomålsmail/A 21657-2024 FSC-klagomål mail.docx", "A 21657-2024")</f>
        <v/>
      </c>
      <c r="X105">
        <f>HYPERLINK("https://klasma.github.io/Logging_0380/tillsyn/A 21657-2024 tillsynsbegäran.docx", "A 21657-2024")</f>
        <v/>
      </c>
      <c r="Y105">
        <f>HYPERLINK("https://klasma.github.io/Logging_0380/tillsynsmail/A 21657-2024 tillsynsbegäran mail.docx", "A 21657-2024")</f>
        <v/>
      </c>
      <c r="Z105">
        <f>HYPERLINK("https://klasma.github.io/Logging_0380/fåglar/A 21657-2024 prioriterade fågelarter.docx", "A 21657-2024")</f>
        <v/>
      </c>
    </row>
    <row r="106" ht="15" customHeight="1">
      <c r="A106" t="inlineStr">
        <is>
          <t>A 37004-2025</t>
        </is>
      </c>
      <c r="B106" s="1" t="n">
        <v>45874.69282407407</v>
      </c>
      <c r="C106" s="1" t="n">
        <v>45987</v>
      </c>
      <c r="D106" t="inlineStr">
        <is>
          <t>UPPSALA LÄN</t>
        </is>
      </c>
      <c r="E106" t="inlineStr">
        <is>
          <t>UPPSALA</t>
        </is>
      </c>
      <c r="G106" t="n">
        <v>15.8</v>
      </c>
      <c r="H106" t="n">
        <v>1</v>
      </c>
      <c r="I106" t="n">
        <v>0</v>
      </c>
      <c r="J106" t="n">
        <v>0</v>
      </c>
      <c r="K106" t="n">
        <v>0</v>
      </c>
      <c r="L106" t="n">
        <v>0</v>
      </c>
      <c r="M106" t="n">
        <v>0</v>
      </c>
      <c r="N106" t="n">
        <v>0</v>
      </c>
      <c r="O106" t="n">
        <v>0</v>
      </c>
      <c r="P106" t="n">
        <v>0</v>
      </c>
      <c r="Q106" t="n">
        <v>1</v>
      </c>
      <c r="R106" s="2" t="inlineStr">
        <is>
          <t>Vanlig padda</t>
        </is>
      </c>
      <c r="S106">
        <f>HYPERLINK("https://klasma.github.io/Logging_0380/artfynd/A 37004-2025 artfynd.xlsx", "A 37004-2025")</f>
        <v/>
      </c>
      <c r="T106">
        <f>HYPERLINK("https://klasma.github.io/Logging_0380/kartor/A 37004-2025 karta.png", "A 37004-2025")</f>
        <v/>
      </c>
      <c r="V106">
        <f>HYPERLINK("https://klasma.github.io/Logging_0380/klagomål/A 37004-2025 FSC-klagomål.docx", "A 37004-2025")</f>
        <v/>
      </c>
      <c r="W106">
        <f>HYPERLINK("https://klasma.github.io/Logging_0380/klagomålsmail/A 37004-2025 FSC-klagomål mail.docx", "A 37004-2025")</f>
        <v/>
      </c>
      <c r="X106">
        <f>HYPERLINK("https://klasma.github.io/Logging_0380/tillsyn/A 37004-2025 tillsynsbegäran.docx", "A 37004-2025")</f>
        <v/>
      </c>
      <c r="Y106">
        <f>HYPERLINK("https://klasma.github.io/Logging_0380/tillsynsmail/A 37004-2025 tillsynsbegäran mail.docx", "A 37004-2025")</f>
        <v/>
      </c>
    </row>
    <row r="107" ht="15" customHeight="1">
      <c r="A107" t="inlineStr">
        <is>
          <t>A 52849-2021</t>
        </is>
      </c>
      <c r="B107" s="1" t="n">
        <v>44467</v>
      </c>
      <c r="C107" s="1" t="n">
        <v>45987</v>
      </c>
      <c r="D107" t="inlineStr">
        <is>
          <t>UPPSALA LÄN</t>
        </is>
      </c>
      <c r="E107" t="inlineStr">
        <is>
          <t>UPPSALA</t>
        </is>
      </c>
      <c r="F107" t="inlineStr">
        <is>
          <t>Övriga Aktiebolag</t>
        </is>
      </c>
      <c r="G107" t="n">
        <v>3.3</v>
      </c>
      <c r="H107" t="n">
        <v>0</v>
      </c>
      <c r="I107" t="n">
        <v>0</v>
      </c>
      <c r="J107" t="n">
        <v>1</v>
      </c>
      <c r="K107" t="n">
        <v>0</v>
      </c>
      <c r="L107" t="n">
        <v>0</v>
      </c>
      <c r="M107" t="n">
        <v>0</v>
      </c>
      <c r="N107" t="n">
        <v>0</v>
      </c>
      <c r="O107" t="n">
        <v>1</v>
      </c>
      <c r="P107" t="n">
        <v>0</v>
      </c>
      <c r="Q107" t="n">
        <v>1</v>
      </c>
      <c r="R107" s="2" t="inlineStr">
        <is>
          <t>Skogshare</t>
        </is>
      </c>
      <c r="S107">
        <f>HYPERLINK("https://klasma.github.io/Logging_0380/artfynd/A 52849-2021 artfynd.xlsx", "A 52849-2021")</f>
        <v/>
      </c>
      <c r="T107">
        <f>HYPERLINK("https://klasma.github.io/Logging_0380/kartor/A 52849-2021 karta.png", "A 52849-2021")</f>
        <v/>
      </c>
      <c r="V107">
        <f>HYPERLINK("https://klasma.github.io/Logging_0380/klagomål/A 52849-2021 FSC-klagomål.docx", "A 52849-2021")</f>
        <v/>
      </c>
      <c r="W107">
        <f>HYPERLINK("https://klasma.github.io/Logging_0380/klagomålsmail/A 52849-2021 FSC-klagomål mail.docx", "A 52849-2021")</f>
        <v/>
      </c>
      <c r="X107">
        <f>HYPERLINK("https://klasma.github.io/Logging_0380/tillsyn/A 52849-2021 tillsynsbegäran.docx", "A 52849-2021")</f>
        <v/>
      </c>
      <c r="Y107">
        <f>HYPERLINK("https://klasma.github.io/Logging_0380/tillsynsmail/A 52849-2021 tillsynsbegäran mail.docx", "A 52849-2021")</f>
        <v/>
      </c>
    </row>
    <row r="108" ht="15" customHeight="1">
      <c r="A108" t="inlineStr">
        <is>
          <t>A 17484-2025</t>
        </is>
      </c>
      <c r="B108" s="1" t="n">
        <v>45757.49934027778</v>
      </c>
      <c r="C108" s="1" t="n">
        <v>45987</v>
      </c>
      <c r="D108" t="inlineStr">
        <is>
          <t>UPPSALA LÄN</t>
        </is>
      </c>
      <c r="E108" t="inlineStr">
        <is>
          <t>UPPSALA</t>
        </is>
      </c>
      <c r="G108" t="n">
        <v>13.1</v>
      </c>
      <c r="H108" t="n">
        <v>1</v>
      </c>
      <c r="I108" t="n">
        <v>0</v>
      </c>
      <c r="J108" t="n">
        <v>0</v>
      </c>
      <c r="K108" t="n">
        <v>0</v>
      </c>
      <c r="L108" t="n">
        <v>0</v>
      </c>
      <c r="M108" t="n">
        <v>0</v>
      </c>
      <c r="N108" t="n">
        <v>0</v>
      </c>
      <c r="O108" t="n">
        <v>0</v>
      </c>
      <c r="P108" t="n">
        <v>0</v>
      </c>
      <c r="Q108" t="n">
        <v>1</v>
      </c>
      <c r="R108" s="2" t="inlineStr">
        <is>
          <t>Fläcknycklar</t>
        </is>
      </c>
      <c r="S108">
        <f>HYPERLINK("https://klasma.github.io/Logging_0380/artfynd/A 17484-2025 artfynd.xlsx", "A 17484-2025")</f>
        <v/>
      </c>
      <c r="T108">
        <f>HYPERLINK("https://klasma.github.io/Logging_0380/kartor/A 17484-2025 karta.png", "A 17484-2025")</f>
        <v/>
      </c>
      <c r="V108">
        <f>HYPERLINK("https://klasma.github.io/Logging_0380/klagomål/A 17484-2025 FSC-klagomål.docx", "A 17484-2025")</f>
        <v/>
      </c>
      <c r="W108">
        <f>HYPERLINK("https://klasma.github.io/Logging_0380/klagomålsmail/A 17484-2025 FSC-klagomål mail.docx", "A 17484-2025")</f>
        <v/>
      </c>
      <c r="X108">
        <f>HYPERLINK("https://klasma.github.io/Logging_0380/tillsyn/A 17484-2025 tillsynsbegäran.docx", "A 17484-2025")</f>
        <v/>
      </c>
      <c r="Y108">
        <f>HYPERLINK("https://klasma.github.io/Logging_0380/tillsynsmail/A 17484-2025 tillsynsbegäran mail.docx", "A 17484-2025")</f>
        <v/>
      </c>
    </row>
    <row r="109" ht="15" customHeight="1">
      <c r="A109" t="inlineStr">
        <is>
          <t>A 61818-2022</t>
        </is>
      </c>
      <c r="B109" s="1" t="n">
        <v>44917</v>
      </c>
      <c r="C109" s="1" t="n">
        <v>45987</v>
      </c>
      <c r="D109" t="inlineStr">
        <is>
          <t>UPPSALA LÄN</t>
        </is>
      </c>
      <c r="E109" t="inlineStr">
        <is>
          <t>UPPSALA</t>
        </is>
      </c>
      <c r="F109" t="inlineStr">
        <is>
          <t>Holmen skog AB</t>
        </is>
      </c>
      <c r="G109" t="n">
        <v>0.8</v>
      </c>
      <c r="H109" t="n">
        <v>0</v>
      </c>
      <c r="I109" t="n">
        <v>0</v>
      </c>
      <c r="J109" t="n">
        <v>1</v>
      </c>
      <c r="K109" t="n">
        <v>0</v>
      </c>
      <c r="L109" t="n">
        <v>0</v>
      </c>
      <c r="M109" t="n">
        <v>0</v>
      </c>
      <c r="N109" t="n">
        <v>0</v>
      </c>
      <c r="O109" t="n">
        <v>1</v>
      </c>
      <c r="P109" t="n">
        <v>0</v>
      </c>
      <c r="Q109" t="n">
        <v>1</v>
      </c>
      <c r="R109" s="2" t="inlineStr">
        <is>
          <t>Blekticka</t>
        </is>
      </c>
      <c r="S109">
        <f>HYPERLINK("https://klasma.github.io/Logging_0380/artfynd/A 61818-2022 artfynd.xlsx", "A 61818-2022")</f>
        <v/>
      </c>
      <c r="T109">
        <f>HYPERLINK("https://klasma.github.io/Logging_0380/kartor/A 61818-2022 karta.png", "A 61818-2022")</f>
        <v/>
      </c>
      <c r="V109">
        <f>HYPERLINK("https://klasma.github.io/Logging_0380/klagomål/A 61818-2022 FSC-klagomål.docx", "A 61818-2022")</f>
        <v/>
      </c>
      <c r="W109">
        <f>HYPERLINK("https://klasma.github.io/Logging_0380/klagomålsmail/A 61818-2022 FSC-klagomål mail.docx", "A 61818-2022")</f>
        <v/>
      </c>
      <c r="X109">
        <f>HYPERLINK("https://klasma.github.io/Logging_0380/tillsyn/A 61818-2022 tillsynsbegäran.docx", "A 61818-2022")</f>
        <v/>
      </c>
      <c r="Y109">
        <f>HYPERLINK("https://klasma.github.io/Logging_0380/tillsynsmail/A 61818-2022 tillsynsbegäran mail.docx", "A 61818-2022")</f>
        <v/>
      </c>
    </row>
    <row r="110" ht="15" customHeight="1">
      <c r="A110" t="inlineStr">
        <is>
          <t>A 49015-2022</t>
        </is>
      </c>
      <c r="B110" s="1" t="n">
        <v>44855</v>
      </c>
      <c r="C110" s="1" t="n">
        <v>45987</v>
      </c>
      <c r="D110" t="inlineStr">
        <is>
          <t>UPPSALA LÄN</t>
        </is>
      </c>
      <c r="E110" t="inlineStr">
        <is>
          <t>UPPSALA</t>
        </is>
      </c>
      <c r="F110" t="inlineStr">
        <is>
          <t>Kommuner</t>
        </is>
      </c>
      <c r="G110" t="n">
        <v>4.5</v>
      </c>
      <c r="H110" t="n">
        <v>0</v>
      </c>
      <c r="I110" t="n">
        <v>0</v>
      </c>
      <c r="J110" t="n">
        <v>1</v>
      </c>
      <c r="K110" t="n">
        <v>0</v>
      </c>
      <c r="L110" t="n">
        <v>0</v>
      </c>
      <c r="M110" t="n">
        <v>0</v>
      </c>
      <c r="N110" t="n">
        <v>0</v>
      </c>
      <c r="O110" t="n">
        <v>1</v>
      </c>
      <c r="P110" t="n">
        <v>0</v>
      </c>
      <c r="Q110" t="n">
        <v>1</v>
      </c>
      <c r="R110" s="2" t="inlineStr">
        <is>
          <t>Harticka</t>
        </is>
      </c>
      <c r="S110">
        <f>HYPERLINK("https://klasma.github.io/Logging_0380/artfynd/A 49015-2022 artfynd.xlsx", "A 49015-2022")</f>
        <v/>
      </c>
      <c r="T110">
        <f>HYPERLINK("https://klasma.github.io/Logging_0380/kartor/A 49015-2022 karta.png", "A 49015-2022")</f>
        <v/>
      </c>
      <c r="V110">
        <f>HYPERLINK("https://klasma.github.io/Logging_0380/klagomål/A 49015-2022 FSC-klagomål.docx", "A 49015-2022")</f>
        <v/>
      </c>
      <c r="W110">
        <f>HYPERLINK("https://klasma.github.io/Logging_0380/klagomålsmail/A 49015-2022 FSC-klagomål mail.docx", "A 49015-2022")</f>
        <v/>
      </c>
      <c r="X110">
        <f>HYPERLINK("https://klasma.github.io/Logging_0380/tillsyn/A 49015-2022 tillsynsbegäran.docx", "A 49015-2022")</f>
        <v/>
      </c>
      <c r="Y110">
        <f>HYPERLINK("https://klasma.github.io/Logging_0380/tillsynsmail/A 49015-2022 tillsynsbegäran mail.docx", "A 49015-2022")</f>
        <v/>
      </c>
    </row>
    <row r="111" ht="15" customHeight="1">
      <c r="A111" t="inlineStr">
        <is>
          <t>A 29902-2023</t>
        </is>
      </c>
      <c r="B111" s="1" t="n">
        <v>45107</v>
      </c>
      <c r="C111" s="1" t="n">
        <v>45987</v>
      </c>
      <c r="D111" t="inlineStr">
        <is>
          <t>UPPSALA LÄN</t>
        </is>
      </c>
      <c r="E111" t="inlineStr">
        <is>
          <t>UPPSALA</t>
        </is>
      </c>
      <c r="F111" t="inlineStr">
        <is>
          <t>Kyrkan</t>
        </is>
      </c>
      <c r="G111" t="n">
        <v>10.6</v>
      </c>
      <c r="H111" t="n">
        <v>1</v>
      </c>
      <c r="I111" t="n">
        <v>0</v>
      </c>
      <c r="J111" t="n">
        <v>1</v>
      </c>
      <c r="K111" t="n">
        <v>0</v>
      </c>
      <c r="L111" t="n">
        <v>0</v>
      </c>
      <c r="M111" t="n">
        <v>0</v>
      </c>
      <c r="N111" t="n">
        <v>0</v>
      </c>
      <c r="O111" t="n">
        <v>1</v>
      </c>
      <c r="P111" t="n">
        <v>0</v>
      </c>
      <c r="Q111" t="n">
        <v>1</v>
      </c>
      <c r="R111" s="2" t="inlineStr">
        <is>
          <t>Järpe</t>
        </is>
      </c>
      <c r="S111">
        <f>HYPERLINK("https://klasma.github.io/Logging_0380/artfynd/A 29902-2023 artfynd.xlsx", "A 29902-2023")</f>
        <v/>
      </c>
      <c r="T111">
        <f>HYPERLINK("https://klasma.github.io/Logging_0380/kartor/A 29902-2023 karta.png", "A 29902-2023")</f>
        <v/>
      </c>
      <c r="V111">
        <f>HYPERLINK("https://klasma.github.io/Logging_0380/klagomål/A 29902-2023 FSC-klagomål.docx", "A 29902-2023")</f>
        <v/>
      </c>
      <c r="W111">
        <f>HYPERLINK("https://klasma.github.io/Logging_0380/klagomålsmail/A 29902-2023 FSC-klagomål mail.docx", "A 29902-2023")</f>
        <v/>
      </c>
      <c r="X111">
        <f>HYPERLINK("https://klasma.github.io/Logging_0380/tillsyn/A 29902-2023 tillsynsbegäran.docx", "A 29902-2023")</f>
        <v/>
      </c>
      <c r="Y111">
        <f>HYPERLINK("https://klasma.github.io/Logging_0380/tillsynsmail/A 29902-2023 tillsynsbegäran mail.docx", "A 29902-2023")</f>
        <v/>
      </c>
      <c r="Z111">
        <f>HYPERLINK("https://klasma.github.io/Logging_0380/fåglar/A 29902-2023 prioriterade fågelarter.docx", "A 29902-2023")</f>
        <v/>
      </c>
    </row>
    <row r="112" ht="15" customHeight="1">
      <c r="A112" t="inlineStr">
        <is>
          <t>A 18373-2025</t>
        </is>
      </c>
      <c r="B112" s="1" t="n">
        <v>45762.57244212963</v>
      </c>
      <c r="C112" s="1" t="n">
        <v>45987</v>
      </c>
      <c r="D112" t="inlineStr">
        <is>
          <t>UPPSALA LÄN</t>
        </is>
      </c>
      <c r="E112" t="inlineStr">
        <is>
          <t>UPPSALA</t>
        </is>
      </c>
      <c r="G112" t="n">
        <v>9.5</v>
      </c>
      <c r="H112" t="n">
        <v>0</v>
      </c>
      <c r="I112" t="n">
        <v>0</v>
      </c>
      <c r="J112" t="n">
        <v>1</v>
      </c>
      <c r="K112" t="n">
        <v>0</v>
      </c>
      <c r="L112" t="n">
        <v>0</v>
      </c>
      <c r="M112" t="n">
        <v>0</v>
      </c>
      <c r="N112" t="n">
        <v>0</v>
      </c>
      <c r="O112" t="n">
        <v>1</v>
      </c>
      <c r="P112" t="n">
        <v>0</v>
      </c>
      <c r="Q112" t="n">
        <v>1</v>
      </c>
      <c r="R112" s="2" t="inlineStr">
        <is>
          <t>Ullticka</t>
        </is>
      </c>
      <c r="S112">
        <f>HYPERLINK("https://klasma.github.io/Logging_0380/artfynd/A 18373-2025 artfynd.xlsx", "A 18373-2025")</f>
        <v/>
      </c>
      <c r="T112">
        <f>HYPERLINK("https://klasma.github.io/Logging_0380/kartor/A 18373-2025 karta.png", "A 18373-2025")</f>
        <v/>
      </c>
      <c r="V112">
        <f>HYPERLINK("https://klasma.github.io/Logging_0380/klagomål/A 18373-2025 FSC-klagomål.docx", "A 18373-2025")</f>
        <v/>
      </c>
      <c r="W112">
        <f>HYPERLINK("https://klasma.github.io/Logging_0380/klagomålsmail/A 18373-2025 FSC-klagomål mail.docx", "A 18373-2025")</f>
        <v/>
      </c>
      <c r="X112">
        <f>HYPERLINK("https://klasma.github.io/Logging_0380/tillsyn/A 18373-2025 tillsynsbegäran.docx", "A 18373-2025")</f>
        <v/>
      </c>
      <c r="Y112">
        <f>HYPERLINK("https://klasma.github.io/Logging_0380/tillsynsmail/A 18373-2025 tillsynsbegäran mail.docx", "A 18373-2025")</f>
        <v/>
      </c>
    </row>
    <row r="113" ht="15" customHeight="1">
      <c r="A113" t="inlineStr">
        <is>
          <t>A 29906-2023</t>
        </is>
      </c>
      <c r="B113" s="1" t="n">
        <v>45107</v>
      </c>
      <c r="C113" s="1" t="n">
        <v>45987</v>
      </c>
      <c r="D113" t="inlineStr">
        <is>
          <t>UPPSALA LÄN</t>
        </is>
      </c>
      <c r="E113" t="inlineStr">
        <is>
          <t>UPPSALA</t>
        </is>
      </c>
      <c r="F113" t="inlineStr">
        <is>
          <t>Kyrkan</t>
        </is>
      </c>
      <c r="G113" t="n">
        <v>0.5</v>
      </c>
      <c r="H113" t="n">
        <v>0</v>
      </c>
      <c r="I113" t="n">
        <v>1</v>
      </c>
      <c r="J113" t="n">
        <v>0</v>
      </c>
      <c r="K113" t="n">
        <v>0</v>
      </c>
      <c r="L113" t="n">
        <v>0</v>
      </c>
      <c r="M113" t="n">
        <v>0</v>
      </c>
      <c r="N113" t="n">
        <v>0</v>
      </c>
      <c r="O113" t="n">
        <v>0</v>
      </c>
      <c r="P113" t="n">
        <v>0</v>
      </c>
      <c r="Q113" t="n">
        <v>1</v>
      </c>
      <c r="R113" s="2" t="inlineStr">
        <is>
          <t>Sotriska</t>
        </is>
      </c>
      <c r="S113">
        <f>HYPERLINK("https://klasma.github.io/Logging_0380/artfynd/A 29906-2023 artfynd.xlsx", "A 29906-2023")</f>
        <v/>
      </c>
      <c r="T113">
        <f>HYPERLINK("https://klasma.github.io/Logging_0380/kartor/A 29906-2023 karta.png", "A 29906-2023")</f>
        <v/>
      </c>
      <c r="V113">
        <f>HYPERLINK("https://klasma.github.io/Logging_0380/klagomål/A 29906-2023 FSC-klagomål.docx", "A 29906-2023")</f>
        <v/>
      </c>
      <c r="W113">
        <f>HYPERLINK("https://klasma.github.io/Logging_0380/klagomålsmail/A 29906-2023 FSC-klagomål mail.docx", "A 29906-2023")</f>
        <v/>
      </c>
      <c r="X113">
        <f>HYPERLINK("https://klasma.github.io/Logging_0380/tillsyn/A 29906-2023 tillsynsbegäran.docx", "A 29906-2023")</f>
        <v/>
      </c>
      <c r="Y113">
        <f>HYPERLINK("https://klasma.github.io/Logging_0380/tillsynsmail/A 29906-2023 tillsynsbegäran mail.docx", "A 29906-2023")</f>
        <v/>
      </c>
    </row>
    <row r="114" ht="15" customHeight="1">
      <c r="A114" t="inlineStr">
        <is>
          <t>A 39741-2023</t>
        </is>
      </c>
      <c r="B114" s="1" t="n">
        <v>45167</v>
      </c>
      <c r="C114" s="1" t="n">
        <v>45987</v>
      </c>
      <c r="D114" t="inlineStr">
        <is>
          <t>UPPSALA LÄN</t>
        </is>
      </c>
      <c r="E114" t="inlineStr">
        <is>
          <t>UPPSALA</t>
        </is>
      </c>
      <c r="G114" t="n">
        <v>5.6</v>
      </c>
      <c r="H114" t="n">
        <v>1</v>
      </c>
      <c r="I114" t="n">
        <v>0</v>
      </c>
      <c r="J114" t="n">
        <v>1</v>
      </c>
      <c r="K114" t="n">
        <v>0</v>
      </c>
      <c r="L114" t="n">
        <v>0</v>
      </c>
      <c r="M114" t="n">
        <v>0</v>
      </c>
      <c r="N114" t="n">
        <v>0</v>
      </c>
      <c r="O114" t="n">
        <v>1</v>
      </c>
      <c r="P114" t="n">
        <v>0</v>
      </c>
      <c r="Q114" t="n">
        <v>1</v>
      </c>
      <c r="R114" s="2" t="inlineStr">
        <is>
          <t>Entita</t>
        </is>
      </c>
      <c r="S114">
        <f>HYPERLINK("https://klasma.github.io/Logging_0380/artfynd/A 39741-2023 artfynd.xlsx", "A 39741-2023")</f>
        <v/>
      </c>
      <c r="T114">
        <f>HYPERLINK("https://klasma.github.io/Logging_0380/kartor/A 39741-2023 karta.png", "A 39741-2023")</f>
        <v/>
      </c>
      <c r="V114">
        <f>HYPERLINK("https://klasma.github.io/Logging_0380/klagomål/A 39741-2023 FSC-klagomål.docx", "A 39741-2023")</f>
        <v/>
      </c>
      <c r="W114">
        <f>HYPERLINK("https://klasma.github.io/Logging_0380/klagomålsmail/A 39741-2023 FSC-klagomål mail.docx", "A 39741-2023")</f>
        <v/>
      </c>
      <c r="X114">
        <f>HYPERLINK("https://klasma.github.io/Logging_0380/tillsyn/A 39741-2023 tillsynsbegäran.docx", "A 39741-2023")</f>
        <v/>
      </c>
      <c r="Y114">
        <f>HYPERLINK("https://klasma.github.io/Logging_0380/tillsynsmail/A 39741-2023 tillsynsbegäran mail.docx", "A 39741-2023")</f>
        <v/>
      </c>
      <c r="Z114">
        <f>HYPERLINK("https://klasma.github.io/Logging_0380/fåglar/A 39741-2023 prioriterade fågelarter.docx", "A 39741-2023")</f>
        <v/>
      </c>
    </row>
    <row r="115" ht="15" customHeight="1">
      <c r="A115" t="inlineStr">
        <is>
          <t>A 9206-2024</t>
        </is>
      </c>
      <c r="B115" s="1" t="n">
        <v>45358</v>
      </c>
      <c r="C115" s="1" t="n">
        <v>45987</v>
      </c>
      <c r="D115" t="inlineStr">
        <is>
          <t>UPPSALA LÄN</t>
        </is>
      </c>
      <c r="E115" t="inlineStr">
        <is>
          <t>UPPSALA</t>
        </is>
      </c>
      <c r="F115" t="inlineStr">
        <is>
          <t>Allmännings- och besparingsskogar</t>
        </is>
      </c>
      <c r="G115" t="n">
        <v>22.2</v>
      </c>
      <c r="H115" t="n">
        <v>1</v>
      </c>
      <c r="I115" t="n">
        <v>0</v>
      </c>
      <c r="J115" t="n">
        <v>0</v>
      </c>
      <c r="K115" t="n">
        <v>1</v>
      </c>
      <c r="L115" t="n">
        <v>0</v>
      </c>
      <c r="M115" t="n">
        <v>0</v>
      </c>
      <c r="N115" t="n">
        <v>0</v>
      </c>
      <c r="O115" t="n">
        <v>1</v>
      </c>
      <c r="P115" t="n">
        <v>1</v>
      </c>
      <c r="Q115" t="n">
        <v>1</v>
      </c>
      <c r="R115" s="2" t="inlineStr">
        <is>
          <t>Knärot</t>
        </is>
      </c>
      <c r="S115">
        <f>HYPERLINK("https://klasma.github.io/Logging_0380/artfynd/A 9206-2024 artfynd.xlsx", "A 9206-2024")</f>
        <v/>
      </c>
      <c r="T115">
        <f>HYPERLINK("https://klasma.github.io/Logging_0380/kartor/A 9206-2024 karta.png", "A 9206-2024")</f>
        <v/>
      </c>
      <c r="U115">
        <f>HYPERLINK("https://klasma.github.io/Logging_0380/knärot/A 9206-2024 karta knärot.png", "A 9206-2024")</f>
        <v/>
      </c>
      <c r="V115">
        <f>HYPERLINK("https://klasma.github.io/Logging_0380/klagomål/A 9206-2024 FSC-klagomål.docx", "A 9206-2024")</f>
        <v/>
      </c>
      <c r="W115">
        <f>HYPERLINK("https://klasma.github.io/Logging_0380/klagomålsmail/A 9206-2024 FSC-klagomål mail.docx", "A 9206-2024")</f>
        <v/>
      </c>
      <c r="X115">
        <f>HYPERLINK("https://klasma.github.io/Logging_0380/tillsyn/A 9206-2024 tillsynsbegäran.docx", "A 9206-2024")</f>
        <v/>
      </c>
      <c r="Y115">
        <f>HYPERLINK("https://klasma.github.io/Logging_0380/tillsynsmail/A 9206-2024 tillsynsbegäran mail.docx", "A 9206-2024")</f>
        <v/>
      </c>
    </row>
    <row r="116" ht="15" customHeight="1">
      <c r="A116" t="inlineStr">
        <is>
          <t>A 6044-2024</t>
        </is>
      </c>
      <c r="B116" s="1" t="n">
        <v>45336</v>
      </c>
      <c r="C116" s="1" t="n">
        <v>45987</v>
      </c>
      <c r="D116" t="inlineStr">
        <is>
          <t>UPPSALA LÄN</t>
        </is>
      </c>
      <c r="E116" t="inlineStr">
        <is>
          <t>UPPSALA</t>
        </is>
      </c>
      <c r="F116" t="inlineStr">
        <is>
          <t>Holmen skog AB</t>
        </is>
      </c>
      <c r="G116" t="n">
        <v>7.4</v>
      </c>
      <c r="H116" t="n">
        <v>0</v>
      </c>
      <c r="I116" t="n">
        <v>0</v>
      </c>
      <c r="J116" t="n">
        <v>1</v>
      </c>
      <c r="K116" t="n">
        <v>0</v>
      </c>
      <c r="L116" t="n">
        <v>0</v>
      </c>
      <c r="M116" t="n">
        <v>0</v>
      </c>
      <c r="N116" t="n">
        <v>0</v>
      </c>
      <c r="O116" t="n">
        <v>1</v>
      </c>
      <c r="P116" t="n">
        <v>0</v>
      </c>
      <c r="Q116" t="n">
        <v>1</v>
      </c>
      <c r="R116" s="2" t="inlineStr">
        <is>
          <t>Gul dropplav</t>
        </is>
      </c>
      <c r="S116">
        <f>HYPERLINK("https://klasma.github.io/Logging_0380/artfynd/A 6044-2024 artfynd.xlsx", "A 6044-2024")</f>
        <v/>
      </c>
      <c r="T116">
        <f>HYPERLINK("https://klasma.github.io/Logging_0380/kartor/A 6044-2024 karta.png", "A 6044-2024")</f>
        <v/>
      </c>
      <c r="V116">
        <f>HYPERLINK("https://klasma.github.io/Logging_0380/klagomål/A 6044-2024 FSC-klagomål.docx", "A 6044-2024")</f>
        <v/>
      </c>
      <c r="W116">
        <f>HYPERLINK("https://klasma.github.io/Logging_0380/klagomålsmail/A 6044-2024 FSC-klagomål mail.docx", "A 6044-2024")</f>
        <v/>
      </c>
      <c r="X116">
        <f>HYPERLINK("https://klasma.github.io/Logging_0380/tillsyn/A 6044-2024 tillsynsbegäran.docx", "A 6044-2024")</f>
        <v/>
      </c>
      <c r="Y116">
        <f>HYPERLINK("https://klasma.github.io/Logging_0380/tillsynsmail/A 6044-2024 tillsynsbegäran mail.docx", "A 6044-2024")</f>
        <v/>
      </c>
    </row>
    <row r="117" ht="15" customHeight="1">
      <c r="A117" t="inlineStr">
        <is>
          <t>A 844-2025</t>
        </is>
      </c>
      <c r="B117" s="1" t="n">
        <v>45665</v>
      </c>
      <c r="C117" s="1" t="n">
        <v>45987</v>
      </c>
      <c r="D117" t="inlineStr">
        <is>
          <t>UPPSALA LÄN</t>
        </is>
      </c>
      <c r="E117" t="inlineStr">
        <is>
          <t>UPPSALA</t>
        </is>
      </c>
      <c r="G117" t="n">
        <v>2.6</v>
      </c>
      <c r="H117" t="n">
        <v>1</v>
      </c>
      <c r="I117" t="n">
        <v>0</v>
      </c>
      <c r="J117" t="n">
        <v>0</v>
      </c>
      <c r="K117" t="n">
        <v>0</v>
      </c>
      <c r="L117" t="n">
        <v>0</v>
      </c>
      <c r="M117" t="n">
        <v>0</v>
      </c>
      <c r="N117" t="n">
        <v>0</v>
      </c>
      <c r="O117" t="n">
        <v>0</v>
      </c>
      <c r="P117" t="n">
        <v>0</v>
      </c>
      <c r="Q117" t="n">
        <v>1</v>
      </c>
      <c r="R117" s="2" t="inlineStr">
        <is>
          <t>Tjäder</t>
        </is>
      </c>
      <c r="S117">
        <f>HYPERLINK("https://klasma.github.io/Logging_0380/artfynd/A 844-2025 artfynd.xlsx", "A 844-2025")</f>
        <v/>
      </c>
      <c r="T117">
        <f>HYPERLINK("https://klasma.github.io/Logging_0380/kartor/A 844-2025 karta.png", "A 844-2025")</f>
        <v/>
      </c>
      <c r="V117">
        <f>HYPERLINK("https://klasma.github.io/Logging_0380/klagomål/A 844-2025 FSC-klagomål.docx", "A 844-2025")</f>
        <v/>
      </c>
      <c r="W117">
        <f>HYPERLINK("https://klasma.github.io/Logging_0380/klagomålsmail/A 844-2025 FSC-klagomål mail.docx", "A 844-2025")</f>
        <v/>
      </c>
      <c r="X117">
        <f>HYPERLINK("https://klasma.github.io/Logging_0380/tillsyn/A 844-2025 tillsynsbegäran.docx", "A 844-2025")</f>
        <v/>
      </c>
      <c r="Y117">
        <f>HYPERLINK("https://klasma.github.io/Logging_0380/tillsynsmail/A 844-2025 tillsynsbegäran mail.docx", "A 844-2025")</f>
        <v/>
      </c>
      <c r="Z117">
        <f>HYPERLINK("https://klasma.github.io/Logging_0380/fåglar/A 844-2025 prioriterade fågelarter.docx", "A 844-2025")</f>
        <v/>
      </c>
    </row>
    <row r="118" ht="15" customHeight="1">
      <c r="A118" t="inlineStr">
        <is>
          <t>A 61830-2022</t>
        </is>
      </c>
      <c r="B118" s="1" t="n">
        <v>44917.59298611111</v>
      </c>
      <c r="C118" s="1" t="n">
        <v>45987</v>
      </c>
      <c r="D118" t="inlineStr">
        <is>
          <t>UPPSALA LÄN</t>
        </is>
      </c>
      <c r="E118" t="inlineStr">
        <is>
          <t>UPPSALA</t>
        </is>
      </c>
      <c r="F118" t="inlineStr">
        <is>
          <t>Holmen skog AB</t>
        </is>
      </c>
      <c r="G118" t="n">
        <v>1.1</v>
      </c>
      <c r="H118" t="n">
        <v>0</v>
      </c>
      <c r="I118" t="n">
        <v>0</v>
      </c>
      <c r="J118" t="n">
        <v>1</v>
      </c>
      <c r="K118" t="n">
        <v>0</v>
      </c>
      <c r="L118" t="n">
        <v>0</v>
      </c>
      <c r="M118" t="n">
        <v>0</v>
      </c>
      <c r="N118" t="n">
        <v>0</v>
      </c>
      <c r="O118" t="n">
        <v>1</v>
      </c>
      <c r="P118" t="n">
        <v>0</v>
      </c>
      <c r="Q118" t="n">
        <v>1</v>
      </c>
      <c r="R118" s="2" t="inlineStr">
        <is>
          <t>Rödbrun blekspik</t>
        </is>
      </c>
      <c r="S118">
        <f>HYPERLINK("https://klasma.github.io/Logging_0380/artfynd/A 61830-2022 artfynd.xlsx", "A 61830-2022")</f>
        <v/>
      </c>
      <c r="T118">
        <f>HYPERLINK("https://klasma.github.io/Logging_0380/kartor/A 61830-2022 karta.png", "A 61830-2022")</f>
        <v/>
      </c>
      <c r="V118">
        <f>HYPERLINK("https://klasma.github.io/Logging_0380/klagomål/A 61830-2022 FSC-klagomål.docx", "A 61830-2022")</f>
        <v/>
      </c>
      <c r="W118">
        <f>HYPERLINK("https://klasma.github.io/Logging_0380/klagomålsmail/A 61830-2022 FSC-klagomål mail.docx", "A 61830-2022")</f>
        <v/>
      </c>
      <c r="X118">
        <f>HYPERLINK("https://klasma.github.io/Logging_0380/tillsyn/A 61830-2022 tillsynsbegäran.docx", "A 61830-2022")</f>
        <v/>
      </c>
      <c r="Y118">
        <f>HYPERLINK("https://klasma.github.io/Logging_0380/tillsynsmail/A 61830-2022 tillsynsbegäran mail.docx", "A 61830-2022")</f>
        <v/>
      </c>
    </row>
    <row r="119" ht="15" customHeight="1">
      <c r="A119" t="inlineStr">
        <is>
          <t>A 2729-2024</t>
        </is>
      </c>
      <c r="B119" s="1" t="n">
        <v>45314.55579861111</v>
      </c>
      <c r="C119" s="1" t="n">
        <v>45987</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46634-2022</t>
        </is>
      </c>
      <c r="B120" s="1" t="n">
        <v>44849</v>
      </c>
      <c r="C120" s="1" t="n">
        <v>45987</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13093-2024</t>
        </is>
      </c>
      <c r="B121" s="1" t="n">
        <v>45385</v>
      </c>
      <c r="C121" s="1" t="n">
        <v>45987</v>
      </c>
      <c r="D121" t="inlineStr">
        <is>
          <t>UPPSALA LÄN</t>
        </is>
      </c>
      <c r="E121" t="inlineStr">
        <is>
          <t>UPPSALA</t>
        </is>
      </c>
      <c r="G121" t="n">
        <v>1.1</v>
      </c>
      <c r="H121" t="n">
        <v>1</v>
      </c>
      <c r="I121" t="n">
        <v>1</v>
      </c>
      <c r="J121" t="n">
        <v>0</v>
      </c>
      <c r="K121" t="n">
        <v>0</v>
      </c>
      <c r="L121" t="n">
        <v>0</v>
      </c>
      <c r="M121" t="n">
        <v>0</v>
      </c>
      <c r="N121" t="n">
        <v>0</v>
      </c>
      <c r="O121" t="n">
        <v>0</v>
      </c>
      <c r="P121" t="n">
        <v>0</v>
      </c>
      <c r="Q121" t="n">
        <v>1</v>
      </c>
      <c r="R121" s="2" t="inlineStr">
        <is>
          <t>Skogsknipprot</t>
        </is>
      </c>
      <c r="S121">
        <f>HYPERLINK("https://klasma.github.io/Logging_0380/artfynd/A 13093-2024 artfynd.xlsx", "A 13093-2024")</f>
        <v/>
      </c>
      <c r="T121">
        <f>HYPERLINK("https://klasma.github.io/Logging_0380/kartor/A 13093-2024 karta.png", "A 13093-2024")</f>
        <v/>
      </c>
      <c r="V121">
        <f>HYPERLINK("https://klasma.github.io/Logging_0380/klagomål/A 13093-2024 FSC-klagomål.docx", "A 13093-2024")</f>
        <v/>
      </c>
      <c r="W121">
        <f>HYPERLINK("https://klasma.github.io/Logging_0380/klagomålsmail/A 13093-2024 FSC-klagomål mail.docx", "A 13093-2024")</f>
        <v/>
      </c>
      <c r="X121">
        <f>HYPERLINK("https://klasma.github.io/Logging_0380/tillsyn/A 13093-2024 tillsynsbegäran.docx", "A 13093-2024")</f>
        <v/>
      </c>
      <c r="Y121">
        <f>HYPERLINK("https://klasma.github.io/Logging_0380/tillsynsmail/A 13093-2024 tillsynsbegäran mail.docx", "A 13093-2024")</f>
        <v/>
      </c>
    </row>
    <row r="122" ht="15" customHeight="1">
      <c r="A122" t="inlineStr">
        <is>
          <t>A 5732-2025</t>
        </is>
      </c>
      <c r="B122" s="1" t="n">
        <v>45694.49650462963</v>
      </c>
      <c r="C122" s="1" t="n">
        <v>45987</v>
      </c>
      <c r="D122" t="inlineStr">
        <is>
          <t>UPPSALA LÄN</t>
        </is>
      </c>
      <c r="E122" t="inlineStr">
        <is>
          <t>UPPSALA</t>
        </is>
      </c>
      <c r="G122" t="n">
        <v>1.9</v>
      </c>
      <c r="H122" t="n">
        <v>0</v>
      </c>
      <c r="I122" t="n">
        <v>1</v>
      </c>
      <c r="J122" t="n">
        <v>0</v>
      </c>
      <c r="K122" t="n">
        <v>0</v>
      </c>
      <c r="L122" t="n">
        <v>0</v>
      </c>
      <c r="M122" t="n">
        <v>0</v>
      </c>
      <c r="N122" t="n">
        <v>0</v>
      </c>
      <c r="O122" t="n">
        <v>0</v>
      </c>
      <c r="P122" t="n">
        <v>0</v>
      </c>
      <c r="Q122" t="n">
        <v>1</v>
      </c>
      <c r="R122" s="2" t="inlineStr">
        <is>
          <t>Fällmossa</t>
        </is>
      </c>
      <c r="S122">
        <f>HYPERLINK("https://klasma.github.io/Logging_0380/artfynd/A 5732-2025 artfynd.xlsx", "A 5732-2025")</f>
        <v/>
      </c>
      <c r="T122">
        <f>HYPERLINK("https://klasma.github.io/Logging_0380/kartor/A 5732-2025 karta.png", "A 5732-2025")</f>
        <v/>
      </c>
      <c r="V122">
        <f>HYPERLINK("https://klasma.github.io/Logging_0380/klagomål/A 5732-2025 FSC-klagomål.docx", "A 5732-2025")</f>
        <v/>
      </c>
      <c r="W122">
        <f>HYPERLINK("https://klasma.github.io/Logging_0380/klagomålsmail/A 5732-2025 FSC-klagomål mail.docx", "A 5732-2025")</f>
        <v/>
      </c>
      <c r="X122">
        <f>HYPERLINK("https://klasma.github.io/Logging_0380/tillsyn/A 5732-2025 tillsynsbegäran.docx", "A 5732-2025")</f>
        <v/>
      </c>
      <c r="Y122">
        <f>HYPERLINK("https://klasma.github.io/Logging_0380/tillsynsmail/A 5732-2025 tillsynsbegäran mail.docx", "A 5732-2025")</f>
        <v/>
      </c>
    </row>
    <row r="123" ht="15" customHeight="1">
      <c r="A123" t="inlineStr">
        <is>
          <t>A 21801-2025</t>
        </is>
      </c>
      <c r="B123" s="1" t="n">
        <v>45783</v>
      </c>
      <c r="C123" s="1" t="n">
        <v>45987</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4657-2025</t>
        </is>
      </c>
      <c r="B124" s="1" t="n">
        <v>45687</v>
      </c>
      <c r="C124" s="1" t="n">
        <v>45987</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3260-2022</t>
        </is>
      </c>
      <c r="B125" s="1" t="n">
        <v>44583.61803240741</v>
      </c>
      <c r="C125" s="1" t="n">
        <v>45987</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45987</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45987</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45987</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45987</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45987</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45987</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45987</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68139-2021</t>
        </is>
      </c>
      <c r="B133" s="1" t="n">
        <v>44526</v>
      </c>
      <c r="C133" s="1" t="n">
        <v>45987</v>
      </c>
      <c r="D133" t="inlineStr">
        <is>
          <t>UPPSALA LÄN</t>
        </is>
      </c>
      <c r="E133" t="inlineStr">
        <is>
          <t>UPPSALA</t>
        </is>
      </c>
      <c r="F133" t="inlineStr">
        <is>
          <t>Bergvik skog öst AB</t>
        </is>
      </c>
      <c r="G133" t="n">
        <v>3.4</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45987</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45987</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45987</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45987</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45987</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45987</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45987</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45987</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45987</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45987</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45987</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45987</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45987</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45987</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45987</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45987</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1148-2022</t>
        </is>
      </c>
      <c r="B150" s="1" t="n">
        <v>44572.39640046296</v>
      </c>
      <c r="C150" s="1" t="n">
        <v>45987</v>
      </c>
      <c r="D150" t="inlineStr">
        <is>
          <t>UPPSALA LÄN</t>
        </is>
      </c>
      <c r="E150" t="inlineStr">
        <is>
          <t>UPPSALA</t>
        </is>
      </c>
      <c r="F150" t="inlineStr">
        <is>
          <t>Kyrkan</t>
        </is>
      </c>
      <c r="G150" t="n">
        <v>0.5</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45987</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45987</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45987</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45987</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45987</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45987</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45987</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45987</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45987</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45987</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45987</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45987</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45987</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45987</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45987</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45987</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45987</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45987</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45987</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45987</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45987</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45987</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45987</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45987</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45987</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45987</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45987</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45987</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45987</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45987</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45987</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21387-2022</t>
        </is>
      </c>
      <c r="B182" s="1" t="n">
        <v>44705.78475694444</v>
      </c>
      <c r="C182" s="1" t="n">
        <v>45987</v>
      </c>
      <c r="D182" t="inlineStr">
        <is>
          <t>UPPSALA LÄN</t>
        </is>
      </c>
      <c r="E182" t="inlineStr">
        <is>
          <t>UPPSALA</t>
        </is>
      </c>
      <c r="G182" t="n">
        <v>2.2</v>
      </c>
      <c r="H182" t="n">
        <v>0</v>
      </c>
      <c r="I182" t="n">
        <v>0</v>
      </c>
      <c r="J182" t="n">
        <v>0</v>
      </c>
      <c r="K182" t="n">
        <v>0</v>
      </c>
      <c r="L182" t="n">
        <v>0</v>
      </c>
      <c r="M182" t="n">
        <v>0</v>
      </c>
      <c r="N182" t="n">
        <v>0</v>
      </c>
      <c r="O182" t="n">
        <v>0</v>
      </c>
      <c r="P182" t="n">
        <v>0</v>
      </c>
      <c r="Q182" t="n">
        <v>0</v>
      </c>
      <c r="R182" s="2" t="inlineStr"/>
    </row>
    <row r="183" ht="15" customHeight="1">
      <c r="A183" t="inlineStr">
        <is>
          <t>A 21391-2022</t>
        </is>
      </c>
      <c r="B183" s="1" t="n">
        <v>44705.83326388889</v>
      </c>
      <c r="C183" s="1" t="n">
        <v>45987</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45987</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45987</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45987</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45987</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45987</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13009-2022</t>
        </is>
      </c>
      <c r="B189" s="1" t="n">
        <v>44643.51446759259</v>
      </c>
      <c r="C189" s="1" t="n">
        <v>45987</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45987</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45987</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45987</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45987</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45987</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45987</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45987</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45987</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45987</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45987</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22946-2021</t>
        </is>
      </c>
      <c r="B200" s="1" t="n">
        <v>44328.57100694445</v>
      </c>
      <c r="C200" s="1" t="n">
        <v>45987</v>
      </c>
      <c r="D200" t="inlineStr">
        <is>
          <t>UPPSALA LÄN</t>
        </is>
      </c>
      <c r="E200" t="inlineStr">
        <is>
          <t>UPPSALA</t>
        </is>
      </c>
      <c r="G200" t="n">
        <v>2.3</v>
      </c>
      <c r="H200" t="n">
        <v>0</v>
      </c>
      <c r="I200" t="n">
        <v>0</v>
      </c>
      <c r="J200" t="n">
        <v>0</v>
      </c>
      <c r="K200" t="n">
        <v>0</v>
      </c>
      <c r="L200" t="n">
        <v>0</v>
      </c>
      <c r="M200" t="n">
        <v>0</v>
      </c>
      <c r="N200" t="n">
        <v>0</v>
      </c>
      <c r="O200" t="n">
        <v>0</v>
      </c>
      <c r="P200" t="n">
        <v>0</v>
      </c>
      <c r="Q200" t="n">
        <v>0</v>
      </c>
      <c r="R200" s="2" t="inlineStr"/>
    </row>
    <row r="201" ht="15" customHeight="1">
      <c r="A201" t="inlineStr">
        <is>
          <t>A 1936-2022</t>
        </is>
      </c>
      <c r="B201" s="1" t="n">
        <v>44575.4366087963</v>
      </c>
      <c r="C201" s="1" t="n">
        <v>45987</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45987</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45987</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45987</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45987</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45987</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45987</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45987</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45987</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11693-2022</t>
        </is>
      </c>
      <c r="B210" s="1" t="n">
        <v>44634</v>
      </c>
      <c r="C210" s="1" t="n">
        <v>45987</v>
      </c>
      <c r="D210" t="inlineStr">
        <is>
          <t>UPPSALA LÄN</t>
        </is>
      </c>
      <c r="E210" t="inlineStr">
        <is>
          <t>UPPSALA</t>
        </is>
      </c>
      <c r="G210" t="n">
        <v>4</v>
      </c>
      <c r="H210" t="n">
        <v>0</v>
      </c>
      <c r="I210" t="n">
        <v>0</v>
      </c>
      <c r="J210" t="n">
        <v>0</v>
      </c>
      <c r="K210" t="n">
        <v>0</v>
      </c>
      <c r="L210" t="n">
        <v>0</v>
      </c>
      <c r="M210" t="n">
        <v>0</v>
      </c>
      <c r="N210" t="n">
        <v>0</v>
      </c>
      <c r="O210" t="n">
        <v>0</v>
      </c>
      <c r="P210" t="n">
        <v>0</v>
      </c>
      <c r="Q210" t="n">
        <v>0</v>
      </c>
      <c r="R210" s="2" t="inlineStr"/>
    </row>
    <row r="211" ht="15" customHeight="1">
      <c r="A211" t="inlineStr">
        <is>
          <t>A 65964-2021</t>
        </is>
      </c>
      <c r="B211" s="1" t="n">
        <v>44517</v>
      </c>
      <c r="C211" s="1" t="n">
        <v>45987</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45987</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45987</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45987</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45987</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45987</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5081-2022</t>
        </is>
      </c>
      <c r="B217" s="1" t="n">
        <v>44593</v>
      </c>
      <c r="C217" s="1" t="n">
        <v>45987</v>
      </c>
      <c r="D217" t="inlineStr">
        <is>
          <t>UPPSALA LÄN</t>
        </is>
      </c>
      <c r="E217" t="inlineStr">
        <is>
          <t>UPPSALA</t>
        </is>
      </c>
      <c r="G217" t="n">
        <v>3</v>
      </c>
      <c r="H217" t="n">
        <v>0</v>
      </c>
      <c r="I217" t="n">
        <v>0</v>
      </c>
      <c r="J217" t="n">
        <v>0</v>
      </c>
      <c r="K217" t="n">
        <v>0</v>
      </c>
      <c r="L217" t="n">
        <v>0</v>
      </c>
      <c r="M217" t="n">
        <v>0</v>
      </c>
      <c r="N217" t="n">
        <v>0</v>
      </c>
      <c r="O217" t="n">
        <v>0</v>
      </c>
      <c r="P217" t="n">
        <v>0</v>
      </c>
      <c r="Q217" t="n">
        <v>0</v>
      </c>
      <c r="R217" s="2" t="inlineStr"/>
    </row>
    <row r="218" ht="15" customHeight="1">
      <c r="A218" t="inlineStr">
        <is>
          <t>A 50092-2022</t>
        </is>
      </c>
      <c r="B218" s="1" t="n">
        <v>44865</v>
      </c>
      <c r="C218" s="1" t="n">
        <v>45987</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45987</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45987</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45987</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45987</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45987</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45987</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45987</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45987</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45987</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45987</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45987</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45987</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45987</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45987</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45987</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45987</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45987</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45987</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45987</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45987</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45987</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43855-2023</t>
        </is>
      </c>
      <c r="B240" s="1" t="n">
        <v>45187.61136574074</v>
      </c>
      <c r="C240" s="1" t="n">
        <v>45987</v>
      </c>
      <c r="D240" t="inlineStr">
        <is>
          <t>UPPSALA LÄN</t>
        </is>
      </c>
      <c r="E240" t="inlineStr">
        <is>
          <t>UPPSALA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11173-2024</t>
        </is>
      </c>
      <c r="B241" s="1" t="n">
        <v>45371.50738425926</v>
      </c>
      <c r="C241" s="1" t="n">
        <v>45987</v>
      </c>
      <c r="D241" t="inlineStr">
        <is>
          <t>UPPSALA LÄN</t>
        </is>
      </c>
      <c r="E241" t="inlineStr">
        <is>
          <t>UPPSALA</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45987</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11103-2025</t>
        </is>
      </c>
      <c r="B243" s="1" t="n">
        <v>45723</v>
      </c>
      <c r="C243" s="1" t="n">
        <v>45987</v>
      </c>
      <c r="D243" t="inlineStr">
        <is>
          <t>UPPSALA LÄN</t>
        </is>
      </c>
      <c r="E243" t="inlineStr">
        <is>
          <t>UPPSALA</t>
        </is>
      </c>
      <c r="G243" t="n">
        <v>7.9</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45987</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45987</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43032-2022</t>
        </is>
      </c>
      <c r="B246" s="1" t="n">
        <v>44832</v>
      </c>
      <c r="C246" s="1" t="n">
        <v>45987</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48571-2023</t>
        </is>
      </c>
      <c r="B247" s="1" t="n">
        <v>45208.46130787037</v>
      </c>
      <c r="C247" s="1" t="n">
        <v>45987</v>
      </c>
      <c r="D247" t="inlineStr">
        <is>
          <t>UPPSALA LÄN</t>
        </is>
      </c>
      <c r="E247" t="inlineStr">
        <is>
          <t>UPPSALA</t>
        </is>
      </c>
      <c r="G247" t="n">
        <v>1.8</v>
      </c>
      <c r="H247" t="n">
        <v>0</v>
      </c>
      <c r="I247" t="n">
        <v>0</v>
      </c>
      <c r="J247" t="n">
        <v>0</v>
      </c>
      <c r="K247" t="n">
        <v>0</v>
      </c>
      <c r="L247" t="n">
        <v>0</v>
      </c>
      <c r="M247" t="n">
        <v>0</v>
      </c>
      <c r="N247" t="n">
        <v>0</v>
      </c>
      <c r="O247" t="n">
        <v>0</v>
      </c>
      <c r="P247" t="n">
        <v>0</v>
      </c>
      <c r="Q247" t="n">
        <v>0</v>
      </c>
      <c r="R247" s="2" t="inlineStr"/>
    </row>
    <row r="248" ht="15" customHeight="1">
      <c r="A248" t="inlineStr">
        <is>
          <t>A 54715-2022</t>
        </is>
      </c>
      <c r="B248" s="1" t="n">
        <v>44883</v>
      </c>
      <c r="C248" s="1" t="n">
        <v>45987</v>
      </c>
      <c r="D248" t="inlineStr">
        <is>
          <t>UPPSALA LÄN</t>
        </is>
      </c>
      <c r="E248" t="inlineStr">
        <is>
          <t>UPPSALA</t>
        </is>
      </c>
      <c r="F248" t="inlineStr">
        <is>
          <t>Övriga Aktiebolag</t>
        </is>
      </c>
      <c r="G248" t="n">
        <v>9.5</v>
      </c>
      <c r="H248" t="n">
        <v>0</v>
      </c>
      <c r="I248" t="n">
        <v>0</v>
      </c>
      <c r="J248" t="n">
        <v>0</v>
      </c>
      <c r="K248" t="n">
        <v>0</v>
      </c>
      <c r="L248" t="n">
        <v>0</v>
      </c>
      <c r="M248" t="n">
        <v>0</v>
      </c>
      <c r="N248" t="n">
        <v>0</v>
      </c>
      <c r="O248" t="n">
        <v>0</v>
      </c>
      <c r="P248" t="n">
        <v>0</v>
      </c>
      <c r="Q248" t="n">
        <v>0</v>
      </c>
      <c r="R248" s="2" t="inlineStr"/>
    </row>
    <row r="249" ht="15" customHeight="1">
      <c r="A249" t="inlineStr">
        <is>
          <t>A 50954-2022</t>
        </is>
      </c>
      <c r="B249" s="1" t="n">
        <v>44866</v>
      </c>
      <c r="C249" s="1" t="n">
        <v>45987</v>
      </c>
      <c r="D249" t="inlineStr">
        <is>
          <t>UPPSALA LÄN</t>
        </is>
      </c>
      <c r="E249" t="inlineStr">
        <is>
          <t>UPPSALA</t>
        </is>
      </c>
      <c r="G249" t="n">
        <v>0.6</v>
      </c>
      <c r="H249" t="n">
        <v>0</v>
      </c>
      <c r="I249" t="n">
        <v>0</v>
      </c>
      <c r="J249" t="n">
        <v>0</v>
      </c>
      <c r="K249" t="n">
        <v>0</v>
      </c>
      <c r="L249" t="n">
        <v>0</v>
      </c>
      <c r="M249" t="n">
        <v>0</v>
      </c>
      <c r="N249" t="n">
        <v>0</v>
      </c>
      <c r="O249" t="n">
        <v>0</v>
      </c>
      <c r="P249" t="n">
        <v>0</v>
      </c>
      <c r="Q249" t="n">
        <v>0</v>
      </c>
      <c r="R249" s="2" t="inlineStr"/>
    </row>
    <row r="250" ht="15" customHeight="1">
      <c r="A250" t="inlineStr">
        <is>
          <t>A 14400-2025</t>
        </is>
      </c>
      <c r="B250" s="1" t="n">
        <v>45741.45114583334</v>
      </c>
      <c r="C250" s="1" t="n">
        <v>45987</v>
      </c>
      <c r="D250" t="inlineStr">
        <is>
          <t>UPPSALA LÄN</t>
        </is>
      </c>
      <c r="E250" t="inlineStr">
        <is>
          <t>UPPSALA</t>
        </is>
      </c>
      <c r="G250" t="n">
        <v>6.6</v>
      </c>
      <c r="H250" t="n">
        <v>0</v>
      </c>
      <c r="I250" t="n">
        <v>0</v>
      </c>
      <c r="J250" t="n">
        <v>0</v>
      </c>
      <c r="K250" t="n">
        <v>0</v>
      </c>
      <c r="L250" t="n">
        <v>0</v>
      </c>
      <c r="M250" t="n">
        <v>0</v>
      </c>
      <c r="N250" t="n">
        <v>0</v>
      </c>
      <c r="O250" t="n">
        <v>0</v>
      </c>
      <c r="P250" t="n">
        <v>0</v>
      </c>
      <c r="Q250" t="n">
        <v>0</v>
      </c>
      <c r="R250" s="2" t="inlineStr"/>
    </row>
    <row r="251" ht="15" customHeight="1">
      <c r="A251" t="inlineStr">
        <is>
          <t>A 46069-2022</t>
        </is>
      </c>
      <c r="B251" s="1" t="n">
        <v>44847</v>
      </c>
      <c r="C251" s="1" t="n">
        <v>45987</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42622-2022</t>
        </is>
      </c>
      <c r="B252" s="1" t="n">
        <v>44831</v>
      </c>
      <c r="C252" s="1" t="n">
        <v>45987</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45987</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45987</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17658-2025</t>
        </is>
      </c>
      <c r="B255" s="1" t="n">
        <v>45758</v>
      </c>
      <c r="C255" s="1" t="n">
        <v>45987</v>
      </c>
      <c r="D255" t="inlineStr">
        <is>
          <t>UPPSALA LÄN</t>
        </is>
      </c>
      <c r="E255" t="inlineStr">
        <is>
          <t>UPPSALA</t>
        </is>
      </c>
      <c r="G255" t="n">
        <v>1.5</v>
      </c>
      <c r="H255" t="n">
        <v>0</v>
      </c>
      <c r="I255" t="n">
        <v>0</v>
      </c>
      <c r="J255" t="n">
        <v>0</v>
      </c>
      <c r="K255" t="n">
        <v>0</v>
      </c>
      <c r="L255" t="n">
        <v>0</v>
      </c>
      <c r="M255" t="n">
        <v>0</v>
      </c>
      <c r="N255" t="n">
        <v>0</v>
      </c>
      <c r="O255" t="n">
        <v>0</v>
      </c>
      <c r="P255" t="n">
        <v>0</v>
      </c>
      <c r="Q255" t="n">
        <v>0</v>
      </c>
      <c r="R255" s="2" t="inlineStr"/>
    </row>
    <row r="256" ht="15" customHeight="1">
      <c r="A256" t="inlineStr">
        <is>
          <t>A 37588-2022</t>
        </is>
      </c>
      <c r="B256" s="1" t="n">
        <v>44809.92752314815</v>
      </c>
      <c r="C256" s="1" t="n">
        <v>45987</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32276-2021</t>
        </is>
      </c>
      <c r="B257" s="1" t="n">
        <v>44371.49178240741</v>
      </c>
      <c r="C257" s="1" t="n">
        <v>45987</v>
      </c>
      <c r="D257" t="inlineStr">
        <is>
          <t>UPPSALA LÄN</t>
        </is>
      </c>
      <c r="E257" t="inlineStr">
        <is>
          <t>UPPSALA</t>
        </is>
      </c>
      <c r="G257" t="n">
        <v>3.7</v>
      </c>
      <c r="H257" t="n">
        <v>0</v>
      </c>
      <c r="I257" t="n">
        <v>0</v>
      </c>
      <c r="J257" t="n">
        <v>0</v>
      </c>
      <c r="K257" t="n">
        <v>0</v>
      </c>
      <c r="L257" t="n">
        <v>0</v>
      </c>
      <c r="M257" t="n">
        <v>0</v>
      </c>
      <c r="N257" t="n">
        <v>0</v>
      </c>
      <c r="O257" t="n">
        <v>0</v>
      </c>
      <c r="P257" t="n">
        <v>0</v>
      </c>
      <c r="Q257" t="n">
        <v>0</v>
      </c>
      <c r="R257" s="2" t="inlineStr"/>
    </row>
    <row r="258" ht="15" customHeight="1">
      <c r="A258" t="inlineStr">
        <is>
          <t>A 37670-2022</t>
        </is>
      </c>
      <c r="B258" s="1" t="n">
        <v>44810</v>
      </c>
      <c r="C258" s="1" t="n">
        <v>45987</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27068-2023</t>
        </is>
      </c>
      <c r="B259" s="1" t="n">
        <v>45096</v>
      </c>
      <c r="C259" s="1" t="n">
        <v>45987</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37162-2021</t>
        </is>
      </c>
      <c r="B260" s="1" t="n">
        <v>44395</v>
      </c>
      <c r="C260" s="1" t="n">
        <v>45987</v>
      </c>
      <c r="D260" t="inlineStr">
        <is>
          <t>UPPSALA LÄN</t>
        </is>
      </c>
      <c r="E260" t="inlineStr">
        <is>
          <t>UPPSALA</t>
        </is>
      </c>
      <c r="G260" t="n">
        <v>3.5</v>
      </c>
      <c r="H260" t="n">
        <v>0</v>
      </c>
      <c r="I260" t="n">
        <v>0</v>
      </c>
      <c r="J260" t="n">
        <v>0</v>
      </c>
      <c r="K260" t="n">
        <v>0</v>
      </c>
      <c r="L260" t="n">
        <v>0</v>
      </c>
      <c r="M260" t="n">
        <v>0</v>
      </c>
      <c r="N260" t="n">
        <v>0</v>
      </c>
      <c r="O260" t="n">
        <v>0</v>
      </c>
      <c r="P260" t="n">
        <v>0</v>
      </c>
      <c r="Q260" t="n">
        <v>0</v>
      </c>
      <c r="R260" s="2" t="inlineStr"/>
    </row>
    <row r="261" ht="15" customHeight="1">
      <c r="A261" t="inlineStr">
        <is>
          <t>A 73531-2021</t>
        </is>
      </c>
      <c r="B261" s="1" t="n">
        <v>44551.76711805556</v>
      </c>
      <c r="C261" s="1" t="n">
        <v>45987</v>
      </c>
      <c r="D261" t="inlineStr">
        <is>
          <t>UPPSALA LÄN</t>
        </is>
      </c>
      <c r="E261" t="inlineStr">
        <is>
          <t>UPPSALA</t>
        </is>
      </c>
      <c r="F261" t="inlineStr">
        <is>
          <t>Holmen skog AB</t>
        </is>
      </c>
      <c r="G261" t="n">
        <v>1.9</v>
      </c>
      <c r="H261" t="n">
        <v>0</v>
      </c>
      <c r="I261" t="n">
        <v>0</v>
      </c>
      <c r="J261" t="n">
        <v>0</v>
      </c>
      <c r="K261" t="n">
        <v>0</v>
      </c>
      <c r="L261" t="n">
        <v>0</v>
      </c>
      <c r="M261" t="n">
        <v>0</v>
      </c>
      <c r="N261" t="n">
        <v>0</v>
      </c>
      <c r="O261" t="n">
        <v>0</v>
      </c>
      <c r="P261" t="n">
        <v>0</v>
      </c>
      <c r="Q261" t="n">
        <v>0</v>
      </c>
      <c r="R261" s="2" t="inlineStr"/>
    </row>
    <row r="262" ht="15" customHeight="1">
      <c r="A262" t="inlineStr">
        <is>
          <t>A 4509-2024</t>
        </is>
      </c>
      <c r="B262" s="1" t="n">
        <v>45327</v>
      </c>
      <c r="C262" s="1" t="n">
        <v>45987</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53900-2023</t>
        </is>
      </c>
      <c r="B263" s="1" t="n">
        <v>45231.54601851852</v>
      </c>
      <c r="C263" s="1" t="n">
        <v>45987</v>
      </c>
      <c r="D263" t="inlineStr">
        <is>
          <t>UPPSALA LÄN</t>
        </is>
      </c>
      <c r="E263" t="inlineStr">
        <is>
          <t>UPPSALA</t>
        </is>
      </c>
      <c r="G263" t="n">
        <v>2.1</v>
      </c>
      <c r="H263" t="n">
        <v>0</v>
      </c>
      <c r="I263" t="n">
        <v>0</v>
      </c>
      <c r="J263" t="n">
        <v>0</v>
      </c>
      <c r="K263" t="n">
        <v>0</v>
      </c>
      <c r="L263" t="n">
        <v>0</v>
      </c>
      <c r="M263" t="n">
        <v>0</v>
      </c>
      <c r="N263" t="n">
        <v>0</v>
      </c>
      <c r="O263" t="n">
        <v>0</v>
      </c>
      <c r="P263" t="n">
        <v>0</v>
      </c>
      <c r="Q263" t="n">
        <v>0</v>
      </c>
      <c r="R263" s="2" t="inlineStr"/>
    </row>
    <row r="264" ht="15" customHeight="1">
      <c r="A264" t="inlineStr">
        <is>
          <t>A 60781-2023</t>
        </is>
      </c>
      <c r="B264" s="1" t="n">
        <v>45259</v>
      </c>
      <c r="C264" s="1" t="n">
        <v>45987</v>
      </c>
      <c r="D264" t="inlineStr">
        <is>
          <t>UPPSALA LÄN</t>
        </is>
      </c>
      <c r="E264" t="inlineStr">
        <is>
          <t>UPPSALA</t>
        </is>
      </c>
      <c r="G264" t="n">
        <v>4.1</v>
      </c>
      <c r="H264" t="n">
        <v>0</v>
      </c>
      <c r="I264" t="n">
        <v>0</v>
      </c>
      <c r="J264" t="n">
        <v>0</v>
      </c>
      <c r="K264" t="n">
        <v>0</v>
      </c>
      <c r="L264" t="n">
        <v>0</v>
      </c>
      <c r="M264" t="n">
        <v>0</v>
      </c>
      <c r="N264" t="n">
        <v>0</v>
      </c>
      <c r="O264" t="n">
        <v>0</v>
      </c>
      <c r="P264" t="n">
        <v>0</v>
      </c>
      <c r="Q264" t="n">
        <v>0</v>
      </c>
      <c r="R264" s="2" t="inlineStr"/>
    </row>
    <row r="265" ht="15" customHeight="1">
      <c r="A265" t="inlineStr">
        <is>
          <t>A 60714-2023</t>
        </is>
      </c>
      <c r="B265" s="1" t="n">
        <v>45259</v>
      </c>
      <c r="C265" s="1" t="n">
        <v>45987</v>
      </c>
      <c r="D265" t="inlineStr">
        <is>
          <t>UPPSALA LÄN</t>
        </is>
      </c>
      <c r="E265" t="inlineStr">
        <is>
          <t>UPPSALA</t>
        </is>
      </c>
      <c r="G265" t="n">
        <v>3.3</v>
      </c>
      <c r="H265" t="n">
        <v>0</v>
      </c>
      <c r="I265" t="n">
        <v>0</v>
      </c>
      <c r="J265" t="n">
        <v>0</v>
      </c>
      <c r="K265" t="n">
        <v>0</v>
      </c>
      <c r="L265" t="n">
        <v>0</v>
      </c>
      <c r="M265" t="n">
        <v>0</v>
      </c>
      <c r="N265" t="n">
        <v>0</v>
      </c>
      <c r="O265" t="n">
        <v>0</v>
      </c>
      <c r="P265" t="n">
        <v>0</v>
      </c>
      <c r="Q265" t="n">
        <v>0</v>
      </c>
      <c r="R265" s="2" t="inlineStr"/>
    </row>
    <row r="266" ht="15" customHeight="1">
      <c r="A266" t="inlineStr">
        <is>
          <t>A 54813-2022</t>
        </is>
      </c>
      <c r="B266" s="1" t="n">
        <v>44883</v>
      </c>
      <c r="C266" s="1" t="n">
        <v>45987</v>
      </c>
      <c r="D266" t="inlineStr">
        <is>
          <t>UPPSALA LÄN</t>
        </is>
      </c>
      <c r="E266" t="inlineStr">
        <is>
          <t>UPPSALA</t>
        </is>
      </c>
      <c r="G266" t="n">
        <v>1.1</v>
      </c>
      <c r="H266" t="n">
        <v>0</v>
      </c>
      <c r="I266" t="n">
        <v>0</v>
      </c>
      <c r="J266" t="n">
        <v>0</v>
      </c>
      <c r="K266" t="n">
        <v>0</v>
      </c>
      <c r="L266" t="n">
        <v>0</v>
      </c>
      <c r="M266" t="n">
        <v>0</v>
      </c>
      <c r="N266" t="n">
        <v>0</v>
      </c>
      <c r="O266" t="n">
        <v>0</v>
      </c>
      <c r="P266" t="n">
        <v>0</v>
      </c>
      <c r="Q266" t="n">
        <v>0</v>
      </c>
      <c r="R266" s="2" t="inlineStr"/>
    </row>
    <row r="267" ht="15" customHeight="1">
      <c r="A267" t="inlineStr">
        <is>
          <t>A 46635-2022</t>
        </is>
      </c>
      <c r="B267" s="1" t="n">
        <v>44849</v>
      </c>
      <c r="C267" s="1" t="n">
        <v>45987</v>
      </c>
      <c r="D267" t="inlineStr">
        <is>
          <t>UPPSALA LÄN</t>
        </is>
      </c>
      <c r="E267" t="inlineStr">
        <is>
          <t>UPPSALA</t>
        </is>
      </c>
      <c r="G267" t="n">
        <v>3.4</v>
      </c>
      <c r="H267" t="n">
        <v>0</v>
      </c>
      <c r="I267" t="n">
        <v>0</v>
      </c>
      <c r="J267" t="n">
        <v>0</v>
      </c>
      <c r="K267" t="n">
        <v>0</v>
      </c>
      <c r="L267" t="n">
        <v>0</v>
      </c>
      <c r="M267" t="n">
        <v>0</v>
      </c>
      <c r="N267" t="n">
        <v>0</v>
      </c>
      <c r="O267" t="n">
        <v>0</v>
      </c>
      <c r="P267" t="n">
        <v>0</v>
      </c>
      <c r="Q267" t="n">
        <v>0</v>
      </c>
      <c r="R267" s="2" t="inlineStr"/>
    </row>
    <row r="268" ht="15" customHeight="1">
      <c r="A268" t="inlineStr">
        <is>
          <t>A 5876-2024</t>
        </is>
      </c>
      <c r="B268" s="1" t="n">
        <v>45335.66331018518</v>
      </c>
      <c r="C268" s="1" t="n">
        <v>45987</v>
      </c>
      <c r="D268" t="inlineStr">
        <is>
          <t>UPPSALA LÄN</t>
        </is>
      </c>
      <c r="E268" t="inlineStr">
        <is>
          <t>UPPSALA</t>
        </is>
      </c>
      <c r="F268" t="inlineStr">
        <is>
          <t>Kyrkan</t>
        </is>
      </c>
      <c r="G268" t="n">
        <v>1.7</v>
      </c>
      <c r="H268" t="n">
        <v>0</v>
      </c>
      <c r="I268" t="n">
        <v>0</v>
      </c>
      <c r="J268" t="n">
        <v>0</v>
      </c>
      <c r="K268" t="n">
        <v>0</v>
      </c>
      <c r="L268" t="n">
        <v>0</v>
      </c>
      <c r="M268" t="n">
        <v>0</v>
      </c>
      <c r="N268" t="n">
        <v>0</v>
      </c>
      <c r="O268" t="n">
        <v>0</v>
      </c>
      <c r="P268" t="n">
        <v>0</v>
      </c>
      <c r="Q268" t="n">
        <v>0</v>
      </c>
      <c r="R268" s="2" t="inlineStr"/>
    </row>
    <row r="269" ht="15" customHeight="1">
      <c r="A269" t="inlineStr">
        <is>
          <t>A 38469-2025</t>
        </is>
      </c>
      <c r="B269" s="1" t="n">
        <v>45884</v>
      </c>
      <c r="C269" s="1" t="n">
        <v>45987</v>
      </c>
      <c r="D269" t="inlineStr">
        <is>
          <t>UPPSALA LÄN</t>
        </is>
      </c>
      <c r="E269" t="inlineStr">
        <is>
          <t>UPPSALA</t>
        </is>
      </c>
      <c r="G269" t="n">
        <v>2</v>
      </c>
      <c r="H269" t="n">
        <v>0</v>
      </c>
      <c r="I269" t="n">
        <v>0</v>
      </c>
      <c r="J269" t="n">
        <v>0</v>
      </c>
      <c r="K269" t="n">
        <v>0</v>
      </c>
      <c r="L269" t="n">
        <v>0</v>
      </c>
      <c r="M269" t="n">
        <v>0</v>
      </c>
      <c r="N269" t="n">
        <v>0</v>
      </c>
      <c r="O269" t="n">
        <v>0</v>
      </c>
      <c r="P269" t="n">
        <v>0</v>
      </c>
      <c r="Q269" t="n">
        <v>0</v>
      </c>
      <c r="R269" s="2" t="inlineStr"/>
    </row>
    <row r="270" ht="15" customHeight="1">
      <c r="A270" t="inlineStr">
        <is>
          <t>A 45885-2023</t>
        </is>
      </c>
      <c r="B270" s="1" t="n">
        <v>45195.64807870371</v>
      </c>
      <c r="C270" s="1" t="n">
        <v>45987</v>
      </c>
      <c r="D270" t="inlineStr">
        <is>
          <t>UPPSALA LÄN</t>
        </is>
      </c>
      <c r="E270" t="inlineStr">
        <is>
          <t>UPPSALA</t>
        </is>
      </c>
      <c r="G270" t="n">
        <v>6.5</v>
      </c>
      <c r="H270" t="n">
        <v>0</v>
      </c>
      <c r="I270" t="n">
        <v>0</v>
      </c>
      <c r="J270" t="n">
        <v>0</v>
      </c>
      <c r="K270" t="n">
        <v>0</v>
      </c>
      <c r="L270" t="n">
        <v>0</v>
      </c>
      <c r="M270" t="n">
        <v>0</v>
      </c>
      <c r="N270" t="n">
        <v>0</v>
      </c>
      <c r="O270" t="n">
        <v>0</v>
      </c>
      <c r="P270" t="n">
        <v>0</v>
      </c>
      <c r="Q270" t="n">
        <v>0</v>
      </c>
      <c r="R270" s="2" t="inlineStr"/>
    </row>
    <row r="271" ht="15" customHeight="1">
      <c r="A271" t="inlineStr">
        <is>
          <t>A 1573-2021</t>
        </is>
      </c>
      <c r="B271" s="1" t="n">
        <v>44209</v>
      </c>
      <c r="C271" s="1" t="n">
        <v>45987</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59098-2024</t>
        </is>
      </c>
      <c r="B272" s="1" t="n">
        <v>45636</v>
      </c>
      <c r="C272" s="1" t="n">
        <v>45987</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14026-2021</t>
        </is>
      </c>
      <c r="B273" s="1" t="n">
        <v>44277.65650462963</v>
      </c>
      <c r="C273" s="1" t="n">
        <v>45987</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56889-2022</t>
        </is>
      </c>
      <c r="B274" s="1" t="n">
        <v>44894.57065972222</v>
      </c>
      <c r="C274" s="1" t="n">
        <v>45987</v>
      </c>
      <c r="D274" t="inlineStr">
        <is>
          <t>UPPSALA LÄN</t>
        </is>
      </c>
      <c r="E274" t="inlineStr">
        <is>
          <t>UPPSALA</t>
        </is>
      </c>
      <c r="F274" t="inlineStr">
        <is>
          <t>Övriga Aktiebolag</t>
        </is>
      </c>
      <c r="G274" t="n">
        <v>21.6</v>
      </c>
      <c r="H274" t="n">
        <v>0</v>
      </c>
      <c r="I274" t="n">
        <v>0</v>
      </c>
      <c r="J274" t="n">
        <v>0</v>
      </c>
      <c r="K274" t="n">
        <v>0</v>
      </c>
      <c r="L274" t="n">
        <v>0</v>
      </c>
      <c r="M274" t="n">
        <v>0</v>
      </c>
      <c r="N274" t="n">
        <v>0</v>
      </c>
      <c r="O274" t="n">
        <v>0</v>
      </c>
      <c r="P274" t="n">
        <v>0</v>
      </c>
      <c r="Q274" t="n">
        <v>0</v>
      </c>
      <c r="R274" s="2" t="inlineStr"/>
    </row>
    <row r="275" ht="15" customHeight="1">
      <c r="A275" t="inlineStr">
        <is>
          <t>A 30319-2024</t>
        </is>
      </c>
      <c r="B275" s="1" t="n">
        <v>45490</v>
      </c>
      <c r="C275" s="1" t="n">
        <v>45987</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6677-2024</t>
        </is>
      </c>
      <c r="B276" s="1" t="n">
        <v>45341</v>
      </c>
      <c r="C276" s="1" t="n">
        <v>45987</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20903-2024</t>
        </is>
      </c>
      <c r="B277" s="1" t="n">
        <v>45439</v>
      </c>
      <c r="C277" s="1" t="n">
        <v>45987</v>
      </c>
      <c r="D277" t="inlineStr">
        <is>
          <t>UPPSALA LÄN</t>
        </is>
      </c>
      <c r="E277" t="inlineStr">
        <is>
          <t>UPPSALA</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19539-2024</t>
        </is>
      </c>
      <c r="B278" s="1" t="n">
        <v>45429</v>
      </c>
      <c r="C278" s="1" t="n">
        <v>45987</v>
      </c>
      <c r="D278" t="inlineStr">
        <is>
          <t>UPPSALA LÄN</t>
        </is>
      </c>
      <c r="E278" t="inlineStr">
        <is>
          <t>UPPSALA</t>
        </is>
      </c>
      <c r="G278" t="n">
        <v>1.9</v>
      </c>
      <c r="H278" t="n">
        <v>0</v>
      </c>
      <c r="I278" t="n">
        <v>0</v>
      </c>
      <c r="J278" t="n">
        <v>0</v>
      </c>
      <c r="K278" t="n">
        <v>0</v>
      </c>
      <c r="L278" t="n">
        <v>0</v>
      </c>
      <c r="M278" t="n">
        <v>0</v>
      </c>
      <c r="N278" t="n">
        <v>0</v>
      </c>
      <c r="O278" t="n">
        <v>0</v>
      </c>
      <c r="P278" t="n">
        <v>0</v>
      </c>
      <c r="Q278" t="n">
        <v>0</v>
      </c>
      <c r="R278" s="2" t="inlineStr"/>
    </row>
    <row r="279" ht="15" customHeight="1">
      <c r="A279" t="inlineStr">
        <is>
          <t>A 6630-2024</t>
        </is>
      </c>
      <c r="B279" s="1" t="n">
        <v>45341.63811342593</v>
      </c>
      <c r="C279" s="1" t="n">
        <v>45987</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24284-2025</t>
        </is>
      </c>
      <c r="B280" s="1" t="n">
        <v>45797.45900462963</v>
      </c>
      <c r="C280" s="1" t="n">
        <v>45987</v>
      </c>
      <c r="D280" t="inlineStr">
        <is>
          <t>UPPSALA LÄN</t>
        </is>
      </c>
      <c r="E280" t="inlineStr">
        <is>
          <t>UPPSALA</t>
        </is>
      </c>
      <c r="F280" t="inlineStr">
        <is>
          <t>Holmen skog AB</t>
        </is>
      </c>
      <c r="G280" t="n">
        <v>12.7</v>
      </c>
      <c r="H280" t="n">
        <v>0</v>
      </c>
      <c r="I280" t="n">
        <v>0</v>
      </c>
      <c r="J280" t="n">
        <v>0</v>
      </c>
      <c r="K280" t="n">
        <v>0</v>
      </c>
      <c r="L280" t="n">
        <v>0</v>
      </c>
      <c r="M280" t="n">
        <v>0</v>
      </c>
      <c r="N280" t="n">
        <v>0</v>
      </c>
      <c r="O280" t="n">
        <v>0</v>
      </c>
      <c r="P280" t="n">
        <v>0</v>
      </c>
      <c r="Q280" t="n">
        <v>0</v>
      </c>
      <c r="R280" s="2" t="inlineStr"/>
    </row>
    <row r="281" ht="15" customHeight="1">
      <c r="A281" t="inlineStr">
        <is>
          <t>A 1032-2023</t>
        </is>
      </c>
      <c r="B281" s="1" t="n">
        <v>44935</v>
      </c>
      <c r="C281" s="1" t="n">
        <v>45987</v>
      </c>
      <c r="D281" t="inlineStr">
        <is>
          <t>UPPSALA LÄN</t>
        </is>
      </c>
      <c r="E281" t="inlineStr">
        <is>
          <t>UPPSALA</t>
        </is>
      </c>
      <c r="G281" t="n">
        <v>0.8</v>
      </c>
      <c r="H281" t="n">
        <v>0</v>
      </c>
      <c r="I281" t="n">
        <v>0</v>
      </c>
      <c r="J281" t="n">
        <v>0</v>
      </c>
      <c r="K281" t="n">
        <v>0</v>
      </c>
      <c r="L281" t="n">
        <v>0</v>
      </c>
      <c r="M281" t="n">
        <v>0</v>
      </c>
      <c r="N281" t="n">
        <v>0</v>
      </c>
      <c r="O281" t="n">
        <v>0</v>
      </c>
      <c r="P281" t="n">
        <v>0</v>
      </c>
      <c r="Q281" t="n">
        <v>0</v>
      </c>
      <c r="R281" s="2" t="inlineStr"/>
    </row>
    <row r="282" ht="15" customHeight="1">
      <c r="A282" t="inlineStr">
        <is>
          <t>A 53569-2024</t>
        </is>
      </c>
      <c r="B282" s="1" t="n">
        <v>45614.65928240741</v>
      </c>
      <c r="C282" s="1" t="n">
        <v>45987</v>
      </c>
      <c r="D282" t="inlineStr">
        <is>
          <t>UPPSALA LÄN</t>
        </is>
      </c>
      <c r="E282" t="inlineStr">
        <is>
          <t>UPPSALA</t>
        </is>
      </c>
      <c r="G282" t="n">
        <v>2.7</v>
      </c>
      <c r="H282" t="n">
        <v>0</v>
      </c>
      <c r="I282" t="n">
        <v>0</v>
      </c>
      <c r="J282" t="n">
        <v>0</v>
      </c>
      <c r="K282" t="n">
        <v>0</v>
      </c>
      <c r="L282" t="n">
        <v>0</v>
      </c>
      <c r="M282" t="n">
        <v>0</v>
      </c>
      <c r="N282" t="n">
        <v>0</v>
      </c>
      <c r="O282" t="n">
        <v>0</v>
      </c>
      <c r="P282" t="n">
        <v>0</v>
      </c>
      <c r="Q282" t="n">
        <v>0</v>
      </c>
      <c r="R282" s="2" t="inlineStr"/>
    </row>
    <row r="283" ht="15" customHeight="1">
      <c r="A283" t="inlineStr">
        <is>
          <t>A 24525-2025</t>
        </is>
      </c>
      <c r="B283" s="1" t="n">
        <v>45798.42252314815</v>
      </c>
      <c r="C283" s="1" t="n">
        <v>45987</v>
      </c>
      <c r="D283" t="inlineStr">
        <is>
          <t>UPPSALA LÄN</t>
        </is>
      </c>
      <c r="E283" t="inlineStr">
        <is>
          <t>UPPSALA</t>
        </is>
      </c>
      <c r="G283" t="n">
        <v>3.2</v>
      </c>
      <c r="H283" t="n">
        <v>0</v>
      </c>
      <c r="I283" t="n">
        <v>0</v>
      </c>
      <c r="J283" t="n">
        <v>0</v>
      </c>
      <c r="K283" t="n">
        <v>0</v>
      </c>
      <c r="L283" t="n">
        <v>0</v>
      </c>
      <c r="M283" t="n">
        <v>0</v>
      </c>
      <c r="N283" t="n">
        <v>0</v>
      </c>
      <c r="O283" t="n">
        <v>0</v>
      </c>
      <c r="P283" t="n">
        <v>0</v>
      </c>
      <c r="Q283" t="n">
        <v>0</v>
      </c>
      <c r="R283" s="2" t="inlineStr"/>
    </row>
    <row r="284" ht="15" customHeight="1">
      <c r="A284" t="inlineStr">
        <is>
          <t>A 63011-2021</t>
        </is>
      </c>
      <c r="B284" s="1" t="n">
        <v>44504</v>
      </c>
      <c r="C284" s="1" t="n">
        <v>45987</v>
      </c>
      <c r="D284" t="inlineStr">
        <is>
          <t>UPPSALA LÄN</t>
        </is>
      </c>
      <c r="E284" t="inlineStr">
        <is>
          <t>UPPSALA</t>
        </is>
      </c>
      <c r="G284" t="n">
        <v>11.2</v>
      </c>
      <c r="H284" t="n">
        <v>0</v>
      </c>
      <c r="I284" t="n">
        <v>0</v>
      </c>
      <c r="J284" t="n">
        <v>0</v>
      </c>
      <c r="K284" t="n">
        <v>0</v>
      </c>
      <c r="L284" t="n">
        <v>0</v>
      </c>
      <c r="M284" t="n">
        <v>0</v>
      </c>
      <c r="N284" t="n">
        <v>0</v>
      </c>
      <c r="O284" t="n">
        <v>0</v>
      </c>
      <c r="P284" t="n">
        <v>0</v>
      </c>
      <c r="Q284" t="n">
        <v>0</v>
      </c>
      <c r="R284" s="2" t="inlineStr"/>
    </row>
    <row r="285" ht="15" customHeight="1">
      <c r="A285" t="inlineStr">
        <is>
          <t>A 24268-2025</t>
        </is>
      </c>
      <c r="B285" s="1" t="n">
        <v>45797.42777777778</v>
      </c>
      <c r="C285" s="1" t="n">
        <v>45987</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5006-2022</t>
        </is>
      </c>
      <c r="B286" s="1" t="n">
        <v>44593</v>
      </c>
      <c r="C286" s="1" t="n">
        <v>45987</v>
      </c>
      <c r="D286" t="inlineStr">
        <is>
          <t>UPPSALA LÄN</t>
        </is>
      </c>
      <c r="E286" t="inlineStr">
        <is>
          <t>UPPSALA</t>
        </is>
      </c>
      <c r="F286" t="inlineStr">
        <is>
          <t>BillerudKorsnäs AB</t>
        </is>
      </c>
      <c r="G286" t="n">
        <v>1.4</v>
      </c>
      <c r="H286" t="n">
        <v>0</v>
      </c>
      <c r="I286" t="n">
        <v>0</v>
      </c>
      <c r="J286" t="n">
        <v>0</v>
      </c>
      <c r="K286" t="n">
        <v>0</v>
      </c>
      <c r="L286" t="n">
        <v>0</v>
      </c>
      <c r="M286" t="n">
        <v>0</v>
      </c>
      <c r="N286" t="n">
        <v>0</v>
      </c>
      <c r="O286" t="n">
        <v>0</v>
      </c>
      <c r="P286" t="n">
        <v>0</v>
      </c>
      <c r="Q286" t="n">
        <v>0</v>
      </c>
      <c r="R286" s="2" t="inlineStr"/>
    </row>
    <row r="287" ht="15" customHeight="1">
      <c r="A287" t="inlineStr">
        <is>
          <t>A 44315-2021</t>
        </is>
      </c>
      <c r="B287" s="1" t="n">
        <v>44435.38657407407</v>
      </c>
      <c r="C287" s="1" t="n">
        <v>45987</v>
      </c>
      <c r="D287" t="inlineStr">
        <is>
          <t>UPPSALA LÄN</t>
        </is>
      </c>
      <c r="E287" t="inlineStr">
        <is>
          <t>UPPSALA</t>
        </is>
      </c>
      <c r="G287" t="n">
        <v>5.2</v>
      </c>
      <c r="H287" t="n">
        <v>0</v>
      </c>
      <c r="I287" t="n">
        <v>0</v>
      </c>
      <c r="J287" t="n">
        <v>0</v>
      </c>
      <c r="K287" t="n">
        <v>0</v>
      </c>
      <c r="L287" t="n">
        <v>0</v>
      </c>
      <c r="M287" t="n">
        <v>0</v>
      </c>
      <c r="N287" t="n">
        <v>0</v>
      </c>
      <c r="O287" t="n">
        <v>0</v>
      </c>
      <c r="P287" t="n">
        <v>0</v>
      </c>
      <c r="Q287" t="n">
        <v>0</v>
      </c>
      <c r="R287" s="2" t="inlineStr"/>
    </row>
    <row r="288" ht="15" customHeight="1">
      <c r="A288" t="inlineStr">
        <is>
          <t>A 6851-2022</t>
        </is>
      </c>
      <c r="B288" s="1" t="n">
        <v>44602</v>
      </c>
      <c r="C288" s="1" t="n">
        <v>45987</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6988-2025</t>
        </is>
      </c>
      <c r="B289" s="1" t="n">
        <v>45693</v>
      </c>
      <c r="C289" s="1" t="n">
        <v>45987</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24912-2025</t>
        </is>
      </c>
      <c r="B290" s="1" t="n">
        <v>45799.53803240741</v>
      </c>
      <c r="C290" s="1" t="n">
        <v>45987</v>
      </c>
      <c r="D290" t="inlineStr">
        <is>
          <t>UPPSALA LÄN</t>
        </is>
      </c>
      <c r="E290" t="inlineStr">
        <is>
          <t>UPPSALA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24916-2025</t>
        </is>
      </c>
      <c r="B291" s="1" t="n">
        <v>45799.5421875</v>
      </c>
      <c r="C291" s="1" t="n">
        <v>45987</v>
      </c>
      <c r="D291" t="inlineStr">
        <is>
          <t>UPPSALA LÄN</t>
        </is>
      </c>
      <c r="E291" t="inlineStr">
        <is>
          <t>UPPSALA</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24961-2025</t>
        </is>
      </c>
      <c r="B292" s="1" t="n">
        <v>45799.57714120371</v>
      </c>
      <c r="C292" s="1" t="n">
        <v>45987</v>
      </c>
      <c r="D292" t="inlineStr">
        <is>
          <t>UPPSALA LÄN</t>
        </is>
      </c>
      <c r="E292" t="inlineStr">
        <is>
          <t>UPPSALA</t>
        </is>
      </c>
      <c r="G292" t="n">
        <v>0.7</v>
      </c>
      <c r="H292" t="n">
        <v>0</v>
      </c>
      <c r="I292" t="n">
        <v>0</v>
      </c>
      <c r="J292" t="n">
        <v>0</v>
      </c>
      <c r="K292" t="n">
        <v>0</v>
      </c>
      <c r="L292" t="n">
        <v>0</v>
      </c>
      <c r="M292" t="n">
        <v>0</v>
      </c>
      <c r="N292" t="n">
        <v>0</v>
      </c>
      <c r="O292" t="n">
        <v>0</v>
      </c>
      <c r="P292" t="n">
        <v>0</v>
      </c>
      <c r="Q292" t="n">
        <v>0</v>
      </c>
      <c r="R292" s="2" t="inlineStr"/>
    </row>
    <row r="293" ht="15" customHeight="1">
      <c r="A293" t="inlineStr">
        <is>
          <t>A 25025-2025</t>
        </is>
      </c>
      <c r="B293" s="1" t="n">
        <v>45799.64877314815</v>
      </c>
      <c r="C293" s="1" t="n">
        <v>45987</v>
      </c>
      <c r="D293" t="inlineStr">
        <is>
          <t>UPPSALA LÄN</t>
        </is>
      </c>
      <c r="E293" t="inlineStr">
        <is>
          <t>UPPSALA</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12828-2025</t>
        </is>
      </c>
      <c r="B294" s="1" t="n">
        <v>45733.62903935185</v>
      </c>
      <c r="C294" s="1" t="n">
        <v>45987</v>
      </c>
      <c r="D294" t="inlineStr">
        <is>
          <t>UPPSALA LÄN</t>
        </is>
      </c>
      <c r="E294" t="inlineStr">
        <is>
          <t>UPPSALA</t>
        </is>
      </c>
      <c r="G294" t="n">
        <v>5.3</v>
      </c>
      <c r="H294" t="n">
        <v>0</v>
      </c>
      <c r="I294" t="n">
        <v>0</v>
      </c>
      <c r="J294" t="n">
        <v>0</v>
      </c>
      <c r="K294" t="n">
        <v>0</v>
      </c>
      <c r="L294" t="n">
        <v>0</v>
      </c>
      <c r="M294" t="n">
        <v>0</v>
      </c>
      <c r="N294" t="n">
        <v>0</v>
      </c>
      <c r="O294" t="n">
        <v>0</v>
      </c>
      <c r="P294" t="n">
        <v>0</v>
      </c>
      <c r="Q294" t="n">
        <v>0</v>
      </c>
      <c r="R294" s="2" t="inlineStr"/>
    </row>
    <row r="295" ht="15" customHeight="1">
      <c r="A295" t="inlineStr">
        <is>
          <t>A 9398-2023</t>
        </is>
      </c>
      <c r="B295" s="1" t="n">
        <v>44977</v>
      </c>
      <c r="C295" s="1" t="n">
        <v>45987</v>
      </c>
      <c r="D295" t="inlineStr">
        <is>
          <t>UPPSALA LÄN</t>
        </is>
      </c>
      <c r="E295" t="inlineStr">
        <is>
          <t>UPPSALA</t>
        </is>
      </c>
      <c r="G295" t="n">
        <v>5.1</v>
      </c>
      <c r="H295" t="n">
        <v>0</v>
      </c>
      <c r="I295" t="n">
        <v>0</v>
      </c>
      <c r="J295" t="n">
        <v>0</v>
      </c>
      <c r="K295" t="n">
        <v>0</v>
      </c>
      <c r="L295" t="n">
        <v>0</v>
      </c>
      <c r="M295" t="n">
        <v>0</v>
      </c>
      <c r="N295" t="n">
        <v>0</v>
      </c>
      <c r="O295" t="n">
        <v>0</v>
      </c>
      <c r="P295" t="n">
        <v>0</v>
      </c>
      <c r="Q295" t="n">
        <v>0</v>
      </c>
      <c r="R295" s="2" t="inlineStr"/>
    </row>
    <row r="296" ht="15" customHeight="1">
      <c r="A296" t="inlineStr">
        <is>
          <t>A 24913-2025</t>
        </is>
      </c>
      <c r="B296" s="1" t="n">
        <v>45799.53947916667</v>
      </c>
      <c r="C296" s="1" t="n">
        <v>45987</v>
      </c>
      <c r="D296" t="inlineStr">
        <is>
          <t>UPPSALA LÄN</t>
        </is>
      </c>
      <c r="E296" t="inlineStr">
        <is>
          <t>UPPSALA</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24915-2025</t>
        </is>
      </c>
      <c r="B297" s="1" t="n">
        <v>45799.54104166666</v>
      </c>
      <c r="C297" s="1" t="n">
        <v>45987</v>
      </c>
      <c r="D297" t="inlineStr">
        <is>
          <t>UPPSALA LÄN</t>
        </is>
      </c>
      <c r="E297" t="inlineStr">
        <is>
          <t>UPPSALA</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17595-2025</t>
        </is>
      </c>
      <c r="B298" s="1" t="n">
        <v>45757</v>
      </c>
      <c r="C298" s="1" t="n">
        <v>45987</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32928-2025</t>
        </is>
      </c>
      <c r="B299" s="1" t="n">
        <v>45839</v>
      </c>
      <c r="C299" s="1" t="n">
        <v>45987</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13742-2025</t>
        </is>
      </c>
      <c r="B300" s="1" t="n">
        <v>45737.40503472222</v>
      </c>
      <c r="C300" s="1" t="n">
        <v>45987</v>
      </c>
      <c r="D300" t="inlineStr">
        <is>
          <t>UPPSALA LÄN</t>
        </is>
      </c>
      <c r="E300" t="inlineStr">
        <is>
          <t>UPPSALA</t>
        </is>
      </c>
      <c r="G300" t="n">
        <v>5.1</v>
      </c>
      <c r="H300" t="n">
        <v>0</v>
      </c>
      <c r="I300" t="n">
        <v>0</v>
      </c>
      <c r="J300" t="n">
        <v>0</v>
      </c>
      <c r="K300" t="n">
        <v>0</v>
      </c>
      <c r="L300" t="n">
        <v>0</v>
      </c>
      <c r="M300" t="n">
        <v>0</v>
      </c>
      <c r="N300" t="n">
        <v>0</v>
      </c>
      <c r="O300" t="n">
        <v>0</v>
      </c>
      <c r="P300" t="n">
        <v>0</v>
      </c>
      <c r="Q300" t="n">
        <v>0</v>
      </c>
      <c r="R300" s="2" t="inlineStr"/>
    </row>
    <row r="301" ht="15" customHeight="1">
      <c r="A301" t="inlineStr">
        <is>
          <t>A 25026-2025</t>
        </is>
      </c>
      <c r="B301" s="1" t="n">
        <v>45799.65021990741</v>
      </c>
      <c r="C301" s="1" t="n">
        <v>45987</v>
      </c>
      <c r="D301" t="inlineStr">
        <is>
          <t>UPPSALA LÄN</t>
        </is>
      </c>
      <c r="E301" t="inlineStr">
        <is>
          <t>UPPSALA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25030-2025</t>
        </is>
      </c>
      <c r="B302" s="1" t="n">
        <v>45799.6527199074</v>
      </c>
      <c r="C302" s="1" t="n">
        <v>45987</v>
      </c>
      <c r="D302" t="inlineStr">
        <is>
          <t>UPPSALA LÄN</t>
        </is>
      </c>
      <c r="E302" t="inlineStr">
        <is>
          <t>UPPSALA</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24794-2025</t>
        </is>
      </c>
      <c r="B303" s="1" t="n">
        <v>45799.43496527777</v>
      </c>
      <c r="C303" s="1" t="n">
        <v>45987</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25280-2023</t>
        </is>
      </c>
      <c r="B304" s="1" t="n">
        <v>45086.7037037037</v>
      </c>
      <c r="C304" s="1" t="n">
        <v>45987</v>
      </c>
      <c r="D304" t="inlineStr">
        <is>
          <t>UPPSALA LÄN</t>
        </is>
      </c>
      <c r="E304" t="inlineStr">
        <is>
          <t>UPPSALA</t>
        </is>
      </c>
      <c r="F304" t="inlineStr">
        <is>
          <t>Holmen skog AB</t>
        </is>
      </c>
      <c r="G304" t="n">
        <v>3.2</v>
      </c>
      <c r="H304" t="n">
        <v>0</v>
      </c>
      <c r="I304" t="n">
        <v>0</v>
      </c>
      <c r="J304" t="n">
        <v>0</v>
      </c>
      <c r="K304" t="n">
        <v>0</v>
      </c>
      <c r="L304" t="n">
        <v>0</v>
      </c>
      <c r="M304" t="n">
        <v>0</v>
      </c>
      <c r="N304" t="n">
        <v>0</v>
      </c>
      <c r="O304" t="n">
        <v>0</v>
      </c>
      <c r="P304" t="n">
        <v>0</v>
      </c>
      <c r="Q304" t="n">
        <v>0</v>
      </c>
      <c r="R304" s="2" t="inlineStr"/>
    </row>
    <row r="305" ht="15" customHeight="1">
      <c r="A305" t="inlineStr">
        <is>
          <t>A 10674-2022</t>
        </is>
      </c>
      <c r="B305" s="1" t="n">
        <v>44624.64538194444</v>
      </c>
      <c r="C305" s="1" t="n">
        <v>45987</v>
      </c>
      <c r="D305" t="inlineStr">
        <is>
          <t>UPPSALA LÄN</t>
        </is>
      </c>
      <c r="E305" t="inlineStr">
        <is>
          <t>UPPSALA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15264-2025</t>
        </is>
      </c>
      <c r="B306" s="1" t="n">
        <v>45744</v>
      </c>
      <c r="C306" s="1" t="n">
        <v>45987</v>
      </c>
      <c r="D306" t="inlineStr">
        <is>
          <t>UPPSALA LÄN</t>
        </is>
      </c>
      <c r="E306" t="inlineStr">
        <is>
          <t>UPPSALA</t>
        </is>
      </c>
      <c r="G306" t="n">
        <v>3.5</v>
      </c>
      <c r="H306" t="n">
        <v>0</v>
      </c>
      <c r="I306" t="n">
        <v>0</v>
      </c>
      <c r="J306" t="n">
        <v>0</v>
      </c>
      <c r="K306" t="n">
        <v>0</v>
      </c>
      <c r="L306" t="n">
        <v>0</v>
      </c>
      <c r="M306" t="n">
        <v>0</v>
      </c>
      <c r="N306" t="n">
        <v>0</v>
      </c>
      <c r="O306" t="n">
        <v>0</v>
      </c>
      <c r="P306" t="n">
        <v>0</v>
      </c>
      <c r="Q306" t="n">
        <v>0</v>
      </c>
      <c r="R306" s="2" t="inlineStr"/>
    </row>
    <row r="307" ht="15" customHeight="1">
      <c r="A307" t="inlineStr">
        <is>
          <t>A 6628-2024</t>
        </is>
      </c>
      <c r="B307" s="1" t="n">
        <v>45341</v>
      </c>
      <c r="C307" s="1" t="n">
        <v>45987</v>
      </c>
      <c r="D307" t="inlineStr">
        <is>
          <t>UPPSALA LÄN</t>
        </is>
      </c>
      <c r="E307" t="inlineStr">
        <is>
          <t>UPPSALA</t>
        </is>
      </c>
      <c r="G307" t="n">
        <v>4.3</v>
      </c>
      <c r="H307" t="n">
        <v>0</v>
      </c>
      <c r="I307" t="n">
        <v>0</v>
      </c>
      <c r="J307" t="n">
        <v>0</v>
      </c>
      <c r="K307" t="n">
        <v>0</v>
      </c>
      <c r="L307" t="n">
        <v>0</v>
      </c>
      <c r="M307" t="n">
        <v>0</v>
      </c>
      <c r="N307" t="n">
        <v>0</v>
      </c>
      <c r="O307" t="n">
        <v>0</v>
      </c>
      <c r="P307" t="n">
        <v>0</v>
      </c>
      <c r="Q307" t="n">
        <v>0</v>
      </c>
      <c r="R307" s="2" t="inlineStr"/>
    </row>
    <row r="308" ht="15" customHeight="1">
      <c r="A308" t="inlineStr">
        <is>
          <t>A 52197-2024</t>
        </is>
      </c>
      <c r="B308" s="1" t="n">
        <v>45608</v>
      </c>
      <c r="C308" s="1" t="n">
        <v>45987</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54924-2024</t>
        </is>
      </c>
      <c r="B309" s="1" t="n">
        <v>45618.71140046296</v>
      </c>
      <c r="C309" s="1" t="n">
        <v>45987</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12293-2022</t>
        </is>
      </c>
      <c r="B310" s="1" t="n">
        <v>44637.56178240741</v>
      </c>
      <c r="C310" s="1" t="n">
        <v>45987</v>
      </c>
      <c r="D310" t="inlineStr">
        <is>
          <t>UPPSALA LÄN</t>
        </is>
      </c>
      <c r="E310" t="inlineStr">
        <is>
          <t>UPPSALA</t>
        </is>
      </c>
      <c r="F310" t="inlineStr">
        <is>
          <t>Kommuner</t>
        </is>
      </c>
      <c r="G310" t="n">
        <v>0.8</v>
      </c>
      <c r="H310" t="n">
        <v>0</v>
      </c>
      <c r="I310" t="n">
        <v>0</v>
      </c>
      <c r="J310" t="n">
        <v>0</v>
      </c>
      <c r="K310" t="n">
        <v>0</v>
      </c>
      <c r="L310" t="n">
        <v>0</v>
      </c>
      <c r="M310" t="n">
        <v>0</v>
      </c>
      <c r="N310" t="n">
        <v>0</v>
      </c>
      <c r="O310" t="n">
        <v>0</v>
      </c>
      <c r="P310" t="n">
        <v>0</v>
      </c>
      <c r="Q310" t="n">
        <v>0</v>
      </c>
      <c r="R310" s="2" t="inlineStr"/>
    </row>
    <row r="311" ht="15" customHeight="1">
      <c r="A311" t="inlineStr">
        <is>
          <t>A 25513-2025</t>
        </is>
      </c>
      <c r="B311" s="1" t="n">
        <v>45803.36384259259</v>
      </c>
      <c r="C311" s="1" t="n">
        <v>45987</v>
      </c>
      <c r="D311" t="inlineStr">
        <is>
          <t>UPPSALA LÄN</t>
        </is>
      </c>
      <c r="E311" t="inlineStr">
        <is>
          <t>UPPSALA</t>
        </is>
      </c>
      <c r="F311" t="inlineStr">
        <is>
          <t>Bergvik skog öst AB</t>
        </is>
      </c>
      <c r="G311" t="n">
        <v>8.9</v>
      </c>
      <c r="H311" t="n">
        <v>0</v>
      </c>
      <c r="I311" t="n">
        <v>0</v>
      </c>
      <c r="J311" t="n">
        <v>0</v>
      </c>
      <c r="K311" t="n">
        <v>0</v>
      </c>
      <c r="L311" t="n">
        <v>0</v>
      </c>
      <c r="M311" t="n">
        <v>0</v>
      </c>
      <c r="N311" t="n">
        <v>0</v>
      </c>
      <c r="O311" t="n">
        <v>0</v>
      </c>
      <c r="P311" t="n">
        <v>0</v>
      </c>
      <c r="Q311" t="n">
        <v>0</v>
      </c>
      <c r="R311" s="2" t="inlineStr"/>
    </row>
    <row r="312" ht="15" customHeight="1">
      <c r="A312" t="inlineStr">
        <is>
          <t>A 39529-2025</t>
        </is>
      </c>
      <c r="B312" s="1" t="n">
        <v>45890</v>
      </c>
      <c r="C312" s="1" t="n">
        <v>45987</v>
      </c>
      <c r="D312" t="inlineStr">
        <is>
          <t>UPPSALA LÄN</t>
        </is>
      </c>
      <c r="E312" t="inlineStr">
        <is>
          <t>UPPSALA</t>
        </is>
      </c>
      <c r="F312" t="inlineStr">
        <is>
          <t>Allmännings- och besparingsskogar</t>
        </is>
      </c>
      <c r="G312" t="n">
        <v>3.9</v>
      </c>
      <c r="H312" t="n">
        <v>0</v>
      </c>
      <c r="I312" t="n">
        <v>0</v>
      </c>
      <c r="J312" t="n">
        <v>0</v>
      </c>
      <c r="K312" t="n">
        <v>0</v>
      </c>
      <c r="L312" t="n">
        <v>0</v>
      </c>
      <c r="M312" t="n">
        <v>0</v>
      </c>
      <c r="N312" t="n">
        <v>0</v>
      </c>
      <c r="O312" t="n">
        <v>0</v>
      </c>
      <c r="P312" t="n">
        <v>0</v>
      </c>
      <c r="Q312" t="n">
        <v>0</v>
      </c>
      <c r="R312" s="2" t="inlineStr"/>
    </row>
    <row r="313" ht="15" customHeight="1">
      <c r="A313" t="inlineStr">
        <is>
          <t>A 23291-2024</t>
        </is>
      </c>
      <c r="B313" s="1" t="n">
        <v>45453</v>
      </c>
      <c r="C313" s="1" t="n">
        <v>45987</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25674-2025</t>
        </is>
      </c>
      <c r="B314" s="1" t="n">
        <v>45803.63395833333</v>
      </c>
      <c r="C314" s="1" t="n">
        <v>45987</v>
      </c>
      <c r="D314" t="inlineStr">
        <is>
          <t>UPPSALA LÄN</t>
        </is>
      </c>
      <c r="E314" t="inlineStr">
        <is>
          <t>UPPSALA</t>
        </is>
      </c>
      <c r="G314" t="n">
        <v>0.9</v>
      </c>
      <c r="H314" t="n">
        <v>0</v>
      </c>
      <c r="I314" t="n">
        <v>0</v>
      </c>
      <c r="J314" t="n">
        <v>0</v>
      </c>
      <c r="K314" t="n">
        <v>0</v>
      </c>
      <c r="L314" t="n">
        <v>0</v>
      </c>
      <c r="M314" t="n">
        <v>0</v>
      </c>
      <c r="N314" t="n">
        <v>0</v>
      </c>
      <c r="O314" t="n">
        <v>0</v>
      </c>
      <c r="P314" t="n">
        <v>0</v>
      </c>
      <c r="Q314" t="n">
        <v>0</v>
      </c>
      <c r="R314" s="2" t="inlineStr"/>
    </row>
    <row r="315" ht="15" customHeight="1">
      <c r="A315" t="inlineStr">
        <is>
          <t>A 34114-2024</t>
        </is>
      </c>
      <c r="B315" s="1" t="n">
        <v>45524</v>
      </c>
      <c r="C315" s="1" t="n">
        <v>45987</v>
      </c>
      <c r="D315" t="inlineStr">
        <is>
          <t>UPPSALA LÄN</t>
        </is>
      </c>
      <c r="E315" t="inlineStr">
        <is>
          <t>UPPSALA</t>
        </is>
      </c>
      <c r="F315" t="inlineStr">
        <is>
          <t>Allmännings- och besparingsskogar</t>
        </is>
      </c>
      <c r="G315" t="n">
        <v>1.3</v>
      </c>
      <c r="H315" t="n">
        <v>0</v>
      </c>
      <c r="I315" t="n">
        <v>0</v>
      </c>
      <c r="J315" t="n">
        <v>0</v>
      </c>
      <c r="K315" t="n">
        <v>0</v>
      </c>
      <c r="L315" t="n">
        <v>0</v>
      </c>
      <c r="M315" t="n">
        <v>0</v>
      </c>
      <c r="N315" t="n">
        <v>0</v>
      </c>
      <c r="O315" t="n">
        <v>0</v>
      </c>
      <c r="P315" t="n">
        <v>0</v>
      </c>
      <c r="Q315" t="n">
        <v>0</v>
      </c>
      <c r="R315" s="2" t="inlineStr"/>
    </row>
    <row r="316" ht="15" customHeight="1">
      <c r="A316" t="inlineStr">
        <is>
          <t>A 26130-2025</t>
        </is>
      </c>
      <c r="B316" s="1" t="n">
        <v>45805.4094675926</v>
      </c>
      <c r="C316" s="1" t="n">
        <v>45987</v>
      </c>
      <c r="D316" t="inlineStr">
        <is>
          <t>UPPSALA LÄN</t>
        </is>
      </c>
      <c r="E316" t="inlineStr">
        <is>
          <t>UPPSALA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7611-2023</t>
        </is>
      </c>
      <c r="B317" s="1" t="n">
        <v>44967</v>
      </c>
      <c r="C317" s="1" t="n">
        <v>45987</v>
      </c>
      <c r="D317" t="inlineStr">
        <is>
          <t>UPPSALA LÄN</t>
        </is>
      </c>
      <c r="E317" t="inlineStr">
        <is>
          <t>UPPSALA</t>
        </is>
      </c>
      <c r="G317" t="n">
        <v>3.5</v>
      </c>
      <c r="H317" t="n">
        <v>0</v>
      </c>
      <c r="I317" t="n">
        <v>0</v>
      </c>
      <c r="J317" t="n">
        <v>0</v>
      </c>
      <c r="K317" t="n">
        <v>0</v>
      </c>
      <c r="L317" t="n">
        <v>0</v>
      </c>
      <c r="M317" t="n">
        <v>0</v>
      </c>
      <c r="N317" t="n">
        <v>0</v>
      </c>
      <c r="O317" t="n">
        <v>0</v>
      </c>
      <c r="P317" t="n">
        <v>0</v>
      </c>
      <c r="Q317" t="n">
        <v>0</v>
      </c>
      <c r="R317" s="2" t="inlineStr"/>
    </row>
    <row r="318" ht="15" customHeight="1">
      <c r="A318" t="inlineStr">
        <is>
          <t>A 26131-2025</t>
        </is>
      </c>
      <c r="B318" s="1" t="n">
        <v>45805.41010416667</v>
      </c>
      <c r="C318" s="1" t="n">
        <v>45987</v>
      </c>
      <c r="D318" t="inlineStr">
        <is>
          <t>UPPSALA LÄN</t>
        </is>
      </c>
      <c r="E318" t="inlineStr">
        <is>
          <t>UPPSALA</t>
        </is>
      </c>
      <c r="F318" t="inlineStr">
        <is>
          <t>Bergvik skog öst AB</t>
        </is>
      </c>
      <c r="G318" t="n">
        <v>3.8</v>
      </c>
      <c r="H318" t="n">
        <v>0</v>
      </c>
      <c r="I318" t="n">
        <v>0</v>
      </c>
      <c r="J318" t="n">
        <v>0</v>
      </c>
      <c r="K318" t="n">
        <v>0</v>
      </c>
      <c r="L318" t="n">
        <v>0</v>
      </c>
      <c r="M318" t="n">
        <v>0</v>
      </c>
      <c r="N318" t="n">
        <v>0</v>
      </c>
      <c r="O318" t="n">
        <v>0</v>
      </c>
      <c r="P318" t="n">
        <v>0</v>
      </c>
      <c r="Q318" t="n">
        <v>0</v>
      </c>
      <c r="R318" s="2" t="inlineStr"/>
    </row>
    <row r="319" ht="15" customHeight="1">
      <c r="A319" t="inlineStr">
        <is>
          <t>A 60056-2022</t>
        </is>
      </c>
      <c r="B319" s="1" t="n">
        <v>44909</v>
      </c>
      <c r="C319" s="1" t="n">
        <v>45987</v>
      </c>
      <c r="D319" t="inlineStr">
        <is>
          <t>UPPSALA LÄN</t>
        </is>
      </c>
      <c r="E319" t="inlineStr">
        <is>
          <t>UPPSALA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26139-2025</t>
        </is>
      </c>
      <c r="B320" s="1" t="n">
        <v>45805.41813657407</v>
      </c>
      <c r="C320" s="1" t="n">
        <v>45987</v>
      </c>
      <c r="D320" t="inlineStr">
        <is>
          <t>UPPSALA LÄN</t>
        </is>
      </c>
      <c r="E320" t="inlineStr">
        <is>
          <t>UPPSALA</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5989-2022</t>
        </is>
      </c>
      <c r="B321" s="1" t="n">
        <v>44599.42277777778</v>
      </c>
      <c r="C321" s="1" t="n">
        <v>45987</v>
      </c>
      <c r="D321" t="inlineStr">
        <is>
          <t>UPPSALA LÄN</t>
        </is>
      </c>
      <c r="E321" t="inlineStr">
        <is>
          <t>UPPSALA</t>
        </is>
      </c>
      <c r="G321" t="n">
        <v>2.8</v>
      </c>
      <c r="H321" t="n">
        <v>0</v>
      </c>
      <c r="I321" t="n">
        <v>0</v>
      </c>
      <c r="J321" t="n">
        <v>0</v>
      </c>
      <c r="K321" t="n">
        <v>0</v>
      </c>
      <c r="L321" t="n">
        <v>0</v>
      </c>
      <c r="M321" t="n">
        <v>0</v>
      </c>
      <c r="N321" t="n">
        <v>0</v>
      </c>
      <c r="O321" t="n">
        <v>0</v>
      </c>
      <c r="P321" t="n">
        <v>0</v>
      </c>
      <c r="Q321" t="n">
        <v>0</v>
      </c>
      <c r="R321" s="2" t="inlineStr"/>
    </row>
    <row r="322" ht="15" customHeight="1">
      <c r="A322" t="inlineStr">
        <is>
          <t>A 5006-2022</t>
        </is>
      </c>
      <c r="B322" s="1" t="n">
        <v>44593</v>
      </c>
      <c r="C322" s="1" t="n">
        <v>45987</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5007-2022</t>
        </is>
      </c>
      <c r="B323" s="1" t="n">
        <v>44593.61355324074</v>
      </c>
      <c r="C323" s="1" t="n">
        <v>45987</v>
      </c>
      <c r="D323" t="inlineStr">
        <is>
          <t>UPPSALA LÄN</t>
        </is>
      </c>
      <c r="E323" t="inlineStr">
        <is>
          <t>UPPSALA</t>
        </is>
      </c>
      <c r="F323" t="inlineStr">
        <is>
          <t>BillerudKorsnäs AB</t>
        </is>
      </c>
      <c r="G323" t="n">
        <v>3.6</v>
      </c>
      <c r="H323" t="n">
        <v>0</v>
      </c>
      <c r="I323" t="n">
        <v>0</v>
      </c>
      <c r="J323" t="n">
        <v>0</v>
      </c>
      <c r="K323" t="n">
        <v>0</v>
      </c>
      <c r="L323" t="n">
        <v>0</v>
      </c>
      <c r="M323" t="n">
        <v>0</v>
      </c>
      <c r="N323" t="n">
        <v>0</v>
      </c>
      <c r="O323" t="n">
        <v>0</v>
      </c>
      <c r="P323" t="n">
        <v>0</v>
      </c>
      <c r="Q323" t="n">
        <v>0</v>
      </c>
      <c r="R323" s="2" t="inlineStr"/>
    </row>
    <row r="324" ht="15" customHeight="1">
      <c r="A324" t="inlineStr">
        <is>
          <t>A 26155-2025</t>
        </is>
      </c>
      <c r="B324" s="1" t="n">
        <v>45805.43402777778</v>
      </c>
      <c r="C324" s="1" t="n">
        <v>45987</v>
      </c>
      <c r="D324" t="inlineStr">
        <is>
          <t>UPPSALA LÄN</t>
        </is>
      </c>
      <c r="E324" t="inlineStr">
        <is>
          <t>UPPSALA</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26141-2025</t>
        </is>
      </c>
      <c r="B325" s="1" t="n">
        <v>45805.4255787037</v>
      </c>
      <c r="C325" s="1" t="n">
        <v>45987</v>
      </c>
      <c r="D325" t="inlineStr">
        <is>
          <t>UPPSALA LÄN</t>
        </is>
      </c>
      <c r="E325" t="inlineStr">
        <is>
          <t>UPPSALA</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7276-2024</t>
        </is>
      </c>
      <c r="B326" s="1" t="n">
        <v>45344</v>
      </c>
      <c r="C326" s="1" t="n">
        <v>45987</v>
      </c>
      <c r="D326" t="inlineStr">
        <is>
          <t>UPPSALA LÄN</t>
        </is>
      </c>
      <c r="E326" t="inlineStr">
        <is>
          <t>UPPSALA</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32127-2024</t>
        </is>
      </c>
      <c r="B327" s="1" t="n">
        <v>45511</v>
      </c>
      <c r="C327" s="1" t="n">
        <v>45987</v>
      </c>
      <c r="D327" t="inlineStr">
        <is>
          <t>UPPSALA LÄN</t>
        </is>
      </c>
      <c r="E327" t="inlineStr">
        <is>
          <t>UPPSALA</t>
        </is>
      </c>
      <c r="G327" t="n">
        <v>3.7</v>
      </c>
      <c r="H327" t="n">
        <v>0</v>
      </c>
      <c r="I327" t="n">
        <v>0</v>
      </c>
      <c r="J327" t="n">
        <v>0</v>
      </c>
      <c r="K327" t="n">
        <v>0</v>
      </c>
      <c r="L327" t="n">
        <v>0</v>
      </c>
      <c r="M327" t="n">
        <v>0</v>
      </c>
      <c r="N327" t="n">
        <v>0</v>
      </c>
      <c r="O327" t="n">
        <v>0</v>
      </c>
      <c r="P327" t="n">
        <v>0</v>
      </c>
      <c r="Q327" t="n">
        <v>0</v>
      </c>
      <c r="R327" s="2" t="inlineStr"/>
    </row>
    <row r="328" ht="15" customHeight="1">
      <c r="A328" t="inlineStr">
        <is>
          <t>A 3040-2023</t>
        </is>
      </c>
      <c r="B328" s="1" t="n">
        <v>44946</v>
      </c>
      <c r="C328" s="1" t="n">
        <v>45987</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18607-2024</t>
        </is>
      </c>
      <c r="B329" s="1" t="n">
        <v>45425.94947916667</v>
      </c>
      <c r="C329" s="1" t="n">
        <v>45987</v>
      </c>
      <c r="D329" t="inlineStr">
        <is>
          <t>UPPSALA LÄN</t>
        </is>
      </c>
      <c r="E329" t="inlineStr">
        <is>
          <t>UPPSALA</t>
        </is>
      </c>
      <c r="G329" t="n">
        <v>4.3</v>
      </c>
      <c r="H329" t="n">
        <v>0</v>
      </c>
      <c r="I329" t="n">
        <v>0</v>
      </c>
      <c r="J329" t="n">
        <v>0</v>
      </c>
      <c r="K329" t="n">
        <v>0</v>
      </c>
      <c r="L329" t="n">
        <v>0</v>
      </c>
      <c r="M329" t="n">
        <v>0</v>
      </c>
      <c r="N329" t="n">
        <v>0</v>
      </c>
      <c r="O329" t="n">
        <v>0</v>
      </c>
      <c r="P329" t="n">
        <v>0</v>
      </c>
      <c r="Q329" t="n">
        <v>0</v>
      </c>
      <c r="R329" s="2" t="inlineStr"/>
    </row>
    <row r="330" ht="15" customHeight="1">
      <c r="A330" t="inlineStr">
        <is>
          <t>A 668-2025</t>
        </is>
      </c>
      <c r="B330" s="1" t="n">
        <v>45664</v>
      </c>
      <c r="C330" s="1" t="n">
        <v>45987</v>
      </c>
      <c r="D330" t="inlineStr">
        <is>
          <t>UPPSALA LÄN</t>
        </is>
      </c>
      <c r="E330" t="inlineStr">
        <is>
          <t>UPPSALA</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45592-2023</t>
        </is>
      </c>
      <c r="B331" s="1" t="n">
        <v>45194.63479166666</v>
      </c>
      <c r="C331" s="1" t="n">
        <v>45987</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26697-2025</t>
        </is>
      </c>
      <c r="B332" s="1" t="n">
        <v>45810.44339120371</v>
      </c>
      <c r="C332" s="1" t="n">
        <v>45987</v>
      </c>
      <c r="D332" t="inlineStr">
        <is>
          <t>UPPSALA LÄN</t>
        </is>
      </c>
      <c r="E332" t="inlineStr">
        <is>
          <t>UPPSALA</t>
        </is>
      </c>
      <c r="F332" t="inlineStr">
        <is>
          <t>Bergvik skog öst AB</t>
        </is>
      </c>
      <c r="G332" t="n">
        <v>2.8</v>
      </c>
      <c r="H332" t="n">
        <v>0</v>
      </c>
      <c r="I332" t="n">
        <v>0</v>
      </c>
      <c r="J332" t="n">
        <v>0</v>
      </c>
      <c r="K332" t="n">
        <v>0</v>
      </c>
      <c r="L332" t="n">
        <v>0</v>
      </c>
      <c r="M332" t="n">
        <v>0</v>
      </c>
      <c r="N332" t="n">
        <v>0</v>
      </c>
      <c r="O332" t="n">
        <v>0</v>
      </c>
      <c r="P332" t="n">
        <v>0</v>
      </c>
      <c r="Q332" t="n">
        <v>0</v>
      </c>
      <c r="R332" s="2" t="inlineStr"/>
    </row>
    <row r="333" ht="15" customHeight="1">
      <c r="A333" t="inlineStr">
        <is>
          <t>A 39792-2025</t>
        </is>
      </c>
      <c r="B333" s="1" t="n">
        <v>45891.4865625</v>
      </c>
      <c r="C333" s="1" t="n">
        <v>45987</v>
      </c>
      <c r="D333" t="inlineStr">
        <is>
          <t>UPPSALA LÄN</t>
        </is>
      </c>
      <c r="E333" t="inlineStr">
        <is>
          <t>UPPSALA</t>
        </is>
      </c>
      <c r="G333" t="n">
        <v>0.9</v>
      </c>
      <c r="H333" t="n">
        <v>0</v>
      </c>
      <c r="I333" t="n">
        <v>0</v>
      </c>
      <c r="J333" t="n">
        <v>0</v>
      </c>
      <c r="K333" t="n">
        <v>0</v>
      </c>
      <c r="L333" t="n">
        <v>0</v>
      </c>
      <c r="M333" t="n">
        <v>0</v>
      </c>
      <c r="N333" t="n">
        <v>0</v>
      </c>
      <c r="O333" t="n">
        <v>0</v>
      </c>
      <c r="P333" t="n">
        <v>0</v>
      </c>
      <c r="Q333" t="n">
        <v>0</v>
      </c>
      <c r="R333" s="2" t="inlineStr"/>
    </row>
    <row r="334" ht="15" customHeight="1">
      <c r="A334" t="inlineStr">
        <is>
          <t>A 49996-2023</t>
        </is>
      </c>
      <c r="B334" s="1" t="n">
        <v>45215.44233796297</v>
      </c>
      <c r="C334" s="1" t="n">
        <v>45987</v>
      </c>
      <c r="D334" t="inlineStr">
        <is>
          <t>UPPSALA LÄN</t>
        </is>
      </c>
      <c r="E334" t="inlineStr">
        <is>
          <t>UPPSALA</t>
        </is>
      </c>
      <c r="G334" t="n">
        <v>2</v>
      </c>
      <c r="H334" t="n">
        <v>0</v>
      </c>
      <c r="I334" t="n">
        <v>0</v>
      </c>
      <c r="J334" t="n">
        <v>0</v>
      </c>
      <c r="K334" t="n">
        <v>0</v>
      </c>
      <c r="L334" t="n">
        <v>0</v>
      </c>
      <c r="M334" t="n">
        <v>0</v>
      </c>
      <c r="N334" t="n">
        <v>0</v>
      </c>
      <c r="O334" t="n">
        <v>0</v>
      </c>
      <c r="P334" t="n">
        <v>0</v>
      </c>
      <c r="Q334" t="n">
        <v>0</v>
      </c>
      <c r="R334" s="2" t="inlineStr"/>
    </row>
    <row r="335" ht="15" customHeight="1">
      <c r="A335" t="inlineStr">
        <is>
          <t>A 42124-2021</t>
        </is>
      </c>
      <c r="B335" s="1" t="n">
        <v>44426</v>
      </c>
      <c r="C335" s="1" t="n">
        <v>45987</v>
      </c>
      <c r="D335" t="inlineStr">
        <is>
          <t>UPPSALA LÄN</t>
        </is>
      </c>
      <c r="E335" t="inlineStr">
        <is>
          <t>UPPSALA</t>
        </is>
      </c>
      <c r="G335" t="n">
        <v>6.3</v>
      </c>
      <c r="H335" t="n">
        <v>0</v>
      </c>
      <c r="I335" t="n">
        <v>0</v>
      </c>
      <c r="J335" t="n">
        <v>0</v>
      </c>
      <c r="K335" t="n">
        <v>0</v>
      </c>
      <c r="L335" t="n">
        <v>0</v>
      </c>
      <c r="M335" t="n">
        <v>0</v>
      </c>
      <c r="N335" t="n">
        <v>0</v>
      </c>
      <c r="O335" t="n">
        <v>0</v>
      </c>
      <c r="P335" t="n">
        <v>0</v>
      </c>
      <c r="Q335" t="n">
        <v>0</v>
      </c>
      <c r="R335" s="2" t="inlineStr"/>
    </row>
    <row r="336" ht="15" customHeight="1">
      <c r="A336" t="inlineStr">
        <is>
          <t>A 39721-2025</t>
        </is>
      </c>
      <c r="B336" s="1" t="n">
        <v>45891.33204861111</v>
      </c>
      <c r="C336" s="1" t="n">
        <v>45987</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7899-2022</t>
        </is>
      </c>
      <c r="B337" s="1" t="n">
        <v>44608</v>
      </c>
      <c r="C337" s="1" t="n">
        <v>45987</v>
      </c>
      <c r="D337" t="inlineStr">
        <is>
          <t>UPPSALA LÄN</t>
        </is>
      </c>
      <c r="E337" t="inlineStr">
        <is>
          <t>UPPSALA</t>
        </is>
      </c>
      <c r="F337" t="inlineStr">
        <is>
          <t>Övriga Aktiebolag</t>
        </is>
      </c>
      <c r="G337" t="n">
        <v>7.1</v>
      </c>
      <c r="H337" t="n">
        <v>0</v>
      </c>
      <c r="I337" t="n">
        <v>0</v>
      </c>
      <c r="J337" t="n">
        <v>0</v>
      </c>
      <c r="K337" t="n">
        <v>0</v>
      </c>
      <c r="L337" t="n">
        <v>0</v>
      </c>
      <c r="M337" t="n">
        <v>0</v>
      </c>
      <c r="N337" t="n">
        <v>0</v>
      </c>
      <c r="O337" t="n">
        <v>0</v>
      </c>
      <c r="P337" t="n">
        <v>0</v>
      </c>
      <c r="Q337" t="n">
        <v>0</v>
      </c>
      <c r="R337" s="2" t="inlineStr"/>
    </row>
    <row r="338" ht="15" customHeight="1">
      <c r="A338" t="inlineStr">
        <is>
          <t>A 26740-2025</t>
        </is>
      </c>
      <c r="B338" s="1" t="n">
        <v>45809</v>
      </c>
      <c r="C338" s="1" t="n">
        <v>45987</v>
      </c>
      <c r="D338" t="inlineStr">
        <is>
          <t>UPPSALA LÄN</t>
        </is>
      </c>
      <c r="E338" t="inlineStr">
        <is>
          <t>UPPSALA</t>
        </is>
      </c>
      <c r="F338" t="inlineStr">
        <is>
          <t>Övriga Aktiebolag</t>
        </is>
      </c>
      <c r="G338" t="n">
        <v>11</v>
      </c>
      <c r="H338" t="n">
        <v>0</v>
      </c>
      <c r="I338" t="n">
        <v>0</v>
      </c>
      <c r="J338" t="n">
        <v>0</v>
      </c>
      <c r="K338" t="n">
        <v>0</v>
      </c>
      <c r="L338" t="n">
        <v>0</v>
      </c>
      <c r="M338" t="n">
        <v>0</v>
      </c>
      <c r="N338" t="n">
        <v>0</v>
      </c>
      <c r="O338" t="n">
        <v>0</v>
      </c>
      <c r="P338" t="n">
        <v>0</v>
      </c>
      <c r="Q338" t="n">
        <v>0</v>
      </c>
      <c r="R338" s="2" t="inlineStr"/>
    </row>
    <row r="339" ht="15" customHeight="1">
      <c r="A339" t="inlineStr">
        <is>
          <t>A 23494-2024</t>
        </is>
      </c>
      <c r="B339" s="1" t="n">
        <v>45453.69339120371</v>
      </c>
      <c r="C339" s="1" t="n">
        <v>45987</v>
      </c>
      <c r="D339" t="inlineStr">
        <is>
          <t>UPPSALA LÄN</t>
        </is>
      </c>
      <c r="E339" t="inlineStr">
        <is>
          <t>UPPSALA</t>
        </is>
      </c>
      <c r="F339" t="inlineStr">
        <is>
          <t>Kyrkan</t>
        </is>
      </c>
      <c r="G339" t="n">
        <v>0.8</v>
      </c>
      <c r="H339" t="n">
        <v>0</v>
      </c>
      <c r="I339" t="n">
        <v>0</v>
      </c>
      <c r="J339" t="n">
        <v>0</v>
      </c>
      <c r="K339" t="n">
        <v>0</v>
      </c>
      <c r="L339" t="n">
        <v>0</v>
      </c>
      <c r="M339" t="n">
        <v>0</v>
      </c>
      <c r="N339" t="n">
        <v>0</v>
      </c>
      <c r="O339" t="n">
        <v>0</v>
      </c>
      <c r="P339" t="n">
        <v>0</v>
      </c>
      <c r="Q339" t="n">
        <v>0</v>
      </c>
      <c r="R339" s="2" t="inlineStr"/>
    </row>
    <row r="340" ht="15" customHeight="1">
      <c r="A340" t="inlineStr">
        <is>
          <t>A 39777-2025</t>
        </is>
      </c>
      <c r="B340" s="1" t="n">
        <v>45891.46827546296</v>
      </c>
      <c r="C340" s="1" t="n">
        <v>45987</v>
      </c>
      <c r="D340" t="inlineStr">
        <is>
          <t>UPPSALA LÄN</t>
        </is>
      </c>
      <c r="E340" t="inlineStr">
        <is>
          <t>UPPSALA</t>
        </is>
      </c>
      <c r="G340" t="n">
        <v>6.5</v>
      </c>
      <c r="H340" t="n">
        <v>0</v>
      </c>
      <c r="I340" t="n">
        <v>0</v>
      </c>
      <c r="J340" t="n">
        <v>0</v>
      </c>
      <c r="K340" t="n">
        <v>0</v>
      </c>
      <c r="L340" t="n">
        <v>0</v>
      </c>
      <c r="M340" t="n">
        <v>0</v>
      </c>
      <c r="N340" t="n">
        <v>0</v>
      </c>
      <c r="O340" t="n">
        <v>0</v>
      </c>
      <c r="P340" t="n">
        <v>0</v>
      </c>
      <c r="Q340" t="n">
        <v>0</v>
      </c>
      <c r="R340" s="2" t="inlineStr"/>
    </row>
    <row r="341" ht="15" customHeight="1">
      <c r="A341" t="inlineStr">
        <is>
          <t>A 26696-2025</t>
        </is>
      </c>
      <c r="B341" s="1" t="n">
        <v>45810.44299768518</v>
      </c>
      <c r="C341" s="1" t="n">
        <v>45987</v>
      </c>
      <c r="D341" t="inlineStr">
        <is>
          <t>UPPSALA LÄN</t>
        </is>
      </c>
      <c r="E341" t="inlineStr">
        <is>
          <t>UPPSALA</t>
        </is>
      </c>
      <c r="F341" t="inlineStr">
        <is>
          <t>Bergvik skog öst AB</t>
        </is>
      </c>
      <c r="G341" t="n">
        <v>7.1</v>
      </c>
      <c r="H341" t="n">
        <v>0</v>
      </c>
      <c r="I341" t="n">
        <v>0</v>
      </c>
      <c r="J341" t="n">
        <v>0</v>
      </c>
      <c r="K341" t="n">
        <v>0</v>
      </c>
      <c r="L341" t="n">
        <v>0</v>
      </c>
      <c r="M341" t="n">
        <v>0</v>
      </c>
      <c r="N341" t="n">
        <v>0</v>
      </c>
      <c r="O341" t="n">
        <v>0</v>
      </c>
      <c r="P341" t="n">
        <v>0</v>
      </c>
      <c r="Q341" t="n">
        <v>0</v>
      </c>
      <c r="R341" s="2" t="inlineStr"/>
    </row>
    <row r="342" ht="15" customHeight="1">
      <c r="A342" t="inlineStr">
        <is>
          <t>A 26713-2025</t>
        </is>
      </c>
      <c r="B342" s="1" t="n">
        <v>45809</v>
      </c>
      <c r="C342" s="1" t="n">
        <v>45987</v>
      </c>
      <c r="D342" t="inlineStr">
        <is>
          <t>UPPSALA LÄN</t>
        </is>
      </c>
      <c r="E342" t="inlineStr">
        <is>
          <t>UPPSALA</t>
        </is>
      </c>
      <c r="G342" t="n">
        <v>3.8</v>
      </c>
      <c r="H342" t="n">
        <v>0</v>
      </c>
      <c r="I342" t="n">
        <v>0</v>
      </c>
      <c r="J342" t="n">
        <v>0</v>
      </c>
      <c r="K342" t="n">
        <v>0</v>
      </c>
      <c r="L342" t="n">
        <v>0</v>
      </c>
      <c r="M342" t="n">
        <v>0</v>
      </c>
      <c r="N342" t="n">
        <v>0</v>
      </c>
      <c r="O342" t="n">
        <v>0</v>
      </c>
      <c r="P342" t="n">
        <v>0</v>
      </c>
      <c r="Q342" t="n">
        <v>0</v>
      </c>
      <c r="R342" s="2" t="inlineStr"/>
    </row>
    <row r="343" ht="15" customHeight="1">
      <c r="A343" t="inlineStr">
        <is>
          <t>A 47316-2023</t>
        </is>
      </c>
      <c r="B343" s="1" t="n">
        <v>45202.4997337963</v>
      </c>
      <c r="C343" s="1" t="n">
        <v>45987</v>
      </c>
      <c r="D343" t="inlineStr">
        <is>
          <t>UPPSALA LÄN</t>
        </is>
      </c>
      <c r="E343" t="inlineStr">
        <is>
          <t>UPPSALA</t>
        </is>
      </c>
      <c r="F343" t="inlineStr">
        <is>
          <t>Bergvik skog öst AB</t>
        </is>
      </c>
      <c r="G343" t="n">
        <v>0.3</v>
      </c>
      <c r="H343" t="n">
        <v>0</v>
      </c>
      <c r="I343" t="n">
        <v>0</v>
      </c>
      <c r="J343" t="n">
        <v>0</v>
      </c>
      <c r="K343" t="n">
        <v>0</v>
      </c>
      <c r="L343" t="n">
        <v>0</v>
      </c>
      <c r="M343" t="n">
        <v>0</v>
      </c>
      <c r="N343" t="n">
        <v>0</v>
      </c>
      <c r="O343" t="n">
        <v>0</v>
      </c>
      <c r="P343" t="n">
        <v>0</v>
      </c>
      <c r="Q343" t="n">
        <v>0</v>
      </c>
      <c r="R343" s="2" t="inlineStr"/>
    </row>
    <row r="344" ht="15" customHeight="1">
      <c r="A344" t="inlineStr">
        <is>
          <t>A 40639-2025</t>
        </is>
      </c>
      <c r="B344" s="1" t="n">
        <v>45896.61050925926</v>
      </c>
      <c r="C344" s="1" t="n">
        <v>45987</v>
      </c>
      <c r="D344" t="inlineStr">
        <is>
          <t>UPPSALA LÄN</t>
        </is>
      </c>
      <c r="E344" t="inlineStr">
        <is>
          <t>UPPSALA</t>
        </is>
      </c>
      <c r="G344" t="n">
        <v>6.9</v>
      </c>
      <c r="H344" t="n">
        <v>0</v>
      </c>
      <c r="I344" t="n">
        <v>0</v>
      </c>
      <c r="J344" t="n">
        <v>0</v>
      </c>
      <c r="K344" t="n">
        <v>0</v>
      </c>
      <c r="L344" t="n">
        <v>0</v>
      </c>
      <c r="M344" t="n">
        <v>0</v>
      </c>
      <c r="N344" t="n">
        <v>0</v>
      </c>
      <c r="O344" t="n">
        <v>0</v>
      </c>
      <c r="P344" t="n">
        <v>0</v>
      </c>
      <c r="Q344" t="n">
        <v>0</v>
      </c>
      <c r="R344" s="2" t="inlineStr"/>
    </row>
    <row r="345" ht="15" customHeight="1">
      <c r="A345" t="inlineStr">
        <is>
          <t>A 40501-2025</t>
        </is>
      </c>
      <c r="B345" s="1" t="n">
        <v>45896</v>
      </c>
      <c r="C345" s="1" t="n">
        <v>45987</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27265-2025</t>
        </is>
      </c>
      <c r="B346" s="1" t="n">
        <v>45812.48032407407</v>
      </c>
      <c r="C346" s="1" t="n">
        <v>45987</v>
      </c>
      <c r="D346" t="inlineStr">
        <is>
          <t>UPPSALA LÄN</t>
        </is>
      </c>
      <c r="E346" t="inlineStr">
        <is>
          <t>UPPSALA</t>
        </is>
      </c>
      <c r="G346" t="n">
        <v>0.5</v>
      </c>
      <c r="H346" t="n">
        <v>0</v>
      </c>
      <c r="I346" t="n">
        <v>0</v>
      </c>
      <c r="J346" t="n">
        <v>0</v>
      </c>
      <c r="K346" t="n">
        <v>0</v>
      </c>
      <c r="L346" t="n">
        <v>0</v>
      </c>
      <c r="M346" t="n">
        <v>0</v>
      </c>
      <c r="N346" t="n">
        <v>0</v>
      </c>
      <c r="O346" t="n">
        <v>0</v>
      </c>
      <c r="P346" t="n">
        <v>0</v>
      </c>
      <c r="Q346" t="n">
        <v>0</v>
      </c>
      <c r="R346" s="2" t="inlineStr"/>
    </row>
    <row r="347" ht="15" customHeight="1">
      <c r="A347" t="inlineStr">
        <is>
          <t>A 40504-2025</t>
        </is>
      </c>
      <c r="B347" s="1" t="n">
        <v>45896</v>
      </c>
      <c r="C347" s="1" t="n">
        <v>45987</v>
      </c>
      <c r="D347" t="inlineStr">
        <is>
          <t>UPPSALA LÄN</t>
        </is>
      </c>
      <c r="E347" t="inlineStr">
        <is>
          <t>UPPSALA</t>
        </is>
      </c>
      <c r="G347" t="n">
        <v>4.4</v>
      </c>
      <c r="H347" t="n">
        <v>0</v>
      </c>
      <c r="I347" t="n">
        <v>0</v>
      </c>
      <c r="J347" t="n">
        <v>0</v>
      </c>
      <c r="K347" t="n">
        <v>0</v>
      </c>
      <c r="L347" t="n">
        <v>0</v>
      </c>
      <c r="M347" t="n">
        <v>0</v>
      </c>
      <c r="N347" t="n">
        <v>0</v>
      </c>
      <c r="O347" t="n">
        <v>0</v>
      </c>
      <c r="P347" t="n">
        <v>0</v>
      </c>
      <c r="Q347" t="n">
        <v>0</v>
      </c>
      <c r="R347" s="2" t="inlineStr"/>
    </row>
    <row r="348" ht="15" customHeight="1">
      <c r="A348" t="inlineStr">
        <is>
          <t>A 40606-2025</t>
        </is>
      </c>
      <c r="B348" s="1" t="n">
        <v>45896.57171296296</v>
      </c>
      <c r="C348" s="1" t="n">
        <v>45987</v>
      </c>
      <c r="D348" t="inlineStr">
        <is>
          <t>UPPSALA LÄN</t>
        </is>
      </c>
      <c r="E348" t="inlineStr">
        <is>
          <t>UPPSALA</t>
        </is>
      </c>
      <c r="G348" t="n">
        <v>3.2</v>
      </c>
      <c r="H348" t="n">
        <v>0</v>
      </c>
      <c r="I348" t="n">
        <v>0</v>
      </c>
      <c r="J348" t="n">
        <v>0</v>
      </c>
      <c r="K348" t="n">
        <v>0</v>
      </c>
      <c r="L348" t="n">
        <v>0</v>
      </c>
      <c r="M348" t="n">
        <v>0</v>
      </c>
      <c r="N348" t="n">
        <v>0</v>
      </c>
      <c r="O348" t="n">
        <v>0</v>
      </c>
      <c r="P348" t="n">
        <v>0</v>
      </c>
      <c r="Q348" t="n">
        <v>0</v>
      </c>
      <c r="R348" s="2" t="inlineStr"/>
    </row>
    <row r="349" ht="15" customHeight="1">
      <c r="A349" t="inlineStr">
        <is>
          <t>A 39818-2024</t>
        </is>
      </c>
      <c r="B349" s="1" t="n">
        <v>45552</v>
      </c>
      <c r="C349" s="1" t="n">
        <v>45987</v>
      </c>
      <c r="D349" t="inlineStr">
        <is>
          <t>UPPSALA LÄN</t>
        </is>
      </c>
      <c r="E349" t="inlineStr">
        <is>
          <t>UPPSALA</t>
        </is>
      </c>
      <c r="G349" t="n">
        <v>1.9</v>
      </c>
      <c r="H349" t="n">
        <v>0</v>
      </c>
      <c r="I349" t="n">
        <v>0</v>
      </c>
      <c r="J349" t="n">
        <v>0</v>
      </c>
      <c r="K349" t="n">
        <v>0</v>
      </c>
      <c r="L349" t="n">
        <v>0</v>
      </c>
      <c r="M349" t="n">
        <v>0</v>
      </c>
      <c r="N349" t="n">
        <v>0</v>
      </c>
      <c r="O349" t="n">
        <v>0</v>
      </c>
      <c r="P349" t="n">
        <v>0</v>
      </c>
      <c r="Q349" t="n">
        <v>0</v>
      </c>
      <c r="R349" s="2" t="inlineStr"/>
    </row>
    <row r="350" ht="15" customHeight="1">
      <c r="A350" t="inlineStr">
        <is>
          <t>A 40610-2025</t>
        </is>
      </c>
      <c r="B350" s="1" t="n">
        <v>45896.57368055556</v>
      </c>
      <c r="C350" s="1" t="n">
        <v>45987</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5663-2023</t>
        </is>
      </c>
      <c r="B351" s="1" t="n">
        <v>44960</v>
      </c>
      <c r="C351" s="1" t="n">
        <v>45987</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5675-2023</t>
        </is>
      </c>
      <c r="B352" s="1" t="n">
        <v>44960.66233796296</v>
      </c>
      <c r="C352" s="1" t="n">
        <v>45987</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41112-2025</t>
        </is>
      </c>
      <c r="B353" s="1" t="n">
        <v>45898.46040509259</v>
      </c>
      <c r="C353" s="1" t="n">
        <v>45987</v>
      </c>
      <c r="D353" t="inlineStr">
        <is>
          <t>UPPSALA LÄN</t>
        </is>
      </c>
      <c r="E353" t="inlineStr">
        <is>
          <t>UPPSALA</t>
        </is>
      </c>
      <c r="G353" t="n">
        <v>3.1</v>
      </c>
      <c r="H353" t="n">
        <v>0</v>
      </c>
      <c r="I353" t="n">
        <v>0</v>
      </c>
      <c r="J353" t="n">
        <v>0</v>
      </c>
      <c r="K353" t="n">
        <v>0</v>
      </c>
      <c r="L353" t="n">
        <v>0</v>
      </c>
      <c r="M353" t="n">
        <v>0</v>
      </c>
      <c r="N353" t="n">
        <v>0</v>
      </c>
      <c r="O353" t="n">
        <v>0</v>
      </c>
      <c r="P353" t="n">
        <v>0</v>
      </c>
      <c r="Q353" t="n">
        <v>0</v>
      </c>
      <c r="R353" s="2" t="inlineStr"/>
    </row>
    <row r="354" ht="15" customHeight="1">
      <c r="A354" t="inlineStr">
        <is>
          <t>A 10489-2025</t>
        </is>
      </c>
      <c r="B354" s="1" t="n">
        <v>45721.34715277778</v>
      </c>
      <c r="C354" s="1" t="n">
        <v>45987</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27917-2025</t>
        </is>
      </c>
      <c r="B355" s="1" t="n">
        <v>45814</v>
      </c>
      <c r="C355" s="1" t="n">
        <v>45987</v>
      </c>
      <c r="D355" t="inlineStr">
        <is>
          <t>UPPSALA LÄN</t>
        </is>
      </c>
      <c r="E355" t="inlineStr">
        <is>
          <t>UPPSALA</t>
        </is>
      </c>
      <c r="G355" t="n">
        <v>4</v>
      </c>
      <c r="H355" t="n">
        <v>0</v>
      </c>
      <c r="I355" t="n">
        <v>0</v>
      </c>
      <c r="J355" t="n">
        <v>0</v>
      </c>
      <c r="K355" t="n">
        <v>0</v>
      </c>
      <c r="L355" t="n">
        <v>0</v>
      </c>
      <c r="M355" t="n">
        <v>0</v>
      </c>
      <c r="N355" t="n">
        <v>0</v>
      </c>
      <c r="O355" t="n">
        <v>0</v>
      </c>
      <c r="P355" t="n">
        <v>0</v>
      </c>
      <c r="Q355" t="n">
        <v>0</v>
      </c>
      <c r="R355" s="2" t="inlineStr"/>
    </row>
    <row r="356" ht="15" customHeight="1">
      <c r="A356" t="inlineStr">
        <is>
          <t>A 40855-2025</t>
        </is>
      </c>
      <c r="B356" s="1" t="n">
        <v>45897</v>
      </c>
      <c r="C356" s="1" t="n">
        <v>45987</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27538-2025</t>
        </is>
      </c>
      <c r="B357" s="1" t="n">
        <v>45813.46034722222</v>
      </c>
      <c r="C357" s="1" t="n">
        <v>45987</v>
      </c>
      <c r="D357" t="inlineStr">
        <is>
          <t>UPPSALA LÄN</t>
        </is>
      </c>
      <c r="E357" t="inlineStr">
        <is>
          <t>UPPSALA</t>
        </is>
      </c>
      <c r="G357" t="n">
        <v>3.1</v>
      </c>
      <c r="H357" t="n">
        <v>0</v>
      </c>
      <c r="I357" t="n">
        <v>0</v>
      </c>
      <c r="J357" t="n">
        <v>0</v>
      </c>
      <c r="K357" t="n">
        <v>0</v>
      </c>
      <c r="L357" t="n">
        <v>0</v>
      </c>
      <c r="M357" t="n">
        <v>0</v>
      </c>
      <c r="N357" t="n">
        <v>0</v>
      </c>
      <c r="O357" t="n">
        <v>0</v>
      </c>
      <c r="P357" t="n">
        <v>0</v>
      </c>
      <c r="Q357" t="n">
        <v>0</v>
      </c>
      <c r="R357" s="2" t="inlineStr"/>
    </row>
    <row r="358" ht="15" customHeight="1">
      <c r="A358" t="inlineStr">
        <is>
          <t>A 11409-2025</t>
        </is>
      </c>
      <c r="B358" s="1" t="n">
        <v>45726</v>
      </c>
      <c r="C358" s="1" t="n">
        <v>45987</v>
      </c>
      <c r="D358" t="inlineStr">
        <is>
          <t>UPPSALA LÄN</t>
        </is>
      </c>
      <c r="E358" t="inlineStr">
        <is>
          <t>UPPSALA</t>
        </is>
      </c>
      <c r="G358" t="n">
        <v>0.3</v>
      </c>
      <c r="H358" t="n">
        <v>0</v>
      </c>
      <c r="I358" t="n">
        <v>0</v>
      </c>
      <c r="J358" t="n">
        <v>0</v>
      </c>
      <c r="K358" t="n">
        <v>0</v>
      </c>
      <c r="L358" t="n">
        <v>0</v>
      </c>
      <c r="M358" t="n">
        <v>0</v>
      </c>
      <c r="N358" t="n">
        <v>0</v>
      </c>
      <c r="O358" t="n">
        <v>0</v>
      </c>
      <c r="P358" t="n">
        <v>0</v>
      </c>
      <c r="Q358" t="n">
        <v>0</v>
      </c>
      <c r="R358" s="2" t="inlineStr"/>
    </row>
    <row r="359" ht="15" customHeight="1">
      <c r="A359" t="inlineStr">
        <is>
          <t>A 28275-2025</t>
        </is>
      </c>
      <c r="B359" s="1" t="n">
        <v>45818.57910879629</v>
      </c>
      <c r="C359" s="1" t="n">
        <v>45987</v>
      </c>
      <c r="D359" t="inlineStr">
        <is>
          <t>UPPSALA LÄN</t>
        </is>
      </c>
      <c r="E359" t="inlineStr">
        <is>
          <t>UPPSALA</t>
        </is>
      </c>
      <c r="F359" t="inlineStr">
        <is>
          <t>Holmen skog AB</t>
        </is>
      </c>
      <c r="G359" t="n">
        <v>6.5</v>
      </c>
      <c r="H359" t="n">
        <v>0</v>
      </c>
      <c r="I359" t="n">
        <v>0</v>
      </c>
      <c r="J359" t="n">
        <v>0</v>
      </c>
      <c r="K359" t="n">
        <v>0</v>
      </c>
      <c r="L359" t="n">
        <v>0</v>
      </c>
      <c r="M359" t="n">
        <v>0</v>
      </c>
      <c r="N359" t="n">
        <v>0</v>
      </c>
      <c r="O359" t="n">
        <v>0</v>
      </c>
      <c r="P359" t="n">
        <v>0</v>
      </c>
      <c r="Q359" t="n">
        <v>0</v>
      </c>
      <c r="R359" s="2" t="inlineStr"/>
    </row>
    <row r="360" ht="15" customHeight="1">
      <c r="A360" t="inlineStr">
        <is>
          <t>A 41444-2025</t>
        </is>
      </c>
      <c r="B360" s="1" t="n">
        <v>45901.41756944444</v>
      </c>
      <c r="C360" s="1" t="n">
        <v>45987</v>
      </c>
      <c r="D360" t="inlineStr">
        <is>
          <t>UPPSALA LÄN</t>
        </is>
      </c>
      <c r="E360" t="inlineStr">
        <is>
          <t>UPPSALA</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41707-2025</t>
        </is>
      </c>
      <c r="B361" s="1" t="n">
        <v>45902.42243055555</v>
      </c>
      <c r="C361" s="1" t="n">
        <v>45987</v>
      </c>
      <c r="D361" t="inlineStr">
        <is>
          <t>UPPSALA LÄN</t>
        </is>
      </c>
      <c r="E361" t="inlineStr">
        <is>
          <t>UPPSALA</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74019-2021</t>
        </is>
      </c>
      <c r="B362" s="1" t="n">
        <v>44553</v>
      </c>
      <c r="C362" s="1" t="n">
        <v>45987</v>
      </c>
      <c r="D362" t="inlineStr">
        <is>
          <t>UPPSALA LÄN</t>
        </is>
      </c>
      <c r="E362" t="inlineStr">
        <is>
          <t>UPPSALA</t>
        </is>
      </c>
      <c r="G362" t="n">
        <v>3</v>
      </c>
      <c r="H362" t="n">
        <v>0</v>
      </c>
      <c r="I362" t="n">
        <v>0</v>
      </c>
      <c r="J362" t="n">
        <v>0</v>
      </c>
      <c r="K362" t="n">
        <v>0</v>
      </c>
      <c r="L362" t="n">
        <v>0</v>
      </c>
      <c r="M362" t="n">
        <v>0</v>
      </c>
      <c r="N362" t="n">
        <v>0</v>
      </c>
      <c r="O362" t="n">
        <v>0</v>
      </c>
      <c r="P362" t="n">
        <v>0</v>
      </c>
      <c r="Q362" t="n">
        <v>0</v>
      </c>
      <c r="R362" s="2" t="inlineStr"/>
    </row>
    <row r="363" ht="15" customHeight="1">
      <c r="A363" t="inlineStr">
        <is>
          <t>A 41445-2025</t>
        </is>
      </c>
      <c r="B363" s="1" t="n">
        <v>45901.41853009259</v>
      </c>
      <c r="C363" s="1" t="n">
        <v>45987</v>
      </c>
      <c r="D363" t="inlineStr">
        <is>
          <t>UPPSALA LÄN</t>
        </is>
      </c>
      <c r="E363" t="inlineStr">
        <is>
          <t>UPPSALA</t>
        </is>
      </c>
      <c r="F363" t="inlineStr">
        <is>
          <t>Kyrkan</t>
        </is>
      </c>
      <c r="G363" t="n">
        <v>4.5</v>
      </c>
      <c r="H363" t="n">
        <v>0</v>
      </c>
      <c r="I363" t="n">
        <v>0</v>
      </c>
      <c r="J363" t="n">
        <v>0</v>
      </c>
      <c r="K363" t="n">
        <v>0</v>
      </c>
      <c r="L363" t="n">
        <v>0</v>
      </c>
      <c r="M363" t="n">
        <v>0</v>
      </c>
      <c r="N363" t="n">
        <v>0</v>
      </c>
      <c r="O363" t="n">
        <v>0</v>
      </c>
      <c r="P363" t="n">
        <v>0</v>
      </c>
      <c r="Q363" t="n">
        <v>0</v>
      </c>
      <c r="R363" s="2" t="inlineStr"/>
    </row>
    <row r="364" ht="15" customHeight="1">
      <c r="A364" t="inlineStr">
        <is>
          <t>A 53906-2023</t>
        </is>
      </c>
      <c r="B364" s="1" t="n">
        <v>45231</v>
      </c>
      <c r="C364" s="1" t="n">
        <v>45987</v>
      </c>
      <c r="D364" t="inlineStr">
        <is>
          <t>UPPSALA LÄN</t>
        </is>
      </c>
      <c r="E364" t="inlineStr">
        <is>
          <t>UPPSALA</t>
        </is>
      </c>
      <c r="G364" t="n">
        <v>13.2</v>
      </c>
      <c r="H364" t="n">
        <v>0</v>
      </c>
      <c r="I364" t="n">
        <v>0</v>
      </c>
      <c r="J364" t="n">
        <v>0</v>
      </c>
      <c r="K364" t="n">
        <v>0</v>
      </c>
      <c r="L364" t="n">
        <v>0</v>
      </c>
      <c r="M364" t="n">
        <v>0</v>
      </c>
      <c r="N364" t="n">
        <v>0</v>
      </c>
      <c r="O364" t="n">
        <v>0</v>
      </c>
      <c r="P364" t="n">
        <v>0</v>
      </c>
      <c r="Q364" t="n">
        <v>0</v>
      </c>
      <c r="R364" s="2" t="inlineStr"/>
    </row>
    <row r="365" ht="15" customHeight="1">
      <c r="A365" t="inlineStr">
        <is>
          <t>A 28121-2025</t>
        </is>
      </c>
      <c r="B365" s="1" t="n">
        <v>45817</v>
      </c>
      <c r="C365" s="1" t="n">
        <v>45987</v>
      </c>
      <c r="D365" t="inlineStr">
        <is>
          <t>UPPSALA LÄN</t>
        </is>
      </c>
      <c r="E365" t="inlineStr">
        <is>
          <t>UPPSALA</t>
        </is>
      </c>
      <c r="G365" t="n">
        <v>5.6</v>
      </c>
      <c r="H365" t="n">
        <v>0</v>
      </c>
      <c r="I365" t="n">
        <v>0</v>
      </c>
      <c r="J365" t="n">
        <v>0</v>
      </c>
      <c r="K365" t="n">
        <v>0</v>
      </c>
      <c r="L365" t="n">
        <v>0</v>
      </c>
      <c r="M365" t="n">
        <v>0</v>
      </c>
      <c r="N365" t="n">
        <v>0</v>
      </c>
      <c r="O365" t="n">
        <v>0</v>
      </c>
      <c r="P365" t="n">
        <v>0</v>
      </c>
      <c r="Q365" t="n">
        <v>0</v>
      </c>
      <c r="R365" s="2" t="inlineStr"/>
    </row>
    <row r="366" ht="15" customHeight="1">
      <c r="A366" t="inlineStr">
        <is>
          <t>A 1975-2022</t>
        </is>
      </c>
      <c r="B366" s="1" t="n">
        <v>44575</v>
      </c>
      <c r="C366" s="1" t="n">
        <v>45987</v>
      </c>
      <c r="D366" t="inlineStr">
        <is>
          <t>UPPSALA LÄN</t>
        </is>
      </c>
      <c r="E366" t="inlineStr">
        <is>
          <t>UPPSALA</t>
        </is>
      </c>
      <c r="G366" t="n">
        <v>3.9</v>
      </c>
      <c r="H366" t="n">
        <v>0</v>
      </c>
      <c r="I366" t="n">
        <v>0</v>
      </c>
      <c r="J366" t="n">
        <v>0</v>
      </c>
      <c r="K366" t="n">
        <v>0</v>
      </c>
      <c r="L366" t="n">
        <v>0</v>
      </c>
      <c r="M366" t="n">
        <v>0</v>
      </c>
      <c r="N366" t="n">
        <v>0</v>
      </c>
      <c r="O366" t="n">
        <v>0</v>
      </c>
      <c r="P366" t="n">
        <v>0</v>
      </c>
      <c r="Q366" t="n">
        <v>0</v>
      </c>
      <c r="R366" s="2" t="inlineStr"/>
    </row>
    <row r="367" ht="15" customHeight="1">
      <c r="A367" t="inlineStr">
        <is>
          <t>A 27622-2023</t>
        </is>
      </c>
      <c r="B367" s="1" t="n">
        <v>45097</v>
      </c>
      <c r="C367" s="1" t="n">
        <v>45987</v>
      </c>
      <c r="D367" t="inlineStr">
        <is>
          <t>UPPSALA LÄN</t>
        </is>
      </c>
      <c r="E367" t="inlineStr">
        <is>
          <t>UPPSALA</t>
        </is>
      </c>
      <c r="G367" t="n">
        <v>3.2</v>
      </c>
      <c r="H367" t="n">
        <v>0</v>
      </c>
      <c r="I367" t="n">
        <v>0</v>
      </c>
      <c r="J367" t="n">
        <v>0</v>
      </c>
      <c r="K367" t="n">
        <v>0</v>
      </c>
      <c r="L367" t="n">
        <v>0</v>
      </c>
      <c r="M367" t="n">
        <v>0</v>
      </c>
      <c r="N367" t="n">
        <v>0</v>
      </c>
      <c r="O367" t="n">
        <v>0</v>
      </c>
      <c r="P367" t="n">
        <v>0</v>
      </c>
      <c r="Q367" t="n">
        <v>0</v>
      </c>
      <c r="R367" s="2" t="inlineStr"/>
    </row>
    <row r="368" ht="15" customHeight="1">
      <c r="A368" t="inlineStr">
        <is>
          <t>A 28871-2025</t>
        </is>
      </c>
      <c r="B368" s="1" t="n">
        <v>45820</v>
      </c>
      <c r="C368" s="1" t="n">
        <v>45987</v>
      </c>
      <c r="D368" t="inlineStr">
        <is>
          <t>UPPSALA LÄN</t>
        </is>
      </c>
      <c r="E368" t="inlineStr">
        <is>
          <t>UPPSALA</t>
        </is>
      </c>
      <c r="G368" t="n">
        <v>6.5</v>
      </c>
      <c r="H368" t="n">
        <v>0</v>
      </c>
      <c r="I368" t="n">
        <v>0</v>
      </c>
      <c r="J368" t="n">
        <v>0</v>
      </c>
      <c r="K368" t="n">
        <v>0</v>
      </c>
      <c r="L368" t="n">
        <v>0</v>
      </c>
      <c r="M368" t="n">
        <v>0</v>
      </c>
      <c r="N368" t="n">
        <v>0</v>
      </c>
      <c r="O368" t="n">
        <v>0</v>
      </c>
      <c r="P368" t="n">
        <v>0</v>
      </c>
      <c r="Q368" t="n">
        <v>0</v>
      </c>
      <c r="R368" s="2" t="inlineStr"/>
    </row>
    <row r="369" ht="15" customHeight="1">
      <c r="A369" t="inlineStr">
        <is>
          <t>A 50706-2025</t>
        </is>
      </c>
      <c r="B369" s="1" t="n">
        <v>45946.30063657407</v>
      </c>
      <c r="C369" s="1" t="n">
        <v>45987</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28878-2025</t>
        </is>
      </c>
      <c r="B370" s="1" t="n">
        <v>45820</v>
      </c>
      <c r="C370" s="1" t="n">
        <v>45987</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50708-2025</t>
        </is>
      </c>
      <c r="B371" s="1" t="n">
        <v>45946.31299768519</v>
      </c>
      <c r="C371" s="1" t="n">
        <v>45987</v>
      </c>
      <c r="D371" t="inlineStr">
        <is>
          <t>UPPSALA LÄN</t>
        </is>
      </c>
      <c r="E371" t="inlineStr">
        <is>
          <t>UPPSALA</t>
        </is>
      </c>
      <c r="G371" t="n">
        <v>6.7</v>
      </c>
      <c r="H371" t="n">
        <v>0</v>
      </c>
      <c r="I371" t="n">
        <v>0</v>
      </c>
      <c r="J371" t="n">
        <v>0</v>
      </c>
      <c r="K371" t="n">
        <v>0</v>
      </c>
      <c r="L371" t="n">
        <v>0</v>
      </c>
      <c r="M371" t="n">
        <v>0</v>
      </c>
      <c r="N371" t="n">
        <v>0</v>
      </c>
      <c r="O371" t="n">
        <v>0</v>
      </c>
      <c r="P371" t="n">
        <v>0</v>
      </c>
      <c r="Q371" t="n">
        <v>0</v>
      </c>
      <c r="R371" s="2" t="inlineStr"/>
    </row>
    <row r="372" ht="15" customHeight="1">
      <c r="A372" t="inlineStr">
        <is>
          <t>A 42084-2025</t>
        </is>
      </c>
      <c r="B372" s="1" t="n">
        <v>45903.69096064815</v>
      </c>
      <c r="C372" s="1" t="n">
        <v>45987</v>
      </c>
      <c r="D372" t="inlineStr">
        <is>
          <t>UPPSALA LÄN</t>
        </is>
      </c>
      <c r="E372" t="inlineStr">
        <is>
          <t>UPPSALA</t>
        </is>
      </c>
      <c r="F372" t="inlineStr">
        <is>
          <t>Bergvik skog öst AB</t>
        </is>
      </c>
      <c r="G372" t="n">
        <v>1.8</v>
      </c>
      <c r="H372" t="n">
        <v>0</v>
      </c>
      <c r="I372" t="n">
        <v>0</v>
      </c>
      <c r="J372" t="n">
        <v>0</v>
      </c>
      <c r="K372" t="n">
        <v>0</v>
      </c>
      <c r="L372" t="n">
        <v>0</v>
      </c>
      <c r="M372" t="n">
        <v>0</v>
      </c>
      <c r="N372" t="n">
        <v>0</v>
      </c>
      <c r="O372" t="n">
        <v>0</v>
      </c>
      <c r="P372" t="n">
        <v>0</v>
      </c>
      <c r="Q372" t="n">
        <v>0</v>
      </c>
      <c r="R372" s="2" t="inlineStr"/>
    </row>
    <row r="373" ht="15" customHeight="1">
      <c r="A373" t="inlineStr">
        <is>
          <t>A 42085-2025</t>
        </is>
      </c>
      <c r="B373" s="1" t="n">
        <v>45903.69358796296</v>
      </c>
      <c r="C373" s="1" t="n">
        <v>45987</v>
      </c>
      <c r="D373" t="inlineStr">
        <is>
          <t>UPPSALA LÄN</t>
        </is>
      </c>
      <c r="E373" t="inlineStr">
        <is>
          <t>UPPSALA</t>
        </is>
      </c>
      <c r="F373" t="inlineStr">
        <is>
          <t>Bergvik skog öst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27922-2025</t>
        </is>
      </c>
      <c r="B374" s="1" t="n">
        <v>45817</v>
      </c>
      <c r="C374" s="1" t="n">
        <v>45987</v>
      </c>
      <c r="D374" t="inlineStr">
        <is>
          <t>UPPSALA LÄN</t>
        </is>
      </c>
      <c r="E374" t="inlineStr">
        <is>
          <t>UPPSALA</t>
        </is>
      </c>
      <c r="F374" t="inlineStr">
        <is>
          <t>Övriga Aktiebolag</t>
        </is>
      </c>
      <c r="G374" t="n">
        <v>0.1</v>
      </c>
      <c r="H374" t="n">
        <v>0</v>
      </c>
      <c r="I374" t="n">
        <v>0</v>
      </c>
      <c r="J374" t="n">
        <v>0</v>
      </c>
      <c r="K374" t="n">
        <v>0</v>
      </c>
      <c r="L374" t="n">
        <v>0</v>
      </c>
      <c r="M374" t="n">
        <v>0</v>
      </c>
      <c r="N374" t="n">
        <v>0</v>
      </c>
      <c r="O374" t="n">
        <v>0</v>
      </c>
      <c r="P374" t="n">
        <v>0</v>
      </c>
      <c r="Q374" t="n">
        <v>0</v>
      </c>
      <c r="R374" s="2" t="inlineStr"/>
    </row>
    <row r="375" ht="15" customHeight="1">
      <c r="A375" t="inlineStr">
        <is>
          <t>A 50897-2025</t>
        </is>
      </c>
      <c r="B375" s="1" t="n">
        <v>45946.64121527778</v>
      </c>
      <c r="C375" s="1" t="n">
        <v>45987</v>
      </c>
      <c r="D375" t="inlineStr">
        <is>
          <t>UPPSALA LÄN</t>
        </is>
      </c>
      <c r="E375" t="inlineStr">
        <is>
          <t>UPPSALA</t>
        </is>
      </c>
      <c r="F375" t="inlineStr">
        <is>
          <t>Bergvik skog öst AB</t>
        </is>
      </c>
      <c r="G375" t="n">
        <v>3</v>
      </c>
      <c r="H375" t="n">
        <v>0</v>
      </c>
      <c r="I375" t="n">
        <v>0</v>
      </c>
      <c r="J375" t="n">
        <v>0</v>
      </c>
      <c r="K375" t="n">
        <v>0</v>
      </c>
      <c r="L375" t="n">
        <v>0</v>
      </c>
      <c r="M375" t="n">
        <v>0</v>
      </c>
      <c r="N375" t="n">
        <v>0</v>
      </c>
      <c r="O375" t="n">
        <v>0</v>
      </c>
      <c r="P375" t="n">
        <v>0</v>
      </c>
      <c r="Q375" t="n">
        <v>0</v>
      </c>
      <c r="R375" s="2" t="inlineStr"/>
    </row>
    <row r="376" ht="15" customHeight="1">
      <c r="A376" t="inlineStr">
        <is>
          <t>A 265-2021</t>
        </is>
      </c>
      <c r="B376" s="1" t="n">
        <v>44200</v>
      </c>
      <c r="C376" s="1" t="n">
        <v>45987</v>
      </c>
      <c r="D376" t="inlineStr">
        <is>
          <t>UPPSALA LÄN</t>
        </is>
      </c>
      <c r="E376" t="inlineStr">
        <is>
          <t>UPPSALA</t>
        </is>
      </c>
      <c r="G376" t="n">
        <v>3.1</v>
      </c>
      <c r="H376" t="n">
        <v>0</v>
      </c>
      <c r="I376" t="n">
        <v>0</v>
      </c>
      <c r="J376" t="n">
        <v>0</v>
      </c>
      <c r="K376" t="n">
        <v>0</v>
      </c>
      <c r="L376" t="n">
        <v>0</v>
      </c>
      <c r="M376" t="n">
        <v>0</v>
      </c>
      <c r="N376" t="n">
        <v>0</v>
      </c>
      <c r="O376" t="n">
        <v>0</v>
      </c>
      <c r="P376" t="n">
        <v>0</v>
      </c>
      <c r="Q376" t="n">
        <v>0</v>
      </c>
      <c r="R376" s="2" t="inlineStr"/>
    </row>
    <row r="377" ht="15" customHeight="1">
      <c r="A377" t="inlineStr">
        <is>
          <t>A 56679-2022</t>
        </is>
      </c>
      <c r="B377" s="1" t="n">
        <v>44893</v>
      </c>
      <c r="C377" s="1" t="n">
        <v>45987</v>
      </c>
      <c r="D377" t="inlineStr">
        <is>
          <t>UPPSALA LÄN</t>
        </is>
      </c>
      <c r="E377" t="inlineStr">
        <is>
          <t>UPPSALA</t>
        </is>
      </c>
      <c r="G377" t="n">
        <v>1.4</v>
      </c>
      <c r="H377" t="n">
        <v>0</v>
      </c>
      <c r="I377" t="n">
        <v>0</v>
      </c>
      <c r="J377" t="n">
        <v>0</v>
      </c>
      <c r="K377" t="n">
        <v>0</v>
      </c>
      <c r="L377" t="n">
        <v>0</v>
      </c>
      <c r="M377" t="n">
        <v>0</v>
      </c>
      <c r="N377" t="n">
        <v>0</v>
      </c>
      <c r="O377" t="n">
        <v>0</v>
      </c>
      <c r="P377" t="n">
        <v>0</v>
      </c>
      <c r="Q377" t="n">
        <v>0</v>
      </c>
      <c r="R377" s="2" t="inlineStr"/>
    </row>
    <row r="378" ht="15" customHeight="1">
      <c r="A378" t="inlineStr">
        <is>
          <t>A 12211-2025</t>
        </is>
      </c>
      <c r="B378" s="1" t="n">
        <v>45729</v>
      </c>
      <c r="C378" s="1" t="n">
        <v>45987</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28876-2025</t>
        </is>
      </c>
      <c r="B379" s="1" t="n">
        <v>45820</v>
      </c>
      <c r="C379" s="1" t="n">
        <v>45987</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10827-2024</t>
        </is>
      </c>
      <c r="B380" s="1" t="n">
        <v>45369</v>
      </c>
      <c r="C380" s="1" t="n">
        <v>45987</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59133-2022</t>
        </is>
      </c>
      <c r="B381" s="1" t="n">
        <v>44904</v>
      </c>
      <c r="C381" s="1" t="n">
        <v>45987</v>
      </c>
      <c r="D381" t="inlineStr">
        <is>
          <t>UPPSALA LÄN</t>
        </is>
      </c>
      <c r="E381" t="inlineStr">
        <is>
          <t>UPPSALA</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50951-2025</t>
        </is>
      </c>
      <c r="B382" s="1" t="n">
        <v>45946.76038194444</v>
      </c>
      <c r="C382" s="1" t="n">
        <v>45987</v>
      </c>
      <c r="D382" t="inlineStr">
        <is>
          <t>UPPSALA LÄN</t>
        </is>
      </c>
      <c r="E382" t="inlineStr">
        <is>
          <t>UPPSALA</t>
        </is>
      </c>
      <c r="G382" t="n">
        <v>2.9</v>
      </c>
      <c r="H382" t="n">
        <v>0</v>
      </c>
      <c r="I382" t="n">
        <v>0</v>
      </c>
      <c r="J382" t="n">
        <v>0</v>
      </c>
      <c r="K382" t="n">
        <v>0</v>
      </c>
      <c r="L382" t="n">
        <v>0</v>
      </c>
      <c r="M382" t="n">
        <v>0</v>
      </c>
      <c r="N382" t="n">
        <v>0</v>
      </c>
      <c r="O382" t="n">
        <v>0</v>
      </c>
      <c r="P382" t="n">
        <v>0</v>
      </c>
      <c r="Q382" t="n">
        <v>0</v>
      </c>
      <c r="R382" s="2" t="inlineStr"/>
    </row>
    <row r="383" ht="15" customHeight="1">
      <c r="A383" t="inlineStr">
        <is>
          <t>A 26738-2025</t>
        </is>
      </c>
      <c r="B383" s="1" t="n">
        <v>45809</v>
      </c>
      <c r="C383" s="1" t="n">
        <v>45987</v>
      </c>
      <c r="D383" t="inlineStr">
        <is>
          <t>UPPSALA LÄN</t>
        </is>
      </c>
      <c r="E383" t="inlineStr">
        <is>
          <t>UPPSALA</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26739-2025</t>
        </is>
      </c>
      <c r="B384" s="1" t="n">
        <v>45809</v>
      </c>
      <c r="C384" s="1" t="n">
        <v>45987</v>
      </c>
      <c r="D384" t="inlineStr">
        <is>
          <t>UPPSALA LÄN</t>
        </is>
      </c>
      <c r="E384" t="inlineStr">
        <is>
          <t>UPPSALA</t>
        </is>
      </c>
      <c r="F384" t="inlineStr">
        <is>
          <t>Övriga Aktiebolag</t>
        </is>
      </c>
      <c r="G384" t="n">
        <v>3.6</v>
      </c>
      <c r="H384" t="n">
        <v>0</v>
      </c>
      <c r="I384" t="n">
        <v>0</v>
      </c>
      <c r="J384" t="n">
        <v>0</v>
      </c>
      <c r="K384" t="n">
        <v>0</v>
      </c>
      <c r="L384" t="n">
        <v>0</v>
      </c>
      <c r="M384" t="n">
        <v>0</v>
      </c>
      <c r="N384" t="n">
        <v>0</v>
      </c>
      <c r="O384" t="n">
        <v>0</v>
      </c>
      <c r="P384" t="n">
        <v>0</v>
      </c>
      <c r="Q384" t="n">
        <v>0</v>
      </c>
      <c r="R384" s="2" t="inlineStr"/>
    </row>
    <row r="385" ht="15" customHeight="1">
      <c r="A385" t="inlineStr">
        <is>
          <t>A 15310-2022</t>
        </is>
      </c>
      <c r="B385" s="1" t="n">
        <v>44659</v>
      </c>
      <c r="C385" s="1" t="n">
        <v>45987</v>
      </c>
      <c r="D385" t="inlineStr">
        <is>
          <t>UPPSALA LÄN</t>
        </is>
      </c>
      <c r="E385" t="inlineStr">
        <is>
          <t>UPPSALA</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24909-2025</t>
        </is>
      </c>
      <c r="B386" s="1" t="n">
        <v>45799.53348379629</v>
      </c>
      <c r="C386" s="1" t="n">
        <v>45987</v>
      </c>
      <c r="D386" t="inlineStr">
        <is>
          <t>UPPSALA LÄN</t>
        </is>
      </c>
      <c r="E386" t="inlineStr">
        <is>
          <t>UPPSALA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42134-2025</t>
        </is>
      </c>
      <c r="B387" s="1" t="n">
        <v>45904</v>
      </c>
      <c r="C387" s="1" t="n">
        <v>45987</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29047-2025</t>
        </is>
      </c>
      <c r="B388" s="1" t="n">
        <v>45821.45905092593</v>
      </c>
      <c r="C388" s="1" t="n">
        <v>45987</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41954-2025</t>
        </is>
      </c>
      <c r="B389" s="1" t="n">
        <v>45903</v>
      </c>
      <c r="C389" s="1" t="n">
        <v>45987</v>
      </c>
      <c r="D389" t="inlineStr">
        <is>
          <t>UPPSALA LÄN</t>
        </is>
      </c>
      <c r="E389" t="inlineStr">
        <is>
          <t>UPPSALA</t>
        </is>
      </c>
      <c r="G389" t="n">
        <v>7.5</v>
      </c>
      <c r="H389" t="n">
        <v>0</v>
      </c>
      <c r="I389" t="n">
        <v>0</v>
      </c>
      <c r="J389" t="n">
        <v>0</v>
      </c>
      <c r="K389" t="n">
        <v>0</v>
      </c>
      <c r="L389" t="n">
        <v>0</v>
      </c>
      <c r="M389" t="n">
        <v>0</v>
      </c>
      <c r="N389" t="n">
        <v>0</v>
      </c>
      <c r="O389" t="n">
        <v>0</v>
      </c>
      <c r="P389" t="n">
        <v>0</v>
      </c>
      <c r="Q389" t="n">
        <v>0</v>
      </c>
      <c r="R389" s="2" t="inlineStr"/>
    </row>
    <row r="390" ht="15" customHeight="1">
      <c r="A390" t="inlineStr">
        <is>
          <t>A 29287-2025</t>
        </is>
      </c>
      <c r="B390" s="1" t="n">
        <v>45824.43798611111</v>
      </c>
      <c r="C390" s="1" t="n">
        <v>45987</v>
      </c>
      <c r="D390" t="inlineStr">
        <is>
          <t>UPPSALA LÄN</t>
        </is>
      </c>
      <c r="E390" t="inlineStr">
        <is>
          <t>UPPSALA</t>
        </is>
      </c>
      <c r="F390" t="inlineStr">
        <is>
          <t>Kyrkan</t>
        </is>
      </c>
      <c r="G390" t="n">
        <v>5.2</v>
      </c>
      <c r="H390" t="n">
        <v>0</v>
      </c>
      <c r="I390" t="n">
        <v>0</v>
      </c>
      <c r="J390" t="n">
        <v>0</v>
      </c>
      <c r="K390" t="n">
        <v>0</v>
      </c>
      <c r="L390" t="n">
        <v>0</v>
      </c>
      <c r="M390" t="n">
        <v>0</v>
      </c>
      <c r="N390" t="n">
        <v>0</v>
      </c>
      <c r="O390" t="n">
        <v>0</v>
      </c>
      <c r="P390" t="n">
        <v>0</v>
      </c>
      <c r="Q390" t="n">
        <v>0</v>
      </c>
      <c r="R390" s="2" t="inlineStr"/>
    </row>
    <row r="391" ht="15" customHeight="1">
      <c r="A391" t="inlineStr">
        <is>
          <t>A 29030-2025</t>
        </is>
      </c>
      <c r="B391" s="1" t="n">
        <v>45821.44101851852</v>
      </c>
      <c r="C391" s="1" t="n">
        <v>45987</v>
      </c>
      <c r="D391" t="inlineStr">
        <is>
          <t>UPPSALA LÄN</t>
        </is>
      </c>
      <c r="E391" t="inlineStr">
        <is>
          <t>UPPSALA</t>
        </is>
      </c>
      <c r="G391" t="n">
        <v>3.9</v>
      </c>
      <c r="H391" t="n">
        <v>0</v>
      </c>
      <c r="I391" t="n">
        <v>0</v>
      </c>
      <c r="J391" t="n">
        <v>0</v>
      </c>
      <c r="K391" t="n">
        <v>0</v>
      </c>
      <c r="L391" t="n">
        <v>0</v>
      </c>
      <c r="M391" t="n">
        <v>0</v>
      </c>
      <c r="N391" t="n">
        <v>0</v>
      </c>
      <c r="O391" t="n">
        <v>0</v>
      </c>
      <c r="P391" t="n">
        <v>0</v>
      </c>
      <c r="Q391" t="n">
        <v>0</v>
      </c>
      <c r="R391" s="2" t="inlineStr"/>
    </row>
    <row r="392" ht="15" customHeight="1">
      <c r="A392" t="inlineStr">
        <is>
          <t>A 50949-2025</t>
        </is>
      </c>
      <c r="B392" s="1" t="n">
        <v>45946.75140046296</v>
      </c>
      <c r="C392" s="1" t="n">
        <v>45987</v>
      </c>
      <c r="D392" t="inlineStr">
        <is>
          <t>UPPSALA LÄN</t>
        </is>
      </c>
      <c r="E392" t="inlineStr">
        <is>
          <t>UPPSALA</t>
        </is>
      </c>
      <c r="G392" t="n">
        <v>0.8</v>
      </c>
      <c r="H392" t="n">
        <v>0</v>
      </c>
      <c r="I392" t="n">
        <v>0</v>
      </c>
      <c r="J392" t="n">
        <v>0</v>
      </c>
      <c r="K392" t="n">
        <v>0</v>
      </c>
      <c r="L392" t="n">
        <v>0</v>
      </c>
      <c r="M392" t="n">
        <v>0</v>
      </c>
      <c r="N392" t="n">
        <v>0</v>
      </c>
      <c r="O392" t="n">
        <v>0</v>
      </c>
      <c r="P392" t="n">
        <v>0</v>
      </c>
      <c r="Q392" t="n">
        <v>0</v>
      </c>
      <c r="R392" s="2" t="inlineStr"/>
    </row>
    <row r="393" ht="15" customHeight="1">
      <c r="A393" t="inlineStr">
        <is>
          <t>A 9201-2024</t>
        </is>
      </c>
      <c r="B393" s="1" t="n">
        <v>45358</v>
      </c>
      <c r="C393" s="1" t="n">
        <v>45987</v>
      </c>
      <c r="D393" t="inlineStr">
        <is>
          <t>UPPSALA LÄN</t>
        </is>
      </c>
      <c r="E393" t="inlineStr">
        <is>
          <t>UPPSALA</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12507-2024</t>
        </is>
      </c>
      <c r="B394" s="1" t="n">
        <v>45379</v>
      </c>
      <c r="C394" s="1" t="n">
        <v>45987</v>
      </c>
      <c r="D394" t="inlineStr">
        <is>
          <t>UPPSALA LÄN</t>
        </is>
      </c>
      <c r="E394" t="inlineStr">
        <is>
          <t>UPPSALA</t>
        </is>
      </c>
      <c r="G394" t="n">
        <v>4.6</v>
      </c>
      <c r="H394" t="n">
        <v>0</v>
      </c>
      <c r="I394" t="n">
        <v>0</v>
      </c>
      <c r="J394" t="n">
        <v>0</v>
      </c>
      <c r="K394" t="n">
        <v>0</v>
      </c>
      <c r="L394" t="n">
        <v>0</v>
      </c>
      <c r="M394" t="n">
        <v>0</v>
      </c>
      <c r="N394" t="n">
        <v>0</v>
      </c>
      <c r="O394" t="n">
        <v>0</v>
      </c>
      <c r="P394" t="n">
        <v>0</v>
      </c>
      <c r="Q394" t="n">
        <v>0</v>
      </c>
      <c r="R394" s="2" t="inlineStr"/>
    </row>
    <row r="395" ht="15" customHeight="1">
      <c r="A395" t="inlineStr">
        <is>
          <t>A 60702-2022</t>
        </is>
      </c>
      <c r="B395" s="1" t="n">
        <v>44912.29869212963</v>
      </c>
      <c r="C395" s="1" t="n">
        <v>45987</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42347-2025</t>
        </is>
      </c>
      <c r="B396" s="1" t="n">
        <v>45904.77746527778</v>
      </c>
      <c r="C396" s="1" t="n">
        <v>45987</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8933-2022</t>
        </is>
      </c>
      <c r="B397" s="1" t="n">
        <v>44614.69730324074</v>
      </c>
      <c r="C397" s="1" t="n">
        <v>45987</v>
      </c>
      <c r="D397" t="inlineStr">
        <is>
          <t>UPPSALA LÄN</t>
        </is>
      </c>
      <c r="E397" t="inlineStr">
        <is>
          <t>UPPSALA</t>
        </is>
      </c>
      <c r="F397" t="inlineStr">
        <is>
          <t>Holmen skog AB</t>
        </is>
      </c>
      <c r="G397" t="n">
        <v>3.6</v>
      </c>
      <c r="H397" t="n">
        <v>0</v>
      </c>
      <c r="I397" t="n">
        <v>0</v>
      </c>
      <c r="J397" t="n">
        <v>0</v>
      </c>
      <c r="K397" t="n">
        <v>0</v>
      </c>
      <c r="L397" t="n">
        <v>0</v>
      </c>
      <c r="M397" t="n">
        <v>0</v>
      </c>
      <c r="N397" t="n">
        <v>0</v>
      </c>
      <c r="O397" t="n">
        <v>0</v>
      </c>
      <c r="P397" t="n">
        <v>0</v>
      </c>
      <c r="Q397" t="n">
        <v>0</v>
      </c>
      <c r="R397" s="2" t="inlineStr"/>
    </row>
    <row r="398" ht="15" customHeight="1">
      <c r="A398" t="inlineStr">
        <is>
          <t>A 21859-2024</t>
        </is>
      </c>
      <c r="B398" s="1" t="n">
        <v>45443</v>
      </c>
      <c r="C398" s="1" t="n">
        <v>45987</v>
      </c>
      <c r="D398" t="inlineStr">
        <is>
          <t>UPPSALA LÄN</t>
        </is>
      </c>
      <c r="E398" t="inlineStr">
        <is>
          <t>UPPSALA</t>
        </is>
      </c>
      <c r="F398" t="inlineStr">
        <is>
          <t>Kyrkan</t>
        </is>
      </c>
      <c r="G398" t="n">
        <v>1.4</v>
      </c>
      <c r="H398" t="n">
        <v>0</v>
      </c>
      <c r="I398" t="n">
        <v>0</v>
      </c>
      <c r="J398" t="n">
        <v>0</v>
      </c>
      <c r="K398" t="n">
        <v>0</v>
      </c>
      <c r="L398" t="n">
        <v>0</v>
      </c>
      <c r="M398" t="n">
        <v>0</v>
      </c>
      <c r="N398" t="n">
        <v>0</v>
      </c>
      <c r="O398" t="n">
        <v>0</v>
      </c>
      <c r="P398" t="n">
        <v>0</v>
      </c>
      <c r="Q398" t="n">
        <v>0</v>
      </c>
      <c r="R398" s="2" t="inlineStr"/>
    </row>
    <row r="399" ht="15" customHeight="1">
      <c r="A399" t="inlineStr">
        <is>
          <t>A 6930-2023</t>
        </is>
      </c>
      <c r="B399" s="1" t="n">
        <v>44967.55960648148</v>
      </c>
      <c r="C399" s="1" t="n">
        <v>45987</v>
      </c>
      <c r="D399" t="inlineStr">
        <is>
          <t>UPPSALA LÄN</t>
        </is>
      </c>
      <c r="E399" t="inlineStr">
        <is>
          <t>UPPSALA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29627-2025</t>
        </is>
      </c>
      <c r="B400" s="1" t="n">
        <v>45825.44482638889</v>
      </c>
      <c r="C400" s="1" t="n">
        <v>45987</v>
      </c>
      <c r="D400" t="inlineStr">
        <is>
          <t>UPPSALA LÄN</t>
        </is>
      </c>
      <c r="E400" t="inlineStr">
        <is>
          <t>UPPSALA</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33939-2024</t>
        </is>
      </c>
      <c r="B401" s="1" t="n">
        <v>45523</v>
      </c>
      <c r="C401" s="1" t="n">
        <v>45987</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51433-2025</t>
        </is>
      </c>
      <c r="B402" s="1" t="n">
        <v>45950.55603009259</v>
      </c>
      <c r="C402" s="1" t="n">
        <v>45987</v>
      </c>
      <c r="D402" t="inlineStr">
        <is>
          <t>UPPSALA LÄN</t>
        </is>
      </c>
      <c r="E402" t="inlineStr">
        <is>
          <t>UPPSALA</t>
        </is>
      </c>
      <c r="F402" t="inlineStr">
        <is>
          <t>Bergvik skog öst AB</t>
        </is>
      </c>
      <c r="G402" t="n">
        <v>14.7</v>
      </c>
      <c r="H402" t="n">
        <v>0</v>
      </c>
      <c r="I402" t="n">
        <v>0</v>
      </c>
      <c r="J402" t="n">
        <v>0</v>
      </c>
      <c r="K402" t="n">
        <v>0</v>
      </c>
      <c r="L402" t="n">
        <v>0</v>
      </c>
      <c r="M402" t="n">
        <v>0</v>
      </c>
      <c r="N402" t="n">
        <v>0</v>
      </c>
      <c r="O402" t="n">
        <v>0</v>
      </c>
      <c r="P402" t="n">
        <v>0</v>
      </c>
      <c r="Q402" t="n">
        <v>0</v>
      </c>
      <c r="R402" s="2" t="inlineStr"/>
    </row>
    <row r="403" ht="15" customHeight="1">
      <c r="A403" t="inlineStr">
        <is>
          <t>A 30429-2025</t>
        </is>
      </c>
      <c r="B403" s="1" t="n">
        <v>45827.62096064815</v>
      </c>
      <c r="C403" s="1" t="n">
        <v>45987</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10612-2025</t>
        </is>
      </c>
      <c r="B404" s="1" t="n">
        <v>45721.60894675926</v>
      </c>
      <c r="C404" s="1" t="n">
        <v>45987</v>
      </c>
      <c r="D404" t="inlineStr">
        <is>
          <t>UPPSALA LÄN</t>
        </is>
      </c>
      <c r="E404" t="inlineStr">
        <is>
          <t>UPPSALA</t>
        </is>
      </c>
      <c r="G404" t="n">
        <v>3.5</v>
      </c>
      <c r="H404" t="n">
        <v>0</v>
      </c>
      <c r="I404" t="n">
        <v>0</v>
      </c>
      <c r="J404" t="n">
        <v>0</v>
      </c>
      <c r="K404" t="n">
        <v>0</v>
      </c>
      <c r="L404" t="n">
        <v>0</v>
      </c>
      <c r="M404" t="n">
        <v>0</v>
      </c>
      <c r="N404" t="n">
        <v>0</v>
      </c>
      <c r="O404" t="n">
        <v>0</v>
      </c>
      <c r="P404" t="n">
        <v>0</v>
      </c>
      <c r="Q404" t="n">
        <v>0</v>
      </c>
      <c r="R404" s="2" t="inlineStr"/>
    </row>
    <row r="405" ht="15" customHeight="1">
      <c r="A405" t="inlineStr">
        <is>
          <t>A 59489-2023</t>
        </is>
      </c>
      <c r="B405" s="1" t="n">
        <v>45254</v>
      </c>
      <c r="C405" s="1" t="n">
        <v>45987</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42593-2025</t>
        </is>
      </c>
      <c r="B406" s="1" t="n">
        <v>45905.64862268518</v>
      </c>
      <c r="C406" s="1" t="n">
        <v>45987</v>
      </c>
      <c r="D406" t="inlineStr">
        <is>
          <t>UPPSALA LÄN</t>
        </is>
      </c>
      <c r="E406" t="inlineStr">
        <is>
          <t>UPPSALA</t>
        </is>
      </c>
      <c r="G406" t="n">
        <v>2.1</v>
      </c>
      <c r="H406" t="n">
        <v>0</v>
      </c>
      <c r="I406" t="n">
        <v>0</v>
      </c>
      <c r="J406" t="n">
        <v>0</v>
      </c>
      <c r="K406" t="n">
        <v>0</v>
      </c>
      <c r="L406" t="n">
        <v>0</v>
      </c>
      <c r="M406" t="n">
        <v>0</v>
      </c>
      <c r="N406" t="n">
        <v>0</v>
      </c>
      <c r="O406" t="n">
        <v>0</v>
      </c>
      <c r="P406" t="n">
        <v>0</v>
      </c>
      <c r="Q406" t="n">
        <v>0</v>
      </c>
      <c r="R406" s="2" t="inlineStr"/>
    </row>
    <row r="407" ht="15" customHeight="1">
      <c r="A407" t="inlineStr">
        <is>
          <t>A 30437-2025</t>
        </is>
      </c>
      <c r="B407" s="1" t="n">
        <v>45827.64092592592</v>
      </c>
      <c r="C407" s="1" t="n">
        <v>45987</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51158-2025</t>
        </is>
      </c>
      <c r="B408" s="1" t="n">
        <v>45947.58105324074</v>
      </c>
      <c r="C408" s="1" t="n">
        <v>45987</v>
      </c>
      <c r="D408" t="inlineStr">
        <is>
          <t>UPPSALA LÄN</t>
        </is>
      </c>
      <c r="E408" t="inlineStr">
        <is>
          <t>UPPSALA</t>
        </is>
      </c>
      <c r="F408" t="inlineStr">
        <is>
          <t>Övriga Aktiebolag</t>
        </is>
      </c>
      <c r="G408" t="n">
        <v>12.1</v>
      </c>
      <c r="H408" t="n">
        <v>0</v>
      </c>
      <c r="I408" t="n">
        <v>0</v>
      </c>
      <c r="J408" t="n">
        <v>0</v>
      </c>
      <c r="K408" t="n">
        <v>0</v>
      </c>
      <c r="L408" t="n">
        <v>0</v>
      </c>
      <c r="M408" t="n">
        <v>0</v>
      </c>
      <c r="N408" t="n">
        <v>0</v>
      </c>
      <c r="O408" t="n">
        <v>0</v>
      </c>
      <c r="P408" t="n">
        <v>0</v>
      </c>
      <c r="Q408" t="n">
        <v>0</v>
      </c>
      <c r="R408" s="2" t="inlineStr"/>
    </row>
    <row r="409" ht="15" customHeight="1">
      <c r="A409" t="inlineStr">
        <is>
          <t>A 42541-2025</t>
        </is>
      </c>
      <c r="B409" s="1" t="n">
        <v>45905.5756712963</v>
      </c>
      <c r="C409" s="1" t="n">
        <v>45987</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30282-2025</t>
        </is>
      </c>
      <c r="B410" s="1" t="n">
        <v>45827.46288194445</v>
      </c>
      <c r="C410" s="1" t="n">
        <v>45987</v>
      </c>
      <c r="D410" t="inlineStr">
        <is>
          <t>UPPSALA LÄN</t>
        </is>
      </c>
      <c r="E410" t="inlineStr">
        <is>
          <t>UPPSALA</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47287-2023</t>
        </is>
      </c>
      <c r="B411" s="1" t="n">
        <v>45202</v>
      </c>
      <c r="C411" s="1" t="n">
        <v>45987</v>
      </c>
      <c r="D411" t="inlineStr">
        <is>
          <t>UPPSALA LÄN</t>
        </is>
      </c>
      <c r="E411" t="inlineStr">
        <is>
          <t>UPPSALA</t>
        </is>
      </c>
      <c r="F411" t="inlineStr">
        <is>
          <t>Holmen skog AB</t>
        </is>
      </c>
      <c r="G411" t="n">
        <v>0.4</v>
      </c>
      <c r="H411" t="n">
        <v>0</v>
      </c>
      <c r="I411" t="n">
        <v>0</v>
      </c>
      <c r="J411" t="n">
        <v>0</v>
      </c>
      <c r="K411" t="n">
        <v>0</v>
      </c>
      <c r="L411" t="n">
        <v>0</v>
      </c>
      <c r="M411" t="n">
        <v>0</v>
      </c>
      <c r="N411" t="n">
        <v>0</v>
      </c>
      <c r="O411" t="n">
        <v>0</v>
      </c>
      <c r="P411" t="n">
        <v>0</v>
      </c>
      <c r="Q411" t="n">
        <v>0</v>
      </c>
      <c r="R411" s="2" t="inlineStr"/>
    </row>
    <row r="412" ht="15" customHeight="1">
      <c r="A412" t="inlineStr">
        <is>
          <t>A 30585-2025</t>
        </is>
      </c>
      <c r="B412" s="1" t="n">
        <v>45831.42616898148</v>
      </c>
      <c r="C412" s="1" t="n">
        <v>45987</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30839-2025</t>
        </is>
      </c>
      <c r="B413" s="1" t="n">
        <v>45831.73</v>
      </c>
      <c r="C413" s="1" t="n">
        <v>45987</v>
      </c>
      <c r="D413" t="inlineStr">
        <is>
          <t>UPPSALA LÄN</t>
        </is>
      </c>
      <c r="E413" t="inlineStr">
        <is>
          <t>UPPSALA</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30898-2025</t>
        </is>
      </c>
      <c r="B414" s="1" t="n">
        <v>45832.35590277778</v>
      </c>
      <c r="C414" s="1" t="n">
        <v>45987</v>
      </c>
      <c r="D414" t="inlineStr">
        <is>
          <t>UPPSALA LÄN</t>
        </is>
      </c>
      <c r="E414" t="inlineStr">
        <is>
          <t>UPPSALA</t>
        </is>
      </c>
      <c r="F414" t="inlineStr">
        <is>
          <t>Kyrkan</t>
        </is>
      </c>
      <c r="G414" t="n">
        <v>2.8</v>
      </c>
      <c r="H414" t="n">
        <v>0</v>
      </c>
      <c r="I414" t="n">
        <v>0</v>
      </c>
      <c r="J414" t="n">
        <v>0</v>
      </c>
      <c r="K414" t="n">
        <v>0</v>
      </c>
      <c r="L414" t="n">
        <v>0</v>
      </c>
      <c r="M414" t="n">
        <v>0</v>
      </c>
      <c r="N414" t="n">
        <v>0</v>
      </c>
      <c r="O414" t="n">
        <v>0</v>
      </c>
      <c r="P414" t="n">
        <v>0</v>
      </c>
      <c r="Q414" t="n">
        <v>0</v>
      </c>
      <c r="R414" s="2" t="inlineStr"/>
    </row>
    <row r="415" ht="15" customHeight="1">
      <c r="A415" t="inlineStr">
        <is>
          <t>A 30567-2025</t>
        </is>
      </c>
      <c r="B415" s="1" t="n">
        <v>45831.40671296296</v>
      </c>
      <c r="C415" s="1" t="n">
        <v>45987</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30897-2025</t>
        </is>
      </c>
      <c r="B416" s="1" t="n">
        <v>45832.35545138889</v>
      </c>
      <c r="C416" s="1" t="n">
        <v>45987</v>
      </c>
      <c r="D416" t="inlineStr">
        <is>
          <t>UPPSALA LÄN</t>
        </is>
      </c>
      <c r="E416" t="inlineStr">
        <is>
          <t>UPPSALA</t>
        </is>
      </c>
      <c r="F416" t="inlineStr">
        <is>
          <t>Kyrkan</t>
        </is>
      </c>
      <c r="G416" t="n">
        <v>2.8</v>
      </c>
      <c r="H416" t="n">
        <v>0</v>
      </c>
      <c r="I416" t="n">
        <v>0</v>
      </c>
      <c r="J416" t="n">
        <v>0</v>
      </c>
      <c r="K416" t="n">
        <v>0</v>
      </c>
      <c r="L416" t="n">
        <v>0</v>
      </c>
      <c r="M416" t="n">
        <v>0</v>
      </c>
      <c r="N416" t="n">
        <v>0</v>
      </c>
      <c r="O416" t="n">
        <v>0</v>
      </c>
      <c r="P416" t="n">
        <v>0</v>
      </c>
      <c r="Q416" t="n">
        <v>0</v>
      </c>
      <c r="R416" s="2" t="inlineStr"/>
    </row>
    <row r="417" ht="15" customHeight="1">
      <c r="A417" t="inlineStr">
        <is>
          <t>A 30838-2025</t>
        </is>
      </c>
      <c r="B417" s="1" t="n">
        <v>45831.72686342592</v>
      </c>
      <c r="C417" s="1" t="n">
        <v>45987</v>
      </c>
      <c r="D417" t="inlineStr">
        <is>
          <t>UPPSALA LÄN</t>
        </is>
      </c>
      <c r="E417" t="inlineStr">
        <is>
          <t>UPPSALA</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64855-2021</t>
        </is>
      </c>
      <c r="B418" s="1" t="n">
        <v>44512</v>
      </c>
      <c r="C418" s="1" t="n">
        <v>45987</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13644-2024</t>
        </is>
      </c>
      <c r="B419" s="1" t="n">
        <v>45390</v>
      </c>
      <c r="C419" s="1" t="n">
        <v>45987</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9592-2022</t>
        </is>
      </c>
      <c r="B420" s="1" t="n">
        <v>44617.48311342593</v>
      </c>
      <c r="C420" s="1" t="n">
        <v>45987</v>
      </c>
      <c r="D420" t="inlineStr">
        <is>
          <t>UPPSALA LÄN</t>
        </is>
      </c>
      <c r="E420" t="inlineStr">
        <is>
          <t>UPPSALA</t>
        </is>
      </c>
      <c r="G420" t="n">
        <v>7.5</v>
      </c>
      <c r="H420" t="n">
        <v>0</v>
      </c>
      <c r="I420" t="n">
        <v>0</v>
      </c>
      <c r="J420" t="n">
        <v>0</v>
      </c>
      <c r="K420" t="n">
        <v>0</v>
      </c>
      <c r="L420" t="n">
        <v>0</v>
      </c>
      <c r="M420" t="n">
        <v>0</v>
      </c>
      <c r="N420" t="n">
        <v>0</v>
      </c>
      <c r="O420" t="n">
        <v>0</v>
      </c>
      <c r="P420" t="n">
        <v>0</v>
      </c>
      <c r="Q420" t="n">
        <v>0</v>
      </c>
      <c r="R420" s="2" t="inlineStr"/>
    </row>
    <row r="421" ht="15" customHeight="1">
      <c r="A421" t="inlineStr">
        <is>
          <t>A 43056-2025</t>
        </is>
      </c>
      <c r="B421" s="1" t="n">
        <v>45909.57565972222</v>
      </c>
      <c r="C421" s="1" t="n">
        <v>45987</v>
      </c>
      <c r="D421" t="inlineStr">
        <is>
          <t>UPPSALA LÄN</t>
        </is>
      </c>
      <c r="E421" t="inlineStr">
        <is>
          <t>UPPSALA</t>
        </is>
      </c>
      <c r="F421" t="inlineStr">
        <is>
          <t>Allmännings- och besparingsskogar</t>
        </is>
      </c>
      <c r="G421" t="n">
        <v>11.8</v>
      </c>
      <c r="H421" t="n">
        <v>0</v>
      </c>
      <c r="I421" t="n">
        <v>0</v>
      </c>
      <c r="J421" t="n">
        <v>0</v>
      </c>
      <c r="K421" t="n">
        <v>0</v>
      </c>
      <c r="L421" t="n">
        <v>0</v>
      </c>
      <c r="M421" t="n">
        <v>0</v>
      </c>
      <c r="N421" t="n">
        <v>0</v>
      </c>
      <c r="O421" t="n">
        <v>0</v>
      </c>
      <c r="P421" t="n">
        <v>0</v>
      </c>
      <c r="Q421" t="n">
        <v>0</v>
      </c>
      <c r="R421" s="2" t="inlineStr"/>
    </row>
    <row r="422" ht="15" customHeight="1">
      <c r="A422" t="inlineStr">
        <is>
          <t>A 8494-2021</t>
        </is>
      </c>
      <c r="B422" s="1" t="n">
        <v>44245</v>
      </c>
      <c r="C422" s="1" t="n">
        <v>45987</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45987</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8473-2023</t>
        </is>
      </c>
      <c r="B424" s="1" t="n">
        <v>44977</v>
      </c>
      <c r="C424" s="1" t="n">
        <v>45987</v>
      </c>
      <c r="D424" t="inlineStr">
        <is>
          <t>UPPSALA LÄN</t>
        </is>
      </c>
      <c r="E424" t="inlineStr">
        <is>
          <t>UPPSALA</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22431-2024</t>
        </is>
      </c>
      <c r="B425" s="1" t="n">
        <v>45446.78256944445</v>
      </c>
      <c r="C425" s="1" t="n">
        <v>45987</v>
      </c>
      <c r="D425" t="inlineStr">
        <is>
          <t>UPPSALA LÄN</t>
        </is>
      </c>
      <c r="E425" t="inlineStr">
        <is>
          <t>UPPSALA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52517-2025</t>
        </is>
      </c>
      <c r="B426" s="1" t="n">
        <v>45954.51438657408</v>
      </c>
      <c r="C426" s="1" t="n">
        <v>45987</v>
      </c>
      <c r="D426" t="inlineStr">
        <is>
          <t>UPPSALA LÄN</t>
        </is>
      </c>
      <c r="E426" t="inlineStr">
        <is>
          <t>UPPSALA</t>
        </is>
      </c>
      <c r="G426" t="n">
        <v>10.3</v>
      </c>
      <c r="H426" t="n">
        <v>0</v>
      </c>
      <c r="I426" t="n">
        <v>0</v>
      </c>
      <c r="J426" t="n">
        <v>0</v>
      </c>
      <c r="K426" t="n">
        <v>0</v>
      </c>
      <c r="L426" t="n">
        <v>0</v>
      </c>
      <c r="M426" t="n">
        <v>0</v>
      </c>
      <c r="N426" t="n">
        <v>0</v>
      </c>
      <c r="O426" t="n">
        <v>0</v>
      </c>
      <c r="P426" t="n">
        <v>0</v>
      </c>
      <c r="Q426" t="n">
        <v>0</v>
      </c>
      <c r="R426" s="2" t="inlineStr"/>
    </row>
    <row r="427" ht="15" customHeight="1">
      <c r="A427" t="inlineStr">
        <is>
          <t>A 43893-2025</t>
        </is>
      </c>
      <c r="B427" s="1" t="n">
        <v>45912.7097337963</v>
      </c>
      <c r="C427" s="1" t="n">
        <v>45987</v>
      </c>
      <c r="D427" t="inlineStr">
        <is>
          <t>UPPSALA LÄN</t>
        </is>
      </c>
      <c r="E427" t="inlineStr">
        <is>
          <t>UPPSALA</t>
        </is>
      </c>
      <c r="F427" t="inlineStr">
        <is>
          <t>Kyrkan</t>
        </is>
      </c>
      <c r="G427" t="n">
        <v>5.7</v>
      </c>
      <c r="H427" t="n">
        <v>0</v>
      </c>
      <c r="I427" t="n">
        <v>0</v>
      </c>
      <c r="J427" t="n">
        <v>0</v>
      </c>
      <c r="K427" t="n">
        <v>0</v>
      </c>
      <c r="L427" t="n">
        <v>0</v>
      </c>
      <c r="M427" t="n">
        <v>0</v>
      </c>
      <c r="N427" t="n">
        <v>0</v>
      </c>
      <c r="O427" t="n">
        <v>0</v>
      </c>
      <c r="P427" t="n">
        <v>0</v>
      </c>
      <c r="Q427" t="n">
        <v>0</v>
      </c>
      <c r="R427" s="2" t="inlineStr"/>
    </row>
    <row r="428" ht="15" customHeight="1">
      <c r="A428" t="inlineStr">
        <is>
          <t>A 32252-2025</t>
        </is>
      </c>
      <c r="B428" s="1" t="n">
        <v>45835.62752314815</v>
      </c>
      <c r="C428" s="1" t="n">
        <v>45987</v>
      </c>
      <c r="D428" t="inlineStr">
        <is>
          <t>UPPSALA LÄN</t>
        </is>
      </c>
      <c r="E428" t="inlineStr">
        <is>
          <t>UPPSALA</t>
        </is>
      </c>
      <c r="F428" t="inlineStr">
        <is>
          <t>Kyrkan</t>
        </is>
      </c>
      <c r="G428" t="n">
        <v>3.8</v>
      </c>
      <c r="H428" t="n">
        <v>0</v>
      </c>
      <c r="I428" t="n">
        <v>0</v>
      </c>
      <c r="J428" t="n">
        <v>0</v>
      </c>
      <c r="K428" t="n">
        <v>0</v>
      </c>
      <c r="L428" t="n">
        <v>0</v>
      </c>
      <c r="M428" t="n">
        <v>0</v>
      </c>
      <c r="N428" t="n">
        <v>0</v>
      </c>
      <c r="O428" t="n">
        <v>0</v>
      </c>
      <c r="P428" t="n">
        <v>0</v>
      </c>
      <c r="Q428" t="n">
        <v>0</v>
      </c>
      <c r="R428" s="2" t="inlineStr"/>
    </row>
    <row r="429" ht="15" customHeight="1">
      <c r="A429" t="inlineStr">
        <is>
          <t>A 51493-2025</t>
        </is>
      </c>
      <c r="B429" s="1" t="n">
        <v>45950</v>
      </c>
      <c r="C429" s="1" t="n">
        <v>45987</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19345-2025</t>
        </is>
      </c>
      <c r="B430" s="1" t="n">
        <v>45769.6009375</v>
      </c>
      <c r="C430" s="1" t="n">
        <v>45987</v>
      </c>
      <c r="D430" t="inlineStr">
        <is>
          <t>UPPSALA LÄN</t>
        </is>
      </c>
      <c r="E430" t="inlineStr">
        <is>
          <t>UPPSALA</t>
        </is>
      </c>
      <c r="G430" t="n">
        <v>1.8</v>
      </c>
      <c r="H430" t="n">
        <v>0</v>
      </c>
      <c r="I430" t="n">
        <v>0</v>
      </c>
      <c r="J430" t="n">
        <v>0</v>
      </c>
      <c r="K430" t="n">
        <v>0</v>
      </c>
      <c r="L430" t="n">
        <v>0</v>
      </c>
      <c r="M430" t="n">
        <v>0</v>
      </c>
      <c r="N430" t="n">
        <v>0</v>
      </c>
      <c r="O430" t="n">
        <v>0</v>
      </c>
      <c r="P430" t="n">
        <v>0</v>
      </c>
      <c r="Q430" t="n">
        <v>0</v>
      </c>
      <c r="R430" s="2" t="inlineStr"/>
    </row>
    <row r="431" ht="15" customHeight="1">
      <c r="A431" t="inlineStr">
        <is>
          <t>A 6970-2025</t>
        </is>
      </c>
      <c r="B431" s="1" t="n">
        <v>45693</v>
      </c>
      <c r="C431" s="1" t="n">
        <v>45987</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52429-2025</t>
        </is>
      </c>
      <c r="B432" s="1" t="n">
        <v>45954.38475694445</v>
      </c>
      <c r="C432" s="1" t="n">
        <v>45987</v>
      </c>
      <c r="D432" t="inlineStr">
        <is>
          <t>UPPSALA LÄN</t>
        </is>
      </c>
      <c r="E432" t="inlineStr">
        <is>
          <t>UPPSALA</t>
        </is>
      </c>
      <c r="G432" t="n">
        <v>16.6</v>
      </c>
      <c r="H432" t="n">
        <v>0</v>
      </c>
      <c r="I432" t="n">
        <v>0</v>
      </c>
      <c r="J432" t="n">
        <v>0</v>
      </c>
      <c r="K432" t="n">
        <v>0</v>
      </c>
      <c r="L432" t="n">
        <v>0</v>
      </c>
      <c r="M432" t="n">
        <v>0</v>
      </c>
      <c r="N432" t="n">
        <v>0</v>
      </c>
      <c r="O432" t="n">
        <v>0</v>
      </c>
      <c r="P432" t="n">
        <v>0</v>
      </c>
      <c r="Q432" t="n">
        <v>0</v>
      </c>
      <c r="R432" s="2" t="inlineStr"/>
    </row>
    <row r="433" ht="15" customHeight="1">
      <c r="A433" t="inlineStr">
        <is>
          <t>A 18677-2024</t>
        </is>
      </c>
      <c r="B433" s="1" t="n">
        <v>45426</v>
      </c>
      <c r="C433" s="1" t="n">
        <v>45987</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11739-2023</t>
        </is>
      </c>
      <c r="B434" s="1" t="n">
        <v>44993</v>
      </c>
      <c r="C434" s="1" t="n">
        <v>45987</v>
      </c>
      <c r="D434" t="inlineStr">
        <is>
          <t>UPPSALA LÄN</t>
        </is>
      </c>
      <c r="E434" t="inlineStr">
        <is>
          <t>UPPSALA</t>
        </is>
      </c>
      <c r="G434" t="n">
        <v>1.1</v>
      </c>
      <c r="H434" t="n">
        <v>0</v>
      </c>
      <c r="I434" t="n">
        <v>0</v>
      </c>
      <c r="J434" t="n">
        <v>0</v>
      </c>
      <c r="K434" t="n">
        <v>0</v>
      </c>
      <c r="L434" t="n">
        <v>0</v>
      </c>
      <c r="M434" t="n">
        <v>0</v>
      </c>
      <c r="N434" t="n">
        <v>0</v>
      </c>
      <c r="O434" t="n">
        <v>0</v>
      </c>
      <c r="P434" t="n">
        <v>0</v>
      </c>
      <c r="Q434" t="n">
        <v>0</v>
      </c>
      <c r="R434" s="2" t="inlineStr"/>
    </row>
    <row r="435" ht="15" customHeight="1">
      <c r="A435" t="inlineStr">
        <is>
          <t>A 32711-2025</t>
        </is>
      </c>
      <c r="B435" s="1" t="n">
        <v>45839</v>
      </c>
      <c r="C435" s="1" t="n">
        <v>45987</v>
      </c>
      <c r="D435" t="inlineStr">
        <is>
          <t>UPPSALA LÄN</t>
        </is>
      </c>
      <c r="E435" t="inlineStr">
        <is>
          <t>UPPSALA</t>
        </is>
      </c>
      <c r="G435" t="n">
        <v>0.8</v>
      </c>
      <c r="H435" t="n">
        <v>0</v>
      </c>
      <c r="I435" t="n">
        <v>0</v>
      </c>
      <c r="J435" t="n">
        <v>0</v>
      </c>
      <c r="K435" t="n">
        <v>0</v>
      </c>
      <c r="L435" t="n">
        <v>0</v>
      </c>
      <c r="M435" t="n">
        <v>0</v>
      </c>
      <c r="N435" t="n">
        <v>0</v>
      </c>
      <c r="O435" t="n">
        <v>0</v>
      </c>
      <c r="P435" t="n">
        <v>0</v>
      </c>
      <c r="Q435" t="n">
        <v>0</v>
      </c>
      <c r="R435" s="2" t="inlineStr"/>
      <c r="U435">
        <f>HYPERLINK("https://klasma.github.io/Logging_0380/knärot/A 32711-2025 karta knärot.png", "A 32711-2025")</f>
        <v/>
      </c>
      <c r="V435">
        <f>HYPERLINK("https://klasma.github.io/Logging_0380/klagomål/A 32711-2025 FSC-klagomål.docx", "A 32711-2025")</f>
        <v/>
      </c>
      <c r="W435">
        <f>HYPERLINK("https://klasma.github.io/Logging_0380/klagomålsmail/A 32711-2025 FSC-klagomål mail.docx", "A 32711-2025")</f>
        <v/>
      </c>
      <c r="X435">
        <f>HYPERLINK("https://klasma.github.io/Logging_0380/tillsyn/A 32711-2025 tillsynsbegäran.docx", "A 32711-2025")</f>
        <v/>
      </c>
      <c r="Y435">
        <f>HYPERLINK("https://klasma.github.io/Logging_0380/tillsynsmail/A 32711-2025 tillsynsbegäran mail.docx", "A 32711-2025")</f>
        <v/>
      </c>
    </row>
    <row r="436" ht="15" customHeight="1">
      <c r="A436" t="inlineStr">
        <is>
          <t>A 52267-2025</t>
        </is>
      </c>
      <c r="B436" s="1" t="n">
        <v>45953.53460648148</v>
      </c>
      <c r="C436" s="1" t="n">
        <v>45987</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52269-2025</t>
        </is>
      </c>
      <c r="B437" s="1" t="n">
        <v>45953.53765046296</v>
      </c>
      <c r="C437" s="1" t="n">
        <v>45987</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25776-2022</t>
        </is>
      </c>
      <c r="B438" s="1" t="n">
        <v>44733</v>
      </c>
      <c r="C438" s="1" t="n">
        <v>45987</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32923-2025</t>
        </is>
      </c>
      <c r="B439" s="1" t="n">
        <v>45839</v>
      </c>
      <c r="C439" s="1" t="n">
        <v>45987</v>
      </c>
      <c r="D439" t="inlineStr">
        <is>
          <t>UPPSALA LÄN</t>
        </is>
      </c>
      <c r="E439" t="inlineStr">
        <is>
          <t>UPPSALA</t>
        </is>
      </c>
      <c r="G439" t="n">
        <v>5.1</v>
      </c>
      <c r="H439" t="n">
        <v>0</v>
      </c>
      <c r="I439" t="n">
        <v>0</v>
      </c>
      <c r="J439" t="n">
        <v>0</v>
      </c>
      <c r="K439" t="n">
        <v>0</v>
      </c>
      <c r="L439" t="n">
        <v>0</v>
      </c>
      <c r="M439" t="n">
        <v>0</v>
      </c>
      <c r="N439" t="n">
        <v>0</v>
      </c>
      <c r="O439" t="n">
        <v>0</v>
      </c>
      <c r="P439" t="n">
        <v>0</v>
      </c>
      <c r="Q439" t="n">
        <v>0</v>
      </c>
      <c r="R439" s="2" t="inlineStr"/>
    </row>
    <row r="440" ht="15" customHeight="1">
      <c r="A440" t="inlineStr">
        <is>
          <t>A 28958-2025</t>
        </is>
      </c>
      <c r="B440" s="1" t="n">
        <v>45821.31292824074</v>
      </c>
      <c r="C440" s="1" t="n">
        <v>45987</v>
      </c>
      <c r="D440" t="inlineStr">
        <is>
          <t>UPPSALA LÄN</t>
        </is>
      </c>
      <c r="E440" t="inlineStr">
        <is>
          <t>UPPSALA</t>
        </is>
      </c>
      <c r="G440" t="n">
        <v>4.6</v>
      </c>
      <c r="H440" t="n">
        <v>0</v>
      </c>
      <c r="I440" t="n">
        <v>0</v>
      </c>
      <c r="J440" t="n">
        <v>0</v>
      </c>
      <c r="K440" t="n">
        <v>0</v>
      </c>
      <c r="L440" t="n">
        <v>0</v>
      </c>
      <c r="M440" t="n">
        <v>0</v>
      </c>
      <c r="N440" t="n">
        <v>0</v>
      </c>
      <c r="O440" t="n">
        <v>0</v>
      </c>
      <c r="P440" t="n">
        <v>0</v>
      </c>
      <c r="Q440" t="n">
        <v>0</v>
      </c>
      <c r="R440" s="2" t="inlineStr"/>
    </row>
    <row r="441" ht="15" customHeight="1">
      <c r="A441" t="inlineStr">
        <is>
          <t>A 52523-2025</t>
        </is>
      </c>
      <c r="B441" s="1" t="n">
        <v>45954.528125</v>
      </c>
      <c r="C441" s="1" t="n">
        <v>45987</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33272-2025</t>
        </is>
      </c>
      <c r="B442" s="1" t="n">
        <v>45840.68518518518</v>
      </c>
      <c r="C442" s="1" t="n">
        <v>45987</v>
      </c>
      <c r="D442" t="inlineStr">
        <is>
          <t>UPPSALA LÄN</t>
        </is>
      </c>
      <c r="E442" t="inlineStr">
        <is>
          <t>UPPSALA</t>
        </is>
      </c>
      <c r="G442" t="n">
        <v>4.7</v>
      </c>
      <c r="H442" t="n">
        <v>0</v>
      </c>
      <c r="I442" t="n">
        <v>0</v>
      </c>
      <c r="J442" t="n">
        <v>0</v>
      </c>
      <c r="K442" t="n">
        <v>0</v>
      </c>
      <c r="L442" t="n">
        <v>0</v>
      </c>
      <c r="M442" t="n">
        <v>0</v>
      </c>
      <c r="N442" t="n">
        <v>0</v>
      </c>
      <c r="O442" t="n">
        <v>0</v>
      </c>
      <c r="P442" t="n">
        <v>0</v>
      </c>
      <c r="Q442" t="n">
        <v>0</v>
      </c>
      <c r="R442" s="2" t="inlineStr"/>
    </row>
    <row r="443" ht="15" customHeight="1">
      <c r="A443" t="inlineStr">
        <is>
          <t>A 33261-2025</t>
        </is>
      </c>
      <c r="B443" s="1" t="n">
        <v>45840</v>
      </c>
      <c r="C443" s="1" t="n">
        <v>45987</v>
      </c>
      <c r="D443" t="inlineStr">
        <is>
          <t>UPPSALA LÄN</t>
        </is>
      </c>
      <c r="E443" t="inlineStr">
        <is>
          <t>UPPSALA</t>
        </is>
      </c>
      <c r="G443" t="n">
        <v>3.4</v>
      </c>
      <c r="H443" t="n">
        <v>0</v>
      </c>
      <c r="I443" t="n">
        <v>0</v>
      </c>
      <c r="J443" t="n">
        <v>0</v>
      </c>
      <c r="K443" t="n">
        <v>0</v>
      </c>
      <c r="L443" t="n">
        <v>0</v>
      </c>
      <c r="M443" t="n">
        <v>0</v>
      </c>
      <c r="N443" t="n">
        <v>0</v>
      </c>
      <c r="O443" t="n">
        <v>0</v>
      </c>
      <c r="P443" t="n">
        <v>0</v>
      </c>
      <c r="Q443" t="n">
        <v>0</v>
      </c>
      <c r="R443" s="2" t="inlineStr"/>
    </row>
    <row r="444" ht="15" customHeight="1">
      <c r="A444" t="inlineStr">
        <is>
          <t>A 51275-2025</t>
        </is>
      </c>
      <c r="B444" s="1" t="n">
        <v>45949</v>
      </c>
      <c r="C444" s="1" t="n">
        <v>45987</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44226-2025</t>
        </is>
      </c>
      <c r="B445" s="1" t="n">
        <v>45915.64064814815</v>
      </c>
      <c r="C445" s="1" t="n">
        <v>45987</v>
      </c>
      <c r="D445" t="inlineStr">
        <is>
          <t>UPPSALA LÄN</t>
        </is>
      </c>
      <c r="E445" t="inlineStr">
        <is>
          <t>UPPSALA</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33571-2025</t>
        </is>
      </c>
      <c r="B446" s="1" t="n">
        <v>45841.5847337963</v>
      </c>
      <c r="C446" s="1" t="n">
        <v>45987</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11568-2023</t>
        </is>
      </c>
      <c r="B447" s="1" t="n">
        <v>44994</v>
      </c>
      <c r="C447" s="1" t="n">
        <v>45987</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53161-2025</t>
        </is>
      </c>
      <c r="B448" s="1" t="n">
        <v>45958.49162037037</v>
      </c>
      <c r="C448" s="1" t="n">
        <v>45987</v>
      </c>
      <c r="D448" t="inlineStr">
        <is>
          <t>UPPSALA LÄN</t>
        </is>
      </c>
      <c r="E448" t="inlineStr">
        <is>
          <t>UPPSALA</t>
        </is>
      </c>
      <c r="F448" t="inlineStr">
        <is>
          <t>Bergvik skog väst AB</t>
        </is>
      </c>
      <c r="G448" t="n">
        <v>14.5</v>
      </c>
      <c r="H448" t="n">
        <v>0</v>
      </c>
      <c r="I448" t="n">
        <v>0</v>
      </c>
      <c r="J448" t="n">
        <v>0</v>
      </c>
      <c r="K448" t="n">
        <v>0</v>
      </c>
      <c r="L448" t="n">
        <v>0</v>
      </c>
      <c r="M448" t="n">
        <v>0</v>
      </c>
      <c r="N448" t="n">
        <v>0</v>
      </c>
      <c r="O448" t="n">
        <v>0</v>
      </c>
      <c r="P448" t="n">
        <v>0</v>
      </c>
      <c r="Q448" t="n">
        <v>0</v>
      </c>
      <c r="R448" s="2" t="inlineStr"/>
    </row>
    <row r="449" ht="15" customHeight="1">
      <c r="A449" t="inlineStr">
        <is>
          <t>A 52963-2025</t>
        </is>
      </c>
      <c r="B449" s="1" t="n">
        <v>45957.66506944445</v>
      </c>
      <c r="C449" s="1" t="n">
        <v>45987</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16126-2022</t>
        </is>
      </c>
      <c r="B450" s="1" t="n">
        <v>44665</v>
      </c>
      <c r="C450" s="1" t="n">
        <v>45987</v>
      </c>
      <c r="D450" t="inlineStr">
        <is>
          <t>UPPSALA LÄN</t>
        </is>
      </c>
      <c r="E450" t="inlineStr">
        <is>
          <t>UPPSALA</t>
        </is>
      </c>
      <c r="F450" t="inlineStr">
        <is>
          <t>Bergvik skog öst AB</t>
        </is>
      </c>
      <c r="G450" t="n">
        <v>4.4</v>
      </c>
      <c r="H450" t="n">
        <v>0</v>
      </c>
      <c r="I450" t="n">
        <v>0</v>
      </c>
      <c r="J450" t="n">
        <v>0</v>
      </c>
      <c r="K450" t="n">
        <v>0</v>
      </c>
      <c r="L450" t="n">
        <v>0</v>
      </c>
      <c r="M450" t="n">
        <v>0</v>
      </c>
      <c r="N450" t="n">
        <v>0</v>
      </c>
      <c r="O450" t="n">
        <v>0</v>
      </c>
      <c r="P450" t="n">
        <v>0</v>
      </c>
      <c r="Q450" t="n">
        <v>0</v>
      </c>
      <c r="R450" s="2" t="inlineStr"/>
    </row>
    <row r="451" ht="15" customHeight="1">
      <c r="A451" t="inlineStr">
        <is>
          <t>A 21935-2023</t>
        </is>
      </c>
      <c r="B451" s="1" t="n">
        <v>45068.58563657408</v>
      </c>
      <c r="C451" s="1" t="n">
        <v>45987</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18668-2024</t>
        </is>
      </c>
      <c r="B452" s="1" t="n">
        <v>45426.34148148148</v>
      </c>
      <c r="C452" s="1" t="n">
        <v>45987</v>
      </c>
      <c r="D452" t="inlineStr">
        <is>
          <t>UPPSALA LÄN</t>
        </is>
      </c>
      <c r="E452" t="inlineStr">
        <is>
          <t>UPPSALA</t>
        </is>
      </c>
      <c r="G452" t="n">
        <v>0.9</v>
      </c>
      <c r="H452" t="n">
        <v>0</v>
      </c>
      <c r="I452" t="n">
        <v>0</v>
      </c>
      <c r="J452" t="n">
        <v>0</v>
      </c>
      <c r="K452" t="n">
        <v>0</v>
      </c>
      <c r="L452" t="n">
        <v>0</v>
      </c>
      <c r="M452" t="n">
        <v>0</v>
      </c>
      <c r="N452" t="n">
        <v>0</v>
      </c>
      <c r="O452" t="n">
        <v>0</v>
      </c>
      <c r="P452" t="n">
        <v>0</v>
      </c>
      <c r="Q452" t="n">
        <v>0</v>
      </c>
      <c r="R452" s="2" t="inlineStr"/>
    </row>
    <row r="453" ht="15" customHeight="1">
      <c r="A453" t="inlineStr">
        <is>
          <t>A 33964-2025</t>
        </is>
      </c>
      <c r="B453" s="1" t="n">
        <v>45842.74049768518</v>
      </c>
      <c r="C453" s="1" t="n">
        <v>45987</v>
      </c>
      <c r="D453" t="inlineStr">
        <is>
          <t>UPPSALA LÄN</t>
        </is>
      </c>
      <c r="E453" t="inlineStr">
        <is>
          <t>UPPSALA</t>
        </is>
      </c>
      <c r="G453" t="n">
        <v>2.7</v>
      </c>
      <c r="H453" t="n">
        <v>0</v>
      </c>
      <c r="I453" t="n">
        <v>0</v>
      </c>
      <c r="J453" t="n">
        <v>0</v>
      </c>
      <c r="K453" t="n">
        <v>0</v>
      </c>
      <c r="L453" t="n">
        <v>0</v>
      </c>
      <c r="M453" t="n">
        <v>0</v>
      </c>
      <c r="N453" t="n">
        <v>0</v>
      </c>
      <c r="O453" t="n">
        <v>0</v>
      </c>
      <c r="P453" t="n">
        <v>0</v>
      </c>
      <c r="Q453" t="n">
        <v>0</v>
      </c>
      <c r="R453" s="2" t="inlineStr"/>
    </row>
    <row r="454" ht="15" customHeight="1">
      <c r="A454" t="inlineStr">
        <is>
          <t>A 53244-2025</t>
        </is>
      </c>
      <c r="B454" s="1" t="n">
        <v>45957</v>
      </c>
      <c r="C454" s="1" t="n">
        <v>45987</v>
      </c>
      <c r="D454" t="inlineStr">
        <is>
          <t>UPPSALA LÄN</t>
        </is>
      </c>
      <c r="E454" t="inlineStr">
        <is>
          <t>UPPSALA</t>
        </is>
      </c>
      <c r="G454" t="n">
        <v>2.6</v>
      </c>
      <c r="H454" t="n">
        <v>0</v>
      </c>
      <c r="I454" t="n">
        <v>0</v>
      </c>
      <c r="J454" t="n">
        <v>0</v>
      </c>
      <c r="K454" t="n">
        <v>0</v>
      </c>
      <c r="L454" t="n">
        <v>0</v>
      </c>
      <c r="M454" t="n">
        <v>0</v>
      </c>
      <c r="N454" t="n">
        <v>0</v>
      </c>
      <c r="O454" t="n">
        <v>0</v>
      </c>
      <c r="P454" t="n">
        <v>0</v>
      </c>
      <c r="Q454" t="n">
        <v>0</v>
      </c>
      <c r="R454" s="2" t="inlineStr"/>
    </row>
    <row r="455" ht="15" customHeight="1">
      <c r="A455" t="inlineStr">
        <is>
          <t>A 53248-2025</t>
        </is>
      </c>
      <c r="B455" s="1" t="n">
        <v>45958.6516087963</v>
      </c>
      <c r="C455" s="1" t="n">
        <v>45987</v>
      </c>
      <c r="D455" t="inlineStr">
        <is>
          <t>UPPSALA LÄN</t>
        </is>
      </c>
      <c r="E455" t="inlineStr">
        <is>
          <t>UPPSALA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53228-2025</t>
        </is>
      </c>
      <c r="B456" s="1" t="n">
        <v>45958.61577546296</v>
      </c>
      <c r="C456" s="1" t="n">
        <v>45987</v>
      </c>
      <c r="D456" t="inlineStr">
        <is>
          <t>UPPSALA LÄN</t>
        </is>
      </c>
      <c r="E456" t="inlineStr">
        <is>
          <t>UPPSALA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43903-2025</t>
        </is>
      </c>
      <c r="B457" s="1" t="n">
        <v>45913.39467592593</v>
      </c>
      <c r="C457" s="1" t="n">
        <v>45987</v>
      </c>
      <c r="D457" t="inlineStr">
        <is>
          <t>UPPSALA LÄN</t>
        </is>
      </c>
      <c r="E457" t="inlineStr">
        <is>
          <t>UPPSALA</t>
        </is>
      </c>
      <c r="F457" t="inlineStr">
        <is>
          <t>Bergvik skog öst AB</t>
        </is>
      </c>
      <c r="G457" t="n">
        <v>3.5</v>
      </c>
      <c r="H457" t="n">
        <v>0</v>
      </c>
      <c r="I457" t="n">
        <v>0</v>
      </c>
      <c r="J457" t="n">
        <v>0</v>
      </c>
      <c r="K457" t="n">
        <v>0</v>
      </c>
      <c r="L457" t="n">
        <v>0</v>
      </c>
      <c r="M457" t="n">
        <v>0</v>
      </c>
      <c r="N457" t="n">
        <v>0</v>
      </c>
      <c r="O457" t="n">
        <v>0</v>
      </c>
      <c r="P457" t="n">
        <v>0</v>
      </c>
      <c r="Q457" t="n">
        <v>0</v>
      </c>
      <c r="R457" s="2" t="inlineStr"/>
    </row>
    <row r="458" ht="15" customHeight="1">
      <c r="A458" t="inlineStr">
        <is>
          <t>A 44385-2025</t>
        </is>
      </c>
      <c r="B458" s="1" t="n">
        <v>45916.48704861111</v>
      </c>
      <c r="C458" s="1" t="n">
        <v>45987</v>
      </c>
      <c r="D458" t="inlineStr">
        <is>
          <t>UPPSALA LÄN</t>
        </is>
      </c>
      <c r="E458" t="inlineStr">
        <is>
          <t>UPPSALA</t>
        </is>
      </c>
      <c r="F458" t="inlineStr">
        <is>
          <t>Bergvik skog öst AB</t>
        </is>
      </c>
      <c r="G458" t="n">
        <v>6.8</v>
      </c>
      <c r="H458" t="n">
        <v>0</v>
      </c>
      <c r="I458" t="n">
        <v>0</v>
      </c>
      <c r="J458" t="n">
        <v>0</v>
      </c>
      <c r="K458" t="n">
        <v>0</v>
      </c>
      <c r="L458" t="n">
        <v>0</v>
      </c>
      <c r="M458" t="n">
        <v>0</v>
      </c>
      <c r="N458" t="n">
        <v>0</v>
      </c>
      <c r="O458" t="n">
        <v>0</v>
      </c>
      <c r="P458" t="n">
        <v>0</v>
      </c>
      <c r="Q458" t="n">
        <v>0</v>
      </c>
      <c r="R458" s="2" t="inlineStr"/>
    </row>
    <row r="459" ht="15" customHeight="1">
      <c r="A459" t="inlineStr">
        <is>
          <t>A 53235-2025</t>
        </is>
      </c>
      <c r="B459" s="1" t="n">
        <v>45958.62983796297</v>
      </c>
      <c r="C459" s="1" t="n">
        <v>45987</v>
      </c>
      <c r="D459" t="inlineStr">
        <is>
          <t>UPPSALA LÄN</t>
        </is>
      </c>
      <c r="E459" t="inlineStr">
        <is>
          <t>UPPSALA</t>
        </is>
      </c>
      <c r="F459" t="inlineStr">
        <is>
          <t>Bergvik skog väst AB</t>
        </is>
      </c>
      <c r="G459" t="n">
        <v>0.8</v>
      </c>
      <c r="H459" t="n">
        <v>0</v>
      </c>
      <c r="I459" t="n">
        <v>0</v>
      </c>
      <c r="J459" t="n">
        <v>0</v>
      </c>
      <c r="K459" t="n">
        <v>0</v>
      </c>
      <c r="L459" t="n">
        <v>0</v>
      </c>
      <c r="M459" t="n">
        <v>0</v>
      </c>
      <c r="N459" t="n">
        <v>0</v>
      </c>
      <c r="O459" t="n">
        <v>0</v>
      </c>
      <c r="P459" t="n">
        <v>0</v>
      </c>
      <c r="Q459" t="n">
        <v>0</v>
      </c>
      <c r="R459" s="2" t="inlineStr"/>
    </row>
    <row r="460" ht="15" customHeight="1">
      <c r="A460" t="inlineStr">
        <is>
          <t>A 53234-2025</t>
        </is>
      </c>
      <c r="B460" s="1" t="n">
        <v>45958.62765046296</v>
      </c>
      <c r="C460" s="1" t="n">
        <v>45987</v>
      </c>
      <c r="D460" t="inlineStr">
        <is>
          <t>UPPSALA LÄN</t>
        </is>
      </c>
      <c r="E460" t="inlineStr">
        <is>
          <t>UPPSALA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53242-2025</t>
        </is>
      </c>
      <c r="B461" s="1" t="n">
        <v>45958.64146990741</v>
      </c>
      <c r="C461" s="1" t="n">
        <v>45987</v>
      </c>
      <c r="D461" t="inlineStr">
        <is>
          <t>UPPSALA LÄN</t>
        </is>
      </c>
      <c r="E461" t="inlineStr">
        <is>
          <t>UPPSALA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3314-2025</t>
        </is>
      </c>
      <c r="B462" s="1" t="n">
        <v>45679</v>
      </c>
      <c r="C462" s="1" t="n">
        <v>45987</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53224-2025</t>
        </is>
      </c>
      <c r="B463" s="1" t="n">
        <v>45958.60826388889</v>
      </c>
      <c r="C463" s="1" t="n">
        <v>45987</v>
      </c>
      <c r="D463" t="inlineStr">
        <is>
          <t>UPPSALA LÄN</t>
        </is>
      </c>
      <c r="E463" t="inlineStr">
        <is>
          <t>UPPSALA</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9914-2024</t>
        </is>
      </c>
      <c r="B464" s="1" t="n">
        <v>45363.54878472222</v>
      </c>
      <c r="C464" s="1" t="n">
        <v>45987</v>
      </c>
      <c r="D464" t="inlineStr">
        <is>
          <t>UPPSALA LÄN</t>
        </is>
      </c>
      <c r="E464" t="inlineStr">
        <is>
          <t>UPPSALA</t>
        </is>
      </c>
      <c r="F464" t="inlineStr">
        <is>
          <t>Bergvik skog väst AB</t>
        </is>
      </c>
      <c r="G464" t="n">
        <v>1.6</v>
      </c>
      <c r="H464" t="n">
        <v>0</v>
      </c>
      <c r="I464" t="n">
        <v>0</v>
      </c>
      <c r="J464" t="n">
        <v>0</v>
      </c>
      <c r="K464" t="n">
        <v>0</v>
      </c>
      <c r="L464" t="n">
        <v>0</v>
      </c>
      <c r="M464" t="n">
        <v>0</v>
      </c>
      <c r="N464" t="n">
        <v>0</v>
      </c>
      <c r="O464" t="n">
        <v>0</v>
      </c>
      <c r="P464" t="n">
        <v>0</v>
      </c>
      <c r="Q464" t="n">
        <v>0</v>
      </c>
      <c r="R464" s="2" t="inlineStr"/>
    </row>
    <row r="465" ht="15" customHeight="1">
      <c r="A465" t="inlineStr">
        <is>
          <t>A 18625-2025</t>
        </is>
      </c>
      <c r="B465" s="1" t="n">
        <v>45763.52744212963</v>
      </c>
      <c r="C465" s="1" t="n">
        <v>45987</v>
      </c>
      <c r="D465" t="inlineStr">
        <is>
          <t>UPPSALA LÄN</t>
        </is>
      </c>
      <c r="E465" t="inlineStr">
        <is>
          <t>UPPSALA</t>
        </is>
      </c>
      <c r="G465" t="n">
        <v>1.8</v>
      </c>
      <c r="H465" t="n">
        <v>0</v>
      </c>
      <c r="I465" t="n">
        <v>0</v>
      </c>
      <c r="J465" t="n">
        <v>0</v>
      </c>
      <c r="K465" t="n">
        <v>0</v>
      </c>
      <c r="L465" t="n">
        <v>0</v>
      </c>
      <c r="M465" t="n">
        <v>0</v>
      </c>
      <c r="N465" t="n">
        <v>0</v>
      </c>
      <c r="O465" t="n">
        <v>0</v>
      </c>
      <c r="P465" t="n">
        <v>0</v>
      </c>
      <c r="Q465" t="n">
        <v>0</v>
      </c>
      <c r="R465" s="2" t="inlineStr"/>
    </row>
    <row r="466" ht="15" customHeight="1">
      <c r="A466" t="inlineStr">
        <is>
          <t>A 6999-2023</t>
        </is>
      </c>
      <c r="B466" s="1" t="n">
        <v>44967.80034722222</v>
      </c>
      <c r="C466" s="1" t="n">
        <v>45987</v>
      </c>
      <c r="D466" t="inlineStr">
        <is>
          <t>UPPSALA LÄN</t>
        </is>
      </c>
      <c r="E466" t="inlineStr">
        <is>
          <t>UPPSALA</t>
        </is>
      </c>
      <c r="G466" t="n">
        <v>1</v>
      </c>
      <c r="H466" t="n">
        <v>0</v>
      </c>
      <c r="I466" t="n">
        <v>0</v>
      </c>
      <c r="J466" t="n">
        <v>0</v>
      </c>
      <c r="K466" t="n">
        <v>0</v>
      </c>
      <c r="L466" t="n">
        <v>0</v>
      </c>
      <c r="M466" t="n">
        <v>0</v>
      </c>
      <c r="N466" t="n">
        <v>0</v>
      </c>
      <c r="O466" t="n">
        <v>0</v>
      </c>
      <c r="P466" t="n">
        <v>0</v>
      </c>
      <c r="Q466" t="n">
        <v>0</v>
      </c>
      <c r="R466" s="2" t="inlineStr"/>
    </row>
    <row r="467" ht="15" customHeight="1">
      <c r="A467" t="inlineStr">
        <is>
          <t>A 7002-2023</t>
        </is>
      </c>
      <c r="B467" s="1" t="n">
        <v>44967</v>
      </c>
      <c r="C467" s="1" t="n">
        <v>45987</v>
      </c>
      <c r="D467" t="inlineStr">
        <is>
          <t>UPPSALA LÄN</t>
        </is>
      </c>
      <c r="E467" t="inlineStr">
        <is>
          <t>UPPSALA</t>
        </is>
      </c>
      <c r="G467" t="n">
        <v>5</v>
      </c>
      <c r="H467" t="n">
        <v>0</v>
      </c>
      <c r="I467" t="n">
        <v>0</v>
      </c>
      <c r="J467" t="n">
        <v>0</v>
      </c>
      <c r="K467" t="n">
        <v>0</v>
      </c>
      <c r="L467" t="n">
        <v>0</v>
      </c>
      <c r="M467" t="n">
        <v>0</v>
      </c>
      <c r="N467" t="n">
        <v>0</v>
      </c>
      <c r="O467" t="n">
        <v>0</v>
      </c>
      <c r="P467" t="n">
        <v>0</v>
      </c>
      <c r="Q467" t="n">
        <v>0</v>
      </c>
      <c r="R467" s="2" t="inlineStr"/>
    </row>
    <row r="468" ht="15" customHeight="1">
      <c r="A468" t="inlineStr">
        <is>
          <t>A 36478-2023</t>
        </is>
      </c>
      <c r="B468" s="1" t="n">
        <v>45152</v>
      </c>
      <c r="C468" s="1" t="n">
        <v>45987</v>
      </c>
      <c r="D468" t="inlineStr">
        <is>
          <t>UPPSALA LÄN</t>
        </is>
      </c>
      <c r="E468" t="inlineStr">
        <is>
          <t>UPPSALA</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53021-2025</t>
        </is>
      </c>
      <c r="B469" s="1" t="n">
        <v>45957.95233796296</v>
      </c>
      <c r="C469" s="1" t="n">
        <v>45987</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53062-2025</t>
        </is>
      </c>
      <c r="B470" s="1" t="n">
        <v>45958.37273148148</v>
      </c>
      <c r="C470" s="1" t="n">
        <v>45987</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53230-2025</t>
        </is>
      </c>
      <c r="B471" s="1" t="n">
        <v>45958.62303240741</v>
      </c>
      <c r="C471" s="1" t="n">
        <v>45987</v>
      </c>
      <c r="D471" t="inlineStr">
        <is>
          <t>UPPSALA LÄN</t>
        </is>
      </c>
      <c r="E471" t="inlineStr">
        <is>
          <t>UPPSALA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53206-2025</t>
        </is>
      </c>
      <c r="B472" s="1" t="n">
        <v>45958.58711805556</v>
      </c>
      <c r="C472" s="1" t="n">
        <v>45987</v>
      </c>
      <c r="D472" t="inlineStr">
        <is>
          <t>UPPSALA LÄN</t>
        </is>
      </c>
      <c r="E472" t="inlineStr">
        <is>
          <t>UPPSALA</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53238-2025</t>
        </is>
      </c>
      <c r="B473" s="1" t="n">
        <v>45958.63368055555</v>
      </c>
      <c r="C473" s="1" t="n">
        <v>45987</v>
      </c>
      <c r="D473" t="inlineStr">
        <is>
          <t>UPPSALA LÄN</t>
        </is>
      </c>
      <c r="E473" t="inlineStr">
        <is>
          <t>UPPSALA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44470-2025</t>
        </is>
      </c>
      <c r="B474" s="1" t="n">
        <v>45916</v>
      </c>
      <c r="C474" s="1" t="n">
        <v>45987</v>
      </c>
      <c r="D474" t="inlineStr">
        <is>
          <t>UPPSALA LÄN</t>
        </is>
      </c>
      <c r="E474" t="inlineStr">
        <is>
          <t>UPPSALA</t>
        </is>
      </c>
      <c r="G474" t="n">
        <v>0.5</v>
      </c>
      <c r="H474" t="n">
        <v>0</v>
      </c>
      <c r="I474" t="n">
        <v>0</v>
      </c>
      <c r="J474" t="n">
        <v>0</v>
      </c>
      <c r="K474" t="n">
        <v>0</v>
      </c>
      <c r="L474" t="n">
        <v>0</v>
      </c>
      <c r="M474" t="n">
        <v>0</v>
      </c>
      <c r="N474" t="n">
        <v>0</v>
      </c>
      <c r="O474" t="n">
        <v>0</v>
      </c>
      <c r="P474" t="n">
        <v>0</v>
      </c>
      <c r="Q474" t="n">
        <v>0</v>
      </c>
      <c r="R474" s="2" t="inlineStr"/>
    </row>
    <row r="475" ht="15" customHeight="1">
      <c r="A475" t="inlineStr">
        <is>
          <t>A 367-2023</t>
        </is>
      </c>
      <c r="B475" s="1" t="n">
        <v>44929</v>
      </c>
      <c r="C475" s="1" t="n">
        <v>45987</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34132-2025</t>
        </is>
      </c>
      <c r="B476" s="1" t="n">
        <v>45845.53202546296</v>
      </c>
      <c r="C476" s="1" t="n">
        <v>45987</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45987</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12414-2025</t>
        </is>
      </c>
      <c r="B478" s="1" t="n">
        <v>45730.43966435185</v>
      </c>
      <c r="C478" s="1" t="n">
        <v>45987</v>
      </c>
      <c r="D478" t="inlineStr">
        <is>
          <t>UPPSALA LÄN</t>
        </is>
      </c>
      <c r="E478" t="inlineStr">
        <is>
          <t>UPPSALA</t>
        </is>
      </c>
      <c r="F478" t="inlineStr">
        <is>
          <t>Övriga statliga verk och myndigheter</t>
        </is>
      </c>
      <c r="G478" t="n">
        <v>6.8</v>
      </c>
      <c r="H478" t="n">
        <v>0</v>
      </c>
      <c r="I478" t="n">
        <v>0</v>
      </c>
      <c r="J478" t="n">
        <v>0</v>
      </c>
      <c r="K478" t="n">
        <v>0</v>
      </c>
      <c r="L478" t="n">
        <v>0</v>
      </c>
      <c r="M478" t="n">
        <v>0</v>
      </c>
      <c r="N478" t="n">
        <v>0</v>
      </c>
      <c r="O478" t="n">
        <v>0</v>
      </c>
      <c r="P478" t="n">
        <v>0</v>
      </c>
      <c r="Q478" t="n">
        <v>0</v>
      </c>
      <c r="R478" s="2" t="inlineStr"/>
    </row>
    <row r="479" ht="15" customHeight="1">
      <c r="A479" t="inlineStr">
        <is>
          <t>A 53582-2025</t>
        </is>
      </c>
      <c r="B479" s="1" t="n">
        <v>45960.43065972222</v>
      </c>
      <c r="C479" s="1" t="n">
        <v>45987</v>
      </c>
      <c r="D479" t="inlineStr">
        <is>
          <t>UPPSALA LÄN</t>
        </is>
      </c>
      <c r="E479" t="inlineStr">
        <is>
          <t>UPPSALA</t>
        </is>
      </c>
      <c r="G479" t="n">
        <v>12.2</v>
      </c>
      <c r="H479" t="n">
        <v>0</v>
      </c>
      <c r="I479" t="n">
        <v>0</v>
      </c>
      <c r="J479" t="n">
        <v>0</v>
      </c>
      <c r="K479" t="n">
        <v>0</v>
      </c>
      <c r="L479" t="n">
        <v>0</v>
      </c>
      <c r="M479" t="n">
        <v>0</v>
      </c>
      <c r="N479" t="n">
        <v>0</v>
      </c>
      <c r="O479" t="n">
        <v>0</v>
      </c>
      <c r="P479" t="n">
        <v>0</v>
      </c>
      <c r="Q479" t="n">
        <v>0</v>
      </c>
      <c r="R479" s="2" t="inlineStr"/>
    </row>
    <row r="480" ht="15" customHeight="1">
      <c r="A480" t="inlineStr">
        <is>
          <t>A 53365-2024</t>
        </is>
      </c>
      <c r="B480" s="1" t="n">
        <v>45614</v>
      </c>
      <c r="C480" s="1" t="n">
        <v>45987</v>
      </c>
      <c r="D480" t="inlineStr">
        <is>
          <t>UPPSALA LÄN</t>
        </is>
      </c>
      <c r="E480" t="inlineStr">
        <is>
          <t>UPPSALA</t>
        </is>
      </c>
      <c r="F480" t="inlineStr">
        <is>
          <t>Allmännings- och besparingsskogar</t>
        </is>
      </c>
      <c r="G480" t="n">
        <v>6.6</v>
      </c>
      <c r="H480" t="n">
        <v>0</v>
      </c>
      <c r="I480" t="n">
        <v>0</v>
      </c>
      <c r="J480" t="n">
        <v>0</v>
      </c>
      <c r="K480" t="n">
        <v>0</v>
      </c>
      <c r="L480" t="n">
        <v>0</v>
      </c>
      <c r="M480" t="n">
        <v>0</v>
      </c>
      <c r="N480" t="n">
        <v>0</v>
      </c>
      <c r="O480" t="n">
        <v>0</v>
      </c>
      <c r="P480" t="n">
        <v>0</v>
      </c>
      <c r="Q480" t="n">
        <v>0</v>
      </c>
      <c r="R480" s="2" t="inlineStr"/>
    </row>
    <row r="481" ht="15" customHeight="1">
      <c r="A481" t="inlineStr">
        <is>
          <t>A 44813-2025</t>
        </is>
      </c>
      <c r="B481" s="1" t="n">
        <v>45918.37322916667</v>
      </c>
      <c r="C481" s="1" t="n">
        <v>45987</v>
      </c>
      <c r="D481" t="inlineStr">
        <is>
          <t>UPPSALA LÄN</t>
        </is>
      </c>
      <c r="E481" t="inlineStr">
        <is>
          <t>UPPSALA</t>
        </is>
      </c>
      <c r="G481" t="n">
        <v>1.4</v>
      </c>
      <c r="H481" t="n">
        <v>0</v>
      </c>
      <c r="I481" t="n">
        <v>0</v>
      </c>
      <c r="J481" t="n">
        <v>0</v>
      </c>
      <c r="K481" t="n">
        <v>0</v>
      </c>
      <c r="L481" t="n">
        <v>0</v>
      </c>
      <c r="M481" t="n">
        <v>0</v>
      </c>
      <c r="N481" t="n">
        <v>0</v>
      </c>
      <c r="O481" t="n">
        <v>0</v>
      </c>
      <c r="P481" t="n">
        <v>0</v>
      </c>
      <c r="Q481" t="n">
        <v>0</v>
      </c>
      <c r="R481" s="2" t="inlineStr"/>
    </row>
    <row r="482" ht="15" customHeight="1">
      <c r="A482" t="inlineStr">
        <is>
          <t>A 35014-2025</t>
        </is>
      </c>
      <c r="B482" s="1" t="n">
        <v>45851.60097222222</v>
      </c>
      <c r="C482" s="1" t="n">
        <v>45987</v>
      </c>
      <c r="D482" t="inlineStr">
        <is>
          <t>UPPSALA LÄN</t>
        </is>
      </c>
      <c r="E482" t="inlineStr">
        <is>
          <t>UPPSALA</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46796-2024</t>
        </is>
      </c>
      <c r="B483" s="1" t="n">
        <v>45583</v>
      </c>
      <c r="C483" s="1" t="n">
        <v>45987</v>
      </c>
      <c r="D483" t="inlineStr">
        <is>
          <t>UPPSALA LÄN</t>
        </is>
      </c>
      <c r="E483" t="inlineStr">
        <is>
          <t>UPPSALA</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53322-2025</t>
        </is>
      </c>
      <c r="B484" s="1" t="n">
        <v>45959.35965277778</v>
      </c>
      <c r="C484" s="1" t="n">
        <v>45987</v>
      </c>
      <c r="D484" t="inlineStr">
        <is>
          <t>UPPSALA LÄN</t>
        </is>
      </c>
      <c r="E484" t="inlineStr">
        <is>
          <t>UPPSALA</t>
        </is>
      </c>
      <c r="F484" t="inlineStr">
        <is>
          <t>Bergvik skog öst AB</t>
        </is>
      </c>
      <c r="G484" t="n">
        <v>2.4</v>
      </c>
      <c r="H484" t="n">
        <v>0</v>
      </c>
      <c r="I484" t="n">
        <v>0</v>
      </c>
      <c r="J484" t="n">
        <v>0</v>
      </c>
      <c r="K484" t="n">
        <v>0</v>
      </c>
      <c r="L484" t="n">
        <v>0</v>
      </c>
      <c r="M484" t="n">
        <v>0</v>
      </c>
      <c r="N484" t="n">
        <v>0</v>
      </c>
      <c r="O484" t="n">
        <v>0</v>
      </c>
      <c r="P484" t="n">
        <v>0</v>
      </c>
      <c r="Q484" t="n">
        <v>0</v>
      </c>
      <c r="R484" s="2" t="inlineStr"/>
    </row>
    <row r="485" ht="15" customHeight="1">
      <c r="A485" t="inlineStr">
        <is>
          <t>A 53324-2025</t>
        </is>
      </c>
      <c r="B485" s="1" t="n">
        <v>45959.36146990741</v>
      </c>
      <c r="C485" s="1" t="n">
        <v>45987</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35015-2025</t>
        </is>
      </c>
      <c r="B486" s="1" t="n">
        <v>45851.62018518519</v>
      </c>
      <c r="C486" s="1" t="n">
        <v>45987</v>
      </c>
      <c r="D486" t="inlineStr">
        <is>
          <t>UPPSALA LÄN</t>
        </is>
      </c>
      <c r="E486" t="inlineStr">
        <is>
          <t>UPPSALA</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53423-2025</t>
        </is>
      </c>
      <c r="B487" s="1" t="n">
        <v>45959.60851851852</v>
      </c>
      <c r="C487" s="1" t="n">
        <v>45987</v>
      </c>
      <c r="D487" t="inlineStr">
        <is>
          <t>UPPSALA LÄN</t>
        </is>
      </c>
      <c r="E487" t="inlineStr">
        <is>
          <t>UPPSALA</t>
        </is>
      </c>
      <c r="F487" t="inlineStr">
        <is>
          <t>Övriga Aktiebolag</t>
        </is>
      </c>
      <c r="G487" t="n">
        <v>23.6</v>
      </c>
      <c r="H487" t="n">
        <v>0</v>
      </c>
      <c r="I487" t="n">
        <v>0</v>
      </c>
      <c r="J487" t="n">
        <v>0</v>
      </c>
      <c r="K487" t="n">
        <v>0</v>
      </c>
      <c r="L487" t="n">
        <v>0</v>
      </c>
      <c r="M487" t="n">
        <v>0</v>
      </c>
      <c r="N487" t="n">
        <v>0</v>
      </c>
      <c r="O487" t="n">
        <v>0</v>
      </c>
      <c r="P487" t="n">
        <v>0</v>
      </c>
      <c r="Q487" t="n">
        <v>0</v>
      </c>
      <c r="R487" s="2" t="inlineStr"/>
    </row>
    <row r="488" ht="15" customHeight="1">
      <c r="A488" t="inlineStr">
        <is>
          <t>A 60820-2024</t>
        </is>
      </c>
      <c r="B488" s="1" t="n">
        <v>45644.62677083333</v>
      </c>
      <c r="C488" s="1" t="n">
        <v>45987</v>
      </c>
      <c r="D488" t="inlineStr">
        <is>
          <t>UPPSALA LÄN</t>
        </is>
      </c>
      <c r="E488" t="inlineStr">
        <is>
          <t>UPPSALA</t>
        </is>
      </c>
      <c r="G488" t="n">
        <v>1.2</v>
      </c>
      <c r="H488" t="n">
        <v>0</v>
      </c>
      <c r="I488" t="n">
        <v>0</v>
      </c>
      <c r="J488" t="n">
        <v>0</v>
      </c>
      <c r="K488" t="n">
        <v>0</v>
      </c>
      <c r="L488" t="n">
        <v>0</v>
      </c>
      <c r="M488" t="n">
        <v>0</v>
      </c>
      <c r="N488" t="n">
        <v>0</v>
      </c>
      <c r="O488" t="n">
        <v>0</v>
      </c>
      <c r="P488" t="n">
        <v>0</v>
      </c>
      <c r="Q488" t="n">
        <v>0</v>
      </c>
      <c r="R488" s="2" t="inlineStr"/>
    </row>
    <row r="489" ht="15" customHeight="1">
      <c r="A489" t="inlineStr">
        <is>
          <t>A 18443-2023</t>
        </is>
      </c>
      <c r="B489" s="1" t="n">
        <v>45042</v>
      </c>
      <c r="C489" s="1" t="n">
        <v>45987</v>
      </c>
      <c r="D489" t="inlineStr">
        <is>
          <t>UPPSALA LÄN</t>
        </is>
      </c>
      <c r="E489" t="inlineStr">
        <is>
          <t>UPPSALA</t>
        </is>
      </c>
      <c r="G489" t="n">
        <v>0.4</v>
      </c>
      <c r="H489" t="n">
        <v>0</v>
      </c>
      <c r="I489" t="n">
        <v>0</v>
      </c>
      <c r="J489" t="n">
        <v>0</v>
      </c>
      <c r="K489" t="n">
        <v>0</v>
      </c>
      <c r="L489" t="n">
        <v>0</v>
      </c>
      <c r="M489" t="n">
        <v>0</v>
      </c>
      <c r="N489" t="n">
        <v>0</v>
      </c>
      <c r="O489" t="n">
        <v>0</v>
      </c>
      <c r="P489" t="n">
        <v>0</v>
      </c>
      <c r="Q489" t="n">
        <v>0</v>
      </c>
      <c r="R489" s="2" t="inlineStr"/>
    </row>
    <row r="490" ht="15" customHeight="1">
      <c r="A490" t="inlineStr">
        <is>
          <t>A 8090-2022</t>
        </is>
      </c>
      <c r="B490" s="1" t="n">
        <v>44608</v>
      </c>
      <c r="C490" s="1" t="n">
        <v>45987</v>
      </c>
      <c r="D490" t="inlineStr">
        <is>
          <t>UPPSALA LÄN</t>
        </is>
      </c>
      <c r="E490" t="inlineStr">
        <is>
          <t>UPPSALA</t>
        </is>
      </c>
      <c r="G490" t="n">
        <v>1.4</v>
      </c>
      <c r="H490" t="n">
        <v>0</v>
      </c>
      <c r="I490" t="n">
        <v>0</v>
      </c>
      <c r="J490" t="n">
        <v>0</v>
      </c>
      <c r="K490" t="n">
        <v>0</v>
      </c>
      <c r="L490" t="n">
        <v>0</v>
      </c>
      <c r="M490" t="n">
        <v>0</v>
      </c>
      <c r="N490" t="n">
        <v>0</v>
      </c>
      <c r="O490" t="n">
        <v>0</v>
      </c>
      <c r="P490" t="n">
        <v>0</v>
      </c>
      <c r="Q490" t="n">
        <v>0</v>
      </c>
      <c r="R490" s="2" t="inlineStr"/>
    </row>
    <row r="491" ht="15" customHeight="1">
      <c r="A491" t="inlineStr">
        <is>
          <t>A 18675-2024</t>
        </is>
      </c>
      <c r="B491" s="1" t="n">
        <v>45426</v>
      </c>
      <c r="C491" s="1" t="n">
        <v>45987</v>
      </c>
      <c r="D491" t="inlineStr">
        <is>
          <t>UPPSALA LÄN</t>
        </is>
      </c>
      <c r="E491" t="inlineStr">
        <is>
          <t>UPPSALA</t>
        </is>
      </c>
      <c r="G491" t="n">
        <v>8.1</v>
      </c>
      <c r="H491" t="n">
        <v>0</v>
      </c>
      <c r="I491" t="n">
        <v>0</v>
      </c>
      <c r="J491" t="n">
        <v>0</v>
      </c>
      <c r="K491" t="n">
        <v>0</v>
      </c>
      <c r="L491" t="n">
        <v>0</v>
      </c>
      <c r="M491" t="n">
        <v>0</v>
      </c>
      <c r="N491" t="n">
        <v>0</v>
      </c>
      <c r="O491" t="n">
        <v>0</v>
      </c>
      <c r="P491" t="n">
        <v>0</v>
      </c>
      <c r="Q491" t="n">
        <v>0</v>
      </c>
      <c r="R491" s="2" t="inlineStr"/>
    </row>
    <row r="492" ht="15" customHeight="1">
      <c r="A492" t="inlineStr">
        <is>
          <t>A 34893-2025</t>
        </is>
      </c>
      <c r="B492" s="1" t="n">
        <v>45849.49259259259</v>
      </c>
      <c r="C492" s="1" t="n">
        <v>45987</v>
      </c>
      <c r="D492" t="inlineStr">
        <is>
          <t>UPPSALA LÄN</t>
        </is>
      </c>
      <c r="E492" t="inlineStr">
        <is>
          <t>UPPSALA</t>
        </is>
      </c>
      <c r="G492" t="n">
        <v>1.5</v>
      </c>
      <c r="H492" t="n">
        <v>0</v>
      </c>
      <c r="I492" t="n">
        <v>0</v>
      </c>
      <c r="J492" t="n">
        <v>0</v>
      </c>
      <c r="K492" t="n">
        <v>0</v>
      </c>
      <c r="L492" t="n">
        <v>0</v>
      </c>
      <c r="M492" t="n">
        <v>0</v>
      </c>
      <c r="N492" t="n">
        <v>0</v>
      </c>
      <c r="O492" t="n">
        <v>0</v>
      </c>
      <c r="P492" t="n">
        <v>0</v>
      </c>
      <c r="Q492" t="n">
        <v>0</v>
      </c>
      <c r="R492" s="2" t="inlineStr"/>
    </row>
    <row r="493" ht="15" customHeight="1">
      <c r="A493" t="inlineStr">
        <is>
          <t>A 35148-2025</t>
        </is>
      </c>
      <c r="B493" s="1" t="n">
        <v>45852.67366898148</v>
      </c>
      <c r="C493" s="1" t="n">
        <v>45987</v>
      </c>
      <c r="D493" t="inlineStr">
        <is>
          <t>UPPSALA LÄN</t>
        </is>
      </c>
      <c r="E493" t="inlineStr">
        <is>
          <t>UPPSALA</t>
        </is>
      </c>
      <c r="F493" t="inlineStr">
        <is>
          <t>Holmen skog AB</t>
        </is>
      </c>
      <c r="G493" t="n">
        <v>2.2</v>
      </c>
      <c r="H493" t="n">
        <v>0</v>
      </c>
      <c r="I493" t="n">
        <v>0</v>
      </c>
      <c r="J493" t="n">
        <v>0</v>
      </c>
      <c r="K493" t="n">
        <v>0</v>
      </c>
      <c r="L493" t="n">
        <v>0</v>
      </c>
      <c r="M493" t="n">
        <v>0</v>
      </c>
      <c r="N493" t="n">
        <v>0</v>
      </c>
      <c r="O493" t="n">
        <v>0</v>
      </c>
      <c r="P493" t="n">
        <v>0</v>
      </c>
      <c r="Q493" t="n">
        <v>0</v>
      </c>
      <c r="R493" s="2" t="inlineStr"/>
    </row>
    <row r="494" ht="15" customHeight="1">
      <c r="A494" t="inlineStr">
        <is>
          <t>A 60047-2022</t>
        </is>
      </c>
      <c r="B494" s="1" t="n">
        <v>44909.51885416666</v>
      </c>
      <c r="C494" s="1" t="n">
        <v>45987</v>
      </c>
      <c r="D494" t="inlineStr">
        <is>
          <t>UPPSALA LÄN</t>
        </is>
      </c>
      <c r="E494" t="inlineStr">
        <is>
          <t>UPPSALA</t>
        </is>
      </c>
      <c r="F494" t="inlineStr">
        <is>
          <t>Kyrkan</t>
        </is>
      </c>
      <c r="G494" t="n">
        <v>0.7</v>
      </c>
      <c r="H494" t="n">
        <v>0</v>
      </c>
      <c r="I494" t="n">
        <v>0</v>
      </c>
      <c r="J494" t="n">
        <v>0</v>
      </c>
      <c r="K494" t="n">
        <v>0</v>
      </c>
      <c r="L494" t="n">
        <v>0</v>
      </c>
      <c r="M494" t="n">
        <v>0</v>
      </c>
      <c r="N494" t="n">
        <v>0</v>
      </c>
      <c r="O494" t="n">
        <v>0</v>
      </c>
      <c r="P494" t="n">
        <v>0</v>
      </c>
      <c r="Q494" t="n">
        <v>0</v>
      </c>
      <c r="R494" s="2" t="inlineStr"/>
    </row>
    <row r="495" ht="15" customHeight="1">
      <c r="A495" t="inlineStr">
        <is>
          <t>A 53589-2025</t>
        </is>
      </c>
      <c r="B495" s="1" t="n">
        <v>45960.43780092592</v>
      </c>
      <c r="C495" s="1" t="n">
        <v>45987</v>
      </c>
      <c r="D495" t="inlineStr">
        <is>
          <t>UPPSALA LÄN</t>
        </is>
      </c>
      <c r="E495" t="inlineStr">
        <is>
          <t>UPPSALA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35056-2025</t>
        </is>
      </c>
      <c r="B496" s="1" t="n">
        <v>45852.39642361111</v>
      </c>
      <c r="C496" s="1" t="n">
        <v>45987</v>
      </c>
      <c r="D496" t="inlineStr">
        <is>
          <t>UPPSALA LÄN</t>
        </is>
      </c>
      <c r="E496" t="inlineStr">
        <is>
          <t>UPPSALA</t>
        </is>
      </c>
      <c r="G496" t="n">
        <v>2.6</v>
      </c>
      <c r="H496" t="n">
        <v>0</v>
      </c>
      <c r="I496" t="n">
        <v>0</v>
      </c>
      <c r="J496" t="n">
        <v>0</v>
      </c>
      <c r="K496" t="n">
        <v>0</v>
      </c>
      <c r="L496" t="n">
        <v>0</v>
      </c>
      <c r="M496" t="n">
        <v>0</v>
      </c>
      <c r="N496" t="n">
        <v>0</v>
      </c>
      <c r="O496" t="n">
        <v>0</v>
      </c>
      <c r="P496" t="n">
        <v>0</v>
      </c>
      <c r="Q496" t="n">
        <v>0</v>
      </c>
      <c r="R496" s="2" t="inlineStr"/>
    </row>
    <row r="497" ht="15" customHeight="1">
      <c r="A497" t="inlineStr">
        <is>
          <t>A 35053-2025</t>
        </is>
      </c>
      <c r="B497" s="1" t="n">
        <v>45852.36871527778</v>
      </c>
      <c r="C497" s="1" t="n">
        <v>45987</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35155-2025</t>
        </is>
      </c>
      <c r="B498" s="1" t="n">
        <v>45852.68978009259</v>
      </c>
      <c r="C498" s="1" t="n">
        <v>45987</v>
      </c>
      <c r="D498" t="inlineStr">
        <is>
          <t>UPPSALA LÄN</t>
        </is>
      </c>
      <c r="E498" t="inlineStr">
        <is>
          <t>UPPSALA</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35150-2025</t>
        </is>
      </c>
      <c r="B499" s="1" t="n">
        <v>45852</v>
      </c>
      <c r="C499" s="1" t="n">
        <v>45987</v>
      </c>
      <c r="D499" t="inlineStr">
        <is>
          <t>UPPSALA LÄN</t>
        </is>
      </c>
      <c r="E499" t="inlineStr">
        <is>
          <t>UPPSALA</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35167-2025</t>
        </is>
      </c>
      <c r="B500" s="1" t="n">
        <v>45852.72965277778</v>
      </c>
      <c r="C500" s="1" t="n">
        <v>45987</v>
      </c>
      <c r="D500" t="inlineStr">
        <is>
          <t>UPPSALA LÄN</t>
        </is>
      </c>
      <c r="E500" t="inlineStr">
        <is>
          <t>UPPSALA</t>
        </is>
      </c>
      <c r="F500" t="inlineStr">
        <is>
          <t>Holmen skog AB</t>
        </is>
      </c>
      <c r="G500" t="n">
        <v>10</v>
      </c>
      <c r="H500" t="n">
        <v>0</v>
      </c>
      <c r="I500" t="n">
        <v>0</v>
      </c>
      <c r="J500" t="n">
        <v>0</v>
      </c>
      <c r="K500" t="n">
        <v>0</v>
      </c>
      <c r="L500" t="n">
        <v>0</v>
      </c>
      <c r="M500" t="n">
        <v>0</v>
      </c>
      <c r="N500" t="n">
        <v>0</v>
      </c>
      <c r="O500" t="n">
        <v>0</v>
      </c>
      <c r="P500" t="n">
        <v>0</v>
      </c>
      <c r="Q500" t="n">
        <v>0</v>
      </c>
      <c r="R500" s="2" t="inlineStr"/>
    </row>
    <row r="501" ht="15" customHeight="1">
      <c r="A501" t="inlineStr">
        <is>
          <t>A 50535-2024</t>
        </is>
      </c>
      <c r="B501" s="1" t="n">
        <v>45600</v>
      </c>
      <c r="C501" s="1" t="n">
        <v>45987</v>
      </c>
      <c r="D501" t="inlineStr">
        <is>
          <t>UPPSALA LÄN</t>
        </is>
      </c>
      <c r="E501" t="inlineStr">
        <is>
          <t>UPPSALA</t>
        </is>
      </c>
      <c r="F501" t="inlineStr">
        <is>
          <t>Övriga statliga verk och myndigheter</t>
        </is>
      </c>
      <c r="G501" t="n">
        <v>3.2</v>
      </c>
      <c r="H501" t="n">
        <v>0</v>
      </c>
      <c r="I501" t="n">
        <v>0</v>
      </c>
      <c r="J501" t="n">
        <v>0</v>
      </c>
      <c r="K501" t="n">
        <v>0</v>
      </c>
      <c r="L501" t="n">
        <v>0</v>
      </c>
      <c r="M501" t="n">
        <v>0</v>
      </c>
      <c r="N501" t="n">
        <v>0</v>
      </c>
      <c r="O501" t="n">
        <v>0</v>
      </c>
      <c r="P501" t="n">
        <v>0</v>
      </c>
      <c r="Q501" t="n">
        <v>0</v>
      </c>
      <c r="R501" s="2" t="inlineStr"/>
    </row>
    <row r="502" ht="15" customHeight="1">
      <c r="A502" t="inlineStr">
        <is>
          <t>A 29799-2023</t>
        </is>
      </c>
      <c r="B502" s="1" t="n">
        <v>45107.53688657407</v>
      </c>
      <c r="C502" s="1" t="n">
        <v>45987</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35305-2025</t>
        </is>
      </c>
      <c r="B503" s="1" t="n">
        <v>45854.44017361111</v>
      </c>
      <c r="C503" s="1" t="n">
        <v>45987</v>
      </c>
      <c r="D503" t="inlineStr">
        <is>
          <t>UPPSALA LÄN</t>
        </is>
      </c>
      <c r="E503" t="inlineStr">
        <is>
          <t>UPPSALA</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24098-2024</t>
        </is>
      </c>
      <c r="B504" s="1" t="n">
        <v>45456.59535879629</v>
      </c>
      <c r="C504" s="1" t="n">
        <v>45987</v>
      </c>
      <c r="D504" t="inlineStr">
        <is>
          <t>UPPSALA LÄN</t>
        </is>
      </c>
      <c r="E504" t="inlineStr">
        <is>
          <t>UPPSALA</t>
        </is>
      </c>
      <c r="G504" t="n">
        <v>2.2</v>
      </c>
      <c r="H504" t="n">
        <v>0</v>
      </c>
      <c r="I504" t="n">
        <v>0</v>
      </c>
      <c r="J504" t="n">
        <v>0</v>
      </c>
      <c r="K504" t="n">
        <v>0</v>
      </c>
      <c r="L504" t="n">
        <v>0</v>
      </c>
      <c r="M504" t="n">
        <v>0</v>
      </c>
      <c r="N504" t="n">
        <v>0</v>
      </c>
      <c r="O504" t="n">
        <v>0</v>
      </c>
      <c r="P504" t="n">
        <v>0</v>
      </c>
      <c r="Q504" t="n">
        <v>0</v>
      </c>
      <c r="R504" s="2" t="inlineStr"/>
    </row>
    <row r="505" ht="15" customHeight="1">
      <c r="A505" t="inlineStr">
        <is>
          <t>A 45405-2025</t>
        </is>
      </c>
      <c r="B505" s="1" t="n">
        <v>45922.42865740741</v>
      </c>
      <c r="C505" s="1" t="n">
        <v>45987</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53886-2025</t>
        </is>
      </c>
      <c r="B506" s="1" t="n">
        <v>45961.40716435185</v>
      </c>
      <c r="C506" s="1" t="n">
        <v>45987</v>
      </c>
      <c r="D506" t="inlineStr">
        <is>
          <t>UPPSALA LÄN</t>
        </is>
      </c>
      <c r="E506" t="inlineStr">
        <is>
          <t>UPPSALA</t>
        </is>
      </c>
      <c r="G506" t="n">
        <v>2</v>
      </c>
      <c r="H506" t="n">
        <v>0</v>
      </c>
      <c r="I506" t="n">
        <v>0</v>
      </c>
      <c r="J506" t="n">
        <v>0</v>
      </c>
      <c r="K506" t="n">
        <v>0</v>
      </c>
      <c r="L506" t="n">
        <v>0</v>
      </c>
      <c r="M506" t="n">
        <v>0</v>
      </c>
      <c r="N506" t="n">
        <v>0</v>
      </c>
      <c r="O506" t="n">
        <v>0</v>
      </c>
      <c r="P506" t="n">
        <v>0</v>
      </c>
      <c r="Q506" t="n">
        <v>0</v>
      </c>
      <c r="R506" s="2" t="inlineStr"/>
    </row>
    <row r="507" ht="15" customHeight="1">
      <c r="A507" t="inlineStr">
        <is>
          <t>A 53891-2025</t>
        </is>
      </c>
      <c r="B507" s="1" t="n">
        <v>45961.41853009259</v>
      </c>
      <c r="C507" s="1" t="n">
        <v>45987</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35509-2025</t>
        </is>
      </c>
      <c r="B508" s="1" t="n">
        <v>45856.34959490741</v>
      </c>
      <c r="C508" s="1" t="n">
        <v>45987</v>
      </c>
      <c r="D508" t="inlineStr">
        <is>
          <t>UPPSALA LÄN</t>
        </is>
      </c>
      <c r="E508" t="inlineStr">
        <is>
          <t>UPPSALA</t>
        </is>
      </c>
      <c r="F508" t="inlineStr">
        <is>
          <t>Bergvik skog öst AB</t>
        </is>
      </c>
      <c r="G508" t="n">
        <v>1.6</v>
      </c>
      <c r="H508" t="n">
        <v>0</v>
      </c>
      <c r="I508" t="n">
        <v>0</v>
      </c>
      <c r="J508" t="n">
        <v>0</v>
      </c>
      <c r="K508" t="n">
        <v>0</v>
      </c>
      <c r="L508" t="n">
        <v>0</v>
      </c>
      <c r="M508" t="n">
        <v>0</v>
      </c>
      <c r="N508" t="n">
        <v>0</v>
      </c>
      <c r="O508" t="n">
        <v>0</v>
      </c>
      <c r="P508" t="n">
        <v>0</v>
      </c>
      <c r="Q508" t="n">
        <v>0</v>
      </c>
      <c r="R508" s="2" t="inlineStr"/>
    </row>
    <row r="509" ht="15" customHeight="1">
      <c r="A509" t="inlineStr">
        <is>
          <t>A 35510-2025</t>
        </is>
      </c>
      <c r="B509" s="1" t="n">
        <v>45856</v>
      </c>
      <c r="C509" s="1" t="n">
        <v>45987</v>
      </c>
      <c r="D509" t="inlineStr">
        <is>
          <t>UPPSALA LÄN</t>
        </is>
      </c>
      <c r="E509" t="inlineStr">
        <is>
          <t>UPPSALA</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53851-2025</t>
        </is>
      </c>
      <c r="B510" s="1" t="n">
        <v>45961.37217592593</v>
      </c>
      <c r="C510" s="1" t="n">
        <v>45987</v>
      </c>
      <c r="D510" t="inlineStr">
        <is>
          <t>UPPSALA LÄN</t>
        </is>
      </c>
      <c r="E510" t="inlineStr">
        <is>
          <t>UPPSALA</t>
        </is>
      </c>
      <c r="G510" t="n">
        <v>2.6</v>
      </c>
      <c r="H510" t="n">
        <v>0</v>
      </c>
      <c r="I510" t="n">
        <v>0</v>
      </c>
      <c r="J510" t="n">
        <v>0</v>
      </c>
      <c r="K510" t="n">
        <v>0</v>
      </c>
      <c r="L510" t="n">
        <v>0</v>
      </c>
      <c r="M510" t="n">
        <v>0</v>
      </c>
      <c r="N510" t="n">
        <v>0</v>
      </c>
      <c r="O510" t="n">
        <v>0</v>
      </c>
      <c r="P510" t="n">
        <v>0</v>
      </c>
      <c r="Q510" t="n">
        <v>0</v>
      </c>
      <c r="R510" s="2" t="inlineStr"/>
    </row>
    <row r="511" ht="15" customHeight="1">
      <c r="A511" t="inlineStr">
        <is>
          <t>A 54284-2025</t>
        </is>
      </c>
      <c r="B511" s="1" t="n">
        <v>45964.76486111111</v>
      </c>
      <c r="C511" s="1" t="n">
        <v>45987</v>
      </c>
      <c r="D511" t="inlineStr">
        <is>
          <t>UPPSALA LÄN</t>
        </is>
      </c>
      <c r="E511" t="inlineStr">
        <is>
          <t>UPPSALA</t>
        </is>
      </c>
      <c r="G511" t="n">
        <v>3.9</v>
      </c>
      <c r="H511" t="n">
        <v>0</v>
      </c>
      <c r="I511" t="n">
        <v>0</v>
      </c>
      <c r="J511" t="n">
        <v>0</v>
      </c>
      <c r="K511" t="n">
        <v>0</v>
      </c>
      <c r="L511" t="n">
        <v>0</v>
      </c>
      <c r="M511" t="n">
        <v>0</v>
      </c>
      <c r="N511" t="n">
        <v>0</v>
      </c>
      <c r="O511" t="n">
        <v>0</v>
      </c>
      <c r="P511" t="n">
        <v>0</v>
      </c>
      <c r="Q511" t="n">
        <v>0</v>
      </c>
      <c r="R511" s="2" t="inlineStr"/>
    </row>
    <row r="512" ht="15" customHeight="1">
      <c r="A512" t="inlineStr">
        <is>
          <t>A 35504-2025</t>
        </is>
      </c>
      <c r="B512" s="1" t="n">
        <v>45856.34034722222</v>
      </c>
      <c r="C512" s="1" t="n">
        <v>45987</v>
      </c>
      <c r="D512" t="inlineStr">
        <is>
          <t>UPPSALA LÄN</t>
        </is>
      </c>
      <c r="E512" t="inlineStr">
        <is>
          <t>UPPSALA</t>
        </is>
      </c>
      <c r="F512" t="inlineStr">
        <is>
          <t>Bergvik skog öst AB</t>
        </is>
      </c>
      <c r="G512" t="n">
        <v>6.7</v>
      </c>
      <c r="H512" t="n">
        <v>0</v>
      </c>
      <c r="I512" t="n">
        <v>0</v>
      </c>
      <c r="J512" t="n">
        <v>0</v>
      </c>
      <c r="K512" t="n">
        <v>0</v>
      </c>
      <c r="L512" t="n">
        <v>0</v>
      </c>
      <c r="M512" t="n">
        <v>0</v>
      </c>
      <c r="N512" t="n">
        <v>0</v>
      </c>
      <c r="O512" t="n">
        <v>0</v>
      </c>
      <c r="P512" t="n">
        <v>0</v>
      </c>
      <c r="Q512" t="n">
        <v>0</v>
      </c>
      <c r="R512" s="2" t="inlineStr"/>
    </row>
    <row r="513" ht="15" customHeight="1">
      <c r="A513" t="inlineStr">
        <is>
          <t>A 35505-2025</t>
        </is>
      </c>
      <c r="B513" s="1" t="n">
        <v>45856.34231481481</v>
      </c>
      <c r="C513" s="1" t="n">
        <v>45987</v>
      </c>
      <c r="D513" t="inlineStr">
        <is>
          <t>UPPSALA LÄN</t>
        </is>
      </c>
      <c r="E513" t="inlineStr">
        <is>
          <t>UPPSALA</t>
        </is>
      </c>
      <c r="F513" t="inlineStr">
        <is>
          <t>Bergvik skog öst AB</t>
        </is>
      </c>
      <c r="G513" t="n">
        <v>7.9</v>
      </c>
      <c r="H513" t="n">
        <v>0</v>
      </c>
      <c r="I513" t="n">
        <v>0</v>
      </c>
      <c r="J513" t="n">
        <v>0</v>
      </c>
      <c r="K513" t="n">
        <v>0</v>
      </c>
      <c r="L513" t="n">
        <v>0</v>
      </c>
      <c r="M513" t="n">
        <v>0</v>
      </c>
      <c r="N513" t="n">
        <v>0</v>
      </c>
      <c r="O513" t="n">
        <v>0</v>
      </c>
      <c r="P513" t="n">
        <v>0</v>
      </c>
      <c r="Q513" t="n">
        <v>0</v>
      </c>
      <c r="R513" s="2" t="inlineStr"/>
    </row>
    <row r="514" ht="15" customHeight="1">
      <c r="A514" t="inlineStr">
        <is>
          <t>A 25462-2023</t>
        </is>
      </c>
      <c r="B514" s="1" t="n">
        <v>45089</v>
      </c>
      <c r="C514" s="1" t="n">
        <v>45987</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45447-2025</t>
        </is>
      </c>
      <c r="B515" s="1" t="n">
        <v>45922.48148148148</v>
      </c>
      <c r="C515" s="1" t="n">
        <v>45987</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c r="U515">
        <f>HYPERLINK("https://klasma.github.io/Logging_0380/knärot/A 45447-2025 karta knärot.png", "A 45447-2025")</f>
        <v/>
      </c>
      <c r="V515">
        <f>HYPERLINK("https://klasma.github.io/Logging_0380/klagomål/A 45447-2025 FSC-klagomål.docx", "A 45447-2025")</f>
        <v/>
      </c>
      <c r="W515">
        <f>HYPERLINK("https://klasma.github.io/Logging_0380/klagomålsmail/A 45447-2025 FSC-klagomål mail.docx", "A 45447-2025")</f>
        <v/>
      </c>
      <c r="X515">
        <f>HYPERLINK("https://klasma.github.io/Logging_0380/tillsyn/A 45447-2025 tillsynsbegäran.docx", "A 45447-2025")</f>
        <v/>
      </c>
      <c r="Y515">
        <f>HYPERLINK("https://klasma.github.io/Logging_0380/tillsynsmail/A 45447-2025 tillsynsbegäran mail.docx", "A 45447-2025")</f>
        <v/>
      </c>
    </row>
    <row r="516" ht="15" customHeight="1">
      <c r="A516" t="inlineStr">
        <is>
          <t>A 45436-2025</t>
        </is>
      </c>
      <c r="B516" s="1" t="n">
        <v>45922.46763888889</v>
      </c>
      <c r="C516" s="1" t="n">
        <v>45987</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33622-2024</t>
        </is>
      </c>
      <c r="B517" s="1" t="n">
        <v>45520</v>
      </c>
      <c r="C517" s="1" t="n">
        <v>45987</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45519-2025</t>
        </is>
      </c>
      <c r="B518" s="1" t="n">
        <v>45922</v>
      </c>
      <c r="C518" s="1" t="n">
        <v>45987</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53870-2025</t>
        </is>
      </c>
      <c r="B519" s="1" t="n">
        <v>45961.38690972222</v>
      </c>
      <c r="C519" s="1" t="n">
        <v>45987</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32475-2025</t>
        </is>
      </c>
      <c r="B520" s="1" t="n">
        <v>45838</v>
      </c>
      <c r="C520" s="1" t="n">
        <v>45987</v>
      </c>
      <c r="D520" t="inlineStr">
        <is>
          <t>UPPSALA LÄN</t>
        </is>
      </c>
      <c r="E520" t="inlineStr">
        <is>
          <t>UPPSALA</t>
        </is>
      </c>
      <c r="G520" t="n">
        <v>3</v>
      </c>
      <c r="H520" t="n">
        <v>0</v>
      </c>
      <c r="I520" t="n">
        <v>0</v>
      </c>
      <c r="J520" t="n">
        <v>0</v>
      </c>
      <c r="K520" t="n">
        <v>0</v>
      </c>
      <c r="L520" t="n">
        <v>0</v>
      </c>
      <c r="M520" t="n">
        <v>0</v>
      </c>
      <c r="N520" t="n">
        <v>0</v>
      </c>
      <c r="O520" t="n">
        <v>0</v>
      </c>
      <c r="P520" t="n">
        <v>0</v>
      </c>
      <c r="Q520" t="n">
        <v>0</v>
      </c>
      <c r="R520" s="2" t="inlineStr"/>
    </row>
    <row r="521" ht="15" customHeight="1">
      <c r="A521" t="inlineStr">
        <is>
          <t>A 32484-2025</t>
        </is>
      </c>
      <c r="B521" s="1" t="n">
        <v>45838</v>
      </c>
      <c r="C521" s="1" t="n">
        <v>45987</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51505-2025</t>
        </is>
      </c>
      <c r="B522" s="1" t="n">
        <v>45950</v>
      </c>
      <c r="C522" s="1" t="n">
        <v>45987</v>
      </c>
      <c r="D522" t="inlineStr">
        <is>
          <t>UPPSALA LÄN</t>
        </is>
      </c>
      <c r="E522" t="inlineStr">
        <is>
          <t>UPPSALA</t>
        </is>
      </c>
      <c r="G522" t="n">
        <v>6.7</v>
      </c>
      <c r="H522" t="n">
        <v>0</v>
      </c>
      <c r="I522" t="n">
        <v>0</v>
      </c>
      <c r="J522" t="n">
        <v>0</v>
      </c>
      <c r="K522" t="n">
        <v>0</v>
      </c>
      <c r="L522" t="n">
        <v>0</v>
      </c>
      <c r="M522" t="n">
        <v>0</v>
      </c>
      <c r="N522" t="n">
        <v>0</v>
      </c>
      <c r="O522" t="n">
        <v>0</v>
      </c>
      <c r="P522" t="n">
        <v>0</v>
      </c>
      <c r="Q522" t="n">
        <v>0</v>
      </c>
      <c r="R522" s="2" t="inlineStr"/>
    </row>
    <row r="523" ht="15" customHeight="1">
      <c r="A523" t="inlineStr">
        <is>
          <t>A 45588-2025</t>
        </is>
      </c>
      <c r="B523" s="1" t="n">
        <v>45922</v>
      </c>
      <c r="C523" s="1" t="n">
        <v>45987</v>
      </c>
      <c r="D523" t="inlineStr">
        <is>
          <t>UPPSALA LÄN</t>
        </is>
      </c>
      <c r="E523" t="inlineStr">
        <is>
          <t>UPPSALA</t>
        </is>
      </c>
      <c r="G523" t="n">
        <v>2.9</v>
      </c>
      <c r="H523" t="n">
        <v>0</v>
      </c>
      <c r="I523" t="n">
        <v>0</v>
      </c>
      <c r="J523" t="n">
        <v>0</v>
      </c>
      <c r="K523" t="n">
        <v>0</v>
      </c>
      <c r="L523" t="n">
        <v>0</v>
      </c>
      <c r="M523" t="n">
        <v>0</v>
      </c>
      <c r="N523" t="n">
        <v>0</v>
      </c>
      <c r="O523" t="n">
        <v>0</v>
      </c>
      <c r="P523" t="n">
        <v>0</v>
      </c>
      <c r="Q523" t="n">
        <v>0</v>
      </c>
      <c r="R523" s="2" t="inlineStr"/>
    </row>
    <row r="524" ht="15" customHeight="1">
      <c r="A524" t="inlineStr">
        <is>
          <t>A 7727-2024</t>
        </is>
      </c>
      <c r="B524" s="1" t="n">
        <v>45349</v>
      </c>
      <c r="C524" s="1" t="n">
        <v>45987</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35978-2025</t>
        </is>
      </c>
      <c r="B525" s="1" t="n">
        <v>45863.44648148148</v>
      </c>
      <c r="C525" s="1" t="n">
        <v>45987</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35984-2025</t>
        </is>
      </c>
      <c r="B526" s="1" t="n">
        <v>45863.45355324074</v>
      </c>
      <c r="C526" s="1" t="n">
        <v>45987</v>
      </c>
      <c r="D526" t="inlineStr">
        <is>
          <t>UPPSALA LÄN</t>
        </is>
      </c>
      <c r="E526" t="inlineStr">
        <is>
          <t>UPPSALA</t>
        </is>
      </c>
      <c r="G526" t="n">
        <v>6.1</v>
      </c>
      <c r="H526" t="n">
        <v>0</v>
      </c>
      <c r="I526" t="n">
        <v>0</v>
      </c>
      <c r="J526" t="n">
        <v>0</v>
      </c>
      <c r="K526" t="n">
        <v>0</v>
      </c>
      <c r="L526" t="n">
        <v>0</v>
      </c>
      <c r="M526" t="n">
        <v>0</v>
      </c>
      <c r="N526" t="n">
        <v>0</v>
      </c>
      <c r="O526" t="n">
        <v>0</v>
      </c>
      <c r="P526" t="n">
        <v>0</v>
      </c>
      <c r="Q526" t="n">
        <v>0</v>
      </c>
      <c r="R526" s="2" t="inlineStr"/>
    </row>
    <row r="527" ht="15" customHeight="1">
      <c r="A527" t="inlineStr">
        <is>
          <t>A 45904-2025</t>
        </is>
      </c>
      <c r="B527" s="1" t="n">
        <v>45923.70230324074</v>
      </c>
      <c r="C527" s="1" t="n">
        <v>45987</v>
      </c>
      <c r="D527" t="inlineStr">
        <is>
          <t>UPPSALA LÄN</t>
        </is>
      </c>
      <c r="E527" t="inlineStr">
        <is>
          <t>UPPSALA</t>
        </is>
      </c>
      <c r="F527" t="inlineStr">
        <is>
          <t>Kyrkan</t>
        </is>
      </c>
      <c r="G527" t="n">
        <v>1.4</v>
      </c>
      <c r="H527" t="n">
        <v>0</v>
      </c>
      <c r="I527" t="n">
        <v>0</v>
      </c>
      <c r="J527" t="n">
        <v>0</v>
      </c>
      <c r="K527" t="n">
        <v>0</v>
      </c>
      <c r="L527" t="n">
        <v>0</v>
      </c>
      <c r="M527" t="n">
        <v>0</v>
      </c>
      <c r="N527" t="n">
        <v>0</v>
      </c>
      <c r="O527" t="n">
        <v>0</v>
      </c>
      <c r="P527" t="n">
        <v>0</v>
      </c>
      <c r="Q527" t="n">
        <v>0</v>
      </c>
      <c r="R527" s="2" t="inlineStr"/>
    </row>
    <row r="528" ht="15" customHeight="1">
      <c r="A528" t="inlineStr">
        <is>
          <t>A 27442-2024</t>
        </is>
      </c>
      <c r="B528" s="1" t="n">
        <v>45474.41729166666</v>
      </c>
      <c r="C528" s="1" t="n">
        <v>45987</v>
      </c>
      <c r="D528" t="inlineStr">
        <is>
          <t>UPPSALA LÄN</t>
        </is>
      </c>
      <c r="E528" t="inlineStr">
        <is>
          <t>UPPSALA</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36253-2025</t>
        </is>
      </c>
      <c r="B529" s="1" t="n">
        <v>45867.58056712963</v>
      </c>
      <c r="C529" s="1" t="n">
        <v>45987</v>
      </c>
      <c r="D529" t="inlineStr">
        <is>
          <t>UPPSALA LÄN</t>
        </is>
      </c>
      <c r="E529" t="inlineStr">
        <is>
          <t>UPPSALA</t>
        </is>
      </c>
      <c r="G529" t="n">
        <v>1.7</v>
      </c>
      <c r="H529" t="n">
        <v>0</v>
      </c>
      <c r="I529" t="n">
        <v>0</v>
      </c>
      <c r="J529" t="n">
        <v>0</v>
      </c>
      <c r="K529" t="n">
        <v>0</v>
      </c>
      <c r="L529" t="n">
        <v>0</v>
      </c>
      <c r="M529" t="n">
        <v>0</v>
      </c>
      <c r="N529" t="n">
        <v>0</v>
      </c>
      <c r="O529" t="n">
        <v>0</v>
      </c>
      <c r="P529" t="n">
        <v>0</v>
      </c>
      <c r="Q529" t="n">
        <v>0</v>
      </c>
      <c r="R529" s="2" t="inlineStr"/>
    </row>
    <row r="530" ht="15" customHeight="1">
      <c r="A530" t="inlineStr">
        <is>
          <t>A 45903-2025</t>
        </is>
      </c>
      <c r="B530" s="1" t="n">
        <v>45923.70146990741</v>
      </c>
      <c r="C530" s="1" t="n">
        <v>45987</v>
      </c>
      <c r="D530" t="inlineStr">
        <is>
          <t>UPPSALA LÄN</t>
        </is>
      </c>
      <c r="E530" t="inlineStr">
        <is>
          <t>UPPSALA</t>
        </is>
      </c>
      <c r="F530" t="inlineStr">
        <is>
          <t>Kyrkan</t>
        </is>
      </c>
      <c r="G530" t="n">
        <v>1.4</v>
      </c>
      <c r="H530" t="n">
        <v>0</v>
      </c>
      <c r="I530" t="n">
        <v>0</v>
      </c>
      <c r="J530" t="n">
        <v>0</v>
      </c>
      <c r="K530" t="n">
        <v>0</v>
      </c>
      <c r="L530" t="n">
        <v>0</v>
      </c>
      <c r="M530" t="n">
        <v>0</v>
      </c>
      <c r="N530" t="n">
        <v>0</v>
      </c>
      <c r="O530" t="n">
        <v>0</v>
      </c>
      <c r="P530" t="n">
        <v>0</v>
      </c>
      <c r="Q530" t="n">
        <v>0</v>
      </c>
      <c r="R530" s="2" t="inlineStr"/>
    </row>
    <row r="531" ht="15" customHeight="1">
      <c r="A531" t="inlineStr">
        <is>
          <t>A 30616-2025</t>
        </is>
      </c>
      <c r="B531" s="1" t="n">
        <v>45831.46731481481</v>
      </c>
      <c r="C531" s="1" t="n">
        <v>45987</v>
      </c>
      <c r="D531" t="inlineStr">
        <is>
          <t>UPPSALA LÄN</t>
        </is>
      </c>
      <c r="E531" t="inlineStr">
        <is>
          <t>UPPSALA</t>
        </is>
      </c>
      <c r="G531" t="n">
        <v>2.1</v>
      </c>
      <c r="H531" t="n">
        <v>0</v>
      </c>
      <c r="I531" t="n">
        <v>0</v>
      </c>
      <c r="J531" t="n">
        <v>0</v>
      </c>
      <c r="K531" t="n">
        <v>0</v>
      </c>
      <c r="L531" t="n">
        <v>0</v>
      </c>
      <c r="M531" t="n">
        <v>0</v>
      </c>
      <c r="N531" t="n">
        <v>0</v>
      </c>
      <c r="O531" t="n">
        <v>0</v>
      </c>
      <c r="P531" t="n">
        <v>0</v>
      </c>
      <c r="Q531" t="n">
        <v>0</v>
      </c>
      <c r="R531" s="2" t="inlineStr"/>
    </row>
    <row r="532" ht="15" customHeight="1">
      <c r="A532" t="inlineStr">
        <is>
          <t>A 54723-2025</t>
        </is>
      </c>
      <c r="B532" s="1" t="n">
        <v>45966.53721064814</v>
      </c>
      <c r="C532" s="1" t="n">
        <v>45987</v>
      </c>
      <c r="D532" t="inlineStr">
        <is>
          <t>UPPSALA LÄN</t>
        </is>
      </c>
      <c r="E532" t="inlineStr">
        <is>
          <t>UPPSALA</t>
        </is>
      </c>
      <c r="F532" t="inlineStr">
        <is>
          <t>Bergvik skog öst AB</t>
        </is>
      </c>
      <c r="G532" t="n">
        <v>4.7</v>
      </c>
      <c r="H532" t="n">
        <v>0</v>
      </c>
      <c r="I532" t="n">
        <v>0</v>
      </c>
      <c r="J532" t="n">
        <v>0</v>
      </c>
      <c r="K532" t="n">
        <v>0</v>
      </c>
      <c r="L532" t="n">
        <v>0</v>
      </c>
      <c r="M532" t="n">
        <v>0</v>
      </c>
      <c r="N532" t="n">
        <v>0</v>
      </c>
      <c r="O532" t="n">
        <v>0</v>
      </c>
      <c r="P532" t="n">
        <v>0</v>
      </c>
      <c r="Q532" t="n">
        <v>0</v>
      </c>
      <c r="R532" s="2" t="inlineStr"/>
    </row>
    <row r="533" ht="15" customHeight="1">
      <c r="A533" t="inlineStr">
        <is>
          <t>A 54724-2025</t>
        </is>
      </c>
      <c r="B533" s="1" t="n">
        <v>45966.53849537037</v>
      </c>
      <c r="C533" s="1" t="n">
        <v>45987</v>
      </c>
      <c r="D533" t="inlineStr">
        <is>
          <t>UPPSALA LÄN</t>
        </is>
      </c>
      <c r="E533" t="inlineStr">
        <is>
          <t>UPPSALA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54507-2025</t>
        </is>
      </c>
      <c r="B534" s="1" t="n">
        <v>45965.61792824074</v>
      </c>
      <c r="C534" s="1" t="n">
        <v>45987</v>
      </c>
      <c r="D534" t="inlineStr">
        <is>
          <t>UPPSALA LÄN</t>
        </is>
      </c>
      <c r="E534" t="inlineStr">
        <is>
          <t>UPPSALA</t>
        </is>
      </c>
      <c r="G534" t="n">
        <v>7.7</v>
      </c>
      <c r="H534" t="n">
        <v>0</v>
      </c>
      <c r="I534" t="n">
        <v>0</v>
      </c>
      <c r="J534" t="n">
        <v>0</v>
      </c>
      <c r="K534" t="n">
        <v>0</v>
      </c>
      <c r="L534" t="n">
        <v>0</v>
      </c>
      <c r="M534" t="n">
        <v>0</v>
      </c>
      <c r="N534" t="n">
        <v>0</v>
      </c>
      <c r="O534" t="n">
        <v>0</v>
      </c>
      <c r="P534" t="n">
        <v>0</v>
      </c>
      <c r="Q534" t="n">
        <v>0</v>
      </c>
      <c r="R534" s="2" t="inlineStr"/>
    </row>
    <row r="535" ht="15" customHeight="1">
      <c r="A535" t="inlineStr">
        <is>
          <t>A 54601-2025</t>
        </is>
      </c>
      <c r="B535" s="1" t="n">
        <v>45965.82398148148</v>
      </c>
      <c r="C535" s="1" t="n">
        <v>45987</v>
      </c>
      <c r="D535" t="inlineStr">
        <is>
          <t>UPPSALA LÄN</t>
        </is>
      </c>
      <c r="E535" t="inlineStr">
        <is>
          <t>UPPSALA</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54600-2025</t>
        </is>
      </c>
      <c r="B536" s="1" t="n">
        <v>45965.81543981482</v>
      </c>
      <c r="C536" s="1" t="n">
        <v>45987</v>
      </c>
      <c r="D536" t="inlineStr">
        <is>
          <t>UPPSALA LÄN</t>
        </is>
      </c>
      <c r="E536" t="inlineStr">
        <is>
          <t>UPPSALA</t>
        </is>
      </c>
      <c r="F536" t="inlineStr">
        <is>
          <t>Bergvik skog öst AB</t>
        </is>
      </c>
      <c r="G536" t="n">
        <v>4.7</v>
      </c>
      <c r="H536" t="n">
        <v>0</v>
      </c>
      <c r="I536" t="n">
        <v>0</v>
      </c>
      <c r="J536" t="n">
        <v>0</v>
      </c>
      <c r="K536" t="n">
        <v>0</v>
      </c>
      <c r="L536" t="n">
        <v>0</v>
      </c>
      <c r="M536" t="n">
        <v>0</v>
      </c>
      <c r="N536" t="n">
        <v>0</v>
      </c>
      <c r="O536" t="n">
        <v>0</v>
      </c>
      <c r="P536" t="n">
        <v>0</v>
      </c>
      <c r="Q536" t="n">
        <v>0</v>
      </c>
      <c r="R536" s="2" t="inlineStr"/>
    </row>
    <row r="537" ht="15" customHeight="1">
      <c r="A537" t="inlineStr">
        <is>
          <t>A 60003-2024</t>
        </is>
      </c>
      <c r="B537" s="1" t="n">
        <v>45642</v>
      </c>
      <c r="C537" s="1" t="n">
        <v>45987</v>
      </c>
      <c r="D537" t="inlineStr">
        <is>
          <t>UPPSALA LÄN</t>
        </is>
      </c>
      <c r="E537" t="inlineStr">
        <is>
          <t>UPPSALA</t>
        </is>
      </c>
      <c r="F537" t="inlineStr">
        <is>
          <t>Bergvik skog väst AB</t>
        </is>
      </c>
      <c r="G537" t="n">
        <v>14.5</v>
      </c>
      <c r="H537" t="n">
        <v>0</v>
      </c>
      <c r="I537" t="n">
        <v>0</v>
      </c>
      <c r="J537" t="n">
        <v>0</v>
      </c>
      <c r="K537" t="n">
        <v>0</v>
      </c>
      <c r="L537" t="n">
        <v>0</v>
      </c>
      <c r="M537" t="n">
        <v>0</v>
      </c>
      <c r="N537" t="n">
        <v>0</v>
      </c>
      <c r="O537" t="n">
        <v>0</v>
      </c>
      <c r="P537" t="n">
        <v>0</v>
      </c>
      <c r="Q537" t="n">
        <v>0</v>
      </c>
      <c r="R537" s="2" t="inlineStr"/>
    </row>
    <row r="538" ht="15" customHeight="1">
      <c r="A538" t="inlineStr">
        <is>
          <t>A 55275-2025</t>
        </is>
      </c>
      <c r="B538" s="1" t="n">
        <v>45968.76021990741</v>
      </c>
      <c r="C538" s="1" t="n">
        <v>45987</v>
      </c>
      <c r="D538" t="inlineStr">
        <is>
          <t>UPPSALA LÄN</t>
        </is>
      </c>
      <c r="E538" t="inlineStr">
        <is>
          <t>UPPSALA</t>
        </is>
      </c>
      <c r="F538" t="inlineStr">
        <is>
          <t>Allmännings- och besparingsskogar</t>
        </is>
      </c>
      <c r="G538" t="n">
        <v>13.2</v>
      </c>
      <c r="H538" t="n">
        <v>0</v>
      </c>
      <c r="I538" t="n">
        <v>0</v>
      </c>
      <c r="J538" t="n">
        <v>0</v>
      </c>
      <c r="K538" t="n">
        <v>0</v>
      </c>
      <c r="L538" t="n">
        <v>0</v>
      </c>
      <c r="M538" t="n">
        <v>0</v>
      </c>
      <c r="N538" t="n">
        <v>0</v>
      </c>
      <c r="O538" t="n">
        <v>0</v>
      </c>
      <c r="P538" t="n">
        <v>0</v>
      </c>
      <c r="Q538" t="n">
        <v>0</v>
      </c>
      <c r="R538" s="2" t="inlineStr"/>
    </row>
    <row r="539" ht="15" customHeight="1">
      <c r="A539" t="inlineStr">
        <is>
          <t>A 46773-2025</t>
        </is>
      </c>
      <c r="B539" s="1" t="n">
        <v>45926.63290509259</v>
      </c>
      <c r="C539" s="1" t="n">
        <v>45987</v>
      </c>
      <c r="D539" t="inlineStr">
        <is>
          <t>UPPSALA LÄN</t>
        </is>
      </c>
      <c r="E539" t="inlineStr">
        <is>
          <t>UPPSALA</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6058-2025</t>
        </is>
      </c>
      <c r="B540" s="1" t="n">
        <v>45695.83655092592</v>
      </c>
      <c r="C540" s="1" t="n">
        <v>45987</v>
      </c>
      <c r="D540" t="inlineStr">
        <is>
          <t>UPPSALA LÄN</t>
        </is>
      </c>
      <c r="E540" t="inlineStr">
        <is>
          <t>UPPSALA</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46632-2025</t>
        </is>
      </c>
      <c r="B541" s="1" t="n">
        <v>45926.45846064815</v>
      </c>
      <c r="C541" s="1" t="n">
        <v>45987</v>
      </c>
      <c r="D541" t="inlineStr">
        <is>
          <t>UPPSALA LÄN</t>
        </is>
      </c>
      <c r="E541" t="inlineStr">
        <is>
          <t>UPPSALA</t>
        </is>
      </c>
      <c r="F541" t="inlineStr">
        <is>
          <t>Bergvik skog öst AB</t>
        </is>
      </c>
      <c r="G541" t="n">
        <v>2.9</v>
      </c>
      <c r="H541" t="n">
        <v>0</v>
      </c>
      <c r="I541" t="n">
        <v>0</v>
      </c>
      <c r="J541" t="n">
        <v>0</v>
      </c>
      <c r="K541" t="n">
        <v>0</v>
      </c>
      <c r="L541" t="n">
        <v>0</v>
      </c>
      <c r="M541" t="n">
        <v>0</v>
      </c>
      <c r="N541" t="n">
        <v>0</v>
      </c>
      <c r="O541" t="n">
        <v>0</v>
      </c>
      <c r="P541" t="n">
        <v>0</v>
      </c>
      <c r="Q541" t="n">
        <v>0</v>
      </c>
      <c r="R541" s="2" t="inlineStr"/>
    </row>
    <row r="542" ht="15" customHeight="1">
      <c r="A542" t="inlineStr">
        <is>
          <t>A 8164-2025</t>
        </is>
      </c>
      <c r="B542" s="1" t="n">
        <v>45707</v>
      </c>
      <c r="C542" s="1" t="n">
        <v>45987</v>
      </c>
      <c r="D542" t="inlineStr">
        <is>
          <t>UPPSALA LÄN</t>
        </is>
      </c>
      <c r="E542" t="inlineStr">
        <is>
          <t>UPPSALA</t>
        </is>
      </c>
      <c r="F542" t="inlineStr">
        <is>
          <t>Övriga Aktiebolag</t>
        </is>
      </c>
      <c r="G542" t="n">
        <v>12.2</v>
      </c>
      <c r="H542" t="n">
        <v>0</v>
      </c>
      <c r="I542" t="n">
        <v>0</v>
      </c>
      <c r="J542" t="n">
        <v>0</v>
      </c>
      <c r="K542" t="n">
        <v>0</v>
      </c>
      <c r="L542" t="n">
        <v>0</v>
      </c>
      <c r="M542" t="n">
        <v>0</v>
      </c>
      <c r="N542" t="n">
        <v>0</v>
      </c>
      <c r="O542" t="n">
        <v>0</v>
      </c>
      <c r="P542" t="n">
        <v>0</v>
      </c>
      <c r="Q542" t="n">
        <v>0</v>
      </c>
      <c r="R542" s="2" t="inlineStr"/>
    </row>
    <row r="543" ht="15" customHeight="1">
      <c r="A543" t="inlineStr">
        <is>
          <t>A 60954-2024</t>
        </is>
      </c>
      <c r="B543" s="1" t="n">
        <v>45645</v>
      </c>
      <c r="C543" s="1" t="n">
        <v>45987</v>
      </c>
      <c r="D543" t="inlineStr">
        <is>
          <t>UPPSALA LÄN</t>
        </is>
      </c>
      <c r="E543" t="inlineStr">
        <is>
          <t>UPPSALA</t>
        </is>
      </c>
      <c r="F543" t="inlineStr">
        <is>
          <t>Kommuner</t>
        </is>
      </c>
      <c r="G543" t="n">
        <v>1</v>
      </c>
      <c r="H543" t="n">
        <v>0</v>
      </c>
      <c r="I543" t="n">
        <v>0</v>
      </c>
      <c r="J543" t="n">
        <v>0</v>
      </c>
      <c r="K543" t="n">
        <v>0</v>
      </c>
      <c r="L543" t="n">
        <v>0</v>
      </c>
      <c r="M543" t="n">
        <v>0</v>
      </c>
      <c r="N543" t="n">
        <v>0</v>
      </c>
      <c r="O543" t="n">
        <v>0</v>
      </c>
      <c r="P543" t="n">
        <v>0</v>
      </c>
      <c r="Q543" t="n">
        <v>0</v>
      </c>
      <c r="R543" s="2" t="inlineStr"/>
    </row>
    <row r="544" ht="15" customHeight="1">
      <c r="A544" t="inlineStr">
        <is>
          <t>A 31157-2023</t>
        </is>
      </c>
      <c r="B544" s="1" t="n">
        <v>45113</v>
      </c>
      <c r="C544" s="1" t="n">
        <v>45987</v>
      </c>
      <c r="D544" t="inlineStr">
        <is>
          <t>UPPSALA LÄN</t>
        </is>
      </c>
      <c r="E544" t="inlineStr">
        <is>
          <t>UPPSALA</t>
        </is>
      </c>
      <c r="G544" t="n">
        <v>1.6</v>
      </c>
      <c r="H544" t="n">
        <v>0</v>
      </c>
      <c r="I544" t="n">
        <v>0</v>
      </c>
      <c r="J544" t="n">
        <v>0</v>
      </c>
      <c r="K544" t="n">
        <v>0</v>
      </c>
      <c r="L544" t="n">
        <v>0</v>
      </c>
      <c r="M544" t="n">
        <v>0</v>
      </c>
      <c r="N544" t="n">
        <v>0</v>
      </c>
      <c r="O544" t="n">
        <v>0</v>
      </c>
      <c r="P544" t="n">
        <v>0</v>
      </c>
      <c r="Q544" t="n">
        <v>0</v>
      </c>
      <c r="R544" s="2" t="inlineStr"/>
    </row>
    <row r="545" ht="15" customHeight="1">
      <c r="A545" t="inlineStr">
        <is>
          <t>A 31161-2023</t>
        </is>
      </c>
      <c r="B545" s="1" t="n">
        <v>45113.80170138889</v>
      </c>
      <c r="C545" s="1" t="n">
        <v>45987</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46571-2025</t>
        </is>
      </c>
      <c r="B546" s="1" t="n">
        <v>45926.366875</v>
      </c>
      <c r="C546" s="1" t="n">
        <v>45987</v>
      </c>
      <c r="D546" t="inlineStr">
        <is>
          <t>UPPSALA LÄN</t>
        </is>
      </c>
      <c r="E546" t="inlineStr">
        <is>
          <t>UPPSALA</t>
        </is>
      </c>
      <c r="F546" t="inlineStr">
        <is>
          <t>Bergvik skog öst AB</t>
        </is>
      </c>
      <c r="G546" t="n">
        <v>11.1</v>
      </c>
      <c r="H546" t="n">
        <v>0</v>
      </c>
      <c r="I546" t="n">
        <v>0</v>
      </c>
      <c r="J546" t="n">
        <v>0</v>
      </c>
      <c r="K546" t="n">
        <v>0</v>
      </c>
      <c r="L546" t="n">
        <v>0</v>
      </c>
      <c r="M546" t="n">
        <v>0</v>
      </c>
      <c r="N546" t="n">
        <v>0</v>
      </c>
      <c r="O546" t="n">
        <v>0</v>
      </c>
      <c r="P546" t="n">
        <v>0</v>
      </c>
      <c r="Q546" t="n">
        <v>0</v>
      </c>
      <c r="R546" s="2" t="inlineStr"/>
    </row>
    <row r="547" ht="15" customHeight="1">
      <c r="A547" t="inlineStr">
        <is>
          <t>A 36913-2025</t>
        </is>
      </c>
      <c r="B547" s="1" t="n">
        <v>45874</v>
      </c>
      <c r="C547" s="1" t="n">
        <v>45987</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17593-2025</t>
        </is>
      </c>
      <c r="B548" s="1" t="n">
        <v>45757.6997337963</v>
      </c>
      <c r="C548" s="1" t="n">
        <v>45987</v>
      </c>
      <c r="D548" t="inlineStr">
        <is>
          <t>UPPSALA LÄN</t>
        </is>
      </c>
      <c r="E548" t="inlineStr">
        <is>
          <t>UPPSALA</t>
        </is>
      </c>
      <c r="G548" t="n">
        <v>3.6</v>
      </c>
      <c r="H548" t="n">
        <v>0</v>
      </c>
      <c r="I548" t="n">
        <v>0</v>
      </c>
      <c r="J548" t="n">
        <v>0</v>
      </c>
      <c r="K548" t="n">
        <v>0</v>
      </c>
      <c r="L548" t="n">
        <v>0</v>
      </c>
      <c r="M548" t="n">
        <v>0</v>
      </c>
      <c r="N548" t="n">
        <v>0</v>
      </c>
      <c r="O548" t="n">
        <v>0</v>
      </c>
      <c r="P548" t="n">
        <v>0</v>
      </c>
      <c r="Q548" t="n">
        <v>0</v>
      </c>
      <c r="R548" s="2" t="inlineStr"/>
    </row>
    <row r="549" ht="15" customHeight="1">
      <c r="A549" t="inlineStr">
        <is>
          <t>A 17596-2025</t>
        </is>
      </c>
      <c r="B549" s="1" t="n">
        <v>45757</v>
      </c>
      <c r="C549" s="1" t="n">
        <v>45987</v>
      </c>
      <c r="D549" t="inlineStr">
        <is>
          <t>UPPSALA LÄN</t>
        </is>
      </c>
      <c r="E549" t="inlineStr">
        <is>
          <t>UPPSALA</t>
        </is>
      </c>
      <c r="G549" t="n">
        <v>4.8</v>
      </c>
      <c r="H549" t="n">
        <v>0</v>
      </c>
      <c r="I549" t="n">
        <v>0</v>
      </c>
      <c r="J549" t="n">
        <v>0</v>
      </c>
      <c r="K549" t="n">
        <v>0</v>
      </c>
      <c r="L549" t="n">
        <v>0</v>
      </c>
      <c r="M549" t="n">
        <v>0</v>
      </c>
      <c r="N549" t="n">
        <v>0</v>
      </c>
      <c r="O549" t="n">
        <v>0</v>
      </c>
      <c r="P549" t="n">
        <v>0</v>
      </c>
      <c r="Q549" t="n">
        <v>0</v>
      </c>
      <c r="R549" s="2" t="inlineStr"/>
    </row>
    <row r="550" ht="15" customHeight="1">
      <c r="A550" t="inlineStr">
        <is>
          <t>A 46564-2025</t>
        </is>
      </c>
      <c r="B550" s="1" t="n">
        <v>45926.35917824074</v>
      </c>
      <c r="C550" s="1" t="n">
        <v>45987</v>
      </c>
      <c r="D550" t="inlineStr">
        <is>
          <t>UPPSALA LÄN</t>
        </is>
      </c>
      <c r="E550" t="inlineStr">
        <is>
          <t>UPPSALA</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46565-2025</t>
        </is>
      </c>
      <c r="B551" s="1" t="n">
        <v>45926.35998842592</v>
      </c>
      <c r="C551" s="1" t="n">
        <v>45987</v>
      </c>
      <c r="D551" t="inlineStr">
        <is>
          <t>UPPSALA LÄN</t>
        </is>
      </c>
      <c r="E551" t="inlineStr">
        <is>
          <t>UPPSALA</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57871-2024</t>
        </is>
      </c>
      <c r="B552" s="1" t="n">
        <v>45631.44464120371</v>
      </c>
      <c r="C552" s="1" t="n">
        <v>45987</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37010-2025</t>
        </is>
      </c>
      <c r="B553" s="1" t="n">
        <v>45874.705</v>
      </c>
      <c r="C553" s="1" t="n">
        <v>45987</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53384-2024</t>
        </is>
      </c>
      <c r="B554" s="1" t="n">
        <v>45614</v>
      </c>
      <c r="C554" s="1" t="n">
        <v>45987</v>
      </c>
      <c r="D554" t="inlineStr">
        <is>
          <t>UPPSALA LÄN</t>
        </is>
      </c>
      <c r="E554" t="inlineStr">
        <is>
          <t>UPPSALA</t>
        </is>
      </c>
      <c r="G554" t="n">
        <v>3.7</v>
      </c>
      <c r="H554" t="n">
        <v>0</v>
      </c>
      <c r="I554" t="n">
        <v>0</v>
      </c>
      <c r="J554" t="n">
        <v>0</v>
      </c>
      <c r="K554" t="n">
        <v>0</v>
      </c>
      <c r="L554" t="n">
        <v>0</v>
      </c>
      <c r="M554" t="n">
        <v>0</v>
      </c>
      <c r="N554" t="n">
        <v>0</v>
      </c>
      <c r="O554" t="n">
        <v>0</v>
      </c>
      <c r="P554" t="n">
        <v>0</v>
      </c>
      <c r="Q554" t="n">
        <v>0</v>
      </c>
      <c r="R554" s="2" t="inlineStr"/>
    </row>
    <row r="555" ht="15" customHeight="1">
      <c r="A555" t="inlineStr">
        <is>
          <t>A 46775-2025</t>
        </is>
      </c>
      <c r="B555" s="1" t="n">
        <v>45926.63366898148</v>
      </c>
      <c r="C555" s="1" t="n">
        <v>45987</v>
      </c>
      <c r="D555" t="inlineStr">
        <is>
          <t>UPPSALA LÄN</t>
        </is>
      </c>
      <c r="E555" t="inlineStr">
        <is>
          <t>UPPSALA</t>
        </is>
      </c>
      <c r="F555" t="inlineStr">
        <is>
          <t>Kyrkan</t>
        </is>
      </c>
      <c r="G555" t="n">
        <v>0.9</v>
      </c>
      <c r="H555" t="n">
        <v>0</v>
      </c>
      <c r="I555" t="n">
        <v>0</v>
      </c>
      <c r="J555" t="n">
        <v>0</v>
      </c>
      <c r="K555" t="n">
        <v>0</v>
      </c>
      <c r="L555" t="n">
        <v>0</v>
      </c>
      <c r="M555" t="n">
        <v>0</v>
      </c>
      <c r="N555" t="n">
        <v>0</v>
      </c>
      <c r="O555" t="n">
        <v>0</v>
      </c>
      <c r="P555" t="n">
        <v>0</v>
      </c>
      <c r="Q555" t="n">
        <v>0</v>
      </c>
      <c r="R555" s="2" t="inlineStr"/>
    </row>
    <row r="556" ht="15" customHeight="1">
      <c r="A556" t="inlineStr">
        <is>
          <t>A 37352-2025</t>
        </is>
      </c>
      <c r="B556" s="1" t="n">
        <v>45876</v>
      </c>
      <c r="C556" s="1" t="n">
        <v>45987</v>
      </c>
      <c r="D556" t="inlineStr">
        <is>
          <t>UPPSALA LÄN</t>
        </is>
      </c>
      <c r="E556" t="inlineStr">
        <is>
          <t>UPPSALA</t>
        </is>
      </c>
      <c r="G556" t="n">
        <v>2.6</v>
      </c>
      <c r="H556" t="n">
        <v>0</v>
      </c>
      <c r="I556" t="n">
        <v>0</v>
      </c>
      <c r="J556" t="n">
        <v>0</v>
      </c>
      <c r="K556" t="n">
        <v>0</v>
      </c>
      <c r="L556" t="n">
        <v>0</v>
      </c>
      <c r="M556" t="n">
        <v>0</v>
      </c>
      <c r="N556" t="n">
        <v>0</v>
      </c>
      <c r="O556" t="n">
        <v>0</v>
      </c>
      <c r="P556" t="n">
        <v>0</v>
      </c>
      <c r="Q556" t="n">
        <v>0</v>
      </c>
      <c r="R556" s="2" t="inlineStr"/>
    </row>
    <row r="557" ht="15" customHeight="1">
      <c r="A557" t="inlineStr">
        <is>
          <t>A 46772-2025</t>
        </is>
      </c>
      <c r="B557" s="1" t="n">
        <v>45926.63232638889</v>
      </c>
      <c r="C557" s="1" t="n">
        <v>45987</v>
      </c>
      <c r="D557" t="inlineStr">
        <is>
          <t>UPPSALA LÄN</t>
        </is>
      </c>
      <c r="E557" t="inlineStr">
        <is>
          <t>UPPSALA</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6971-2025</t>
        </is>
      </c>
      <c r="B558" s="1" t="n">
        <v>45693</v>
      </c>
      <c r="C558" s="1" t="n">
        <v>45987</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37351-2025</t>
        </is>
      </c>
      <c r="B559" s="1" t="n">
        <v>45876</v>
      </c>
      <c r="C559" s="1" t="n">
        <v>45987</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9982-2025</t>
        </is>
      </c>
      <c r="B560" s="1" t="n">
        <v>45719.4094212963</v>
      </c>
      <c r="C560" s="1" t="n">
        <v>45987</v>
      </c>
      <c r="D560" t="inlineStr">
        <is>
          <t>UPPSALA LÄN</t>
        </is>
      </c>
      <c r="E560" t="inlineStr">
        <is>
          <t>UPPSALA</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37468-2025</t>
        </is>
      </c>
      <c r="B561" s="1" t="n">
        <v>45877.57847222222</v>
      </c>
      <c r="C561" s="1" t="n">
        <v>45987</v>
      </c>
      <c r="D561" t="inlineStr">
        <is>
          <t>UPPSALA LÄN</t>
        </is>
      </c>
      <c r="E561" t="inlineStr">
        <is>
          <t>UPPSALA</t>
        </is>
      </c>
      <c r="G561" t="n">
        <v>2.9</v>
      </c>
      <c r="H561" t="n">
        <v>0</v>
      </c>
      <c r="I561" t="n">
        <v>0</v>
      </c>
      <c r="J561" t="n">
        <v>0</v>
      </c>
      <c r="K561" t="n">
        <v>0</v>
      </c>
      <c r="L561" t="n">
        <v>0</v>
      </c>
      <c r="M561" t="n">
        <v>0</v>
      </c>
      <c r="N561" t="n">
        <v>0</v>
      </c>
      <c r="O561" t="n">
        <v>0</v>
      </c>
      <c r="P561" t="n">
        <v>0</v>
      </c>
      <c r="Q561" t="n">
        <v>0</v>
      </c>
      <c r="R561" s="2" t="inlineStr"/>
    </row>
    <row r="562" ht="15" customHeight="1">
      <c r="A562" t="inlineStr">
        <is>
          <t>A 37557-2025</t>
        </is>
      </c>
      <c r="B562" s="1" t="n">
        <v>45880.32907407408</v>
      </c>
      <c r="C562" s="1" t="n">
        <v>45987</v>
      </c>
      <c r="D562" t="inlineStr">
        <is>
          <t>UPPSALA LÄN</t>
        </is>
      </c>
      <c r="E562" t="inlineStr">
        <is>
          <t>UPPSALA</t>
        </is>
      </c>
      <c r="G562" t="n">
        <v>1.6</v>
      </c>
      <c r="H562" t="n">
        <v>0</v>
      </c>
      <c r="I562" t="n">
        <v>0</v>
      </c>
      <c r="J562" t="n">
        <v>0</v>
      </c>
      <c r="K562" t="n">
        <v>0</v>
      </c>
      <c r="L562" t="n">
        <v>0</v>
      </c>
      <c r="M562" t="n">
        <v>0</v>
      </c>
      <c r="N562" t="n">
        <v>0</v>
      </c>
      <c r="O562" t="n">
        <v>0</v>
      </c>
      <c r="P562" t="n">
        <v>0</v>
      </c>
      <c r="Q562" t="n">
        <v>0</v>
      </c>
      <c r="R562" s="2" t="inlineStr"/>
    </row>
    <row r="563" ht="15" customHeight="1">
      <c r="A563" t="inlineStr">
        <is>
          <t>A 35016-2025</t>
        </is>
      </c>
      <c r="B563" s="1" t="n">
        <v>45851.62179398148</v>
      </c>
      <c r="C563" s="1" t="n">
        <v>45987</v>
      </c>
      <c r="D563" t="inlineStr">
        <is>
          <t>UPPSALA LÄN</t>
        </is>
      </c>
      <c r="E563" t="inlineStr">
        <is>
          <t>UPPSALA</t>
        </is>
      </c>
      <c r="F563" t="inlineStr">
        <is>
          <t>Bergvik skog öst AB</t>
        </is>
      </c>
      <c r="G563" t="n">
        <v>7</v>
      </c>
      <c r="H563" t="n">
        <v>0</v>
      </c>
      <c r="I563" t="n">
        <v>0</v>
      </c>
      <c r="J563" t="n">
        <v>0</v>
      </c>
      <c r="K563" t="n">
        <v>0</v>
      </c>
      <c r="L563" t="n">
        <v>0</v>
      </c>
      <c r="M563" t="n">
        <v>0</v>
      </c>
      <c r="N563" t="n">
        <v>0</v>
      </c>
      <c r="O563" t="n">
        <v>0</v>
      </c>
      <c r="P563" t="n">
        <v>0</v>
      </c>
      <c r="Q563" t="n">
        <v>0</v>
      </c>
      <c r="R563" s="2" t="inlineStr"/>
    </row>
    <row r="564" ht="15" customHeight="1">
      <c r="A564" t="inlineStr">
        <is>
          <t>A 9995-2025</t>
        </is>
      </c>
      <c r="B564" s="1" t="n">
        <v>45719.43872685185</v>
      </c>
      <c r="C564" s="1" t="n">
        <v>45987</v>
      </c>
      <c r="D564" t="inlineStr">
        <is>
          <t>UPPSALA LÄN</t>
        </is>
      </c>
      <c r="E564" t="inlineStr">
        <is>
          <t>UPPSALA</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37561-2025</t>
        </is>
      </c>
      <c r="B565" s="1" t="n">
        <v>45880.34064814815</v>
      </c>
      <c r="C565" s="1" t="n">
        <v>45987</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37611-2025</t>
        </is>
      </c>
      <c r="B566" s="1" t="n">
        <v>45880</v>
      </c>
      <c r="C566" s="1" t="n">
        <v>45987</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37486-2025</t>
        </is>
      </c>
      <c r="B567" s="1" t="n">
        <v>45877.62969907407</v>
      </c>
      <c r="C567" s="1" t="n">
        <v>45987</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13128-2022</t>
        </is>
      </c>
      <c r="B568" s="1" t="n">
        <v>44644.37548611111</v>
      </c>
      <c r="C568" s="1" t="n">
        <v>45987</v>
      </c>
      <c r="D568" t="inlineStr">
        <is>
          <t>UPPSALA LÄN</t>
        </is>
      </c>
      <c r="E568" t="inlineStr">
        <is>
          <t>UPPSALA</t>
        </is>
      </c>
      <c r="F568" t="inlineStr">
        <is>
          <t>Övriga Aktiebolag</t>
        </is>
      </c>
      <c r="G568" t="n">
        <v>3.7</v>
      </c>
      <c r="H568" t="n">
        <v>0</v>
      </c>
      <c r="I568" t="n">
        <v>0</v>
      </c>
      <c r="J568" t="n">
        <v>0</v>
      </c>
      <c r="K568" t="n">
        <v>0</v>
      </c>
      <c r="L568" t="n">
        <v>0</v>
      </c>
      <c r="M568" t="n">
        <v>0</v>
      </c>
      <c r="N568" t="n">
        <v>0</v>
      </c>
      <c r="O568" t="n">
        <v>0</v>
      </c>
      <c r="P568" t="n">
        <v>0</v>
      </c>
      <c r="Q568" t="n">
        <v>0</v>
      </c>
      <c r="R568" s="2" t="inlineStr"/>
    </row>
    <row r="569" ht="15" customHeight="1">
      <c r="A569" t="inlineStr">
        <is>
          <t>A 47316-2025</t>
        </is>
      </c>
      <c r="B569" s="1" t="n">
        <v>45930.55024305556</v>
      </c>
      <c r="C569" s="1" t="n">
        <v>45987</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56084-2024</t>
        </is>
      </c>
      <c r="B570" s="1" t="n">
        <v>45624</v>
      </c>
      <c r="C570" s="1" t="n">
        <v>45987</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37759-2025</t>
        </is>
      </c>
      <c r="B571" s="1" t="n">
        <v>45880.68200231482</v>
      </c>
      <c r="C571" s="1" t="n">
        <v>45987</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37763-2021</t>
        </is>
      </c>
      <c r="B572" s="1" t="n">
        <v>44400.6750925926</v>
      </c>
      <c r="C572" s="1" t="n">
        <v>45987</v>
      </c>
      <c r="D572" t="inlineStr">
        <is>
          <t>UPPSALA LÄN</t>
        </is>
      </c>
      <c r="E572" t="inlineStr">
        <is>
          <t>UPPSALA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4993-2025</t>
        </is>
      </c>
      <c r="B573" s="1" t="n">
        <v>45691</v>
      </c>
      <c r="C573" s="1" t="n">
        <v>45987</v>
      </c>
      <c r="D573" t="inlineStr">
        <is>
          <t>UPPSALA LÄN</t>
        </is>
      </c>
      <c r="E573" t="inlineStr">
        <is>
          <t>UPPSALA</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37820-2021</t>
        </is>
      </c>
      <c r="B574" s="1" t="n">
        <v>44403.3119212963</v>
      </c>
      <c r="C574" s="1" t="n">
        <v>45987</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46983-2025</t>
        </is>
      </c>
      <c r="B575" s="1" t="n">
        <v>45929.53203703704</v>
      </c>
      <c r="C575" s="1" t="n">
        <v>45987</v>
      </c>
      <c r="D575" t="inlineStr">
        <is>
          <t>UPPSALA LÄN</t>
        </is>
      </c>
      <c r="E575" t="inlineStr">
        <is>
          <t>UPPSALA</t>
        </is>
      </c>
      <c r="F575" t="inlineStr">
        <is>
          <t>Bergvik skog öst AB</t>
        </is>
      </c>
      <c r="G575" t="n">
        <v>1.8</v>
      </c>
      <c r="H575" t="n">
        <v>0</v>
      </c>
      <c r="I575" t="n">
        <v>0</v>
      </c>
      <c r="J575" t="n">
        <v>0</v>
      </c>
      <c r="K575" t="n">
        <v>0</v>
      </c>
      <c r="L575" t="n">
        <v>0</v>
      </c>
      <c r="M575" t="n">
        <v>0</v>
      </c>
      <c r="N575" t="n">
        <v>0</v>
      </c>
      <c r="O575" t="n">
        <v>0</v>
      </c>
      <c r="P575" t="n">
        <v>0</v>
      </c>
      <c r="Q575" t="n">
        <v>0</v>
      </c>
      <c r="R575" s="2" t="inlineStr"/>
    </row>
    <row r="576" ht="15" customHeight="1">
      <c r="A576" t="inlineStr">
        <is>
          <t>A 37856-2025</t>
        </is>
      </c>
      <c r="B576" s="1" t="n">
        <v>45881.45898148148</v>
      </c>
      <c r="C576" s="1" t="n">
        <v>45987</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3287-2025</t>
        </is>
      </c>
      <c r="B577" s="1" t="n">
        <v>45679</v>
      </c>
      <c r="C577" s="1" t="n">
        <v>45987</v>
      </c>
      <c r="D577" t="inlineStr">
        <is>
          <t>UPPSALA LÄN</t>
        </is>
      </c>
      <c r="E577" t="inlineStr">
        <is>
          <t>UPPSALA</t>
        </is>
      </c>
      <c r="F577" t="inlineStr">
        <is>
          <t>Kyrkan</t>
        </is>
      </c>
      <c r="G577" t="n">
        <v>6.7</v>
      </c>
      <c r="H577" t="n">
        <v>0</v>
      </c>
      <c r="I577" t="n">
        <v>0</v>
      </c>
      <c r="J577" t="n">
        <v>0</v>
      </c>
      <c r="K577" t="n">
        <v>0</v>
      </c>
      <c r="L577" t="n">
        <v>0</v>
      </c>
      <c r="M577" t="n">
        <v>0</v>
      </c>
      <c r="N577" t="n">
        <v>0</v>
      </c>
      <c r="O577" t="n">
        <v>0</v>
      </c>
      <c r="P577" t="n">
        <v>0</v>
      </c>
      <c r="Q577" t="n">
        <v>0</v>
      </c>
      <c r="R577" s="2" t="inlineStr"/>
    </row>
    <row r="578" ht="15" customHeight="1">
      <c r="A578" t="inlineStr">
        <is>
          <t>A 55357-2025</t>
        </is>
      </c>
      <c r="B578" s="1" t="n">
        <v>45971.37480324074</v>
      </c>
      <c r="C578" s="1" t="n">
        <v>45987</v>
      </c>
      <c r="D578" t="inlineStr">
        <is>
          <t>UPPSALA LÄN</t>
        </is>
      </c>
      <c r="E578" t="inlineStr">
        <is>
          <t>UPPSALA</t>
        </is>
      </c>
      <c r="G578" t="n">
        <v>6</v>
      </c>
      <c r="H578" t="n">
        <v>0</v>
      </c>
      <c r="I578" t="n">
        <v>0</v>
      </c>
      <c r="J578" t="n">
        <v>0</v>
      </c>
      <c r="K578" t="n">
        <v>0</v>
      </c>
      <c r="L578" t="n">
        <v>0</v>
      </c>
      <c r="M578" t="n">
        <v>0</v>
      </c>
      <c r="N578" t="n">
        <v>0</v>
      </c>
      <c r="O578" t="n">
        <v>0</v>
      </c>
      <c r="P578" t="n">
        <v>0</v>
      </c>
      <c r="Q578" t="n">
        <v>0</v>
      </c>
      <c r="R578" s="2" t="inlineStr"/>
    </row>
    <row r="579" ht="15" customHeight="1">
      <c r="A579" t="inlineStr">
        <is>
          <t>A 55732-2025</t>
        </is>
      </c>
      <c r="B579" s="1" t="n">
        <v>45972</v>
      </c>
      <c r="C579" s="1" t="n">
        <v>45987</v>
      </c>
      <c r="D579" t="inlineStr">
        <is>
          <t>UPPSALA LÄN</t>
        </is>
      </c>
      <c r="E579" t="inlineStr">
        <is>
          <t>UPPSALA</t>
        </is>
      </c>
      <c r="G579" t="n">
        <v>10.9</v>
      </c>
      <c r="H579" t="n">
        <v>0</v>
      </c>
      <c r="I579" t="n">
        <v>0</v>
      </c>
      <c r="J579" t="n">
        <v>0</v>
      </c>
      <c r="K579" t="n">
        <v>0</v>
      </c>
      <c r="L579" t="n">
        <v>0</v>
      </c>
      <c r="M579" t="n">
        <v>0</v>
      </c>
      <c r="N579" t="n">
        <v>0</v>
      </c>
      <c r="O579" t="n">
        <v>0</v>
      </c>
      <c r="P579" t="n">
        <v>0</v>
      </c>
      <c r="Q579" t="n">
        <v>0</v>
      </c>
      <c r="R579" s="2" t="inlineStr"/>
    </row>
    <row r="580" ht="15" customHeight="1">
      <c r="A580" t="inlineStr">
        <is>
          <t>A 38113-2025</t>
        </is>
      </c>
      <c r="B580" s="1" t="n">
        <v>45882.52290509259</v>
      </c>
      <c r="C580" s="1" t="n">
        <v>45987</v>
      </c>
      <c r="D580" t="inlineStr">
        <is>
          <t>UPPSALA LÄN</t>
        </is>
      </c>
      <c r="E580" t="inlineStr">
        <is>
          <t>UPPSALA</t>
        </is>
      </c>
      <c r="G580" t="n">
        <v>5.8</v>
      </c>
      <c r="H580" t="n">
        <v>0</v>
      </c>
      <c r="I580" t="n">
        <v>0</v>
      </c>
      <c r="J580" t="n">
        <v>0</v>
      </c>
      <c r="K580" t="n">
        <v>0</v>
      </c>
      <c r="L580" t="n">
        <v>0</v>
      </c>
      <c r="M580" t="n">
        <v>0</v>
      </c>
      <c r="N580" t="n">
        <v>0</v>
      </c>
      <c r="O580" t="n">
        <v>0</v>
      </c>
      <c r="P580" t="n">
        <v>0</v>
      </c>
      <c r="Q580" t="n">
        <v>0</v>
      </c>
      <c r="R580" s="2" t="inlineStr"/>
    </row>
    <row r="581" ht="15" customHeight="1">
      <c r="A581" t="inlineStr">
        <is>
          <t>A 38034-2025</t>
        </is>
      </c>
      <c r="B581" s="1" t="n">
        <v>45882.37202546297</v>
      </c>
      <c r="C581" s="1" t="n">
        <v>45987</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37851-2025</t>
        </is>
      </c>
      <c r="B582" s="1" t="n">
        <v>45881.44938657407</v>
      </c>
      <c r="C582" s="1" t="n">
        <v>45987</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9295-2023</t>
        </is>
      </c>
      <c r="B583" s="1" t="n">
        <v>44980</v>
      </c>
      <c r="C583" s="1" t="n">
        <v>45987</v>
      </c>
      <c r="D583" t="inlineStr">
        <is>
          <t>UPPSALA LÄN</t>
        </is>
      </c>
      <c r="E583" t="inlineStr">
        <is>
          <t>UPPSALA</t>
        </is>
      </c>
      <c r="G583" t="n">
        <v>2.1</v>
      </c>
      <c r="H583" t="n">
        <v>0</v>
      </c>
      <c r="I583" t="n">
        <v>0</v>
      </c>
      <c r="J583" t="n">
        <v>0</v>
      </c>
      <c r="K583" t="n">
        <v>0</v>
      </c>
      <c r="L583" t="n">
        <v>0</v>
      </c>
      <c r="M583" t="n">
        <v>0</v>
      </c>
      <c r="N583" t="n">
        <v>0</v>
      </c>
      <c r="O583" t="n">
        <v>0</v>
      </c>
      <c r="P583" t="n">
        <v>0</v>
      </c>
      <c r="Q583" t="n">
        <v>0</v>
      </c>
      <c r="R583" s="2" t="inlineStr"/>
    </row>
    <row r="584" ht="15" customHeight="1">
      <c r="A584" t="inlineStr">
        <is>
          <t>A 55594-2025</t>
        </is>
      </c>
      <c r="B584" s="1" t="n">
        <v>45971.70613425926</v>
      </c>
      <c r="C584" s="1" t="n">
        <v>45987</v>
      </c>
      <c r="D584" t="inlineStr">
        <is>
          <t>UPPSALA LÄN</t>
        </is>
      </c>
      <c r="E584" t="inlineStr">
        <is>
          <t>UPPSALA</t>
        </is>
      </c>
      <c r="F584" t="inlineStr">
        <is>
          <t>Allmännings- och besparingsskogar</t>
        </is>
      </c>
      <c r="G584" t="n">
        <v>3.2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44508.44033564815</v>
      </c>
      <c r="C585" s="1" t="n">
        <v>45987</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47131-2025</t>
        </is>
      </c>
      <c r="B586" s="1" t="n">
        <v>45929.69553240741</v>
      </c>
      <c r="C586" s="1" t="n">
        <v>45987</v>
      </c>
      <c r="D586" t="inlineStr">
        <is>
          <t>UPPSALA LÄN</t>
        </is>
      </c>
      <c r="E586" t="inlineStr">
        <is>
          <t>UPPSALA</t>
        </is>
      </c>
      <c r="F586" t="inlineStr">
        <is>
          <t>Kyrkan</t>
        </is>
      </c>
      <c r="G586" t="n">
        <v>1.9</v>
      </c>
      <c r="H586" t="n">
        <v>0</v>
      </c>
      <c r="I586" t="n">
        <v>0</v>
      </c>
      <c r="J586" t="n">
        <v>0</v>
      </c>
      <c r="K586" t="n">
        <v>0</v>
      </c>
      <c r="L586" t="n">
        <v>0</v>
      </c>
      <c r="M586" t="n">
        <v>0</v>
      </c>
      <c r="N586" t="n">
        <v>0</v>
      </c>
      <c r="O586" t="n">
        <v>0</v>
      </c>
      <c r="P586" t="n">
        <v>0</v>
      </c>
      <c r="Q586" t="n">
        <v>0</v>
      </c>
      <c r="R586" s="2" t="inlineStr"/>
    </row>
    <row r="587" ht="15" customHeight="1">
      <c r="A587" t="inlineStr">
        <is>
          <t>A 47132-2025</t>
        </is>
      </c>
      <c r="B587" s="1" t="n">
        <v>45929.6965162037</v>
      </c>
      <c r="C587" s="1" t="n">
        <v>45987</v>
      </c>
      <c r="D587" t="inlineStr">
        <is>
          <t>UPPSALA LÄN</t>
        </is>
      </c>
      <c r="E587" t="inlineStr">
        <is>
          <t>UPPSALA</t>
        </is>
      </c>
      <c r="F587" t="inlineStr">
        <is>
          <t>Kyrkan</t>
        </is>
      </c>
      <c r="G587" t="n">
        <v>1.9</v>
      </c>
      <c r="H587" t="n">
        <v>0</v>
      </c>
      <c r="I587" t="n">
        <v>0</v>
      </c>
      <c r="J587" t="n">
        <v>0</v>
      </c>
      <c r="K587" t="n">
        <v>0</v>
      </c>
      <c r="L587" t="n">
        <v>0</v>
      </c>
      <c r="M587" t="n">
        <v>0</v>
      </c>
      <c r="N587" t="n">
        <v>0</v>
      </c>
      <c r="O587" t="n">
        <v>0</v>
      </c>
      <c r="P587" t="n">
        <v>0</v>
      </c>
      <c r="Q587" t="n">
        <v>0</v>
      </c>
      <c r="R587" s="2" t="inlineStr"/>
    </row>
    <row r="588" ht="15" customHeight="1">
      <c r="A588" t="inlineStr">
        <is>
          <t>A 43795-2023</t>
        </is>
      </c>
      <c r="B588" s="1" t="n">
        <v>45182</v>
      </c>
      <c r="C588" s="1" t="n">
        <v>45987</v>
      </c>
      <c r="D588" t="inlineStr">
        <is>
          <t>UPPSALA LÄN</t>
        </is>
      </c>
      <c r="E588" t="inlineStr">
        <is>
          <t>UPPSALA</t>
        </is>
      </c>
      <c r="G588" t="n">
        <v>4.7</v>
      </c>
      <c r="H588" t="n">
        <v>0</v>
      </c>
      <c r="I588" t="n">
        <v>0</v>
      </c>
      <c r="J588" t="n">
        <v>0</v>
      </c>
      <c r="K588" t="n">
        <v>0</v>
      </c>
      <c r="L588" t="n">
        <v>0</v>
      </c>
      <c r="M588" t="n">
        <v>0</v>
      </c>
      <c r="N588" t="n">
        <v>0</v>
      </c>
      <c r="O588" t="n">
        <v>0</v>
      </c>
      <c r="P588" t="n">
        <v>0</v>
      </c>
      <c r="Q588" t="n">
        <v>0</v>
      </c>
      <c r="R588" s="2" t="inlineStr"/>
    </row>
    <row r="589" ht="15" customHeight="1">
      <c r="A589" t="inlineStr">
        <is>
          <t>A 47688-2025</t>
        </is>
      </c>
      <c r="B589" s="1" t="n">
        <v>45931.59091435185</v>
      </c>
      <c r="C589" s="1" t="n">
        <v>45987</v>
      </c>
      <c r="D589" t="inlineStr">
        <is>
          <t>UPPSALA LÄN</t>
        </is>
      </c>
      <c r="E589" t="inlineStr">
        <is>
          <t>UPPSALA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66690-2021</t>
        </is>
      </c>
      <c r="B590" s="1" t="n">
        <v>44519.64902777778</v>
      </c>
      <c r="C590" s="1" t="n">
        <v>45987</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47649-2025</t>
        </is>
      </c>
      <c r="B591" s="1" t="n">
        <v>45931.52792824074</v>
      </c>
      <c r="C591" s="1" t="n">
        <v>45987</v>
      </c>
      <c r="D591" t="inlineStr">
        <is>
          <t>UPPSALA LÄN</t>
        </is>
      </c>
      <c r="E591" t="inlineStr">
        <is>
          <t>UPPSALA</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62044-2024</t>
        </is>
      </c>
      <c r="B592" s="1" t="n">
        <v>45656</v>
      </c>
      <c r="C592" s="1" t="n">
        <v>45987</v>
      </c>
      <c r="D592" t="inlineStr">
        <is>
          <t>UPPSALA LÄN</t>
        </is>
      </c>
      <c r="E592" t="inlineStr">
        <is>
          <t>UPPSALA</t>
        </is>
      </c>
      <c r="F592" t="inlineStr">
        <is>
          <t>Övriga statliga verk och myndigheter</t>
        </is>
      </c>
      <c r="G592" t="n">
        <v>11.6</v>
      </c>
      <c r="H592" t="n">
        <v>0</v>
      </c>
      <c r="I592" t="n">
        <v>0</v>
      </c>
      <c r="J592" t="n">
        <v>0</v>
      </c>
      <c r="K592" t="n">
        <v>0</v>
      </c>
      <c r="L592" t="n">
        <v>0</v>
      </c>
      <c r="M592" t="n">
        <v>0</v>
      </c>
      <c r="N592" t="n">
        <v>0</v>
      </c>
      <c r="O592" t="n">
        <v>0</v>
      </c>
      <c r="P592" t="n">
        <v>0</v>
      </c>
      <c r="Q592" t="n">
        <v>0</v>
      </c>
      <c r="R592" s="2" t="inlineStr"/>
    </row>
    <row r="593" ht="15" customHeight="1">
      <c r="A593" t="inlineStr">
        <is>
          <t>A 47840-2025</t>
        </is>
      </c>
      <c r="B593" s="1" t="n">
        <v>45932.37375</v>
      </c>
      <c r="C593" s="1" t="n">
        <v>45987</v>
      </c>
      <c r="D593" t="inlineStr">
        <is>
          <t>UPPSALA LÄN</t>
        </is>
      </c>
      <c r="E593" t="inlineStr">
        <is>
          <t>UPPSALA</t>
        </is>
      </c>
      <c r="G593" t="n">
        <v>1.8</v>
      </c>
      <c r="H593" t="n">
        <v>0</v>
      </c>
      <c r="I593" t="n">
        <v>0</v>
      </c>
      <c r="J593" t="n">
        <v>0</v>
      </c>
      <c r="K593" t="n">
        <v>0</v>
      </c>
      <c r="L593" t="n">
        <v>0</v>
      </c>
      <c r="M593" t="n">
        <v>0</v>
      </c>
      <c r="N593" t="n">
        <v>0</v>
      </c>
      <c r="O593" t="n">
        <v>0</v>
      </c>
      <c r="P593" t="n">
        <v>0</v>
      </c>
      <c r="Q593" t="n">
        <v>0</v>
      </c>
      <c r="R593" s="2" t="inlineStr"/>
    </row>
    <row r="594" ht="15" customHeight="1">
      <c r="A594" t="inlineStr">
        <is>
          <t>A 47557-2025</t>
        </is>
      </c>
      <c r="B594" s="1" t="n">
        <v>45931.37734953704</v>
      </c>
      <c r="C594" s="1" t="n">
        <v>45987</v>
      </c>
      <c r="D594" t="inlineStr">
        <is>
          <t>UPPSALA LÄN</t>
        </is>
      </c>
      <c r="E594" t="inlineStr">
        <is>
          <t>UPPSALA</t>
        </is>
      </c>
      <c r="F594" t="inlineStr">
        <is>
          <t>Kyrkan</t>
        </is>
      </c>
      <c r="G594" t="n">
        <v>1.9</v>
      </c>
      <c r="H594" t="n">
        <v>0</v>
      </c>
      <c r="I594" t="n">
        <v>0</v>
      </c>
      <c r="J594" t="n">
        <v>0</v>
      </c>
      <c r="K594" t="n">
        <v>0</v>
      </c>
      <c r="L594" t="n">
        <v>0</v>
      </c>
      <c r="M594" t="n">
        <v>0</v>
      </c>
      <c r="N594" t="n">
        <v>0</v>
      </c>
      <c r="O594" t="n">
        <v>0</v>
      </c>
      <c r="P594" t="n">
        <v>0</v>
      </c>
      <c r="Q594" t="n">
        <v>0</v>
      </c>
      <c r="R594" s="2" t="inlineStr"/>
    </row>
    <row r="595" ht="15" customHeight="1">
      <c r="A595" t="inlineStr">
        <is>
          <t>A 47961-2025</t>
        </is>
      </c>
      <c r="B595" s="1" t="n">
        <v>45932.59373842592</v>
      </c>
      <c r="C595" s="1" t="n">
        <v>45987</v>
      </c>
      <c r="D595" t="inlineStr">
        <is>
          <t>UPPSALA LÄN</t>
        </is>
      </c>
      <c r="E595" t="inlineStr">
        <is>
          <t>UPPSALA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47978-2025</t>
        </is>
      </c>
      <c r="B596" s="1" t="n">
        <v>45932.61177083333</v>
      </c>
      <c r="C596" s="1" t="n">
        <v>45987</v>
      </c>
      <c r="D596" t="inlineStr">
        <is>
          <t>UPPSALA LÄN</t>
        </is>
      </c>
      <c r="E596" t="inlineStr">
        <is>
          <t>UPPSALA</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27912-2023</t>
        </is>
      </c>
      <c r="B597" s="1" t="n">
        <v>45098.63572916666</v>
      </c>
      <c r="C597" s="1" t="n">
        <v>45987</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56363-2025</t>
        </is>
      </c>
      <c r="B598" s="1" t="n">
        <v>45974.6671412037</v>
      </c>
      <c r="C598" s="1" t="n">
        <v>45987</v>
      </c>
      <c r="D598" t="inlineStr">
        <is>
          <t>UPPSALA LÄN</t>
        </is>
      </c>
      <c r="E598" t="inlineStr">
        <is>
          <t>UPPSALA</t>
        </is>
      </c>
      <c r="G598" t="n">
        <v>3.1</v>
      </c>
      <c r="H598" t="n">
        <v>0</v>
      </c>
      <c r="I598" t="n">
        <v>0</v>
      </c>
      <c r="J598" t="n">
        <v>0</v>
      </c>
      <c r="K598" t="n">
        <v>0</v>
      </c>
      <c r="L598" t="n">
        <v>0</v>
      </c>
      <c r="M598" t="n">
        <v>0</v>
      </c>
      <c r="N598" t="n">
        <v>0</v>
      </c>
      <c r="O598" t="n">
        <v>0</v>
      </c>
      <c r="P598" t="n">
        <v>0</v>
      </c>
      <c r="Q598" t="n">
        <v>0</v>
      </c>
      <c r="R598" s="2" t="inlineStr"/>
    </row>
    <row r="599" ht="15" customHeight="1">
      <c r="A599" t="inlineStr">
        <is>
          <t>A 47558-2025</t>
        </is>
      </c>
      <c r="B599" s="1" t="n">
        <v>45931.37796296296</v>
      </c>
      <c r="C599" s="1" t="n">
        <v>45987</v>
      </c>
      <c r="D599" t="inlineStr">
        <is>
          <t>UPPSALA LÄN</t>
        </is>
      </c>
      <c r="E599" t="inlineStr">
        <is>
          <t>UPPSALA</t>
        </is>
      </c>
      <c r="F599" t="inlineStr">
        <is>
          <t>Kyrkan</t>
        </is>
      </c>
      <c r="G599" t="n">
        <v>1.9</v>
      </c>
      <c r="H599" t="n">
        <v>0</v>
      </c>
      <c r="I599" t="n">
        <v>0</v>
      </c>
      <c r="J599" t="n">
        <v>0</v>
      </c>
      <c r="K599" t="n">
        <v>0</v>
      </c>
      <c r="L599" t="n">
        <v>0</v>
      </c>
      <c r="M599" t="n">
        <v>0</v>
      </c>
      <c r="N599" t="n">
        <v>0</v>
      </c>
      <c r="O599" t="n">
        <v>0</v>
      </c>
      <c r="P599" t="n">
        <v>0</v>
      </c>
      <c r="Q599" t="n">
        <v>0</v>
      </c>
      <c r="R599" s="2" t="inlineStr"/>
    </row>
    <row r="600" ht="15" customHeight="1">
      <c r="A600" t="inlineStr">
        <is>
          <t>A 5764-2025</t>
        </is>
      </c>
      <c r="B600" s="1" t="n">
        <v>45694</v>
      </c>
      <c r="C600" s="1" t="n">
        <v>45987</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47999-2025</t>
        </is>
      </c>
      <c r="B601" s="1" t="n">
        <v>45932.62907407407</v>
      </c>
      <c r="C601" s="1" t="n">
        <v>45987</v>
      </c>
      <c r="D601" t="inlineStr">
        <is>
          <t>UPPSALA LÄN</t>
        </is>
      </c>
      <c r="E601" t="inlineStr">
        <is>
          <t>UPPSALA</t>
        </is>
      </c>
      <c r="F601" t="inlineStr">
        <is>
          <t>Allmännings- och besparingsskogar</t>
        </is>
      </c>
      <c r="G601" t="n">
        <v>1</v>
      </c>
      <c r="H601" t="n">
        <v>0</v>
      </c>
      <c r="I601" t="n">
        <v>0</v>
      </c>
      <c r="J601" t="n">
        <v>0</v>
      </c>
      <c r="K601" t="n">
        <v>0</v>
      </c>
      <c r="L601" t="n">
        <v>0</v>
      </c>
      <c r="M601" t="n">
        <v>0</v>
      </c>
      <c r="N601" t="n">
        <v>0</v>
      </c>
      <c r="O601" t="n">
        <v>0</v>
      </c>
      <c r="P601" t="n">
        <v>0</v>
      </c>
      <c r="Q601" t="n">
        <v>0</v>
      </c>
      <c r="R601" s="2" t="inlineStr"/>
    </row>
    <row r="602" ht="15" customHeight="1">
      <c r="A602" t="inlineStr">
        <is>
          <t>A 32479-2025</t>
        </is>
      </c>
      <c r="B602" s="1" t="n">
        <v>45838</v>
      </c>
      <c r="C602" s="1" t="n">
        <v>45987</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40100-2022</t>
        </is>
      </c>
      <c r="B603" s="1" t="n">
        <v>44820.47935185185</v>
      </c>
      <c r="C603" s="1" t="n">
        <v>45987</v>
      </c>
      <c r="D603" t="inlineStr">
        <is>
          <t>UPPSALA LÄN</t>
        </is>
      </c>
      <c r="E603" t="inlineStr">
        <is>
          <t>UPPSALA</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47690-2025</t>
        </is>
      </c>
      <c r="B604" s="1" t="n">
        <v>45931.59373842592</v>
      </c>
      <c r="C604" s="1" t="n">
        <v>45987</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21727-2023</t>
        </is>
      </c>
      <c r="B605" s="1" t="n">
        <v>45065.43013888889</v>
      </c>
      <c r="C605" s="1" t="n">
        <v>45987</v>
      </c>
      <c r="D605" t="inlineStr">
        <is>
          <t>UPPSALA LÄN</t>
        </is>
      </c>
      <c r="E605" t="inlineStr">
        <is>
          <t>UPPSALA</t>
        </is>
      </c>
      <c r="G605" t="n">
        <v>1.5</v>
      </c>
      <c r="H605" t="n">
        <v>0</v>
      </c>
      <c r="I605" t="n">
        <v>0</v>
      </c>
      <c r="J605" t="n">
        <v>0</v>
      </c>
      <c r="K605" t="n">
        <v>0</v>
      </c>
      <c r="L605" t="n">
        <v>0</v>
      </c>
      <c r="M605" t="n">
        <v>0</v>
      </c>
      <c r="N605" t="n">
        <v>0</v>
      </c>
      <c r="O605" t="n">
        <v>0</v>
      </c>
      <c r="P605" t="n">
        <v>0</v>
      </c>
      <c r="Q605" t="n">
        <v>0</v>
      </c>
      <c r="R605" s="2" t="inlineStr"/>
    </row>
    <row r="606" ht="15" customHeight="1">
      <c r="A606" t="inlineStr">
        <is>
          <t>A 59116-2024</t>
        </is>
      </c>
      <c r="B606" s="1" t="n">
        <v>45637</v>
      </c>
      <c r="C606" s="1" t="n">
        <v>45987</v>
      </c>
      <c r="D606" t="inlineStr">
        <is>
          <t>UPPSALA LÄN</t>
        </is>
      </c>
      <c r="E606" t="inlineStr">
        <is>
          <t>UPPSALA</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69698-2021</t>
        </is>
      </c>
      <c r="B607" s="1" t="n">
        <v>44532</v>
      </c>
      <c r="C607" s="1" t="n">
        <v>45987</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5068-2025</t>
        </is>
      </c>
      <c r="B608" s="1" t="n">
        <v>45691</v>
      </c>
      <c r="C608" s="1" t="n">
        <v>45987</v>
      </c>
      <c r="D608" t="inlineStr">
        <is>
          <t>UPPSALA LÄN</t>
        </is>
      </c>
      <c r="E608" t="inlineStr">
        <is>
          <t>UPPSALA</t>
        </is>
      </c>
      <c r="G608" t="n">
        <v>5.9</v>
      </c>
      <c r="H608" t="n">
        <v>0</v>
      </c>
      <c r="I608" t="n">
        <v>0</v>
      </c>
      <c r="J608" t="n">
        <v>0</v>
      </c>
      <c r="K608" t="n">
        <v>0</v>
      </c>
      <c r="L608" t="n">
        <v>0</v>
      </c>
      <c r="M608" t="n">
        <v>0</v>
      </c>
      <c r="N608" t="n">
        <v>0</v>
      </c>
      <c r="O608" t="n">
        <v>0</v>
      </c>
      <c r="P608" t="n">
        <v>0</v>
      </c>
      <c r="Q608" t="n">
        <v>0</v>
      </c>
      <c r="R608" s="2" t="inlineStr"/>
    </row>
    <row r="609" ht="15" customHeight="1">
      <c r="A609" t="inlineStr">
        <is>
          <t>A 54393-2025</t>
        </is>
      </c>
      <c r="B609" s="1" t="n">
        <v>45965</v>
      </c>
      <c r="C609" s="1" t="n">
        <v>45987</v>
      </c>
      <c r="D609" t="inlineStr">
        <is>
          <t>UPPSALA LÄN</t>
        </is>
      </c>
      <c r="E609" t="inlineStr">
        <is>
          <t>UPPSALA</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48757-2025</t>
        </is>
      </c>
      <c r="B610" s="1" t="n">
        <v>45936.73660879629</v>
      </c>
      <c r="C610" s="1" t="n">
        <v>45987</v>
      </c>
      <c r="D610" t="inlineStr">
        <is>
          <t>UPPSALA LÄN</t>
        </is>
      </c>
      <c r="E610" t="inlineStr">
        <is>
          <t>UPPSALA</t>
        </is>
      </c>
      <c r="G610" t="n">
        <v>4.2</v>
      </c>
      <c r="H610" t="n">
        <v>0</v>
      </c>
      <c r="I610" t="n">
        <v>0</v>
      </c>
      <c r="J610" t="n">
        <v>0</v>
      </c>
      <c r="K610" t="n">
        <v>0</v>
      </c>
      <c r="L610" t="n">
        <v>0</v>
      </c>
      <c r="M610" t="n">
        <v>0</v>
      </c>
      <c r="N610" t="n">
        <v>0</v>
      </c>
      <c r="O610" t="n">
        <v>0</v>
      </c>
      <c r="P610" t="n">
        <v>0</v>
      </c>
      <c r="Q610" t="n">
        <v>0</v>
      </c>
      <c r="R610" s="2" t="inlineStr"/>
    </row>
    <row r="611" ht="15" customHeight="1">
      <c r="A611" t="inlineStr">
        <is>
          <t>A 5204-2025</t>
        </is>
      </c>
      <c r="B611" s="1" t="n">
        <v>45691</v>
      </c>
      <c r="C611" s="1" t="n">
        <v>45987</v>
      </c>
      <c r="D611" t="inlineStr">
        <is>
          <t>UPPSALA LÄN</t>
        </is>
      </c>
      <c r="E611" t="inlineStr">
        <is>
          <t>UPPSALA</t>
        </is>
      </c>
      <c r="G611" t="n">
        <v>3.7</v>
      </c>
      <c r="H611" t="n">
        <v>0</v>
      </c>
      <c r="I611" t="n">
        <v>0</v>
      </c>
      <c r="J611" t="n">
        <v>0</v>
      </c>
      <c r="K611" t="n">
        <v>0</v>
      </c>
      <c r="L611" t="n">
        <v>0</v>
      </c>
      <c r="M611" t="n">
        <v>0</v>
      </c>
      <c r="N611" t="n">
        <v>0</v>
      </c>
      <c r="O611" t="n">
        <v>0</v>
      </c>
      <c r="P611" t="n">
        <v>0</v>
      </c>
      <c r="Q611" t="n">
        <v>0</v>
      </c>
      <c r="R611" s="2" t="inlineStr"/>
    </row>
    <row r="612" ht="15" customHeight="1">
      <c r="A612" t="inlineStr">
        <is>
          <t>A 9993-2025</t>
        </is>
      </c>
      <c r="B612" s="1" t="n">
        <v>45719.43755787037</v>
      </c>
      <c r="C612" s="1" t="n">
        <v>45987</v>
      </c>
      <c r="D612" t="inlineStr">
        <is>
          <t>UPPSALA LÄN</t>
        </is>
      </c>
      <c r="E612" t="inlineStr">
        <is>
          <t>UPPSALA</t>
        </is>
      </c>
      <c r="F612" t="inlineStr">
        <is>
          <t>Kyrkan</t>
        </is>
      </c>
      <c r="G612" t="n">
        <v>6.1</v>
      </c>
      <c r="H612" t="n">
        <v>0</v>
      </c>
      <c r="I612" t="n">
        <v>0</v>
      </c>
      <c r="J612" t="n">
        <v>0</v>
      </c>
      <c r="K612" t="n">
        <v>0</v>
      </c>
      <c r="L612" t="n">
        <v>0</v>
      </c>
      <c r="M612" t="n">
        <v>0</v>
      </c>
      <c r="N612" t="n">
        <v>0</v>
      </c>
      <c r="O612" t="n">
        <v>0</v>
      </c>
      <c r="P612" t="n">
        <v>0</v>
      </c>
      <c r="Q612" t="n">
        <v>0</v>
      </c>
      <c r="R612" s="2" t="inlineStr"/>
    </row>
    <row r="613" ht="15" customHeight="1">
      <c r="A613" t="inlineStr">
        <is>
          <t>A 20102-2023</t>
        </is>
      </c>
      <c r="B613" s="1" t="n">
        <v>45054.95675925926</v>
      </c>
      <c r="C613" s="1" t="n">
        <v>45987</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56493-2025</t>
        </is>
      </c>
      <c r="B614" s="1" t="n">
        <v>45975.424375</v>
      </c>
      <c r="C614" s="1" t="n">
        <v>45987</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56466-2025</t>
        </is>
      </c>
      <c r="B615" s="1" t="n">
        <v>45975.37621527778</v>
      </c>
      <c r="C615" s="1" t="n">
        <v>45987</v>
      </c>
      <c r="D615" t="inlineStr">
        <is>
          <t>UPPSALA LÄN</t>
        </is>
      </c>
      <c r="E615" t="inlineStr">
        <is>
          <t>UPPSALA</t>
        </is>
      </c>
      <c r="F615" t="inlineStr">
        <is>
          <t>Holmen skog AB</t>
        </is>
      </c>
      <c r="G615" t="n">
        <v>3.4</v>
      </c>
      <c r="H615" t="n">
        <v>0</v>
      </c>
      <c r="I615" t="n">
        <v>0</v>
      </c>
      <c r="J615" t="n">
        <v>0</v>
      </c>
      <c r="K615" t="n">
        <v>0</v>
      </c>
      <c r="L615" t="n">
        <v>0</v>
      </c>
      <c r="M615" t="n">
        <v>0</v>
      </c>
      <c r="N615" t="n">
        <v>0</v>
      </c>
      <c r="O615" t="n">
        <v>0</v>
      </c>
      <c r="P615" t="n">
        <v>0</v>
      </c>
      <c r="Q615" t="n">
        <v>0</v>
      </c>
      <c r="R615" s="2" t="inlineStr"/>
    </row>
    <row r="616" ht="15" customHeight="1">
      <c r="A616" t="inlineStr">
        <is>
          <t>A 56656-2025</t>
        </is>
      </c>
      <c r="B616" s="1" t="n">
        <v>45975.65054398148</v>
      </c>
      <c r="C616" s="1" t="n">
        <v>45987</v>
      </c>
      <c r="D616" t="inlineStr">
        <is>
          <t>UPPSALA LÄN</t>
        </is>
      </c>
      <c r="E616" t="inlineStr">
        <is>
          <t>UPPSALA</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19017-2023</t>
        </is>
      </c>
      <c r="B617" s="1" t="n">
        <v>45047.31793981481</v>
      </c>
      <c r="C617" s="1" t="n">
        <v>45987</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55862-2022</t>
        </is>
      </c>
      <c r="B618" s="1" t="n">
        <v>44888</v>
      </c>
      <c r="C618" s="1" t="n">
        <v>45987</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1020-2021</t>
        </is>
      </c>
      <c r="B619" s="1" t="n">
        <v>44207</v>
      </c>
      <c r="C619" s="1" t="n">
        <v>45987</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56577-2025</t>
        </is>
      </c>
      <c r="B620" s="1" t="n">
        <v>45975.5341550926</v>
      </c>
      <c r="C620" s="1" t="n">
        <v>45987</v>
      </c>
      <c r="D620" t="inlineStr">
        <is>
          <t>UPPSALA LÄN</t>
        </is>
      </c>
      <c r="E620" t="inlineStr">
        <is>
          <t>UPPSALA</t>
        </is>
      </c>
      <c r="G620" t="n">
        <v>2.3</v>
      </c>
      <c r="H620" t="n">
        <v>0</v>
      </c>
      <c r="I620" t="n">
        <v>0</v>
      </c>
      <c r="J620" t="n">
        <v>0</v>
      </c>
      <c r="K620" t="n">
        <v>0</v>
      </c>
      <c r="L620" t="n">
        <v>0</v>
      </c>
      <c r="M620" t="n">
        <v>0</v>
      </c>
      <c r="N620" t="n">
        <v>0</v>
      </c>
      <c r="O620" t="n">
        <v>0</v>
      </c>
      <c r="P620" t="n">
        <v>0</v>
      </c>
      <c r="Q620" t="n">
        <v>0</v>
      </c>
      <c r="R620" s="2" t="inlineStr"/>
    </row>
    <row r="621" ht="15" customHeight="1">
      <c r="A621" t="inlineStr">
        <is>
          <t>A 33191-2023</t>
        </is>
      </c>
      <c r="B621" s="1" t="n">
        <v>45127</v>
      </c>
      <c r="C621" s="1" t="n">
        <v>45987</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34265-2021</t>
        </is>
      </c>
      <c r="B622" s="1" t="n">
        <v>44379.5745949074</v>
      </c>
      <c r="C622" s="1" t="n">
        <v>45987</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56620-2025</t>
        </is>
      </c>
      <c r="B623" s="1" t="n">
        <v>45975.59520833333</v>
      </c>
      <c r="C623" s="1" t="n">
        <v>45987</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48418-2025</t>
        </is>
      </c>
      <c r="B624" s="1" t="n">
        <v>45934.55967592593</v>
      </c>
      <c r="C624" s="1" t="n">
        <v>45987</v>
      </c>
      <c r="D624" t="inlineStr">
        <is>
          <t>UPPSALA LÄN</t>
        </is>
      </c>
      <c r="E624" t="inlineStr">
        <is>
          <t>UPPSALA</t>
        </is>
      </c>
      <c r="F624" t="inlineStr">
        <is>
          <t>Bergvik skog öst AB</t>
        </is>
      </c>
      <c r="G624" t="n">
        <v>5.2</v>
      </c>
      <c r="H624" t="n">
        <v>0</v>
      </c>
      <c r="I624" t="n">
        <v>0</v>
      </c>
      <c r="J624" t="n">
        <v>0</v>
      </c>
      <c r="K624" t="n">
        <v>0</v>
      </c>
      <c r="L624" t="n">
        <v>0</v>
      </c>
      <c r="M624" t="n">
        <v>0</v>
      </c>
      <c r="N624" t="n">
        <v>0</v>
      </c>
      <c r="O624" t="n">
        <v>0</v>
      </c>
      <c r="P624" t="n">
        <v>0</v>
      </c>
      <c r="Q624" t="n">
        <v>0</v>
      </c>
      <c r="R624" s="2" t="inlineStr"/>
    </row>
    <row r="625" ht="15" customHeight="1">
      <c r="A625" t="inlineStr">
        <is>
          <t>A 19139-2023</t>
        </is>
      </c>
      <c r="B625" s="1" t="n">
        <v>45048.55349537037</v>
      </c>
      <c r="C625" s="1" t="n">
        <v>45987</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57410-2025</t>
        </is>
      </c>
      <c r="B626" s="1" t="n">
        <v>45980.4484837963</v>
      </c>
      <c r="C626" s="1" t="n">
        <v>45987</v>
      </c>
      <c r="D626" t="inlineStr">
        <is>
          <t>UPPSALA LÄN</t>
        </is>
      </c>
      <c r="E626" t="inlineStr">
        <is>
          <t>UPPSALA</t>
        </is>
      </c>
      <c r="G626" t="n">
        <v>3.1</v>
      </c>
      <c r="H626" t="n">
        <v>0</v>
      </c>
      <c r="I626" t="n">
        <v>0</v>
      </c>
      <c r="J626" t="n">
        <v>0</v>
      </c>
      <c r="K626" t="n">
        <v>0</v>
      </c>
      <c r="L626" t="n">
        <v>0</v>
      </c>
      <c r="M626" t="n">
        <v>0</v>
      </c>
      <c r="N626" t="n">
        <v>0</v>
      </c>
      <c r="O626" t="n">
        <v>0</v>
      </c>
      <c r="P626" t="n">
        <v>0</v>
      </c>
      <c r="Q626" t="n">
        <v>0</v>
      </c>
      <c r="R626" s="2" t="inlineStr"/>
    </row>
    <row r="627" ht="15" customHeight="1">
      <c r="A627" t="inlineStr">
        <is>
          <t>A 46807-2022</t>
        </is>
      </c>
      <c r="B627" s="1" t="n">
        <v>44848</v>
      </c>
      <c r="C627" s="1" t="n">
        <v>45987</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60814-2023</t>
        </is>
      </c>
      <c r="B628" s="1" t="n">
        <v>45259</v>
      </c>
      <c r="C628" s="1" t="n">
        <v>45987</v>
      </c>
      <c r="D628" t="inlineStr">
        <is>
          <t>UPPSALA LÄN</t>
        </is>
      </c>
      <c r="E628" t="inlineStr">
        <is>
          <t>UPPSALA</t>
        </is>
      </c>
      <c r="G628" t="n">
        <v>5.9</v>
      </c>
      <c r="H628" t="n">
        <v>0</v>
      </c>
      <c r="I628" t="n">
        <v>0</v>
      </c>
      <c r="J628" t="n">
        <v>0</v>
      </c>
      <c r="K628" t="n">
        <v>0</v>
      </c>
      <c r="L628" t="n">
        <v>0</v>
      </c>
      <c r="M628" t="n">
        <v>0</v>
      </c>
      <c r="N628" t="n">
        <v>0</v>
      </c>
      <c r="O628" t="n">
        <v>0</v>
      </c>
      <c r="P628" t="n">
        <v>0</v>
      </c>
      <c r="Q628" t="n">
        <v>0</v>
      </c>
      <c r="R628" s="2" t="inlineStr"/>
    </row>
    <row r="629" ht="15" customHeight="1">
      <c r="A629" t="inlineStr">
        <is>
          <t>A 49164-2025</t>
        </is>
      </c>
      <c r="B629" s="1" t="n">
        <v>45938.3615625</v>
      </c>
      <c r="C629" s="1" t="n">
        <v>45987</v>
      </c>
      <c r="D629" t="inlineStr">
        <is>
          <t>UPPSALA LÄN</t>
        </is>
      </c>
      <c r="E629" t="inlineStr">
        <is>
          <t>UPPSALA</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49094-2025</t>
        </is>
      </c>
      <c r="B630" s="1" t="n">
        <v>45937.68865740741</v>
      </c>
      <c r="C630" s="1" t="n">
        <v>45987</v>
      </c>
      <c r="D630" t="inlineStr">
        <is>
          <t>UPPSALA LÄN</t>
        </is>
      </c>
      <c r="E630" t="inlineStr">
        <is>
          <t>UPPSALA</t>
        </is>
      </c>
      <c r="G630" t="n">
        <v>0.5</v>
      </c>
      <c r="H630" t="n">
        <v>0</v>
      </c>
      <c r="I630" t="n">
        <v>0</v>
      </c>
      <c r="J630" t="n">
        <v>0</v>
      </c>
      <c r="K630" t="n">
        <v>0</v>
      </c>
      <c r="L630" t="n">
        <v>0</v>
      </c>
      <c r="M630" t="n">
        <v>0</v>
      </c>
      <c r="N630" t="n">
        <v>0</v>
      </c>
      <c r="O630" t="n">
        <v>0</v>
      </c>
      <c r="P630" t="n">
        <v>0</v>
      </c>
      <c r="Q630" t="n">
        <v>0</v>
      </c>
      <c r="R630" s="2" t="inlineStr"/>
    </row>
    <row r="631" ht="15" customHeight="1">
      <c r="A631" t="inlineStr">
        <is>
          <t>A 51935-2023</t>
        </is>
      </c>
      <c r="B631" s="1" t="n">
        <v>45223</v>
      </c>
      <c r="C631" s="1" t="n">
        <v>45987</v>
      </c>
      <c r="D631" t="inlineStr">
        <is>
          <t>UPPSALA LÄN</t>
        </is>
      </c>
      <c r="E631" t="inlineStr">
        <is>
          <t>UPPSALA</t>
        </is>
      </c>
      <c r="G631" t="n">
        <v>4.8</v>
      </c>
      <c r="H631" t="n">
        <v>0</v>
      </c>
      <c r="I631" t="n">
        <v>0</v>
      </c>
      <c r="J631" t="n">
        <v>0</v>
      </c>
      <c r="K631" t="n">
        <v>0</v>
      </c>
      <c r="L631" t="n">
        <v>0</v>
      </c>
      <c r="M631" t="n">
        <v>0</v>
      </c>
      <c r="N631" t="n">
        <v>0</v>
      </c>
      <c r="O631" t="n">
        <v>0</v>
      </c>
      <c r="P631" t="n">
        <v>0</v>
      </c>
      <c r="Q631" t="n">
        <v>0</v>
      </c>
      <c r="R631" s="2" t="inlineStr"/>
    </row>
    <row r="632" ht="15" customHeight="1">
      <c r="A632" t="inlineStr">
        <is>
          <t>A 49080-2025</t>
        </is>
      </c>
      <c r="B632" s="1" t="n">
        <v>45937</v>
      </c>
      <c r="C632" s="1" t="n">
        <v>45987</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49098-2025</t>
        </is>
      </c>
      <c r="B633" s="1" t="n">
        <v>45937</v>
      </c>
      <c r="C633" s="1" t="n">
        <v>45987</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40507-2021</t>
        </is>
      </c>
      <c r="B634" s="1" t="n">
        <v>44420</v>
      </c>
      <c r="C634" s="1" t="n">
        <v>45987</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11744-2023</t>
        </is>
      </c>
      <c r="B635" s="1" t="n">
        <v>44993</v>
      </c>
      <c r="C635" s="1" t="n">
        <v>45987</v>
      </c>
      <c r="D635" t="inlineStr">
        <is>
          <t>UPPSALA LÄN</t>
        </is>
      </c>
      <c r="E635" t="inlineStr">
        <is>
          <t>UPPSALA</t>
        </is>
      </c>
      <c r="G635" t="n">
        <v>1.4</v>
      </c>
      <c r="H635" t="n">
        <v>0</v>
      </c>
      <c r="I635" t="n">
        <v>0</v>
      </c>
      <c r="J635" t="n">
        <v>0</v>
      </c>
      <c r="K635" t="n">
        <v>0</v>
      </c>
      <c r="L635" t="n">
        <v>0</v>
      </c>
      <c r="M635" t="n">
        <v>0</v>
      </c>
      <c r="N635" t="n">
        <v>0</v>
      </c>
      <c r="O635" t="n">
        <v>0</v>
      </c>
      <c r="P635" t="n">
        <v>0</v>
      </c>
      <c r="Q635" t="n">
        <v>0</v>
      </c>
      <c r="R635" s="2" t="inlineStr"/>
    </row>
    <row r="636" ht="15" customHeight="1">
      <c r="A636" t="inlineStr">
        <is>
          <t>A 9235-2025</t>
        </is>
      </c>
      <c r="B636" s="1" t="n">
        <v>45714.55368055555</v>
      </c>
      <c r="C636" s="1" t="n">
        <v>45987</v>
      </c>
      <c r="D636" t="inlineStr">
        <is>
          <t>UPPSALA LÄN</t>
        </is>
      </c>
      <c r="E636" t="inlineStr">
        <is>
          <t>UPPSALA</t>
        </is>
      </c>
      <c r="G636" t="n">
        <v>1.3</v>
      </c>
      <c r="H636" t="n">
        <v>0</v>
      </c>
      <c r="I636" t="n">
        <v>0</v>
      </c>
      <c r="J636" t="n">
        <v>0</v>
      </c>
      <c r="K636" t="n">
        <v>0</v>
      </c>
      <c r="L636" t="n">
        <v>0</v>
      </c>
      <c r="M636" t="n">
        <v>0</v>
      </c>
      <c r="N636" t="n">
        <v>0</v>
      </c>
      <c r="O636" t="n">
        <v>0</v>
      </c>
      <c r="P636" t="n">
        <v>0</v>
      </c>
      <c r="Q636" t="n">
        <v>0</v>
      </c>
      <c r="R636" s="2" t="inlineStr"/>
    </row>
    <row r="637" ht="15" customHeight="1">
      <c r="A637" t="inlineStr">
        <is>
          <t>A 18626-2025</t>
        </is>
      </c>
      <c r="B637" s="1" t="n">
        <v>45763.52995370371</v>
      </c>
      <c r="C637" s="1" t="n">
        <v>45987</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69432-2021</t>
        </is>
      </c>
      <c r="B638" s="1" t="n">
        <v>44531</v>
      </c>
      <c r="C638" s="1" t="n">
        <v>45987</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49160-2025</t>
        </is>
      </c>
      <c r="B639" s="1" t="n">
        <v>45938.35063657408</v>
      </c>
      <c r="C639" s="1" t="n">
        <v>45987</v>
      </c>
      <c r="D639" t="inlineStr">
        <is>
          <t>UPPSALA LÄN</t>
        </is>
      </c>
      <c r="E639" t="inlineStr">
        <is>
          <t>UPPSALA</t>
        </is>
      </c>
      <c r="F639" t="inlineStr">
        <is>
          <t>Kyrkan</t>
        </is>
      </c>
      <c r="G639" t="n">
        <v>1.4</v>
      </c>
      <c r="H639" t="n">
        <v>0</v>
      </c>
      <c r="I639" t="n">
        <v>0</v>
      </c>
      <c r="J639" t="n">
        <v>0</v>
      </c>
      <c r="K639" t="n">
        <v>0</v>
      </c>
      <c r="L639" t="n">
        <v>0</v>
      </c>
      <c r="M639" t="n">
        <v>0</v>
      </c>
      <c r="N639" t="n">
        <v>0</v>
      </c>
      <c r="O639" t="n">
        <v>0</v>
      </c>
      <c r="P639" t="n">
        <v>0</v>
      </c>
      <c r="Q639" t="n">
        <v>0</v>
      </c>
      <c r="R639" s="2" t="inlineStr"/>
    </row>
    <row r="640" ht="15" customHeight="1">
      <c r="A640" t="inlineStr">
        <is>
          <t>A 57789-2025</t>
        </is>
      </c>
      <c r="B640" s="1" t="n">
        <v>45981.57793981482</v>
      </c>
      <c r="C640" s="1" t="n">
        <v>45987</v>
      </c>
      <c r="D640" t="inlineStr">
        <is>
          <t>UPPSALA LÄN</t>
        </is>
      </c>
      <c r="E640" t="inlineStr">
        <is>
          <t>UPPSALA</t>
        </is>
      </c>
      <c r="G640" t="n">
        <v>2.2</v>
      </c>
      <c r="H640" t="n">
        <v>0</v>
      </c>
      <c r="I640" t="n">
        <v>0</v>
      </c>
      <c r="J640" t="n">
        <v>0</v>
      </c>
      <c r="K640" t="n">
        <v>0</v>
      </c>
      <c r="L640" t="n">
        <v>0</v>
      </c>
      <c r="M640" t="n">
        <v>0</v>
      </c>
      <c r="N640" t="n">
        <v>0</v>
      </c>
      <c r="O640" t="n">
        <v>0</v>
      </c>
      <c r="P640" t="n">
        <v>0</v>
      </c>
      <c r="Q640" t="n">
        <v>0</v>
      </c>
      <c r="R640" s="2" t="inlineStr"/>
    </row>
    <row r="641" ht="15" customHeight="1">
      <c r="A641" t="inlineStr">
        <is>
          <t>A 49829-2025</t>
        </is>
      </c>
      <c r="B641" s="1" t="n">
        <v>45940.45038194444</v>
      </c>
      <c r="C641" s="1" t="n">
        <v>45987</v>
      </c>
      <c r="D641" t="inlineStr">
        <is>
          <t>UPPSALA LÄN</t>
        </is>
      </c>
      <c r="E641" t="inlineStr">
        <is>
          <t>UPPSALA</t>
        </is>
      </c>
      <c r="F641" t="inlineStr">
        <is>
          <t>Bergvik skog öst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69691-2021</t>
        </is>
      </c>
      <c r="B642" s="1" t="n">
        <v>44532</v>
      </c>
      <c r="C642" s="1" t="n">
        <v>45987</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49463-2025</t>
        </is>
      </c>
      <c r="B643" s="1" t="n">
        <v>45939.32621527778</v>
      </c>
      <c r="C643" s="1" t="n">
        <v>45987</v>
      </c>
      <c r="D643" t="inlineStr">
        <is>
          <t>UPPSALA LÄN</t>
        </is>
      </c>
      <c r="E643" t="inlineStr">
        <is>
          <t>UPPSALA</t>
        </is>
      </c>
      <c r="G643" t="n">
        <v>3.4</v>
      </c>
      <c r="H643" t="n">
        <v>0</v>
      </c>
      <c r="I643" t="n">
        <v>0</v>
      </c>
      <c r="J643" t="n">
        <v>0</v>
      </c>
      <c r="K643" t="n">
        <v>0</v>
      </c>
      <c r="L643" t="n">
        <v>0</v>
      </c>
      <c r="M643" t="n">
        <v>0</v>
      </c>
      <c r="N643" t="n">
        <v>0</v>
      </c>
      <c r="O643" t="n">
        <v>0</v>
      </c>
      <c r="P643" t="n">
        <v>0</v>
      </c>
      <c r="Q643" t="n">
        <v>0</v>
      </c>
      <c r="R643" s="2" t="inlineStr"/>
    </row>
    <row r="644" ht="15" customHeight="1">
      <c r="A644" t="inlineStr">
        <is>
          <t>A 51090-2025</t>
        </is>
      </c>
      <c r="B644" s="1" t="n">
        <v>45947.4724537037</v>
      </c>
      <c r="C644" s="1" t="n">
        <v>45987</v>
      </c>
      <c r="D644" t="inlineStr">
        <is>
          <t>UPPSALA LÄN</t>
        </is>
      </c>
      <c r="E644" t="inlineStr">
        <is>
          <t>UPPSALA</t>
        </is>
      </c>
      <c r="F644" t="inlineStr">
        <is>
          <t>Övriga Aktiebolag</t>
        </is>
      </c>
      <c r="G644" t="n">
        <v>17.5</v>
      </c>
      <c r="H644" t="n">
        <v>0</v>
      </c>
      <c r="I644" t="n">
        <v>0</v>
      </c>
      <c r="J644" t="n">
        <v>0</v>
      </c>
      <c r="K644" t="n">
        <v>0</v>
      </c>
      <c r="L644" t="n">
        <v>0</v>
      </c>
      <c r="M644" t="n">
        <v>0</v>
      </c>
      <c r="N644" t="n">
        <v>0</v>
      </c>
      <c r="O644" t="n">
        <v>0</v>
      </c>
      <c r="P644" t="n">
        <v>0</v>
      </c>
      <c r="Q644" t="n">
        <v>0</v>
      </c>
      <c r="R644" s="2" t="inlineStr"/>
    </row>
    <row r="645" ht="15" customHeight="1">
      <c r="A645" t="inlineStr">
        <is>
          <t>A 57827-2025</t>
        </is>
      </c>
      <c r="B645" s="1" t="n">
        <v>45981.60923611111</v>
      </c>
      <c r="C645" s="1" t="n">
        <v>45987</v>
      </c>
      <c r="D645" t="inlineStr">
        <is>
          <t>UPPSALA LÄN</t>
        </is>
      </c>
      <c r="E645" t="inlineStr">
        <is>
          <t>UPPSALA</t>
        </is>
      </c>
      <c r="F645" t="inlineStr">
        <is>
          <t>Kyrkan</t>
        </is>
      </c>
      <c r="G645" t="n">
        <v>2.9</v>
      </c>
      <c r="H645" t="n">
        <v>0</v>
      </c>
      <c r="I645" t="n">
        <v>0</v>
      </c>
      <c r="J645" t="n">
        <v>0</v>
      </c>
      <c r="K645" t="n">
        <v>0</v>
      </c>
      <c r="L645" t="n">
        <v>0</v>
      </c>
      <c r="M645" t="n">
        <v>0</v>
      </c>
      <c r="N645" t="n">
        <v>0</v>
      </c>
      <c r="O645" t="n">
        <v>0</v>
      </c>
      <c r="P645" t="n">
        <v>0</v>
      </c>
      <c r="Q645" t="n">
        <v>0</v>
      </c>
      <c r="R645" s="2" t="inlineStr"/>
    </row>
    <row r="646" ht="15" customHeight="1">
      <c r="A646" t="inlineStr">
        <is>
          <t>A 49937-2025</t>
        </is>
      </c>
      <c r="B646" s="1" t="n">
        <v>45940.67084490741</v>
      </c>
      <c r="C646" s="1" t="n">
        <v>45987</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49940-2025</t>
        </is>
      </c>
      <c r="B647" s="1" t="n">
        <v>45940.67305555556</v>
      </c>
      <c r="C647" s="1" t="n">
        <v>45987</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49938-2025</t>
        </is>
      </c>
      <c r="B648" s="1" t="n">
        <v>45940</v>
      </c>
      <c r="C648" s="1" t="n">
        <v>45987</v>
      </c>
      <c r="D648" t="inlineStr">
        <is>
          <t>UPPSALA LÄN</t>
        </is>
      </c>
      <c r="E648" t="inlineStr">
        <is>
          <t>UPPSALA</t>
        </is>
      </c>
      <c r="G648" t="n">
        <v>1.6</v>
      </c>
      <c r="H648" t="n">
        <v>0</v>
      </c>
      <c r="I648" t="n">
        <v>0</v>
      </c>
      <c r="J648" t="n">
        <v>0</v>
      </c>
      <c r="K648" t="n">
        <v>0</v>
      </c>
      <c r="L648" t="n">
        <v>0</v>
      </c>
      <c r="M648" t="n">
        <v>0</v>
      </c>
      <c r="N648" t="n">
        <v>0</v>
      </c>
      <c r="O648" t="n">
        <v>0</v>
      </c>
      <c r="P648" t="n">
        <v>0</v>
      </c>
      <c r="Q648" t="n">
        <v>0</v>
      </c>
      <c r="R648" s="2" t="inlineStr"/>
    </row>
    <row r="649" ht="15" customHeight="1">
      <c r="A649" t="inlineStr">
        <is>
          <t>A 57736-2025</t>
        </is>
      </c>
      <c r="B649" s="1" t="n">
        <v>45981</v>
      </c>
      <c r="C649" s="1" t="n">
        <v>45987</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57796-2025</t>
        </is>
      </c>
      <c r="B650" s="1" t="n">
        <v>45981.58204861111</v>
      </c>
      <c r="C650" s="1" t="n">
        <v>45987</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57709-2025</t>
        </is>
      </c>
      <c r="B651" s="1" t="n">
        <v>45981</v>
      </c>
      <c r="C651" s="1" t="n">
        <v>45987</v>
      </c>
      <c r="D651" t="inlineStr">
        <is>
          <t>UPPSALA LÄN</t>
        </is>
      </c>
      <c r="E651" t="inlineStr">
        <is>
          <t>UPPSALA</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57836-2025</t>
        </is>
      </c>
      <c r="B652" s="1" t="n">
        <v>45981.61822916667</v>
      </c>
      <c r="C652" s="1" t="n">
        <v>45987</v>
      </c>
      <c r="D652" t="inlineStr">
        <is>
          <t>UPPSALA LÄN</t>
        </is>
      </c>
      <c r="E652" t="inlineStr">
        <is>
          <t>UPPSALA</t>
        </is>
      </c>
      <c r="F652" t="inlineStr">
        <is>
          <t>Kyrkan</t>
        </is>
      </c>
      <c r="G652" t="n">
        <v>0.8</v>
      </c>
      <c r="H652" t="n">
        <v>0</v>
      </c>
      <c r="I652" t="n">
        <v>0</v>
      </c>
      <c r="J652" t="n">
        <v>0</v>
      </c>
      <c r="K652" t="n">
        <v>0</v>
      </c>
      <c r="L652" t="n">
        <v>0</v>
      </c>
      <c r="M652" t="n">
        <v>0</v>
      </c>
      <c r="N652" t="n">
        <v>0</v>
      </c>
      <c r="O652" t="n">
        <v>0</v>
      </c>
      <c r="P652" t="n">
        <v>0</v>
      </c>
      <c r="Q652" t="n">
        <v>0</v>
      </c>
      <c r="R652" s="2" t="inlineStr"/>
    </row>
    <row r="653" ht="15" customHeight="1">
      <c r="A653" t="inlineStr">
        <is>
          <t>A 58104-2025</t>
        </is>
      </c>
      <c r="B653" s="1" t="n">
        <v>45982</v>
      </c>
      <c r="C653" s="1" t="n">
        <v>45987</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17587-2025</t>
        </is>
      </c>
      <c r="B654" s="1" t="n">
        <v>45757.67611111111</v>
      </c>
      <c r="C654" s="1" t="n">
        <v>45987</v>
      </c>
      <c r="D654" t="inlineStr">
        <is>
          <t>UPPSALA LÄN</t>
        </is>
      </c>
      <c r="E654" t="inlineStr">
        <is>
          <t>UPPSALA</t>
        </is>
      </c>
      <c r="G654" t="n">
        <v>2.4</v>
      </c>
      <c r="H654" t="n">
        <v>0</v>
      </c>
      <c r="I654" t="n">
        <v>0</v>
      </c>
      <c r="J654" t="n">
        <v>0</v>
      </c>
      <c r="K654" t="n">
        <v>0</v>
      </c>
      <c r="L654" t="n">
        <v>0</v>
      </c>
      <c r="M654" t="n">
        <v>0</v>
      </c>
      <c r="N654" t="n">
        <v>0</v>
      </c>
      <c r="O654" t="n">
        <v>0</v>
      </c>
      <c r="P654" t="n">
        <v>0</v>
      </c>
      <c r="Q654" t="n">
        <v>0</v>
      </c>
      <c r="R654" s="2" t="inlineStr"/>
    </row>
    <row r="655" ht="15" customHeight="1">
      <c r="A655" t="inlineStr">
        <is>
          <t>A 24012-2023</t>
        </is>
      </c>
      <c r="B655" s="1" t="n">
        <v>45078</v>
      </c>
      <c r="C655" s="1" t="n">
        <v>45987</v>
      </c>
      <c r="D655" t="inlineStr">
        <is>
          <t>UPPSALA LÄN</t>
        </is>
      </c>
      <c r="E655" t="inlineStr">
        <is>
          <t>UPPSALA</t>
        </is>
      </c>
      <c r="F655" t="inlineStr">
        <is>
          <t>Kyrkan</t>
        </is>
      </c>
      <c r="G655" t="n">
        <v>1.6</v>
      </c>
      <c r="H655" t="n">
        <v>0</v>
      </c>
      <c r="I655" t="n">
        <v>0</v>
      </c>
      <c r="J655" t="n">
        <v>0</v>
      </c>
      <c r="K655" t="n">
        <v>0</v>
      </c>
      <c r="L655" t="n">
        <v>0</v>
      </c>
      <c r="M655" t="n">
        <v>0</v>
      </c>
      <c r="N655" t="n">
        <v>0</v>
      </c>
      <c r="O655" t="n">
        <v>0</v>
      </c>
      <c r="P655" t="n">
        <v>0</v>
      </c>
      <c r="Q655" t="n">
        <v>0</v>
      </c>
      <c r="R655" s="2" t="inlineStr"/>
    </row>
    <row r="656" ht="15" customHeight="1">
      <c r="A656" t="inlineStr">
        <is>
          <t>A 33797-2021</t>
        </is>
      </c>
      <c r="B656" s="1" t="n">
        <v>44378.56137731481</v>
      </c>
      <c r="C656" s="1" t="n">
        <v>45987</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58545-2025</t>
        </is>
      </c>
      <c r="B657" s="1" t="n">
        <v>45985.99135416667</v>
      </c>
      <c r="C657" s="1" t="n">
        <v>45987</v>
      </c>
      <c r="D657" t="inlineStr">
        <is>
          <t>UPPSALA LÄN</t>
        </is>
      </c>
      <c r="E657" t="inlineStr">
        <is>
          <t>UPPSALA</t>
        </is>
      </c>
      <c r="G657" t="n">
        <v>2.5</v>
      </c>
      <c r="H657" t="n">
        <v>0</v>
      </c>
      <c r="I657" t="n">
        <v>0</v>
      </c>
      <c r="J657" t="n">
        <v>0</v>
      </c>
      <c r="K657" t="n">
        <v>0</v>
      </c>
      <c r="L657" t="n">
        <v>0</v>
      </c>
      <c r="M657" t="n">
        <v>0</v>
      </c>
      <c r="N657" t="n">
        <v>0</v>
      </c>
      <c r="O657" t="n">
        <v>0</v>
      </c>
      <c r="P657" t="n">
        <v>0</v>
      </c>
      <c r="Q657" t="n">
        <v>0</v>
      </c>
      <c r="R657" s="2" t="inlineStr"/>
    </row>
    <row r="658" ht="15" customHeight="1">
      <c r="A658" t="inlineStr">
        <is>
          <t>A 49990-2025</t>
        </is>
      </c>
      <c r="B658" s="1" t="n">
        <v>45942.84414351852</v>
      </c>
      <c r="C658" s="1" t="n">
        <v>45987</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58546-2025</t>
        </is>
      </c>
      <c r="B659" s="1" t="n">
        <v>45985.99173611111</v>
      </c>
      <c r="C659" s="1" t="n">
        <v>45987</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58547-2025</t>
        </is>
      </c>
      <c r="B660" s="1" t="n">
        <v>45985.99530092593</v>
      </c>
      <c r="C660" s="1" t="n">
        <v>45987</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49987-2025</t>
        </is>
      </c>
      <c r="B661" s="1" t="n">
        <v>45942.80185185185</v>
      </c>
      <c r="C661" s="1" t="n">
        <v>45987</v>
      </c>
      <c r="D661" t="inlineStr">
        <is>
          <t>UPPSALA LÄN</t>
        </is>
      </c>
      <c r="E661" t="inlineStr">
        <is>
          <t>UPPSALA</t>
        </is>
      </c>
      <c r="F661" t="inlineStr">
        <is>
          <t>Bergvik skog öst AB</t>
        </is>
      </c>
      <c r="G661" t="n">
        <v>3.4</v>
      </c>
      <c r="H661" t="n">
        <v>0</v>
      </c>
      <c r="I661" t="n">
        <v>0</v>
      </c>
      <c r="J661" t="n">
        <v>0</v>
      </c>
      <c r="K661" t="n">
        <v>0</v>
      </c>
      <c r="L661" t="n">
        <v>0</v>
      </c>
      <c r="M661" t="n">
        <v>0</v>
      </c>
      <c r="N661" t="n">
        <v>0</v>
      </c>
      <c r="O661" t="n">
        <v>0</v>
      </c>
      <c r="P661" t="n">
        <v>0</v>
      </c>
      <c r="Q661" t="n">
        <v>0</v>
      </c>
      <c r="R661" s="2" t="inlineStr"/>
    </row>
    <row r="662" ht="15" customHeight="1">
      <c r="A662" t="inlineStr">
        <is>
          <t>A 49988-2025</t>
        </is>
      </c>
      <c r="B662" s="1" t="n">
        <v>45942.80318287037</v>
      </c>
      <c r="C662" s="1" t="n">
        <v>45987</v>
      </c>
      <c r="D662" t="inlineStr">
        <is>
          <t>UPPSALA LÄN</t>
        </is>
      </c>
      <c r="E662" t="inlineStr">
        <is>
          <t>UPPSALA</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50103-2025</t>
        </is>
      </c>
      <c r="B663" s="1" t="n">
        <v>45943.53451388889</v>
      </c>
      <c r="C663" s="1" t="n">
        <v>45987</v>
      </c>
      <c r="D663" t="inlineStr">
        <is>
          <t>UPPSALA LÄN</t>
        </is>
      </c>
      <c r="E663" t="inlineStr">
        <is>
          <t>UPPSALA</t>
        </is>
      </c>
      <c r="F663" t="inlineStr">
        <is>
          <t>Bergvik skog öst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50104-2025</t>
        </is>
      </c>
      <c r="B664" s="1" t="n">
        <v>45943.5354050926</v>
      </c>
      <c r="C664" s="1" t="n">
        <v>45987</v>
      </c>
      <c r="D664" t="inlineStr">
        <is>
          <t>UPPSALA LÄN</t>
        </is>
      </c>
      <c r="E664" t="inlineStr">
        <is>
          <t>UPPSALA</t>
        </is>
      </c>
      <c r="F664" t="inlineStr">
        <is>
          <t>Bergvik skog öst AB</t>
        </is>
      </c>
      <c r="G664" t="n">
        <v>3.6</v>
      </c>
      <c r="H664" t="n">
        <v>0</v>
      </c>
      <c r="I664" t="n">
        <v>0</v>
      </c>
      <c r="J664" t="n">
        <v>0</v>
      </c>
      <c r="K664" t="n">
        <v>0</v>
      </c>
      <c r="L664" t="n">
        <v>0</v>
      </c>
      <c r="M664" t="n">
        <v>0</v>
      </c>
      <c r="N664" t="n">
        <v>0</v>
      </c>
      <c r="O664" t="n">
        <v>0</v>
      </c>
      <c r="P664" t="n">
        <v>0</v>
      </c>
      <c r="Q664" t="n">
        <v>0</v>
      </c>
      <c r="R664" s="2" t="inlineStr"/>
    </row>
    <row r="665" ht="15" customHeight="1">
      <c r="A665" t="inlineStr">
        <is>
          <t>A 50591-2025</t>
        </is>
      </c>
      <c r="B665" s="1" t="n">
        <v>45944</v>
      </c>
      <c r="C665" s="1" t="n">
        <v>45987</v>
      </c>
      <c r="D665" t="inlineStr">
        <is>
          <t>UPPSALA LÄN</t>
        </is>
      </c>
      <c r="E665" t="inlineStr">
        <is>
          <t>UPPSALA</t>
        </is>
      </c>
      <c r="G665" t="n">
        <v>4.2</v>
      </c>
      <c r="H665" t="n">
        <v>0</v>
      </c>
      <c r="I665" t="n">
        <v>0</v>
      </c>
      <c r="J665" t="n">
        <v>0</v>
      </c>
      <c r="K665" t="n">
        <v>0</v>
      </c>
      <c r="L665" t="n">
        <v>0</v>
      </c>
      <c r="M665" t="n">
        <v>0</v>
      </c>
      <c r="N665" t="n">
        <v>0</v>
      </c>
      <c r="O665" t="n">
        <v>0</v>
      </c>
      <c r="P665" t="n">
        <v>0</v>
      </c>
      <c r="Q665" t="n">
        <v>0</v>
      </c>
      <c r="R665" s="2" t="inlineStr"/>
    </row>
    <row r="666" ht="15" customHeight="1">
      <c r="A666" t="inlineStr">
        <is>
          <t>A 49986-2025</t>
        </is>
      </c>
      <c r="B666" s="1" t="n">
        <v>45942.79476851852</v>
      </c>
      <c r="C666" s="1" t="n">
        <v>45987</v>
      </c>
      <c r="D666" t="inlineStr">
        <is>
          <t>UPPSALA LÄN</t>
        </is>
      </c>
      <c r="E666" t="inlineStr">
        <is>
          <t>UPPSALA</t>
        </is>
      </c>
      <c r="F666" t="inlineStr">
        <is>
          <t>Bergvik skog öst AB</t>
        </is>
      </c>
      <c r="G666" t="n">
        <v>4.5</v>
      </c>
      <c r="H666" t="n">
        <v>0</v>
      </c>
      <c r="I666" t="n">
        <v>0</v>
      </c>
      <c r="J666" t="n">
        <v>0</v>
      </c>
      <c r="K666" t="n">
        <v>0</v>
      </c>
      <c r="L666" t="n">
        <v>0</v>
      </c>
      <c r="M666" t="n">
        <v>0</v>
      </c>
      <c r="N666" t="n">
        <v>0</v>
      </c>
      <c r="O666" t="n">
        <v>0</v>
      </c>
      <c r="P666" t="n">
        <v>0</v>
      </c>
      <c r="Q666" t="n">
        <v>0</v>
      </c>
      <c r="R666" s="2" t="inlineStr"/>
    </row>
    <row r="667" ht="15" customHeight="1">
      <c r="A667" t="inlineStr">
        <is>
          <t>A 47221-2023</t>
        </is>
      </c>
      <c r="B667" s="1" t="n">
        <v>45202</v>
      </c>
      <c r="C667" s="1" t="n">
        <v>45987</v>
      </c>
      <c r="D667" t="inlineStr">
        <is>
          <t>UPPSALA LÄN</t>
        </is>
      </c>
      <c r="E667" t="inlineStr">
        <is>
          <t>UPPSALA</t>
        </is>
      </c>
      <c r="G667" t="n">
        <v>8.6</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45987</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50106-2025</t>
        </is>
      </c>
      <c r="B669" s="1" t="n">
        <v>45943.53659722222</v>
      </c>
      <c r="C669" s="1" t="n">
        <v>45987</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59358-2024</t>
        </is>
      </c>
      <c r="B670" s="1" t="n">
        <v>45638</v>
      </c>
      <c r="C670" s="1" t="n">
        <v>45987</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50232-2025</t>
        </is>
      </c>
      <c r="B671" s="1" t="n">
        <v>45943.70756944444</v>
      </c>
      <c r="C671" s="1" t="n">
        <v>45987</v>
      </c>
      <c r="D671" t="inlineStr">
        <is>
          <t>UPPSALA LÄN</t>
        </is>
      </c>
      <c r="E671" t="inlineStr">
        <is>
          <t>UPPSALA</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49989-2025</t>
        </is>
      </c>
      <c r="B672" s="1" t="n">
        <v>45942.8396412037</v>
      </c>
      <c r="C672" s="1" t="n">
        <v>45987</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58023-2022</t>
        </is>
      </c>
      <c r="B673" s="1" t="n">
        <v>44900.54711805555</v>
      </c>
      <c r="C673" s="1" t="n">
        <v>45987</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58193-2025</t>
        </is>
      </c>
      <c r="B674" s="1" t="n">
        <v>45983.85069444445</v>
      </c>
      <c r="C674" s="1" t="n">
        <v>45987</v>
      </c>
      <c r="D674" t="inlineStr">
        <is>
          <t>UPPSALA LÄN</t>
        </is>
      </c>
      <c r="E674" t="inlineStr">
        <is>
          <t>UPPSALA</t>
        </is>
      </c>
      <c r="G674" t="n">
        <v>2.7</v>
      </c>
      <c r="H674" t="n">
        <v>0</v>
      </c>
      <c r="I674" t="n">
        <v>0</v>
      </c>
      <c r="J674" t="n">
        <v>0</v>
      </c>
      <c r="K674" t="n">
        <v>0</v>
      </c>
      <c r="L674" t="n">
        <v>0</v>
      </c>
      <c r="M674" t="n">
        <v>0</v>
      </c>
      <c r="N674" t="n">
        <v>0</v>
      </c>
      <c r="O674" t="n">
        <v>0</v>
      </c>
      <c r="P674" t="n">
        <v>0</v>
      </c>
      <c r="Q674" t="n">
        <v>0</v>
      </c>
      <c r="R674" s="2" t="inlineStr"/>
    </row>
    <row r="675" ht="15" customHeight="1">
      <c r="A675" t="inlineStr">
        <is>
          <t>A 45878-2024</t>
        </is>
      </c>
      <c r="B675" s="1" t="n">
        <v>45580</v>
      </c>
      <c r="C675" s="1" t="n">
        <v>45987</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5374-2023</t>
        </is>
      </c>
      <c r="B676" s="1" t="n">
        <v>44944</v>
      </c>
      <c r="C676" s="1" t="n">
        <v>45987</v>
      </c>
      <c r="D676" t="inlineStr">
        <is>
          <t>UPPSALA LÄN</t>
        </is>
      </c>
      <c r="E676" t="inlineStr">
        <is>
          <t>UPPSALA</t>
        </is>
      </c>
      <c r="G676" t="n">
        <v>3.5</v>
      </c>
      <c r="H676" t="n">
        <v>0</v>
      </c>
      <c r="I676" t="n">
        <v>0</v>
      </c>
      <c r="J676" t="n">
        <v>0</v>
      </c>
      <c r="K676" t="n">
        <v>0</v>
      </c>
      <c r="L676" t="n">
        <v>0</v>
      </c>
      <c r="M676" t="n">
        <v>0</v>
      </c>
      <c r="N676" t="n">
        <v>0</v>
      </c>
      <c r="O676" t="n">
        <v>0</v>
      </c>
      <c r="P676" t="n">
        <v>0</v>
      </c>
      <c r="Q676" t="n">
        <v>0</v>
      </c>
      <c r="R676" s="2" t="inlineStr"/>
    </row>
    <row r="677" ht="15" customHeight="1">
      <c r="A677" t="inlineStr">
        <is>
          <t>A 40503-2024</t>
        </is>
      </c>
      <c r="B677" s="1" t="n">
        <v>45555.5727662037</v>
      </c>
      <c r="C677" s="1" t="n">
        <v>45987</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341-2024</t>
        </is>
      </c>
      <c r="B678" s="1" t="n">
        <v>45295</v>
      </c>
      <c r="C678" s="1" t="n">
        <v>45987</v>
      </c>
      <c r="D678" t="inlineStr">
        <is>
          <t>UPPSALA LÄN</t>
        </is>
      </c>
      <c r="E678" t="inlineStr">
        <is>
          <t>UPPSALA</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64353-2020</t>
        </is>
      </c>
      <c r="B679" s="1" t="n">
        <v>44168.55746527778</v>
      </c>
      <c r="C679" s="1" t="n">
        <v>45987</v>
      </c>
      <c r="D679" t="inlineStr">
        <is>
          <t>UPPSALA LÄN</t>
        </is>
      </c>
      <c r="E679" t="inlineStr">
        <is>
          <t>UPPSALA</t>
        </is>
      </c>
      <c r="G679" t="n">
        <v>0.5</v>
      </c>
      <c r="H679" t="n">
        <v>0</v>
      </c>
      <c r="I679" t="n">
        <v>0</v>
      </c>
      <c r="J679" t="n">
        <v>0</v>
      </c>
      <c r="K679" t="n">
        <v>0</v>
      </c>
      <c r="L679" t="n">
        <v>0</v>
      </c>
      <c r="M679" t="n">
        <v>0</v>
      </c>
      <c r="N679" t="n">
        <v>0</v>
      </c>
      <c r="O679" t="n">
        <v>0</v>
      </c>
      <c r="P679" t="n">
        <v>0</v>
      </c>
      <c r="Q679" t="n">
        <v>0</v>
      </c>
      <c r="R679" s="2" t="inlineStr"/>
    </row>
    <row r="680" ht="15" customHeight="1">
      <c r="A680" t="inlineStr">
        <is>
          <t>A 40111-2024</t>
        </is>
      </c>
      <c r="B680" s="1" t="n">
        <v>45554</v>
      </c>
      <c r="C680" s="1" t="n">
        <v>45987</v>
      </c>
      <c r="D680" t="inlineStr">
        <is>
          <t>UPPSALA LÄN</t>
        </is>
      </c>
      <c r="E680" t="inlineStr">
        <is>
          <t>UPPSALA</t>
        </is>
      </c>
      <c r="G680" t="n">
        <v>3.7</v>
      </c>
      <c r="H680" t="n">
        <v>0</v>
      </c>
      <c r="I680" t="n">
        <v>0</v>
      </c>
      <c r="J680" t="n">
        <v>0</v>
      </c>
      <c r="K680" t="n">
        <v>0</v>
      </c>
      <c r="L680" t="n">
        <v>0</v>
      </c>
      <c r="M680" t="n">
        <v>0</v>
      </c>
      <c r="N680" t="n">
        <v>0</v>
      </c>
      <c r="O680" t="n">
        <v>0</v>
      </c>
      <c r="P680" t="n">
        <v>0</v>
      </c>
      <c r="Q680" t="n">
        <v>0</v>
      </c>
      <c r="R680" s="2" t="inlineStr"/>
    </row>
    <row r="681" ht="15" customHeight="1">
      <c r="A681" t="inlineStr">
        <is>
          <t>A 38865-2022</t>
        </is>
      </c>
      <c r="B681" s="1" t="n">
        <v>44816</v>
      </c>
      <c r="C681" s="1" t="n">
        <v>45987</v>
      </c>
      <c r="D681" t="inlineStr">
        <is>
          <t>UPPSALA LÄN</t>
        </is>
      </c>
      <c r="E681" t="inlineStr">
        <is>
          <t>UPPSALA</t>
        </is>
      </c>
      <c r="G681" t="n">
        <v>14.6</v>
      </c>
      <c r="H681" t="n">
        <v>0</v>
      </c>
      <c r="I681" t="n">
        <v>0</v>
      </c>
      <c r="J681" t="n">
        <v>0</v>
      </c>
      <c r="K681" t="n">
        <v>0</v>
      </c>
      <c r="L681" t="n">
        <v>0</v>
      </c>
      <c r="M681" t="n">
        <v>0</v>
      </c>
      <c r="N681" t="n">
        <v>0</v>
      </c>
      <c r="O681" t="n">
        <v>0</v>
      </c>
      <c r="P681" t="n">
        <v>0</v>
      </c>
      <c r="Q681" t="n">
        <v>0</v>
      </c>
      <c r="R681" s="2" t="inlineStr"/>
    </row>
    <row r="682" ht="15" customHeight="1">
      <c r="A682" t="inlineStr">
        <is>
          <t>A 18717-2025</t>
        </is>
      </c>
      <c r="B682" s="1" t="n">
        <v>45763.6503125</v>
      </c>
      <c r="C682" s="1" t="n">
        <v>45987</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3183-2024</t>
        </is>
      </c>
      <c r="B683" s="1" t="n">
        <v>45316</v>
      </c>
      <c r="C683" s="1" t="n">
        <v>45987</v>
      </c>
      <c r="D683" t="inlineStr">
        <is>
          <t>UPPSALA LÄN</t>
        </is>
      </c>
      <c r="E683" t="inlineStr">
        <is>
          <t>UPPSALA</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3261-2024</t>
        </is>
      </c>
      <c r="B684" s="1" t="n">
        <v>45317</v>
      </c>
      <c r="C684" s="1" t="n">
        <v>45987</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1838-2024</t>
        </is>
      </c>
      <c r="B685" s="1" t="n">
        <v>45307</v>
      </c>
      <c r="C685" s="1" t="n">
        <v>45987</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29019-2023</t>
        </is>
      </c>
      <c r="B686" s="1" t="n">
        <v>45104.6828125</v>
      </c>
      <c r="C686" s="1" t="n">
        <v>45987</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59996-2024</t>
        </is>
      </c>
      <c r="B687" s="1" t="n">
        <v>45642</v>
      </c>
      <c r="C687" s="1" t="n">
        <v>45987</v>
      </c>
      <c r="D687" t="inlineStr">
        <is>
          <t>UPPSALA LÄN</t>
        </is>
      </c>
      <c r="E687" t="inlineStr">
        <is>
          <t>UPPSALA</t>
        </is>
      </c>
      <c r="F687" t="inlineStr">
        <is>
          <t>Bergvik skog väst AB</t>
        </is>
      </c>
      <c r="G687" t="n">
        <v>14.5</v>
      </c>
      <c r="H687" t="n">
        <v>0</v>
      </c>
      <c r="I687" t="n">
        <v>0</v>
      </c>
      <c r="J687" t="n">
        <v>0</v>
      </c>
      <c r="K687" t="n">
        <v>0</v>
      </c>
      <c r="L687" t="n">
        <v>0</v>
      </c>
      <c r="M687" t="n">
        <v>0</v>
      </c>
      <c r="N687" t="n">
        <v>0</v>
      </c>
      <c r="O687" t="n">
        <v>0</v>
      </c>
      <c r="P687" t="n">
        <v>0</v>
      </c>
      <c r="Q687" t="n">
        <v>0</v>
      </c>
      <c r="R687" s="2" t="inlineStr"/>
    </row>
    <row r="688" ht="15" customHeight="1">
      <c r="A688" t="inlineStr">
        <is>
          <t>A 33689-2023</t>
        </is>
      </c>
      <c r="B688" s="1" t="n">
        <v>45119</v>
      </c>
      <c r="C688" s="1" t="n">
        <v>45987</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6602-2023</t>
        </is>
      </c>
      <c r="B689" s="1" t="n">
        <v>44966</v>
      </c>
      <c r="C689" s="1" t="n">
        <v>45987</v>
      </c>
      <c r="D689" t="inlineStr">
        <is>
          <t>UPPSALA LÄN</t>
        </is>
      </c>
      <c r="E689" t="inlineStr">
        <is>
          <t>UPPSALA</t>
        </is>
      </c>
      <c r="F689" t="inlineStr">
        <is>
          <t>Allmännings- och besparingsskogar</t>
        </is>
      </c>
      <c r="G689" t="n">
        <v>20.2</v>
      </c>
      <c r="H689" t="n">
        <v>0</v>
      </c>
      <c r="I689" t="n">
        <v>0</v>
      </c>
      <c r="J689" t="n">
        <v>0</v>
      </c>
      <c r="K689" t="n">
        <v>0</v>
      </c>
      <c r="L689" t="n">
        <v>0</v>
      </c>
      <c r="M689" t="n">
        <v>0</v>
      </c>
      <c r="N689" t="n">
        <v>0</v>
      </c>
      <c r="O689" t="n">
        <v>0</v>
      </c>
      <c r="P689" t="n">
        <v>0</v>
      </c>
      <c r="Q689" t="n">
        <v>0</v>
      </c>
      <c r="R689" s="2" t="inlineStr"/>
    </row>
    <row r="690" ht="15" customHeight="1">
      <c r="A690" t="inlineStr">
        <is>
          <t>A 61805-2021</t>
        </is>
      </c>
      <c r="B690" s="1" t="n">
        <v>44501.71344907407</v>
      </c>
      <c r="C690" s="1" t="n">
        <v>45987</v>
      </c>
      <c r="D690" t="inlineStr">
        <is>
          <t>UPPSALA LÄN</t>
        </is>
      </c>
      <c r="E690" t="inlineStr">
        <is>
          <t>UPPSALA</t>
        </is>
      </c>
      <c r="F690" t="inlineStr">
        <is>
          <t>Bergvik skog öst AB</t>
        </is>
      </c>
      <c r="G690" t="n">
        <v>3.8</v>
      </c>
      <c r="H690" t="n">
        <v>0</v>
      </c>
      <c r="I690" t="n">
        <v>0</v>
      </c>
      <c r="J690" t="n">
        <v>0</v>
      </c>
      <c r="K690" t="n">
        <v>0</v>
      </c>
      <c r="L690" t="n">
        <v>0</v>
      </c>
      <c r="M690" t="n">
        <v>0</v>
      </c>
      <c r="N690" t="n">
        <v>0</v>
      </c>
      <c r="O690" t="n">
        <v>0</v>
      </c>
      <c r="P690" t="n">
        <v>0</v>
      </c>
      <c r="Q690" t="n">
        <v>0</v>
      </c>
      <c r="R690" s="2" t="inlineStr"/>
    </row>
    <row r="691" ht="15" customHeight="1">
      <c r="A691" t="inlineStr">
        <is>
          <t>A 17211-2025</t>
        </is>
      </c>
      <c r="B691" s="1" t="n">
        <v>45756.44024305556</v>
      </c>
      <c r="C691" s="1" t="n">
        <v>45987</v>
      </c>
      <c r="D691" t="inlineStr">
        <is>
          <t>UPPSALA LÄN</t>
        </is>
      </c>
      <c r="E691" t="inlineStr">
        <is>
          <t>UPPSALA</t>
        </is>
      </c>
      <c r="G691" t="n">
        <v>1.2</v>
      </c>
      <c r="H691" t="n">
        <v>0</v>
      </c>
      <c r="I691" t="n">
        <v>0</v>
      </c>
      <c r="J691" t="n">
        <v>0</v>
      </c>
      <c r="K691" t="n">
        <v>0</v>
      </c>
      <c r="L691" t="n">
        <v>0</v>
      </c>
      <c r="M691" t="n">
        <v>0</v>
      </c>
      <c r="N691" t="n">
        <v>0</v>
      </c>
      <c r="O691" t="n">
        <v>0</v>
      </c>
      <c r="P691" t="n">
        <v>0</v>
      </c>
      <c r="Q691" t="n">
        <v>0</v>
      </c>
      <c r="R691" s="2" t="inlineStr"/>
    </row>
    <row r="692" ht="15" customHeight="1">
      <c r="A692" t="inlineStr">
        <is>
          <t>A 17250-2025</t>
        </is>
      </c>
      <c r="B692" s="1" t="n">
        <v>45756.50738425926</v>
      </c>
      <c r="C692" s="1" t="n">
        <v>45987</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60729-2024</t>
        </is>
      </c>
      <c r="B693" s="1" t="n">
        <v>45644</v>
      </c>
      <c r="C693" s="1" t="n">
        <v>45987</v>
      </c>
      <c r="D693" t="inlineStr">
        <is>
          <t>UPPSALA LÄN</t>
        </is>
      </c>
      <c r="E693" t="inlineStr">
        <is>
          <t>UPPSALA</t>
        </is>
      </c>
      <c r="G693" t="n">
        <v>1.9</v>
      </c>
      <c r="H693" t="n">
        <v>0</v>
      </c>
      <c r="I693" t="n">
        <v>0</v>
      </c>
      <c r="J693" t="n">
        <v>0</v>
      </c>
      <c r="K693" t="n">
        <v>0</v>
      </c>
      <c r="L693" t="n">
        <v>0</v>
      </c>
      <c r="M693" t="n">
        <v>0</v>
      </c>
      <c r="N693" t="n">
        <v>0</v>
      </c>
      <c r="O693" t="n">
        <v>0</v>
      </c>
      <c r="P693" t="n">
        <v>0</v>
      </c>
      <c r="Q693" t="n">
        <v>0</v>
      </c>
      <c r="R693" s="2" t="inlineStr"/>
    </row>
    <row r="694" ht="15" customHeight="1">
      <c r="A694" t="inlineStr">
        <is>
          <t>A 73326-2021</t>
        </is>
      </c>
      <c r="B694" s="1" t="n">
        <v>44548</v>
      </c>
      <c r="C694" s="1" t="n">
        <v>45987</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73044-2021</t>
        </is>
      </c>
      <c r="B695" s="1" t="n">
        <v>44550.37994212963</v>
      </c>
      <c r="C695" s="1" t="n">
        <v>45987</v>
      </c>
      <c r="D695" t="inlineStr">
        <is>
          <t>UPPSALA LÄN</t>
        </is>
      </c>
      <c r="E695" t="inlineStr">
        <is>
          <t>UPPSALA</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9313-2023</t>
        </is>
      </c>
      <c r="B696" s="1" t="n">
        <v>44980</v>
      </c>
      <c r="C696" s="1" t="n">
        <v>45987</v>
      </c>
      <c r="D696" t="inlineStr">
        <is>
          <t>UPPSALA LÄN</t>
        </is>
      </c>
      <c r="E696" t="inlineStr">
        <is>
          <t>UPPSALA</t>
        </is>
      </c>
      <c r="G696" t="n">
        <v>2.6</v>
      </c>
      <c r="H696" t="n">
        <v>0</v>
      </c>
      <c r="I696" t="n">
        <v>0</v>
      </c>
      <c r="J696" t="n">
        <v>0</v>
      </c>
      <c r="K696" t="n">
        <v>0</v>
      </c>
      <c r="L696" t="n">
        <v>0</v>
      </c>
      <c r="M696" t="n">
        <v>0</v>
      </c>
      <c r="N696" t="n">
        <v>0</v>
      </c>
      <c r="O696" t="n">
        <v>0</v>
      </c>
      <c r="P696" t="n">
        <v>0</v>
      </c>
      <c r="Q696" t="n">
        <v>0</v>
      </c>
      <c r="R696" s="2" t="inlineStr"/>
    </row>
    <row r="697" ht="15" customHeight="1">
      <c r="A697" t="inlineStr">
        <is>
          <t>A 59521-2023</t>
        </is>
      </c>
      <c r="B697" s="1" t="n">
        <v>45254.49552083333</v>
      </c>
      <c r="C697" s="1" t="n">
        <v>45987</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53615-2024</t>
        </is>
      </c>
      <c r="B698" s="1" t="n">
        <v>45611</v>
      </c>
      <c r="C698" s="1" t="n">
        <v>45987</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7226-2024</t>
        </is>
      </c>
      <c r="B699" s="1" t="n">
        <v>45344.64759259259</v>
      </c>
      <c r="C699" s="1" t="n">
        <v>45987</v>
      </c>
      <c r="D699" t="inlineStr">
        <is>
          <t>UPPSALA LÄN</t>
        </is>
      </c>
      <c r="E699" t="inlineStr">
        <is>
          <t>UPPSALA</t>
        </is>
      </c>
      <c r="F699" t="inlineStr">
        <is>
          <t>Kyrkan</t>
        </is>
      </c>
      <c r="G699" t="n">
        <v>1.2</v>
      </c>
      <c r="H699" t="n">
        <v>0</v>
      </c>
      <c r="I699" t="n">
        <v>0</v>
      </c>
      <c r="J699" t="n">
        <v>0</v>
      </c>
      <c r="K699" t="n">
        <v>0</v>
      </c>
      <c r="L699" t="n">
        <v>0</v>
      </c>
      <c r="M699" t="n">
        <v>0</v>
      </c>
      <c r="N699" t="n">
        <v>0</v>
      </c>
      <c r="O699" t="n">
        <v>0</v>
      </c>
      <c r="P699" t="n">
        <v>0</v>
      </c>
      <c r="Q699" t="n">
        <v>0</v>
      </c>
      <c r="R699" s="2" t="inlineStr"/>
    </row>
    <row r="700" ht="15" customHeight="1">
      <c r="A700" t="inlineStr">
        <is>
          <t>A 29901-2023</t>
        </is>
      </c>
      <c r="B700" s="1" t="n">
        <v>45107</v>
      </c>
      <c r="C700" s="1" t="n">
        <v>45987</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29926-2023</t>
        </is>
      </c>
      <c r="B701" s="1" t="n">
        <v>45107</v>
      </c>
      <c r="C701" s="1" t="n">
        <v>45987</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29927-2023</t>
        </is>
      </c>
      <c r="B702" s="1" t="n">
        <v>45107</v>
      </c>
      <c r="C702" s="1" t="n">
        <v>45987</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7253-2024</t>
        </is>
      </c>
      <c r="B703" s="1" t="n">
        <v>45344.69567129629</v>
      </c>
      <c r="C703" s="1" t="n">
        <v>45987</v>
      </c>
      <c r="D703" t="inlineStr">
        <is>
          <t>UPPSALA LÄN</t>
        </is>
      </c>
      <c r="E703" t="inlineStr">
        <is>
          <t>UPPSALA</t>
        </is>
      </c>
      <c r="F703" t="inlineStr">
        <is>
          <t>Kyrkan</t>
        </is>
      </c>
      <c r="G703" t="n">
        <v>2.5</v>
      </c>
      <c r="H703" t="n">
        <v>0</v>
      </c>
      <c r="I703" t="n">
        <v>0</v>
      </c>
      <c r="J703" t="n">
        <v>0</v>
      </c>
      <c r="K703" t="n">
        <v>0</v>
      </c>
      <c r="L703" t="n">
        <v>0</v>
      </c>
      <c r="M703" t="n">
        <v>0</v>
      </c>
      <c r="N703" t="n">
        <v>0</v>
      </c>
      <c r="O703" t="n">
        <v>0</v>
      </c>
      <c r="P703" t="n">
        <v>0</v>
      </c>
      <c r="Q703" t="n">
        <v>0</v>
      </c>
      <c r="R703" s="2" t="inlineStr"/>
    </row>
    <row r="704" ht="15" customHeight="1">
      <c r="A704" t="inlineStr">
        <is>
          <t>A 39148-2022</t>
        </is>
      </c>
      <c r="B704" s="1" t="n">
        <v>44816</v>
      </c>
      <c r="C704" s="1" t="n">
        <v>45987</v>
      </c>
      <c r="D704" t="inlineStr">
        <is>
          <t>UPPSALA LÄN</t>
        </is>
      </c>
      <c r="E704" t="inlineStr">
        <is>
          <t>UPPSALA</t>
        </is>
      </c>
      <c r="F704" t="inlineStr">
        <is>
          <t>Övriga statliga verk och myndigheter</t>
        </is>
      </c>
      <c r="G704" t="n">
        <v>1.7</v>
      </c>
      <c r="H704" t="n">
        <v>0</v>
      </c>
      <c r="I704" t="n">
        <v>0</v>
      </c>
      <c r="J704" t="n">
        <v>0</v>
      </c>
      <c r="K704" t="n">
        <v>0</v>
      </c>
      <c r="L704" t="n">
        <v>0</v>
      </c>
      <c r="M704" t="n">
        <v>0</v>
      </c>
      <c r="N704" t="n">
        <v>0</v>
      </c>
      <c r="O704" t="n">
        <v>0</v>
      </c>
      <c r="P704" t="n">
        <v>0</v>
      </c>
      <c r="Q704" t="n">
        <v>0</v>
      </c>
      <c r="R704" s="2" t="inlineStr"/>
    </row>
    <row r="705" ht="15" customHeight="1">
      <c r="A705" t="inlineStr">
        <is>
          <t>A 34509-2023</t>
        </is>
      </c>
      <c r="B705" s="1" t="n">
        <v>45133</v>
      </c>
      <c r="C705" s="1" t="n">
        <v>45987</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27119-2023</t>
        </is>
      </c>
      <c r="B706" s="1" t="n">
        <v>45096</v>
      </c>
      <c r="C706" s="1" t="n">
        <v>45987</v>
      </c>
      <c r="D706" t="inlineStr">
        <is>
          <t>UPPSALA LÄN</t>
        </is>
      </c>
      <c r="E706" t="inlineStr">
        <is>
          <t>UPPSALA</t>
        </is>
      </c>
      <c r="G706" t="n">
        <v>3.1</v>
      </c>
      <c r="H706" t="n">
        <v>0</v>
      </c>
      <c r="I706" t="n">
        <v>0</v>
      </c>
      <c r="J706" t="n">
        <v>0</v>
      </c>
      <c r="K706" t="n">
        <v>0</v>
      </c>
      <c r="L706" t="n">
        <v>0</v>
      </c>
      <c r="M706" t="n">
        <v>0</v>
      </c>
      <c r="N706" t="n">
        <v>0</v>
      </c>
      <c r="O706" t="n">
        <v>0</v>
      </c>
      <c r="P706" t="n">
        <v>0</v>
      </c>
      <c r="Q706" t="n">
        <v>0</v>
      </c>
      <c r="R706" s="2" t="inlineStr"/>
    </row>
    <row r="707" ht="15" customHeight="1">
      <c r="A707" t="inlineStr">
        <is>
          <t>A 27903-2023</t>
        </is>
      </c>
      <c r="B707" s="1" t="n">
        <v>45098.62966435185</v>
      </c>
      <c r="C707" s="1" t="n">
        <v>45987</v>
      </c>
      <c r="D707" t="inlineStr">
        <is>
          <t>UPPSALA LÄN</t>
        </is>
      </c>
      <c r="E707" t="inlineStr">
        <is>
          <t>UPPSALA</t>
        </is>
      </c>
      <c r="G707" t="n">
        <v>2.4</v>
      </c>
      <c r="H707" t="n">
        <v>0</v>
      </c>
      <c r="I707" t="n">
        <v>0</v>
      </c>
      <c r="J707" t="n">
        <v>0</v>
      </c>
      <c r="K707" t="n">
        <v>0</v>
      </c>
      <c r="L707" t="n">
        <v>0</v>
      </c>
      <c r="M707" t="n">
        <v>0</v>
      </c>
      <c r="N707" t="n">
        <v>0</v>
      </c>
      <c r="O707" t="n">
        <v>0</v>
      </c>
      <c r="P707" t="n">
        <v>0</v>
      </c>
      <c r="Q707" t="n">
        <v>0</v>
      </c>
      <c r="R707" s="2" t="inlineStr"/>
    </row>
    <row r="708" ht="15" customHeight="1">
      <c r="A708" t="inlineStr">
        <is>
          <t>A 72224-2021</t>
        </is>
      </c>
      <c r="B708" s="1" t="n">
        <v>44544</v>
      </c>
      <c r="C708" s="1" t="n">
        <v>45987</v>
      </c>
      <c r="D708" t="inlineStr">
        <is>
          <t>UPPSALA LÄN</t>
        </is>
      </c>
      <c r="E708" t="inlineStr">
        <is>
          <t>UPPSALA</t>
        </is>
      </c>
      <c r="G708" t="n">
        <v>2.5</v>
      </c>
      <c r="H708" t="n">
        <v>0</v>
      </c>
      <c r="I708" t="n">
        <v>0</v>
      </c>
      <c r="J708" t="n">
        <v>0</v>
      </c>
      <c r="K708" t="n">
        <v>0</v>
      </c>
      <c r="L708" t="n">
        <v>0</v>
      </c>
      <c r="M708" t="n">
        <v>0</v>
      </c>
      <c r="N708" t="n">
        <v>0</v>
      </c>
      <c r="O708" t="n">
        <v>0</v>
      </c>
      <c r="P708" t="n">
        <v>0</v>
      </c>
      <c r="Q708" t="n">
        <v>0</v>
      </c>
      <c r="R708" s="2" t="inlineStr"/>
    </row>
    <row r="709" ht="15" customHeight="1">
      <c r="A709" t="inlineStr">
        <is>
          <t>A 66686-2021</t>
        </is>
      </c>
      <c r="B709" s="1" t="n">
        <v>44519</v>
      </c>
      <c r="C709" s="1" t="n">
        <v>45987</v>
      </c>
      <c r="D709" t="inlineStr">
        <is>
          <t>UPPSALA LÄN</t>
        </is>
      </c>
      <c r="E709" t="inlineStr">
        <is>
          <t>UPPSALA</t>
        </is>
      </c>
      <c r="G709" t="n">
        <v>6.4</v>
      </c>
      <c r="H709" t="n">
        <v>0</v>
      </c>
      <c r="I709" t="n">
        <v>0</v>
      </c>
      <c r="J709" t="n">
        <v>0</v>
      </c>
      <c r="K709" t="n">
        <v>0</v>
      </c>
      <c r="L709" t="n">
        <v>0</v>
      </c>
      <c r="M709" t="n">
        <v>0</v>
      </c>
      <c r="N709" t="n">
        <v>0</v>
      </c>
      <c r="O709" t="n">
        <v>0</v>
      </c>
      <c r="P709" t="n">
        <v>0</v>
      </c>
      <c r="Q709" t="n">
        <v>0</v>
      </c>
      <c r="R709" s="2" t="inlineStr"/>
    </row>
    <row r="710" ht="15" customHeight="1">
      <c r="A710" t="inlineStr">
        <is>
          <t>A 5899-2024</t>
        </is>
      </c>
      <c r="B710" s="1" t="n">
        <v>45335</v>
      </c>
      <c r="C710" s="1" t="n">
        <v>45987</v>
      </c>
      <c r="D710" t="inlineStr">
        <is>
          <t>UPPSALA LÄN</t>
        </is>
      </c>
      <c r="E710" t="inlineStr">
        <is>
          <t>UPPSALA</t>
        </is>
      </c>
      <c r="F710" t="inlineStr">
        <is>
          <t>Allmännings- och besparingsskogar</t>
        </is>
      </c>
      <c r="G710" t="n">
        <v>3.7</v>
      </c>
      <c r="H710" t="n">
        <v>0</v>
      </c>
      <c r="I710" t="n">
        <v>0</v>
      </c>
      <c r="J710" t="n">
        <v>0</v>
      </c>
      <c r="K710" t="n">
        <v>0</v>
      </c>
      <c r="L710" t="n">
        <v>0</v>
      </c>
      <c r="M710" t="n">
        <v>0</v>
      </c>
      <c r="N710" t="n">
        <v>0</v>
      </c>
      <c r="O710" t="n">
        <v>0</v>
      </c>
      <c r="P710" t="n">
        <v>0</v>
      </c>
      <c r="Q710" t="n">
        <v>0</v>
      </c>
      <c r="R710" s="2" t="inlineStr"/>
    </row>
    <row r="711" ht="15" customHeight="1">
      <c r="A711" t="inlineStr">
        <is>
          <t>A 45-2024</t>
        </is>
      </c>
      <c r="B711" s="1" t="n">
        <v>45293</v>
      </c>
      <c r="C711" s="1" t="n">
        <v>45987</v>
      </c>
      <c r="D711" t="inlineStr">
        <is>
          <t>UPPSALA LÄN</t>
        </is>
      </c>
      <c r="E711" t="inlineStr">
        <is>
          <t>UPPSALA</t>
        </is>
      </c>
      <c r="G711" t="n">
        <v>12.5</v>
      </c>
      <c r="H711" t="n">
        <v>0</v>
      </c>
      <c r="I711" t="n">
        <v>0</v>
      </c>
      <c r="J711" t="n">
        <v>0</v>
      </c>
      <c r="K711" t="n">
        <v>0</v>
      </c>
      <c r="L711" t="n">
        <v>0</v>
      </c>
      <c r="M711" t="n">
        <v>0</v>
      </c>
      <c r="N711" t="n">
        <v>0</v>
      </c>
      <c r="O711" t="n">
        <v>0</v>
      </c>
      <c r="P711" t="n">
        <v>0</v>
      </c>
      <c r="Q711" t="n">
        <v>0</v>
      </c>
      <c r="R711" s="2" t="inlineStr"/>
    </row>
    <row r="712" ht="15" customHeight="1">
      <c r="A712" t="inlineStr">
        <is>
          <t>A 38934-2023</t>
        </is>
      </c>
      <c r="B712" s="1" t="n">
        <v>45163.59913194444</v>
      </c>
      <c r="C712" s="1" t="n">
        <v>45987</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27125-2023</t>
        </is>
      </c>
      <c r="B713" s="1" t="n">
        <v>45096</v>
      </c>
      <c r="C713" s="1" t="n">
        <v>45987</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179-2024</t>
        </is>
      </c>
      <c r="B714" s="1" t="n">
        <v>45294.5666550926</v>
      </c>
      <c r="C714" s="1" t="n">
        <v>45987</v>
      </c>
      <c r="D714" t="inlineStr">
        <is>
          <t>UPPSALA LÄN</t>
        </is>
      </c>
      <c r="E714" t="inlineStr">
        <is>
          <t>UPPSALA</t>
        </is>
      </c>
      <c r="F714" t="inlineStr">
        <is>
          <t>Bergvik skog öst AB</t>
        </is>
      </c>
      <c r="G714" t="n">
        <v>12.7</v>
      </c>
      <c r="H714" t="n">
        <v>0</v>
      </c>
      <c r="I714" t="n">
        <v>0</v>
      </c>
      <c r="J714" t="n">
        <v>0</v>
      </c>
      <c r="K714" t="n">
        <v>0</v>
      </c>
      <c r="L714" t="n">
        <v>0</v>
      </c>
      <c r="M714" t="n">
        <v>0</v>
      </c>
      <c r="N714" t="n">
        <v>0</v>
      </c>
      <c r="O714" t="n">
        <v>0</v>
      </c>
      <c r="P714" t="n">
        <v>0</v>
      </c>
      <c r="Q714" t="n">
        <v>0</v>
      </c>
      <c r="R714" s="2" t="inlineStr"/>
    </row>
    <row r="715" ht="15" customHeight="1">
      <c r="A715" t="inlineStr">
        <is>
          <t>A 74023-2021</t>
        </is>
      </c>
      <c r="B715" s="1" t="n">
        <v>44553</v>
      </c>
      <c r="C715" s="1" t="n">
        <v>45987</v>
      </c>
      <c r="D715" t="inlineStr">
        <is>
          <t>UPPSALA LÄN</t>
        </is>
      </c>
      <c r="E715" t="inlineStr">
        <is>
          <t>UPPSALA</t>
        </is>
      </c>
      <c r="G715" t="n">
        <v>5.4</v>
      </c>
      <c r="H715" t="n">
        <v>0</v>
      </c>
      <c r="I715" t="n">
        <v>0</v>
      </c>
      <c r="J715" t="n">
        <v>0</v>
      </c>
      <c r="K715" t="n">
        <v>0</v>
      </c>
      <c r="L715" t="n">
        <v>0</v>
      </c>
      <c r="M715" t="n">
        <v>0</v>
      </c>
      <c r="N715" t="n">
        <v>0</v>
      </c>
      <c r="O715" t="n">
        <v>0</v>
      </c>
      <c r="P715" t="n">
        <v>0</v>
      </c>
      <c r="Q715" t="n">
        <v>0</v>
      </c>
      <c r="R715" s="2" t="inlineStr"/>
    </row>
    <row r="716" ht="15" customHeight="1">
      <c r="A716" t="inlineStr">
        <is>
          <t>A 6989-2022</t>
        </is>
      </c>
      <c r="B716" s="1" t="n">
        <v>44603</v>
      </c>
      <c r="C716" s="1" t="n">
        <v>45987</v>
      </c>
      <c r="D716" t="inlineStr">
        <is>
          <t>UPPSALA LÄN</t>
        </is>
      </c>
      <c r="E716" t="inlineStr">
        <is>
          <t>UPPSALA</t>
        </is>
      </c>
      <c r="G716" t="n">
        <v>3.1</v>
      </c>
      <c r="H716" t="n">
        <v>0</v>
      </c>
      <c r="I716" t="n">
        <v>0</v>
      </c>
      <c r="J716" t="n">
        <v>0</v>
      </c>
      <c r="K716" t="n">
        <v>0</v>
      </c>
      <c r="L716" t="n">
        <v>0</v>
      </c>
      <c r="M716" t="n">
        <v>0</v>
      </c>
      <c r="N716" t="n">
        <v>0</v>
      </c>
      <c r="O716" t="n">
        <v>0</v>
      </c>
      <c r="P716" t="n">
        <v>0</v>
      </c>
      <c r="Q716" t="n">
        <v>0</v>
      </c>
      <c r="R716" s="2" t="inlineStr"/>
    </row>
    <row r="717" ht="15" customHeight="1">
      <c r="A717" t="inlineStr">
        <is>
          <t>A 38190-2023</t>
        </is>
      </c>
      <c r="B717" s="1" t="n">
        <v>45161</v>
      </c>
      <c r="C717" s="1" t="n">
        <v>45987</v>
      </c>
      <c r="D717" t="inlineStr">
        <is>
          <t>UPPSALA LÄN</t>
        </is>
      </c>
      <c r="E717" t="inlineStr">
        <is>
          <t>UPPSALA</t>
        </is>
      </c>
      <c r="G717" t="n">
        <v>0.4</v>
      </c>
      <c r="H717" t="n">
        <v>0</v>
      </c>
      <c r="I717" t="n">
        <v>0</v>
      </c>
      <c r="J717" t="n">
        <v>0</v>
      </c>
      <c r="K717" t="n">
        <v>0</v>
      </c>
      <c r="L717" t="n">
        <v>0</v>
      </c>
      <c r="M717" t="n">
        <v>0</v>
      </c>
      <c r="N717" t="n">
        <v>0</v>
      </c>
      <c r="O717" t="n">
        <v>0</v>
      </c>
      <c r="P717" t="n">
        <v>0</v>
      </c>
      <c r="Q717" t="n">
        <v>0</v>
      </c>
      <c r="R717" s="2" t="inlineStr"/>
    </row>
    <row r="718" ht="15" customHeight="1">
      <c r="A718" t="inlineStr">
        <is>
          <t>A 34147-2024</t>
        </is>
      </c>
      <c r="B718" s="1" t="n">
        <v>45524</v>
      </c>
      <c r="C718" s="1" t="n">
        <v>45987</v>
      </c>
      <c r="D718" t="inlineStr">
        <is>
          <t>UPPSALA LÄN</t>
        </is>
      </c>
      <c r="E718" t="inlineStr">
        <is>
          <t>UPPSALA</t>
        </is>
      </c>
      <c r="F718" t="inlineStr">
        <is>
          <t>Allmännings- och besparingsskogar</t>
        </is>
      </c>
      <c r="G718" t="n">
        <v>0.2</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44629.57741898148</v>
      </c>
      <c r="C719" s="1" t="n">
        <v>45987</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26099-2024</t>
        </is>
      </c>
      <c r="B720" s="1" t="n">
        <v>45468</v>
      </c>
      <c r="C720" s="1" t="n">
        <v>45987</v>
      </c>
      <c r="D720" t="inlineStr">
        <is>
          <t>UPPSALA LÄN</t>
        </is>
      </c>
      <c r="E720" t="inlineStr">
        <is>
          <t>UPPSALA</t>
        </is>
      </c>
      <c r="G720" t="n">
        <v>0.3</v>
      </c>
      <c r="H720" t="n">
        <v>0</v>
      </c>
      <c r="I720" t="n">
        <v>0</v>
      </c>
      <c r="J720" t="n">
        <v>0</v>
      </c>
      <c r="K720" t="n">
        <v>0</v>
      </c>
      <c r="L720" t="n">
        <v>0</v>
      </c>
      <c r="M720" t="n">
        <v>0</v>
      </c>
      <c r="N720" t="n">
        <v>0</v>
      </c>
      <c r="O720" t="n">
        <v>0</v>
      </c>
      <c r="P720" t="n">
        <v>0</v>
      </c>
      <c r="Q720" t="n">
        <v>0</v>
      </c>
      <c r="R720" s="2" t="inlineStr"/>
    </row>
    <row r="721" ht="15" customHeight="1">
      <c r="A721" t="inlineStr">
        <is>
          <t>A 17788-2023</t>
        </is>
      </c>
      <c r="B721" s="1" t="n">
        <v>45037</v>
      </c>
      <c r="C721" s="1" t="n">
        <v>45987</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33941-2023</t>
        </is>
      </c>
      <c r="B722" s="1" t="n">
        <v>45134.57021990741</v>
      </c>
      <c r="C722" s="1" t="n">
        <v>45987</v>
      </c>
      <c r="D722" t="inlineStr">
        <is>
          <t>UPPSALA LÄN</t>
        </is>
      </c>
      <c r="E722" t="inlineStr">
        <is>
          <t>UPPSALA</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70031-2021</t>
        </is>
      </c>
      <c r="B723" s="1" t="n">
        <v>44533.46665509259</v>
      </c>
      <c r="C723" s="1" t="n">
        <v>45987</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15629-2023</t>
        </is>
      </c>
      <c r="B724" s="1" t="n">
        <v>45021.29524305555</v>
      </c>
      <c r="C724" s="1" t="n">
        <v>45987</v>
      </c>
      <c r="D724" t="inlineStr">
        <is>
          <t>UPPSALA LÄN</t>
        </is>
      </c>
      <c r="E724" t="inlineStr">
        <is>
          <t>UPPSALA</t>
        </is>
      </c>
      <c r="F724" t="inlineStr">
        <is>
          <t>Övriga Aktiebolag</t>
        </is>
      </c>
      <c r="G724" t="n">
        <v>7</v>
      </c>
      <c r="H724" t="n">
        <v>0</v>
      </c>
      <c r="I724" t="n">
        <v>0</v>
      </c>
      <c r="J724" t="n">
        <v>0</v>
      </c>
      <c r="K724" t="n">
        <v>0</v>
      </c>
      <c r="L724" t="n">
        <v>0</v>
      </c>
      <c r="M724" t="n">
        <v>0</v>
      </c>
      <c r="N724" t="n">
        <v>0</v>
      </c>
      <c r="O724" t="n">
        <v>0</v>
      </c>
      <c r="P724" t="n">
        <v>0</v>
      </c>
      <c r="Q724" t="n">
        <v>0</v>
      </c>
      <c r="R724" s="2" t="inlineStr"/>
    </row>
    <row r="725" ht="15" customHeight="1">
      <c r="A725" t="inlineStr">
        <is>
          <t>A 46745-2024</t>
        </is>
      </c>
      <c r="B725" s="1" t="n">
        <v>45583</v>
      </c>
      <c r="C725" s="1" t="n">
        <v>45987</v>
      </c>
      <c r="D725" t="inlineStr">
        <is>
          <t>UPPSALA LÄN</t>
        </is>
      </c>
      <c r="E725" t="inlineStr">
        <is>
          <t>UPPSALA</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46748-2024</t>
        </is>
      </c>
      <c r="B726" s="1" t="n">
        <v>45583</v>
      </c>
      <c r="C726" s="1" t="n">
        <v>45987</v>
      </c>
      <c r="D726" t="inlineStr">
        <is>
          <t>UPPSALA LÄN</t>
        </is>
      </c>
      <c r="E726" t="inlineStr">
        <is>
          <t>UPPSALA</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70228-2021</t>
        </is>
      </c>
      <c r="B727" s="1" t="n">
        <v>44535</v>
      </c>
      <c r="C727" s="1" t="n">
        <v>45987</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12221-2022</t>
        </is>
      </c>
      <c r="B728" s="1" t="n">
        <v>44637.35744212963</v>
      </c>
      <c r="C728" s="1" t="n">
        <v>45987</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17481-2023</t>
        </is>
      </c>
      <c r="B729" s="1" t="n">
        <v>45036</v>
      </c>
      <c r="C729" s="1" t="n">
        <v>45987</v>
      </c>
      <c r="D729" t="inlineStr">
        <is>
          <t>UPPSALA LÄN</t>
        </is>
      </c>
      <c r="E729" t="inlineStr">
        <is>
          <t>UPPSALA</t>
        </is>
      </c>
      <c r="G729" t="n">
        <v>1.9</v>
      </c>
      <c r="H729" t="n">
        <v>0</v>
      </c>
      <c r="I729" t="n">
        <v>0</v>
      </c>
      <c r="J729" t="n">
        <v>0</v>
      </c>
      <c r="K729" t="n">
        <v>0</v>
      </c>
      <c r="L729" t="n">
        <v>0</v>
      </c>
      <c r="M729" t="n">
        <v>0</v>
      </c>
      <c r="N729" t="n">
        <v>0</v>
      </c>
      <c r="O729" t="n">
        <v>0</v>
      </c>
      <c r="P729" t="n">
        <v>0</v>
      </c>
      <c r="Q729" t="n">
        <v>0</v>
      </c>
      <c r="R729" s="2" t="inlineStr"/>
    </row>
    <row r="730" ht="15" customHeight="1">
      <c r="A730" t="inlineStr">
        <is>
          <t>A 56067-2024</t>
        </is>
      </c>
      <c r="B730" s="1" t="n">
        <v>45624</v>
      </c>
      <c r="C730" s="1" t="n">
        <v>45987</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38493-2023</t>
        </is>
      </c>
      <c r="B731" s="1" t="n">
        <v>45162</v>
      </c>
      <c r="C731" s="1" t="n">
        <v>45987</v>
      </c>
      <c r="D731" t="inlineStr">
        <is>
          <t>UPPSALA LÄN</t>
        </is>
      </c>
      <c r="E731" t="inlineStr">
        <is>
          <t>UPPSALA</t>
        </is>
      </c>
      <c r="F731" t="inlineStr">
        <is>
          <t>Allmännings- och besparingsskogar</t>
        </is>
      </c>
      <c r="G731" t="n">
        <v>3.5</v>
      </c>
      <c r="H731" t="n">
        <v>0</v>
      </c>
      <c r="I731" t="n">
        <v>0</v>
      </c>
      <c r="J731" t="n">
        <v>0</v>
      </c>
      <c r="K731" t="n">
        <v>0</v>
      </c>
      <c r="L731" t="n">
        <v>0</v>
      </c>
      <c r="M731" t="n">
        <v>0</v>
      </c>
      <c r="N731" t="n">
        <v>0</v>
      </c>
      <c r="O731" t="n">
        <v>0</v>
      </c>
      <c r="P731" t="n">
        <v>0</v>
      </c>
      <c r="Q731" t="n">
        <v>0</v>
      </c>
      <c r="R731" s="2" t="inlineStr"/>
    </row>
    <row r="732" ht="15" customHeight="1">
      <c r="A732" t="inlineStr">
        <is>
          <t>A 37618-2023</t>
        </is>
      </c>
      <c r="B732" s="1" t="n">
        <v>45159.44694444445</v>
      </c>
      <c r="C732" s="1" t="n">
        <v>45987</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35142-2023</t>
        </is>
      </c>
      <c r="B733" s="1" t="n">
        <v>45145</v>
      </c>
      <c r="C733" s="1" t="n">
        <v>45987</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47083-2023</t>
        </is>
      </c>
      <c r="B734" s="1" t="n">
        <v>45201.62318287037</v>
      </c>
      <c r="C734" s="1" t="n">
        <v>45987</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9255-2024</t>
        </is>
      </c>
      <c r="B735" s="1" t="n">
        <v>45358</v>
      </c>
      <c r="C735" s="1" t="n">
        <v>45987</v>
      </c>
      <c r="D735" t="inlineStr">
        <is>
          <t>UPPSALA LÄN</t>
        </is>
      </c>
      <c r="E735" t="inlineStr">
        <is>
          <t>UPPSALA</t>
        </is>
      </c>
      <c r="G735" t="n">
        <v>1.8</v>
      </c>
      <c r="H735" t="n">
        <v>0</v>
      </c>
      <c r="I735" t="n">
        <v>0</v>
      </c>
      <c r="J735" t="n">
        <v>0</v>
      </c>
      <c r="K735" t="n">
        <v>0</v>
      </c>
      <c r="L735" t="n">
        <v>0</v>
      </c>
      <c r="M735" t="n">
        <v>0</v>
      </c>
      <c r="N735" t="n">
        <v>0</v>
      </c>
      <c r="O735" t="n">
        <v>0</v>
      </c>
      <c r="P735" t="n">
        <v>0</v>
      </c>
      <c r="Q735" t="n">
        <v>0</v>
      </c>
      <c r="R735" s="2" t="inlineStr"/>
    </row>
    <row r="736" ht="15" customHeight="1">
      <c r="A736" t="inlineStr">
        <is>
          <t>A 66983-2021</t>
        </is>
      </c>
      <c r="B736" s="1" t="n">
        <v>44522</v>
      </c>
      <c r="C736" s="1" t="n">
        <v>45987</v>
      </c>
      <c r="D736" t="inlineStr">
        <is>
          <t>UPPSALA LÄN</t>
        </is>
      </c>
      <c r="E736" t="inlineStr">
        <is>
          <t>UPPSALA</t>
        </is>
      </c>
      <c r="G736" t="n">
        <v>2.5</v>
      </c>
      <c r="H736" t="n">
        <v>0</v>
      </c>
      <c r="I736" t="n">
        <v>0</v>
      </c>
      <c r="J736" t="n">
        <v>0</v>
      </c>
      <c r="K736" t="n">
        <v>0</v>
      </c>
      <c r="L736" t="n">
        <v>0</v>
      </c>
      <c r="M736" t="n">
        <v>0</v>
      </c>
      <c r="N736" t="n">
        <v>0</v>
      </c>
      <c r="O736" t="n">
        <v>0</v>
      </c>
      <c r="P736" t="n">
        <v>0</v>
      </c>
      <c r="Q736" t="n">
        <v>0</v>
      </c>
      <c r="R736" s="2" t="inlineStr"/>
    </row>
    <row r="737" ht="15" customHeight="1">
      <c r="A737" t="inlineStr">
        <is>
          <t>A 9242-2022</t>
        </is>
      </c>
      <c r="B737" s="1" t="n">
        <v>44616</v>
      </c>
      <c r="C737" s="1" t="n">
        <v>45987</v>
      </c>
      <c r="D737" t="inlineStr">
        <is>
          <t>UPPSALA LÄN</t>
        </is>
      </c>
      <c r="E737" t="inlineStr">
        <is>
          <t>UPPSALA</t>
        </is>
      </c>
      <c r="F737" t="inlineStr">
        <is>
          <t>Övriga Aktiebolag</t>
        </is>
      </c>
      <c r="G737" t="n">
        <v>5.9</v>
      </c>
      <c r="H737" t="n">
        <v>0</v>
      </c>
      <c r="I737" t="n">
        <v>0</v>
      </c>
      <c r="J737" t="n">
        <v>0</v>
      </c>
      <c r="K737" t="n">
        <v>0</v>
      </c>
      <c r="L737" t="n">
        <v>0</v>
      </c>
      <c r="M737" t="n">
        <v>0</v>
      </c>
      <c r="N737" t="n">
        <v>0</v>
      </c>
      <c r="O737" t="n">
        <v>0</v>
      </c>
      <c r="P737" t="n">
        <v>0</v>
      </c>
      <c r="Q737" t="n">
        <v>0</v>
      </c>
      <c r="R737" s="2" t="inlineStr"/>
    </row>
    <row r="738" ht="15" customHeight="1">
      <c r="A738" t="inlineStr">
        <is>
          <t>A 42528-2023</t>
        </is>
      </c>
      <c r="B738" s="1" t="n">
        <v>45181.33571759259</v>
      </c>
      <c r="C738" s="1" t="n">
        <v>45987</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65659-2021</t>
        </is>
      </c>
      <c r="B739" s="1" t="n">
        <v>44516</v>
      </c>
      <c r="C739" s="1" t="n">
        <v>45987</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42063-2023</t>
        </is>
      </c>
      <c r="B740" s="1" t="n">
        <v>45177.56940972222</v>
      </c>
      <c r="C740" s="1" t="n">
        <v>45987</v>
      </c>
      <c r="D740" t="inlineStr">
        <is>
          <t>UPPSALA LÄN</t>
        </is>
      </c>
      <c r="E740" t="inlineStr">
        <is>
          <t>UPPSALA</t>
        </is>
      </c>
      <c r="G740" t="n">
        <v>5.6</v>
      </c>
      <c r="H740" t="n">
        <v>0</v>
      </c>
      <c r="I740" t="n">
        <v>0</v>
      </c>
      <c r="J740" t="n">
        <v>0</v>
      </c>
      <c r="K740" t="n">
        <v>0</v>
      </c>
      <c r="L740" t="n">
        <v>0</v>
      </c>
      <c r="M740" t="n">
        <v>0</v>
      </c>
      <c r="N740" t="n">
        <v>0</v>
      </c>
      <c r="O740" t="n">
        <v>0</v>
      </c>
      <c r="P740" t="n">
        <v>0</v>
      </c>
      <c r="Q740" t="n">
        <v>0</v>
      </c>
      <c r="R740" s="2" t="inlineStr"/>
    </row>
    <row r="741" ht="15" customHeight="1">
      <c r="A741" t="inlineStr">
        <is>
          <t>A 13602-2025</t>
        </is>
      </c>
      <c r="B741" s="1" t="n">
        <v>45736.60863425926</v>
      </c>
      <c r="C741" s="1" t="n">
        <v>45987</v>
      </c>
      <c r="D741" t="inlineStr">
        <is>
          <t>UPPSALA LÄN</t>
        </is>
      </c>
      <c r="E741" t="inlineStr">
        <is>
          <t>UPPSALA</t>
        </is>
      </c>
      <c r="F741" t="inlineStr">
        <is>
          <t>Allmännings- och besparingsskogar</t>
        </is>
      </c>
      <c r="G741" t="n">
        <v>9.5</v>
      </c>
      <c r="H741" t="n">
        <v>0</v>
      </c>
      <c r="I741" t="n">
        <v>0</v>
      </c>
      <c r="J741" t="n">
        <v>0</v>
      </c>
      <c r="K741" t="n">
        <v>0</v>
      </c>
      <c r="L741" t="n">
        <v>0</v>
      </c>
      <c r="M741" t="n">
        <v>0</v>
      </c>
      <c r="N741" t="n">
        <v>0</v>
      </c>
      <c r="O741" t="n">
        <v>0</v>
      </c>
      <c r="P741" t="n">
        <v>0</v>
      </c>
      <c r="Q741" t="n">
        <v>0</v>
      </c>
      <c r="R741" s="2" t="inlineStr"/>
    </row>
    <row r="742" ht="15" customHeight="1">
      <c r="A742" t="inlineStr">
        <is>
          <t>A 18781-2025</t>
        </is>
      </c>
      <c r="B742" s="1" t="n">
        <v>45763</v>
      </c>
      <c r="C742" s="1" t="n">
        <v>45987</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60735-2024</t>
        </is>
      </c>
      <c r="B743" s="1" t="n">
        <v>45644</v>
      </c>
      <c r="C743" s="1" t="n">
        <v>45987</v>
      </c>
      <c r="D743" t="inlineStr">
        <is>
          <t>UPPSALA LÄN</t>
        </is>
      </c>
      <c r="E743" t="inlineStr">
        <is>
          <t>UPPSALA</t>
        </is>
      </c>
      <c r="G743" t="n">
        <v>1.4</v>
      </c>
      <c r="H743" t="n">
        <v>0</v>
      </c>
      <c r="I743" t="n">
        <v>0</v>
      </c>
      <c r="J743" t="n">
        <v>0</v>
      </c>
      <c r="K743" t="n">
        <v>0</v>
      </c>
      <c r="L743" t="n">
        <v>0</v>
      </c>
      <c r="M743" t="n">
        <v>0</v>
      </c>
      <c r="N743" t="n">
        <v>0</v>
      </c>
      <c r="O743" t="n">
        <v>0</v>
      </c>
      <c r="P743" t="n">
        <v>0</v>
      </c>
      <c r="Q743" t="n">
        <v>0</v>
      </c>
      <c r="R743" s="2" t="inlineStr"/>
    </row>
    <row r="744" ht="15" customHeight="1">
      <c r="A744" t="inlineStr">
        <is>
          <t>A 37626-2023</t>
        </is>
      </c>
      <c r="B744" s="1" t="n">
        <v>45159.45748842593</v>
      </c>
      <c r="C744" s="1" t="n">
        <v>45987</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60445-2024</t>
        </is>
      </c>
      <c r="B745" s="1" t="n">
        <v>45643</v>
      </c>
      <c r="C745" s="1" t="n">
        <v>45987</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44678.3315625</v>
      </c>
      <c r="C746" s="1" t="n">
        <v>45987</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8404-2022</t>
        </is>
      </c>
      <c r="B747" s="1" t="n">
        <v>44610</v>
      </c>
      <c r="C747" s="1" t="n">
        <v>45987</v>
      </c>
      <c r="D747" t="inlineStr">
        <is>
          <t>UPPSALA LÄN</t>
        </is>
      </c>
      <c r="E747" t="inlineStr">
        <is>
          <t>UPPSALA</t>
        </is>
      </c>
      <c r="F747" t="inlineStr">
        <is>
          <t>Allmännings- och besparingsskogar</t>
        </is>
      </c>
      <c r="G747" t="n">
        <v>5.4</v>
      </c>
      <c r="H747" t="n">
        <v>0</v>
      </c>
      <c r="I747" t="n">
        <v>0</v>
      </c>
      <c r="J747" t="n">
        <v>0</v>
      </c>
      <c r="K747" t="n">
        <v>0</v>
      </c>
      <c r="L747" t="n">
        <v>0</v>
      </c>
      <c r="M747" t="n">
        <v>0</v>
      </c>
      <c r="N747" t="n">
        <v>0</v>
      </c>
      <c r="O747" t="n">
        <v>0</v>
      </c>
      <c r="P747" t="n">
        <v>0</v>
      </c>
      <c r="Q747" t="n">
        <v>0</v>
      </c>
      <c r="R747" s="2" t="inlineStr"/>
    </row>
    <row r="748" ht="15" customHeight="1">
      <c r="A748" t="inlineStr">
        <is>
          <t>A 53921-2024</t>
        </is>
      </c>
      <c r="B748" s="1" t="n">
        <v>45615</v>
      </c>
      <c r="C748" s="1" t="n">
        <v>45987</v>
      </c>
      <c r="D748" t="inlineStr">
        <is>
          <t>UPPSALA LÄN</t>
        </is>
      </c>
      <c r="E748" t="inlineStr">
        <is>
          <t>UPPSALA</t>
        </is>
      </c>
      <c r="G748" t="n">
        <v>8.1</v>
      </c>
      <c r="H748" t="n">
        <v>0</v>
      </c>
      <c r="I748" t="n">
        <v>0</v>
      </c>
      <c r="J748" t="n">
        <v>0</v>
      </c>
      <c r="K748" t="n">
        <v>0</v>
      </c>
      <c r="L748" t="n">
        <v>0</v>
      </c>
      <c r="M748" t="n">
        <v>0</v>
      </c>
      <c r="N748" t="n">
        <v>0</v>
      </c>
      <c r="O748" t="n">
        <v>0</v>
      </c>
      <c r="P748" t="n">
        <v>0</v>
      </c>
      <c r="Q748" t="n">
        <v>0</v>
      </c>
      <c r="R748" s="2" t="inlineStr"/>
    </row>
    <row r="749" ht="15" customHeight="1">
      <c r="A749" t="inlineStr">
        <is>
          <t>A 59562-2024</t>
        </is>
      </c>
      <c r="B749" s="1" t="n">
        <v>45638</v>
      </c>
      <c r="C749" s="1" t="n">
        <v>45987</v>
      </c>
      <c r="D749" t="inlineStr">
        <is>
          <t>UPPSALA LÄN</t>
        </is>
      </c>
      <c r="E749" t="inlineStr">
        <is>
          <t>UPPSALA</t>
        </is>
      </c>
      <c r="G749" t="n">
        <v>1.1</v>
      </c>
      <c r="H749" t="n">
        <v>0</v>
      </c>
      <c r="I749" t="n">
        <v>0</v>
      </c>
      <c r="J749" t="n">
        <v>0</v>
      </c>
      <c r="K749" t="n">
        <v>0</v>
      </c>
      <c r="L749" t="n">
        <v>0</v>
      </c>
      <c r="M749" t="n">
        <v>0</v>
      </c>
      <c r="N749" t="n">
        <v>0</v>
      </c>
      <c r="O749" t="n">
        <v>0</v>
      </c>
      <c r="P749" t="n">
        <v>0</v>
      </c>
      <c r="Q749" t="n">
        <v>0</v>
      </c>
      <c r="R749" s="2" t="inlineStr"/>
    </row>
    <row r="750" ht="15" customHeight="1">
      <c r="A750" t="inlineStr">
        <is>
          <t>A 60698-2024</t>
        </is>
      </c>
      <c r="B750" s="1" t="n">
        <v>45644</v>
      </c>
      <c r="C750" s="1" t="n">
        <v>45987</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44115-2023</t>
        </is>
      </c>
      <c r="B751" s="1" t="n">
        <v>45188</v>
      </c>
      <c r="C751" s="1" t="n">
        <v>45987</v>
      </c>
      <c r="D751" t="inlineStr">
        <is>
          <t>UPPSALA LÄN</t>
        </is>
      </c>
      <c r="E751" t="inlineStr">
        <is>
          <t>UPPSALA</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42772-2022</t>
        </is>
      </c>
      <c r="B752" s="1" t="n">
        <v>44832.49594907407</v>
      </c>
      <c r="C752" s="1" t="n">
        <v>45987</v>
      </c>
      <c r="D752" t="inlineStr">
        <is>
          <t>UPPSALA LÄN</t>
        </is>
      </c>
      <c r="E752" t="inlineStr">
        <is>
          <t>UPPSALA</t>
        </is>
      </c>
      <c r="G752" t="n">
        <v>17.7</v>
      </c>
      <c r="H752" t="n">
        <v>0</v>
      </c>
      <c r="I752" t="n">
        <v>0</v>
      </c>
      <c r="J752" t="n">
        <v>0</v>
      </c>
      <c r="K752" t="n">
        <v>0</v>
      </c>
      <c r="L752" t="n">
        <v>0</v>
      </c>
      <c r="M752" t="n">
        <v>0</v>
      </c>
      <c r="N752" t="n">
        <v>0</v>
      </c>
      <c r="O752" t="n">
        <v>0</v>
      </c>
      <c r="P752" t="n">
        <v>0</v>
      </c>
      <c r="Q752" t="n">
        <v>0</v>
      </c>
      <c r="R752" s="2" t="inlineStr"/>
    </row>
    <row r="753" ht="15" customHeight="1">
      <c r="A753" t="inlineStr">
        <is>
          <t>A 6363-2024</t>
        </is>
      </c>
      <c r="B753" s="1" t="n">
        <v>45338.49412037037</v>
      </c>
      <c r="C753" s="1" t="n">
        <v>45987</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10490-2025</t>
        </is>
      </c>
      <c r="B754" s="1" t="n">
        <v>45721.35173611111</v>
      </c>
      <c r="C754" s="1" t="n">
        <v>45987</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35906-2023</t>
        </is>
      </c>
      <c r="B755" s="1" t="n">
        <v>45148</v>
      </c>
      <c r="C755" s="1" t="n">
        <v>45987</v>
      </c>
      <c r="D755" t="inlineStr">
        <is>
          <t>UPPSALA LÄN</t>
        </is>
      </c>
      <c r="E755" t="inlineStr">
        <is>
          <t>UPPSALA</t>
        </is>
      </c>
      <c r="G755" t="n">
        <v>1.7</v>
      </c>
      <c r="H755" t="n">
        <v>0</v>
      </c>
      <c r="I755" t="n">
        <v>0</v>
      </c>
      <c r="J755" t="n">
        <v>0</v>
      </c>
      <c r="K755" t="n">
        <v>0</v>
      </c>
      <c r="L755" t="n">
        <v>0</v>
      </c>
      <c r="M755" t="n">
        <v>0</v>
      </c>
      <c r="N755" t="n">
        <v>0</v>
      </c>
      <c r="O755" t="n">
        <v>0</v>
      </c>
      <c r="P755" t="n">
        <v>0</v>
      </c>
      <c r="Q755" t="n">
        <v>0</v>
      </c>
      <c r="R755" s="2" t="inlineStr"/>
    </row>
    <row r="756" ht="15" customHeight="1">
      <c r="A756" t="inlineStr">
        <is>
          <t>A 35914-2023</t>
        </is>
      </c>
      <c r="B756" s="1" t="n">
        <v>45148</v>
      </c>
      <c r="C756" s="1" t="n">
        <v>45987</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35916-2023</t>
        </is>
      </c>
      <c r="B757" s="1" t="n">
        <v>45148</v>
      </c>
      <c r="C757" s="1" t="n">
        <v>45987</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4312-2022</t>
        </is>
      </c>
      <c r="B758" s="1" t="n">
        <v>44588</v>
      </c>
      <c r="C758" s="1" t="n">
        <v>45987</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4065-2024</t>
        </is>
      </c>
      <c r="B759" s="1" t="n">
        <v>45323.55914351852</v>
      </c>
      <c r="C759" s="1" t="n">
        <v>45987</v>
      </c>
      <c r="D759" t="inlineStr">
        <is>
          <t>UPPSALA LÄN</t>
        </is>
      </c>
      <c r="E759" t="inlineStr">
        <is>
          <t>UPPSALA</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45662-2023</t>
        </is>
      </c>
      <c r="B760" s="1" t="n">
        <v>45194</v>
      </c>
      <c r="C760" s="1" t="n">
        <v>45987</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50463-2024</t>
        </is>
      </c>
      <c r="B761" s="1" t="n">
        <v>45601</v>
      </c>
      <c r="C761" s="1" t="n">
        <v>45987</v>
      </c>
      <c r="D761" t="inlineStr">
        <is>
          <t>UPPSALA LÄN</t>
        </is>
      </c>
      <c r="E761" t="inlineStr">
        <is>
          <t>UPPSALA</t>
        </is>
      </c>
      <c r="F761" t="inlineStr">
        <is>
          <t>Allmännings- och besparingsskogar</t>
        </is>
      </c>
      <c r="G761" t="n">
        <v>12.6</v>
      </c>
      <c r="H761" t="n">
        <v>0</v>
      </c>
      <c r="I761" t="n">
        <v>0</v>
      </c>
      <c r="J761" t="n">
        <v>0</v>
      </c>
      <c r="K761" t="n">
        <v>0</v>
      </c>
      <c r="L761" t="n">
        <v>0</v>
      </c>
      <c r="M761" t="n">
        <v>0</v>
      </c>
      <c r="N761" t="n">
        <v>0</v>
      </c>
      <c r="O761" t="n">
        <v>0</v>
      </c>
      <c r="P761" t="n">
        <v>0</v>
      </c>
      <c r="Q761" t="n">
        <v>0</v>
      </c>
      <c r="R761" s="2" t="inlineStr"/>
    </row>
    <row r="762" ht="15" customHeight="1">
      <c r="A762" t="inlineStr">
        <is>
          <t>A 5189-2022</t>
        </is>
      </c>
      <c r="B762" s="1" t="n">
        <v>44594</v>
      </c>
      <c r="C762" s="1" t="n">
        <v>45987</v>
      </c>
      <c r="D762" t="inlineStr">
        <is>
          <t>UPPSALA LÄN</t>
        </is>
      </c>
      <c r="E762" t="inlineStr">
        <is>
          <t>UPPSALA</t>
        </is>
      </c>
      <c r="G762" t="n">
        <v>5.9</v>
      </c>
      <c r="H762" t="n">
        <v>0</v>
      </c>
      <c r="I762" t="n">
        <v>0</v>
      </c>
      <c r="J762" t="n">
        <v>0</v>
      </c>
      <c r="K762" t="n">
        <v>0</v>
      </c>
      <c r="L762" t="n">
        <v>0</v>
      </c>
      <c r="M762" t="n">
        <v>0</v>
      </c>
      <c r="N762" t="n">
        <v>0</v>
      </c>
      <c r="O762" t="n">
        <v>0</v>
      </c>
      <c r="P762" t="n">
        <v>0</v>
      </c>
      <c r="Q762" t="n">
        <v>0</v>
      </c>
      <c r="R762" s="2" t="inlineStr"/>
    </row>
    <row r="763" ht="15" customHeight="1">
      <c r="A763" t="inlineStr">
        <is>
          <t>A 59547-2024</t>
        </is>
      </c>
      <c r="B763" s="1" t="n">
        <v>45638</v>
      </c>
      <c r="C763" s="1" t="n">
        <v>45987</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11201-2024</t>
        </is>
      </c>
      <c r="B764" s="1" t="n">
        <v>45371</v>
      </c>
      <c r="C764" s="1" t="n">
        <v>45987</v>
      </c>
      <c r="D764" t="inlineStr">
        <is>
          <t>UPPSALA LÄN</t>
        </is>
      </c>
      <c r="E764" t="inlineStr">
        <is>
          <t>UPPSALA</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2790-2025</t>
        </is>
      </c>
      <c r="B765" s="1" t="n">
        <v>45677</v>
      </c>
      <c r="C765" s="1" t="n">
        <v>45987</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44815-2023</t>
        </is>
      </c>
      <c r="B766" s="1" t="n">
        <v>45190</v>
      </c>
      <c r="C766" s="1" t="n">
        <v>45987</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11162-2022</t>
        </is>
      </c>
      <c r="B767" s="1" t="n">
        <v>44629.42423611111</v>
      </c>
      <c r="C767" s="1" t="n">
        <v>45987</v>
      </c>
      <c r="D767" t="inlineStr">
        <is>
          <t>UPPSALA LÄN</t>
        </is>
      </c>
      <c r="E767" t="inlineStr">
        <is>
          <t>UPPSALA</t>
        </is>
      </c>
      <c r="G767" t="n">
        <v>1.5</v>
      </c>
      <c r="H767" t="n">
        <v>0</v>
      </c>
      <c r="I767" t="n">
        <v>0</v>
      </c>
      <c r="J767" t="n">
        <v>0</v>
      </c>
      <c r="K767" t="n">
        <v>0</v>
      </c>
      <c r="L767" t="n">
        <v>0</v>
      </c>
      <c r="M767" t="n">
        <v>0</v>
      </c>
      <c r="N767" t="n">
        <v>0</v>
      </c>
      <c r="O767" t="n">
        <v>0</v>
      </c>
      <c r="P767" t="n">
        <v>0</v>
      </c>
      <c r="Q767" t="n">
        <v>0</v>
      </c>
      <c r="R767" s="2" t="inlineStr"/>
    </row>
    <row r="768" ht="15" customHeight="1">
      <c r="A768" t="inlineStr">
        <is>
          <t>A 8132-2024</t>
        </is>
      </c>
      <c r="B768" s="1" t="n">
        <v>45351.54596064815</v>
      </c>
      <c r="C768" s="1" t="n">
        <v>45987</v>
      </c>
      <c r="D768" t="inlineStr">
        <is>
          <t>UPPSALA LÄN</t>
        </is>
      </c>
      <c r="E768" t="inlineStr">
        <is>
          <t>UPPSALA</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20087-2023</t>
        </is>
      </c>
      <c r="B769" s="1" t="n">
        <v>45054.9271875</v>
      </c>
      <c r="C769" s="1" t="n">
        <v>45987</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61463-2024</t>
        </is>
      </c>
      <c r="B770" s="1" t="n">
        <v>45646.50211805556</v>
      </c>
      <c r="C770" s="1" t="n">
        <v>45987</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40872-2023</t>
        </is>
      </c>
      <c r="B771" s="1" t="n">
        <v>45173</v>
      </c>
      <c r="C771" s="1" t="n">
        <v>45987</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5309-2022</t>
        </is>
      </c>
      <c r="B772" s="1" t="n">
        <v>44594</v>
      </c>
      <c r="C772" s="1" t="n">
        <v>45987</v>
      </c>
      <c r="D772" t="inlineStr">
        <is>
          <t>UPPSALA LÄN</t>
        </is>
      </c>
      <c r="E772" t="inlineStr">
        <is>
          <t>UPPSALA</t>
        </is>
      </c>
      <c r="G772" t="n">
        <v>4.8</v>
      </c>
      <c r="H772" t="n">
        <v>0</v>
      </c>
      <c r="I772" t="n">
        <v>0</v>
      </c>
      <c r="J772" t="n">
        <v>0</v>
      </c>
      <c r="K772" t="n">
        <v>0</v>
      </c>
      <c r="L772" t="n">
        <v>0</v>
      </c>
      <c r="M772" t="n">
        <v>0</v>
      </c>
      <c r="N772" t="n">
        <v>0</v>
      </c>
      <c r="O772" t="n">
        <v>0</v>
      </c>
      <c r="P772" t="n">
        <v>0</v>
      </c>
      <c r="Q772" t="n">
        <v>0</v>
      </c>
      <c r="R772" s="2" t="inlineStr"/>
    </row>
    <row r="773" ht="15" customHeight="1">
      <c r="A773" t="inlineStr">
        <is>
          <t>A 45575-2023</t>
        </is>
      </c>
      <c r="B773" s="1" t="n">
        <v>45194.60876157408</v>
      </c>
      <c r="C773" s="1" t="n">
        <v>45987</v>
      </c>
      <c r="D773" t="inlineStr">
        <is>
          <t>UPPSALA LÄN</t>
        </is>
      </c>
      <c r="E773" t="inlineStr">
        <is>
          <t>UPPSALA</t>
        </is>
      </c>
      <c r="F773" t="inlineStr">
        <is>
          <t>Bergvik skog öst AB</t>
        </is>
      </c>
      <c r="G773" t="n">
        <v>2.2</v>
      </c>
      <c r="H773" t="n">
        <v>0</v>
      </c>
      <c r="I773" t="n">
        <v>0</v>
      </c>
      <c r="J773" t="n">
        <v>0</v>
      </c>
      <c r="K773" t="n">
        <v>0</v>
      </c>
      <c r="L773" t="n">
        <v>0</v>
      </c>
      <c r="M773" t="n">
        <v>0</v>
      </c>
      <c r="N773" t="n">
        <v>0</v>
      </c>
      <c r="O773" t="n">
        <v>0</v>
      </c>
      <c r="P773" t="n">
        <v>0</v>
      </c>
      <c r="Q773" t="n">
        <v>0</v>
      </c>
      <c r="R773" s="2" t="inlineStr"/>
    </row>
    <row r="774" ht="15" customHeight="1">
      <c r="A774" t="inlineStr">
        <is>
          <t>A 39865-2022</t>
        </is>
      </c>
      <c r="B774" s="1" t="n">
        <v>44819.62</v>
      </c>
      <c r="C774" s="1" t="n">
        <v>45987</v>
      </c>
      <c r="D774" t="inlineStr">
        <is>
          <t>UPPSALA LÄN</t>
        </is>
      </c>
      <c r="E774" t="inlineStr">
        <is>
          <t>UPPSALA</t>
        </is>
      </c>
      <c r="G774" t="n">
        <v>2.5</v>
      </c>
      <c r="H774" t="n">
        <v>0</v>
      </c>
      <c r="I774" t="n">
        <v>0</v>
      </c>
      <c r="J774" t="n">
        <v>0</v>
      </c>
      <c r="K774" t="n">
        <v>0</v>
      </c>
      <c r="L774" t="n">
        <v>0</v>
      </c>
      <c r="M774" t="n">
        <v>0</v>
      </c>
      <c r="N774" t="n">
        <v>0</v>
      </c>
      <c r="O774" t="n">
        <v>0</v>
      </c>
      <c r="P774" t="n">
        <v>0</v>
      </c>
      <c r="Q774" t="n">
        <v>0</v>
      </c>
      <c r="R774" s="2" t="inlineStr"/>
    </row>
    <row r="775" ht="15" customHeight="1">
      <c r="A775" t="inlineStr">
        <is>
          <t>A 20206-2023</t>
        </is>
      </c>
      <c r="B775" s="1" t="n">
        <v>45055</v>
      </c>
      <c r="C775" s="1" t="n">
        <v>45987</v>
      </c>
      <c r="D775" t="inlineStr">
        <is>
          <t>UPPSALA LÄN</t>
        </is>
      </c>
      <c r="E775" t="inlineStr">
        <is>
          <t>UPPSALA</t>
        </is>
      </c>
      <c r="G775" t="n">
        <v>5.7</v>
      </c>
      <c r="H775" t="n">
        <v>0</v>
      </c>
      <c r="I775" t="n">
        <v>0</v>
      </c>
      <c r="J775" t="n">
        <v>0</v>
      </c>
      <c r="K775" t="n">
        <v>0</v>
      </c>
      <c r="L775" t="n">
        <v>0</v>
      </c>
      <c r="M775" t="n">
        <v>0</v>
      </c>
      <c r="N775" t="n">
        <v>0</v>
      </c>
      <c r="O775" t="n">
        <v>0</v>
      </c>
      <c r="P775" t="n">
        <v>0</v>
      </c>
      <c r="Q775" t="n">
        <v>0</v>
      </c>
      <c r="R775" s="2" t="inlineStr"/>
    </row>
    <row r="776" ht="15" customHeight="1">
      <c r="A776" t="inlineStr">
        <is>
          <t>A 43029-2023</t>
        </is>
      </c>
      <c r="B776" s="1" t="n">
        <v>45182</v>
      </c>
      <c r="C776" s="1" t="n">
        <v>45987</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43031-2023</t>
        </is>
      </c>
      <c r="B777" s="1" t="n">
        <v>45182</v>
      </c>
      <c r="C777" s="1" t="n">
        <v>45987</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26762-2023</t>
        </is>
      </c>
      <c r="B778" s="1" t="n">
        <v>45093.46706018518</v>
      </c>
      <c r="C778" s="1" t="n">
        <v>45987</v>
      </c>
      <c r="D778" t="inlineStr">
        <is>
          <t>UPPSALA LÄN</t>
        </is>
      </c>
      <c r="E778" t="inlineStr">
        <is>
          <t>UPPSALA</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16434-2024</t>
        </is>
      </c>
      <c r="B779" s="1" t="n">
        <v>45407.69575231482</v>
      </c>
      <c r="C779" s="1" t="n">
        <v>45987</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44080-2023</t>
        </is>
      </c>
      <c r="B780" s="1" t="n">
        <v>45188.42052083334</v>
      </c>
      <c r="C780" s="1" t="n">
        <v>45987</v>
      </c>
      <c r="D780" t="inlineStr">
        <is>
          <t>UPPSALA LÄN</t>
        </is>
      </c>
      <c r="E780" t="inlineStr">
        <is>
          <t>UPPSALA</t>
        </is>
      </c>
      <c r="G780" t="n">
        <v>13.3</v>
      </c>
      <c r="H780" t="n">
        <v>0</v>
      </c>
      <c r="I780" t="n">
        <v>0</v>
      </c>
      <c r="J780" t="n">
        <v>0</v>
      </c>
      <c r="K780" t="n">
        <v>0</v>
      </c>
      <c r="L780" t="n">
        <v>0</v>
      </c>
      <c r="M780" t="n">
        <v>0</v>
      </c>
      <c r="N780" t="n">
        <v>0</v>
      </c>
      <c r="O780" t="n">
        <v>0</v>
      </c>
      <c r="P780" t="n">
        <v>0</v>
      </c>
      <c r="Q780" t="n">
        <v>0</v>
      </c>
      <c r="R780" s="2" t="inlineStr"/>
    </row>
    <row r="781" ht="15" customHeight="1">
      <c r="A781" t="inlineStr">
        <is>
          <t>A 53963-2023</t>
        </is>
      </c>
      <c r="B781" s="1" t="n">
        <v>45231.62840277778</v>
      </c>
      <c r="C781" s="1" t="n">
        <v>45987</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2897-2025</t>
        </is>
      </c>
      <c r="B782" s="1" t="n">
        <v>45677</v>
      </c>
      <c r="C782" s="1" t="n">
        <v>45987</v>
      </c>
      <c r="D782" t="inlineStr">
        <is>
          <t>UPPSALA LÄN</t>
        </is>
      </c>
      <c r="E782" t="inlineStr">
        <is>
          <t>UPPSALA</t>
        </is>
      </c>
      <c r="G782" t="n">
        <v>2.7</v>
      </c>
      <c r="H782" t="n">
        <v>0</v>
      </c>
      <c r="I782" t="n">
        <v>0</v>
      </c>
      <c r="J782" t="n">
        <v>0</v>
      </c>
      <c r="K782" t="n">
        <v>0</v>
      </c>
      <c r="L782" t="n">
        <v>0</v>
      </c>
      <c r="M782" t="n">
        <v>0</v>
      </c>
      <c r="N782" t="n">
        <v>0</v>
      </c>
      <c r="O782" t="n">
        <v>0</v>
      </c>
      <c r="P782" t="n">
        <v>0</v>
      </c>
      <c r="Q782" t="n">
        <v>0</v>
      </c>
      <c r="R782" s="2" t="inlineStr"/>
    </row>
    <row r="783" ht="15" customHeight="1">
      <c r="A783" t="inlineStr">
        <is>
          <t>A 6059-2025</t>
        </is>
      </c>
      <c r="B783" s="1" t="n">
        <v>45695.8391550926</v>
      </c>
      <c r="C783" s="1" t="n">
        <v>45987</v>
      </c>
      <c r="D783" t="inlineStr">
        <is>
          <t>UPPSALA LÄN</t>
        </is>
      </c>
      <c r="E783" t="inlineStr">
        <is>
          <t>UPPSALA</t>
        </is>
      </c>
      <c r="F783" t="inlineStr">
        <is>
          <t>Bergvik skog öst AB</t>
        </is>
      </c>
      <c r="G783" t="n">
        <v>0.4</v>
      </c>
      <c r="H783" t="n">
        <v>0</v>
      </c>
      <c r="I783" t="n">
        <v>0</v>
      </c>
      <c r="J783" t="n">
        <v>0</v>
      </c>
      <c r="K783" t="n">
        <v>0</v>
      </c>
      <c r="L783" t="n">
        <v>0</v>
      </c>
      <c r="M783" t="n">
        <v>0</v>
      </c>
      <c r="N783" t="n">
        <v>0</v>
      </c>
      <c r="O783" t="n">
        <v>0</v>
      </c>
      <c r="P783" t="n">
        <v>0</v>
      </c>
      <c r="Q783" t="n">
        <v>0</v>
      </c>
      <c r="R783" s="2" t="inlineStr"/>
    </row>
    <row r="784" ht="15" customHeight="1">
      <c r="A784" t="inlineStr">
        <is>
          <t>A 6060-2025</t>
        </is>
      </c>
      <c r="B784" s="1" t="n">
        <v>45695.84078703704</v>
      </c>
      <c r="C784" s="1" t="n">
        <v>45987</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1617-2021</t>
        </is>
      </c>
      <c r="B785" s="1" t="n">
        <v>44209</v>
      </c>
      <c r="C785" s="1" t="n">
        <v>45987</v>
      </c>
      <c r="D785" t="inlineStr">
        <is>
          <t>UPPSALA LÄN</t>
        </is>
      </c>
      <c r="E785" t="inlineStr">
        <is>
          <t>UPPSALA</t>
        </is>
      </c>
      <c r="G785" t="n">
        <v>2.5</v>
      </c>
      <c r="H785" t="n">
        <v>0</v>
      </c>
      <c r="I785" t="n">
        <v>0</v>
      </c>
      <c r="J785" t="n">
        <v>0</v>
      </c>
      <c r="K785" t="n">
        <v>0</v>
      </c>
      <c r="L785" t="n">
        <v>0</v>
      </c>
      <c r="M785" t="n">
        <v>0</v>
      </c>
      <c r="N785" t="n">
        <v>0</v>
      </c>
      <c r="O785" t="n">
        <v>0</v>
      </c>
      <c r="P785" t="n">
        <v>0</v>
      </c>
      <c r="Q785" t="n">
        <v>0</v>
      </c>
      <c r="R785" s="2" t="inlineStr"/>
    </row>
    <row r="786" ht="15" customHeight="1">
      <c r="A786" t="inlineStr">
        <is>
          <t>A 50395-2023</t>
        </is>
      </c>
      <c r="B786" s="1" t="n">
        <v>45216</v>
      </c>
      <c r="C786" s="1" t="n">
        <v>45987</v>
      </c>
      <c r="D786" t="inlineStr">
        <is>
          <t>UPPSALA LÄN</t>
        </is>
      </c>
      <c r="E786" t="inlineStr">
        <is>
          <t>UPPSALA</t>
        </is>
      </c>
      <c r="G786" t="n">
        <v>2.3</v>
      </c>
      <c r="H786" t="n">
        <v>0</v>
      </c>
      <c r="I786" t="n">
        <v>0</v>
      </c>
      <c r="J786" t="n">
        <v>0</v>
      </c>
      <c r="K786" t="n">
        <v>0</v>
      </c>
      <c r="L786" t="n">
        <v>0</v>
      </c>
      <c r="M786" t="n">
        <v>0</v>
      </c>
      <c r="N786" t="n">
        <v>0</v>
      </c>
      <c r="O786" t="n">
        <v>0</v>
      </c>
      <c r="P786" t="n">
        <v>0</v>
      </c>
      <c r="Q786" t="n">
        <v>0</v>
      </c>
      <c r="R786" s="2" t="inlineStr"/>
    </row>
    <row r="787" ht="15" customHeight="1">
      <c r="A787" t="inlineStr">
        <is>
          <t>A 50473-2023</t>
        </is>
      </c>
      <c r="B787" s="1" t="n">
        <v>45216</v>
      </c>
      <c r="C787" s="1" t="n">
        <v>45987</v>
      </c>
      <c r="D787" t="inlineStr">
        <is>
          <t>UPPSALA LÄN</t>
        </is>
      </c>
      <c r="E787" t="inlineStr">
        <is>
          <t>UPPSALA</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41002-2023</t>
        </is>
      </c>
      <c r="B788" s="1" t="n">
        <v>45173</v>
      </c>
      <c r="C788" s="1" t="n">
        <v>45987</v>
      </c>
      <c r="D788" t="inlineStr">
        <is>
          <t>UPPSALA LÄN</t>
        </is>
      </c>
      <c r="E788" t="inlineStr">
        <is>
          <t>UPPSALA</t>
        </is>
      </c>
      <c r="G788" t="n">
        <v>6.2</v>
      </c>
      <c r="H788" t="n">
        <v>0</v>
      </c>
      <c r="I788" t="n">
        <v>0</v>
      </c>
      <c r="J788" t="n">
        <v>0</v>
      </c>
      <c r="K788" t="n">
        <v>0</v>
      </c>
      <c r="L788" t="n">
        <v>0</v>
      </c>
      <c r="M788" t="n">
        <v>0</v>
      </c>
      <c r="N788" t="n">
        <v>0</v>
      </c>
      <c r="O788" t="n">
        <v>0</v>
      </c>
      <c r="P788" t="n">
        <v>0</v>
      </c>
      <c r="Q788" t="n">
        <v>0</v>
      </c>
      <c r="R788" s="2" t="inlineStr"/>
    </row>
    <row r="789" ht="15" customHeight="1">
      <c r="A789" t="inlineStr">
        <is>
          <t>A 5725-2025</t>
        </is>
      </c>
      <c r="B789" s="1" t="n">
        <v>45694</v>
      </c>
      <c r="C789" s="1" t="n">
        <v>45987</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4059-2022</t>
        </is>
      </c>
      <c r="B790" s="1" t="n">
        <v>44588</v>
      </c>
      <c r="C790" s="1" t="n">
        <v>45987</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12209-2025</t>
        </is>
      </c>
      <c r="B791" s="1" t="n">
        <v>45729</v>
      </c>
      <c r="C791" s="1" t="n">
        <v>45987</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48564-2023</t>
        </is>
      </c>
      <c r="B792" s="1" t="n">
        <v>45208.4350462963</v>
      </c>
      <c r="C792" s="1" t="n">
        <v>45987</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7501-2025</t>
        </is>
      </c>
      <c r="B793" s="1" t="n">
        <v>45705</v>
      </c>
      <c r="C793" s="1" t="n">
        <v>45987</v>
      </c>
      <c r="D793" t="inlineStr">
        <is>
          <t>UPPSALA LÄN</t>
        </is>
      </c>
      <c r="E793" t="inlineStr">
        <is>
          <t>UPPSALA</t>
        </is>
      </c>
      <c r="G793" t="n">
        <v>4.2</v>
      </c>
      <c r="H793" t="n">
        <v>0</v>
      </c>
      <c r="I793" t="n">
        <v>0</v>
      </c>
      <c r="J793" t="n">
        <v>0</v>
      </c>
      <c r="K793" t="n">
        <v>0</v>
      </c>
      <c r="L793" t="n">
        <v>0</v>
      </c>
      <c r="M793" t="n">
        <v>0</v>
      </c>
      <c r="N793" t="n">
        <v>0</v>
      </c>
      <c r="O793" t="n">
        <v>0</v>
      </c>
      <c r="P793" t="n">
        <v>0</v>
      </c>
      <c r="Q793" t="n">
        <v>0</v>
      </c>
      <c r="R793" s="2" t="inlineStr"/>
    </row>
    <row r="794" ht="15" customHeight="1">
      <c r="A794" t="inlineStr">
        <is>
          <t>A 42273-2023</t>
        </is>
      </c>
      <c r="B794" s="1" t="n">
        <v>45180.40255787037</v>
      </c>
      <c r="C794" s="1" t="n">
        <v>45987</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8877-2022</t>
        </is>
      </c>
      <c r="B795" s="1" t="n">
        <v>44614.59027777778</v>
      </c>
      <c r="C795" s="1" t="n">
        <v>45987</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17562-2022</t>
        </is>
      </c>
      <c r="B796" s="1" t="n">
        <v>44679.68706018518</v>
      </c>
      <c r="C796" s="1" t="n">
        <v>45987</v>
      </c>
      <c r="D796" t="inlineStr">
        <is>
          <t>UPPSALA LÄN</t>
        </is>
      </c>
      <c r="E796" t="inlineStr">
        <is>
          <t>UPPSALA</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36123-2023</t>
        </is>
      </c>
      <c r="B797" s="1" t="n">
        <v>45149.56928240741</v>
      </c>
      <c r="C797" s="1" t="n">
        <v>45987</v>
      </c>
      <c r="D797" t="inlineStr">
        <is>
          <t>UPPSALA LÄN</t>
        </is>
      </c>
      <c r="E797" t="inlineStr">
        <is>
          <t>UPPSALA</t>
        </is>
      </c>
      <c r="F797" t="inlineStr">
        <is>
          <t>Allmännings- och besparingsskogar</t>
        </is>
      </c>
      <c r="G797" t="n">
        <v>4.2</v>
      </c>
      <c r="H797" t="n">
        <v>0</v>
      </c>
      <c r="I797" t="n">
        <v>0</v>
      </c>
      <c r="J797" t="n">
        <v>0</v>
      </c>
      <c r="K797" t="n">
        <v>0</v>
      </c>
      <c r="L797" t="n">
        <v>0</v>
      </c>
      <c r="M797" t="n">
        <v>0</v>
      </c>
      <c r="N797" t="n">
        <v>0</v>
      </c>
      <c r="O797" t="n">
        <v>0</v>
      </c>
      <c r="P797" t="n">
        <v>0</v>
      </c>
      <c r="Q797" t="n">
        <v>0</v>
      </c>
      <c r="R797" s="2" t="inlineStr"/>
    </row>
    <row r="798" ht="15" customHeight="1">
      <c r="A798" t="inlineStr">
        <is>
          <t>A 42543-2023</t>
        </is>
      </c>
      <c r="B798" s="1" t="n">
        <v>45181.36815972222</v>
      </c>
      <c r="C798" s="1" t="n">
        <v>45987</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17558-2022</t>
        </is>
      </c>
      <c r="B799" s="1" t="n">
        <v>44679.66694444444</v>
      </c>
      <c r="C799" s="1" t="n">
        <v>45987</v>
      </c>
      <c r="D799" t="inlineStr">
        <is>
          <t>UPPSALA LÄN</t>
        </is>
      </c>
      <c r="E799" t="inlineStr">
        <is>
          <t>UPPSALA</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4875-2021</t>
        </is>
      </c>
      <c r="B800" s="1" t="n">
        <v>44223</v>
      </c>
      <c r="C800" s="1" t="n">
        <v>45987</v>
      </c>
      <c r="D800" t="inlineStr">
        <is>
          <t>UPPSALA LÄN</t>
        </is>
      </c>
      <c r="E800" t="inlineStr">
        <is>
          <t>UPPSALA</t>
        </is>
      </c>
      <c r="G800" t="n">
        <v>0.4</v>
      </c>
      <c r="H800" t="n">
        <v>0</v>
      </c>
      <c r="I800" t="n">
        <v>0</v>
      </c>
      <c r="J800" t="n">
        <v>0</v>
      </c>
      <c r="K800" t="n">
        <v>0</v>
      </c>
      <c r="L800" t="n">
        <v>0</v>
      </c>
      <c r="M800" t="n">
        <v>0</v>
      </c>
      <c r="N800" t="n">
        <v>0</v>
      </c>
      <c r="O800" t="n">
        <v>0</v>
      </c>
      <c r="P800" t="n">
        <v>0</v>
      </c>
      <c r="Q800" t="n">
        <v>0</v>
      </c>
      <c r="R800" s="2" t="inlineStr"/>
    </row>
    <row r="801" ht="15" customHeight="1">
      <c r="A801" t="inlineStr">
        <is>
          <t>A 43818-2023</t>
        </is>
      </c>
      <c r="B801" s="1" t="n">
        <v>45182</v>
      </c>
      <c r="C801" s="1" t="n">
        <v>45987</v>
      </c>
      <c r="D801" t="inlineStr">
        <is>
          <t>UPPSALA LÄN</t>
        </is>
      </c>
      <c r="E801" t="inlineStr">
        <is>
          <t>UPPSALA</t>
        </is>
      </c>
      <c r="G801" t="n">
        <v>10.8</v>
      </c>
      <c r="H801" t="n">
        <v>0</v>
      </c>
      <c r="I801" t="n">
        <v>0</v>
      </c>
      <c r="J801" t="n">
        <v>0</v>
      </c>
      <c r="K801" t="n">
        <v>0</v>
      </c>
      <c r="L801" t="n">
        <v>0</v>
      </c>
      <c r="M801" t="n">
        <v>0</v>
      </c>
      <c r="N801" t="n">
        <v>0</v>
      </c>
      <c r="O801" t="n">
        <v>0</v>
      </c>
      <c r="P801" t="n">
        <v>0</v>
      </c>
      <c r="Q801" t="n">
        <v>0</v>
      </c>
      <c r="R801" s="2" t="inlineStr"/>
    </row>
    <row r="802" ht="15" customHeight="1">
      <c r="A802" t="inlineStr">
        <is>
          <t>A 41422-2023</t>
        </is>
      </c>
      <c r="B802" s="1" t="n">
        <v>45175</v>
      </c>
      <c r="C802" s="1" t="n">
        <v>45987</v>
      </c>
      <c r="D802" t="inlineStr">
        <is>
          <t>UPPSALA LÄN</t>
        </is>
      </c>
      <c r="E802" t="inlineStr">
        <is>
          <t>UPPSALA</t>
        </is>
      </c>
      <c r="F802" t="inlineStr">
        <is>
          <t>Kyrkan</t>
        </is>
      </c>
      <c r="G802" t="n">
        <v>5.2</v>
      </c>
      <c r="H802" t="n">
        <v>0</v>
      </c>
      <c r="I802" t="n">
        <v>0</v>
      </c>
      <c r="J802" t="n">
        <v>0</v>
      </c>
      <c r="K802" t="n">
        <v>0</v>
      </c>
      <c r="L802" t="n">
        <v>0</v>
      </c>
      <c r="M802" t="n">
        <v>0</v>
      </c>
      <c r="N802" t="n">
        <v>0</v>
      </c>
      <c r="O802" t="n">
        <v>0</v>
      </c>
      <c r="P802" t="n">
        <v>0</v>
      </c>
      <c r="Q802" t="n">
        <v>0</v>
      </c>
      <c r="R802" s="2" t="inlineStr"/>
    </row>
    <row r="803" ht="15" customHeight="1">
      <c r="A803" t="inlineStr">
        <is>
          <t>A 6541-2025</t>
        </is>
      </c>
      <c r="B803" s="1" t="n">
        <v>45699</v>
      </c>
      <c r="C803" s="1" t="n">
        <v>45987</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36479-2023</t>
        </is>
      </c>
      <c r="B804" s="1" t="n">
        <v>45152</v>
      </c>
      <c r="C804" s="1" t="n">
        <v>45987</v>
      </c>
      <c r="D804" t="inlineStr">
        <is>
          <t>UPPSALA LÄN</t>
        </is>
      </c>
      <c r="E804" t="inlineStr">
        <is>
          <t>UPPSALA</t>
        </is>
      </c>
      <c r="F804" t="inlineStr">
        <is>
          <t>Allmännings- och besparingsskogar</t>
        </is>
      </c>
      <c r="G804" t="n">
        <v>3.4</v>
      </c>
      <c r="H804" t="n">
        <v>0</v>
      </c>
      <c r="I804" t="n">
        <v>0</v>
      </c>
      <c r="J804" t="n">
        <v>0</v>
      </c>
      <c r="K804" t="n">
        <v>0</v>
      </c>
      <c r="L804" t="n">
        <v>0</v>
      </c>
      <c r="M804" t="n">
        <v>0</v>
      </c>
      <c r="N804" t="n">
        <v>0</v>
      </c>
      <c r="O804" t="n">
        <v>0</v>
      </c>
      <c r="P804" t="n">
        <v>0</v>
      </c>
      <c r="Q804" t="n">
        <v>0</v>
      </c>
      <c r="R804" s="2" t="inlineStr"/>
    </row>
    <row r="805" ht="15" customHeight="1">
      <c r="A805" t="inlineStr">
        <is>
          <t>A 5729-2025</t>
        </is>
      </c>
      <c r="B805" s="1" t="n">
        <v>45694.49037037037</v>
      </c>
      <c r="C805" s="1" t="n">
        <v>45987</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20497-2022</t>
        </is>
      </c>
      <c r="B806" s="1" t="n">
        <v>44699</v>
      </c>
      <c r="C806" s="1" t="n">
        <v>45987</v>
      </c>
      <c r="D806" t="inlineStr">
        <is>
          <t>UPPSALA LÄN</t>
        </is>
      </c>
      <c r="E806" t="inlineStr">
        <is>
          <t>UPPSALA</t>
        </is>
      </c>
      <c r="F806" t="inlineStr">
        <is>
          <t>Övriga statliga verk och myndigheter</t>
        </is>
      </c>
      <c r="G806" t="n">
        <v>1</v>
      </c>
      <c r="H806" t="n">
        <v>0</v>
      </c>
      <c r="I806" t="n">
        <v>0</v>
      </c>
      <c r="J806" t="n">
        <v>0</v>
      </c>
      <c r="K806" t="n">
        <v>0</v>
      </c>
      <c r="L806" t="n">
        <v>0</v>
      </c>
      <c r="M806" t="n">
        <v>0</v>
      </c>
      <c r="N806" t="n">
        <v>0</v>
      </c>
      <c r="O806" t="n">
        <v>0</v>
      </c>
      <c r="P806" t="n">
        <v>0</v>
      </c>
      <c r="Q806" t="n">
        <v>0</v>
      </c>
      <c r="R806" s="2" t="inlineStr"/>
    </row>
    <row r="807" ht="15" customHeight="1">
      <c r="A807" t="inlineStr">
        <is>
          <t>A 3955-2021</t>
        </is>
      </c>
      <c r="B807" s="1" t="n">
        <v>44222</v>
      </c>
      <c r="C807" s="1" t="n">
        <v>45987</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52503-2023</t>
        </is>
      </c>
      <c r="B808" s="1" t="n">
        <v>45225.46480324074</v>
      </c>
      <c r="C808" s="1" t="n">
        <v>45987</v>
      </c>
      <c r="D808" t="inlineStr">
        <is>
          <t>UPPSALA LÄN</t>
        </is>
      </c>
      <c r="E808" t="inlineStr">
        <is>
          <t>UPPSALA</t>
        </is>
      </c>
      <c r="G808" t="n">
        <v>1.7</v>
      </c>
      <c r="H808" t="n">
        <v>0</v>
      </c>
      <c r="I808" t="n">
        <v>0</v>
      </c>
      <c r="J808" t="n">
        <v>0</v>
      </c>
      <c r="K808" t="n">
        <v>0</v>
      </c>
      <c r="L808" t="n">
        <v>0</v>
      </c>
      <c r="M808" t="n">
        <v>0</v>
      </c>
      <c r="N808" t="n">
        <v>0</v>
      </c>
      <c r="O808" t="n">
        <v>0</v>
      </c>
      <c r="P808" t="n">
        <v>0</v>
      </c>
      <c r="Q808" t="n">
        <v>0</v>
      </c>
      <c r="R808" s="2" t="inlineStr"/>
    </row>
    <row r="809" ht="15" customHeight="1">
      <c r="A809" t="inlineStr">
        <is>
          <t>A 33562-2023</t>
        </is>
      </c>
      <c r="B809" s="1" t="n">
        <v>45131</v>
      </c>
      <c r="C809" s="1" t="n">
        <v>45987</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60447-2023</t>
        </is>
      </c>
      <c r="B810" s="1" t="n">
        <v>45259</v>
      </c>
      <c r="C810" s="1" t="n">
        <v>45987</v>
      </c>
      <c r="D810" t="inlineStr">
        <is>
          <t>UPPSALA LÄN</t>
        </is>
      </c>
      <c r="E810" t="inlineStr">
        <is>
          <t>UPPSALA</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54783-2023</t>
        </is>
      </c>
      <c r="B811" s="1" t="n">
        <v>45236.47697916667</v>
      </c>
      <c r="C811" s="1" t="n">
        <v>45987</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600-2024</t>
        </is>
      </c>
      <c r="B812" s="1" t="n">
        <v>45299</v>
      </c>
      <c r="C812" s="1" t="n">
        <v>45987</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62287-2023</t>
        </is>
      </c>
      <c r="B813" s="1" t="n">
        <v>45267</v>
      </c>
      <c r="C813" s="1" t="n">
        <v>45987</v>
      </c>
      <c r="D813" t="inlineStr">
        <is>
          <t>UPPSALA LÄN</t>
        </is>
      </c>
      <c r="E813" t="inlineStr">
        <is>
          <t>UPPSALA</t>
        </is>
      </c>
      <c r="F813" t="inlineStr">
        <is>
          <t>Allmännings- och besparingsskogar</t>
        </is>
      </c>
      <c r="G813" t="n">
        <v>2.8</v>
      </c>
      <c r="H813" t="n">
        <v>0</v>
      </c>
      <c r="I813" t="n">
        <v>0</v>
      </c>
      <c r="J813" t="n">
        <v>0</v>
      </c>
      <c r="K813" t="n">
        <v>0</v>
      </c>
      <c r="L813" t="n">
        <v>0</v>
      </c>
      <c r="M813" t="n">
        <v>0</v>
      </c>
      <c r="N813" t="n">
        <v>0</v>
      </c>
      <c r="O813" t="n">
        <v>0</v>
      </c>
      <c r="P813" t="n">
        <v>0</v>
      </c>
      <c r="Q813" t="n">
        <v>0</v>
      </c>
      <c r="R813" s="2" t="inlineStr"/>
    </row>
    <row r="814" ht="15" customHeight="1">
      <c r="A814" t="inlineStr">
        <is>
          <t>A 54808-2023</t>
        </is>
      </c>
      <c r="B814" s="1" t="n">
        <v>45236</v>
      </c>
      <c r="C814" s="1" t="n">
        <v>45987</v>
      </c>
      <c r="D814" t="inlineStr">
        <is>
          <t>UPPSALA LÄN</t>
        </is>
      </c>
      <c r="E814" t="inlineStr">
        <is>
          <t>UPPSALA</t>
        </is>
      </c>
      <c r="G814" t="n">
        <v>4.1</v>
      </c>
      <c r="H814" t="n">
        <v>0</v>
      </c>
      <c r="I814" t="n">
        <v>0</v>
      </c>
      <c r="J814" t="n">
        <v>0</v>
      </c>
      <c r="K814" t="n">
        <v>0</v>
      </c>
      <c r="L814" t="n">
        <v>0</v>
      </c>
      <c r="M814" t="n">
        <v>0</v>
      </c>
      <c r="N814" t="n">
        <v>0</v>
      </c>
      <c r="O814" t="n">
        <v>0</v>
      </c>
      <c r="P814" t="n">
        <v>0</v>
      </c>
      <c r="Q814" t="n">
        <v>0</v>
      </c>
      <c r="R814" s="2" t="inlineStr"/>
    </row>
    <row r="815" ht="15" customHeight="1">
      <c r="A815" t="inlineStr">
        <is>
          <t>A 9984-2025</t>
        </is>
      </c>
      <c r="B815" s="1" t="n">
        <v>45719.42197916667</v>
      </c>
      <c r="C815" s="1" t="n">
        <v>45987</v>
      </c>
      <c r="D815" t="inlineStr">
        <is>
          <t>UPPSALA LÄN</t>
        </is>
      </c>
      <c r="E815" t="inlineStr">
        <is>
          <t>UPPSALA</t>
        </is>
      </c>
      <c r="F815" t="inlineStr">
        <is>
          <t>Kyrkan</t>
        </is>
      </c>
      <c r="G815" t="n">
        <v>2</v>
      </c>
      <c r="H815" t="n">
        <v>0</v>
      </c>
      <c r="I815" t="n">
        <v>0</v>
      </c>
      <c r="J815" t="n">
        <v>0</v>
      </c>
      <c r="K815" t="n">
        <v>0</v>
      </c>
      <c r="L815" t="n">
        <v>0</v>
      </c>
      <c r="M815" t="n">
        <v>0</v>
      </c>
      <c r="N815" t="n">
        <v>0</v>
      </c>
      <c r="O815" t="n">
        <v>0</v>
      </c>
      <c r="P815" t="n">
        <v>0</v>
      </c>
      <c r="Q815" t="n">
        <v>0</v>
      </c>
      <c r="R815" s="2" t="inlineStr"/>
    </row>
    <row r="816" ht="15" customHeight="1">
      <c r="A816" t="inlineStr">
        <is>
          <t>A 9991-2025</t>
        </is>
      </c>
      <c r="B816" s="1" t="n">
        <v>45719.43646990741</v>
      </c>
      <c r="C816" s="1" t="n">
        <v>45987</v>
      </c>
      <c r="D816" t="inlineStr">
        <is>
          <t>UPPSALA LÄN</t>
        </is>
      </c>
      <c r="E816" t="inlineStr">
        <is>
          <t>UPPSALA</t>
        </is>
      </c>
      <c r="F816" t="inlineStr">
        <is>
          <t>Kyrkan</t>
        </is>
      </c>
      <c r="G816" t="n">
        <v>6.1</v>
      </c>
      <c r="H816" t="n">
        <v>0</v>
      </c>
      <c r="I816" t="n">
        <v>0</v>
      </c>
      <c r="J816" t="n">
        <v>0</v>
      </c>
      <c r="K816" t="n">
        <v>0</v>
      </c>
      <c r="L816" t="n">
        <v>0</v>
      </c>
      <c r="M816" t="n">
        <v>0</v>
      </c>
      <c r="N816" t="n">
        <v>0</v>
      </c>
      <c r="O816" t="n">
        <v>0</v>
      </c>
      <c r="P816" t="n">
        <v>0</v>
      </c>
      <c r="Q816" t="n">
        <v>0</v>
      </c>
      <c r="R816" s="2" t="inlineStr"/>
    </row>
    <row r="817" ht="15" customHeight="1">
      <c r="A817" t="inlineStr">
        <is>
          <t>A 35542-2022</t>
        </is>
      </c>
      <c r="B817" s="1" t="n">
        <v>44799.36695601852</v>
      </c>
      <c r="C817" s="1" t="n">
        <v>45987</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59585-2023</t>
        </is>
      </c>
      <c r="B818" s="1" t="n">
        <v>45254</v>
      </c>
      <c r="C818" s="1" t="n">
        <v>45987</v>
      </c>
      <c r="D818" t="inlineStr">
        <is>
          <t>UPPSALA LÄN</t>
        </is>
      </c>
      <c r="E818" t="inlineStr">
        <is>
          <t>UPPSALA</t>
        </is>
      </c>
      <c r="G818" t="n">
        <v>4.4</v>
      </c>
      <c r="H818" t="n">
        <v>0</v>
      </c>
      <c r="I818" t="n">
        <v>0</v>
      </c>
      <c r="J818" t="n">
        <v>0</v>
      </c>
      <c r="K818" t="n">
        <v>0</v>
      </c>
      <c r="L818" t="n">
        <v>0</v>
      </c>
      <c r="M818" t="n">
        <v>0</v>
      </c>
      <c r="N818" t="n">
        <v>0</v>
      </c>
      <c r="O818" t="n">
        <v>0</v>
      </c>
      <c r="P818" t="n">
        <v>0</v>
      </c>
      <c r="Q818" t="n">
        <v>0</v>
      </c>
      <c r="R818" s="2" t="inlineStr"/>
    </row>
    <row r="819" ht="15" customHeight="1">
      <c r="A819" t="inlineStr">
        <is>
          <t>A 3813-2024</t>
        </is>
      </c>
      <c r="B819" s="1" t="n">
        <v>45321</v>
      </c>
      <c r="C819" s="1" t="n">
        <v>45987</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3260-2024</t>
        </is>
      </c>
      <c r="B820" s="1" t="n">
        <v>45317</v>
      </c>
      <c r="C820" s="1" t="n">
        <v>45987</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9611-2024</t>
        </is>
      </c>
      <c r="B821" s="1" t="n">
        <v>45361.57299768519</v>
      </c>
      <c r="C821" s="1" t="n">
        <v>45987</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39107-2023</t>
        </is>
      </c>
      <c r="B822" s="1" t="n">
        <v>45164.82913194445</v>
      </c>
      <c r="C822" s="1" t="n">
        <v>45987</v>
      </c>
      <c r="D822" t="inlineStr">
        <is>
          <t>UPPSALA LÄN</t>
        </is>
      </c>
      <c r="E822" t="inlineStr">
        <is>
          <t>UPPSALA</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8109-2024</t>
        </is>
      </c>
      <c r="B823" s="1" t="n">
        <v>45351.48662037037</v>
      </c>
      <c r="C823" s="1" t="n">
        <v>45987</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554-2023</t>
        </is>
      </c>
      <c r="B824" s="1" t="n">
        <v>44930</v>
      </c>
      <c r="C824" s="1" t="n">
        <v>45987</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2357-2024</t>
        </is>
      </c>
      <c r="B825" s="1" t="n">
        <v>45310</v>
      </c>
      <c r="C825" s="1" t="n">
        <v>45987</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44781-2021</t>
        </is>
      </c>
      <c r="B826" s="1" t="n">
        <v>44438</v>
      </c>
      <c r="C826" s="1" t="n">
        <v>45987</v>
      </c>
      <c r="D826" t="inlineStr">
        <is>
          <t>UPPSALA LÄN</t>
        </is>
      </c>
      <c r="E826" t="inlineStr">
        <is>
          <t>UPPSALA</t>
        </is>
      </c>
      <c r="F826" t="inlineStr">
        <is>
          <t>Sveaskog</t>
        </is>
      </c>
      <c r="G826" t="n">
        <v>0.1</v>
      </c>
      <c r="H826" t="n">
        <v>0</v>
      </c>
      <c r="I826" t="n">
        <v>0</v>
      </c>
      <c r="J826" t="n">
        <v>0</v>
      </c>
      <c r="K826" t="n">
        <v>0</v>
      </c>
      <c r="L826" t="n">
        <v>0</v>
      </c>
      <c r="M826" t="n">
        <v>0</v>
      </c>
      <c r="N826" t="n">
        <v>0</v>
      </c>
      <c r="O826" t="n">
        <v>0</v>
      </c>
      <c r="P826" t="n">
        <v>0</v>
      </c>
      <c r="Q826" t="n">
        <v>0</v>
      </c>
      <c r="R826" s="2" t="inlineStr"/>
    </row>
    <row r="827" ht="15" customHeight="1">
      <c r="A827" t="inlineStr">
        <is>
          <t>A 26323-2023</t>
        </is>
      </c>
      <c r="B827" s="1" t="n">
        <v>45091.69766203704</v>
      </c>
      <c r="C827" s="1" t="n">
        <v>45987</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16288-2025</t>
        </is>
      </c>
      <c r="B828" s="1" t="n">
        <v>45751.32001157408</v>
      </c>
      <c r="C828" s="1" t="n">
        <v>45987</v>
      </c>
      <c r="D828" t="inlineStr">
        <is>
          <t>UPPSALA LÄN</t>
        </is>
      </c>
      <c r="E828" t="inlineStr">
        <is>
          <t>UPPSALA</t>
        </is>
      </c>
      <c r="G828" t="n">
        <v>3.9</v>
      </c>
      <c r="H828" t="n">
        <v>0</v>
      </c>
      <c r="I828" t="n">
        <v>0</v>
      </c>
      <c r="J828" t="n">
        <v>0</v>
      </c>
      <c r="K828" t="n">
        <v>0</v>
      </c>
      <c r="L828" t="n">
        <v>0</v>
      </c>
      <c r="M828" t="n">
        <v>0</v>
      </c>
      <c r="N828" t="n">
        <v>0</v>
      </c>
      <c r="O828" t="n">
        <v>0</v>
      </c>
      <c r="P828" t="n">
        <v>0</v>
      </c>
      <c r="Q828" t="n">
        <v>0</v>
      </c>
      <c r="R828" s="2" t="inlineStr"/>
    </row>
    <row r="829" ht="15" customHeight="1">
      <c r="A829" t="inlineStr">
        <is>
          <t>A 5605-2025</t>
        </is>
      </c>
      <c r="B829" s="1" t="n">
        <v>45693</v>
      </c>
      <c r="C829" s="1" t="n">
        <v>45987</v>
      </c>
      <c r="D829" t="inlineStr">
        <is>
          <t>UPPSALA LÄN</t>
        </is>
      </c>
      <c r="E829" t="inlineStr">
        <is>
          <t>UPPSALA</t>
        </is>
      </c>
      <c r="G829" t="n">
        <v>1.3</v>
      </c>
      <c r="H829" t="n">
        <v>0</v>
      </c>
      <c r="I829" t="n">
        <v>0</v>
      </c>
      <c r="J829" t="n">
        <v>0</v>
      </c>
      <c r="K829" t="n">
        <v>0</v>
      </c>
      <c r="L829" t="n">
        <v>0</v>
      </c>
      <c r="M829" t="n">
        <v>0</v>
      </c>
      <c r="N829" t="n">
        <v>0</v>
      </c>
      <c r="O829" t="n">
        <v>0</v>
      </c>
      <c r="P829" t="n">
        <v>0</v>
      </c>
      <c r="Q829" t="n">
        <v>0</v>
      </c>
      <c r="R829" s="2" t="inlineStr"/>
    </row>
    <row r="830" ht="15" customHeight="1">
      <c r="A830" t="inlineStr">
        <is>
          <t>A 33332-2022</t>
        </is>
      </c>
      <c r="B830" s="1" t="n">
        <v>44788</v>
      </c>
      <c r="C830" s="1" t="n">
        <v>45987</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18054-2025</t>
        </is>
      </c>
      <c r="B831" s="1" t="n">
        <v>45761.47540509259</v>
      </c>
      <c r="C831" s="1" t="n">
        <v>45987</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18058-2025</t>
        </is>
      </c>
      <c r="B832" s="1" t="n">
        <v>45761.47748842592</v>
      </c>
      <c r="C832" s="1" t="n">
        <v>45987</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6973-2025</t>
        </is>
      </c>
      <c r="B833" s="1" t="n">
        <v>45693</v>
      </c>
      <c r="C833" s="1" t="n">
        <v>45987</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39608-2022</t>
        </is>
      </c>
      <c r="B834" s="1" t="n">
        <v>44817</v>
      </c>
      <c r="C834" s="1" t="n">
        <v>45987</v>
      </c>
      <c r="D834" t="inlineStr">
        <is>
          <t>UPPSALA LÄN</t>
        </is>
      </c>
      <c r="E834" t="inlineStr">
        <is>
          <t>UPPSALA</t>
        </is>
      </c>
      <c r="G834" t="n">
        <v>2</v>
      </c>
      <c r="H834" t="n">
        <v>0</v>
      </c>
      <c r="I834" t="n">
        <v>0</v>
      </c>
      <c r="J834" t="n">
        <v>0</v>
      </c>
      <c r="K834" t="n">
        <v>0</v>
      </c>
      <c r="L834" t="n">
        <v>0</v>
      </c>
      <c r="M834" t="n">
        <v>0</v>
      </c>
      <c r="N834" t="n">
        <v>0</v>
      </c>
      <c r="O834" t="n">
        <v>0</v>
      </c>
      <c r="P834" t="n">
        <v>0</v>
      </c>
      <c r="Q834" t="n">
        <v>0</v>
      </c>
      <c r="R834" s="2" t="inlineStr"/>
    </row>
    <row r="835" ht="15" customHeight="1">
      <c r="A835" t="inlineStr">
        <is>
          <t>A 50267-2023</t>
        </is>
      </c>
      <c r="B835" s="1" t="n">
        <v>45216.39040509259</v>
      </c>
      <c r="C835" s="1" t="n">
        <v>45987</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28825-2024</t>
        </is>
      </c>
      <c r="B836" s="1" t="n">
        <v>45478</v>
      </c>
      <c r="C836" s="1" t="n">
        <v>45987</v>
      </c>
      <c r="D836" t="inlineStr">
        <is>
          <t>UPPSALA LÄN</t>
        </is>
      </c>
      <c r="E836" t="inlineStr">
        <is>
          <t>UPPSALA</t>
        </is>
      </c>
      <c r="F836" t="inlineStr">
        <is>
          <t>Holmen skog AB</t>
        </is>
      </c>
      <c r="G836" t="n">
        <v>13</v>
      </c>
      <c r="H836" t="n">
        <v>0</v>
      </c>
      <c r="I836" t="n">
        <v>0</v>
      </c>
      <c r="J836" t="n">
        <v>0</v>
      </c>
      <c r="K836" t="n">
        <v>0</v>
      </c>
      <c r="L836" t="n">
        <v>0</v>
      </c>
      <c r="M836" t="n">
        <v>0</v>
      </c>
      <c r="N836" t="n">
        <v>0</v>
      </c>
      <c r="O836" t="n">
        <v>0</v>
      </c>
      <c r="P836" t="n">
        <v>0</v>
      </c>
      <c r="Q836" t="n">
        <v>0</v>
      </c>
      <c r="R836" s="2" t="inlineStr"/>
    </row>
    <row r="837" ht="15" customHeight="1">
      <c r="A837" t="inlineStr">
        <is>
          <t>A 50037-2024</t>
        </is>
      </c>
      <c r="B837" s="1" t="n">
        <v>45599</v>
      </c>
      <c r="C837" s="1" t="n">
        <v>45987</v>
      </c>
      <c r="D837" t="inlineStr">
        <is>
          <t>UPPSALA LÄN</t>
        </is>
      </c>
      <c r="E837" t="inlineStr">
        <is>
          <t>UPPSALA</t>
        </is>
      </c>
      <c r="G837" t="n">
        <v>13.7</v>
      </c>
      <c r="H837" t="n">
        <v>0</v>
      </c>
      <c r="I837" t="n">
        <v>0</v>
      </c>
      <c r="J837" t="n">
        <v>0</v>
      </c>
      <c r="K837" t="n">
        <v>0</v>
      </c>
      <c r="L837" t="n">
        <v>0</v>
      </c>
      <c r="M837" t="n">
        <v>0</v>
      </c>
      <c r="N837" t="n">
        <v>0</v>
      </c>
      <c r="O837" t="n">
        <v>0</v>
      </c>
      <c r="P837" t="n">
        <v>0</v>
      </c>
      <c r="Q837" t="n">
        <v>0</v>
      </c>
      <c r="R837" s="2" t="inlineStr"/>
    </row>
    <row r="838" ht="15" customHeight="1">
      <c r="A838" t="inlineStr">
        <is>
          <t>A 60167-2024</t>
        </is>
      </c>
      <c r="B838" s="1" t="n">
        <v>45642.63524305556</v>
      </c>
      <c r="C838" s="1" t="n">
        <v>45987</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61574-2024</t>
        </is>
      </c>
      <c r="B839" s="1" t="n">
        <v>45646.61892361111</v>
      </c>
      <c r="C839" s="1" t="n">
        <v>45987</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9820-2023</t>
        </is>
      </c>
      <c r="B840" s="1" t="n">
        <v>44984.69216435185</v>
      </c>
      <c r="C840" s="1" t="n">
        <v>45987</v>
      </c>
      <c r="D840" t="inlineStr">
        <is>
          <t>UPPSALA LÄN</t>
        </is>
      </c>
      <c r="E840" t="inlineStr">
        <is>
          <t>UPPSALA</t>
        </is>
      </c>
      <c r="F840" t="inlineStr">
        <is>
          <t>Kyrkan</t>
        </is>
      </c>
      <c r="G840" t="n">
        <v>2</v>
      </c>
      <c r="H840" t="n">
        <v>0</v>
      </c>
      <c r="I840" t="n">
        <v>0</v>
      </c>
      <c r="J840" t="n">
        <v>0</v>
      </c>
      <c r="K840" t="n">
        <v>0</v>
      </c>
      <c r="L840" t="n">
        <v>0</v>
      </c>
      <c r="M840" t="n">
        <v>0</v>
      </c>
      <c r="N840" t="n">
        <v>0</v>
      </c>
      <c r="O840" t="n">
        <v>0</v>
      </c>
      <c r="P840" t="n">
        <v>0</v>
      </c>
      <c r="Q840" t="n">
        <v>0</v>
      </c>
      <c r="R840" s="2" t="inlineStr"/>
    </row>
    <row r="841" ht="15" customHeight="1">
      <c r="A841" t="inlineStr">
        <is>
          <t>A 34243-2021</t>
        </is>
      </c>
      <c r="B841" s="1" t="n">
        <v>44379.56163194445</v>
      </c>
      <c r="C841" s="1" t="n">
        <v>45987</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13799-2024</t>
        </is>
      </c>
      <c r="B842" s="1" t="n">
        <v>45391.37361111111</v>
      </c>
      <c r="C842" s="1" t="n">
        <v>45987</v>
      </c>
      <c r="D842" t="inlineStr">
        <is>
          <t>UPPSALA LÄN</t>
        </is>
      </c>
      <c r="E842" t="inlineStr">
        <is>
          <t>UPPSALA</t>
        </is>
      </c>
      <c r="G842" t="n">
        <v>1.9</v>
      </c>
      <c r="H842" t="n">
        <v>0</v>
      </c>
      <c r="I842" t="n">
        <v>0</v>
      </c>
      <c r="J842" t="n">
        <v>0</v>
      </c>
      <c r="K842" t="n">
        <v>0</v>
      </c>
      <c r="L842" t="n">
        <v>0</v>
      </c>
      <c r="M842" t="n">
        <v>0</v>
      </c>
      <c r="N842" t="n">
        <v>0</v>
      </c>
      <c r="O842" t="n">
        <v>0</v>
      </c>
      <c r="P842" t="n">
        <v>0</v>
      </c>
      <c r="Q842" t="n">
        <v>0</v>
      </c>
      <c r="R842" s="2" t="inlineStr"/>
    </row>
    <row r="843" ht="15" customHeight="1">
      <c r="A843" t="inlineStr">
        <is>
          <t>A 33816-2024</t>
        </is>
      </c>
      <c r="B843" s="1" t="n">
        <v>45520</v>
      </c>
      <c r="C843" s="1" t="n">
        <v>45987</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2927-2022</t>
        </is>
      </c>
      <c r="B844" s="1" t="n">
        <v>44581.60254629629</v>
      </c>
      <c r="C844" s="1" t="n">
        <v>45987</v>
      </c>
      <c r="D844" t="inlineStr">
        <is>
          <t>UPPSALA LÄN</t>
        </is>
      </c>
      <c r="E844" t="inlineStr">
        <is>
          <t>UPPSALA</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733-2022</t>
        </is>
      </c>
      <c r="B845" s="1" t="n">
        <v>44568.67040509259</v>
      </c>
      <c r="C845" s="1" t="n">
        <v>45987</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59719-2022</t>
        </is>
      </c>
      <c r="B846" s="1" t="n">
        <v>44908.425625</v>
      </c>
      <c r="C846" s="1" t="n">
        <v>45987</v>
      </c>
      <c r="D846" t="inlineStr">
        <is>
          <t>UPPSALA LÄN</t>
        </is>
      </c>
      <c r="E846" t="inlineStr">
        <is>
          <t>UPPSALA</t>
        </is>
      </c>
      <c r="G846" t="n">
        <v>3.6</v>
      </c>
      <c r="H846" t="n">
        <v>0</v>
      </c>
      <c r="I846" t="n">
        <v>0</v>
      </c>
      <c r="J846" t="n">
        <v>0</v>
      </c>
      <c r="K846" t="n">
        <v>0</v>
      </c>
      <c r="L846" t="n">
        <v>0</v>
      </c>
      <c r="M846" t="n">
        <v>0</v>
      </c>
      <c r="N846" t="n">
        <v>0</v>
      </c>
      <c r="O846" t="n">
        <v>0</v>
      </c>
      <c r="P846" t="n">
        <v>0</v>
      </c>
      <c r="Q846" t="n">
        <v>0</v>
      </c>
      <c r="R846" s="2" t="inlineStr"/>
    </row>
    <row r="847" ht="15" customHeight="1">
      <c r="A847" t="inlineStr">
        <is>
          <t>A 29145-2021</t>
        </is>
      </c>
      <c r="B847" s="1" t="n">
        <v>44358.63490740741</v>
      </c>
      <c r="C847" s="1" t="n">
        <v>45987</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3353-2023</t>
        </is>
      </c>
      <c r="B848" s="1" t="n">
        <v>44949.4708912037</v>
      </c>
      <c r="C848" s="1" t="n">
        <v>45987</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37819-2021</t>
        </is>
      </c>
      <c r="B849" s="1" t="n">
        <v>44403.29719907408</v>
      </c>
      <c r="C849" s="1" t="n">
        <v>45987</v>
      </c>
      <c r="D849" t="inlineStr">
        <is>
          <t>UPPSALA LÄN</t>
        </is>
      </c>
      <c r="E849" t="inlineStr">
        <is>
          <t>UPPSALA</t>
        </is>
      </c>
      <c r="F849" t="inlineStr">
        <is>
          <t>Bergvik skog öst AB</t>
        </is>
      </c>
      <c r="G849" t="n">
        <v>1.1</v>
      </c>
      <c r="H849" t="n">
        <v>0</v>
      </c>
      <c r="I849" t="n">
        <v>0</v>
      </c>
      <c r="J849" t="n">
        <v>0</v>
      </c>
      <c r="K849" t="n">
        <v>0</v>
      </c>
      <c r="L849" t="n">
        <v>0</v>
      </c>
      <c r="M849" t="n">
        <v>0</v>
      </c>
      <c r="N849" t="n">
        <v>0</v>
      </c>
      <c r="O849" t="n">
        <v>0</v>
      </c>
      <c r="P849" t="n">
        <v>0</v>
      </c>
      <c r="Q849" t="n">
        <v>0</v>
      </c>
      <c r="R849" s="2" t="inlineStr"/>
    </row>
    <row r="850" ht="15" customHeight="1">
      <c r="A850" t="inlineStr">
        <is>
          <t>A 3086-2023</t>
        </is>
      </c>
      <c r="B850" s="1" t="n">
        <v>44946.43564814814</v>
      </c>
      <c r="C850" s="1" t="n">
        <v>45987</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16811-2023</t>
        </is>
      </c>
      <c r="B851" s="1" t="n">
        <v>45033</v>
      </c>
      <c r="C851" s="1" t="n">
        <v>45987</v>
      </c>
      <c r="D851" t="inlineStr">
        <is>
          <t>UPPSALA LÄN</t>
        </is>
      </c>
      <c r="E851" t="inlineStr">
        <is>
          <t>UPPSALA</t>
        </is>
      </c>
      <c r="G851" t="n">
        <v>10.1</v>
      </c>
      <c r="H851" t="n">
        <v>0</v>
      </c>
      <c r="I851" t="n">
        <v>0</v>
      </c>
      <c r="J851" t="n">
        <v>0</v>
      </c>
      <c r="K851" t="n">
        <v>0</v>
      </c>
      <c r="L851" t="n">
        <v>0</v>
      </c>
      <c r="M851" t="n">
        <v>0</v>
      </c>
      <c r="N851" t="n">
        <v>0</v>
      </c>
      <c r="O851" t="n">
        <v>0</v>
      </c>
      <c r="P851" t="n">
        <v>0</v>
      </c>
      <c r="Q851" t="n">
        <v>0</v>
      </c>
      <c r="R851" s="2" t="inlineStr"/>
    </row>
    <row r="852" ht="15" customHeight="1">
      <c r="A852" t="inlineStr">
        <is>
          <t>A 69436-2021</t>
        </is>
      </c>
      <c r="B852" s="1" t="n">
        <v>44531</v>
      </c>
      <c r="C852" s="1" t="n">
        <v>45987</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1573-2021</t>
        </is>
      </c>
      <c r="B853" s="1" t="n">
        <v>44209</v>
      </c>
      <c r="C853" s="1" t="n">
        <v>45987</v>
      </c>
      <c r="D853" t="inlineStr">
        <is>
          <t>UPPSALA LÄN</t>
        </is>
      </c>
      <c r="E853" t="inlineStr">
        <is>
          <t>UPPSALA</t>
        </is>
      </c>
      <c r="G853" t="n">
        <v>15</v>
      </c>
      <c r="H853" t="n">
        <v>0</v>
      </c>
      <c r="I853" t="n">
        <v>0</v>
      </c>
      <c r="J853" t="n">
        <v>0</v>
      </c>
      <c r="K853" t="n">
        <v>0</v>
      </c>
      <c r="L853" t="n">
        <v>0</v>
      </c>
      <c r="M853" t="n">
        <v>0</v>
      </c>
      <c r="N853" t="n">
        <v>0</v>
      </c>
      <c r="O853" t="n">
        <v>0</v>
      </c>
      <c r="P853" t="n">
        <v>0</v>
      </c>
      <c r="Q853" t="n">
        <v>0</v>
      </c>
      <c r="R853" s="2" t="inlineStr"/>
    </row>
    <row r="854" ht="15" customHeight="1">
      <c r="A854" t="inlineStr">
        <is>
          <t>A 13420-2021</t>
        </is>
      </c>
      <c r="B854" s="1" t="n">
        <v>44273</v>
      </c>
      <c r="C854" s="1" t="n">
        <v>45987</v>
      </c>
      <c r="D854" t="inlineStr">
        <is>
          <t>UPPSALA LÄN</t>
        </is>
      </c>
      <c r="E854" t="inlineStr">
        <is>
          <t>UPPSALA</t>
        </is>
      </c>
      <c r="G854" t="n">
        <v>1.9</v>
      </c>
      <c r="H854" t="n">
        <v>0</v>
      </c>
      <c r="I854" t="n">
        <v>0</v>
      </c>
      <c r="J854" t="n">
        <v>0</v>
      </c>
      <c r="K854" t="n">
        <v>0</v>
      </c>
      <c r="L854" t="n">
        <v>0</v>
      </c>
      <c r="M854" t="n">
        <v>0</v>
      </c>
      <c r="N854" t="n">
        <v>0</v>
      </c>
      <c r="O854" t="n">
        <v>0</v>
      </c>
      <c r="P854" t="n">
        <v>0</v>
      </c>
      <c r="Q854" t="n">
        <v>0</v>
      </c>
      <c r="R854" s="2" t="inlineStr"/>
    </row>
    <row r="855" ht="15" customHeight="1">
      <c r="A855" t="inlineStr">
        <is>
          <t>A 5678-2023</t>
        </is>
      </c>
      <c r="B855" s="1" t="n">
        <v>44960</v>
      </c>
      <c r="C855" s="1" t="n">
        <v>45987</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5028-2022</t>
        </is>
      </c>
      <c r="B856" s="1" t="n">
        <v>44593.64863425926</v>
      </c>
      <c r="C856" s="1" t="n">
        <v>45987</v>
      </c>
      <c r="D856" t="inlineStr">
        <is>
          <t>UPPSALA LÄN</t>
        </is>
      </c>
      <c r="E856" t="inlineStr">
        <is>
          <t>UPPSALA</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179-2023</t>
        </is>
      </c>
      <c r="B857" s="1" t="n">
        <v>44928</v>
      </c>
      <c r="C857" s="1" t="n">
        <v>45987</v>
      </c>
      <c r="D857" t="inlineStr">
        <is>
          <t>UPPSALA LÄN</t>
        </is>
      </c>
      <c r="E857" t="inlineStr">
        <is>
          <t>UPPSALA</t>
        </is>
      </c>
      <c r="F857" t="inlineStr">
        <is>
          <t>Kommuner</t>
        </is>
      </c>
      <c r="G857" t="n">
        <v>1.4</v>
      </c>
      <c r="H857" t="n">
        <v>0</v>
      </c>
      <c r="I857" t="n">
        <v>0</v>
      </c>
      <c r="J857" t="n">
        <v>0</v>
      </c>
      <c r="K857" t="n">
        <v>0</v>
      </c>
      <c r="L857" t="n">
        <v>0</v>
      </c>
      <c r="M857" t="n">
        <v>0</v>
      </c>
      <c r="N857" t="n">
        <v>0</v>
      </c>
      <c r="O857" t="n">
        <v>0</v>
      </c>
      <c r="P857" t="n">
        <v>0</v>
      </c>
      <c r="Q857" t="n">
        <v>0</v>
      </c>
      <c r="R857" s="2" t="inlineStr"/>
    </row>
    <row r="858" ht="15" customHeight="1">
      <c r="A858" t="inlineStr">
        <is>
          <t>A 39812-2024</t>
        </is>
      </c>
      <c r="B858" s="1" t="n">
        <v>45552</v>
      </c>
      <c r="C858" s="1" t="n">
        <v>45987</v>
      </c>
      <c r="D858" t="inlineStr">
        <is>
          <t>UPPSALA LÄN</t>
        </is>
      </c>
      <c r="E858" t="inlineStr">
        <is>
          <t>UPPSALA</t>
        </is>
      </c>
      <c r="G858" t="n">
        <v>7.9</v>
      </c>
      <c r="H858" t="n">
        <v>0</v>
      </c>
      <c r="I858" t="n">
        <v>0</v>
      </c>
      <c r="J858" t="n">
        <v>0</v>
      </c>
      <c r="K858" t="n">
        <v>0</v>
      </c>
      <c r="L858" t="n">
        <v>0</v>
      </c>
      <c r="M858" t="n">
        <v>0</v>
      </c>
      <c r="N858" t="n">
        <v>0</v>
      </c>
      <c r="O858" t="n">
        <v>0</v>
      </c>
      <c r="P858" t="n">
        <v>0</v>
      </c>
      <c r="Q858" t="n">
        <v>0</v>
      </c>
      <c r="R858" s="2" t="inlineStr"/>
    </row>
    <row r="859" ht="15" customHeight="1">
      <c r="A859" t="inlineStr">
        <is>
          <t>A 32688-2023</t>
        </is>
      </c>
      <c r="B859" s="1" t="n">
        <v>45121</v>
      </c>
      <c r="C859" s="1" t="n">
        <v>45987</v>
      </c>
      <c r="D859" t="inlineStr">
        <is>
          <t>UPPSALA LÄN</t>
        </is>
      </c>
      <c r="E859" t="inlineStr">
        <is>
          <t>UPPSALA</t>
        </is>
      </c>
      <c r="F859" t="inlineStr">
        <is>
          <t>Holmen skog AB</t>
        </is>
      </c>
      <c r="G859" t="n">
        <v>4.3</v>
      </c>
      <c r="H859" t="n">
        <v>0</v>
      </c>
      <c r="I859" t="n">
        <v>0</v>
      </c>
      <c r="J859" t="n">
        <v>0</v>
      </c>
      <c r="K859" t="n">
        <v>0</v>
      </c>
      <c r="L859" t="n">
        <v>0</v>
      </c>
      <c r="M859" t="n">
        <v>0</v>
      </c>
      <c r="N859" t="n">
        <v>0</v>
      </c>
      <c r="O859" t="n">
        <v>0</v>
      </c>
      <c r="P859" t="n">
        <v>0</v>
      </c>
      <c r="Q859" t="n">
        <v>0</v>
      </c>
      <c r="R859" s="2" t="inlineStr"/>
    </row>
    <row r="860" ht="15" customHeight="1">
      <c r="A860" t="inlineStr">
        <is>
          <t>A 39795-2022</t>
        </is>
      </c>
      <c r="B860" s="1" t="n">
        <v>44819.50233796296</v>
      </c>
      <c r="C860" s="1" t="n">
        <v>45987</v>
      </c>
      <c r="D860" t="inlineStr">
        <is>
          <t>UPPSALA LÄN</t>
        </is>
      </c>
      <c r="E860" t="inlineStr">
        <is>
          <t>UPPSALA</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9206-2022</t>
        </is>
      </c>
      <c r="B861" s="1" t="n">
        <v>44616</v>
      </c>
      <c r="C861" s="1" t="n">
        <v>45987</v>
      </c>
      <c r="D861" t="inlineStr">
        <is>
          <t>UPPSALA LÄN</t>
        </is>
      </c>
      <c r="E861" t="inlineStr">
        <is>
          <t>UPPSALA</t>
        </is>
      </c>
      <c r="G861" t="n">
        <v>1.7</v>
      </c>
      <c r="H861" t="n">
        <v>0</v>
      </c>
      <c r="I861" t="n">
        <v>0</v>
      </c>
      <c r="J861" t="n">
        <v>0</v>
      </c>
      <c r="K861" t="n">
        <v>0</v>
      </c>
      <c r="L861" t="n">
        <v>0</v>
      </c>
      <c r="M861" t="n">
        <v>0</v>
      </c>
      <c r="N861" t="n">
        <v>0</v>
      </c>
      <c r="O861" t="n">
        <v>0</v>
      </c>
      <c r="P861" t="n">
        <v>0</v>
      </c>
      <c r="Q861" t="n">
        <v>0</v>
      </c>
      <c r="R861" s="2" t="inlineStr"/>
    </row>
    <row r="862" ht="15" customHeight="1">
      <c r="A862" t="inlineStr">
        <is>
          <t>A 55021-2022</t>
        </is>
      </c>
      <c r="B862" s="1" t="n">
        <v>44886</v>
      </c>
      <c r="C862" s="1" t="n">
        <v>45987</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74495-2021</t>
        </is>
      </c>
      <c r="B863" s="1" t="n">
        <v>44560</v>
      </c>
      <c r="C863" s="1" t="n">
        <v>45987</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6408-2022</t>
        </is>
      </c>
      <c r="B864" s="1" t="n">
        <v>44600</v>
      </c>
      <c r="C864" s="1" t="n">
        <v>45987</v>
      </c>
      <c r="D864" t="inlineStr">
        <is>
          <t>UPPSALA LÄN</t>
        </is>
      </c>
      <c r="E864" t="inlineStr">
        <is>
          <t>UPPSALA</t>
        </is>
      </c>
      <c r="F864" t="inlineStr">
        <is>
          <t>Bergvik skog öst AB</t>
        </is>
      </c>
      <c r="G864" t="n">
        <v>1.8</v>
      </c>
      <c r="H864" t="n">
        <v>0</v>
      </c>
      <c r="I864" t="n">
        <v>0</v>
      </c>
      <c r="J864" t="n">
        <v>0</v>
      </c>
      <c r="K864" t="n">
        <v>0</v>
      </c>
      <c r="L864" t="n">
        <v>0</v>
      </c>
      <c r="M864" t="n">
        <v>0</v>
      </c>
      <c r="N864" t="n">
        <v>0</v>
      </c>
      <c r="O864" t="n">
        <v>0</v>
      </c>
      <c r="P864" t="n">
        <v>0</v>
      </c>
      <c r="Q864" t="n">
        <v>0</v>
      </c>
      <c r="R864" s="2" t="inlineStr"/>
    </row>
    <row r="865" ht="15" customHeight="1">
      <c r="A865" t="inlineStr">
        <is>
          <t>A 10383-2022</t>
        </is>
      </c>
      <c r="B865" s="1" t="n">
        <v>44623.41775462963</v>
      </c>
      <c r="C865" s="1" t="n">
        <v>45987</v>
      </c>
      <c r="D865" t="inlineStr">
        <is>
          <t>UPPSALA LÄN</t>
        </is>
      </c>
      <c r="E865" t="inlineStr">
        <is>
          <t>UPPSALA</t>
        </is>
      </c>
      <c r="F865" t="inlineStr">
        <is>
          <t>Övriga Aktiebolag</t>
        </is>
      </c>
      <c r="G865" t="n">
        <v>2.8</v>
      </c>
      <c r="H865" t="n">
        <v>0</v>
      </c>
      <c r="I865" t="n">
        <v>0</v>
      </c>
      <c r="J865" t="n">
        <v>0</v>
      </c>
      <c r="K865" t="n">
        <v>0</v>
      </c>
      <c r="L865" t="n">
        <v>0</v>
      </c>
      <c r="M865" t="n">
        <v>0</v>
      </c>
      <c r="N865" t="n">
        <v>0</v>
      </c>
      <c r="O865" t="n">
        <v>0</v>
      </c>
      <c r="P865" t="n">
        <v>0</v>
      </c>
      <c r="Q865" t="n">
        <v>0</v>
      </c>
      <c r="R865" s="2" t="inlineStr"/>
    </row>
    <row r="866" ht="15" customHeight="1">
      <c r="A866" t="inlineStr">
        <is>
          <t>A 10456-2022</t>
        </is>
      </c>
      <c r="B866" s="1" t="n">
        <v>44623.5571875</v>
      </c>
      <c r="C866" s="1" t="n">
        <v>45987</v>
      </c>
      <c r="D866" t="inlineStr">
        <is>
          <t>UPPSALA LÄN</t>
        </is>
      </c>
      <c r="E866" t="inlineStr">
        <is>
          <t>UPPSALA</t>
        </is>
      </c>
      <c r="F866" t="inlineStr">
        <is>
          <t>Övriga Aktiebolag</t>
        </is>
      </c>
      <c r="G866" t="n">
        <v>12.6</v>
      </c>
      <c r="H866" t="n">
        <v>0</v>
      </c>
      <c r="I866" t="n">
        <v>0</v>
      </c>
      <c r="J866" t="n">
        <v>0</v>
      </c>
      <c r="K866" t="n">
        <v>0</v>
      </c>
      <c r="L866" t="n">
        <v>0</v>
      </c>
      <c r="M866" t="n">
        <v>0</v>
      </c>
      <c r="N866" t="n">
        <v>0</v>
      </c>
      <c r="O866" t="n">
        <v>0</v>
      </c>
      <c r="P866" t="n">
        <v>0</v>
      </c>
      <c r="Q866" t="n">
        <v>0</v>
      </c>
      <c r="R866" s="2" t="inlineStr"/>
    </row>
    <row r="867" ht="15" customHeight="1">
      <c r="A867" t="inlineStr">
        <is>
          <t>A 39548-2023</t>
        </is>
      </c>
      <c r="B867" s="1" t="n">
        <v>45167.3721412037</v>
      </c>
      <c r="C867" s="1" t="n">
        <v>45987</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6422-2023</t>
        </is>
      </c>
      <c r="B868" s="1" t="n">
        <v>44965</v>
      </c>
      <c r="C868" s="1" t="n">
        <v>45987</v>
      </c>
      <c r="D868" t="inlineStr">
        <is>
          <t>UPPSALA LÄN</t>
        </is>
      </c>
      <c r="E868" t="inlineStr">
        <is>
          <t>UPPSALA</t>
        </is>
      </c>
      <c r="G868" t="n">
        <v>3.1</v>
      </c>
      <c r="H868" t="n">
        <v>0</v>
      </c>
      <c r="I868" t="n">
        <v>0</v>
      </c>
      <c r="J868" t="n">
        <v>0</v>
      </c>
      <c r="K868" t="n">
        <v>0</v>
      </c>
      <c r="L868" t="n">
        <v>0</v>
      </c>
      <c r="M868" t="n">
        <v>0</v>
      </c>
      <c r="N868" t="n">
        <v>0</v>
      </c>
      <c r="O868" t="n">
        <v>0</v>
      </c>
      <c r="P868" t="n">
        <v>0</v>
      </c>
      <c r="Q868" t="n">
        <v>0</v>
      </c>
      <c r="R868" s="2" t="inlineStr"/>
    </row>
    <row r="869" ht="15" customHeight="1">
      <c r="A869" t="inlineStr">
        <is>
          <t>A 6423-2023</t>
        </is>
      </c>
      <c r="B869" s="1" t="n">
        <v>44965</v>
      </c>
      <c r="C869" s="1" t="n">
        <v>45987</v>
      </c>
      <c r="D869" t="inlineStr">
        <is>
          <t>UPPSALA LÄN</t>
        </is>
      </c>
      <c r="E869" t="inlineStr">
        <is>
          <t>UPPSALA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1994-2024</t>
        </is>
      </c>
      <c r="B870" s="1" t="n">
        <v>45308.63298611111</v>
      </c>
      <c r="C870" s="1" t="n">
        <v>45987</v>
      </c>
      <c r="D870" t="inlineStr">
        <is>
          <t>UPPSALA LÄN</t>
        </is>
      </c>
      <c r="E870" t="inlineStr">
        <is>
          <t>UPPSALA</t>
        </is>
      </c>
      <c r="G870" t="n">
        <v>1.6</v>
      </c>
      <c r="H870" t="n">
        <v>0</v>
      </c>
      <c r="I870" t="n">
        <v>0</v>
      </c>
      <c r="J870" t="n">
        <v>0</v>
      </c>
      <c r="K870" t="n">
        <v>0</v>
      </c>
      <c r="L870" t="n">
        <v>0</v>
      </c>
      <c r="M870" t="n">
        <v>0</v>
      </c>
      <c r="N870" t="n">
        <v>0</v>
      </c>
      <c r="O870" t="n">
        <v>0</v>
      </c>
      <c r="P870" t="n">
        <v>0</v>
      </c>
      <c r="Q870" t="n">
        <v>0</v>
      </c>
      <c r="R870" s="2" t="inlineStr"/>
    </row>
    <row r="871" ht="15" customHeight="1">
      <c r="A871" t="inlineStr">
        <is>
          <t>A 49682-2023</t>
        </is>
      </c>
      <c r="B871" s="1" t="n">
        <v>45212.34997685185</v>
      </c>
      <c r="C871" s="1" t="n">
        <v>45987</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55073-2022</t>
        </is>
      </c>
      <c r="B872" s="1" t="n">
        <v>44886.5928125</v>
      </c>
      <c r="C872" s="1" t="n">
        <v>45987</v>
      </c>
      <c r="D872" t="inlineStr">
        <is>
          <t>UPPSALA LÄN</t>
        </is>
      </c>
      <c r="E872" t="inlineStr">
        <is>
          <t>UPPSALA</t>
        </is>
      </c>
      <c r="G872" t="n">
        <v>1</v>
      </c>
      <c r="H872" t="n">
        <v>0</v>
      </c>
      <c r="I872" t="n">
        <v>0</v>
      </c>
      <c r="J872" t="n">
        <v>0</v>
      </c>
      <c r="K872" t="n">
        <v>0</v>
      </c>
      <c r="L872" t="n">
        <v>0</v>
      </c>
      <c r="M872" t="n">
        <v>0</v>
      </c>
      <c r="N872" t="n">
        <v>0</v>
      </c>
      <c r="O872" t="n">
        <v>0</v>
      </c>
      <c r="P872" t="n">
        <v>0</v>
      </c>
      <c r="Q872" t="n">
        <v>0</v>
      </c>
      <c r="R872" s="2" t="inlineStr"/>
    </row>
    <row r="873" ht="15" customHeight="1">
      <c r="A873" t="inlineStr">
        <is>
          <t>A 43-2024</t>
        </is>
      </c>
      <c r="B873" s="1" t="n">
        <v>45293</v>
      </c>
      <c r="C873" s="1" t="n">
        <v>45987</v>
      </c>
      <c r="D873" t="inlineStr">
        <is>
          <t>UPPSALA LÄN</t>
        </is>
      </c>
      <c r="E873" t="inlineStr">
        <is>
          <t>UPPSALA</t>
        </is>
      </c>
      <c r="G873" t="n">
        <v>2.8</v>
      </c>
      <c r="H873" t="n">
        <v>0</v>
      </c>
      <c r="I873" t="n">
        <v>0</v>
      </c>
      <c r="J873" t="n">
        <v>0</v>
      </c>
      <c r="K873" t="n">
        <v>0</v>
      </c>
      <c r="L873" t="n">
        <v>0</v>
      </c>
      <c r="M873" t="n">
        <v>0</v>
      </c>
      <c r="N873" t="n">
        <v>0</v>
      </c>
      <c r="O873" t="n">
        <v>0</v>
      </c>
      <c r="P873" t="n">
        <v>0</v>
      </c>
      <c r="Q873" t="n">
        <v>0</v>
      </c>
      <c r="R873" s="2" t="inlineStr"/>
    </row>
    <row r="874" ht="15" customHeight="1">
      <c r="A874" t="inlineStr">
        <is>
          <t>A 42681-2023</t>
        </is>
      </c>
      <c r="B874" s="1" t="n">
        <v>45181.58055555556</v>
      </c>
      <c r="C874" s="1" t="n">
        <v>45987</v>
      </c>
      <c r="D874" t="inlineStr">
        <is>
          <t>UPPSALA LÄN</t>
        </is>
      </c>
      <c r="E874" t="inlineStr">
        <is>
          <t>UPPSALA</t>
        </is>
      </c>
      <c r="F874" t="inlineStr">
        <is>
          <t>Bergvik skog öst AB</t>
        </is>
      </c>
      <c r="G874" t="n">
        <v>3.1</v>
      </c>
      <c r="H874" t="n">
        <v>0</v>
      </c>
      <c r="I874" t="n">
        <v>0</v>
      </c>
      <c r="J874" t="n">
        <v>0</v>
      </c>
      <c r="K874" t="n">
        <v>0</v>
      </c>
      <c r="L874" t="n">
        <v>0</v>
      </c>
      <c r="M874" t="n">
        <v>0</v>
      </c>
      <c r="N874" t="n">
        <v>0</v>
      </c>
      <c r="O874" t="n">
        <v>0</v>
      </c>
      <c r="P874" t="n">
        <v>0</v>
      </c>
      <c r="Q874" t="n">
        <v>0</v>
      </c>
      <c r="R874" s="2" t="inlineStr"/>
    </row>
    <row r="875" ht="15" customHeight="1">
      <c r="A875" t="inlineStr">
        <is>
          <t>A 1592-2025</t>
        </is>
      </c>
      <c r="B875" s="1" t="n">
        <v>45670</v>
      </c>
      <c r="C875" s="1" t="n">
        <v>45987</v>
      </c>
      <c r="D875" t="inlineStr">
        <is>
          <t>UPPSALA LÄN</t>
        </is>
      </c>
      <c r="E875" t="inlineStr">
        <is>
          <t>UPPSALA</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27543-2022</t>
        </is>
      </c>
      <c r="B876" s="1" t="n">
        <v>44742</v>
      </c>
      <c r="C876" s="1" t="n">
        <v>45987</v>
      </c>
      <c r="D876" t="inlineStr">
        <is>
          <t>UPPSALA LÄN</t>
        </is>
      </c>
      <c r="E876" t="inlineStr">
        <is>
          <t>UPPSALA</t>
        </is>
      </c>
      <c r="F876" t="inlineStr">
        <is>
          <t>Kyrkan</t>
        </is>
      </c>
      <c r="G876" t="n">
        <v>2.6</v>
      </c>
      <c r="H876" t="n">
        <v>0</v>
      </c>
      <c r="I876" t="n">
        <v>0</v>
      </c>
      <c r="J876" t="n">
        <v>0</v>
      </c>
      <c r="K876" t="n">
        <v>0</v>
      </c>
      <c r="L876" t="n">
        <v>0</v>
      </c>
      <c r="M876" t="n">
        <v>0</v>
      </c>
      <c r="N876" t="n">
        <v>0</v>
      </c>
      <c r="O876" t="n">
        <v>0</v>
      </c>
      <c r="P876" t="n">
        <v>0</v>
      </c>
      <c r="Q876" t="n">
        <v>0</v>
      </c>
      <c r="R876" s="2" t="inlineStr"/>
    </row>
    <row r="877" ht="15" customHeight="1">
      <c r="A877" t="inlineStr">
        <is>
          <t>A 53893-2023</t>
        </is>
      </c>
      <c r="B877" s="1" t="n">
        <v>45231</v>
      </c>
      <c r="C877" s="1" t="n">
        <v>45987</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6679-2024</t>
        </is>
      </c>
      <c r="B878" s="1" t="n">
        <v>45341</v>
      </c>
      <c r="C878" s="1" t="n">
        <v>45987</v>
      </c>
      <c r="D878" t="inlineStr">
        <is>
          <t>UPPSALA LÄN</t>
        </is>
      </c>
      <c r="E878" t="inlineStr">
        <is>
          <t>UPPSALA</t>
        </is>
      </c>
      <c r="F878" t="inlineStr">
        <is>
          <t>Bergvik skog öst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49050-2024</t>
        </is>
      </c>
      <c r="B879" s="1" t="n">
        <v>45594</v>
      </c>
      <c r="C879" s="1" t="n">
        <v>45987</v>
      </c>
      <c r="D879" t="inlineStr">
        <is>
          <t>UPPSALA LÄN</t>
        </is>
      </c>
      <c r="E879" t="inlineStr">
        <is>
          <t>UPPSALA</t>
        </is>
      </c>
      <c r="F879" t="inlineStr">
        <is>
          <t>Övriga statliga verk och myndigheter</t>
        </is>
      </c>
      <c r="G879" t="n">
        <v>3.9</v>
      </c>
      <c r="H879" t="n">
        <v>0</v>
      </c>
      <c r="I879" t="n">
        <v>0</v>
      </c>
      <c r="J879" t="n">
        <v>0</v>
      </c>
      <c r="K879" t="n">
        <v>0</v>
      </c>
      <c r="L879" t="n">
        <v>0</v>
      </c>
      <c r="M879" t="n">
        <v>0</v>
      </c>
      <c r="N879" t="n">
        <v>0</v>
      </c>
      <c r="O879" t="n">
        <v>0</v>
      </c>
      <c r="P879" t="n">
        <v>0</v>
      </c>
      <c r="Q879" t="n">
        <v>0</v>
      </c>
      <c r="R879" s="2" t="inlineStr"/>
    </row>
    <row r="880" ht="15" customHeight="1">
      <c r="A880" t="inlineStr">
        <is>
          <t>A 781-2024</t>
        </is>
      </c>
      <c r="B880" s="1" t="n">
        <v>45300.55028935185</v>
      </c>
      <c r="C880" s="1" t="n">
        <v>45987</v>
      </c>
      <c r="D880" t="inlineStr">
        <is>
          <t>UPPSALA LÄN</t>
        </is>
      </c>
      <c r="E880" t="inlineStr">
        <is>
          <t>UPPSALA</t>
        </is>
      </c>
      <c r="G880" t="n">
        <v>6.3</v>
      </c>
      <c r="H880" t="n">
        <v>0</v>
      </c>
      <c r="I880" t="n">
        <v>0</v>
      </c>
      <c r="J880" t="n">
        <v>0</v>
      </c>
      <c r="K880" t="n">
        <v>0</v>
      </c>
      <c r="L880" t="n">
        <v>0</v>
      </c>
      <c r="M880" t="n">
        <v>0</v>
      </c>
      <c r="N880" t="n">
        <v>0</v>
      </c>
      <c r="O880" t="n">
        <v>0</v>
      </c>
      <c r="P880" t="n">
        <v>0</v>
      </c>
      <c r="Q880" t="n">
        <v>0</v>
      </c>
      <c r="R880" s="2" t="inlineStr"/>
    </row>
    <row r="881" ht="15" customHeight="1">
      <c r="A881" t="inlineStr">
        <is>
          <t>A 27599-2023</t>
        </is>
      </c>
      <c r="B881" s="1" t="n">
        <v>45097</v>
      </c>
      <c r="C881" s="1" t="n">
        <v>45987</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7058-2023</t>
        </is>
      </c>
      <c r="B882" s="1" t="n">
        <v>44969</v>
      </c>
      <c r="C882" s="1" t="n">
        <v>45987</v>
      </c>
      <c r="D882" t="inlineStr">
        <is>
          <t>UPPSALA LÄN</t>
        </is>
      </c>
      <c r="E882" t="inlineStr">
        <is>
          <t>UPPSALA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3214-2023</t>
        </is>
      </c>
      <c r="B883" s="1" t="n">
        <v>44944</v>
      </c>
      <c r="C883" s="1" t="n">
        <v>45987</v>
      </c>
      <c r="D883" t="inlineStr">
        <is>
          <t>UPPSALA LÄN</t>
        </is>
      </c>
      <c r="E883" t="inlineStr">
        <is>
          <t>UPPSALA</t>
        </is>
      </c>
      <c r="G883" t="n">
        <v>4.1</v>
      </c>
      <c r="H883" t="n">
        <v>0</v>
      </c>
      <c r="I883" t="n">
        <v>0</v>
      </c>
      <c r="J883" t="n">
        <v>0</v>
      </c>
      <c r="K883" t="n">
        <v>0</v>
      </c>
      <c r="L883" t="n">
        <v>0</v>
      </c>
      <c r="M883" t="n">
        <v>0</v>
      </c>
      <c r="N883" t="n">
        <v>0</v>
      </c>
      <c r="O883" t="n">
        <v>0</v>
      </c>
      <c r="P883" t="n">
        <v>0</v>
      </c>
      <c r="Q883" t="n">
        <v>0</v>
      </c>
      <c r="R883" s="2" t="inlineStr"/>
    </row>
    <row r="884" ht="15" customHeight="1">
      <c r="A884" t="inlineStr">
        <is>
          <t>A 50669-2024</t>
        </is>
      </c>
      <c r="B884" s="1" t="n">
        <v>45601</v>
      </c>
      <c r="C884" s="1" t="n">
        <v>45987</v>
      </c>
      <c r="D884" t="inlineStr">
        <is>
          <t>UPPSALA LÄN</t>
        </is>
      </c>
      <c r="E884" t="inlineStr">
        <is>
          <t>UPPSALA</t>
        </is>
      </c>
      <c r="G884" t="n">
        <v>1.2</v>
      </c>
      <c r="H884" t="n">
        <v>0</v>
      </c>
      <c r="I884" t="n">
        <v>0</v>
      </c>
      <c r="J884" t="n">
        <v>0</v>
      </c>
      <c r="K884" t="n">
        <v>0</v>
      </c>
      <c r="L884" t="n">
        <v>0</v>
      </c>
      <c r="M884" t="n">
        <v>0</v>
      </c>
      <c r="N884" t="n">
        <v>0</v>
      </c>
      <c r="O884" t="n">
        <v>0</v>
      </c>
      <c r="P884" t="n">
        <v>0</v>
      </c>
      <c r="Q884" t="n">
        <v>0</v>
      </c>
      <c r="R884" s="2" t="inlineStr"/>
    </row>
    <row r="885" ht="15" customHeight="1">
      <c r="A885" t="inlineStr">
        <is>
          <t>A 36782-2023</t>
        </is>
      </c>
      <c r="B885" s="1" t="n">
        <v>45154.35092592592</v>
      </c>
      <c r="C885" s="1" t="n">
        <v>45987</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14337-2022</t>
        </is>
      </c>
      <c r="B886" s="1" t="n">
        <v>44652</v>
      </c>
      <c r="C886" s="1" t="n">
        <v>45987</v>
      </c>
      <c r="D886" t="inlineStr">
        <is>
          <t>UPPSALA LÄN</t>
        </is>
      </c>
      <c r="E886" t="inlineStr">
        <is>
          <t>UPPSALA</t>
        </is>
      </c>
      <c r="G886" t="n">
        <v>1.5</v>
      </c>
      <c r="H886" t="n">
        <v>0</v>
      </c>
      <c r="I886" t="n">
        <v>0</v>
      </c>
      <c r="J886" t="n">
        <v>0</v>
      </c>
      <c r="K886" t="n">
        <v>0</v>
      </c>
      <c r="L886" t="n">
        <v>0</v>
      </c>
      <c r="M886" t="n">
        <v>0</v>
      </c>
      <c r="N886" t="n">
        <v>0</v>
      </c>
      <c r="O886" t="n">
        <v>0</v>
      </c>
      <c r="P886" t="n">
        <v>0</v>
      </c>
      <c r="Q886" t="n">
        <v>0</v>
      </c>
      <c r="R886" s="2" t="inlineStr"/>
    </row>
    <row r="887" ht="15" customHeight="1">
      <c r="A887" t="inlineStr">
        <is>
          <t>A 2980-2025</t>
        </is>
      </c>
      <c r="B887" s="1" t="n">
        <v>45678</v>
      </c>
      <c r="C887" s="1" t="n">
        <v>45987</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17448-2022</t>
        </is>
      </c>
      <c r="B888" s="1" t="n">
        <v>44679</v>
      </c>
      <c r="C888" s="1" t="n">
        <v>45987</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62054-2024</t>
        </is>
      </c>
      <c r="B889" s="1" t="n">
        <v>45656</v>
      </c>
      <c r="C889" s="1" t="n">
        <v>45987</v>
      </c>
      <c r="D889" t="inlineStr">
        <is>
          <t>UPPSALA LÄN</t>
        </is>
      </c>
      <c r="E889" t="inlineStr">
        <is>
          <t>UPPSALA</t>
        </is>
      </c>
      <c r="F889" t="inlineStr">
        <is>
          <t>Övriga statliga verk och myndigheter</t>
        </is>
      </c>
      <c r="G889" t="n">
        <v>29.3</v>
      </c>
      <c r="H889" t="n">
        <v>0</v>
      </c>
      <c r="I889" t="n">
        <v>0</v>
      </c>
      <c r="J889" t="n">
        <v>0</v>
      </c>
      <c r="K889" t="n">
        <v>0</v>
      </c>
      <c r="L889" t="n">
        <v>0</v>
      </c>
      <c r="M889" t="n">
        <v>0</v>
      </c>
      <c r="N889" t="n">
        <v>0</v>
      </c>
      <c r="O889" t="n">
        <v>0</v>
      </c>
      <c r="P889" t="n">
        <v>0</v>
      </c>
      <c r="Q889" t="n">
        <v>0</v>
      </c>
      <c r="R889" s="2" t="inlineStr"/>
    </row>
    <row r="890" ht="15" customHeight="1">
      <c r="A890" t="inlineStr">
        <is>
          <t>A 5722-2025</t>
        </is>
      </c>
      <c r="B890" s="1" t="n">
        <v>45694</v>
      </c>
      <c r="C890" s="1" t="n">
        <v>45987</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37316-2022</t>
        </is>
      </c>
      <c r="B891" s="1" t="n">
        <v>44806</v>
      </c>
      <c r="C891" s="1" t="n">
        <v>45987</v>
      </c>
      <c r="D891" t="inlineStr">
        <is>
          <t>UPPSALA LÄN</t>
        </is>
      </c>
      <c r="E891" t="inlineStr">
        <is>
          <t>UPPSALA</t>
        </is>
      </c>
      <c r="G891" t="n">
        <v>10.6</v>
      </c>
      <c r="H891" t="n">
        <v>0</v>
      </c>
      <c r="I891" t="n">
        <v>0</v>
      </c>
      <c r="J891" t="n">
        <v>0</v>
      </c>
      <c r="K891" t="n">
        <v>0</v>
      </c>
      <c r="L891" t="n">
        <v>0</v>
      </c>
      <c r="M891" t="n">
        <v>0</v>
      </c>
      <c r="N891" t="n">
        <v>0</v>
      </c>
      <c r="O891" t="n">
        <v>0</v>
      </c>
      <c r="P891" t="n">
        <v>0</v>
      </c>
      <c r="Q891" t="n">
        <v>0</v>
      </c>
      <c r="R891" s="2" t="inlineStr"/>
    </row>
    <row r="892" ht="15" customHeight="1">
      <c r="A892" t="inlineStr">
        <is>
          <t>A 19380-2023</t>
        </is>
      </c>
      <c r="B892" s="1" t="n">
        <v>45049.66025462963</v>
      </c>
      <c r="C892" s="1" t="n">
        <v>45987</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1731-2022</t>
        </is>
      </c>
      <c r="B893" s="1" t="n">
        <v>44574</v>
      </c>
      <c r="C893" s="1" t="n">
        <v>45987</v>
      </c>
      <c r="D893" t="inlineStr">
        <is>
          <t>UPPSALA LÄN</t>
        </is>
      </c>
      <c r="E893" t="inlineStr">
        <is>
          <t>UPPSALA</t>
        </is>
      </c>
      <c r="G893" t="n">
        <v>10.1</v>
      </c>
      <c r="H893" t="n">
        <v>0</v>
      </c>
      <c r="I893" t="n">
        <v>0</v>
      </c>
      <c r="J893" t="n">
        <v>0</v>
      </c>
      <c r="K893" t="n">
        <v>0</v>
      </c>
      <c r="L893" t="n">
        <v>0</v>
      </c>
      <c r="M893" t="n">
        <v>0</v>
      </c>
      <c r="N893" t="n">
        <v>0</v>
      </c>
      <c r="O893" t="n">
        <v>0</v>
      </c>
      <c r="P893" t="n">
        <v>0</v>
      </c>
      <c r="Q893" t="n">
        <v>0</v>
      </c>
      <c r="R893" s="2" t="inlineStr"/>
    </row>
    <row r="894" ht="15" customHeight="1">
      <c r="A894" t="inlineStr">
        <is>
          <t>A 13343-2022</t>
        </is>
      </c>
      <c r="B894" s="1" t="n">
        <v>44645.39157407408</v>
      </c>
      <c r="C894" s="1" t="n">
        <v>45987</v>
      </c>
      <c r="D894" t="inlineStr">
        <is>
          <t>UPPSALA LÄN</t>
        </is>
      </c>
      <c r="E894" t="inlineStr">
        <is>
          <t>UPPSALA</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60925-2021</t>
        </is>
      </c>
      <c r="B895" s="1" t="n">
        <v>44497.4666087963</v>
      </c>
      <c r="C895" s="1" t="n">
        <v>45987</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36392-2023</t>
        </is>
      </c>
      <c r="B896" s="1" t="n">
        <v>45152</v>
      </c>
      <c r="C896" s="1" t="n">
        <v>45987</v>
      </c>
      <c r="D896" t="inlineStr">
        <is>
          <t>UPPSALA LÄN</t>
        </is>
      </c>
      <c r="E896" t="inlineStr">
        <is>
          <t>UPPSALA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6155-2023</t>
        </is>
      </c>
      <c r="B897" s="1" t="n">
        <v>44964.65261574074</v>
      </c>
      <c r="C897" s="1" t="n">
        <v>45987</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6009-2022</t>
        </is>
      </c>
      <c r="B898" s="1" t="n">
        <v>44599.44832175926</v>
      </c>
      <c r="C898" s="1" t="n">
        <v>45987</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59549-2024</t>
        </is>
      </c>
      <c r="B899" s="1" t="n">
        <v>45638</v>
      </c>
      <c r="C899" s="1" t="n">
        <v>45987</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12606-2023</t>
        </is>
      </c>
      <c r="B900" s="1" t="n">
        <v>45000.44666666666</v>
      </c>
      <c r="C900" s="1" t="n">
        <v>45987</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18410-2025</t>
        </is>
      </c>
      <c r="B901" s="1" t="n">
        <v>45762.61341435185</v>
      </c>
      <c r="C901" s="1" t="n">
        <v>45987</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8931-2025</t>
        </is>
      </c>
      <c r="B902" s="1" t="n">
        <v>45713.44519675926</v>
      </c>
      <c r="C902" s="1" t="n">
        <v>45987</v>
      </c>
      <c r="D902" t="inlineStr">
        <is>
          <t>UPPSALA LÄN</t>
        </is>
      </c>
      <c r="E902" t="inlineStr">
        <is>
          <t>UPPSALA</t>
        </is>
      </c>
      <c r="G902" t="n">
        <v>1.2</v>
      </c>
      <c r="H902" t="n">
        <v>0</v>
      </c>
      <c r="I902" t="n">
        <v>0</v>
      </c>
      <c r="J902" t="n">
        <v>0</v>
      </c>
      <c r="K902" t="n">
        <v>0</v>
      </c>
      <c r="L902" t="n">
        <v>0</v>
      </c>
      <c r="M902" t="n">
        <v>0</v>
      </c>
      <c r="N902" t="n">
        <v>0</v>
      </c>
      <c r="O902" t="n">
        <v>0</v>
      </c>
      <c r="P902" t="n">
        <v>0</v>
      </c>
      <c r="Q902" t="n">
        <v>0</v>
      </c>
      <c r="R902" s="2" t="inlineStr"/>
    </row>
    <row r="903" ht="15" customHeight="1">
      <c r="A903" t="inlineStr">
        <is>
          <t>A 4503-2024</t>
        </is>
      </c>
      <c r="B903" s="1" t="n">
        <v>45327.61831018519</v>
      </c>
      <c r="C903" s="1" t="n">
        <v>45987</v>
      </c>
      <c r="D903" t="inlineStr">
        <is>
          <t>UPPSALA LÄN</t>
        </is>
      </c>
      <c r="E903" t="inlineStr">
        <is>
          <t>UPPSALA</t>
        </is>
      </c>
      <c r="G903" t="n">
        <v>1.9</v>
      </c>
      <c r="H903" t="n">
        <v>0</v>
      </c>
      <c r="I903" t="n">
        <v>0</v>
      </c>
      <c r="J903" t="n">
        <v>0</v>
      </c>
      <c r="K903" t="n">
        <v>0</v>
      </c>
      <c r="L903" t="n">
        <v>0</v>
      </c>
      <c r="M903" t="n">
        <v>0</v>
      </c>
      <c r="N903" t="n">
        <v>0</v>
      </c>
      <c r="O903" t="n">
        <v>0</v>
      </c>
      <c r="P903" t="n">
        <v>0</v>
      </c>
      <c r="Q903" t="n">
        <v>0</v>
      </c>
      <c r="R903" s="2" t="inlineStr"/>
    </row>
    <row r="904" ht="15" customHeight="1">
      <c r="A904" t="inlineStr">
        <is>
          <t>A 8672-2024</t>
        </is>
      </c>
      <c r="B904" s="1" t="n">
        <v>45352</v>
      </c>
      <c r="C904" s="1" t="n">
        <v>45987</v>
      </c>
      <c r="D904" t="inlineStr">
        <is>
          <t>UPPSALA LÄN</t>
        </is>
      </c>
      <c r="E904" t="inlineStr">
        <is>
          <t>UPPSALA</t>
        </is>
      </c>
      <c r="G904" t="n">
        <v>2.3</v>
      </c>
      <c r="H904" t="n">
        <v>0</v>
      </c>
      <c r="I904" t="n">
        <v>0</v>
      </c>
      <c r="J904" t="n">
        <v>0</v>
      </c>
      <c r="K904" t="n">
        <v>0</v>
      </c>
      <c r="L904" t="n">
        <v>0</v>
      </c>
      <c r="M904" t="n">
        <v>0</v>
      </c>
      <c r="N904" t="n">
        <v>0</v>
      </c>
      <c r="O904" t="n">
        <v>0</v>
      </c>
      <c r="P904" t="n">
        <v>0</v>
      </c>
      <c r="Q904" t="n">
        <v>0</v>
      </c>
      <c r="R904" s="2" t="inlineStr"/>
    </row>
    <row r="905" ht="15" customHeight="1">
      <c r="A905" t="inlineStr">
        <is>
          <t>A 5362-2023</t>
        </is>
      </c>
      <c r="B905" s="1" t="n">
        <v>44944</v>
      </c>
      <c r="C905" s="1" t="n">
        <v>45987</v>
      </c>
      <c r="D905" t="inlineStr">
        <is>
          <t>UPPSALA LÄN</t>
        </is>
      </c>
      <c r="E905" t="inlineStr">
        <is>
          <t>UPPSALA</t>
        </is>
      </c>
      <c r="G905" t="n">
        <v>2.3</v>
      </c>
      <c r="H905" t="n">
        <v>0</v>
      </c>
      <c r="I905" t="n">
        <v>0</v>
      </c>
      <c r="J905" t="n">
        <v>0</v>
      </c>
      <c r="K905" t="n">
        <v>0</v>
      </c>
      <c r="L905" t="n">
        <v>0</v>
      </c>
      <c r="M905" t="n">
        <v>0</v>
      </c>
      <c r="N905" t="n">
        <v>0</v>
      </c>
      <c r="O905" t="n">
        <v>0</v>
      </c>
      <c r="P905" t="n">
        <v>0</v>
      </c>
      <c r="Q905" t="n">
        <v>0</v>
      </c>
      <c r="R905" s="2" t="inlineStr"/>
    </row>
    <row r="906" ht="15" customHeight="1">
      <c r="A906" t="inlineStr">
        <is>
          <t>A 61947-2023</t>
        </is>
      </c>
      <c r="B906" s="1" t="n">
        <v>45266</v>
      </c>
      <c r="C906" s="1" t="n">
        <v>45987</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51661-2022</t>
        </is>
      </c>
      <c r="B907" s="1" t="n">
        <v>44872</v>
      </c>
      <c r="C907" s="1" t="n">
        <v>45987</v>
      </c>
      <c r="D907" t="inlineStr">
        <is>
          <t>UPPSALA LÄN</t>
        </is>
      </c>
      <c r="E907" t="inlineStr">
        <is>
          <t>UPPSALA</t>
        </is>
      </c>
      <c r="G907" t="n">
        <v>8.9</v>
      </c>
      <c r="H907" t="n">
        <v>0</v>
      </c>
      <c r="I907" t="n">
        <v>0</v>
      </c>
      <c r="J907" t="n">
        <v>0</v>
      </c>
      <c r="K907" t="n">
        <v>0</v>
      </c>
      <c r="L907" t="n">
        <v>0</v>
      </c>
      <c r="M907" t="n">
        <v>0</v>
      </c>
      <c r="N907" t="n">
        <v>0</v>
      </c>
      <c r="O907" t="n">
        <v>0</v>
      </c>
      <c r="P907" t="n">
        <v>0</v>
      </c>
      <c r="Q907" t="n">
        <v>0</v>
      </c>
      <c r="R907" s="2" t="inlineStr"/>
    </row>
    <row r="908" ht="15" customHeight="1">
      <c r="A908" t="inlineStr">
        <is>
          <t>A 32553-2024</t>
        </is>
      </c>
      <c r="B908" s="1" t="n">
        <v>45513.51815972223</v>
      </c>
      <c r="C908" s="1" t="n">
        <v>45987</v>
      </c>
      <c r="D908" t="inlineStr">
        <is>
          <t>UPPSALA LÄN</t>
        </is>
      </c>
      <c r="E908" t="inlineStr">
        <is>
          <t>UPPSALA</t>
        </is>
      </c>
      <c r="F908" t="inlineStr">
        <is>
          <t>Bergvik skog öst AB</t>
        </is>
      </c>
      <c r="G908" t="n">
        <v>4.1</v>
      </c>
      <c r="H908" t="n">
        <v>0</v>
      </c>
      <c r="I908" t="n">
        <v>0</v>
      </c>
      <c r="J908" t="n">
        <v>0</v>
      </c>
      <c r="K908" t="n">
        <v>0</v>
      </c>
      <c r="L908" t="n">
        <v>0</v>
      </c>
      <c r="M908" t="n">
        <v>0</v>
      </c>
      <c r="N908" t="n">
        <v>0</v>
      </c>
      <c r="O908" t="n">
        <v>0</v>
      </c>
      <c r="P908" t="n">
        <v>0</v>
      </c>
      <c r="Q908" t="n">
        <v>0</v>
      </c>
      <c r="R908" s="2" t="inlineStr"/>
    </row>
    <row r="909" ht="15" customHeight="1">
      <c r="A909" t="inlineStr">
        <is>
          <t>A 54512-2024</t>
        </is>
      </c>
      <c r="B909" s="1" t="n">
        <v>45617.59006944444</v>
      </c>
      <c r="C909" s="1" t="n">
        <v>45987</v>
      </c>
      <c r="D909" t="inlineStr">
        <is>
          <t>UPPSALA LÄN</t>
        </is>
      </c>
      <c r="E909" t="inlineStr">
        <is>
          <t>UPPSALA</t>
        </is>
      </c>
      <c r="G909" t="n">
        <v>3.2</v>
      </c>
      <c r="H909" t="n">
        <v>0</v>
      </c>
      <c r="I909" t="n">
        <v>0</v>
      </c>
      <c r="J909" t="n">
        <v>0</v>
      </c>
      <c r="K909" t="n">
        <v>0</v>
      </c>
      <c r="L909" t="n">
        <v>0</v>
      </c>
      <c r="M909" t="n">
        <v>0</v>
      </c>
      <c r="N909" t="n">
        <v>0</v>
      </c>
      <c r="O909" t="n">
        <v>0</v>
      </c>
      <c r="P909" t="n">
        <v>0</v>
      </c>
      <c r="Q909" t="n">
        <v>0</v>
      </c>
      <c r="R909" s="2" t="inlineStr"/>
    </row>
    <row r="910" ht="15" customHeight="1">
      <c r="A910" t="inlineStr">
        <is>
          <t>A 19276-2023</t>
        </is>
      </c>
      <c r="B910" s="1" t="n">
        <v>45049</v>
      </c>
      <c r="C910" s="1" t="n">
        <v>45987</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74493-2021</t>
        </is>
      </c>
      <c r="B911" s="1" t="n">
        <v>44560</v>
      </c>
      <c r="C911" s="1" t="n">
        <v>45987</v>
      </c>
      <c r="D911" t="inlineStr">
        <is>
          <t>UPPSALA LÄN</t>
        </is>
      </c>
      <c r="E911" t="inlineStr">
        <is>
          <t>UPPSALA</t>
        </is>
      </c>
      <c r="G911" t="n">
        <v>1.2</v>
      </c>
      <c r="H911" t="n">
        <v>0</v>
      </c>
      <c r="I911" t="n">
        <v>0</v>
      </c>
      <c r="J911" t="n">
        <v>0</v>
      </c>
      <c r="K911" t="n">
        <v>0</v>
      </c>
      <c r="L911" t="n">
        <v>0</v>
      </c>
      <c r="M911" t="n">
        <v>0</v>
      </c>
      <c r="N911" t="n">
        <v>0</v>
      </c>
      <c r="O911" t="n">
        <v>0</v>
      </c>
      <c r="P911" t="n">
        <v>0</v>
      </c>
      <c r="Q911" t="n">
        <v>0</v>
      </c>
      <c r="R911" s="2" t="inlineStr"/>
    </row>
    <row r="912" ht="15" customHeight="1">
      <c r="A912" t="inlineStr">
        <is>
          <t>A 5974-2024</t>
        </is>
      </c>
      <c r="B912" s="1" t="n">
        <v>45336.53908564815</v>
      </c>
      <c r="C912" s="1" t="n">
        <v>45987</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53589-2024</t>
        </is>
      </c>
      <c r="B913" s="1" t="n">
        <v>45614.67020833334</v>
      </c>
      <c r="C913" s="1" t="n">
        <v>45987</v>
      </c>
      <c r="D913" t="inlineStr">
        <is>
          <t>UPPSALA LÄN</t>
        </is>
      </c>
      <c r="E913" t="inlineStr">
        <is>
          <t>UPPSALA</t>
        </is>
      </c>
      <c r="G913" t="n">
        <v>4</v>
      </c>
      <c r="H913" t="n">
        <v>0</v>
      </c>
      <c r="I913" t="n">
        <v>0</v>
      </c>
      <c r="J913" t="n">
        <v>0</v>
      </c>
      <c r="K913" t="n">
        <v>0</v>
      </c>
      <c r="L913" t="n">
        <v>0</v>
      </c>
      <c r="M913" t="n">
        <v>0</v>
      </c>
      <c r="N913" t="n">
        <v>0</v>
      </c>
      <c r="O913" t="n">
        <v>0</v>
      </c>
      <c r="P913" t="n">
        <v>0</v>
      </c>
      <c r="Q913" t="n">
        <v>0</v>
      </c>
      <c r="R913" s="2" t="inlineStr"/>
    </row>
    <row r="914" ht="15" customHeight="1">
      <c r="A914" t="inlineStr">
        <is>
          <t>A 19613-2025</t>
        </is>
      </c>
      <c r="B914" s="1" t="n">
        <v>45770.61341435185</v>
      </c>
      <c r="C914" s="1" t="n">
        <v>45987</v>
      </c>
      <c r="D914" t="inlineStr">
        <is>
          <t>UPPSALA LÄN</t>
        </is>
      </c>
      <c r="E914" t="inlineStr">
        <is>
          <t>UPPSALA</t>
        </is>
      </c>
      <c r="F914" t="inlineStr">
        <is>
          <t>Övriga Aktiebolag</t>
        </is>
      </c>
      <c r="G914" t="n">
        <v>2.2</v>
      </c>
      <c r="H914" t="n">
        <v>0</v>
      </c>
      <c r="I914" t="n">
        <v>0</v>
      </c>
      <c r="J914" t="n">
        <v>0</v>
      </c>
      <c r="K914" t="n">
        <v>0</v>
      </c>
      <c r="L914" t="n">
        <v>0</v>
      </c>
      <c r="M914" t="n">
        <v>0</v>
      </c>
      <c r="N914" t="n">
        <v>0</v>
      </c>
      <c r="O914" t="n">
        <v>0</v>
      </c>
      <c r="P914" t="n">
        <v>0</v>
      </c>
      <c r="Q914" t="n">
        <v>0</v>
      </c>
      <c r="R914" s="2" t="inlineStr"/>
    </row>
    <row r="915" ht="15" customHeight="1">
      <c r="A915" t="inlineStr">
        <is>
          <t>A 2695-2025</t>
        </is>
      </c>
      <c r="B915" s="1" t="n">
        <v>45677.39440972222</v>
      </c>
      <c r="C915" s="1" t="n">
        <v>45987</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40325-2023</t>
        </is>
      </c>
      <c r="B916" s="1" t="n">
        <v>45169</v>
      </c>
      <c r="C916" s="1" t="n">
        <v>45987</v>
      </c>
      <c r="D916" t="inlineStr">
        <is>
          <t>UPPSALA LÄN</t>
        </is>
      </c>
      <c r="E916" t="inlineStr">
        <is>
          <t>UPPSALA</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56872-2023</t>
        </is>
      </c>
      <c r="B917" s="1" t="n">
        <v>45244.52202546296</v>
      </c>
      <c r="C917" s="1" t="n">
        <v>45987</v>
      </c>
      <c r="D917" t="inlineStr">
        <is>
          <t>UPPSALA LÄN</t>
        </is>
      </c>
      <c r="E917" t="inlineStr">
        <is>
          <t>UPPSALA</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20301-2024</t>
        </is>
      </c>
      <c r="B918" s="1" t="n">
        <v>45435.34778935185</v>
      </c>
      <c r="C918" s="1" t="n">
        <v>45987</v>
      </c>
      <c r="D918" t="inlineStr">
        <is>
          <t>UPPSALA LÄN</t>
        </is>
      </c>
      <c r="E918" t="inlineStr">
        <is>
          <t>UPPSALA</t>
        </is>
      </c>
      <c r="F918" t="inlineStr">
        <is>
          <t>Kyrkan</t>
        </is>
      </c>
      <c r="G918" t="n">
        <v>2.8</v>
      </c>
      <c r="H918" t="n">
        <v>0</v>
      </c>
      <c r="I918" t="n">
        <v>0</v>
      </c>
      <c r="J918" t="n">
        <v>0</v>
      </c>
      <c r="K918" t="n">
        <v>0</v>
      </c>
      <c r="L918" t="n">
        <v>0</v>
      </c>
      <c r="M918" t="n">
        <v>0</v>
      </c>
      <c r="N918" t="n">
        <v>0</v>
      </c>
      <c r="O918" t="n">
        <v>0</v>
      </c>
      <c r="P918" t="n">
        <v>0</v>
      </c>
      <c r="Q918" t="n">
        <v>0</v>
      </c>
      <c r="R918" s="2" t="inlineStr"/>
    </row>
    <row r="919" ht="15" customHeight="1">
      <c r="A919" t="inlineStr">
        <is>
          <t>A 18805-2025</t>
        </is>
      </c>
      <c r="B919" s="1" t="n">
        <v>45763</v>
      </c>
      <c r="C919" s="1" t="n">
        <v>45987</v>
      </c>
      <c r="D919" t="inlineStr">
        <is>
          <t>UPPSALA LÄN</t>
        </is>
      </c>
      <c r="E919" t="inlineStr">
        <is>
          <t>UPPSALA</t>
        </is>
      </c>
      <c r="G919" t="n">
        <v>0.8</v>
      </c>
      <c r="H919" t="n">
        <v>0</v>
      </c>
      <c r="I919" t="n">
        <v>0</v>
      </c>
      <c r="J919" t="n">
        <v>0</v>
      </c>
      <c r="K919" t="n">
        <v>0</v>
      </c>
      <c r="L919" t="n">
        <v>0</v>
      </c>
      <c r="M919" t="n">
        <v>0</v>
      </c>
      <c r="N919" t="n">
        <v>0</v>
      </c>
      <c r="O919" t="n">
        <v>0</v>
      </c>
      <c r="P919" t="n">
        <v>0</v>
      </c>
      <c r="Q919" t="n">
        <v>0</v>
      </c>
      <c r="R919" s="2" t="inlineStr"/>
    </row>
    <row r="920" ht="15" customHeight="1">
      <c r="A920" t="inlineStr">
        <is>
          <t>A 39007-2024</t>
        </is>
      </c>
      <c r="B920" s="1" t="n">
        <v>45548.42854166667</v>
      </c>
      <c r="C920" s="1" t="n">
        <v>45987</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69595-2021</t>
        </is>
      </c>
      <c r="B921" s="1" t="n">
        <v>44532</v>
      </c>
      <c r="C921" s="1" t="n">
        <v>45987</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44830-2023</t>
        </is>
      </c>
      <c r="B922" s="1" t="n">
        <v>45190</v>
      </c>
      <c r="C922" s="1" t="n">
        <v>45987</v>
      </c>
      <c r="D922" t="inlineStr">
        <is>
          <t>UPPSALA LÄN</t>
        </is>
      </c>
      <c r="E922" t="inlineStr">
        <is>
          <t>UPPSALA</t>
        </is>
      </c>
      <c r="G922" t="n">
        <v>1.9</v>
      </c>
      <c r="H922" t="n">
        <v>0</v>
      </c>
      <c r="I922" t="n">
        <v>0</v>
      </c>
      <c r="J922" t="n">
        <v>0</v>
      </c>
      <c r="K922" t="n">
        <v>0</v>
      </c>
      <c r="L922" t="n">
        <v>0</v>
      </c>
      <c r="M922" t="n">
        <v>0</v>
      </c>
      <c r="N922" t="n">
        <v>0</v>
      </c>
      <c r="O922" t="n">
        <v>0</v>
      </c>
      <c r="P922" t="n">
        <v>0</v>
      </c>
      <c r="Q922" t="n">
        <v>0</v>
      </c>
      <c r="R922" s="2" t="inlineStr"/>
    </row>
    <row r="923" ht="15" customHeight="1">
      <c r="A923" t="inlineStr">
        <is>
          <t>A 9426-2023</t>
        </is>
      </c>
      <c r="B923" s="1" t="n">
        <v>44977</v>
      </c>
      <c r="C923" s="1" t="n">
        <v>45987</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5975-2024</t>
        </is>
      </c>
      <c r="B924" s="1" t="n">
        <v>45336.54270833333</v>
      </c>
      <c r="C924" s="1" t="n">
        <v>45987</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32428-2023</t>
        </is>
      </c>
      <c r="B925" s="1" t="n">
        <v>45110</v>
      </c>
      <c r="C925" s="1" t="n">
        <v>45987</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45489-2023</t>
        </is>
      </c>
      <c r="B926" s="1" t="n">
        <v>45194</v>
      </c>
      <c r="C926" s="1" t="n">
        <v>45987</v>
      </c>
      <c r="D926" t="inlineStr">
        <is>
          <t>UPPSALA LÄN</t>
        </is>
      </c>
      <c r="E926" t="inlineStr">
        <is>
          <t>UPPSALA</t>
        </is>
      </c>
      <c r="F926" t="inlineStr">
        <is>
          <t>Allmännings- och besparingsskogar</t>
        </is>
      </c>
      <c r="G926" t="n">
        <v>15.8</v>
      </c>
      <c r="H926" t="n">
        <v>0</v>
      </c>
      <c r="I926" t="n">
        <v>0</v>
      </c>
      <c r="J926" t="n">
        <v>0</v>
      </c>
      <c r="K926" t="n">
        <v>0</v>
      </c>
      <c r="L926" t="n">
        <v>0</v>
      </c>
      <c r="M926" t="n">
        <v>0</v>
      </c>
      <c r="N926" t="n">
        <v>0</v>
      </c>
      <c r="O926" t="n">
        <v>0</v>
      </c>
      <c r="P926" t="n">
        <v>0</v>
      </c>
      <c r="Q926" t="n">
        <v>0</v>
      </c>
      <c r="R926" s="2" t="inlineStr"/>
    </row>
    <row r="927" ht="15" customHeight="1">
      <c r="A927" t="inlineStr">
        <is>
          <t>A 27473-2024</t>
        </is>
      </c>
      <c r="B927" s="1" t="n">
        <v>45474</v>
      </c>
      <c r="C927" s="1" t="n">
        <v>45987</v>
      </c>
      <c r="D927" t="inlineStr">
        <is>
          <t>UPPSALA LÄN</t>
        </is>
      </c>
      <c r="E927" t="inlineStr">
        <is>
          <t>UPPSALA</t>
        </is>
      </c>
      <c r="G927" t="n">
        <v>0.6</v>
      </c>
      <c r="H927" t="n">
        <v>0</v>
      </c>
      <c r="I927" t="n">
        <v>0</v>
      </c>
      <c r="J927" t="n">
        <v>0</v>
      </c>
      <c r="K927" t="n">
        <v>0</v>
      </c>
      <c r="L927" t="n">
        <v>0</v>
      </c>
      <c r="M927" t="n">
        <v>0</v>
      </c>
      <c r="N927" t="n">
        <v>0</v>
      </c>
      <c r="O927" t="n">
        <v>0</v>
      </c>
      <c r="P927" t="n">
        <v>0</v>
      </c>
      <c r="Q927" t="n">
        <v>0</v>
      </c>
      <c r="R927" s="2" t="inlineStr"/>
    </row>
    <row r="928" ht="15" customHeight="1">
      <c r="A928" t="inlineStr">
        <is>
          <t>A 53614-2024</t>
        </is>
      </c>
      <c r="B928" s="1" t="n">
        <v>45611</v>
      </c>
      <c r="C928" s="1" t="n">
        <v>45987</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784-2024</t>
        </is>
      </c>
      <c r="B929" s="1" t="n">
        <v>45300.55680555556</v>
      </c>
      <c r="C929" s="1" t="n">
        <v>45987</v>
      </c>
      <c r="D929" t="inlineStr">
        <is>
          <t>UPPSALA LÄN</t>
        </is>
      </c>
      <c r="E929" t="inlineStr">
        <is>
          <t>UPPSALA</t>
        </is>
      </c>
      <c r="G929" t="n">
        <v>6.6</v>
      </c>
      <c r="H929" t="n">
        <v>0</v>
      </c>
      <c r="I929" t="n">
        <v>0</v>
      </c>
      <c r="J929" t="n">
        <v>0</v>
      </c>
      <c r="K929" t="n">
        <v>0</v>
      </c>
      <c r="L929" t="n">
        <v>0</v>
      </c>
      <c r="M929" t="n">
        <v>0</v>
      </c>
      <c r="N929" t="n">
        <v>0</v>
      </c>
      <c r="O929" t="n">
        <v>0</v>
      </c>
      <c r="P929" t="n">
        <v>0</v>
      </c>
      <c r="Q929" t="n">
        <v>0</v>
      </c>
      <c r="R929" s="2" t="inlineStr"/>
    </row>
    <row r="930" ht="15" customHeight="1">
      <c r="A930" t="inlineStr">
        <is>
          <t>A 48153-2024</t>
        </is>
      </c>
      <c r="B930" s="1" t="n">
        <v>45589</v>
      </c>
      <c r="C930" s="1" t="n">
        <v>45987</v>
      </c>
      <c r="D930" t="inlineStr">
        <is>
          <t>UPPSALA LÄN</t>
        </is>
      </c>
      <c r="E930" t="inlineStr">
        <is>
          <t>UPPSALA</t>
        </is>
      </c>
      <c r="G930" t="n">
        <v>3.4</v>
      </c>
      <c r="H930" t="n">
        <v>0</v>
      </c>
      <c r="I930" t="n">
        <v>0</v>
      </c>
      <c r="J930" t="n">
        <v>0</v>
      </c>
      <c r="K930" t="n">
        <v>0</v>
      </c>
      <c r="L930" t="n">
        <v>0</v>
      </c>
      <c r="M930" t="n">
        <v>0</v>
      </c>
      <c r="N930" t="n">
        <v>0</v>
      </c>
      <c r="O930" t="n">
        <v>0</v>
      </c>
      <c r="P930" t="n">
        <v>0</v>
      </c>
      <c r="Q930" t="n">
        <v>0</v>
      </c>
      <c r="R930" s="2" t="inlineStr"/>
    </row>
    <row r="931" ht="15" customHeight="1">
      <c r="A931" t="inlineStr">
        <is>
          <t>A 48154-2024</t>
        </is>
      </c>
      <c r="B931" s="1" t="n">
        <v>45589</v>
      </c>
      <c r="C931" s="1" t="n">
        <v>45987</v>
      </c>
      <c r="D931" t="inlineStr">
        <is>
          <t>UPPSALA LÄN</t>
        </is>
      </c>
      <c r="E931" t="inlineStr">
        <is>
          <t>UPPSALA</t>
        </is>
      </c>
      <c r="G931" t="n">
        <v>5.1</v>
      </c>
      <c r="H931" t="n">
        <v>0</v>
      </c>
      <c r="I931" t="n">
        <v>0</v>
      </c>
      <c r="J931" t="n">
        <v>0</v>
      </c>
      <c r="K931" t="n">
        <v>0</v>
      </c>
      <c r="L931" t="n">
        <v>0</v>
      </c>
      <c r="M931" t="n">
        <v>0</v>
      </c>
      <c r="N931" t="n">
        <v>0</v>
      </c>
      <c r="O931" t="n">
        <v>0</v>
      </c>
      <c r="P931" t="n">
        <v>0</v>
      </c>
      <c r="Q931" t="n">
        <v>0</v>
      </c>
      <c r="R931" s="2" t="inlineStr"/>
    </row>
    <row r="932" ht="15" customHeight="1">
      <c r="A932" t="inlineStr">
        <is>
          <t>A 8132-2022</t>
        </is>
      </c>
      <c r="B932" s="1" t="n">
        <v>44609.60171296296</v>
      </c>
      <c r="C932" s="1" t="n">
        <v>45987</v>
      </c>
      <c r="D932" t="inlineStr">
        <is>
          <t>UPPSALA LÄN</t>
        </is>
      </c>
      <c r="E932" t="inlineStr">
        <is>
          <t>UPPSALA</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62471-2021</t>
        </is>
      </c>
      <c r="B933" s="1" t="n">
        <v>44503</v>
      </c>
      <c r="C933" s="1" t="n">
        <v>45987</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10565-2022</t>
        </is>
      </c>
      <c r="B934" s="1" t="n">
        <v>44624.35083333333</v>
      </c>
      <c r="C934" s="1" t="n">
        <v>45987</v>
      </c>
      <c r="D934" t="inlineStr">
        <is>
          <t>UPPSALA LÄN</t>
        </is>
      </c>
      <c r="E934" t="inlineStr">
        <is>
          <t>UPPSALA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24091-2024</t>
        </is>
      </c>
      <c r="B935" s="1" t="n">
        <v>45456.58491898148</v>
      </c>
      <c r="C935" s="1" t="n">
        <v>45987</v>
      </c>
      <c r="D935" t="inlineStr">
        <is>
          <t>UPPSALA LÄN</t>
        </is>
      </c>
      <c r="E935" t="inlineStr">
        <is>
          <t>UPPSALA</t>
        </is>
      </c>
      <c r="G935" t="n">
        <v>1.8</v>
      </c>
      <c r="H935" t="n">
        <v>0</v>
      </c>
      <c r="I935" t="n">
        <v>0</v>
      </c>
      <c r="J935" t="n">
        <v>0</v>
      </c>
      <c r="K935" t="n">
        <v>0</v>
      </c>
      <c r="L935" t="n">
        <v>0</v>
      </c>
      <c r="M935" t="n">
        <v>0</v>
      </c>
      <c r="N935" t="n">
        <v>0</v>
      </c>
      <c r="O935" t="n">
        <v>0</v>
      </c>
      <c r="P935" t="n">
        <v>0</v>
      </c>
      <c r="Q935" t="n">
        <v>0</v>
      </c>
      <c r="R935" s="2" t="inlineStr"/>
    </row>
    <row r="936" ht="15" customHeight="1">
      <c r="A936" t="inlineStr">
        <is>
          <t>A 57714-2022</t>
        </is>
      </c>
      <c r="B936" s="1" t="n">
        <v>44897</v>
      </c>
      <c r="C936" s="1" t="n">
        <v>45987</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12284-2025</t>
        </is>
      </c>
      <c r="B937" s="1" t="n">
        <v>45729</v>
      </c>
      <c r="C937" s="1" t="n">
        <v>45987</v>
      </c>
      <c r="D937" t="inlineStr">
        <is>
          <t>UPPSALA LÄN</t>
        </is>
      </c>
      <c r="E937" t="inlineStr">
        <is>
          <t>UPPSALA</t>
        </is>
      </c>
      <c r="G937" t="n">
        <v>6.7</v>
      </c>
      <c r="H937" t="n">
        <v>0</v>
      </c>
      <c r="I937" t="n">
        <v>0</v>
      </c>
      <c r="J937" t="n">
        <v>0</v>
      </c>
      <c r="K937" t="n">
        <v>0</v>
      </c>
      <c r="L937" t="n">
        <v>0</v>
      </c>
      <c r="M937" t="n">
        <v>0</v>
      </c>
      <c r="N937" t="n">
        <v>0</v>
      </c>
      <c r="O937" t="n">
        <v>0</v>
      </c>
      <c r="P937" t="n">
        <v>0</v>
      </c>
      <c r="Q937" t="n">
        <v>0</v>
      </c>
      <c r="R937" s="2" t="inlineStr"/>
    </row>
    <row r="938" ht="15" customHeight="1">
      <c r="A938" t="inlineStr">
        <is>
          <t>A 12287-2025</t>
        </is>
      </c>
      <c r="B938" s="1" t="n">
        <v>45729</v>
      </c>
      <c r="C938" s="1" t="n">
        <v>45987</v>
      </c>
      <c r="D938" t="inlineStr">
        <is>
          <t>UPPSALA LÄN</t>
        </is>
      </c>
      <c r="E938" t="inlineStr">
        <is>
          <t>UPPSALA</t>
        </is>
      </c>
      <c r="G938" t="n">
        <v>4.6</v>
      </c>
      <c r="H938" t="n">
        <v>0</v>
      </c>
      <c r="I938" t="n">
        <v>0</v>
      </c>
      <c r="J938" t="n">
        <v>0</v>
      </c>
      <c r="K938" t="n">
        <v>0</v>
      </c>
      <c r="L938" t="n">
        <v>0</v>
      </c>
      <c r="M938" t="n">
        <v>0</v>
      </c>
      <c r="N938" t="n">
        <v>0</v>
      </c>
      <c r="O938" t="n">
        <v>0</v>
      </c>
      <c r="P938" t="n">
        <v>0</v>
      </c>
      <c r="Q938" t="n">
        <v>0</v>
      </c>
      <c r="R938" s="2" t="inlineStr"/>
    </row>
    <row r="939" ht="15" customHeight="1">
      <c r="A939" t="inlineStr">
        <is>
          <t>A 4461-2024</t>
        </is>
      </c>
      <c r="B939" s="1" t="n">
        <v>45327</v>
      </c>
      <c r="C939" s="1" t="n">
        <v>45987</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45987</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51576-2023</t>
        </is>
      </c>
      <c r="B941" s="1" t="n">
        <v>45222</v>
      </c>
      <c r="C941" s="1" t="n">
        <v>45987</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4929-2022</t>
        </is>
      </c>
      <c r="B942" s="1" t="n">
        <v>44593</v>
      </c>
      <c r="C942" s="1" t="n">
        <v>45987</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4240-2025</t>
        </is>
      </c>
      <c r="B943" s="1" t="n">
        <v>45685.5778125</v>
      </c>
      <c r="C943" s="1" t="n">
        <v>45987</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6012-2025</t>
        </is>
      </c>
      <c r="B944" s="1" t="n">
        <v>45695.59805555556</v>
      </c>
      <c r="C944" s="1" t="n">
        <v>45987</v>
      </c>
      <c r="D944" t="inlineStr">
        <is>
          <t>UPPSALA LÄN</t>
        </is>
      </c>
      <c r="E944" t="inlineStr">
        <is>
          <t>UPPSALA</t>
        </is>
      </c>
      <c r="F944" t="inlineStr">
        <is>
          <t>Övriga Aktiebolag</t>
        </is>
      </c>
      <c r="G944" t="n">
        <v>14.3</v>
      </c>
      <c r="H944" t="n">
        <v>0</v>
      </c>
      <c r="I944" t="n">
        <v>0</v>
      </c>
      <c r="J944" t="n">
        <v>0</v>
      </c>
      <c r="K944" t="n">
        <v>0</v>
      </c>
      <c r="L944" t="n">
        <v>0</v>
      </c>
      <c r="M944" t="n">
        <v>0</v>
      </c>
      <c r="N944" t="n">
        <v>0</v>
      </c>
      <c r="O944" t="n">
        <v>0</v>
      </c>
      <c r="P944" t="n">
        <v>0</v>
      </c>
      <c r="Q944" t="n">
        <v>0</v>
      </c>
      <c r="R944" s="2" t="inlineStr"/>
    </row>
    <row r="945" ht="15" customHeight="1">
      <c r="A945" t="inlineStr">
        <is>
          <t>A 24787-2024</t>
        </is>
      </c>
      <c r="B945" s="1" t="n">
        <v>45460</v>
      </c>
      <c r="C945" s="1" t="n">
        <v>45987</v>
      </c>
      <c r="D945" t="inlineStr">
        <is>
          <t>UPPSALA LÄN</t>
        </is>
      </c>
      <c r="E945" t="inlineStr">
        <is>
          <t>UPPSALA</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7388-2024</t>
        </is>
      </c>
      <c r="B946" s="1" t="n">
        <v>45345.56</v>
      </c>
      <c r="C946" s="1" t="n">
        <v>45987</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60984-2022</t>
        </is>
      </c>
      <c r="B947" s="1" t="n">
        <v>44914.67600694444</v>
      </c>
      <c r="C947" s="1" t="n">
        <v>45987</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21052-2023</t>
        </is>
      </c>
      <c r="B948" s="1" t="n">
        <v>45061</v>
      </c>
      <c r="C948" s="1" t="n">
        <v>45987</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1855-2021</t>
        </is>
      </c>
      <c r="B949" s="1" t="n">
        <v>44210</v>
      </c>
      <c r="C949" s="1" t="n">
        <v>45987</v>
      </c>
      <c r="D949" t="inlineStr">
        <is>
          <t>UPPSALA LÄN</t>
        </is>
      </c>
      <c r="E949" t="inlineStr">
        <is>
          <t>UPPSALA</t>
        </is>
      </c>
      <c r="G949" t="n">
        <v>0.9</v>
      </c>
      <c r="H949" t="n">
        <v>0</v>
      </c>
      <c r="I949" t="n">
        <v>0</v>
      </c>
      <c r="J949" t="n">
        <v>0</v>
      </c>
      <c r="K949" t="n">
        <v>0</v>
      </c>
      <c r="L949" t="n">
        <v>0</v>
      </c>
      <c r="M949" t="n">
        <v>0</v>
      </c>
      <c r="N949" t="n">
        <v>0</v>
      </c>
      <c r="O949" t="n">
        <v>0</v>
      </c>
      <c r="P949" t="n">
        <v>0</v>
      </c>
      <c r="Q949" t="n">
        <v>0</v>
      </c>
      <c r="R949" s="2" t="inlineStr"/>
    </row>
    <row r="950" ht="15" customHeight="1">
      <c r="A950" t="inlineStr">
        <is>
          <t>A 46743-2024</t>
        </is>
      </c>
      <c r="B950" s="1" t="n">
        <v>45583.47836805556</v>
      </c>
      <c r="C950" s="1" t="n">
        <v>45987</v>
      </c>
      <c r="D950" t="inlineStr">
        <is>
          <t>UPPSALA LÄN</t>
        </is>
      </c>
      <c r="E950" t="inlineStr">
        <is>
          <t>UPPSALA</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60701-2022</t>
        </is>
      </c>
      <c r="B951" s="1" t="n">
        <v>44912</v>
      </c>
      <c r="C951" s="1" t="n">
        <v>45987</v>
      </c>
      <c r="D951" t="inlineStr">
        <is>
          <t>UPPSALA LÄN</t>
        </is>
      </c>
      <c r="E951" t="inlineStr">
        <is>
          <t>UPPSALA</t>
        </is>
      </c>
      <c r="G951" t="n">
        <v>1.4</v>
      </c>
      <c r="H951" t="n">
        <v>0</v>
      </c>
      <c r="I951" t="n">
        <v>0</v>
      </c>
      <c r="J951" t="n">
        <v>0</v>
      </c>
      <c r="K951" t="n">
        <v>0</v>
      </c>
      <c r="L951" t="n">
        <v>0</v>
      </c>
      <c r="M951" t="n">
        <v>0</v>
      </c>
      <c r="N951" t="n">
        <v>0</v>
      </c>
      <c r="O951" t="n">
        <v>0</v>
      </c>
      <c r="P951" t="n">
        <v>0</v>
      </c>
      <c r="Q951" t="n">
        <v>0</v>
      </c>
      <c r="R951" s="2" t="inlineStr"/>
    </row>
    <row r="952" ht="15" customHeight="1">
      <c r="A952" t="inlineStr">
        <is>
          <t>A 6997-2023</t>
        </is>
      </c>
      <c r="B952" s="1" t="n">
        <v>44967.78984953704</v>
      </c>
      <c r="C952" s="1" t="n">
        <v>45987</v>
      </c>
      <c r="D952" t="inlineStr">
        <is>
          <t>UPPSALA LÄN</t>
        </is>
      </c>
      <c r="E952" t="inlineStr">
        <is>
          <t>UPPSALA</t>
        </is>
      </c>
      <c r="G952" t="n">
        <v>3.9</v>
      </c>
      <c r="H952" t="n">
        <v>0</v>
      </c>
      <c r="I952" t="n">
        <v>0</v>
      </c>
      <c r="J952" t="n">
        <v>0</v>
      </c>
      <c r="K952" t="n">
        <v>0</v>
      </c>
      <c r="L952" t="n">
        <v>0</v>
      </c>
      <c r="M952" t="n">
        <v>0</v>
      </c>
      <c r="N952" t="n">
        <v>0</v>
      </c>
      <c r="O952" t="n">
        <v>0</v>
      </c>
      <c r="P952" t="n">
        <v>0</v>
      </c>
      <c r="Q952" t="n">
        <v>0</v>
      </c>
      <c r="R952" s="2" t="inlineStr"/>
    </row>
    <row r="953" ht="15" customHeight="1">
      <c r="A953" t="inlineStr">
        <is>
          <t>A 23157-2023</t>
        </is>
      </c>
      <c r="B953" s="1" t="n">
        <v>45075.51982638889</v>
      </c>
      <c r="C953" s="1" t="n">
        <v>45987</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6549-2025</t>
        </is>
      </c>
      <c r="B954" s="1" t="n">
        <v>45699</v>
      </c>
      <c r="C954" s="1" t="n">
        <v>45987</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12830-2025</t>
        </is>
      </c>
      <c r="B955" s="1" t="n">
        <v>45733.63099537037</v>
      </c>
      <c r="C955" s="1" t="n">
        <v>45987</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18808-2024</t>
        </is>
      </c>
      <c r="B956" s="1" t="n">
        <v>45426.61569444444</v>
      </c>
      <c r="C956" s="1" t="n">
        <v>45987</v>
      </c>
      <c r="D956" t="inlineStr">
        <is>
          <t>UPPSALA LÄN</t>
        </is>
      </c>
      <c r="E956" t="inlineStr">
        <is>
          <t>UPPSALA</t>
        </is>
      </c>
      <c r="G956" t="n">
        <v>11.5</v>
      </c>
      <c r="H956" t="n">
        <v>0</v>
      </c>
      <c r="I956" t="n">
        <v>0</v>
      </c>
      <c r="J956" t="n">
        <v>0</v>
      </c>
      <c r="K956" t="n">
        <v>0</v>
      </c>
      <c r="L956" t="n">
        <v>0</v>
      </c>
      <c r="M956" t="n">
        <v>0</v>
      </c>
      <c r="N956" t="n">
        <v>0</v>
      </c>
      <c r="O956" t="n">
        <v>0</v>
      </c>
      <c r="P956" t="n">
        <v>0</v>
      </c>
      <c r="Q956" t="n">
        <v>0</v>
      </c>
      <c r="R956" s="2" t="inlineStr"/>
    </row>
    <row r="957" ht="15" customHeight="1">
      <c r="A957" t="inlineStr">
        <is>
          <t>A 28782-2024</t>
        </is>
      </c>
      <c r="B957" s="1" t="n">
        <v>45478.60802083334</v>
      </c>
      <c r="C957" s="1" t="n">
        <v>45987</v>
      </c>
      <c r="D957" t="inlineStr">
        <is>
          <t>UPPSALA LÄN</t>
        </is>
      </c>
      <c r="E957" t="inlineStr">
        <is>
          <t>UPPSALA</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9981-2025</t>
        </is>
      </c>
      <c r="B958" s="1" t="n">
        <v>45719.40723379629</v>
      </c>
      <c r="C958" s="1" t="n">
        <v>45987</v>
      </c>
      <c r="D958" t="inlineStr">
        <is>
          <t>UPPSALA LÄN</t>
        </is>
      </c>
      <c r="E958" t="inlineStr">
        <is>
          <t>UPPSALA</t>
        </is>
      </c>
      <c r="F958" t="inlineStr">
        <is>
          <t>Kyrkan</t>
        </is>
      </c>
      <c r="G958" t="n">
        <v>2.9</v>
      </c>
      <c r="H958" t="n">
        <v>0</v>
      </c>
      <c r="I958" t="n">
        <v>0</v>
      </c>
      <c r="J958" t="n">
        <v>0</v>
      </c>
      <c r="K958" t="n">
        <v>0</v>
      </c>
      <c r="L958" t="n">
        <v>0</v>
      </c>
      <c r="M958" t="n">
        <v>0</v>
      </c>
      <c r="N958" t="n">
        <v>0</v>
      </c>
      <c r="O958" t="n">
        <v>0</v>
      </c>
      <c r="P958" t="n">
        <v>0</v>
      </c>
      <c r="Q958" t="n">
        <v>0</v>
      </c>
      <c r="R958" s="2" t="inlineStr"/>
    </row>
    <row r="959" ht="15" customHeight="1">
      <c r="A959" t="inlineStr">
        <is>
          <t>A 36781-2023</t>
        </is>
      </c>
      <c r="B959" s="1" t="n">
        <v>45154.34931712963</v>
      </c>
      <c r="C959" s="1" t="n">
        <v>45987</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6550-2025</t>
        </is>
      </c>
      <c r="B960" s="1" t="n">
        <v>45699.71063657408</v>
      </c>
      <c r="C960" s="1" t="n">
        <v>45987</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12282-2025</t>
        </is>
      </c>
      <c r="B961" s="1" t="n">
        <v>45729</v>
      </c>
      <c r="C961" s="1" t="n">
        <v>45987</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14907-2025</t>
        </is>
      </c>
      <c r="B962" s="1" t="n">
        <v>45743.50744212963</v>
      </c>
      <c r="C962" s="1" t="n">
        <v>45987</v>
      </c>
      <c r="D962" t="inlineStr">
        <is>
          <t>UPPSALA LÄN</t>
        </is>
      </c>
      <c r="E962" t="inlineStr">
        <is>
          <t>UPPSALA</t>
        </is>
      </c>
      <c r="G962" t="n">
        <v>7</v>
      </c>
      <c r="H962" t="n">
        <v>0</v>
      </c>
      <c r="I962" t="n">
        <v>0</v>
      </c>
      <c r="J962" t="n">
        <v>0</v>
      </c>
      <c r="K962" t="n">
        <v>0</v>
      </c>
      <c r="L962" t="n">
        <v>0</v>
      </c>
      <c r="M962" t="n">
        <v>0</v>
      </c>
      <c r="N962" t="n">
        <v>0</v>
      </c>
      <c r="O962" t="n">
        <v>0</v>
      </c>
      <c r="P962" t="n">
        <v>0</v>
      </c>
      <c r="Q962" t="n">
        <v>0</v>
      </c>
      <c r="R962" s="2" t="inlineStr"/>
    </row>
    <row r="963" ht="15" customHeight="1">
      <c r="A963" t="inlineStr">
        <is>
          <t>A 41545-2023</t>
        </is>
      </c>
      <c r="B963" s="1" t="n">
        <v>45175.57060185185</v>
      </c>
      <c r="C963" s="1" t="n">
        <v>45987</v>
      </c>
      <c r="D963" t="inlineStr">
        <is>
          <t>UPPSALA LÄN</t>
        </is>
      </c>
      <c r="E963" t="inlineStr">
        <is>
          <t>UPPSALA</t>
        </is>
      </c>
      <c r="G963" t="n">
        <v>6.6</v>
      </c>
      <c r="H963" t="n">
        <v>0</v>
      </c>
      <c r="I963" t="n">
        <v>0</v>
      </c>
      <c r="J963" t="n">
        <v>0</v>
      </c>
      <c r="K963" t="n">
        <v>0</v>
      </c>
      <c r="L963" t="n">
        <v>0</v>
      </c>
      <c r="M963" t="n">
        <v>0</v>
      </c>
      <c r="N963" t="n">
        <v>0</v>
      </c>
      <c r="O963" t="n">
        <v>0</v>
      </c>
      <c r="P963" t="n">
        <v>0</v>
      </c>
      <c r="Q963" t="n">
        <v>0</v>
      </c>
      <c r="R963" s="2" t="inlineStr"/>
    </row>
    <row r="964" ht="15" customHeight="1">
      <c r="A964" t="inlineStr">
        <is>
          <t>A 6006-2025</t>
        </is>
      </c>
      <c r="B964" s="1" t="n">
        <v>45695.59197916667</v>
      </c>
      <c r="C964" s="1" t="n">
        <v>45987</v>
      </c>
      <c r="D964" t="inlineStr">
        <is>
          <t>UPPSALA LÄN</t>
        </is>
      </c>
      <c r="E964" t="inlineStr">
        <is>
          <t>UPPSALA</t>
        </is>
      </c>
      <c r="F964" t="inlineStr">
        <is>
          <t>Övriga Aktiebolag</t>
        </is>
      </c>
      <c r="G964" t="n">
        <v>13.8</v>
      </c>
      <c r="H964" t="n">
        <v>0</v>
      </c>
      <c r="I964" t="n">
        <v>0</v>
      </c>
      <c r="J964" t="n">
        <v>0</v>
      </c>
      <c r="K964" t="n">
        <v>0</v>
      </c>
      <c r="L964" t="n">
        <v>0</v>
      </c>
      <c r="M964" t="n">
        <v>0</v>
      </c>
      <c r="N964" t="n">
        <v>0</v>
      </c>
      <c r="O964" t="n">
        <v>0</v>
      </c>
      <c r="P964" t="n">
        <v>0</v>
      </c>
      <c r="Q964" t="n">
        <v>0</v>
      </c>
      <c r="R964" s="2" t="inlineStr"/>
    </row>
    <row r="965" ht="15" customHeight="1">
      <c r="A965" t="inlineStr">
        <is>
          <t>A 60691-2024</t>
        </is>
      </c>
      <c r="B965" s="1" t="n">
        <v>45644.47723379629</v>
      </c>
      <c r="C965" s="1" t="n">
        <v>45987</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13526-2023</t>
        </is>
      </c>
      <c r="B966" s="1" t="n">
        <v>45006</v>
      </c>
      <c r="C966" s="1" t="n">
        <v>45987</v>
      </c>
      <c r="D966" t="inlineStr">
        <is>
          <t>UPPSALA LÄN</t>
        </is>
      </c>
      <c r="E966" t="inlineStr">
        <is>
          <t>UPPSALA</t>
        </is>
      </c>
      <c r="G966" t="n">
        <v>0.7</v>
      </c>
      <c r="H966" t="n">
        <v>0</v>
      </c>
      <c r="I966" t="n">
        <v>0</v>
      </c>
      <c r="J966" t="n">
        <v>0</v>
      </c>
      <c r="K966" t="n">
        <v>0</v>
      </c>
      <c r="L966" t="n">
        <v>0</v>
      </c>
      <c r="M966" t="n">
        <v>0</v>
      </c>
      <c r="N966" t="n">
        <v>0</v>
      </c>
      <c r="O966" t="n">
        <v>0</v>
      </c>
      <c r="P966" t="n">
        <v>0</v>
      </c>
      <c r="Q966" t="n">
        <v>0</v>
      </c>
      <c r="R966" s="2" t="inlineStr"/>
    </row>
    <row r="967" ht="15" customHeight="1">
      <c r="A967" t="inlineStr">
        <is>
          <t>A 1825-2024</t>
        </is>
      </c>
      <c r="B967" s="1" t="n">
        <v>45307</v>
      </c>
      <c r="C967" s="1" t="n">
        <v>45987</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53266-2024</t>
        </is>
      </c>
      <c r="B968" s="1" t="n">
        <v>45614</v>
      </c>
      <c r="C968" s="1" t="n">
        <v>45987</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4412-2024</t>
        </is>
      </c>
      <c r="B969" s="1" t="n">
        <v>45327</v>
      </c>
      <c r="C969" s="1" t="n">
        <v>45987</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787-2024</t>
        </is>
      </c>
      <c r="B970" s="1" t="n">
        <v>45300</v>
      </c>
      <c r="C970" s="1" t="n">
        <v>45987</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1588-2025</t>
        </is>
      </c>
      <c r="B971" s="1" t="n">
        <v>45670</v>
      </c>
      <c r="C971" s="1" t="n">
        <v>45987</v>
      </c>
      <c r="D971" t="inlineStr">
        <is>
          <t>UPPSALA LÄN</t>
        </is>
      </c>
      <c r="E971" t="inlineStr">
        <is>
          <t>UPPSALA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20703-2025</t>
        </is>
      </c>
      <c r="B972" s="1" t="n">
        <v>45776.48275462963</v>
      </c>
      <c r="C972" s="1" t="n">
        <v>45987</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20712-2025</t>
        </is>
      </c>
      <c r="B973" s="1" t="n">
        <v>45776</v>
      </c>
      <c r="C973" s="1" t="n">
        <v>45987</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20686-2025</t>
        </is>
      </c>
      <c r="B974" s="1" t="n">
        <v>45776.45263888889</v>
      </c>
      <c r="C974" s="1" t="n">
        <v>45987</v>
      </c>
      <c r="D974" t="inlineStr">
        <is>
          <t>UPPSALA LÄN</t>
        </is>
      </c>
      <c r="E974" t="inlineStr">
        <is>
          <t>UPPSALA</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45987</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20797-2025</t>
        </is>
      </c>
      <c r="B976" s="1" t="n">
        <v>45776.6415162037</v>
      </c>
      <c r="C976" s="1" t="n">
        <v>45987</v>
      </c>
      <c r="D976" t="inlineStr">
        <is>
          <t>UPPSALA LÄN</t>
        </is>
      </c>
      <c r="E976" t="inlineStr">
        <is>
          <t>UPPSALA</t>
        </is>
      </c>
      <c r="F976" t="inlineStr">
        <is>
          <t>Kommuner</t>
        </is>
      </c>
      <c r="G976" t="n">
        <v>4.6</v>
      </c>
      <c r="H976" t="n">
        <v>0</v>
      </c>
      <c r="I976" t="n">
        <v>0</v>
      </c>
      <c r="J976" t="n">
        <v>0</v>
      </c>
      <c r="K976" t="n">
        <v>0</v>
      </c>
      <c r="L976" t="n">
        <v>0</v>
      </c>
      <c r="M976" t="n">
        <v>0</v>
      </c>
      <c r="N976" t="n">
        <v>0</v>
      </c>
      <c r="O976" t="n">
        <v>0</v>
      </c>
      <c r="P976" t="n">
        <v>0</v>
      </c>
      <c r="Q976" t="n">
        <v>0</v>
      </c>
      <c r="R976" s="2" t="inlineStr"/>
    </row>
    <row r="977" ht="15" customHeight="1">
      <c r="A977" t="inlineStr">
        <is>
          <t>A 20888-2025</t>
        </is>
      </c>
      <c r="B977" s="1" t="n">
        <v>45777.37119212963</v>
      </c>
      <c r="C977" s="1" t="n">
        <v>45987</v>
      </c>
      <c r="D977" t="inlineStr">
        <is>
          <t>UPPSALA LÄN</t>
        </is>
      </c>
      <c r="E977" t="inlineStr">
        <is>
          <t>UPPSALA</t>
        </is>
      </c>
      <c r="F977" t="inlineStr">
        <is>
          <t>Övriga statliga verk och myndigheter</t>
        </is>
      </c>
      <c r="G977" t="n">
        <v>5.1</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45987</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45987</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21033-2025</t>
        </is>
      </c>
      <c r="B980" s="1" t="n">
        <v>45777.52655092593</v>
      </c>
      <c r="C980" s="1" t="n">
        <v>45987</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20928-2025</t>
        </is>
      </c>
      <c r="B981" s="1" t="n">
        <v>45777</v>
      </c>
      <c r="C981" s="1" t="n">
        <v>45987</v>
      </c>
      <c r="D981" t="inlineStr">
        <is>
          <t>UPPSALA LÄN</t>
        </is>
      </c>
      <c r="E981" t="inlineStr">
        <is>
          <t>UPPSALA</t>
        </is>
      </c>
      <c r="G981" t="n">
        <v>11.9</v>
      </c>
      <c r="H981" t="n">
        <v>0</v>
      </c>
      <c r="I981" t="n">
        <v>0</v>
      </c>
      <c r="J981" t="n">
        <v>0</v>
      </c>
      <c r="K981" t="n">
        <v>0</v>
      </c>
      <c r="L981" t="n">
        <v>0</v>
      </c>
      <c r="M981" t="n">
        <v>0</v>
      </c>
      <c r="N981" t="n">
        <v>0</v>
      </c>
      <c r="O981" t="n">
        <v>0</v>
      </c>
      <c r="P981" t="n">
        <v>0</v>
      </c>
      <c r="Q981" t="n">
        <v>0</v>
      </c>
      <c r="R981" s="2" t="inlineStr"/>
    </row>
    <row r="982" ht="15" customHeight="1">
      <c r="A982" t="inlineStr">
        <is>
          <t>A 33667-2024</t>
        </is>
      </c>
      <c r="B982" s="1" t="n">
        <v>45520</v>
      </c>
      <c r="C982" s="1" t="n">
        <v>45987</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44847-2024</t>
        </is>
      </c>
      <c r="B983" s="1" t="n">
        <v>45574</v>
      </c>
      <c r="C983" s="1" t="n">
        <v>45987</v>
      </c>
      <c r="D983" t="inlineStr">
        <is>
          <t>UPPSALA LÄN</t>
        </is>
      </c>
      <c r="E983" t="inlineStr">
        <is>
          <t>UPPSALA</t>
        </is>
      </c>
      <c r="G983" t="n">
        <v>6.3</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45987</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45987</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45987</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45987</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45987</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750-2022</t>
        </is>
      </c>
      <c r="B989" s="1" t="n">
        <v>44569.49344907407</v>
      </c>
      <c r="C989" s="1" t="n">
        <v>45987</v>
      </c>
      <c r="D989" t="inlineStr">
        <is>
          <t>UPPSALA LÄN</t>
        </is>
      </c>
      <c r="E989" t="inlineStr">
        <is>
          <t>UPPSALA</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16324-2024</t>
        </is>
      </c>
      <c r="B990" s="1" t="n">
        <v>45407.49721064815</v>
      </c>
      <c r="C990" s="1" t="n">
        <v>45987</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22018-2025</t>
        </is>
      </c>
      <c r="B991" s="1" t="n">
        <v>45784.80497685185</v>
      </c>
      <c r="C991" s="1" t="n">
        <v>45987</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4980-2024</t>
        </is>
      </c>
      <c r="B992" s="1" t="n">
        <v>45329</v>
      </c>
      <c r="C992" s="1" t="n">
        <v>45987</v>
      </c>
      <c r="D992" t="inlineStr">
        <is>
          <t>UPPSALA LÄN</t>
        </is>
      </c>
      <c r="E992" t="inlineStr">
        <is>
          <t>UPPSALA</t>
        </is>
      </c>
      <c r="G992" t="n">
        <v>10.8</v>
      </c>
      <c r="H992" t="n">
        <v>0</v>
      </c>
      <c r="I992" t="n">
        <v>0</v>
      </c>
      <c r="J992" t="n">
        <v>0</v>
      </c>
      <c r="K992" t="n">
        <v>0</v>
      </c>
      <c r="L992" t="n">
        <v>0</v>
      </c>
      <c r="M992" t="n">
        <v>0</v>
      </c>
      <c r="N992" t="n">
        <v>0</v>
      </c>
      <c r="O992" t="n">
        <v>0</v>
      </c>
      <c r="P992" t="n">
        <v>0</v>
      </c>
      <c r="Q992" t="n">
        <v>0</v>
      </c>
      <c r="R992" s="2" t="inlineStr"/>
    </row>
    <row r="993" ht="15" customHeight="1">
      <c r="A993" t="inlineStr">
        <is>
          <t>A 42131-2023</t>
        </is>
      </c>
      <c r="B993" s="1" t="n">
        <v>45177.79766203704</v>
      </c>
      <c r="C993" s="1" t="n">
        <v>45987</v>
      </c>
      <c r="D993" t="inlineStr">
        <is>
          <t>UPPSALA LÄN</t>
        </is>
      </c>
      <c r="E993" t="inlineStr">
        <is>
          <t>UPPSALA</t>
        </is>
      </c>
      <c r="F993" t="inlineStr">
        <is>
          <t>Allmännings- och besparingsskogar</t>
        </is>
      </c>
      <c r="G993" t="n">
        <v>6.3</v>
      </c>
      <c r="H993" t="n">
        <v>0</v>
      </c>
      <c r="I993" t="n">
        <v>0</v>
      </c>
      <c r="J993" t="n">
        <v>0</v>
      </c>
      <c r="K993" t="n">
        <v>0</v>
      </c>
      <c r="L993" t="n">
        <v>0</v>
      </c>
      <c r="M993" t="n">
        <v>0</v>
      </c>
      <c r="N993" t="n">
        <v>0</v>
      </c>
      <c r="O993" t="n">
        <v>0</v>
      </c>
      <c r="P993" t="n">
        <v>0</v>
      </c>
      <c r="Q993" t="n">
        <v>0</v>
      </c>
      <c r="R993" s="2" t="inlineStr"/>
    </row>
    <row r="994" ht="15" customHeight="1">
      <c r="A994" t="inlineStr">
        <is>
          <t>A 40701-2024</t>
        </is>
      </c>
      <c r="B994" s="1" t="n">
        <v>45558.42498842593</v>
      </c>
      <c r="C994" s="1" t="n">
        <v>45987</v>
      </c>
      <c r="D994" t="inlineStr">
        <is>
          <t>UPPSALA LÄN</t>
        </is>
      </c>
      <c r="E994" t="inlineStr">
        <is>
          <t>UPPSALA</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42276-2024</t>
        </is>
      </c>
      <c r="B995" s="1" t="n">
        <v>45562</v>
      </c>
      <c r="C995" s="1" t="n">
        <v>45987</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10650-2024</t>
        </is>
      </c>
      <c r="B996" s="1" t="n">
        <v>45368.64787037037</v>
      </c>
      <c r="C996" s="1" t="n">
        <v>45987</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758-2022</t>
        </is>
      </c>
      <c r="B997" s="1" t="n">
        <v>44569.69358796296</v>
      </c>
      <c r="C997" s="1" t="n">
        <v>45987</v>
      </c>
      <c r="D997" t="inlineStr">
        <is>
          <t>UPPSALA LÄN</t>
        </is>
      </c>
      <c r="E997" t="inlineStr">
        <is>
          <t>UPPSALA</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3973-2025</t>
        </is>
      </c>
      <c r="B998" s="1" t="n">
        <v>45684</v>
      </c>
      <c r="C998" s="1" t="n">
        <v>45987</v>
      </c>
      <c r="D998" t="inlineStr">
        <is>
          <t>UPPSALA LÄN</t>
        </is>
      </c>
      <c r="E998" t="inlineStr">
        <is>
          <t>UPPSALA</t>
        </is>
      </c>
      <c r="G998" t="n">
        <v>8</v>
      </c>
      <c r="H998" t="n">
        <v>0</v>
      </c>
      <c r="I998" t="n">
        <v>0</v>
      </c>
      <c r="J998" t="n">
        <v>0</v>
      </c>
      <c r="K998" t="n">
        <v>0</v>
      </c>
      <c r="L998" t="n">
        <v>0</v>
      </c>
      <c r="M998" t="n">
        <v>0</v>
      </c>
      <c r="N998" t="n">
        <v>0</v>
      </c>
      <c r="O998" t="n">
        <v>0</v>
      </c>
      <c r="P998" t="n">
        <v>0</v>
      </c>
      <c r="Q998" t="n">
        <v>0</v>
      </c>
      <c r="R998" s="2" t="inlineStr"/>
    </row>
    <row r="999" ht="15" customHeight="1">
      <c r="A999" t="inlineStr">
        <is>
          <t>A 59570-2023</t>
        </is>
      </c>
      <c r="B999" s="1" t="n">
        <v>45254</v>
      </c>
      <c r="C999" s="1" t="n">
        <v>45987</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11339-2025</t>
        </is>
      </c>
      <c r="B1000" s="1" t="n">
        <v>45726</v>
      </c>
      <c r="C1000" s="1" t="n">
        <v>45987</v>
      </c>
      <c r="D1000" t="inlineStr">
        <is>
          <t>UPPSALA LÄN</t>
        </is>
      </c>
      <c r="E1000" t="inlineStr">
        <is>
          <t>UPPSALA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11260-2024</t>
        </is>
      </c>
      <c r="B1001" s="1" t="n">
        <v>45371.67368055556</v>
      </c>
      <c r="C1001" s="1" t="n">
        <v>45987</v>
      </c>
      <c r="D1001" t="inlineStr">
        <is>
          <t>UPPSALA LÄN</t>
        </is>
      </c>
      <c r="E1001" t="inlineStr">
        <is>
          <t>UPPSALA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22951-2025</t>
        </is>
      </c>
      <c r="B1002" s="1" t="n">
        <v>45790.51040509259</v>
      </c>
      <c r="C1002" s="1" t="n">
        <v>45987</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26208-2023</t>
        </is>
      </c>
      <c r="B1003" s="1" t="n">
        <v>45091</v>
      </c>
      <c r="C1003" s="1" t="n">
        <v>45987</v>
      </c>
      <c r="D1003" t="inlineStr">
        <is>
          <t>UPPSALA LÄN</t>
        </is>
      </c>
      <c r="E1003" t="inlineStr">
        <is>
          <t>UPPSALA</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45987</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46751-2024</t>
        </is>
      </c>
      <c r="B1005" s="1" t="n">
        <v>45583.48449074074</v>
      </c>
      <c r="C1005" s="1" t="n">
        <v>45987</v>
      </c>
      <c r="D1005" t="inlineStr">
        <is>
          <t>UPPSALA LÄN</t>
        </is>
      </c>
      <c r="E1005" t="inlineStr">
        <is>
          <t>UPPSALA</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46925-2024</t>
        </is>
      </c>
      <c r="B1006" s="1" t="n">
        <v>45584.60038194444</v>
      </c>
      <c r="C1006" s="1" t="n">
        <v>45987</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56564-2024</t>
        </is>
      </c>
      <c r="B1007" s="1" t="n">
        <v>45625.58501157408</v>
      </c>
      <c r="C1007" s="1" t="n">
        <v>45987</v>
      </c>
      <c r="D1007" t="inlineStr">
        <is>
          <t>UPPSALA LÄN</t>
        </is>
      </c>
      <c r="E1007" t="inlineStr">
        <is>
          <t>UPPSALA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c r="A1008" t="inlineStr">
        <is>
          <t>A 34520-2024</t>
        </is>
      </c>
      <c r="B1008" s="1" t="n">
        <v>45525</v>
      </c>
      <c r="C1008" s="1" t="n">
        <v>45987</v>
      </c>
      <c r="D1008" t="inlineStr">
        <is>
          <t>UPPSALA LÄN</t>
        </is>
      </c>
      <c r="E1008" t="inlineStr">
        <is>
          <t>UPPSALA</t>
        </is>
      </c>
      <c r="G1008" t="n">
        <v>2.5</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2025-11-26T10:25:12Z</dcterms:created>
  <dcterms:modified xmlns:dcterms="http://purl.org/dc/terms/" xmlns:xsi="http://www.w3.org/2001/XMLSchema-instance" xsi:type="dcterms:W3CDTF">2025-11-26T10:25:12Z</dcterms:modified>
</cp:coreProperties>
</file>