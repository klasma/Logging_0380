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45899</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45899</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45899</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45899</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45899</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45899</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45899</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45899</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38085-2025</t>
        </is>
      </c>
      <c r="B10" s="1" t="n">
        <v>45882.47538194444</v>
      </c>
      <c r="C10" s="1" t="n">
        <v>45899</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9409-2025</t>
        </is>
      </c>
      <c r="B11" s="1" t="n">
        <v>45715.38824074074</v>
      </c>
      <c r="C11" s="1" t="n">
        <v>45899</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45899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45899</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45899</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45899</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45899</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45899</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45899</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45899</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45899</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45899</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45899</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45899</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28450-2021</t>
        </is>
      </c>
      <c r="B24" s="1" t="n">
        <v>44356</v>
      </c>
      <c r="C24" s="1" t="n">
        <v>45899</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45899</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66979-2020</t>
        </is>
      </c>
      <c r="B26" s="1" t="n">
        <v>44180</v>
      </c>
      <c r="C26" s="1" t="n">
        <v>45899</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45899</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45899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45899</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45899</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45899</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45899</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45899</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45899</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45899</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45899</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45899</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45899</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45899</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45899</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45899</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45899</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45899</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45899</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33636-2025</t>
        </is>
      </c>
      <c r="B45" s="1" t="n">
        <v>45841.64539351852</v>
      </c>
      <c r="C45" s="1" t="n">
        <v>45899</v>
      </c>
      <c r="D45" t="inlineStr">
        <is>
          <t>UPPSALA LÄN</t>
        </is>
      </c>
      <c r="E45" t="inlineStr">
        <is>
          <t>UPPSALA</t>
        </is>
      </c>
      <c r="F45" t="inlineStr">
        <is>
          <t>Holmen skog AB</t>
        </is>
      </c>
      <c r="G45" t="n">
        <v>13.3</v>
      </c>
      <c r="H45" t="n">
        <v>0</v>
      </c>
      <c r="I45" t="n">
        <v>2</v>
      </c>
      <c r="J45" t="n">
        <v>2</v>
      </c>
      <c r="K45" t="n">
        <v>0</v>
      </c>
      <c r="L45" t="n">
        <v>0</v>
      </c>
      <c r="M45" t="n">
        <v>0</v>
      </c>
      <c r="N45" t="n">
        <v>0</v>
      </c>
      <c r="O45" t="n">
        <v>2</v>
      </c>
      <c r="P45" t="n">
        <v>0</v>
      </c>
      <c r="Q45" t="n">
        <v>4</v>
      </c>
      <c r="R45" s="2" t="inlineStr">
        <is>
          <t>Lunglav
Rödbrun blekspik
Brun nållav
Fällmossa</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15297-2022</t>
        </is>
      </c>
      <c r="B46" s="1" t="n">
        <v>44659</v>
      </c>
      <c r="C46" s="1" t="n">
        <v>45899</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26758-2022</t>
        </is>
      </c>
      <c r="B47" s="1" t="n">
        <v>44740</v>
      </c>
      <c r="C47" s="1" t="n">
        <v>45899</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45899</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45899</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45899</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45899</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45899</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45899</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45899</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45899</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5755-2025</t>
        </is>
      </c>
      <c r="B56" s="1" t="n">
        <v>45694.55559027778</v>
      </c>
      <c r="C56" s="1" t="n">
        <v>45899</v>
      </c>
      <c r="D56" t="inlineStr">
        <is>
          <t>UPPSALA LÄN</t>
        </is>
      </c>
      <c r="E56" t="inlineStr">
        <is>
          <t>UPPSALA</t>
        </is>
      </c>
      <c r="G56" t="n">
        <v>1.3</v>
      </c>
      <c r="H56" t="n">
        <v>0</v>
      </c>
      <c r="I56" t="n">
        <v>2</v>
      </c>
      <c r="J56" t="n">
        <v>0</v>
      </c>
      <c r="K56" t="n">
        <v>0</v>
      </c>
      <c r="L56" t="n">
        <v>0</v>
      </c>
      <c r="M56" t="n">
        <v>0</v>
      </c>
      <c r="N56" t="n">
        <v>0</v>
      </c>
      <c r="O56" t="n">
        <v>0</v>
      </c>
      <c r="P56" t="n">
        <v>0</v>
      </c>
      <c r="Q56" t="n">
        <v>2</v>
      </c>
      <c r="R56" s="2" t="inlineStr">
        <is>
          <t>Fällmossa
Hasselticka</t>
        </is>
      </c>
      <c r="S56">
        <f>HYPERLINK("https://klasma.github.io/Logging_0380/artfynd/A 5755-2025 artfynd.xlsx", "A 5755-2025")</f>
        <v/>
      </c>
      <c r="T56">
        <f>HYPERLINK("https://klasma.github.io/Logging_0380/kartor/A 5755-2025 karta.png", "A 5755-2025")</f>
        <v/>
      </c>
      <c r="V56">
        <f>HYPERLINK("https://klasma.github.io/Logging_0380/klagomål/A 5755-2025 FSC-klagomål.docx", "A 5755-2025")</f>
        <v/>
      </c>
      <c r="W56">
        <f>HYPERLINK("https://klasma.github.io/Logging_0380/klagomålsmail/A 5755-2025 FSC-klagomål mail.docx", "A 5755-2025")</f>
        <v/>
      </c>
      <c r="X56">
        <f>HYPERLINK("https://klasma.github.io/Logging_0380/tillsyn/A 5755-2025 tillsynsbegäran.docx", "A 5755-2025")</f>
        <v/>
      </c>
      <c r="Y56">
        <f>HYPERLINK("https://klasma.github.io/Logging_0380/tillsynsmail/A 5755-2025 tillsynsbegäran mail.docx", "A 5755-2025")</f>
        <v/>
      </c>
    </row>
    <row r="57" ht="15" customHeight="1">
      <c r="A57" t="inlineStr">
        <is>
          <t>A 51749-2023</t>
        </is>
      </c>
      <c r="B57" s="1" t="n">
        <v>45222</v>
      </c>
      <c r="C57" s="1" t="n">
        <v>45899</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17277-2023</t>
        </is>
      </c>
      <c r="B58" s="1" t="n">
        <v>45035.44672453704</v>
      </c>
      <c r="C58" s="1" t="n">
        <v>45899</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45899</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45899</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45899</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45899</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58906-2021</t>
        </is>
      </c>
      <c r="B63" s="1" t="n">
        <v>44489</v>
      </c>
      <c r="C63" s="1" t="n">
        <v>45899</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45899</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88-2024</t>
        </is>
      </c>
      <c r="B65" s="1" t="n">
        <v>45293</v>
      </c>
      <c r="C65" s="1" t="n">
        <v>45899</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44675-2023</t>
        </is>
      </c>
      <c r="B66" s="1" t="n">
        <v>45189</v>
      </c>
      <c r="C66" s="1" t="n">
        <v>45899</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39933-2023</t>
        </is>
      </c>
      <c r="B67" s="1" t="n">
        <v>45168.50667824074</v>
      </c>
      <c r="C67" s="1" t="n">
        <v>45899</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6998-2023</t>
        </is>
      </c>
      <c r="B68" s="1" t="n">
        <v>44967</v>
      </c>
      <c r="C68" s="1" t="n">
        <v>45899</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8865-2022</t>
        </is>
      </c>
      <c r="B69" s="1" t="n">
        <v>44614</v>
      </c>
      <c r="C69" s="1" t="n">
        <v>45899</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45899</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45899</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45899</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21801-2025</t>
        </is>
      </c>
      <c r="B73" s="1" t="n">
        <v>45783</v>
      </c>
      <c r="C73" s="1" t="n">
        <v>45899</v>
      </c>
      <c r="D73" t="inlineStr">
        <is>
          <t>UPPSALA LÄN</t>
        </is>
      </c>
      <c r="E73" t="inlineStr">
        <is>
          <t>UPPSALA</t>
        </is>
      </c>
      <c r="G73" t="n">
        <v>7.9</v>
      </c>
      <c r="H73" t="n">
        <v>1</v>
      </c>
      <c r="I73" t="n">
        <v>0</v>
      </c>
      <c r="J73" t="n">
        <v>0</v>
      </c>
      <c r="K73" t="n">
        <v>0</v>
      </c>
      <c r="L73" t="n">
        <v>0</v>
      </c>
      <c r="M73" t="n">
        <v>0</v>
      </c>
      <c r="N73" t="n">
        <v>0</v>
      </c>
      <c r="O73" t="n">
        <v>0</v>
      </c>
      <c r="P73" t="n">
        <v>0</v>
      </c>
      <c r="Q73" t="n">
        <v>1</v>
      </c>
      <c r="R73" s="2" t="inlineStr">
        <is>
          <t>Mattlummer</t>
        </is>
      </c>
      <c r="S73">
        <f>HYPERLINK("https://klasma.github.io/Logging_0380/artfynd/A 21801-2025 artfynd.xlsx", "A 21801-2025")</f>
        <v/>
      </c>
      <c r="T73">
        <f>HYPERLINK("https://klasma.github.io/Logging_0380/kartor/A 21801-2025 karta.png", "A 21801-2025")</f>
        <v/>
      </c>
      <c r="V73">
        <f>HYPERLINK("https://klasma.github.io/Logging_0380/klagomål/A 21801-2025 FSC-klagomål.docx", "A 21801-2025")</f>
        <v/>
      </c>
      <c r="W73">
        <f>HYPERLINK("https://klasma.github.io/Logging_0380/klagomålsmail/A 21801-2025 FSC-klagomål mail.docx", "A 21801-2025")</f>
        <v/>
      </c>
      <c r="X73">
        <f>HYPERLINK("https://klasma.github.io/Logging_0380/tillsyn/A 21801-2025 tillsynsbegäran.docx", "A 21801-2025")</f>
        <v/>
      </c>
      <c r="Y73">
        <f>HYPERLINK("https://klasma.github.io/Logging_0380/tillsynsmail/A 21801-2025 tillsynsbegäran mail.docx", "A 21801-2025")</f>
        <v/>
      </c>
    </row>
    <row r="74" ht="15" customHeight="1">
      <c r="A74" t="inlineStr">
        <is>
          <t>A 5750-2023</t>
        </is>
      </c>
      <c r="B74" s="1" t="n">
        <v>44963</v>
      </c>
      <c r="C74" s="1" t="n">
        <v>45899</v>
      </c>
      <c r="D74" t="inlineStr">
        <is>
          <t>UPPSALA LÄN</t>
        </is>
      </c>
      <c r="E74" t="inlineStr">
        <is>
          <t>UPPSALA</t>
        </is>
      </c>
      <c r="G74" t="n">
        <v>13.8</v>
      </c>
      <c r="H74" t="n">
        <v>0</v>
      </c>
      <c r="I74" t="n">
        <v>0</v>
      </c>
      <c r="J74" t="n">
        <v>0</v>
      </c>
      <c r="K74" t="n">
        <v>1</v>
      </c>
      <c r="L74" t="n">
        <v>0</v>
      </c>
      <c r="M74" t="n">
        <v>0</v>
      </c>
      <c r="N74" t="n">
        <v>0</v>
      </c>
      <c r="O74" t="n">
        <v>1</v>
      </c>
      <c r="P74" t="n">
        <v>1</v>
      </c>
      <c r="Q74" t="n">
        <v>1</v>
      </c>
      <c r="R74" s="2" t="inlineStr">
        <is>
          <t>Raggbock</t>
        </is>
      </c>
      <c r="S74">
        <f>HYPERLINK("https://klasma.github.io/Logging_0380/artfynd/A 5750-2023 artfynd.xlsx", "A 5750-2023")</f>
        <v/>
      </c>
      <c r="T74">
        <f>HYPERLINK("https://klasma.github.io/Logging_0380/kartor/A 5750-2023 karta.png", "A 5750-2023")</f>
        <v/>
      </c>
      <c r="V74">
        <f>HYPERLINK("https://klasma.github.io/Logging_0380/klagomål/A 5750-2023 FSC-klagomål.docx", "A 5750-2023")</f>
        <v/>
      </c>
      <c r="W74">
        <f>HYPERLINK("https://klasma.github.io/Logging_0380/klagomålsmail/A 5750-2023 FSC-klagomål mail.docx", "A 5750-2023")</f>
        <v/>
      </c>
      <c r="X74">
        <f>HYPERLINK("https://klasma.github.io/Logging_0380/tillsyn/A 5750-2023 tillsynsbegäran.docx", "A 5750-2023")</f>
        <v/>
      </c>
      <c r="Y74">
        <f>HYPERLINK("https://klasma.github.io/Logging_0380/tillsynsmail/A 5750-2023 tillsynsbegäran mail.docx", "A 5750-2023")</f>
        <v/>
      </c>
    </row>
    <row r="75" ht="15" customHeight="1">
      <c r="A75" t="inlineStr">
        <is>
          <t>A 25729-2024</t>
        </is>
      </c>
      <c r="B75" s="1" t="n">
        <v>45464</v>
      </c>
      <c r="C75" s="1" t="n">
        <v>45899</v>
      </c>
      <c r="D75" t="inlineStr">
        <is>
          <t>UPPSALA LÄN</t>
        </is>
      </c>
      <c r="E75" t="inlineStr">
        <is>
          <t>UPPSALA</t>
        </is>
      </c>
      <c r="G75" t="n">
        <v>22.3</v>
      </c>
      <c r="H75" t="n">
        <v>0</v>
      </c>
      <c r="I75" t="n">
        <v>0</v>
      </c>
      <c r="J75" t="n">
        <v>1</v>
      </c>
      <c r="K75" t="n">
        <v>0</v>
      </c>
      <c r="L75" t="n">
        <v>0</v>
      </c>
      <c r="M75" t="n">
        <v>0</v>
      </c>
      <c r="N75" t="n">
        <v>0</v>
      </c>
      <c r="O75" t="n">
        <v>1</v>
      </c>
      <c r="P75" t="n">
        <v>0</v>
      </c>
      <c r="Q75" t="n">
        <v>1</v>
      </c>
      <c r="R75" s="2" t="inlineStr">
        <is>
          <t>Ullticka</t>
        </is>
      </c>
      <c r="S75">
        <f>HYPERLINK("https://klasma.github.io/Logging_0380/artfynd/A 25729-2024 artfynd.xlsx", "A 25729-2024")</f>
        <v/>
      </c>
      <c r="T75">
        <f>HYPERLINK("https://klasma.github.io/Logging_0380/kartor/A 25729-2024 karta.png", "A 25729-2024")</f>
        <v/>
      </c>
      <c r="V75">
        <f>HYPERLINK("https://klasma.github.io/Logging_0380/klagomål/A 25729-2024 FSC-klagomål.docx", "A 25729-2024")</f>
        <v/>
      </c>
      <c r="W75">
        <f>HYPERLINK("https://klasma.github.io/Logging_0380/klagomålsmail/A 25729-2024 FSC-klagomål mail.docx", "A 25729-2024")</f>
        <v/>
      </c>
      <c r="X75">
        <f>HYPERLINK("https://klasma.github.io/Logging_0380/tillsyn/A 25729-2024 tillsynsbegäran.docx", "A 25729-2024")</f>
        <v/>
      </c>
      <c r="Y75">
        <f>HYPERLINK("https://klasma.github.io/Logging_0380/tillsynsmail/A 25729-2024 tillsynsbegäran mail.docx", "A 25729-2024")</f>
        <v/>
      </c>
    </row>
    <row r="76" ht="15" customHeight="1">
      <c r="A76" t="inlineStr">
        <is>
          <t>A 4657-2025</t>
        </is>
      </c>
      <c r="B76" s="1" t="n">
        <v>45687</v>
      </c>
      <c r="C76" s="1" t="n">
        <v>45899</v>
      </c>
      <c r="D76" t="inlineStr">
        <is>
          <t>UPPSALA LÄN</t>
        </is>
      </c>
      <c r="E76" t="inlineStr">
        <is>
          <t>UPPSALA</t>
        </is>
      </c>
      <c r="G76" t="n">
        <v>2.9</v>
      </c>
      <c r="H76" t="n">
        <v>1</v>
      </c>
      <c r="I76" t="n">
        <v>0</v>
      </c>
      <c r="J76" t="n">
        <v>1</v>
      </c>
      <c r="K76" t="n">
        <v>0</v>
      </c>
      <c r="L76" t="n">
        <v>0</v>
      </c>
      <c r="M76" t="n">
        <v>0</v>
      </c>
      <c r="N76" t="n">
        <v>0</v>
      </c>
      <c r="O76" t="n">
        <v>1</v>
      </c>
      <c r="P76" t="n">
        <v>0</v>
      </c>
      <c r="Q76" t="n">
        <v>1</v>
      </c>
      <c r="R76" s="2" t="inlineStr">
        <is>
          <t>Grönsångare</t>
        </is>
      </c>
      <c r="S76">
        <f>HYPERLINK("https://klasma.github.io/Logging_0380/artfynd/A 4657-2025 artfynd.xlsx", "A 4657-2025")</f>
        <v/>
      </c>
      <c r="T76">
        <f>HYPERLINK("https://klasma.github.io/Logging_0380/kartor/A 4657-2025 karta.png", "A 4657-2025")</f>
        <v/>
      </c>
      <c r="V76">
        <f>HYPERLINK("https://klasma.github.io/Logging_0380/klagomål/A 4657-2025 FSC-klagomål.docx", "A 4657-2025")</f>
        <v/>
      </c>
      <c r="W76">
        <f>HYPERLINK("https://klasma.github.io/Logging_0380/klagomålsmail/A 4657-2025 FSC-klagomål mail.docx", "A 4657-2025")</f>
        <v/>
      </c>
      <c r="X76">
        <f>HYPERLINK("https://klasma.github.io/Logging_0380/tillsyn/A 4657-2025 tillsynsbegäran.docx", "A 4657-2025")</f>
        <v/>
      </c>
      <c r="Y76">
        <f>HYPERLINK("https://klasma.github.io/Logging_0380/tillsynsmail/A 4657-2025 tillsynsbegäran mail.docx", "A 4657-2025")</f>
        <v/>
      </c>
      <c r="Z76">
        <f>HYPERLINK("https://klasma.github.io/Logging_0380/fåglar/A 4657-2025 prioriterade fågelarter.docx", "A 4657-2025")</f>
        <v/>
      </c>
    </row>
    <row r="77" ht="15" customHeight="1">
      <c r="A77" t="inlineStr">
        <is>
          <t>A 43192-2020</t>
        </is>
      </c>
      <c r="B77" s="1" t="n">
        <v>44081</v>
      </c>
      <c r="C77" s="1" t="n">
        <v>45899</v>
      </c>
      <c r="D77" t="inlineStr">
        <is>
          <t>UPPSALA LÄN</t>
        </is>
      </c>
      <c r="E77" t="inlineStr">
        <is>
          <t>UPPSALA</t>
        </is>
      </c>
      <c r="G77" t="n">
        <v>16.5</v>
      </c>
      <c r="H77" t="n">
        <v>0</v>
      </c>
      <c r="I77" t="n">
        <v>0</v>
      </c>
      <c r="J77" t="n">
        <v>1</v>
      </c>
      <c r="K77" t="n">
        <v>0</v>
      </c>
      <c r="L77" t="n">
        <v>0</v>
      </c>
      <c r="M77" t="n">
        <v>0</v>
      </c>
      <c r="N77" t="n">
        <v>0</v>
      </c>
      <c r="O77" t="n">
        <v>1</v>
      </c>
      <c r="P77" t="n">
        <v>0</v>
      </c>
      <c r="Q77" t="n">
        <v>1</v>
      </c>
      <c r="R77" s="2" t="inlineStr">
        <is>
          <t>Lunglav</t>
        </is>
      </c>
      <c r="S77">
        <f>HYPERLINK("https://klasma.github.io/Logging_0380/artfynd/A 43192-2020 artfynd.xlsx", "A 43192-2020")</f>
        <v/>
      </c>
      <c r="T77">
        <f>HYPERLINK("https://klasma.github.io/Logging_0380/kartor/A 43192-2020 karta.png", "A 43192-2020")</f>
        <v/>
      </c>
      <c r="V77">
        <f>HYPERLINK("https://klasma.github.io/Logging_0380/klagomål/A 43192-2020 FSC-klagomål.docx", "A 43192-2020")</f>
        <v/>
      </c>
      <c r="W77">
        <f>HYPERLINK("https://klasma.github.io/Logging_0380/klagomålsmail/A 43192-2020 FSC-klagomål mail.docx", "A 43192-2020")</f>
        <v/>
      </c>
      <c r="X77">
        <f>HYPERLINK("https://klasma.github.io/Logging_0380/tillsyn/A 43192-2020 tillsynsbegäran.docx", "A 43192-2020")</f>
        <v/>
      </c>
      <c r="Y77">
        <f>HYPERLINK("https://klasma.github.io/Logging_0380/tillsynsmail/A 43192-2020 tillsynsbegäran mail.docx", "A 43192-2020")</f>
        <v/>
      </c>
    </row>
    <row r="78" ht="15" customHeight="1">
      <c r="A78" t="inlineStr">
        <is>
          <t>A 60055-2022</t>
        </is>
      </c>
      <c r="B78" s="1" t="n">
        <v>44909</v>
      </c>
      <c r="C78" s="1" t="n">
        <v>45899</v>
      </c>
      <c r="D78" t="inlineStr">
        <is>
          <t>UPPSALA LÄN</t>
        </is>
      </c>
      <c r="E78" t="inlineStr">
        <is>
          <t>UPPSALA</t>
        </is>
      </c>
      <c r="G78" t="n">
        <v>11.4</v>
      </c>
      <c r="H78" t="n">
        <v>1</v>
      </c>
      <c r="I78" t="n">
        <v>0</v>
      </c>
      <c r="J78" t="n">
        <v>0</v>
      </c>
      <c r="K78" t="n">
        <v>0</v>
      </c>
      <c r="L78" t="n">
        <v>0</v>
      </c>
      <c r="M78" t="n">
        <v>0</v>
      </c>
      <c r="N78" t="n">
        <v>0</v>
      </c>
      <c r="O78" t="n">
        <v>0</v>
      </c>
      <c r="P78" t="n">
        <v>0</v>
      </c>
      <c r="Q78" t="n">
        <v>1</v>
      </c>
      <c r="R78" s="2" t="inlineStr">
        <is>
          <t>Tjäder</t>
        </is>
      </c>
      <c r="S78">
        <f>HYPERLINK("https://klasma.github.io/Logging_0380/artfynd/A 60055-2022 artfynd.xlsx", "A 60055-2022")</f>
        <v/>
      </c>
      <c r="T78">
        <f>HYPERLINK("https://klasma.github.io/Logging_0380/kartor/A 60055-2022 karta.png", "A 60055-2022")</f>
        <v/>
      </c>
      <c r="V78">
        <f>HYPERLINK("https://klasma.github.io/Logging_0380/klagomål/A 60055-2022 FSC-klagomål.docx", "A 60055-2022")</f>
        <v/>
      </c>
      <c r="W78">
        <f>HYPERLINK("https://klasma.github.io/Logging_0380/klagomålsmail/A 60055-2022 FSC-klagomål mail.docx", "A 60055-2022")</f>
        <v/>
      </c>
      <c r="X78">
        <f>HYPERLINK("https://klasma.github.io/Logging_0380/tillsyn/A 60055-2022 tillsynsbegäran.docx", "A 60055-2022")</f>
        <v/>
      </c>
      <c r="Y78">
        <f>HYPERLINK("https://klasma.github.io/Logging_0380/tillsynsmail/A 60055-2022 tillsynsbegäran mail.docx", "A 60055-2022")</f>
        <v/>
      </c>
      <c r="Z78">
        <f>HYPERLINK("https://klasma.github.io/Logging_0380/fåglar/A 60055-2022 prioriterade fågelarter.docx", "A 60055-2022")</f>
        <v/>
      </c>
    </row>
    <row r="79" ht="15" customHeight="1">
      <c r="A79" t="inlineStr">
        <is>
          <t>A 58050-2021</t>
        </is>
      </c>
      <c r="B79" s="1" t="n">
        <v>44487</v>
      </c>
      <c r="C79" s="1" t="n">
        <v>45899</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45899</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29906-2023</t>
        </is>
      </c>
      <c r="B81" s="1" t="n">
        <v>45107</v>
      </c>
      <c r="C81" s="1" t="n">
        <v>45899</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39741-2023</t>
        </is>
      </c>
      <c r="B82" s="1" t="n">
        <v>45167</v>
      </c>
      <c r="C82" s="1" t="n">
        <v>45899</v>
      </c>
      <c r="D82" t="inlineStr">
        <is>
          <t>UPPSALA LÄN</t>
        </is>
      </c>
      <c r="E82" t="inlineStr">
        <is>
          <t>UPPSALA</t>
        </is>
      </c>
      <c r="G82" t="n">
        <v>5.6</v>
      </c>
      <c r="H82" t="n">
        <v>1</v>
      </c>
      <c r="I82" t="n">
        <v>0</v>
      </c>
      <c r="J82" t="n">
        <v>1</v>
      </c>
      <c r="K82" t="n">
        <v>0</v>
      </c>
      <c r="L82" t="n">
        <v>0</v>
      </c>
      <c r="M82" t="n">
        <v>0</v>
      </c>
      <c r="N82" t="n">
        <v>0</v>
      </c>
      <c r="O82" t="n">
        <v>1</v>
      </c>
      <c r="P82" t="n">
        <v>0</v>
      </c>
      <c r="Q82" t="n">
        <v>1</v>
      </c>
      <c r="R82" s="2" t="inlineStr">
        <is>
          <t>Entita</t>
        </is>
      </c>
      <c r="S82">
        <f>HYPERLINK("https://klasma.github.io/Logging_0380/artfynd/A 39741-2023 artfynd.xlsx", "A 39741-2023")</f>
        <v/>
      </c>
      <c r="T82">
        <f>HYPERLINK("https://klasma.github.io/Logging_0380/kartor/A 39741-2023 karta.png", "A 39741-2023")</f>
        <v/>
      </c>
      <c r="V82">
        <f>HYPERLINK("https://klasma.github.io/Logging_0380/klagomål/A 39741-2023 FSC-klagomål.docx", "A 39741-2023")</f>
        <v/>
      </c>
      <c r="W82">
        <f>HYPERLINK("https://klasma.github.io/Logging_0380/klagomålsmail/A 39741-2023 FSC-klagomål mail.docx", "A 39741-2023")</f>
        <v/>
      </c>
      <c r="X82">
        <f>HYPERLINK("https://klasma.github.io/Logging_0380/tillsyn/A 39741-2023 tillsynsbegäran.docx", "A 39741-2023")</f>
        <v/>
      </c>
      <c r="Y82">
        <f>HYPERLINK("https://klasma.github.io/Logging_0380/tillsynsmail/A 39741-2023 tillsynsbegäran mail.docx", "A 39741-2023")</f>
        <v/>
      </c>
      <c r="Z82">
        <f>HYPERLINK("https://klasma.github.io/Logging_0380/fåglar/A 39741-2023 prioriterade fågelarter.docx", "A 39741-2023")</f>
        <v/>
      </c>
    </row>
    <row r="83" ht="15" customHeight="1">
      <c r="A83" t="inlineStr">
        <is>
          <t>A 26135-2025</t>
        </is>
      </c>
      <c r="B83" s="1" t="n">
        <v>45805.41232638889</v>
      </c>
      <c r="C83" s="1" t="n">
        <v>45899</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27848-2023</t>
        </is>
      </c>
      <c r="B84" s="1" t="n">
        <v>45098</v>
      </c>
      <c r="C84" s="1" t="n">
        <v>45899</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16761-2022</t>
        </is>
      </c>
      <c r="B85" s="1" t="n">
        <v>44673.47858796296</v>
      </c>
      <c r="C85" s="1" t="n">
        <v>45899</v>
      </c>
      <c r="D85" t="inlineStr">
        <is>
          <t>UPPSALA LÄN</t>
        </is>
      </c>
      <c r="E85" t="inlineStr">
        <is>
          <t>UPPSALA</t>
        </is>
      </c>
      <c r="G85" t="n">
        <v>0.6</v>
      </c>
      <c r="H85" t="n">
        <v>1</v>
      </c>
      <c r="I85" t="n">
        <v>0</v>
      </c>
      <c r="J85" t="n">
        <v>0</v>
      </c>
      <c r="K85" t="n">
        <v>0</v>
      </c>
      <c r="L85" t="n">
        <v>0</v>
      </c>
      <c r="M85" t="n">
        <v>0</v>
      </c>
      <c r="N85" t="n">
        <v>0</v>
      </c>
      <c r="O85" t="n">
        <v>0</v>
      </c>
      <c r="P85" t="n">
        <v>0</v>
      </c>
      <c r="Q85" t="n">
        <v>1</v>
      </c>
      <c r="R85" s="2" t="inlineStr">
        <is>
          <t>Trädlärka</t>
        </is>
      </c>
      <c r="S85">
        <f>HYPERLINK("https://klasma.github.io/Logging_0380/artfynd/A 16761-2022 artfynd.xlsx", "A 16761-2022")</f>
        <v/>
      </c>
      <c r="T85">
        <f>HYPERLINK("https://klasma.github.io/Logging_0380/kartor/A 16761-2022 karta.png", "A 16761-2022")</f>
        <v/>
      </c>
      <c r="V85">
        <f>HYPERLINK("https://klasma.github.io/Logging_0380/klagomål/A 16761-2022 FSC-klagomål.docx", "A 16761-2022")</f>
        <v/>
      </c>
      <c r="W85">
        <f>HYPERLINK("https://klasma.github.io/Logging_0380/klagomålsmail/A 16761-2022 FSC-klagomål mail.docx", "A 16761-2022")</f>
        <v/>
      </c>
      <c r="X85">
        <f>HYPERLINK("https://klasma.github.io/Logging_0380/tillsyn/A 16761-2022 tillsynsbegäran.docx", "A 16761-2022")</f>
        <v/>
      </c>
      <c r="Y85">
        <f>HYPERLINK("https://klasma.github.io/Logging_0380/tillsynsmail/A 16761-2022 tillsynsbegäran mail.docx", "A 16761-2022")</f>
        <v/>
      </c>
      <c r="Z85">
        <f>HYPERLINK("https://klasma.github.io/Logging_0380/fåglar/A 16761-2022 prioriterade fågelarter.docx", "A 16761-2022")</f>
        <v/>
      </c>
    </row>
    <row r="86" ht="15" customHeight="1">
      <c r="A86" t="inlineStr">
        <is>
          <t>A 26923-2025</t>
        </is>
      </c>
      <c r="B86" s="1" t="n">
        <v>45811.38710648148</v>
      </c>
      <c r="C86" s="1" t="n">
        <v>45899</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3304-2025</t>
        </is>
      </c>
      <c r="B87" s="1" t="n">
        <v>45679</v>
      </c>
      <c r="C87" s="1" t="n">
        <v>45899</v>
      </c>
      <c r="D87" t="inlineStr">
        <is>
          <t>UPPSALA LÄN</t>
        </is>
      </c>
      <c r="E87" t="inlineStr">
        <is>
          <t>UPPSALA</t>
        </is>
      </c>
      <c r="F87" t="inlineStr">
        <is>
          <t>Övriga statliga verk och myndigheter</t>
        </is>
      </c>
      <c r="G87" t="n">
        <v>3.8</v>
      </c>
      <c r="H87" t="n">
        <v>1</v>
      </c>
      <c r="I87" t="n">
        <v>0</v>
      </c>
      <c r="J87" t="n">
        <v>0</v>
      </c>
      <c r="K87" t="n">
        <v>0</v>
      </c>
      <c r="L87" t="n">
        <v>0</v>
      </c>
      <c r="M87" t="n">
        <v>0</v>
      </c>
      <c r="N87" t="n">
        <v>0</v>
      </c>
      <c r="O87" t="n">
        <v>0</v>
      </c>
      <c r="P87" t="n">
        <v>0</v>
      </c>
      <c r="Q87" t="n">
        <v>1</v>
      </c>
      <c r="R87" s="2" t="inlineStr">
        <is>
          <t>Blåsippa</t>
        </is>
      </c>
      <c r="S87">
        <f>HYPERLINK("https://klasma.github.io/Logging_0380/artfynd/A 3304-2025 artfynd.xlsx", "A 3304-2025")</f>
        <v/>
      </c>
      <c r="T87">
        <f>HYPERLINK("https://klasma.github.io/Logging_0380/kartor/A 3304-2025 karta.png", "A 3304-2025")</f>
        <v/>
      </c>
      <c r="V87">
        <f>HYPERLINK("https://klasma.github.io/Logging_0380/klagomål/A 3304-2025 FSC-klagomål.docx", "A 3304-2025")</f>
        <v/>
      </c>
      <c r="W87">
        <f>HYPERLINK("https://klasma.github.io/Logging_0380/klagomålsmail/A 3304-2025 FSC-klagomål mail.docx", "A 3304-2025")</f>
        <v/>
      </c>
      <c r="X87">
        <f>HYPERLINK("https://klasma.github.io/Logging_0380/tillsyn/A 3304-2025 tillsynsbegäran.docx", "A 3304-2025")</f>
        <v/>
      </c>
      <c r="Y87">
        <f>HYPERLINK("https://klasma.github.io/Logging_0380/tillsynsmail/A 3304-2025 tillsynsbegäran mail.docx", "A 3304-2025")</f>
        <v/>
      </c>
    </row>
    <row r="88" ht="15" customHeight="1">
      <c r="A88" t="inlineStr">
        <is>
          <t>A 28299-2025</t>
        </is>
      </c>
      <c r="B88" s="1" t="n">
        <v>45818.60254629629</v>
      </c>
      <c r="C88" s="1" t="n">
        <v>45899</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27824-2025</t>
        </is>
      </c>
      <c r="B89" s="1" t="n">
        <v>45817.34614583333</v>
      </c>
      <c r="C89" s="1" t="n">
        <v>45899</v>
      </c>
      <c r="D89" t="inlineStr">
        <is>
          <t>UPPSALA LÄN</t>
        </is>
      </c>
      <c r="E89" t="inlineStr">
        <is>
          <t>UPPSALA</t>
        </is>
      </c>
      <c r="F89" t="inlineStr">
        <is>
          <t>Kyrkan</t>
        </is>
      </c>
      <c r="G89" t="n">
        <v>3.3</v>
      </c>
      <c r="H89" t="n">
        <v>0</v>
      </c>
      <c r="I89" t="n">
        <v>1</v>
      </c>
      <c r="J89" t="n">
        <v>0</v>
      </c>
      <c r="K89" t="n">
        <v>0</v>
      </c>
      <c r="L89" t="n">
        <v>0</v>
      </c>
      <c r="M89" t="n">
        <v>0</v>
      </c>
      <c r="N89" t="n">
        <v>0</v>
      </c>
      <c r="O89" t="n">
        <v>0</v>
      </c>
      <c r="P89" t="n">
        <v>0</v>
      </c>
      <c r="Q89" t="n">
        <v>1</v>
      </c>
      <c r="R89" s="2" t="inlineStr">
        <is>
          <t>Sårläka</t>
        </is>
      </c>
      <c r="S89">
        <f>HYPERLINK("https://klasma.github.io/Logging_0380/artfynd/A 27824-2025 artfynd.xlsx", "A 27824-2025")</f>
        <v/>
      </c>
      <c r="T89">
        <f>HYPERLINK("https://klasma.github.io/Logging_0380/kartor/A 27824-2025 karta.png", "A 27824-2025")</f>
        <v/>
      </c>
      <c r="V89">
        <f>HYPERLINK("https://klasma.github.io/Logging_0380/klagomål/A 27824-2025 FSC-klagomål.docx", "A 27824-2025")</f>
        <v/>
      </c>
      <c r="W89">
        <f>HYPERLINK("https://klasma.github.io/Logging_0380/klagomålsmail/A 27824-2025 FSC-klagomål mail.docx", "A 27824-2025")</f>
        <v/>
      </c>
      <c r="X89">
        <f>HYPERLINK("https://klasma.github.io/Logging_0380/tillsyn/A 27824-2025 tillsynsbegäran.docx", "A 27824-2025")</f>
        <v/>
      </c>
      <c r="Y89">
        <f>HYPERLINK("https://klasma.github.io/Logging_0380/tillsynsmail/A 27824-2025 tillsynsbegäran mail.docx", "A 27824-2025")</f>
        <v/>
      </c>
    </row>
    <row r="90" ht="15" customHeight="1">
      <c r="A90" t="inlineStr">
        <is>
          <t>A 28056-2025</t>
        </is>
      </c>
      <c r="B90" s="1" t="n">
        <v>45817</v>
      </c>
      <c r="C90" s="1" t="n">
        <v>45899</v>
      </c>
      <c r="D90" t="inlineStr">
        <is>
          <t>UPPSALA LÄN</t>
        </is>
      </c>
      <c r="E90" t="inlineStr">
        <is>
          <t>UPPSALA</t>
        </is>
      </c>
      <c r="G90" t="n">
        <v>19.3</v>
      </c>
      <c r="H90" t="n">
        <v>1</v>
      </c>
      <c r="I90" t="n">
        <v>0</v>
      </c>
      <c r="J90" t="n">
        <v>0</v>
      </c>
      <c r="K90" t="n">
        <v>1</v>
      </c>
      <c r="L90" t="n">
        <v>0</v>
      </c>
      <c r="M90" t="n">
        <v>0</v>
      </c>
      <c r="N90" t="n">
        <v>0</v>
      </c>
      <c r="O90" t="n">
        <v>1</v>
      </c>
      <c r="P90" t="n">
        <v>1</v>
      </c>
      <c r="Q90" t="n">
        <v>1</v>
      </c>
      <c r="R90" s="2" t="inlineStr">
        <is>
          <t>Knärot</t>
        </is>
      </c>
      <c r="S90">
        <f>HYPERLINK("https://klasma.github.io/Logging_0380/artfynd/A 28056-2025 artfynd.xlsx", "A 28056-2025")</f>
        <v/>
      </c>
      <c r="T90">
        <f>HYPERLINK("https://klasma.github.io/Logging_0380/kartor/A 28056-2025 karta.png", "A 28056-2025")</f>
        <v/>
      </c>
      <c r="U90">
        <f>HYPERLINK("https://klasma.github.io/Logging_0380/knärot/A 28056-2025 karta knärot.png", "A 28056-2025")</f>
        <v/>
      </c>
      <c r="V90">
        <f>HYPERLINK("https://klasma.github.io/Logging_0380/klagomål/A 28056-2025 FSC-klagomål.docx", "A 28056-2025")</f>
        <v/>
      </c>
      <c r="W90">
        <f>HYPERLINK("https://klasma.github.io/Logging_0380/klagomålsmail/A 28056-2025 FSC-klagomål mail.docx", "A 28056-2025")</f>
        <v/>
      </c>
      <c r="X90">
        <f>HYPERLINK("https://klasma.github.io/Logging_0380/tillsyn/A 28056-2025 tillsynsbegäran.docx", "A 28056-2025")</f>
        <v/>
      </c>
      <c r="Y90">
        <f>HYPERLINK("https://klasma.github.io/Logging_0380/tillsynsmail/A 28056-2025 tillsynsbegäran mail.docx", "A 28056-2025")</f>
        <v/>
      </c>
    </row>
    <row r="91" ht="15" customHeight="1">
      <c r="A91" t="inlineStr">
        <is>
          <t>A 13526-2025</t>
        </is>
      </c>
      <c r="B91" s="1" t="n">
        <v>45736.49902777778</v>
      </c>
      <c r="C91" s="1" t="n">
        <v>45899</v>
      </c>
      <c r="D91" t="inlineStr">
        <is>
          <t>UPPSALA LÄN</t>
        </is>
      </c>
      <c r="E91" t="inlineStr">
        <is>
          <t>UPPSALA</t>
        </is>
      </c>
      <c r="F91" t="inlineStr">
        <is>
          <t>Allmännings- och besparingsskogar</t>
        </is>
      </c>
      <c r="G91" t="n">
        <v>3</v>
      </c>
      <c r="H91" t="n">
        <v>0</v>
      </c>
      <c r="I91" t="n">
        <v>0</v>
      </c>
      <c r="J91" t="n">
        <v>1</v>
      </c>
      <c r="K91" t="n">
        <v>0</v>
      </c>
      <c r="L91" t="n">
        <v>0</v>
      </c>
      <c r="M91" t="n">
        <v>0</v>
      </c>
      <c r="N91" t="n">
        <v>0</v>
      </c>
      <c r="O91" t="n">
        <v>1</v>
      </c>
      <c r="P91" t="n">
        <v>0</v>
      </c>
      <c r="Q91" t="n">
        <v>1</v>
      </c>
      <c r="R91" s="2" t="inlineStr">
        <is>
          <t>Vedtrappmossa</t>
        </is>
      </c>
      <c r="S91">
        <f>HYPERLINK("https://klasma.github.io/Logging_0380/artfynd/A 13526-2025 artfynd.xlsx", "A 13526-2025")</f>
        <v/>
      </c>
      <c r="T91">
        <f>HYPERLINK("https://klasma.github.io/Logging_0380/kartor/A 13526-2025 karta.png", "A 13526-2025")</f>
        <v/>
      </c>
      <c r="V91">
        <f>HYPERLINK("https://klasma.github.io/Logging_0380/klagomål/A 13526-2025 FSC-klagomål.docx", "A 13526-2025")</f>
        <v/>
      </c>
      <c r="W91">
        <f>HYPERLINK("https://klasma.github.io/Logging_0380/klagomålsmail/A 13526-2025 FSC-klagomål mail.docx", "A 13526-2025")</f>
        <v/>
      </c>
      <c r="X91">
        <f>HYPERLINK("https://klasma.github.io/Logging_0380/tillsyn/A 13526-2025 tillsynsbegäran.docx", "A 13526-2025")</f>
        <v/>
      </c>
      <c r="Y91">
        <f>HYPERLINK("https://klasma.github.io/Logging_0380/tillsynsmail/A 13526-2025 tillsynsbegäran mail.docx", "A 13526-2025")</f>
        <v/>
      </c>
    </row>
    <row r="92" ht="15" customHeight="1">
      <c r="A92" t="inlineStr">
        <is>
          <t>A 28950-2025</t>
        </is>
      </c>
      <c r="B92" s="1" t="n">
        <v>45820.84516203704</v>
      </c>
      <c r="C92" s="1" t="n">
        <v>45899</v>
      </c>
      <c r="D92" t="inlineStr">
        <is>
          <t>UPPSALA LÄN</t>
        </is>
      </c>
      <c r="E92" t="inlineStr">
        <is>
          <t>UPPSALA</t>
        </is>
      </c>
      <c r="F92" t="inlineStr">
        <is>
          <t>Bergvik skog öst AB</t>
        </is>
      </c>
      <c r="G92" t="n">
        <v>6</v>
      </c>
      <c r="H92" t="n">
        <v>0</v>
      </c>
      <c r="I92" t="n">
        <v>0</v>
      </c>
      <c r="J92" t="n">
        <v>0</v>
      </c>
      <c r="K92" t="n">
        <v>0</v>
      </c>
      <c r="L92" t="n">
        <v>1</v>
      </c>
      <c r="M92" t="n">
        <v>0</v>
      </c>
      <c r="N92" t="n">
        <v>0</v>
      </c>
      <c r="O92" t="n">
        <v>1</v>
      </c>
      <c r="P92" t="n">
        <v>1</v>
      </c>
      <c r="Q92" t="n">
        <v>1</v>
      </c>
      <c r="R92" s="2" t="inlineStr">
        <is>
          <t>Fältgentiana</t>
        </is>
      </c>
      <c r="S92">
        <f>HYPERLINK("https://klasma.github.io/Logging_0380/artfynd/A 28950-2025 artfynd.xlsx", "A 28950-2025")</f>
        <v/>
      </c>
      <c r="T92">
        <f>HYPERLINK("https://klasma.github.io/Logging_0380/kartor/A 28950-2025 karta.png", "A 28950-2025")</f>
        <v/>
      </c>
      <c r="V92">
        <f>HYPERLINK("https://klasma.github.io/Logging_0380/klagomål/A 28950-2025 FSC-klagomål.docx", "A 28950-2025")</f>
        <v/>
      </c>
      <c r="W92">
        <f>HYPERLINK("https://klasma.github.io/Logging_0380/klagomålsmail/A 28950-2025 FSC-klagomål mail.docx", "A 28950-2025")</f>
        <v/>
      </c>
      <c r="X92">
        <f>HYPERLINK("https://klasma.github.io/Logging_0380/tillsyn/A 28950-2025 tillsynsbegäran.docx", "A 28950-2025")</f>
        <v/>
      </c>
      <c r="Y92">
        <f>HYPERLINK("https://klasma.github.io/Logging_0380/tillsynsmail/A 28950-2025 tillsynsbegäran mail.docx", "A 28950-2025")</f>
        <v/>
      </c>
    </row>
    <row r="93" ht="15" customHeight="1">
      <c r="A93" t="inlineStr">
        <is>
          <t>A 57793-2022</t>
        </is>
      </c>
      <c r="B93" s="1" t="n">
        <v>44897</v>
      </c>
      <c r="C93" s="1" t="n">
        <v>45899</v>
      </c>
      <c r="D93" t="inlineStr">
        <is>
          <t>UPPSALA LÄN</t>
        </is>
      </c>
      <c r="E93" t="inlineStr">
        <is>
          <t>UPPSALA</t>
        </is>
      </c>
      <c r="G93" t="n">
        <v>2.9</v>
      </c>
      <c r="H93" t="n">
        <v>1</v>
      </c>
      <c r="I93" t="n">
        <v>0</v>
      </c>
      <c r="J93" t="n">
        <v>1</v>
      </c>
      <c r="K93" t="n">
        <v>0</v>
      </c>
      <c r="L93" t="n">
        <v>0</v>
      </c>
      <c r="M93" t="n">
        <v>0</v>
      </c>
      <c r="N93" t="n">
        <v>0</v>
      </c>
      <c r="O93" t="n">
        <v>1</v>
      </c>
      <c r="P93" t="n">
        <v>0</v>
      </c>
      <c r="Q93" t="n">
        <v>1</v>
      </c>
      <c r="R93" s="2" t="inlineStr">
        <is>
          <t>Talltita</t>
        </is>
      </c>
      <c r="S93">
        <f>HYPERLINK("https://klasma.github.io/Logging_0380/artfynd/A 57793-2022 artfynd.xlsx", "A 57793-2022")</f>
        <v/>
      </c>
      <c r="T93">
        <f>HYPERLINK("https://klasma.github.io/Logging_0380/kartor/A 57793-2022 karta.png", "A 57793-2022")</f>
        <v/>
      </c>
      <c r="V93">
        <f>HYPERLINK("https://klasma.github.io/Logging_0380/klagomål/A 57793-2022 FSC-klagomål.docx", "A 57793-2022")</f>
        <v/>
      </c>
      <c r="W93">
        <f>HYPERLINK("https://klasma.github.io/Logging_0380/klagomålsmail/A 57793-2022 FSC-klagomål mail.docx", "A 57793-2022")</f>
        <v/>
      </c>
      <c r="X93">
        <f>HYPERLINK("https://klasma.github.io/Logging_0380/tillsyn/A 57793-2022 tillsynsbegäran.docx", "A 57793-2022")</f>
        <v/>
      </c>
      <c r="Y93">
        <f>HYPERLINK("https://klasma.github.io/Logging_0380/tillsynsmail/A 57793-2022 tillsynsbegäran mail.docx", "A 57793-2022")</f>
        <v/>
      </c>
      <c r="Z93">
        <f>HYPERLINK("https://klasma.github.io/Logging_0380/fåglar/A 57793-2022 prioriterade fågelarter.docx", "A 57793-2022")</f>
        <v/>
      </c>
    </row>
    <row r="94" ht="15" customHeight="1">
      <c r="A94" t="inlineStr">
        <is>
          <t>A 9206-2024</t>
        </is>
      </c>
      <c r="B94" s="1" t="n">
        <v>45358</v>
      </c>
      <c r="C94" s="1" t="n">
        <v>45899</v>
      </c>
      <c r="D94" t="inlineStr">
        <is>
          <t>UPPSALA LÄN</t>
        </is>
      </c>
      <c r="E94" t="inlineStr">
        <is>
          <t>UPPSALA</t>
        </is>
      </c>
      <c r="F94" t="inlineStr">
        <is>
          <t>Allmännings- och besparingsskogar</t>
        </is>
      </c>
      <c r="G94" t="n">
        <v>22.2</v>
      </c>
      <c r="H94" t="n">
        <v>1</v>
      </c>
      <c r="I94" t="n">
        <v>0</v>
      </c>
      <c r="J94" t="n">
        <v>0</v>
      </c>
      <c r="K94" t="n">
        <v>1</v>
      </c>
      <c r="L94" t="n">
        <v>0</v>
      </c>
      <c r="M94" t="n">
        <v>0</v>
      </c>
      <c r="N94" t="n">
        <v>0</v>
      </c>
      <c r="O94" t="n">
        <v>1</v>
      </c>
      <c r="P94" t="n">
        <v>1</v>
      </c>
      <c r="Q94" t="n">
        <v>1</v>
      </c>
      <c r="R94" s="2" t="inlineStr">
        <is>
          <t>Knärot</t>
        </is>
      </c>
      <c r="S94">
        <f>HYPERLINK("https://klasma.github.io/Logging_0380/artfynd/A 9206-2024 artfynd.xlsx", "A 9206-2024")</f>
        <v/>
      </c>
      <c r="T94">
        <f>HYPERLINK("https://klasma.github.io/Logging_0380/kartor/A 9206-2024 karta.png", "A 9206-2024")</f>
        <v/>
      </c>
      <c r="U94">
        <f>HYPERLINK("https://klasma.github.io/Logging_0380/knärot/A 9206-2024 karta knärot.png", "A 9206-2024")</f>
        <v/>
      </c>
      <c r="V94">
        <f>HYPERLINK("https://klasma.github.io/Logging_0380/klagomål/A 9206-2024 FSC-klagomål.docx", "A 9206-2024")</f>
        <v/>
      </c>
      <c r="W94">
        <f>HYPERLINK("https://klasma.github.io/Logging_0380/klagomålsmail/A 9206-2024 FSC-klagomål mail.docx", "A 9206-2024")</f>
        <v/>
      </c>
      <c r="X94">
        <f>HYPERLINK("https://klasma.github.io/Logging_0380/tillsyn/A 9206-2024 tillsynsbegäran.docx", "A 9206-2024")</f>
        <v/>
      </c>
      <c r="Y94">
        <f>HYPERLINK("https://klasma.github.io/Logging_0380/tillsynsmail/A 9206-2024 tillsynsbegäran mail.docx", "A 9206-2024")</f>
        <v/>
      </c>
    </row>
    <row r="95" ht="15" customHeight="1">
      <c r="A95" t="inlineStr">
        <is>
          <t>A 37004-2025</t>
        </is>
      </c>
      <c r="B95" s="1" t="n">
        <v>45874.69282407407</v>
      </c>
      <c r="C95" s="1" t="n">
        <v>45899</v>
      </c>
      <c r="D95" t="inlineStr">
        <is>
          <t>UPPSALA LÄN</t>
        </is>
      </c>
      <c r="E95" t="inlineStr">
        <is>
          <t>UPPSALA</t>
        </is>
      </c>
      <c r="G95" t="n">
        <v>15.8</v>
      </c>
      <c r="H95" t="n">
        <v>1</v>
      </c>
      <c r="I95" t="n">
        <v>0</v>
      </c>
      <c r="J95" t="n">
        <v>0</v>
      </c>
      <c r="K95" t="n">
        <v>0</v>
      </c>
      <c r="L95" t="n">
        <v>0</v>
      </c>
      <c r="M95" t="n">
        <v>0</v>
      </c>
      <c r="N95" t="n">
        <v>0</v>
      </c>
      <c r="O95" t="n">
        <v>0</v>
      </c>
      <c r="P95" t="n">
        <v>0</v>
      </c>
      <c r="Q95" t="n">
        <v>1</v>
      </c>
      <c r="R95" s="2" t="inlineStr">
        <is>
          <t>Vanlig padda</t>
        </is>
      </c>
      <c r="S95">
        <f>HYPERLINK("https://klasma.github.io/Logging_0380/artfynd/A 37004-2025 artfynd.xlsx", "A 37004-2025")</f>
        <v/>
      </c>
      <c r="T95">
        <f>HYPERLINK("https://klasma.github.io/Logging_0380/kartor/A 37004-2025 karta.png", "A 37004-2025")</f>
        <v/>
      </c>
      <c r="V95">
        <f>HYPERLINK("https://klasma.github.io/Logging_0380/klagomål/A 37004-2025 FSC-klagomål.docx", "A 37004-2025")</f>
        <v/>
      </c>
      <c r="W95">
        <f>HYPERLINK("https://klasma.github.io/Logging_0380/klagomålsmail/A 37004-2025 FSC-klagomål mail.docx", "A 37004-2025")</f>
        <v/>
      </c>
      <c r="X95">
        <f>HYPERLINK("https://klasma.github.io/Logging_0380/tillsyn/A 37004-2025 tillsynsbegäran.docx", "A 37004-2025")</f>
        <v/>
      </c>
      <c r="Y95">
        <f>HYPERLINK("https://klasma.github.io/Logging_0380/tillsynsmail/A 37004-2025 tillsynsbegäran mail.docx", "A 37004-2025")</f>
        <v/>
      </c>
    </row>
    <row r="96" ht="15" customHeight="1">
      <c r="A96" t="inlineStr">
        <is>
          <t>A 13363-2022</t>
        </is>
      </c>
      <c r="B96" s="1" t="n">
        <v>44645</v>
      </c>
      <c r="C96" s="1" t="n">
        <v>45899</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36842-2025</t>
        </is>
      </c>
      <c r="B97" s="1" t="n">
        <v>45874</v>
      </c>
      <c r="C97" s="1" t="n">
        <v>45899</v>
      </c>
      <c r="D97" t="inlineStr">
        <is>
          <t>UPPSALA LÄN</t>
        </is>
      </c>
      <c r="E97" t="inlineStr">
        <is>
          <t>UPPSALA</t>
        </is>
      </c>
      <c r="G97" t="n">
        <v>9.9</v>
      </c>
      <c r="H97" t="n">
        <v>0</v>
      </c>
      <c r="I97" t="n">
        <v>1</v>
      </c>
      <c r="J97" t="n">
        <v>0</v>
      </c>
      <c r="K97" t="n">
        <v>0</v>
      </c>
      <c r="L97" t="n">
        <v>0</v>
      </c>
      <c r="M97" t="n">
        <v>0</v>
      </c>
      <c r="N97" t="n">
        <v>0</v>
      </c>
      <c r="O97" t="n">
        <v>0</v>
      </c>
      <c r="P97" t="n">
        <v>0</v>
      </c>
      <c r="Q97" t="n">
        <v>1</v>
      </c>
      <c r="R97" s="2" t="inlineStr">
        <is>
          <t>Vedticka</t>
        </is>
      </c>
      <c r="S97">
        <f>HYPERLINK("https://klasma.github.io/Logging_0380/artfynd/A 36842-2025 artfynd.xlsx", "A 36842-2025")</f>
        <v/>
      </c>
      <c r="T97">
        <f>HYPERLINK("https://klasma.github.io/Logging_0380/kartor/A 36842-2025 karta.png", "A 36842-2025")</f>
        <v/>
      </c>
      <c r="V97">
        <f>HYPERLINK("https://klasma.github.io/Logging_0380/klagomål/A 36842-2025 FSC-klagomål.docx", "A 36842-2025")</f>
        <v/>
      </c>
      <c r="W97">
        <f>HYPERLINK("https://klasma.github.io/Logging_0380/klagomålsmail/A 36842-2025 FSC-klagomål mail.docx", "A 36842-2025")</f>
        <v/>
      </c>
      <c r="X97">
        <f>HYPERLINK("https://klasma.github.io/Logging_0380/tillsyn/A 36842-2025 tillsynsbegäran.docx", "A 36842-2025")</f>
        <v/>
      </c>
      <c r="Y97">
        <f>HYPERLINK("https://klasma.github.io/Logging_0380/tillsynsmail/A 36842-2025 tillsynsbegäran mail.docx", "A 36842-2025")</f>
        <v/>
      </c>
    </row>
    <row r="98" ht="15" customHeight="1">
      <c r="A98" t="inlineStr">
        <is>
          <t>A 18624-2025</t>
        </is>
      </c>
      <c r="B98" s="1" t="n">
        <v>45763.52524305556</v>
      </c>
      <c r="C98" s="1" t="n">
        <v>45899</v>
      </c>
      <c r="D98" t="inlineStr">
        <is>
          <t>UPPSALA LÄN</t>
        </is>
      </c>
      <c r="E98" t="inlineStr">
        <is>
          <t>UPPSALA</t>
        </is>
      </c>
      <c r="G98" t="n">
        <v>5</v>
      </c>
      <c r="H98" t="n">
        <v>0</v>
      </c>
      <c r="I98" t="n">
        <v>1</v>
      </c>
      <c r="J98" t="n">
        <v>0</v>
      </c>
      <c r="K98" t="n">
        <v>0</v>
      </c>
      <c r="L98" t="n">
        <v>0</v>
      </c>
      <c r="M98" t="n">
        <v>0</v>
      </c>
      <c r="N98" t="n">
        <v>0</v>
      </c>
      <c r="O98" t="n">
        <v>0</v>
      </c>
      <c r="P98" t="n">
        <v>0</v>
      </c>
      <c r="Q98" t="n">
        <v>1</v>
      </c>
      <c r="R98" s="2" t="inlineStr">
        <is>
          <t>Blåmossa</t>
        </is>
      </c>
      <c r="S98">
        <f>HYPERLINK("https://klasma.github.io/Logging_0380/artfynd/A 18624-2025 artfynd.xlsx", "A 18624-2025")</f>
        <v/>
      </c>
      <c r="T98">
        <f>HYPERLINK("https://klasma.github.io/Logging_0380/kartor/A 18624-2025 karta.png", "A 18624-2025")</f>
        <v/>
      </c>
      <c r="V98">
        <f>HYPERLINK("https://klasma.github.io/Logging_0380/klagomål/A 18624-2025 FSC-klagomål.docx", "A 18624-2025")</f>
        <v/>
      </c>
      <c r="W98">
        <f>HYPERLINK("https://klasma.github.io/Logging_0380/klagomålsmail/A 18624-2025 FSC-klagomål mail.docx", "A 18624-2025")</f>
        <v/>
      </c>
      <c r="X98">
        <f>HYPERLINK("https://klasma.github.io/Logging_0380/tillsyn/A 18624-2025 tillsynsbegäran.docx", "A 18624-2025")</f>
        <v/>
      </c>
      <c r="Y98">
        <f>HYPERLINK("https://klasma.github.io/Logging_0380/tillsynsmail/A 18624-2025 tillsynsbegäran mail.docx", "A 18624-2025")</f>
        <v/>
      </c>
    </row>
    <row r="99" ht="15" customHeight="1">
      <c r="A99" t="inlineStr">
        <is>
          <t>A 5009-2023</t>
        </is>
      </c>
      <c r="B99" s="1" t="n">
        <v>44958</v>
      </c>
      <c r="C99" s="1" t="n">
        <v>45899</v>
      </c>
      <c r="D99" t="inlineStr">
        <is>
          <t>UPPSALA LÄN</t>
        </is>
      </c>
      <c r="E99" t="inlineStr">
        <is>
          <t>UPPSALA</t>
        </is>
      </c>
      <c r="G99" t="n">
        <v>4.7</v>
      </c>
      <c r="H99" t="n">
        <v>1</v>
      </c>
      <c r="I99" t="n">
        <v>0</v>
      </c>
      <c r="J99" t="n">
        <v>0</v>
      </c>
      <c r="K99" t="n">
        <v>0</v>
      </c>
      <c r="L99" t="n">
        <v>0</v>
      </c>
      <c r="M99" t="n">
        <v>0</v>
      </c>
      <c r="N99" t="n">
        <v>0</v>
      </c>
      <c r="O99" t="n">
        <v>0</v>
      </c>
      <c r="P99" t="n">
        <v>0</v>
      </c>
      <c r="Q99" t="n">
        <v>1</v>
      </c>
      <c r="R99" s="2" t="inlineStr">
        <is>
          <t>Blåsippa</t>
        </is>
      </c>
      <c r="S99">
        <f>HYPERLINK("https://klasma.github.io/Logging_0380/artfynd/A 5009-2023 artfynd.xlsx", "A 5009-2023")</f>
        <v/>
      </c>
      <c r="T99">
        <f>HYPERLINK("https://klasma.github.io/Logging_0380/kartor/A 5009-2023 karta.png", "A 5009-2023")</f>
        <v/>
      </c>
      <c r="V99">
        <f>HYPERLINK("https://klasma.github.io/Logging_0380/klagomål/A 5009-2023 FSC-klagomål.docx", "A 5009-2023")</f>
        <v/>
      </c>
      <c r="W99">
        <f>HYPERLINK("https://klasma.github.io/Logging_0380/klagomålsmail/A 5009-2023 FSC-klagomål mail.docx", "A 5009-2023")</f>
        <v/>
      </c>
      <c r="X99">
        <f>HYPERLINK("https://klasma.github.io/Logging_0380/tillsyn/A 5009-2023 tillsynsbegäran.docx", "A 5009-2023")</f>
        <v/>
      </c>
      <c r="Y99">
        <f>HYPERLINK("https://klasma.github.io/Logging_0380/tillsynsmail/A 5009-2023 tillsynsbegäran mail.docx", "A 5009-2023")</f>
        <v/>
      </c>
    </row>
    <row r="100" ht="15" customHeight="1">
      <c r="A100" t="inlineStr">
        <is>
          <t>A 6044-2024</t>
        </is>
      </c>
      <c r="B100" s="1" t="n">
        <v>45336</v>
      </c>
      <c r="C100" s="1" t="n">
        <v>45899</v>
      </c>
      <c r="D100" t="inlineStr">
        <is>
          <t>UPPSALA LÄN</t>
        </is>
      </c>
      <c r="E100" t="inlineStr">
        <is>
          <t>UPPSALA</t>
        </is>
      </c>
      <c r="F100" t="inlineStr">
        <is>
          <t>Holmen skog AB</t>
        </is>
      </c>
      <c r="G100" t="n">
        <v>7.4</v>
      </c>
      <c r="H100" t="n">
        <v>0</v>
      </c>
      <c r="I100" t="n">
        <v>0</v>
      </c>
      <c r="J100" t="n">
        <v>1</v>
      </c>
      <c r="K100" t="n">
        <v>0</v>
      </c>
      <c r="L100" t="n">
        <v>0</v>
      </c>
      <c r="M100" t="n">
        <v>0</v>
      </c>
      <c r="N100" t="n">
        <v>0</v>
      </c>
      <c r="O100" t="n">
        <v>1</v>
      </c>
      <c r="P100" t="n">
        <v>0</v>
      </c>
      <c r="Q100" t="n">
        <v>1</v>
      </c>
      <c r="R100" s="2" t="inlineStr">
        <is>
          <t>Gul dropplav</t>
        </is>
      </c>
      <c r="S100">
        <f>HYPERLINK("https://klasma.github.io/Logging_0380/artfynd/A 6044-2024 artfynd.xlsx", "A 6044-2024")</f>
        <v/>
      </c>
      <c r="T100">
        <f>HYPERLINK("https://klasma.github.io/Logging_0380/kartor/A 6044-2024 karta.png", "A 6044-2024")</f>
        <v/>
      </c>
      <c r="V100">
        <f>HYPERLINK("https://klasma.github.io/Logging_0380/klagomål/A 6044-2024 FSC-klagomål.docx", "A 6044-2024")</f>
        <v/>
      </c>
      <c r="W100">
        <f>HYPERLINK("https://klasma.github.io/Logging_0380/klagomålsmail/A 6044-2024 FSC-klagomål mail.docx", "A 6044-2024")</f>
        <v/>
      </c>
      <c r="X100">
        <f>HYPERLINK("https://klasma.github.io/Logging_0380/tillsyn/A 6044-2024 tillsynsbegäran.docx", "A 6044-2024")</f>
        <v/>
      </c>
      <c r="Y100">
        <f>HYPERLINK("https://klasma.github.io/Logging_0380/tillsynsmail/A 6044-2024 tillsynsbegäran mail.docx", "A 6044-2024")</f>
        <v/>
      </c>
    </row>
    <row r="101" ht="15" customHeight="1">
      <c r="A101" t="inlineStr">
        <is>
          <t>A 844-2025</t>
        </is>
      </c>
      <c r="B101" s="1" t="n">
        <v>45665</v>
      </c>
      <c r="C101" s="1" t="n">
        <v>45899</v>
      </c>
      <c r="D101" t="inlineStr">
        <is>
          <t>UPPSALA LÄN</t>
        </is>
      </c>
      <c r="E101" t="inlineStr">
        <is>
          <t>UPPSALA</t>
        </is>
      </c>
      <c r="G101" t="n">
        <v>2.6</v>
      </c>
      <c r="H101" t="n">
        <v>1</v>
      </c>
      <c r="I101" t="n">
        <v>0</v>
      </c>
      <c r="J101" t="n">
        <v>0</v>
      </c>
      <c r="K101" t="n">
        <v>0</v>
      </c>
      <c r="L101" t="n">
        <v>0</v>
      </c>
      <c r="M101" t="n">
        <v>0</v>
      </c>
      <c r="N101" t="n">
        <v>0</v>
      </c>
      <c r="O101" t="n">
        <v>0</v>
      </c>
      <c r="P101" t="n">
        <v>0</v>
      </c>
      <c r="Q101" t="n">
        <v>1</v>
      </c>
      <c r="R101" s="2" t="inlineStr">
        <is>
          <t>Tjäder</t>
        </is>
      </c>
      <c r="S101">
        <f>HYPERLINK("https://klasma.github.io/Logging_0380/artfynd/A 844-2025 artfynd.xlsx", "A 844-2025")</f>
        <v/>
      </c>
      <c r="T101">
        <f>HYPERLINK("https://klasma.github.io/Logging_0380/kartor/A 844-2025 karta.png", "A 844-2025")</f>
        <v/>
      </c>
      <c r="V101">
        <f>HYPERLINK("https://klasma.github.io/Logging_0380/klagomål/A 844-2025 FSC-klagomål.docx", "A 844-2025")</f>
        <v/>
      </c>
      <c r="W101">
        <f>HYPERLINK("https://klasma.github.io/Logging_0380/klagomålsmail/A 844-2025 FSC-klagomål mail.docx", "A 844-2025")</f>
        <v/>
      </c>
      <c r="X101">
        <f>HYPERLINK("https://klasma.github.io/Logging_0380/tillsyn/A 844-2025 tillsynsbegäran.docx", "A 844-2025")</f>
        <v/>
      </c>
      <c r="Y101">
        <f>HYPERLINK("https://klasma.github.io/Logging_0380/tillsynsmail/A 844-2025 tillsynsbegäran mail.docx", "A 844-2025")</f>
        <v/>
      </c>
      <c r="Z101">
        <f>HYPERLINK("https://klasma.github.io/Logging_0380/fåglar/A 844-2025 prioriterade fågelarter.docx", "A 844-2025")</f>
        <v/>
      </c>
    </row>
    <row r="102" ht="15" customHeight="1">
      <c r="A102" t="inlineStr">
        <is>
          <t>A 61830-2022</t>
        </is>
      </c>
      <c r="B102" s="1" t="n">
        <v>44917.59298611111</v>
      </c>
      <c r="C102" s="1" t="n">
        <v>45899</v>
      </c>
      <c r="D102" t="inlineStr">
        <is>
          <t>UPPSALA LÄN</t>
        </is>
      </c>
      <c r="E102" t="inlineStr">
        <is>
          <t>UPPSALA</t>
        </is>
      </c>
      <c r="F102" t="inlineStr">
        <is>
          <t>Holmen skog AB</t>
        </is>
      </c>
      <c r="G102" t="n">
        <v>1.1</v>
      </c>
      <c r="H102" t="n">
        <v>0</v>
      </c>
      <c r="I102" t="n">
        <v>0</v>
      </c>
      <c r="J102" t="n">
        <v>1</v>
      </c>
      <c r="K102" t="n">
        <v>0</v>
      </c>
      <c r="L102" t="n">
        <v>0</v>
      </c>
      <c r="M102" t="n">
        <v>0</v>
      </c>
      <c r="N102" t="n">
        <v>0</v>
      </c>
      <c r="O102" t="n">
        <v>1</v>
      </c>
      <c r="P102" t="n">
        <v>0</v>
      </c>
      <c r="Q102" t="n">
        <v>1</v>
      </c>
      <c r="R102" s="2" t="inlineStr">
        <is>
          <t>Rödbrun blekspik</t>
        </is>
      </c>
      <c r="S102">
        <f>HYPERLINK("https://klasma.github.io/Logging_0380/artfynd/A 61830-2022 artfynd.xlsx", "A 61830-2022")</f>
        <v/>
      </c>
      <c r="T102">
        <f>HYPERLINK("https://klasma.github.io/Logging_0380/kartor/A 61830-2022 karta.png", "A 61830-2022")</f>
        <v/>
      </c>
      <c r="V102">
        <f>HYPERLINK("https://klasma.github.io/Logging_0380/klagomål/A 61830-2022 FSC-klagomål.docx", "A 61830-2022")</f>
        <v/>
      </c>
      <c r="W102">
        <f>HYPERLINK("https://klasma.github.io/Logging_0380/klagomålsmail/A 61830-2022 FSC-klagomål mail.docx", "A 61830-2022")</f>
        <v/>
      </c>
      <c r="X102">
        <f>HYPERLINK("https://klasma.github.io/Logging_0380/tillsyn/A 61830-2022 tillsynsbegäran.docx", "A 61830-2022")</f>
        <v/>
      </c>
      <c r="Y102">
        <f>HYPERLINK("https://klasma.github.io/Logging_0380/tillsynsmail/A 61830-2022 tillsynsbegäran mail.docx", "A 61830-2022")</f>
        <v/>
      </c>
    </row>
    <row r="103" ht="15" customHeight="1">
      <c r="A103" t="inlineStr">
        <is>
          <t>A 40568-2025</t>
        </is>
      </c>
      <c r="B103" s="1" t="n">
        <v>45896.47487268518</v>
      </c>
      <c r="C103" s="1" t="n">
        <v>45899</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2729-2024</t>
        </is>
      </c>
      <c r="B104" s="1" t="n">
        <v>45314.55579861111</v>
      </c>
      <c r="C104" s="1" t="n">
        <v>45899</v>
      </c>
      <c r="D104" t="inlineStr">
        <is>
          <t>UPPSALA LÄN</t>
        </is>
      </c>
      <c r="E104" t="inlineStr">
        <is>
          <t>UPPSALA</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HYPERLINK("https://klasma.github.io/Logging_0380/artfynd/A 2729-2024 artfynd.xlsx", "A 2729-2024")</f>
        <v/>
      </c>
      <c r="T104">
        <f>HYPERLINK("https://klasma.github.io/Logging_0380/kartor/A 2729-2024 karta.png", "A 2729-2024")</f>
        <v/>
      </c>
      <c r="V104">
        <f>HYPERLINK("https://klasma.github.io/Logging_0380/klagomål/A 2729-2024 FSC-klagomål.docx", "A 2729-2024")</f>
        <v/>
      </c>
      <c r="W104">
        <f>HYPERLINK("https://klasma.github.io/Logging_0380/klagomålsmail/A 2729-2024 FSC-klagomål mail.docx", "A 2729-2024")</f>
        <v/>
      </c>
      <c r="X104">
        <f>HYPERLINK("https://klasma.github.io/Logging_0380/tillsyn/A 2729-2024 tillsynsbegäran.docx", "A 2729-2024")</f>
        <v/>
      </c>
      <c r="Y104">
        <f>HYPERLINK("https://klasma.github.io/Logging_0380/tillsynsmail/A 2729-2024 tillsynsbegäran mail.docx", "A 2729-2024")</f>
        <v/>
      </c>
    </row>
    <row r="105" ht="15" customHeight="1">
      <c r="A105" t="inlineStr">
        <is>
          <t>A 46634-2022</t>
        </is>
      </c>
      <c r="B105" s="1" t="n">
        <v>44849</v>
      </c>
      <c r="C105" s="1" t="n">
        <v>45899</v>
      </c>
      <c r="D105" t="inlineStr">
        <is>
          <t>UPPSALA LÄN</t>
        </is>
      </c>
      <c r="E105" t="inlineStr">
        <is>
          <t>UPPSALA</t>
        </is>
      </c>
      <c r="G105" t="n">
        <v>2.9</v>
      </c>
      <c r="H105" t="n">
        <v>0</v>
      </c>
      <c r="I105" t="n">
        <v>1</v>
      </c>
      <c r="J105" t="n">
        <v>0</v>
      </c>
      <c r="K105" t="n">
        <v>0</v>
      </c>
      <c r="L105" t="n">
        <v>0</v>
      </c>
      <c r="M105" t="n">
        <v>0</v>
      </c>
      <c r="N105" t="n">
        <v>0</v>
      </c>
      <c r="O105" t="n">
        <v>0</v>
      </c>
      <c r="P105" t="n">
        <v>0</v>
      </c>
      <c r="Q105" t="n">
        <v>1</v>
      </c>
      <c r="R105" s="2" t="inlineStr">
        <is>
          <t>Fjällig taggsvamp s.str.</t>
        </is>
      </c>
      <c r="S105">
        <f>HYPERLINK("https://klasma.github.io/Logging_0380/artfynd/A 46634-2022 artfynd.xlsx", "A 46634-2022")</f>
        <v/>
      </c>
      <c r="T105">
        <f>HYPERLINK("https://klasma.github.io/Logging_0380/kartor/A 46634-2022 karta.png", "A 46634-2022")</f>
        <v/>
      </c>
      <c r="V105">
        <f>HYPERLINK("https://klasma.github.io/Logging_0380/klagomål/A 46634-2022 FSC-klagomål.docx", "A 46634-2022")</f>
        <v/>
      </c>
      <c r="W105">
        <f>HYPERLINK("https://klasma.github.io/Logging_0380/klagomålsmail/A 46634-2022 FSC-klagomål mail.docx", "A 46634-2022")</f>
        <v/>
      </c>
      <c r="X105">
        <f>HYPERLINK("https://klasma.github.io/Logging_0380/tillsyn/A 46634-2022 tillsynsbegäran.docx", "A 46634-2022")</f>
        <v/>
      </c>
      <c r="Y105">
        <f>HYPERLINK("https://klasma.github.io/Logging_0380/tillsynsmail/A 46634-2022 tillsynsbegäran mail.docx", "A 46634-2022")</f>
        <v/>
      </c>
    </row>
    <row r="106" ht="15" customHeight="1">
      <c r="A106" t="inlineStr">
        <is>
          <t>A 52849-2021</t>
        </is>
      </c>
      <c r="B106" s="1" t="n">
        <v>44467</v>
      </c>
      <c r="C106" s="1" t="n">
        <v>45899</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17484-2025</t>
        </is>
      </c>
      <c r="B107" s="1" t="n">
        <v>45757.49934027778</v>
      </c>
      <c r="C107" s="1" t="n">
        <v>45899</v>
      </c>
      <c r="D107" t="inlineStr">
        <is>
          <t>UPPSALA LÄN</t>
        </is>
      </c>
      <c r="E107" t="inlineStr">
        <is>
          <t>UPPSALA</t>
        </is>
      </c>
      <c r="G107" t="n">
        <v>13.1</v>
      </c>
      <c r="H107" t="n">
        <v>1</v>
      </c>
      <c r="I107" t="n">
        <v>0</v>
      </c>
      <c r="J107" t="n">
        <v>0</v>
      </c>
      <c r="K107" t="n">
        <v>0</v>
      </c>
      <c r="L107" t="n">
        <v>0</v>
      </c>
      <c r="M107" t="n">
        <v>0</v>
      </c>
      <c r="N107" t="n">
        <v>0</v>
      </c>
      <c r="O107" t="n">
        <v>0</v>
      </c>
      <c r="P107" t="n">
        <v>0</v>
      </c>
      <c r="Q107" t="n">
        <v>1</v>
      </c>
      <c r="R107" s="2" t="inlineStr">
        <is>
          <t>Fläcknycklar</t>
        </is>
      </c>
      <c r="S107">
        <f>HYPERLINK("https://klasma.github.io/Logging_0380/artfynd/A 17484-2025 artfynd.xlsx", "A 17484-2025")</f>
        <v/>
      </c>
      <c r="T107">
        <f>HYPERLINK("https://klasma.github.io/Logging_0380/kartor/A 17484-2025 karta.png", "A 17484-2025")</f>
        <v/>
      </c>
      <c r="V107">
        <f>HYPERLINK("https://klasma.github.io/Logging_0380/klagomål/A 17484-2025 FSC-klagomål.docx", "A 17484-2025")</f>
        <v/>
      </c>
      <c r="W107">
        <f>HYPERLINK("https://klasma.github.io/Logging_0380/klagomålsmail/A 17484-2025 FSC-klagomål mail.docx", "A 17484-2025")</f>
        <v/>
      </c>
      <c r="X107">
        <f>HYPERLINK("https://klasma.github.io/Logging_0380/tillsyn/A 17484-2025 tillsynsbegäran.docx", "A 17484-2025")</f>
        <v/>
      </c>
      <c r="Y107">
        <f>HYPERLINK("https://klasma.github.io/Logging_0380/tillsynsmail/A 17484-2025 tillsynsbegäran mail.docx", "A 17484-2025")</f>
        <v/>
      </c>
    </row>
    <row r="108" ht="15" customHeight="1">
      <c r="A108" t="inlineStr">
        <is>
          <t>A 61818-2022</t>
        </is>
      </c>
      <c r="B108" s="1" t="n">
        <v>44917</v>
      </c>
      <c r="C108" s="1" t="n">
        <v>45899</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45899</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29902-2023</t>
        </is>
      </c>
      <c r="B110" s="1" t="n">
        <v>45107</v>
      </c>
      <c r="C110" s="1" t="n">
        <v>45899</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45899</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13093-2024</t>
        </is>
      </c>
      <c r="B112" s="1" t="n">
        <v>45385</v>
      </c>
      <c r="C112" s="1" t="n">
        <v>45899</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58288-2020</t>
        </is>
      </c>
      <c r="B113" s="1" t="n">
        <v>44144</v>
      </c>
      <c r="C113" s="1" t="n">
        <v>45899</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52717-2020</t>
        </is>
      </c>
      <c r="B114" s="1" t="n">
        <v>44119</v>
      </c>
      <c r="C114" s="1" t="n">
        <v>45899</v>
      </c>
      <c r="D114" t="inlineStr">
        <is>
          <t>UPPSALA LÄN</t>
        </is>
      </c>
      <c r="E114" t="inlineStr">
        <is>
          <t>UPPSALA</t>
        </is>
      </c>
      <c r="G114" t="n">
        <v>2.8</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45899</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6853-2022</t>
        </is>
      </c>
      <c r="B116" s="1" t="n">
        <v>44602</v>
      </c>
      <c r="C116" s="1" t="n">
        <v>45899</v>
      </c>
      <c r="D116" t="inlineStr">
        <is>
          <t>UPPSALA LÄN</t>
        </is>
      </c>
      <c r="E116" t="inlineStr">
        <is>
          <t>UPPSALA</t>
        </is>
      </c>
      <c r="G116" t="n">
        <v>12</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45899</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45899</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45899</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45899</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45899</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45899</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45899</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8139-2022</t>
        </is>
      </c>
      <c r="B124" s="1" t="n">
        <v>44609.61430555556</v>
      </c>
      <c r="C124" s="1" t="n">
        <v>45899</v>
      </c>
      <c r="D124" t="inlineStr">
        <is>
          <t>UPPSALA LÄN</t>
        </is>
      </c>
      <c r="E124" t="inlineStr">
        <is>
          <t>UPPSALA</t>
        </is>
      </c>
      <c r="G124" t="n">
        <v>0.6</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45899</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45899</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45899</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45899</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45899</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45899</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45899</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57890-2021</t>
        </is>
      </c>
      <c r="B132" s="1" t="n">
        <v>44486</v>
      </c>
      <c r="C132" s="1" t="n">
        <v>45899</v>
      </c>
      <c r="D132" t="inlineStr">
        <is>
          <t>UPPSALA LÄN</t>
        </is>
      </c>
      <c r="E132" t="inlineStr">
        <is>
          <t>UPPSALA</t>
        </is>
      </c>
      <c r="G132" t="n">
        <v>0.8</v>
      </c>
      <c r="H132" t="n">
        <v>0</v>
      </c>
      <c r="I132" t="n">
        <v>0</v>
      </c>
      <c r="J132" t="n">
        <v>0</v>
      </c>
      <c r="K132" t="n">
        <v>0</v>
      </c>
      <c r="L132" t="n">
        <v>0</v>
      </c>
      <c r="M132" t="n">
        <v>0</v>
      </c>
      <c r="N132" t="n">
        <v>0</v>
      </c>
      <c r="O132" t="n">
        <v>0</v>
      </c>
      <c r="P132" t="n">
        <v>0</v>
      </c>
      <c r="Q132" t="n">
        <v>0</v>
      </c>
      <c r="R132" s="2" t="inlineStr"/>
    </row>
    <row r="133" ht="15" customHeight="1">
      <c r="A133" t="inlineStr">
        <is>
          <t>A 15583-2022</t>
        </is>
      </c>
      <c r="B133" s="1" t="n">
        <v>44662.56783564815</v>
      </c>
      <c r="C133" s="1" t="n">
        <v>45899</v>
      </c>
      <c r="D133" t="inlineStr">
        <is>
          <t>UPPSALA LÄN</t>
        </is>
      </c>
      <c r="E133" t="inlineStr">
        <is>
          <t>UPPSALA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ht="15" customHeight="1">
      <c r="A134" t="inlineStr">
        <is>
          <t>A 752-2022</t>
        </is>
      </c>
      <c r="B134" s="1" t="n">
        <v>44569.5340625</v>
      </c>
      <c r="C134" s="1" t="n">
        <v>45899</v>
      </c>
      <c r="D134" t="inlineStr">
        <is>
          <t>UPPSALA LÄN</t>
        </is>
      </c>
      <c r="E134" t="inlineStr">
        <is>
          <t>UPPSALA</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15436-2022</t>
        </is>
      </c>
      <c r="B135" s="1" t="n">
        <v>44659.70381944445</v>
      </c>
      <c r="C135" s="1" t="n">
        <v>45899</v>
      </c>
      <c r="D135" t="inlineStr">
        <is>
          <t>UPPSALA LÄN</t>
        </is>
      </c>
      <c r="E135" t="inlineStr">
        <is>
          <t>UPPSALA</t>
        </is>
      </c>
      <c r="G135" t="n">
        <v>14.4</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45899</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5663-2021</t>
        </is>
      </c>
      <c r="B137" s="1" t="n">
        <v>44230</v>
      </c>
      <c r="C137" s="1" t="n">
        <v>45899</v>
      </c>
      <c r="D137" t="inlineStr">
        <is>
          <t>UPPSALA LÄN</t>
        </is>
      </c>
      <c r="E137" t="inlineStr">
        <is>
          <t>UPPSALA</t>
        </is>
      </c>
      <c r="G137" t="n">
        <v>0.9</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45899</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45899</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45899</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45899</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45899</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45899</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45899</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45899</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45899</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45899</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45899</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45899</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45899</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45899</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45899</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45899</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45899</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45899</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45899</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45899</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45899</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45899</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45899</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45899</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45899</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45899</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45899</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45899</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45899</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45899</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45899</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64858-2021</t>
        </is>
      </c>
      <c r="B169" s="1" t="n">
        <v>44512</v>
      </c>
      <c r="C169" s="1" t="n">
        <v>45899</v>
      </c>
      <c r="D169" t="inlineStr">
        <is>
          <t>UPPSALA LÄN</t>
        </is>
      </c>
      <c r="E169" t="inlineStr">
        <is>
          <t>UPPSALA</t>
        </is>
      </c>
      <c r="G169" t="n">
        <v>1.2</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45899</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45899</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45899</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45899</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23713-2022</t>
        </is>
      </c>
      <c r="B174" s="1" t="n">
        <v>44722.30703703704</v>
      </c>
      <c r="C174" s="1" t="n">
        <v>45899</v>
      </c>
      <c r="D174" t="inlineStr">
        <is>
          <t>UPPSALA LÄN</t>
        </is>
      </c>
      <c r="E174" t="inlineStr">
        <is>
          <t>UPPSALA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45899</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45899</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19382-2022</t>
        </is>
      </c>
      <c r="B177" s="1" t="n">
        <v>44692.87630787037</v>
      </c>
      <c r="C177" s="1" t="n">
        <v>45899</v>
      </c>
      <c r="D177" t="inlineStr">
        <is>
          <t>UPPSALA LÄN</t>
        </is>
      </c>
      <c r="E177" t="inlineStr">
        <is>
          <t>UPPSALA</t>
        </is>
      </c>
      <c r="G177" t="n">
        <v>4.3</v>
      </c>
      <c r="H177" t="n">
        <v>0</v>
      </c>
      <c r="I177" t="n">
        <v>0</v>
      </c>
      <c r="J177" t="n">
        <v>0</v>
      </c>
      <c r="K177" t="n">
        <v>0</v>
      </c>
      <c r="L177" t="n">
        <v>0</v>
      </c>
      <c r="M177" t="n">
        <v>0</v>
      </c>
      <c r="N177" t="n">
        <v>0</v>
      </c>
      <c r="O177" t="n">
        <v>0</v>
      </c>
      <c r="P177" t="n">
        <v>0</v>
      </c>
      <c r="Q177" t="n">
        <v>0</v>
      </c>
      <c r="R177" s="2" t="inlineStr"/>
    </row>
    <row r="178" ht="15" customHeight="1">
      <c r="A178" t="inlineStr">
        <is>
          <t>A 20265-2022</t>
        </is>
      </c>
      <c r="B178" s="1" t="n">
        <v>44698.67151620371</v>
      </c>
      <c r="C178" s="1" t="n">
        <v>45899</v>
      </c>
      <c r="D178" t="inlineStr">
        <is>
          <t>UPPSALA LÄN</t>
        </is>
      </c>
      <c r="E178" t="inlineStr">
        <is>
          <t>UPPSALA</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22946-2021</t>
        </is>
      </c>
      <c r="B179" s="1" t="n">
        <v>44328.57100694445</v>
      </c>
      <c r="C179" s="1" t="n">
        <v>45899</v>
      </c>
      <c r="D179" t="inlineStr">
        <is>
          <t>UPPSALA LÄN</t>
        </is>
      </c>
      <c r="E179" t="inlineStr">
        <is>
          <t>UPPSALA</t>
        </is>
      </c>
      <c r="G179" t="n">
        <v>2.3</v>
      </c>
      <c r="H179" t="n">
        <v>0</v>
      </c>
      <c r="I179" t="n">
        <v>0</v>
      </c>
      <c r="J179" t="n">
        <v>0</v>
      </c>
      <c r="K179" t="n">
        <v>0</v>
      </c>
      <c r="L179" t="n">
        <v>0</v>
      </c>
      <c r="M179" t="n">
        <v>0</v>
      </c>
      <c r="N179" t="n">
        <v>0</v>
      </c>
      <c r="O179" t="n">
        <v>0</v>
      </c>
      <c r="P179" t="n">
        <v>0</v>
      </c>
      <c r="Q179" t="n">
        <v>0</v>
      </c>
      <c r="R179" s="2" t="inlineStr"/>
    </row>
    <row r="180" ht="15" customHeight="1">
      <c r="A180" t="inlineStr">
        <is>
          <t>A 14022-2021</t>
        </is>
      </c>
      <c r="B180" s="1" t="n">
        <v>44277.65263888889</v>
      </c>
      <c r="C180" s="1" t="n">
        <v>45899</v>
      </c>
      <c r="D180" t="inlineStr">
        <is>
          <t>UPPSALA LÄN</t>
        </is>
      </c>
      <c r="E180" t="inlineStr">
        <is>
          <t>UPPSALA</t>
        </is>
      </c>
      <c r="G180" t="n">
        <v>11.1</v>
      </c>
      <c r="H180" t="n">
        <v>0</v>
      </c>
      <c r="I180" t="n">
        <v>0</v>
      </c>
      <c r="J180" t="n">
        <v>0</v>
      </c>
      <c r="K180" t="n">
        <v>0</v>
      </c>
      <c r="L180" t="n">
        <v>0</v>
      </c>
      <c r="M180" t="n">
        <v>0</v>
      </c>
      <c r="N180" t="n">
        <v>0</v>
      </c>
      <c r="O180" t="n">
        <v>0</v>
      </c>
      <c r="P180" t="n">
        <v>0</v>
      </c>
      <c r="Q180" t="n">
        <v>0</v>
      </c>
      <c r="R180" s="2" t="inlineStr"/>
    </row>
    <row r="181" ht="15" customHeight="1">
      <c r="A181" t="inlineStr">
        <is>
          <t>A 31646-2021</t>
        </is>
      </c>
      <c r="B181" s="1" t="n">
        <v>44369</v>
      </c>
      <c r="C181" s="1" t="n">
        <v>45899</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29277-2022</t>
        </is>
      </c>
      <c r="B182" s="1" t="n">
        <v>44750.678125</v>
      </c>
      <c r="C182" s="1" t="n">
        <v>45899</v>
      </c>
      <c r="D182" t="inlineStr">
        <is>
          <t>UPPSALA LÄN</t>
        </is>
      </c>
      <c r="E182" t="inlineStr">
        <is>
          <t>UPPSALA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5996-2022</t>
        </is>
      </c>
      <c r="B183" s="1" t="n">
        <v>44599.43265046296</v>
      </c>
      <c r="C183" s="1" t="n">
        <v>45899</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45899</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45899</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45899</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18330-2022</t>
        </is>
      </c>
      <c r="B187" s="1" t="n">
        <v>44685.6212037037</v>
      </c>
      <c r="C187" s="1" t="n">
        <v>45899</v>
      </c>
      <c r="D187" t="inlineStr">
        <is>
          <t>UPPSALA LÄN</t>
        </is>
      </c>
      <c r="E187" t="inlineStr">
        <is>
          <t>UPPSALA</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45899</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20980-2022</t>
        </is>
      </c>
      <c r="B189" s="1" t="n">
        <v>44702.70721064815</v>
      </c>
      <c r="C189" s="1" t="n">
        <v>45899</v>
      </c>
      <c r="D189" t="inlineStr">
        <is>
          <t>UPPSALA LÄN</t>
        </is>
      </c>
      <c r="E189" t="inlineStr">
        <is>
          <t>UPPSALA</t>
        </is>
      </c>
      <c r="G189" t="n">
        <v>0.8</v>
      </c>
      <c r="H189" t="n">
        <v>0</v>
      </c>
      <c r="I189" t="n">
        <v>0</v>
      </c>
      <c r="J189" t="n">
        <v>0</v>
      </c>
      <c r="K189" t="n">
        <v>0</v>
      </c>
      <c r="L189" t="n">
        <v>0</v>
      </c>
      <c r="M189" t="n">
        <v>0</v>
      </c>
      <c r="N189" t="n">
        <v>0</v>
      </c>
      <c r="O189" t="n">
        <v>0</v>
      </c>
      <c r="P189" t="n">
        <v>0</v>
      </c>
      <c r="Q189" t="n">
        <v>0</v>
      </c>
      <c r="R189" s="2" t="inlineStr"/>
    </row>
    <row r="190" ht="15" customHeight="1">
      <c r="A190" t="inlineStr">
        <is>
          <t>A 50092-2022</t>
        </is>
      </c>
      <c r="B190" s="1" t="n">
        <v>44865</v>
      </c>
      <c r="C190" s="1" t="n">
        <v>45899</v>
      </c>
      <c r="D190" t="inlineStr">
        <is>
          <t>UPPSALA LÄN</t>
        </is>
      </c>
      <c r="E190" t="inlineStr">
        <is>
          <t>UPPSALA</t>
        </is>
      </c>
      <c r="G190" t="n">
        <v>1.1</v>
      </c>
      <c r="H190" t="n">
        <v>0</v>
      </c>
      <c r="I190" t="n">
        <v>0</v>
      </c>
      <c r="J190" t="n">
        <v>0</v>
      </c>
      <c r="K190" t="n">
        <v>0</v>
      </c>
      <c r="L190" t="n">
        <v>0</v>
      </c>
      <c r="M190" t="n">
        <v>0</v>
      </c>
      <c r="N190" t="n">
        <v>0</v>
      </c>
      <c r="O190" t="n">
        <v>0</v>
      </c>
      <c r="P190" t="n">
        <v>0</v>
      </c>
      <c r="Q190" t="n">
        <v>0</v>
      </c>
      <c r="R190" s="2" t="inlineStr"/>
    </row>
    <row r="191" ht="15" customHeight="1">
      <c r="A191" t="inlineStr">
        <is>
          <t>A 51396-2021</t>
        </is>
      </c>
      <c r="B191" s="1" t="n">
        <v>44461.73350694445</v>
      </c>
      <c r="C191" s="1" t="n">
        <v>45899</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46097-2021</t>
        </is>
      </c>
      <c r="B192" s="1" t="n">
        <v>44442.35195601852</v>
      </c>
      <c r="C192" s="1" t="n">
        <v>45899</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46099-2021</t>
        </is>
      </c>
      <c r="B193" s="1" t="n">
        <v>44442</v>
      </c>
      <c r="C193" s="1" t="n">
        <v>45899</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62865-2021</t>
        </is>
      </c>
      <c r="B194" s="1" t="n">
        <v>44504.59193287037</v>
      </c>
      <c r="C194" s="1" t="n">
        <v>45899</v>
      </c>
      <c r="D194" t="inlineStr">
        <is>
          <t>UPPSALA LÄN</t>
        </is>
      </c>
      <c r="E194" t="inlineStr">
        <is>
          <t>UPPSALA</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13009-2022</t>
        </is>
      </c>
      <c r="B195" s="1" t="n">
        <v>44643.51446759259</v>
      </c>
      <c r="C195" s="1" t="n">
        <v>45899</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29134-2022</t>
        </is>
      </c>
      <c r="B196" s="1" t="n">
        <v>44750.45800925926</v>
      </c>
      <c r="C196" s="1" t="n">
        <v>45899</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42341-2020</t>
        </is>
      </c>
      <c r="B197" s="1" t="n">
        <v>44076</v>
      </c>
      <c r="C197" s="1" t="n">
        <v>45899</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5081-2022</t>
        </is>
      </c>
      <c r="B198" s="1" t="n">
        <v>44593</v>
      </c>
      <c r="C198" s="1" t="n">
        <v>45899</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25745-2022</t>
        </is>
      </c>
      <c r="B199" s="1" t="n">
        <v>44733.43420138889</v>
      </c>
      <c r="C199" s="1" t="n">
        <v>45899</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46647-2020</t>
        </is>
      </c>
      <c r="B200" s="1" t="n">
        <v>44095</v>
      </c>
      <c r="C200" s="1" t="n">
        <v>45899</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22021-2022</t>
        </is>
      </c>
      <c r="B201" s="1" t="n">
        <v>44711</v>
      </c>
      <c r="C201" s="1" t="n">
        <v>45899</v>
      </c>
      <c r="D201" t="inlineStr">
        <is>
          <t>UPPSALA LÄN</t>
        </is>
      </c>
      <c r="E201" t="inlineStr">
        <is>
          <t>UPPSALA</t>
        </is>
      </c>
      <c r="F201" t="inlineStr">
        <is>
          <t>Allmännings- och besparingsskogar</t>
        </is>
      </c>
      <c r="G201" t="n">
        <v>2.1</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45899</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73468-2021</t>
        </is>
      </c>
      <c r="B203" s="1" t="n">
        <v>44551.59704861111</v>
      </c>
      <c r="C203" s="1" t="n">
        <v>45899</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27763-2022</t>
        </is>
      </c>
      <c r="B204" s="1" t="n">
        <v>44743</v>
      </c>
      <c r="C204" s="1" t="n">
        <v>45899</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56466-2020</t>
        </is>
      </c>
      <c r="B205" s="1" t="n">
        <v>44134</v>
      </c>
      <c r="C205" s="1" t="n">
        <v>45899</v>
      </c>
      <c r="D205" t="inlineStr">
        <is>
          <t>UPPSALA LÄN</t>
        </is>
      </c>
      <c r="E205" t="inlineStr">
        <is>
          <t>UPPSALA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46916-2021</t>
        </is>
      </c>
      <c r="B206" s="1" t="n">
        <v>44446.47693287037</v>
      </c>
      <c r="C206" s="1" t="n">
        <v>45899</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45899</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45899</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43850-2022</t>
        </is>
      </c>
      <c r="B209" s="1" t="n">
        <v>44838.40635416667</v>
      </c>
      <c r="C209" s="1" t="n">
        <v>45899</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45899</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10411-2022</t>
        </is>
      </c>
      <c r="B211" s="1" t="n">
        <v>44623.4572337963</v>
      </c>
      <c r="C211" s="1" t="n">
        <v>45899</v>
      </c>
      <c r="D211" t="inlineStr">
        <is>
          <t>UPPSALA LÄN</t>
        </is>
      </c>
      <c r="E211" t="inlineStr">
        <is>
          <t>UPPSALA</t>
        </is>
      </c>
      <c r="F211" t="inlineStr">
        <is>
          <t>Övriga Aktiebolag</t>
        </is>
      </c>
      <c r="G211" t="n">
        <v>4.2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45899</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45899</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45899</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58767-2021</t>
        </is>
      </c>
      <c r="B215" s="1" t="n">
        <v>44489</v>
      </c>
      <c r="C215" s="1" t="n">
        <v>45899</v>
      </c>
      <c r="D215" t="inlineStr">
        <is>
          <t>UPPSALA LÄN</t>
        </is>
      </c>
      <c r="E215" t="inlineStr">
        <is>
          <t>UPPSALA</t>
        </is>
      </c>
      <c r="G215" t="n">
        <v>4.8</v>
      </c>
      <c r="H215" t="n">
        <v>0</v>
      </c>
      <c r="I215" t="n">
        <v>0</v>
      </c>
      <c r="J215" t="n">
        <v>0</v>
      </c>
      <c r="K215" t="n">
        <v>0</v>
      </c>
      <c r="L215" t="n">
        <v>0</v>
      </c>
      <c r="M215" t="n">
        <v>0</v>
      </c>
      <c r="N215" t="n">
        <v>0</v>
      </c>
      <c r="O215" t="n">
        <v>0</v>
      </c>
      <c r="P215" t="n">
        <v>0</v>
      </c>
      <c r="Q215" t="n">
        <v>0</v>
      </c>
      <c r="R215" s="2" t="inlineStr"/>
    </row>
    <row r="216" ht="15" customHeight="1">
      <c r="A216" t="inlineStr">
        <is>
          <t>A 71643-2021</t>
        </is>
      </c>
      <c r="B216" s="1" t="n">
        <v>44543.34697916666</v>
      </c>
      <c r="C216" s="1" t="n">
        <v>45899</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55823-2021</t>
        </is>
      </c>
      <c r="B217" s="1" t="n">
        <v>44476.61263888889</v>
      </c>
      <c r="C217" s="1" t="n">
        <v>45899</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62504-2020</t>
        </is>
      </c>
      <c r="B218" s="1" t="n">
        <v>44160</v>
      </c>
      <c r="C218" s="1" t="n">
        <v>45899</v>
      </c>
      <c r="D218" t="inlineStr">
        <is>
          <t>UPPSALA LÄN</t>
        </is>
      </c>
      <c r="E218" t="inlineStr">
        <is>
          <t>UPPSALA</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46079-2022</t>
        </is>
      </c>
      <c r="B219" s="1" t="n">
        <v>44847.35622685185</v>
      </c>
      <c r="C219" s="1" t="n">
        <v>45899</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45899</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60032-2021</t>
        </is>
      </c>
      <c r="B221" s="1" t="n">
        <v>44495</v>
      </c>
      <c r="C221" s="1" t="n">
        <v>45899</v>
      </c>
      <c r="D221" t="inlineStr">
        <is>
          <t>UPPSALA LÄN</t>
        </is>
      </c>
      <c r="E221" t="inlineStr">
        <is>
          <t>UPPSALA</t>
        </is>
      </c>
      <c r="G221" t="n">
        <v>1.8</v>
      </c>
      <c r="H221" t="n">
        <v>0</v>
      </c>
      <c r="I221" t="n">
        <v>0</v>
      </c>
      <c r="J221" t="n">
        <v>0</v>
      </c>
      <c r="K221" t="n">
        <v>0</v>
      </c>
      <c r="L221" t="n">
        <v>0</v>
      </c>
      <c r="M221" t="n">
        <v>0</v>
      </c>
      <c r="N221" t="n">
        <v>0</v>
      </c>
      <c r="O221" t="n">
        <v>0</v>
      </c>
      <c r="P221" t="n">
        <v>0</v>
      </c>
      <c r="Q221" t="n">
        <v>0</v>
      </c>
      <c r="R221" s="2" t="inlineStr"/>
    </row>
    <row r="222" ht="15" customHeight="1">
      <c r="A222" t="inlineStr">
        <is>
          <t>A 21394-2022</t>
        </is>
      </c>
      <c r="B222" s="1" t="n">
        <v>44705.84535879629</v>
      </c>
      <c r="C222" s="1" t="n">
        <v>45899</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25120-2022</t>
        </is>
      </c>
      <c r="B223" s="1" t="n">
        <v>44729</v>
      </c>
      <c r="C223" s="1" t="n">
        <v>45899</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11693-2022</t>
        </is>
      </c>
      <c r="B224" s="1" t="n">
        <v>44634</v>
      </c>
      <c r="C224" s="1" t="n">
        <v>45899</v>
      </c>
      <c r="D224" t="inlineStr">
        <is>
          <t>UPPSALA LÄN</t>
        </is>
      </c>
      <c r="E224" t="inlineStr">
        <is>
          <t>UPPSALA</t>
        </is>
      </c>
      <c r="G224" t="n">
        <v>4</v>
      </c>
      <c r="H224" t="n">
        <v>0</v>
      </c>
      <c r="I224" t="n">
        <v>0</v>
      </c>
      <c r="J224" t="n">
        <v>0</v>
      </c>
      <c r="K224" t="n">
        <v>0</v>
      </c>
      <c r="L224" t="n">
        <v>0</v>
      </c>
      <c r="M224" t="n">
        <v>0</v>
      </c>
      <c r="N224" t="n">
        <v>0</v>
      </c>
      <c r="O224" t="n">
        <v>0</v>
      </c>
      <c r="P224" t="n">
        <v>0</v>
      </c>
      <c r="Q224" t="n">
        <v>0</v>
      </c>
      <c r="R224" s="2" t="inlineStr"/>
    </row>
    <row r="225" ht="15" customHeight="1">
      <c r="A225" t="inlineStr">
        <is>
          <t>A 58056-2020</t>
        </is>
      </c>
      <c r="B225" s="1" t="n">
        <v>44144</v>
      </c>
      <c r="C225" s="1" t="n">
        <v>45899</v>
      </c>
      <c r="D225" t="inlineStr">
        <is>
          <t>UPPSALA LÄN</t>
        </is>
      </c>
      <c r="E225" t="inlineStr">
        <is>
          <t>UPPSALA</t>
        </is>
      </c>
      <c r="G225" t="n">
        <v>5.5</v>
      </c>
      <c r="H225" t="n">
        <v>0</v>
      </c>
      <c r="I225" t="n">
        <v>0</v>
      </c>
      <c r="J225" t="n">
        <v>0</v>
      </c>
      <c r="K225" t="n">
        <v>0</v>
      </c>
      <c r="L225" t="n">
        <v>0</v>
      </c>
      <c r="M225" t="n">
        <v>0</v>
      </c>
      <c r="N225" t="n">
        <v>0</v>
      </c>
      <c r="O225" t="n">
        <v>0</v>
      </c>
      <c r="P225" t="n">
        <v>0</v>
      </c>
      <c r="Q225" t="n">
        <v>0</v>
      </c>
      <c r="R225" s="2" t="inlineStr"/>
    </row>
    <row r="226" ht="15" customHeight="1">
      <c r="A226" t="inlineStr">
        <is>
          <t>A 12152-2021</t>
        </is>
      </c>
      <c r="B226" s="1" t="n">
        <v>44266.57917824074</v>
      </c>
      <c r="C226" s="1" t="n">
        <v>45899</v>
      </c>
      <c r="D226" t="inlineStr">
        <is>
          <t>UPPSALA LÄN</t>
        </is>
      </c>
      <c r="E226" t="inlineStr">
        <is>
          <t>UPPSALA</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45899</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45899</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45899</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15377-2022</t>
        </is>
      </c>
      <c r="B230" s="1" t="n">
        <v>44659.57912037037</v>
      </c>
      <c r="C230" s="1" t="n">
        <v>45899</v>
      </c>
      <c r="D230" t="inlineStr">
        <is>
          <t>UPPSALA LÄN</t>
        </is>
      </c>
      <c r="E230" t="inlineStr">
        <is>
          <t>UPPSALA</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34061-2022</t>
        </is>
      </c>
      <c r="B231" s="1" t="n">
        <v>44791.38336805555</v>
      </c>
      <c r="C231" s="1" t="n">
        <v>45899</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13892-2022</t>
        </is>
      </c>
      <c r="B232" s="1" t="n">
        <v>44649</v>
      </c>
      <c r="C232" s="1" t="n">
        <v>45899</v>
      </c>
      <c r="D232" t="inlineStr">
        <is>
          <t>UPPSALA LÄN</t>
        </is>
      </c>
      <c r="E232" t="inlineStr">
        <is>
          <t>UPPSALA</t>
        </is>
      </c>
      <c r="G232" t="n">
        <v>3.3</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44799.36359953704</v>
      </c>
      <c r="C233" s="1" t="n">
        <v>45899</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10464-2022</t>
        </is>
      </c>
      <c r="B234" s="1" t="n">
        <v>44623</v>
      </c>
      <c r="C234" s="1" t="n">
        <v>45899</v>
      </c>
      <c r="D234" t="inlineStr">
        <is>
          <t>UPPSALA LÄN</t>
        </is>
      </c>
      <c r="E234" t="inlineStr">
        <is>
          <t>UPPSALA</t>
        </is>
      </c>
      <c r="F234" t="inlineStr">
        <is>
          <t>Övriga Aktiebolag</t>
        </is>
      </c>
      <c r="G234" t="n">
        <v>0.7</v>
      </c>
      <c r="H234" t="n">
        <v>0</v>
      </c>
      <c r="I234" t="n">
        <v>0</v>
      </c>
      <c r="J234" t="n">
        <v>0</v>
      </c>
      <c r="K234" t="n">
        <v>0</v>
      </c>
      <c r="L234" t="n">
        <v>0</v>
      </c>
      <c r="M234" t="n">
        <v>0</v>
      </c>
      <c r="N234" t="n">
        <v>0</v>
      </c>
      <c r="O234" t="n">
        <v>0</v>
      </c>
      <c r="P234" t="n">
        <v>0</v>
      </c>
      <c r="Q234" t="n">
        <v>0</v>
      </c>
      <c r="R234" s="2" t="inlineStr"/>
    </row>
    <row r="235" ht="15" customHeight="1">
      <c r="A235" t="inlineStr">
        <is>
          <t>A 30580-2022</t>
        </is>
      </c>
      <c r="B235" s="1" t="n">
        <v>44762</v>
      </c>
      <c r="C235" s="1" t="n">
        <v>45899</v>
      </c>
      <c r="D235" t="inlineStr">
        <is>
          <t>UPPSALA LÄN</t>
        </is>
      </c>
      <c r="E235" t="inlineStr">
        <is>
          <t>UPPSALA</t>
        </is>
      </c>
      <c r="F235" t="inlineStr">
        <is>
          <t>Bergvik skog öst AB</t>
        </is>
      </c>
      <c r="G235" t="n">
        <v>3.6</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45899</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35411-2022</t>
        </is>
      </c>
      <c r="B237" s="1" t="n">
        <v>44798</v>
      </c>
      <c r="C237" s="1" t="n">
        <v>45899</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11103-2025</t>
        </is>
      </c>
      <c r="B238" s="1" t="n">
        <v>45723</v>
      </c>
      <c r="C238" s="1" t="n">
        <v>45899</v>
      </c>
      <c r="D238" t="inlineStr">
        <is>
          <t>UPPSALA LÄN</t>
        </is>
      </c>
      <c r="E238" t="inlineStr">
        <is>
          <t>UPPSALA</t>
        </is>
      </c>
      <c r="G238" t="n">
        <v>7.9</v>
      </c>
      <c r="H238" t="n">
        <v>0</v>
      </c>
      <c r="I238" t="n">
        <v>0</v>
      </c>
      <c r="J238" t="n">
        <v>0</v>
      </c>
      <c r="K238" t="n">
        <v>0</v>
      </c>
      <c r="L238" t="n">
        <v>0</v>
      </c>
      <c r="M238" t="n">
        <v>0</v>
      </c>
      <c r="N238" t="n">
        <v>0</v>
      </c>
      <c r="O238" t="n">
        <v>0</v>
      </c>
      <c r="P238" t="n">
        <v>0</v>
      </c>
      <c r="Q238" t="n">
        <v>0</v>
      </c>
      <c r="R238" s="2" t="inlineStr"/>
    </row>
    <row r="239" ht="15" customHeight="1">
      <c r="A239" t="inlineStr">
        <is>
          <t>A 3259-2022</t>
        </is>
      </c>
      <c r="B239" s="1" t="n">
        <v>44583.61555555555</v>
      </c>
      <c r="C239" s="1" t="n">
        <v>45899</v>
      </c>
      <c r="D239" t="inlineStr">
        <is>
          <t>UPPSALA LÄN</t>
        </is>
      </c>
      <c r="E239" t="inlineStr">
        <is>
          <t>UPPSALA</t>
        </is>
      </c>
      <c r="F239" t="inlineStr">
        <is>
          <t>Holmen skog AB</t>
        </is>
      </c>
      <c r="G239" t="n">
        <v>2.4</v>
      </c>
      <c r="H239" t="n">
        <v>0</v>
      </c>
      <c r="I239" t="n">
        <v>0</v>
      </c>
      <c r="J239" t="n">
        <v>0</v>
      </c>
      <c r="K239" t="n">
        <v>0</v>
      </c>
      <c r="L239" t="n">
        <v>0</v>
      </c>
      <c r="M239" t="n">
        <v>0</v>
      </c>
      <c r="N239" t="n">
        <v>0</v>
      </c>
      <c r="O239" t="n">
        <v>0</v>
      </c>
      <c r="P239" t="n">
        <v>0</v>
      </c>
      <c r="Q239" t="n">
        <v>0</v>
      </c>
      <c r="R239" s="2" t="inlineStr"/>
    </row>
    <row r="240" ht="15" customHeight="1">
      <c r="A240" t="inlineStr">
        <is>
          <t>A 58058-2020</t>
        </is>
      </c>
      <c r="B240" s="1" t="n">
        <v>44144</v>
      </c>
      <c r="C240" s="1" t="n">
        <v>45899</v>
      </c>
      <c r="D240" t="inlineStr">
        <is>
          <t>UPPSALA LÄN</t>
        </is>
      </c>
      <c r="E240" t="inlineStr">
        <is>
          <t>UPPSALA</t>
        </is>
      </c>
      <c r="G240" t="n">
        <v>4.4</v>
      </c>
      <c r="H240" t="n">
        <v>0</v>
      </c>
      <c r="I240" t="n">
        <v>0</v>
      </c>
      <c r="J240" t="n">
        <v>0</v>
      </c>
      <c r="K240" t="n">
        <v>0</v>
      </c>
      <c r="L240" t="n">
        <v>0</v>
      </c>
      <c r="M240" t="n">
        <v>0</v>
      </c>
      <c r="N240" t="n">
        <v>0</v>
      </c>
      <c r="O240" t="n">
        <v>0</v>
      </c>
      <c r="P240" t="n">
        <v>0</v>
      </c>
      <c r="Q240" t="n">
        <v>0</v>
      </c>
      <c r="R240" s="2" t="inlineStr"/>
    </row>
    <row r="241" ht="15" customHeight="1">
      <c r="A241" t="inlineStr">
        <is>
          <t>A 2017-2022</t>
        </is>
      </c>
      <c r="B241" s="1" t="n">
        <v>44575</v>
      </c>
      <c r="C241" s="1" t="n">
        <v>45899</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48571-2023</t>
        </is>
      </c>
      <c r="B242" s="1" t="n">
        <v>45208.46130787037</v>
      </c>
      <c r="C242" s="1" t="n">
        <v>45899</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33689-2023</t>
        </is>
      </c>
      <c r="B243" s="1" t="n">
        <v>45119</v>
      </c>
      <c r="C243" s="1" t="n">
        <v>45899</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45899</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45899</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43032-2022</t>
        </is>
      </c>
      <c r="B246" s="1" t="n">
        <v>44832</v>
      </c>
      <c r="C246" s="1" t="n">
        <v>45899</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19513-2023</t>
        </is>
      </c>
      <c r="B247" s="1" t="n">
        <v>45050.49392361111</v>
      </c>
      <c r="C247" s="1" t="n">
        <v>45899</v>
      </c>
      <c r="D247" t="inlineStr">
        <is>
          <t>UPPSALA LÄN</t>
        </is>
      </c>
      <c r="E247" t="inlineStr">
        <is>
          <t>UPPSALA</t>
        </is>
      </c>
      <c r="G247" t="n">
        <v>6.6</v>
      </c>
      <c r="H247" t="n">
        <v>0</v>
      </c>
      <c r="I247" t="n">
        <v>0</v>
      </c>
      <c r="J247" t="n">
        <v>0</v>
      </c>
      <c r="K247" t="n">
        <v>0</v>
      </c>
      <c r="L247" t="n">
        <v>0</v>
      </c>
      <c r="M247" t="n">
        <v>0</v>
      </c>
      <c r="N247" t="n">
        <v>0</v>
      </c>
      <c r="O247" t="n">
        <v>0</v>
      </c>
      <c r="P247" t="n">
        <v>0</v>
      </c>
      <c r="Q247" t="n">
        <v>0</v>
      </c>
      <c r="R247" s="2" t="inlineStr"/>
    </row>
    <row r="248" ht="15" customHeight="1">
      <c r="A248" t="inlineStr">
        <is>
          <t>A 6602-2023</t>
        </is>
      </c>
      <c r="B248" s="1" t="n">
        <v>44966</v>
      </c>
      <c r="C248" s="1" t="n">
        <v>45899</v>
      </c>
      <c r="D248" t="inlineStr">
        <is>
          <t>UPPSALA LÄN</t>
        </is>
      </c>
      <c r="E248" t="inlineStr">
        <is>
          <t>UPPSALA</t>
        </is>
      </c>
      <c r="F248" t="inlineStr">
        <is>
          <t>Allmännings- och besparingsskogar</t>
        </is>
      </c>
      <c r="G248" t="n">
        <v>20.2</v>
      </c>
      <c r="H248" t="n">
        <v>0</v>
      </c>
      <c r="I248" t="n">
        <v>0</v>
      </c>
      <c r="J248" t="n">
        <v>0</v>
      </c>
      <c r="K248" t="n">
        <v>0</v>
      </c>
      <c r="L248" t="n">
        <v>0</v>
      </c>
      <c r="M248" t="n">
        <v>0</v>
      </c>
      <c r="N248" t="n">
        <v>0</v>
      </c>
      <c r="O248" t="n">
        <v>0</v>
      </c>
      <c r="P248" t="n">
        <v>0</v>
      </c>
      <c r="Q248" t="n">
        <v>0</v>
      </c>
      <c r="R248" s="2" t="inlineStr"/>
    </row>
    <row r="249" ht="15" customHeight="1">
      <c r="A249" t="inlineStr">
        <is>
          <t>A 1936-2022</t>
        </is>
      </c>
      <c r="B249" s="1" t="n">
        <v>44575.4366087963</v>
      </c>
      <c r="C249" s="1" t="n">
        <v>45899</v>
      </c>
      <c r="D249" t="inlineStr">
        <is>
          <t>UPPSALA LÄN</t>
        </is>
      </c>
      <c r="E249" t="inlineStr">
        <is>
          <t>UPPSALA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54715-2022</t>
        </is>
      </c>
      <c r="B250" s="1" t="n">
        <v>44883</v>
      </c>
      <c r="C250" s="1" t="n">
        <v>45899</v>
      </c>
      <c r="D250" t="inlineStr">
        <is>
          <t>UPPSALA LÄN</t>
        </is>
      </c>
      <c r="E250" t="inlineStr">
        <is>
          <t>UPPSALA</t>
        </is>
      </c>
      <c r="F250" t="inlineStr">
        <is>
          <t>Övriga Aktiebolag</t>
        </is>
      </c>
      <c r="G250" t="n">
        <v>9.5</v>
      </c>
      <c r="H250" t="n">
        <v>0</v>
      </c>
      <c r="I250" t="n">
        <v>0</v>
      </c>
      <c r="J250" t="n">
        <v>0</v>
      </c>
      <c r="K250" t="n">
        <v>0</v>
      </c>
      <c r="L250" t="n">
        <v>0</v>
      </c>
      <c r="M250" t="n">
        <v>0</v>
      </c>
      <c r="N250" t="n">
        <v>0</v>
      </c>
      <c r="O250" t="n">
        <v>0</v>
      </c>
      <c r="P250" t="n">
        <v>0</v>
      </c>
      <c r="Q250" t="n">
        <v>0</v>
      </c>
      <c r="R250" s="2" t="inlineStr"/>
    </row>
    <row r="251" ht="15" customHeight="1">
      <c r="A251" t="inlineStr">
        <is>
          <t>A 50954-2022</t>
        </is>
      </c>
      <c r="B251" s="1" t="n">
        <v>44866</v>
      </c>
      <c r="C251" s="1" t="n">
        <v>45899</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6550-2025</t>
        </is>
      </c>
      <c r="B252" s="1" t="n">
        <v>45699.71063657408</v>
      </c>
      <c r="C252" s="1" t="n">
        <v>45899</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12282-2025</t>
        </is>
      </c>
      <c r="B253" s="1" t="n">
        <v>45729</v>
      </c>
      <c r="C253" s="1" t="n">
        <v>45899</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61805-2021</t>
        </is>
      </c>
      <c r="B254" s="1" t="n">
        <v>44501.71344907407</v>
      </c>
      <c r="C254" s="1" t="n">
        <v>45899</v>
      </c>
      <c r="D254" t="inlineStr">
        <is>
          <t>UPPSALA LÄN</t>
        </is>
      </c>
      <c r="E254" t="inlineStr">
        <is>
          <t>UPPSALA</t>
        </is>
      </c>
      <c r="F254" t="inlineStr">
        <is>
          <t>Bergvik skog öst AB</t>
        </is>
      </c>
      <c r="G254" t="n">
        <v>3.8</v>
      </c>
      <c r="H254" t="n">
        <v>0</v>
      </c>
      <c r="I254" t="n">
        <v>0</v>
      </c>
      <c r="J254" t="n">
        <v>0</v>
      </c>
      <c r="K254" t="n">
        <v>0</v>
      </c>
      <c r="L254" t="n">
        <v>0</v>
      </c>
      <c r="M254" t="n">
        <v>0</v>
      </c>
      <c r="N254" t="n">
        <v>0</v>
      </c>
      <c r="O254" t="n">
        <v>0</v>
      </c>
      <c r="P254" t="n">
        <v>0</v>
      </c>
      <c r="Q254" t="n">
        <v>0</v>
      </c>
      <c r="R254" s="2" t="inlineStr"/>
    </row>
    <row r="255" ht="15" customHeight="1">
      <c r="A255" t="inlineStr">
        <is>
          <t>A 14907-2025</t>
        </is>
      </c>
      <c r="B255" s="1" t="n">
        <v>45743.50744212963</v>
      </c>
      <c r="C255" s="1" t="n">
        <v>45899</v>
      </c>
      <c r="D255" t="inlineStr">
        <is>
          <t>UPPSALA LÄN</t>
        </is>
      </c>
      <c r="E255" t="inlineStr">
        <is>
          <t>UPPSALA</t>
        </is>
      </c>
      <c r="G255" t="n">
        <v>7</v>
      </c>
      <c r="H255" t="n">
        <v>0</v>
      </c>
      <c r="I255" t="n">
        <v>0</v>
      </c>
      <c r="J255" t="n">
        <v>0</v>
      </c>
      <c r="K255" t="n">
        <v>0</v>
      </c>
      <c r="L255" t="n">
        <v>0</v>
      </c>
      <c r="M255" t="n">
        <v>0</v>
      </c>
      <c r="N255" t="n">
        <v>0</v>
      </c>
      <c r="O255" t="n">
        <v>0</v>
      </c>
      <c r="P255" t="n">
        <v>0</v>
      </c>
      <c r="Q255" t="n">
        <v>0</v>
      </c>
      <c r="R255" s="2" t="inlineStr"/>
    </row>
    <row r="256" ht="15" customHeight="1">
      <c r="A256" t="inlineStr">
        <is>
          <t>A 17211-2025</t>
        </is>
      </c>
      <c r="B256" s="1" t="n">
        <v>45756.44024305556</v>
      </c>
      <c r="C256" s="1" t="n">
        <v>45899</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17250-2025</t>
        </is>
      </c>
      <c r="B257" s="1" t="n">
        <v>45756.50738425926</v>
      </c>
      <c r="C257" s="1" t="n">
        <v>45899</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45899</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41545-2023</t>
        </is>
      </c>
      <c r="B259" s="1" t="n">
        <v>45175.57060185185</v>
      </c>
      <c r="C259" s="1" t="n">
        <v>45899</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45899</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11173-2024</t>
        </is>
      </c>
      <c r="B261" s="1" t="n">
        <v>45371.50738425926</v>
      </c>
      <c r="C261" s="1" t="n">
        <v>45899</v>
      </c>
      <c r="D261" t="inlineStr">
        <is>
          <t>UPPSALA LÄN</t>
        </is>
      </c>
      <c r="E261" t="inlineStr">
        <is>
          <t>UPPSALA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14400-2025</t>
        </is>
      </c>
      <c r="B262" s="1" t="n">
        <v>45741.45114583334</v>
      </c>
      <c r="C262" s="1" t="n">
        <v>45899</v>
      </c>
      <c r="D262" t="inlineStr">
        <is>
          <t>UPPSALA LÄN</t>
        </is>
      </c>
      <c r="E262" t="inlineStr">
        <is>
          <t>UPPSALA</t>
        </is>
      </c>
      <c r="G262" t="n">
        <v>6.6</v>
      </c>
      <c r="H262" t="n">
        <v>0</v>
      </c>
      <c r="I262" t="n">
        <v>0</v>
      </c>
      <c r="J262" t="n">
        <v>0</v>
      </c>
      <c r="K262" t="n">
        <v>0</v>
      </c>
      <c r="L262" t="n">
        <v>0</v>
      </c>
      <c r="M262" t="n">
        <v>0</v>
      </c>
      <c r="N262" t="n">
        <v>0</v>
      </c>
      <c r="O262" t="n">
        <v>0</v>
      </c>
      <c r="P262" t="n">
        <v>0</v>
      </c>
      <c r="Q262" t="n">
        <v>0</v>
      </c>
      <c r="R262" s="2" t="inlineStr"/>
    </row>
    <row r="263" ht="15" customHeight="1">
      <c r="A263" t="inlineStr">
        <is>
          <t>A 60691-2024</t>
        </is>
      </c>
      <c r="B263" s="1" t="n">
        <v>45644.47723379629</v>
      </c>
      <c r="C263" s="1" t="n">
        <v>45899</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13526-2023</t>
        </is>
      </c>
      <c r="B264" s="1" t="n">
        <v>45006</v>
      </c>
      <c r="C264" s="1" t="n">
        <v>45899</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60729-2024</t>
        </is>
      </c>
      <c r="B265" s="1" t="n">
        <v>45644</v>
      </c>
      <c r="C265" s="1" t="n">
        <v>45899</v>
      </c>
      <c r="D265" t="inlineStr">
        <is>
          <t>UPPSALA LÄN</t>
        </is>
      </c>
      <c r="E265" t="inlineStr">
        <is>
          <t>UPPSALA</t>
        </is>
      </c>
      <c r="G265" t="n">
        <v>1.9</v>
      </c>
      <c r="H265" t="n">
        <v>0</v>
      </c>
      <c r="I265" t="n">
        <v>0</v>
      </c>
      <c r="J265" t="n">
        <v>0</v>
      </c>
      <c r="K265" t="n">
        <v>0</v>
      </c>
      <c r="L265" t="n">
        <v>0</v>
      </c>
      <c r="M265" t="n">
        <v>0</v>
      </c>
      <c r="N265" t="n">
        <v>0</v>
      </c>
      <c r="O265" t="n">
        <v>0</v>
      </c>
      <c r="P265" t="n">
        <v>0</v>
      </c>
      <c r="Q265" t="n">
        <v>0</v>
      </c>
      <c r="R265" s="2" t="inlineStr"/>
    </row>
    <row r="266" ht="15" customHeight="1">
      <c r="A266" t="inlineStr">
        <is>
          <t>A 1825-2024</t>
        </is>
      </c>
      <c r="B266" s="1" t="n">
        <v>45307</v>
      </c>
      <c r="C266" s="1" t="n">
        <v>45899</v>
      </c>
      <c r="D266" t="inlineStr">
        <is>
          <t>UPPSALA LÄN</t>
        </is>
      </c>
      <c r="E266" t="inlineStr">
        <is>
          <t>UPPSALA</t>
        </is>
      </c>
      <c r="G266" t="n">
        <v>4.2</v>
      </c>
      <c r="H266" t="n">
        <v>0</v>
      </c>
      <c r="I266" t="n">
        <v>0</v>
      </c>
      <c r="J266" t="n">
        <v>0</v>
      </c>
      <c r="K266" t="n">
        <v>0</v>
      </c>
      <c r="L266" t="n">
        <v>0</v>
      </c>
      <c r="M266" t="n">
        <v>0</v>
      </c>
      <c r="N266" t="n">
        <v>0</v>
      </c>
      <c r="O266" t="n">
        <v>0</v>
      </c>
      <c r="P266" t="n">
        <v>0</v>
      </c>
      <c r="Q266" t="n">
        <v>0</v>
      </c>
      <c r="R266" s="2" t="inlineStr"/>
    </row>
    <row r="267" ht="15" customHeight="1">
      <c r="A267" t="inlineStr">
        <is>
          <t>A 73326-2021</t>
        </is>
      </c>
      <c r="B267" s="1" t="n">
        <v>44548</v>
      </c>
      <c r="C267" s="1" t="n">
        <v>45899</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53266-2024</t>
        </is>
      </c>
      <c r="B268" s="1" t="n">
        <v>45614</v>
      </c>
      <c r="C268" s="1" t="n">
        <v>45899</v>
      </c>
      <c r="D268" t="inlineStr">
        <is>
          <t>UPPSALA LÄN</t>
        </is>
      </c>
      <c r="E268" t="inlineStr">
        <is>
          <t>UPPSALA</t>
        </is>
      </c>
      <c r="G268" t="n">
        <v>0.9</v>
      </c>
      <c r="H268" t="n">
        <v>0</v>
      </c>
      <c r="I268" t="n">
        <v>0</v>
      </c>
      <c r="J268" t="n">
        <v>0</v>
      </c>
      <c r="K268" t="n">
        <v>0</v>
      </c>
      <c r="L268" t="n">
        <v>0</v>
      </c>
      <c r="M268" t="n">
        <v>0</v>
      </c>
      <c r="N268" t="n">
        <v>0</v>
      </c>
      <c r="O268" t="n">
        <v>0</v>
      </c>
      <c r="P268" t="n">
        <v>0</v>
      </c>
      <c r="Q268" t="n">
        <v>0</v>
      </c>
      <c r="R268" s="2" t="inlineStr"/>
    </row>
    <row r="269" ht="15" customHeight="1">
      <c r="A269" t="inlineStr">
        <is>
          <t>A 73044-2021</t>
        </is>
      </c>
      <c r="B269" s="1" t="n">
        <v>44550.37994212963</v>
      </c>
      <c r="C269" s="1" t="n">
        <v>45899</v>
      </c>
      <c r="D269" t="inlineStr">
        <is>
          <t>UPPSALA LÄN</t>
        </is>
      </c>
      <c r="E269" t="inlineStr">
        <is>
          <t>UPPSALA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4412-2024</t>
        </is>
      </c>
      <c r="B270" s="1" t="n">
        <v>45327</v>
      </c>
      <c r="C270" s="1" t="n">
        <v>45899</v>
      </c>
      <c r="D270" t="inlineStr">
        <is>
          <t>UPPSALA LÄN</t>
        </is>
      </c>
      <c r="E270" t="inlineStr">
        <is>
          <t>UPPSALA</t>
        </is>
      </c>
      <c r="G270" t="n">
        <v>5.4</v>
      </c>
      <c r="H270" t="n">
        <v>0</v>
      </c>
      <c r="I270" t="n">
        <v>0</v>
      </c>
      <c r="J270" t="n">
        <v>0</v>
      </c>
      <c r="K270" t="n">
        <v>0</v>
      </c>
      <c r="L270" t="n">
        <v>0</v>
      </c>
      <c r="M270" t="n">
        <v>0</v>
      </c>
      <c r="N270" t="n">
        <v>0</v>
      </c>
      <c r="O270" t="n">
        <v>0</v>
      </c>
      <c r="P270" t="n">
        <v>0</v>
      </c>
      <c r="Q270" t="n">
        <v>0</v>
      </c>
      <c r="R270" s="2" t="inlineStr"/>
    </row>
    <row r="271" ht="15" customHeight="1">
      <c r="A271" t="inlineStr">
        <is>
          <t>A 46069-2022</t>
        </is>
      </c>
      <c r="B271" s="1" t="n">
        <v>44847</v>
      </c>
      <c r="C271" s="1" t="n">
        <v>45899</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787-2024</t>
        </is>
      </c>
      <c r="B272" s="1" t="n">
        <v>45300</v>
      </c>
      <c r="C272" s="1" t="n">
        <v>45899</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1588-2025</t>
        </is>
      </c>
      <c r="B273" s="1" t="n">
        <v>45670</v>
      </c>
      <c r="C273" s="1" t="n">
        <v>45899</v>
      </c>
      <c r="D273" t="inlineStr">
        <is>
          <t>UPPSALA LÄN</t>
        </is>
      </c>
      <c r="E273" t="inlineStr">
        <is>
          <t>UPPSALA</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9313-2023</t>
        </is>
      </c>
      <c r="B274" s="1" t="n">
        <v>44980</v>
      </c>
      <c r="C274" s="1" t="n">
        <v>45899</v>
      </c>
      <c r="D274" t="inlineStr">
        <is>
          <t>UPPSALA LÄN</t>
        </is>
      </c>
      <c r="E274" t="inlineStr">
        <is>
          <t>UPPSALA</t>
        </is>
      </c>
      <c r="G274" t="n">
        <v>2.6</v>
      </c>
      <c r="H274" t="n">
        <v>0</v>
      </c>
      <c r="I274" t="n">
        <v>0</v>
      </c>
      <c r="J274" t="n">
        <v>0</v>
      </c>
      <c r="K274" t="n">
        <v>0</v>
      </c>
      <c r="L274" t="n">
        <v>0</v>
      </c>
      <c r="M274" t="n">
        <v>0</v>
      </c>
      <c r="N274" t="n">
        <v>0</v>
      </c>
      <c r="O274" t="n">
        <v>0</v>
      </c>
      <c r="P274" t="n">
        <v>0</v>
      </c>
      <c r="Q274" t="n">
        <v>0</v>
      </c>
      <c r="R274" s="2" t="inlineStr"/>
    </row>
    <row r="275" ht="15" customHeight="1">
      <c r="A275" t="inlineStr">
        <is>
          <t>A 60444-2023</t>
        </is>
      </c>
      <c r="B275" s="1" t="n">
        <v>45259.52809027778</v>
      </c>
      <c r="C275" s="1" t="n">
        <v>45899</v>
      </c>
      <c r="D275" t="inlineStr">
        <is>
          <t>UPPSALA LÄN</t>
        </is>
      </c>
      <c r="E275" t="inlineStr">
        <is>
          <t>UPPSALA</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46920-2021</t>
        </is>
      </c>
      <c r="B276" s="1" t="n">
        <v>44446</v>
      </c>
      <c r="C276" s="1" t="n">
        <v>45899</v>
      </c>
      <c r="D276" t="inlineStr">
        <is>
          <t>UPPSALA LÄN</t>
        </is>
      </c>
      <c r="E276" t="inlineStr">
        <is>
          <t>UPPSALA</t>
        </is>
      </c>
      <c r="G276" t="n">
        <v>1.6</v>
      </c>
      <c r="H276" t="n">
        <v>0</v>
      </c>
      <c r="I276" t="n">
        <v>0</v>
      </c>
      <c r="J276" t="n">
        <v>0</v>
      </c>
      <c r="K276" t="n">
        <v>0</v>
      </c>
      <c r="L276" t="n">
        <v>0</v>
      </c>
      <c r="M276" t="n">
        <v>0</v>
      </c>
      <c r="N276" t="n">
        <v>0</v>
      </c>
      <c r="O276" t="n">
        <v>0</v>
      </c>
      <c r="P276" t="n">
        <v>0</v>
      </c>
      <c r="Q276" t="n">
        <v>0</v>
      </c>
      <c r="R276" s="2" t="inlineStr"/>
    </row>
    <row r="277" ht="15" customHeight="1">
      <c r="A277" t="inlineStr">
        <is>
          <t>A 27068-2023</t>
        </is>
      </c>
      <c r="B277" s="1" t="n">
        <v>45096</v>
      </c>
      <c r="C277" s="1" t="n">
        <v>45899</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20703-2025</t>
        </is>
      </c>
      <c r="B278" s="1" t="n">
        <v>45776.48275462963</v>
      </c>
      <c r="C278" s="1" t="n">
        <v>45899</v>
      </c>
      <c r="D278" t="inlineStr">
        <is>
          <t>UPPSALA LÄN</t>
        </is>
      </c>
      <c r="E278" t="inlineStr">
        <is>
          <t>UPPSALA</t>
        </is>
      </c>
      <c r="F278" t="inlineStr">
        <is>
          <t>Holmen skog AB</t>
        </is>
      </c>
      <c r="G278" t="n">
        <v>3.5</v>
      </c>
      <c r="H278" t="n">
        <v>0</v>
      </c>
      <c r="I278" t="n">
        <v>0</v>
      </c>
      <c r="J278" t="n">
        <v>0</v>
      </c>
      <c r="K278" t="n">
        <v>0</v>
      </c>
      <c r="L278" t="n">
        <v>0</v>
      </c>
      <c r="M278" t="n">
        <v>0</v>
      </c>
      <c r="N278" t="n">
        <v>0</v>
      </c>
      <c r="O278" t="n">
        <v>0</v>
      </c>
      <c r="P278" t="n">
        <v>0</v>
      </c>
      <c r="Q278" t="n">
        <v>0</v>
      </c>
      <c r="R278" s="2" t="inlineStr"/>
    </row>
    <row r="279" ht="15" customHeight="1">
      <c r="A279" t="inlineStr">
        <is>
          <t>A 20712-2025</t>
        </is>
      </c>
      <c r="B279" s="1" t="n">
        <v>45776</v>
      </c>
      <c r="C279" s="1" t="n">
        <v>45899</v>
      </c>
      <c r="D279" t="inlineStr">
        <is>
          <t>UPPSALA LÄN</t>
        </is>
      </c>
      <c r="E279" t="inlineStr">
        <is>
          <t>UPPSALA</t>
        </is>
      </c>
      <c r="G279" t="n">
        <v>1.5</v>
      </c>
      <c r="H279" t="n">
        <v>0</v>
      </c>
      <c r="I279" t="n">
        <v>0</v>
      </c>
      <c r="J279" t="n">
        <v>0</v>
      </c>
      <c r="K279" t="n">
        <v>0</v>
      </c>
      <c r="L279" t="n">
        <v>0</v>
      </c>
      <c r="M279" t="n">
        <v>0</v>
      </c>
      <c r="N279" t="n">
        <v>0</v>
      </c>
      <c r="O279" t="n">
        <v>0</v>
      </c>
      <c r="P279" t="n">
        <v>0</v>
      </c>
      <c r="Q279" t="n">
        <v>0</v>
      </c>
      <c r="R279" s="2" t="inlineStr"/>
    </row>
    <row r="280" ht="15" customHeight="1">
      <c r="A280" t="inlineStr">
        <is>
          <t>A 20686-2025</t>
        </is>
      </c>
      <c r="B280" s="1" t="n">
        <v>45776.45263888889</v>
      </c>
      <c r="C280" s="1" t="n">
        <v>45899</v>
      </c>
      <c r="D280" t="inlineStr">
        <is>
          <t>UPPSALA LÄN</t>
        </is>
      </c>
      <c r="E280" t="inlineStr">
        <is>
          <t>UPPSALA</t>
        </is>
      </c>
      <c r="F280" t="inlineStr">
        <is>
          <t>Holmen skog AB</t>
        </is>
      </c>
      <c r="G280" t="n">
        <v>1.8</v>
      </c>
      <c r="H280" t="n">
        <v>0</v>
      </c>
      <c r="I280" t="n">
        <v>0</v>
      </c>
      <c r="J280" t="n">
        <v>0</v>
      </c>
      <c r="K280" t="n">
        <v>0</v>
      </c>
      <c r="L280" t="n">
        <v>0</v>
      </c>
      <c r="M280" t="n">
        <v>0</v>
      </c>
      <c r="N280" t="n">
        <v>0</v>
      </c>
      <c r="O280" t="n">
        <v>0</v>
      </c>
      <c r="P280" t="n">
        <v>0</v>
      </c>
      <c r="Q280" t="n">
        <v>0</v>
      </c>
      <c r="R280" s="2" t="inlineStr"/>
    </row>
    <row r="281" ht="15" customHeight="1">
      <c r="A281" t="inlineStr">
        <is>
          <t>A 29815-2023</t>
        </is>
      </c>
      <c r="B281" s="1" t="n">
        <v>45107.55574074074</v>
      </c>
      <c r="C281" s="1" t="n">
        <v>45899</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20797-2025</t>
        </is>
      </c>
      <c r="B282" s="1" t="n">
        <v>45776.6415162037</v>
      </c>
      <c r="C282" s="1" t="n">
        <v>45899</v>
      </c>
      <c r="D282" t="inlineStr">
        <is>
          <t>UPPSALA LÄN</t>
        </is>
      </c>
      <c r="E282" t="inlineStr">
        <is>
          <t>UPPSALA</t>
        </is>
      </c>
      <c r="F282" t="inlineStr">
        <is>
          <t>Kommuner</t>
        </is>
      </c>
      <c r="G282" t="n">
        <v>4.6</v>
      </c>
      <c r="H282" t="n">
        <v>0</v>
      </c>
      <c r="I282" t="n">
        <v>0</v>
      </c>
      <c r="J282" t="n">
        <v>0</v>
      </c>
      <c r="K282" t="n">
        <v>0</v>
      </c>
      <c r="L282" t="n">
        <v>0</v>
      </c>
      <c r="M282" t="n">
        <v>0</v>
      </c>
      <c r="N282" t="n">
        <v>0</v>
      </c>
      <c r="O282" t="n">
        <v>0</v>
      </c>
      <c r="P282" t="n">
        <v>0</v>
      </c>
      <c r="Q282" t="n">
        <v>0</v>
      </c>
      <c r="R282" s="2" t="inlineStr"/>
    </row>
    <row r="283" ht="15" customHeight="1">
      <c r="A283" t="inlineStr">
        <is>
          <t>A 59521-2023</t>
        </is>
      </c>
      <c r="B283" s="1" t="n">
        <v>45254.49552083333</v>
      </c>
      <c r="C283" s="1" t="n">
        <v>45899</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53615-2024</t>
        </is>
      </c>
      <c r="B284" s="1" t="n">
        <v>45611</v>
      </c>
      <c r="C284" s="1" t="n">
        <v>45899</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20888-2025</t>
        </is>
      </c>
      <c r="B285" s="1" t="n">
        <v>45777.37119212963</v>
      </c>
      <c r="C285" s="1" t="n">
        <v>45899</v>
      </c>
      <c r="D285" t="inlineStr">
        <is>
          <t>UPPSALA LÄN</t>
        </is>
      </c>
      <c r="E285" t="inlineStr">
        <is>
          <t>UPPSALA</t>
        </is>
      </c>
      <c r="F285" t="inlineStr">
        <is>
          <t>Övriga statliga verk och myndigheter</t>
        </is>
      </c>
      <c r="G285" t="n">
        <v>5.1</v>
      </c>
      <c r="H285" t="n">
        <v>0</v>
      </c>
      <c r="I285" t="n">
        <v>0</v>
      </c>
      <c r="J285" t="n">
        <v>0</v>
      </c>
      <c r="K285" t="n">
        <v>0</v>
      </c>
      <c r="L285" t="n">
        <v>0</v>
      </c>
      <c r="M285" t="n">
        <v>0</v>
      </c>
      <c r="N285" t="n">
        <v>0</v>
      </c>
      <c r="O285" t="n">
        <v>0</v>
      </c>
      <c r="P285" t="n">
        <v>0</v>
      </c>
      <c r="Q285" t="n">
        <v>0</v>
      </c>
      <c r="R285" s="2" t="inlineStr"/>
    </row>
    <row r="286" ht="15" customHeight="1">
      <c r="A286" t="inlineStr">
        <is>
          <t>A 20874-2025</t>
        </is>
      </c>
      <c r="B286" s="1" t="n">
        <v>45777.34894675926</v>
      </c>
      <c r="C286" s="1" t="n">
        <v>45899</v>
      </c>
      <c r="D286" t="inlineStr">
        <is>
          <t>UPPSALA LÄN</t>
        </is>
      </c>
      <c r="E286" t="inlineStr">
        <is>
          <t>UPPSALA</t>
        </is>
      </c>
      <c r="F286" t="inlineStr">
        <is>
          <t>Övriga Aktiebolag</t>
        </is>
      </c>
      <c r="G286" t="n">
        <v>3.9</v>
      </c>
      <c r="H286" t="n">
        <v>0</v>
      </c>
      <c r="I286" t="n">
        <v>0</v>
      </c>
      <c r="J286" t="n">
        <v>0</v>
      </c>
      <c r="K286" t="n">
        <v>0</v>
      </c>
      <c r="L286" t="n">
        <v>0</v>
      </c>
      <c r="M286" t="n">
        <v>0</v>
      </c>
      <c r="N286" t="n">
        <v>0</v>
      </c>
      <c r="O286" t="n">
        <v>0</v>
      </c>
      <c r="P286" t="n">
        <v>0</v>
      </c>
      <c r="Q286" t="n">
        <v>0</v>
      </c>
      <c r="R286" s="2" t="inlineStr"/>
    </row>
    <row r="287" ht="15" customHeight="1">
      <c r="A287" t="inlineStr">
        <is>
          <t>A 20858-2025</t>
        </is>
      </c>
      <c r="B287" s="1" t="n">
        <v>45777.32731481481</v>
      </c>
      <c r="C287" s="1" t="n">
        <v>45899</v>
      </c>
      <c r="D287" t="inlineStr">
        <is>
          <t>UPPSALA LÄN</t>
        </is>
      </c>
      <c r="E287" t="inlineStr">
        <is>
          <t>UPPSALA</t>
        </is>
      </c>
      <c r="F287" t="inlineStr">
        <is>
          <t>Övriga Aktiebolag</t>
        </is>
      </c>
      <c r="G287" t="n">
        <v>4.1</v>
      </c>
      <c r="H287" t="n">
        <v>0</v>
      </c>
      <c r="I287" t="n">
        <v>0</v>
      </c>
      <c r="J287" t="n">
        <v>0</v>
      </c>
      <c r="K287" t="n">
        <v>0</v>
      </c>
      <c r="L287" t="n">
        <v>0</v>
      </c>
      <c r="M287" t="n">
        <v>0</v>
      </c>
      <c r="N287" t="n">
        <v>0</v>
      </c>
      <c r="O287" t="n">
        <v>0</v>
      </c>
      <c r="P287" t="n">
        <v>0</v>
      </c>
      <c r="Q287" t="n">
        <v>0</v>
      </c>
      <c r="R287" s="2" t="inlineStr"/>
    </row>
    <row r="288" ht="15" customHeight="1">
      <c r="A288" t="inlineStr">
        <is>
          <t>A 21033-2025</t>
        </is>
      </c>
      <c r="B288" s="1" t="n">
        <v>45777.52655092593</v>
      </c>
      <c r="C288" s="1" t="n">
        <v>45899</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20928-2025</t>
        </is>
      </c>
      <c r="B289" s="1" t="n">
        <v>45777</v>
      </c>
      <c r="C289" s="1" t="n">
        <v>45899</v>
      </c>
      <c r="D289" t="inlineStr">
        <is>
          <t>UPPSALA LÄN</t>
        </is>
      </c>
      <c r="E289" t="inlineStr">
        <is>
          <t>UPPSALA</t>
        </is>
      </c>
      <c r="G289" t="n">
        <v>11.9</v>
      </c>
      <c r="H289" t="n">
        <v>0</v>
      </c>
      <c r="I289" t="n">
        <v>0</v>
      </c>
      <c r="J289" t="n">
        <v>0</v>
      </c>
      <c r="K289" t="n">
        <v>0</v>
      </c>
      <c r="L289" t="n">
        <v>0</v>
      </c>
      <c r="M289" t="n">
        <v>0</v>
      </c>
      <c r="N289" t="n">
        <v>0</v>
      </c>
      <c r="O289" t="n">
        <v>0</v>
      </c>
      <c r="P289" t="n">
        <v>0</v>
      </c>
      <c r="Q289" t="n">
        <v>0</v>
      </c>
      <c r="R289" s="2" t="inlineStr"/>
    </row>
    <row r="290" ht="15" customHeight="1">
      <c r="A290" t="inlineStr">
        <is>
          <t>A 33667-2024</t>
        </is>
      </c>
      <c r="B290" s="1" t="n">
        <v>45520</v>
      </c>
      <c r="C290" s="1" t="n">
        <v>45899</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45899</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44847-2024</t>
        </is>
      </c>
      <c r="B292" s="1" t="n">
        <v>45574</v>
      </c>
      <c r="C292" s="1" t="n">
        <v>45899</v>
      </c>
      <c r="D292" t="inlineStr">
        <is>
          <t>UPPSALA LÄN</t>
        </is>
      </c>
      <c r="E292" t="inlineStr">
        <is>
          <t>UPPSALA</t>
        </is>
      </c>
      <c r="G292" t="n">
        <v>6.3</v>
      </c>
      <c r="H292" t="n">
        <v>0</v>
      </c>
      <c r="I292" t="n">
        <v>0</v>
      </c>
      <c r="J292" t="n">
        <v>0</v>
      </c>
      <c r="K292" t="n">
        <v>0</v>
      </c>
      <c r="L292" t="n">
        <v>0</v>
      </c>
      <c r="M292" t="n">
        <v>0</v>
      </c>
      <c r="N292" t="n">
        <v>0</v>
      </c>
      <c r="O292" t="n">
        <v>0</v>
      </c>
      <c r="P292" t="n">
        <v>0</v>
      </c>
      <c r="Q292" t="n">
        <v>0</v>
      </c>
      <c r="R292" s="2" t="inlineStr"/>
    </row>
    <row r="293" ht="15" customHeight="1">
      <c r="A293" t="inlineStr">
        <is>
          <t>A 7226-2024</t>
        </is>
      </c>
      <c r="B293" s="1" t="n">
        <v>45344.64759259259</v>
      </c>
      <c r="C293" s="1" t="n">
        <v>45899</v>
      </c>
      <c r="D293" t="inlineStr">
        <is>
          <t>UPPSALA LÄN</t>
        </is>
      </c>
      <c r="E293" t="inlineStr">
        <is>
          <t>UPPSALA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21281-2025</t>
        </is>
      </c>
      <c r="B294" s="1" t="n">
        <v>45779.6665162037</v>
      </c>
      <c r="C294" s="1" t="n">
        <v>45899</v>
      </c>
      <c r="D294" t="inlineStr">
        <is>
          <t>UPPSALA LÄN</t>
        </is>
      </c>
      <c r="E294" t="inlineStr">
        <is>
          <t>UPPSALA</t>
        </is>
      </c>
      <c r="F294" t="inlineStr">
        <is>
          <t>Övriga Aktiebolag</t>
        </is>
      </c>
      <c r="G294" t="n">
        <v>5.9</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45899</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21279-2025</t>
        </is>
      </c>
      <c r="B296" s="1" t="n">
        <v>45779.65787037037</v>
      </c>
      <c r="C296" s="1" t="n">
        <v>45899</v>
      </c>
      <c r="D296" t="inlineStr">
        <is>
          <t>UPPSALA LÄN</t>
        </is>
      </c>
      <c r="E296" t="inlineStr">
        <is>
          <t>UPPSALA</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37588-2022</t>
        </is>
      </c>
      <c r="B297" s="1" t="n">
        <v>44809.92752314815</v>
      </c>
      <c r="C297" s="1" t="n">
        <v>45899</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37670-2022</t>
        </is>
      </c>
      <c r="B298" s="1" t="n">
        <v>44810</v>
      </c>
      <c r="C298" s="1" t="n">
        <v>45899</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29901-2023</t>
        </is>
      </c>
      <c r="B299" s="1" t="n">
        <v>45107</v>
      </c>
      <c r="C299" s="1" t="n">
        <v>45899</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29926-2023</t>
        </is>
      </c>
      <c r="B300" s="1" t="n">
        <v>45107</v>
      </c>
      <c r="C300" s="1" t="n">
        <v>45899</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29927-2023</t>
        </is>
      </c>
      <c r="B301" s="1" t="n">
        <v>45107</v>
      </c>
      <c r="C301" s="1" t="n">
        <v>45899</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7253-2024</t>
        </is>
      </c>
      <c r="B302" s="1" t="n">
        <v>45344.69567129629</v>
      </c>
      <c r="C302" s="1" t="n">
        <v>45899</v>
      </c>
      <c r="D302" t="inlineStr">
        <is>
          <t>UPPSALA LÄN</t>
        </is>
      </c>
      <c r="E302" t="inlineStr">
        <is>
          <t>UPPSALA</t>
        </is>
      </c>
      <c r="F302" t="inlineStr">
        <is>
          <t>Kyrkan</t>
        </is>
      </c>
      <c r="G302" t="n">
        <v>2.5</v>
      </c>
      <c r="H302" t="n">
        <v>0</v>
      </c>
      <c r="I302" t="n">
        <v>0</v>
      </c>
      <c r="J302" t="n">
        <v>0</v>
      </c>
      <c r="K302" t="n">
        <v>0</v>
      </c>
      <c r="L302" t="n">
        <v>0</v>
      </c>
      <c r="M302" t="n">
        <v>0</v>
      </c>
      <c r="N302" t="n">
        <v>0</v>
      </c>
      <c r="O302" t="n">
        <v>0</v>
      </c>
      <c r="P302" t="n">
        <v>0</v>
      </c>
      <c r="Q302" t="n">
        <v>0</v>
      </c>
      <c r="R302" s="2" t="inlineStr"/>
    </row>
    <row r="303" ht="15" customHeight="1">
      <c r="A303" t="inlineStr">
        <is>
          <t>A 39148-2022</t>
        </is>
      </c>
      <c r="B303" s="1" t="n">
        <v>44816</v>
      </c>
      <c r="C303" s="1" t="n">
        <v>45899</v>
      </c>
      <c r="D303" t="inlineStr">
        <is>
          <t>UPPSALA LÄN</t>
        </is>
      </c>
      <c r="E303" t="inlineStr">
        <is>
          <t>UPPSALA</t>
        </is>
      </c>
      <c r="F303" t="inlineStr">
        <is>
          <t>Övriga statliga verk och myndigheter</t>
        </is>
      </c>
      <c r="G303" t="n">
        <v>1.7</v>
      </c>
      <c r="H303" t="n">
        <v>0</v>
      </c>
      <c r="I303" t="n">
        <v>0</v>
      </c>
      <c r="J303" t="n">
        <v>0</v>
      </c>
      <c r="K303" t="n">
        <v>0</v>
      </c>
      <c r="L303" t="n">
        <v>0</v>
      </c>
      <c r="M303" t="n">
        <v>0</v>
      </c>
      <c r="N303" t="n">
        <v>0</v>
      </c>
      <c r="O303" t="n">
        <v>0</v>
      </c>
      <c r="P303" t="n">
        <v>0</v>
      </c>
      <c r="Q303" t="n">
        <v>0</v>
      </c>
      <c r="R303" s="2" t="inlineStr"/>
    </row>
    <row r="304" ht="15" customHeight="1">
      <c r="A304" t="inlineStr">
        <is>
          <t>A 32276-2021</t>
        </is>
      </c>
      <c r="B304" s="1" t="n">
        <v>44371.49178240741</v>
      </c>
      <c r="C304" s="1" t="n">
        <v>45899</v>
      </c>
      <c r="D304" t="inlineStr">
        <is>
          <t>UPPSALA LÄN</t>
        </is>
      </c>
      <c r="E304" t="inlineStr">
        <is>
          <t>UPPSALA</t>
        </is>
      </c>
      <c r="G304" t="n">
        <v>3.7</v>
      </c>
      <c r="H304" t="n">
        <v>0</v>
      </c>
      <c r="I304" t="n">
        <v>0</v>
      </c>
      <c r="J304" t="n">
        <v>0</v>
      </c>
      <c r="K304" t="n">
        <v>0</v>
      </c>
      <c r="L304" t="n">
        <v>0</v>
      </c>
      <c r="M304" t="n">
        <v>0</v>
      </c>
      <c r="N304" t="n">
        <v>0</v>
      </c>
      <c r="O304" t="n">
        <v>0</v>
      </c>
      <c r="P304" t="n">
        <v>0</v>
      </c>
      <c r="Q304" t="n">
        <v>0</v>
      </c>
      <c r="R304" s="2" t="inlineStr"/>
    </row>
    <row r="305" ht="15" customHeight="1">
      <c r="A305" t="inlineStr">
        <is>
          <t>A 21217-2025</t>
        </is>
      </c>
      <c r="B305" s="1" t="n">
        <v>45779.49085648148</v>
      </c>
      <c r="C305" s="1" t="n">
        <v>45899</v>
      </c>
      <c r="D305" t="inlineStr">
        <is>
          <t>UPPSALA LÄN</t>
        </is>
      </c>
      <c r="E305" t="inlineStr">
        <is>
          <t>UPPSALA</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34509-2023</t>
        </is>
      </c>
      <c r="B306" s="1" t="n">
        <v>45133</v>
      </c>
      <c r="C306" s="1" t="n">
        <v>45899</v>
      </c>
      <c r="D306" t="inlineStr">
        <is>
          <t>UPPSALA LÄN</t>
        </is>
      </c>
      <c r="E306" t="inlineStr">
        <is>
          <t>UPPSALA</t>
        </is>
      </c>
      <c r="G306" t="n">
        <v>2.6</v>
      </c>
      <c r="H306" t="n">
        <v>0</v>
      </c>
      <c r="I306" t="n">
        <v>0</v>
      </c>
      <c r="J306" t="n">
        <v>0</v>
      </c>
      <c r="K306" t="n">
        <v>0</v>
      </c>
      <c r="L306" t="n">
        <v>0</v>
      </c>
      <c r="M306" t="n">
        <v>0</v>
      </c>
      <c r="N306" t="n">
        <v>0</v>
      </c>
      <c r="O306" t="n">
        <v>0</v>
      </c>
      <c r="P306" t="n">
        <v>0</v>
      </c>
      <c r="Q306" t="n">
        <v>0</v>
      </c>
      <c r="R306" s="2" t="inlineStr"/>
    </row>
    <row r="307" ht="15" customHeight="1">
      <c r="A307" t="inlineStr">
        <is>
          <t>A 27119-2023</t>
        </is>
      </c>
      <c r="B307" s="1" t="n">
        <v>45096</v>
      </c>
      <c r="C307" s="1" t="n">
        <v>45899</v>
      </c>
      <c r="D307" t="inlineStr">
        <is>
          <t>UPPSALA LÄN</t>
        </is>
      </c>
      <c r="E307" t="inlineStr">
        <is>
          <t>UPPSALA</t>
        </is>
      </c>
      <c r="G307" t="n">
        <v>3.1</v>
      </c>
      <c r="H307" t="n">
        <v>0</v>
      </c>
      <c r="I307" t="n">
        <v>0</v>
      </c>
      <c r="J307" t="n">
        <v>0</v>
      </c>
      <c r="K307" t="n">
        <v>0</v>
      </c>
      <c r="L307" t="n">
        <v>0</v>
      </c>
      <c r="M307" t="n">
        <v>0</v>
      </c>
      <c r="N307" t="n">
        <v>0</v>
      </c>
      <c r="O307" t="n">
        <v>0</v>
      </c>
      <c r="P307" t="n">
        <v>0</v>
      </c>
      <c r="Q307" t="n">
        <v>0</v>
      </c>
      <c r="R307" s="2" t="inlineStr"/>
    </row>
    <row r="308" ht="15" customHeight="1">
      <c r="A308" t="inlineStr">
        <is>
          <t>A 27903-2023</t>
        </is>
      </c>
      <c r="B308" s="1" t="n">
        <v>45098.62966435185</v>
      </c>
      <c r="C308" s="1" t="n">
        <v>45899</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21748-2025</t>
        </is>
      </c>
      <c r="B309" s="1" t="n">
        <v>45783.61053240741</v>
      </c>
      <c r="C309" s="1" t="n">
        <v>45899</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72224-2021</t>
        </is>
      </c>
      <c r="B310" s="1" t="n">
        <v>44544</v>
      </c>
      <c r="C310" s="1" t="n">
        <v>45899</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66686-2021</t>
        </is>
      </c>
      <c r="B311" s="1" t="n">
        <v>44519</v>
      </c>
      <c r="C311" s="1" t="n">
        <v>45899</v>
      </c>
      <c r="D311" t="inlineStr">
        <is>
          <t>UPPSALA LÄN</t>
        </is>
      </c>
      <c r="E311" t="inlineStr">
        <is>
          <t>UPPSALA</t>
        </is>
      </c>
      <c r="G311" t="n">
        <v>6.4</v>
      </c>
      <c r="H311" t="n">
        <v>0</v>
      </c>
      <c r="I311" t="n">
        <v>0</v>
      </c>
      <c r="J311" t="n">
        <v>0</v>
      </c>
      <c r="K311" t="n">
        <v>0</v>
      </c>
      <c r="L311" t="n">
        <v>0</v>
      </c>
      <c r="M311" t="n">
        <v>0</v>
      </c>
      <c r="N311" t="n">
        <v>0</v>
      </c>
      <c r="O311" t="n">
        <v>0</v>
      </c>
      <c r="P311" t="n">
        <v>0</v>
      </c>
      <c r="Q311" t="n">
        <v>0</v>
      </c>
      <c r="R311" s="2" t="inlineStr"/>
    </row>
    <row r="312" ht="15" customHeight="1">
      <c r="A312" t="inlineStr">
        <is>
          <t>A 37162-2021</t>
        </is>
      </c>
      <c r="B312" s="1" t="n">
        <v>44395</v>
      </c>
      <c r="C312" s="1" t="n">
        <v>45899</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5899-2024</t>
        </is>
      </c>
      <c r="B313" s="1" t="n">
        <v>45335</v>
      </c>
      <c r="C313" s="1" t="n">
        <v>45899</v>
      </c>
      <c r="D313" t="inlineStr">
        <is>
          <t>UPPSALA LÄN</t>
        </is>
      </c>
      <c r="E313" t="inlineStr">
        <is>
          <t>UPPSALA</t>
        </is>
      </c>
      <c r="F313" t="inlineStr">
        <is>
          <t>Allmännings- och besparingsskogar</t>
        </is>
      </c>
      <c r="G313" t="n">
        <v>3.7</v>
      </c>
      <c r="H313" t="n">
        <v>0</v>
      </c>
      <c r="I313" t="n">
        <v>0</v>
      </c>
      <c r="J313" t="n">
        <v>0</v>
      </c>
      <c r="K313" t="n">
        <v>0</v>
      </c>
      <c r="L313" t="n">
        <v>0</v>
      </c>
      <c r="M313" t="n">
        <v>0</v>
      </c>
      <c r="N313" t="n">
        <v>0</v>
      </c>
      <c r="O313" t="n">
        <v>0</v>
      </c>
      <c r="P313" t="n">
        <v>0</v>
      </c>
      <c r="Q313" t="n">
        <v>0</v>
      </c>
      <c r="R313" s="2" t="inlineStr"/>
    </row>
    <row r="314" ht="15" customHeight="1">
      <c r="A314" t="inlineStr">
        <is>
          <t>A 45-2024</t>
        </is>
      </c>
      <c r="B314" s="1" t="n">
        <v>45293</v>
      </c>
      <c r="C314" s="1" t="n">
        <v>45899</v>
      </c>
      <c r="D314" t="inlineStr">
        <is>
          <t>UPPSALA LÄN</t>
        </is>
      </c>
      <c r="E314" t="inlineStr">
        <is>
          <t>UPPSALA</t>
        </is>
      </c>
      <c r="G314" t="n">
        <v>12.5</v>
      </c>
      <c r="H314" t="n">
        <v>0</v>
      </c>
      <c r="I314" t="n">
        <v>0</v>
      </c>
      <c r="J314" t="n">
        <v>0</v>
      </c>
      <c r="K314" t="n">
        <v>0</v>
      </c>
      <c r="L314" t="n">
        <v>0</v>
      </c>
      <c r="M314" t="n">
        <v>0</v>
      </c>
      <c r="N314" t="n">
        <v>0</v>
      </c>
      <c r="O314" t="n">
        <v>0</v>
      </c>
      <c r="P314" t="n">
        <v>0</v>
      </c>
      <c r="Q314" t="n">
        <v>0</v>
      </c>
      <c r="R314" s="2" t="inlineStr"/>
    </row>
    <row r="315" ht="15" customHeight="1">
      <c r="A315" t="inlineStr">
        <is>
          <t>A 38934-2023</t>
        </is>
      </c>
      <c r="B315" s="1" t="n">
        <v>45163.59913194444</v>
      </c>
      <c r="C315" s="1" t="n">
        <v>45899</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21936-2025</t>
        </is>
      </c>
      <c r="B316" s="1" t="n">
        <v>45784.57266203704</v>
      </c>
      <c r="C316" s="1" t="n">
        <v>45899</v>
      </c>
      <c r="D316" t="inlineStr">
        <is>
          <t>UPPSALA LÄN</t>
        </is>
      </c>
      <c r="E316" t="inlineStr">
        <is>
          <t>UPPSALA</t>
        </is>
      </c>
      <c r="F316" t="inlineStr">
        <is>
          <t>Bergvik skog öst AB</t>
        </is>
      </c>
      <c r="G316" t="n">
        <v>1.7</v>
      </c>
      <c r="H316" t="n">
        <v>0</v>
      </c>
      <c r="I316" t="n">
        <v>0</v>
      </c>
      <c r="J316" t="n">
        <v>0</v>
      </c>
      <c r="K316" t="n">
        <v>0</v>
      </c>
      <c r="L316" t="n">
        <v>0</v>
      </c>
      <c r="M316" t="n">
        <v>0</v>
      </c>
      <c r="N316" t="n">
        <v>0</v>
      </c>
      <c r="O316" t="n">
        <v>0</v>
      </c>
      <c r="P316" t="n">
        <v>0</v>
      </c>
      <c r="Q316" t="n">
        <v>0</v>
      </c>
      <c r="R316" s="2" t="inlineStr"/>
    </row>
    <row r="317" ht="15" customHeight="1">
      <c r="A317" t="inlineStr">
        <is>
          <t>A 27125-2023</t>
        </is>
      </c>
      <c r="B317" s="1" t="n">
        <v>45096</v>
      </c>
      <c r="C317" s="1" t="n">
        <v>45899</v>
      </c>
      <c r="D317" t="inlineStr">
        <is>
          <t>UPPSALA LÄN</t>
        </is>
      </c>
      <c r="E317" t="inlineStr">
        <is>
          <t>UPPSALA</t>
        </is>
      </c>
      <c r="G317" t="n">
        <v>0.6</v>
      </c>
      <c r="H317" t="n">
        <v>0</v>
      </c>
      <c r="I317" t="n">
        <v>0</v>
      </c>
      <c r="J317" t="n">
        <v>0</v>
      </c>
      <c r="K317" t="n">
        <v>0</v>
      </c>
      <c r="L317" t="n">
        <v>0</v>
      </c>
      <c r="M317" t="n">
        <v>0</v>
      </c>
      <c r="N317" t="n">
        <v>0</v>
      </c>
      <c r="O317" t="n">
        <v>0</v>
      </c>
      <c r="P317" t="n">
        <v>0</v>
      </c>
      <c r="Q317" t="n">
        <v>0</v>
      </c>
      <c r="R317" s="2" t="inlineStr"/>
    </row>
    <row r="318" ht="15" customHeight="1">
      <c r="A318" t="inlineStr">
        <is>
          <t>A 750-2022</t>
        </is>
      </c>
      <c r="B318" s="1" t="n">
        <v>44569.49344907407</v>
      </c>
      <c r="C318" s="1" t="n">
        <v>45899</v>
      </c>
      <c r="D318" t="inlineStr">
        <is>
          <t>UPPSALA LÄN</t>
        </is>
      </c>
      <c r="E318" t="inlineStr">
        <is>
          <t>UPPSALA</t>
        </is>
      </c>
      <c r="F318" t="inlineStr">
        <is>
          <t>Holmen skog AB</t>
        </is>
      </c>
      <c r="G318" t="n">
        <v>6</v>
      </c>
      <c r="H318" t="n">
        <v>0</v>
      </c>
      <c r="I318" t="n">
        <v>0</v>
      </c>
      <c r="J318" t="n">
        <v>0</v>
      </c>
      <c r="K318" t="n">
        <v>0</v>
      </c>
      <c r="L318" t="n">
        <v>0</v>
      </c>
      <c r="M318" t="n">
        <v>0</v>
      </c>
      <c r="N318" t="n">
        <v>0</v>
      </c>
      <c r="O318" t="n">
        <v>0</v>
      </c>
      <c r="P318" t="n">
        <v>0</v>
      </c>
      <c r="Q318" t="n">
        <v>0</v>
      </c>
      <c r="R318" s="2" t="inlineStr"/>
    </row>
    <row r="319" ht="15" customHeight="1">
      <c r="A319" t="inlineStr">
        <is>
          <t>A 16324-2024</t>
        </is>
      </c>
      <c r="B319" s="1" t="n">
        <v>45407.49721064815</v>
      </c>
      <c r="C319" s="1" t="n">
        <v>45899</v>
      </c>
      <c r="D319" t="inlineStr">
        <is>
          <t>UPPSALA LÄN</t>
        </is>
      </c>
      <c r="E319" t="inlineStr">
        <is>
          <t>UPPSALA</t>
        </is>
      </c>
      <c r="G319" t="n">
        <v>2.3</v>
      </c>
      <c r="H319" t="n">
        <v>0</v>
      </c>
      <c r="I319" t="n">
        <v>0</v>
      </c>
      <c r="J319" t="n">
        <v>0</v>
      </c>
      <c r="K319" t="n">
        <v>0</v>
      </c>
      <c r="L319" t="n">
        <v>0</v>
      </c>
      <c r="M319" t="n">
        <v>0</v>
      </c>
      <c r="N319" t="n">
        <v>0</v>
      </c>
      <c r="O319" t="n">
        <v>0</v>
      </c>
      <c r="P319" t="n">
        <v>0</v>
      </c>
      <c r="Q319" t="n">
        <v>0</v>
      </c>
      <c r="R319" s="2" t="inlineStr"/>
    </row>
    <row r="320" ht="15" customHeight="1">
      <c r="A320" t="inlineStr">
        <is>
          <t>A 179-2024</t>
        </is>
      </c>
      <c r="B320" s="1" t="n">
        <v>45294.5666550926</v>
      </c>
      <c r="C320" s="1" t="n">
        <v>45899</v>
      </c>
      <c r="D320" t="inlineStr">
        <is>
          <t>UPPSALA LÄN</t>
        </is>
      </c>
      <c r="E320" t="inlineStr">
        <is>
          <t>UPPSALA</t>
        </is>
      </c>
      <c r="F320" t="inlineStr">
        <is>
          <t>Bergvik skog öst AB</t>
        </is>
      </c>
      <c r="G320" t="n">
        <v>12.7</v>
      </c>
      <c r="H320" t="n">
        <v>0</v>
      </c>
      <c r="I320" t="n">
        <v>0</v>
      </c>
      <c r="J320" t="n">
        <v>0</v>
      </c>
      <c r="K320" t="n">
        <v>0</v>
      </c>
      <c r="L320" t="n">
        <v>0</v>
      </c>
      <c r="M320" t="n">
        <v>0</v>
      </c>
      <c r="N320" t="n">
        <v>0</v>
      </c>
      <c r="O320" t="n">
        <v>0</v>
      </c>
      <c r="P320" t="n">
        <v>0</v>
      </c>
      <c r="Q320" t="n">
        <v>0</v>
      </c>
      <c r="R320" s="2" t="inlineStr"/>
    </row>
    <row r="321" ht="15" customHeight="1">
      <c r="A321" t="inlineStr">
        <is>
          <t>A 22018-2025</t>
        </is>
      </c>
      <c r="B321" s="1" t="n">
        <v>45784.80497685185</v>
      </c>
      <c r="C321" s="1" t="n">
        <v>45899</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4980-2024</t>
        </is>
      </c>
      <c r="B322" s="1" t="n">
        <v>45329</v>
      </c>
      <c r="C322" s="1" t="n">
        <v>45899</v>
      </c>
      <c r="D322" t="inlineStr">
        <is>
          <t>UPPSALA LÄN</t>
        </is>
      </c>
      <c r="E322" t="inlineStr">
        <is>
          <t>UPPSALA</t>
        </is>
      </c>
      <c r="G322" t="n">
        <v>10.8</v>
      </c>
      <c r="H322" t="n">
        <v>0</v>
      </c>
      <c r="I322" t="n">
        <v>0</v>
      </c>
      <c r="J322" t="n">
        <v>0</v>
      </c>
      <c r="K322" t="n">
        <v>0</v>
      </c>
      <c r="L322" t="n">
        <v>0</v>
      </c>
      <c r="M322" t="n">
        <v>0</v>
      </c>
      <c r="N322" t="n">
        <v>0</v>
      </c>
      <c r="O322" t="n">
        <v>0</v>
      </c>
      <c r="P322" t="n">
        <v>0</v>
      </c>
      <c r="Q322" t="n">
        <v>0</v>
      </c>
      <c r="R322" s="2" t="inlineStr"/>
    </row>
    <row r="323" ht="15" customHeight="1">
      <c r="A323" t="inlineStr">
        <is>
          <t>A 42131-2023</t>
        </is>
      </c>
      <c r="B323" s="1" t="n">
        <v>45177.79766203704</v>
      </c>
      <c r="C323" s="1" t="n">
        <v>45899</v>
      </c>
      <c r="D323" t="inlineStr">
        <is>
          <t>UPPSALA LÄN</t>
        </is>
      </c>
      <c r="E323" t="inlineStr">
        <is>
          <t>UPPSALA</t>
        </is>
      </c>
      <c r="F323" t="inlineStr">
        <is>
          <t>Allmännings- och besparingsskogar</t>
        </is>
      </c>
      <c r="G323" t="n">
        <v>6.3</v>
      </c>
      <c r="H323" t="n">
        <v>0</v>
      </c>
      <c r="I323" t="n">
        <v>0</v>
      </c>
      <c r="J323" t="n">
        <v>0</v>
      </c>
      <c r="K323" t="n">
        <v>0</v>
      </c>
      <c r="L323" t="n">
        <v>0</v>
      </c>
      <c r="M323" t="n">
        <v>0</v>
      </c>
      <c r="N323" t="n">
        <v>0</v>
      </c>
      <c r="O323" t="n">
        <v>0</v>
      </c>
      <c r="P323" t="n">
        <v>0</v>
      </c>
      <c r="Q323" t="n">
        <v>0</v>
      </c>
      <c r="R323" s="2" t="inlineStr"/>
    </row>
    <row r="324" ht="15" customHeight="1">
      <c r="A324" t="inlineStr">
        <is>
          <t>A 46633-2020</t>
        </is>
      </c>
      <c r="B324" s="1" t="n">
        <v>44095</v>
      </c>
      <c r="C324" s="1" t="n">
        <v>45899</v>
      </c>
      <c r="D324" t="inlineStr">
        <is>
          <t>UPPSALA LÄN</t>
        </is>
      </c>
      <c r="E324" t="inlineStr">
        <is>
          <t>UPPSALA</t>
        </is>
      </c>
      <c r="G324" t="n">
        <v>4.2</v>
      </c>
      <c r="H324" t="n">
        <v>0</v>
      </c>
      <c r="I324" t="n">
        <v>0</v>
      </c>
      <c r="J324" t="n">
        <v>0</v>
      </c>
      <c r="K324" t="n">
        <v>0</v>
      </c>
      <c r="L324" t="n">
        <v>0</v>
      </c>
      <c r="M324" t="n">
        <v>0</v>
      </c>
      <c r="N324" t="n">
        <v>0</v>
      </c>
      <c r="O324" t="n">
        <v>0</v>
      </c>
      <c r="P324" t="n">
        <v>0</v>
      </c>
      <c r="Q324" t="n">
        <v>0</v>
      </c>
      <c r="R324" s="2" t="inlineStr"/>
    </row>
    <row r="325" ht="15" customHeight="1">
      <c r="A325" t="inlineStr">
        <is>
          <t>A 73531-2021</t>
        </is>
      </c>
      <c r="B325" s="1" t="n">
        <v>44551.76711805556</v>
      </c>
      <c r="C325" s="1" t="n">
        <v>45899</v>
      </c>
      <c r="D325" t="inlineStr">
        <is>
          <t>UPPSALA LÄN</t>
        </is>
      </c>
      <c r="E325" t="inlineStr">
        <is>
          <t>UPPSALA</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4509-2024</t>
        </is>
      </c>
      <c r="B326" s="1" t="n">
        <v>45327</v>
      </c>
      <c r="C326" s="1" t="n">
        <v>45899</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40701-2024</t>
        </is>
      </c>
      <c r="B327" s="1" t="n">
        <v>45558.42498842593</v>
      </c>
      <c r="C327" s="1" t="n">
        <v>45899</v>
      </c>
      <c r="D327" t="inlineStr">
        <is>
          <t>UPPSALA LÄN</t>
        </is>
      </c>
      <c r="E327" t="inlineStr">
        <is>
          <t>UPPSALA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42276-2024</t>
        </is>
      </c>
      <c r="B328" s="1" t="n">
        <v>45562</v>
      </c>
      <c r="C328" s="1" t="n">
        <v>45899</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10650-2024</t>
        </is>
      </c>
      <c r="B329" s="1" t="n">
        <v>45368.64787037037</v>
      </c>
      <c r="C329" s="1" t="n">
        <v>45899</v>
      </c>
      <c r="D329" t="inlineStr">
        <is>
          <t>UPPSALA LÄN</t>
        </is>
      </c>
      <c r="E329" t="inlineStr">
        <is>
          <t>UPPSALA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74023-2021</t>
        </is>
      </c>
      <c r="B330" s="1" t="n">
        <v>44553</v>
      </c>
      <c r="C330" s="1" t="n">
        <v>45899</v>
      </c>
      <c r="D330" t="inlineStr">
        <is>
          <t>UPPSALA LÄN</t>
        </is>
      </c>
      <c r="E330" t="inlineStr">
        <is>
          <t>UPPSALA</t>
        </is>
      </c>
      <c r="G330" t="n">
        <v>5.4</v>
      </c>
      <c r="H330" t="n">
        <v>0</v>
      </c>
      <c r="I330" t="n">
        <v>0</v>
      </c>
      <c r="J330" t="n">
        <v>0</v>
      </c>
      <c r="K330" t="n">
        <v>0</v>
      </c>
      <c r="L330" t="n">
        <v>0</v>
      </c>
      <c r="M330" t="n">
        <v>0</v>
      </c>
      <c r="N330" t="n">
        <v>0</v>
      </c>
      <c r="O330" t="n">
        <v>0</v>
      </c>
      <c r="P330" t="n">
        <v>0</v>
      </c>
      <c r="Q330" t="n">
        <v>0</v>
      </c>
      <c r="R330" s="2" t="inlineStr"/>
    </row>
    <row r="331" ht="15" customHeight="1">
      <c r="A331" t="inlineStr">
        <is>
          <t>A 758-2022</t>
        </is>
      </c>
      <c r="B331" s="1" t="n">
        <v>44569.69358796296</v>
      </c>
      <c r="C331" s="1" t="n">
        <v>45899</v>
      </c>
      <c r="D331" t="inlineStr">
        <is>
          <t>UPPSALA LÄN</t>
        </is>
      </c>
      <c r="E331" t="inlineStr">
        <is>
          <t>UPPSALA</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53900-2023</t>
        </is>
      </c>
      <c r="B332" s="1" t="n">
        <v>45231.54601851852</v>
      </c>
      <c r="C332" s="1" t="n">
        <v>45899</v>
      </c>
      <c r="D332" t="inlineStr">
        <is>
          <t>UPPSALA LÄN</t>
        </is>
      </c>
      <c r="E332" t="inlineStr">
        <is>
          <t>UPPSALA</t>
        </is>
      </c>
      <c r="G332" t="n">
        <v>2.1</v>
      </c>
      <c r="H332" t="n">
        <v>0</v>
      </c>
      <c r="I332" t="n">
        <v>0</v>
      </c>
      <c r="J332" t="n">
        <v>0</v>
      </c>
      <c r="K332" t="n">
        <v>0</v>
      </c>
      <c r="L332" t="n">
        <v>0</v>
      </c>
      <c r="M332" t="n">
        <v>0</v>
      </c>
      <c r="N332" t="n">
        <v>0</v>
      </c>
      <c r="O332" t="n">
        <v>0</v>
      </c>
      <c r="P332" t="n">
        <v>0</v>
      </c>
      <c r="Q332" t="n">
        <v>0</v>
      </c>
      <c r="R332" s="2" t="inlineStr"/>
    </row>
    <row r="333" ht="15" customHeight="1">
      <c r="A333" t="inlineStr">
        <is>
          <t>A 3973-2025</t>
        </is>
      </c>
      <c r="B333" s="1" t="n">
        <v>45684</v>
      </c>
      <c r="C333" s="1" t="n">
        <v>45899</v>
      </c>
      <c r="D333" t="inlineStr">
        <is>
          <t>UPPSALA LÄN</t>
        </is>
      </c>
      <c r="E333" t="inlineStr">
        <is>
          <t>UPPSALA</t>
        </is>
      </c>
      <c r="G333" t="n">
        <v>8</v>
      </c>
      <c r="H333" t="n">
        <v>0</v>
      </c>
      <c r="I333" t="n">
        <v>0</v>
      </c>
      <c r="J333" t="n">
        <v>0</v>
      </c>
      <c r="K333" t="n">
        <v>0</v>
      </c>
      <c r="L333" t="n">
        <v>0</v>
      </c>
      <c r="M333" t="n">
        <v>0</v>
      </c>
      <c r="N333" t="n">
        <v>0</v>
      </c>
      <c r="O333" t="n">
        <v>0</v>
      </c>
      <c r="P333" t="n">
        <v>0</v>
      </c>
      <c r="Q333" t="n">
        <v>0</v>
      </c>
      <c r="R333" s="2" t="inlineStr"/>
    </row>
    <row r="334" ht="15" customHeight="1">
      <c r="A334" t="inlineStr">
        <is>
          <t>A 60781-2023</t>
        </is>
      </c>
      <c r="B334" s="1" t="n">
        <v>45259</v>
      </c>
      <c r="C334" s="1" t="n">
        <v>45899</v>
      </c>
      <c r="D334" t="inlineStr">
        <is>
          <t>UPPSALA LÄN</t>
        </is>
      </c>
      <c r="E334" t="inlineStr">
        <is>
          <t>UPPSALA</t>
        </is>
      </c>
      <c r="G334" t="n">
        <v>4.1</v>
      </c>
      <c r="H334" t="n">
        <v>0</v>
      </c>
      <c r="I334" t="n">
        <v>0</v>
      </c>
      <c r="J334" t="n">
        <v>0</v>
      </c>
      <c r="K334" t="n">
        <v>0</v>
      </c>
      <c r="L334" t="n">
        <v>0</v>
      </c>
      <c r="M334" t="n">
        <v>0</v>
      </c>
      <c r="N334" t="n">
        <v>0</v>
      </c>
      <c r="O334" t="n">
        <v>0</v>
      </c>
      <c r="P334" t="n">
        <v>0</v>
      </c>
      <c r="Q334" t="n">
        <v>0</v>
      </c>
      <c r="R334" s="2" t="inlineStr"/>
    </row>
    <row r="335" ht="15" customHeight="1">
      <c r="A335" t="inlineStr">
        <is>
          <t>A 60714-2023</t>
        </is>
      </c>
      <c r="B335" s="1" t="n">
        <v>45259</v>
      </c>
      <c r="C335" s="1" t="n">
        <v>45899</v>
      </c>
      <c r="D335" t="inlineStr">
        <is>
          <t>UPPSALA LÄN</t>
        </is>
      </c>
      <c r="E335" t="inlineStr">
        <is>
          <t>UPPSALA</t>
        </is>
      </c>
      <c r="G335" t="n">
        <v>3.3</v>
      </c>
      <c r="H335" t="n">
        <v>0</v>
      </c>
      <c r="I335" t="n">
        <v>0</v>
      </c>
      <c r="J335" t="n">
        <v>0</v>
      </c>
      <c r="K335" t="n">
        <v>0</v>
      </c>
      <c r="L335" t="n">
        <v>0</v>
      </c>
      <c r="M335" t="n">
        <v>0</v>
      </c>
      <c r="N335" t="n">
        <v>0</v>
      </c>
      <c r="O335" t="n">
        <v>0</v>
      </c>
      <c r="P335" t="n">
        <v>0</v>
      </c>
      <c r="Q335" t="n">
        <v>0</v>
      </c>
      <c r="R335" s="2" t="inlineStr"/>
    </row>
    <row r="336" ht="15" customHeight="1">
      <c r="A336" t="inlineStr">
        <is>
          <t>A 59570-2023</t>
        </is>
      </c>
      <c r="B336" s="1" t="n">
        <v>45254</v>
      </c>
      <c r="C336" s="1" t="n">
        <v>45899</v>
      </c>
      <c r="D336" t="inlineStr">
        <is>
          <t>UPPSALA LÄN</t>
        </is>
      </c>
      <c r="E336" t="inlineStr">
        <is>
          <t>UPPSALA</t>
        </is>
      </c>
      <c r="G336" t="n">
        <v>6.7</v>
      </c>
      <c r="H336" t="n">
        <v>0</v>
      </c>
      <c r="I336" t="n">
        <v>0</v>
      </c>
      <c r="J336" t="n">
        <v>0</v>
      </c>
      <c r="K336" t="n">
        <v>0</v>
      </c>
      <c r="L336" t="n">
        <v>0</v>
      </c>
      <c r="M336" t="n">
        <v>0</v>
      </c>
      <c r="N336" t="n">
        <v>0</v>
      </c>
      <c r="O336" t="n">
        <v>0</v>
      </c>
      <c r="P336" t="n">
        <v>0</v>
      </c>
      <c r="Q336" t="n">
        <v>0</v>
      </c>
      <c r="R336" s="2" t="inlineStr"/>
    </row>
    <row r="337" ht="15" customHeight="1">
      <c r="A337" t="inlineStr">
        <is>
          <t>A 2327-2024</t>
        </is>
      </c>
      <c r="B337" s="1" t="n">
        <v>45310.53418981482</v>
      </c>
      <c r="C337" s="1" t="n">
        <v>45899</v>
      </c>
      <c r="D337" t="inlineStr">
        <is>
          <t>UPPSALA LÄN</t>
        </is>
      </c>
      <c r="E337" t="inlineStr">
        <is>
          <t>UPPSALA</t>
        </is>
      </c>
      <c r="F337" t="inlineStr">
        <is>
          <t>Kyrkan</t>
        </is>
      </c>
      <c r="G337" t="n">
        <v>0.6</v>
      </c>
      <c r="H337" t="n">
        <v>0</v>
      </c>
      <c r="I337" t="n">
        <v>0</v>
      </c>
      <c r="J337" t="n">
        <v>0</v>
      </c>
      <c r="K337" t="n">
        <v>0</v>
      </c>
      <c r="L337" t="n">
        <v>0</v>
      </c>
      <c r="M337" t="n">
        <v>0</v>
      </c>
      <c r="N337" t="n">
        <v>0</v>
      </c>
      <c r="O337" t="n">
        <v>0</v>
      </c>
      <c r="P337" t="n">
        <v>0</v>
      </c>
      <c r="Q337" t="n">
        <v>0</v>
      </c>
      <c r="R337" s="2" t="inlineStr"/>
    </row>
    <row r="338" ht="15" customHeight="1">
      <c r="A338" t="inlineStr">
        <is>
          <t>A 6989-2022</t>
        </is>
      </c>
      <c r="B338" s="1" t="n">
        <v>44603</v>
      </c>
      <c r="C338" s="1" t="n">
        <v>45899</v>
      </c>
      <c r="D338" t="inlineStr">
        <is>
          <t>UPPSALA LÄN</t>
        </is>
      </c>
      <c r="E338" t="inlineStr">
        <is>
          <t>UPPSALA</t>
        </is>
      </c>
      <c r="G338" t="n">
        <v>3.1</v>
      </c>
      <c r="H338" t="n">
        <v>0</v>
      </c>
      <c r="I338" t="n">
        <v>0</v>
      </c>
      <c r="J338" t="n">
        <v>0</v>
      </c>
      <c r="K338" t="n">
        <v>0</v>
      </c>
      <c r="L338" t="n">
        <v>0</v>
      </c>
      <c r="M338" t="n">
        <v>0</v>
      </c>
      <c r="N338" t="n">
        <v>0</v>
      </c>
      <c r="O338" t="n">
        <v>0</v>
      </c>
      <c r="P338" t="n">
        <v>0</v>
      </c>
      <c r="Q338" t="n">
        <v>0</v>
      </c>
      <c r="R338" s="2" t="inlineStr"/>
    </row>
    <row r="339" ht="15" customHeight="1">
      <c r="A339" t="inlineStr">
        <is>
          <t>A 38190-2023</t>
        </is>
      </c>
      <c r="B339" s="1" t="n">
        <v>45161</v>
      </c>
      <c r="C339" s="1" t="n">
        <v>45899</v>
      </c>
      <c r="D339" t="inlineStr">
        <is>
          <t>UPPSALA LÄN</t>
        </is>
      </c>
      <c r="E339" t="inlineStr">
        <is>
          <t>UPPSALA</t>
        </is>
      </c>
      <c r="G339" t="n">
        <v>0.4</v>
      </c>
      <c r="H339" t="n">
        <v>0</v>
      </c>
      <c r="I339" t="n">
        <v>0</v>
      </c>
      <c r="J339" t="n">
        <v>0</v>
      </c>
      <c r="K339" t="n">
        <v>0</v>
      </c>
      <c r="L339" t="n">
        <v>0</v>
      </c>
      <c r="M339" t="n">
        <v>0</v>
      </c>
      <c r="N339" t="n">
        <v>0</v>
      </c>
      <c r="O339" t="n">
        <v>0</v>
      </c>
      <c r="P339" t="n">
        <v>0</v>
      </c>
      <c r="Q339" t="n">
        <v>0</v>
      </c>
      <c r="R339" s="2" t="inlineStr"/>
    </row>
    <row r="340" ht="15" customHeight="1">
      <c r="A340" t="inlineStr">
        <is>
          <t>A 54813-2022</t>
        </is>
      </c>
      <c r="B340" s="1" t="n">
        <v>44883</v>
      </c>
      <c r="C340" s="1" t="n">
        <v>45899</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46635-2022</t>
        </is>
      </c>
      <c r="B341" s="1" t="n">
        <v>44849</v>
      </c>
      <c r="C341" s="1" t="n">
        <v>45899</v>
      </c>
      <c r="D341" t="inlineStr">
        <is>
          <t>UPPSALA LÄN</t>
        </is>
      </c>
      <c r="E341" t="inlineStr">
        <is>
          <t>UPPSALA</t>
        </is>
      </c>
      <c r="G341" t="n">
        <v>3.4</v>
      </c>
      <c r="H341" t="n">
        <v>0</v>
      </c>
      <c r="I341" t="n">
        <v>0</v>
      </c>
      <c r="J341" t="n">
        <v>0</v>
      </c>
      <c r="K341" t="n">
        <v>0</v>
      </c>
      <c r="L341" t="n">
        <v>0</v>
      </c>
      <c r="M341" t="n">
        <v>0</v>
      </c>
      <c r="N341" t="n">
        <v>0</v>
      </c>
      <c r="O341" t="n">
        <v>0</v>
      </c>
      <c r="P341" t="n">
        <v>0</v>
      </c>
      <c r="Q341" t="n">
        <v>0</v>
      </c>
      <c r="R341" s="2" t="inlineStr"/>
    </row>
    <row r="342" ht="15" customHeight="1">
      <c r="A342" t="inlineStr">
        <is>
          <t>A 34147-2024</t>
        </is>
      </c>
      <c r="B342" s="1" t="n">
        <v>45524</v>
      </c>
      <c r="C342" s="1" t="n">
        <v>45899</v>
      </c>
      <c r="D342" t="inlineStr">
        <is>
          <t>UPPSALA LÄN</t>
        </is>
      </c>
      <c r="E342" t="inlineStr">
        <is>
          <t>UPPSALA</t>
        </is>
      </c>
      <c r="F342" t="inlineStr">
        <is>
          <t>Allmännings- och besparingsskogar</t>
        </is>
      </c>
      <c r="G342" t="n">
        <v>0.2</v>
      </c>
      <c r="H342" t="n">
        <v>0</v>
      </c>
      <c r="I342" t="n">
        <v>0</v>
      </c>
      <c r="J342" t="n">
        <v>0</v>
      </c>
      <c r="K342" t="n">
        <v>0</v>
      </c>
      <c r="L342" t="n">
        <v>0</v>
      </c>
      <c r="M342" t="n">
        <v>0</v>
      </c>
      <c r="N342" t="n">
        <v>0</v>
      </c>
      <c r="O342" t="n">
        <v>0</v>
      </c>
      <c r="P342" t="n">
        <v>0</v>
      </c>
      <c r="Q342" t="n">
        <v>0</v>
      </c>
      <c r="R342" s="2" t="inlineStr"/>
    </row>
    <row r="343" ht="15" customHeight="1">
      <c r="A343" t="inlineStr">
        <is>
          <t>A 11224-2022</t>
        </is>
      </c>
      <c r="B343" s="1" t="n">
        <v>44629.57741898148</v>
      </c>
      <c r="C343" s="1" t="n">
        <v>45899</v>
      </c>
      <c r="D343" t="inlineStr">
        <is>
          <t>UPPSALA LÄN</t>
        </is>
      </c>
      <c r="E343" t="inlineStr">
        <is>
          <t>UPPSALA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26099-2024</t>
        </is>
      </c>
      <c r="B344" s="1" t="n">
        <v>45468</v>
      </c>
      <c r="C344" s="1" t="n">
        <v>45899</v>
      </c>
      <c r="D344" t="inlineStr">
        <is>
          <t>UPPSALA LÄN</t>
        </is>
      </c>
      <c r="E344" t="inlineStr">
        <is>
          <t>UPPSALA</t>
        </is>
      </c>
      <c r="G344" t="n">
        <v>0.3</v>
      </c>
      <c r="H344" t="n">
        <v>0</v>
      </c>
      <c r="I344" t="n">
        <v>0</v>
      </c>
      <c r="J344" t="n">
        <v>0</v>
      </c>
      <c r="K344" t="n">
        <v>0</v>
      </c>
      <c r="L344" t="n">
        <v>0</v>
      </c>
      <c r="M344" t="n">
        <v>0</v>
      </c>
      <c r="N344" t="n">
        <v>0</v>
      </c>
      <c r="O344" t="n">
        <v>0</v>
      </c>
      <c r="P344" t="n">
        <v>0</v>
      </c>
      <c r="Q344" t="n">
        <v>0</v>
      </c>
      <c r="R344" s="2" t="inlineStr"/>
    </row>
    <row r="345" ht="15" customHeight="1">
      <c r="A345" t="inlineStr">
        <is>
          <t>A 17788-2023</t>
        </is>
      </c>
      <c r="B345" s="1" t="n">
        <v>45037</v>
      </c>
      <c r="C345" s="1" t="n">
        <v>45899</v>
      </c>
      <c r="D345" t="inlineStr">
        <is>
          <t>UPPSALA LÄN</t>
        </is>
      </c>
      <c r="E345" t="inlineStr">
        <is>
          <t>UPPSALA</t>
        </is>
      </c>
      <c r="F345" t="inlineStr">
        <is>
          <t>Övriga Aktiebolag</t>
        </is>
      </c>
      <c r="G345" t="n">
        <v>3.7</v>
      </c>
      <c r="H345" t="n">
        <v>0</v>
      </c>
      <c r="I345" t="n">
        <v>0</v>
      </c>
      <c r="J345" t="n">
        <v>0</v>
      </c>
      <c r="K345" t="n">
        <v>0</v>
      </c>
      <c r="L345" t="n">
        <v>0</v>
      </c>
      <c r="M345" t="n">
        <v>0</v>
      </c>
      <c r="N345" t="n">
        <v>0</v>
      </c>
      <c r="O345" t="n">
        <v>0</v>
      </c>
      <c r="P345" t="n">
        <v>0</v>
      </c>
      <c r="Q345" t="n">
        <v>0</v>
      </c>
      <c r="R345" s="2" t="inlineStr"/>
    </row>
    <row r="346" ht="15" customHeight="1">
      <c r="A346" t="inlineStr">
        <is>
          <t>A 11339-2025</t>
        </is>
      </c>
      <c r="B346" s="1" t="n">
        <v>45726</v>
      </c>
      <c r="C346" s="1" t="n">
        <v>45899</v>
      </c>
      <c r="D346" t="inlineStr">
        <is>
          <t>UPPSALA LÄN</t>
        </is>
      </c>
      <c r="E346" t="inlineStr">
        <is>
          <t>UPPSALA</t>
        </is>
      </c>
      <c r="G346" t="n">
        <v>13.4</v>
      </c>
      <c r="H346" t="n">
        <v>0</v>
      </c>
      <c r="I346" t="n">
        <v>0</v>
      </c>
      <c r="J346" t="n">
        <v>0</v>
      </c>
      <c r="K346" t="n">
        <v>0</v>
      </c>
      <c r="L346" t="n">
        <v>0</v>
      </c>
      <c r="M346" t="n">
        <v>0</v>
      </c>
      <c r="N346" t="n">
        <v>0</v>
      </c>
      <c r="O346" t="n">
        <v>0</v>
      </c>
      <c r="P346" t="n">
        <v>0</v>
      </c>
      <c r="Q346" t="n">
        <v>0</v>
      </c>
      <c r="R346" s="2" t="inlineStr"/>
    </row>
    <row r="347" ht="15" customHeight="1">
      <c r="A347" t="inlineStr">
        <is>
          <t>A 11260-2024</t>
        </is>
      </c>
      <c r="B347" s="1" t="n">
        <v>45371.67368055556</v>
      </c>
      <c r="C347" s="1" t="n">
        <v>45899</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22951-2025</t>
        </is>
      </c>
      <c r="B348" s="1" t="n">
        <v>45790.51040509259</v>
      </c>
      <c r="C348" s="1" t="n">
        <v>45899</v>
      </c>
      <c r="D348" t="inlineStr">
        <is>
          <t>UPPSALA LÄN</t>
        </is>
      </c>
      <c r="E348" t="inlineStr">
        <is>
          <t>UPPSALA</t>
        </is>
      </c>
      <c r="G348" t="n">
        <v>0.9</v>
      </c>
      <c r="H348" t="n">
        <v>0</v>
      </c>
      <c r="I348" t="n">
        <v>0</v>
      </c>
      <c r="J348" t="n">
        <v>0</v>
      </c>
      <c r="K348" t="n">
        <v>0</v>
      </c>
      <c r="L348" t="n">
        <v>0</v>
      </c>
      <c r="M348" t="n">
        <v>0</v>
      </c>
      <c r="N348" t="n">
        <v>0</v>
      </c>
      <c r="O348" t="n">
        <v>0</v>
      </c>
      <c r="P348" t="n">
        <v>0</v>
      </c>
      <c r="Q348" t="n">
        <v>0</v>
      </c>
      <c r="R348" s="2" t="inlineStr"/>
    </row>
    <row r="349" ht="15" customHeight="1">
      <c r="A349" t="inlineStr">
        <is>
          <t>A 33941-2023</t>
        </is>
      </c>
      <c r="B349" s="1" t="n">
        <v>45134.57021990741</v>
      </c>
      <c r="C349" s="1" t="n">
        <v>45899</v>
      </c>
      <c r="D349" t="inlineStr">
        <is>
          <t>UPPSALA LÄN</t>
        </is>
      </c>
      <c r="E349" t="inlineStr">
        <is>
          <t>UPPSALA</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26208-2023</t>
        </is>
      </c>
      <c r="B350" s="1" t="n">
        <v>45091</v>
      </c>
      <c r="C350" s="1" t="n">
        <v>45899</v>
      </c>
      <c r="D350" t="inlineStr">
        <is>
          <t>UPPSALA LÄN</t>
        </is>
      </c>
      <c r="E350" t="inlineStr">
        <is>
          <t>UPPSALA</t>
        </is>
      </c>
      <c r="F350" t="inlineStr">
        <is>
          <t>Holmen skog AB</t>
        </is>
      </c>
      <c r="G350" t="n">
        <v>1.9</v>
      </c>
      <c r="H350" t="n">
        <v>0</v>
      </c>
      <c r="I350" t="n">
        <v>0</v>
      </c>
      <c r="J350" t="n">
        <v>0</v>
      </c>
      <c r="K350" t="n">
        <v>0</v>
      </c>
      <c r="L350" t="n">
        <v>0</v>
      </c>
      <c r="M350" t="n">
        <v>0</v>
      </c>
      <c r="N350" t="n">
        <v>0</v>
      </c>
      <c r="O350" t="n">
        <v>0</v>
      </c>
      <c r="P350" t="n">
        <v>0</v>
      </c>
      <c r="Q350" t="n">
        <v>0</v>
      </c>
      <c r="R350" s="2" t="inlineStr"/>
    </row>
    <row r="351" ht="15" customHeight="1">
      <c r="A351" t="inlineStr">
        <is>
          <t>A 22930-2025</t>
        </is>
      </c>
      <c r="B351" s="1" t="n">
        <v>45790.44972222222</v>
      </c>
      <c r="C351" s="1" t="n">
        <v>45899</v>
      </c>
      <c r="D351" t="inlineStr">
        <is>
          <t>UPPSALA LÄN</t>
        </is>
      </c>
      <c r="E351" t="inlineStr">
        <is>
          <t>UPPSALA</t>
        </is>
      </c>
      <c r="G351" t="n">
        <v>7.7</v>
      </c>
      <c r="H351" t="n">
        <v>0</v>
      </c>
      <c r="I351" t="n">
        <v>0</v>
      </c>
      <c r="J351" t="n">
        <v>0</v>
      </c>
      <c r="K351" t="n">
        <v>0</v>
      </c>
      <c r="L351" t="n">
        <v>0</v>
      </c>
      <c r="M351" t="n">
        <v>0</v>
      </c>
      <c r="N351" t="n">
        <v>0</v>
      </c>
      <c r="O351" t="n">
        <v>0</v>
      </c>
      <c r="P351" t="n">
        <v>0</v>
      </c>
      <c r="Q351" t="n">
        <v>0</v>
      </c>
      <c r="R351" s="2" t="inlineStr"/>
    </row>
    <row r="352" ht="15" customHeight="1">
      <c r="A352" t="inlineStr">
        <is>
          <t>A 46751-2024</t>
        </is>
      </c>
      <c r="B352" s="1" t="n">
        <v>45583.48449074074</v>
      </c>
      <c r="C352" s="1" t="n">
        <v>45899</v>
      </c>
      <c r="D352" t="inlineStr">
        <is>
          <t>UPPSALA LÄN</t>
        </is>
      </c>
      <c r="E352" t="inlineStr">
        <is>
          <t>UPPSALA</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70031-2021</t>
        </is>
      </c>
      <c r="B353" s="1" t="n">
        <v>44533.46665509259</v>
      </c>
      <c r="C353" s="1" t="n">
        <v>45899</v>
      </c>
      <c r="D353" t="inlineStr">
        <is>
          <t>UPPSALA LÄN</t>
        </is>
      </c>
      <c r="E353" t="inlineStr">
        <is>
          <t>UPPSALA</t>
        </is>
      </c>
      <c r="G353" t="n">
        <v>1.4</v>
      </c>
      <c r="H353" t="n">
        <v>0</v>
      </c>
      <c r="I353" t="n">
        <v>0</v>
      </c>
      <c r="J353" t="n">
        <v>0</v>
      </c>
      <c r="K353" t="n">
        <v>0</v>
      </c>
      <c r="L353" t="n">
        <v>0</v>
      </c>
      <c r="M353" t="n">
        <v>0</v>
      </c>
      <c r="N353" t="n">
        <v>0</v>
      </c>
      <c r="O353" t="n">
        <v>0</v>
      </c>
      <c r="P353" t="n">
        <v>0</v>
      </c>
      <c r="Q353" t="n">
        <v>0</v>
      </c>
      <c r="R353" s="2" t="inlineStr"/>
    </row>
    <row r="354" ht="15" customHeight="1">
      <c r="A354" t="inlineStr">
        <is>
          <t>A 46925-2024</t>
        </is>
      </c>
      <c r="B354" s="1" t="n">
        <v>45584.60038194444</v>
      </c>
      <c r="C354" s="1" t="n">
        <v>45899</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56564-2024</t>
        </is>
      </c>
      <c r="B355" s="1" t="n">
        <v>45625.58501157408</v>
      </c>
      <c r="C355" s="1" t="n">
        <v>45899</v>
      </c>
      <c r="D355" t="inlineStr">
        <is>
          <t>UPPSALA LÄN</t>
        </is>
      </c>
      <c r="E355" t="inlineStr">
        <is>
          <t>UPPSALA</t>
        </is>
      </c>
      <c r="F355" t="inlineStr">
        <is>
          <t>Övriga Aktiebolag</t>
        </is>
      </c>
      <c r="G355" t="n">
        <v>1.8</v>
      </c>
      <c r="H355" t="n">
        <v>0</v>
      </c>
      <c r="I355" t="n">
        <v>0</v>
      </c>
      <c r="J355" t="n">
        <v>0</v>
      </c>
      <c r="K355" t="n">
        <v>0</v>
      </c>
      <c r="L355" t="n">
        <v>0</v>
      </c>
      <c r="M355" t="n">
        <v>0</v>
      </c>
      <c r="N355" t="n">
        <v>0</v>
      </c>
      <c r="O355" t="n">
        <v>0</v>
      </c>
      <c r="P355" t="n">
        <v>0</v>
      </c>
      <c r="Q355" t="n">
        <v>0</v>
      </c>
      <c r="R355" s="2" t="inlineStr"/>
    </row>
    <row r="356" ht="15" customHeight="1">
      <c r="A356" t="inlineStr">
        <is>
          <t>A 22953-2025</t>
        </is>
      </c>
      <c r="B356" s="1" t="n">
        <v>45790.51186342593</v>
      </c>
      <c r="C356" s="1" t="n">
        <v>45899</v>
      </c>
      <c r="D356" t="inlineStr">
        <is>
          <t>UPPSALA LÄN</t>
        </is>
      </c>
      <c r="E356" t="inlineStr">
        <is>
          <t>UPPSALA</t>
        </is>
      </c>
      <c r="G356" t="n">
        <v>1.1</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45899</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15629-2023</t>
        </is>
      </c>
      <c r="B358" s="1" t="n">
        <v>45021.29524305555</v>
      </c>
      <c r="C358" s="1" t="n">
        <v>45899</v>
      </c>
      <c r="D358" t="inlineStr">
        <is>
          <t>UPPSALA LÄN</t>
        </is>
      </c>
      <c r="E358" t="inlineStr">
        <is>
          <t>UPPSALA</t>
        </is>
      </c>
      <c r="F358" t="inlineStr">
        <is>
          <t>Övriga Aktiebolag</t>
        </is>
      </c>
      <c r="G358" t="n">
        <v>7</v>
      </c>
      <c r="H358" t="n">
        <v>0</v>
      </c>
      <c r="I358" t="n">
        <v>0</v>
      </c>
      <c r="J358" t="n">
        <v>0</v>
      </c>
      <c r="K358" t="n">
        <v>0</v>
      </c>
      <c r="L358" t="n">
        <v>0</v>
      </c>
      <c r="M358" t="n">
        <v>0</v>
      </c>
      <c r="N358" t="n">
        <v>0</v>
      </c>
      <c r="O358" t="n">
        <v>0</v>
      </c>
      <c r="P358" t="n">
        <v>0</v>
      </c>
      <c r="Q358" t="n">
        <v>0</v>
      </c>
      <c r="R358" s="2" t="inlineStr"/>
    </row>
    <row r="359" ht="15" customHeight="1">
      <c r="A359" t="inlineStr">
        <is>
          <t>A 46745-2024</t>
        </is>
      </c>
      <c r="B359" s="1" t="n">
        <v>45583</v>
      </c>
      <c r="C359" s="1" t="n">
        <v>45899</v>
      </c>
      <c r="D359" t="inlineStr">
        <is>
          <t>UPPSALA LÄN</t>
        </is>
      </c>
      <c r="E359" t="inlineStr">
        <is>
          <t>UPPSALA</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46748-2024</t>
        </is>
      </c>
      <c r="B360" s="1" t="n">
        <v>45583</v>
      </c>
      <c r="C360" s="1" t="n">
        <v>45899</v>
      </c>
      <c r="D360" t="inlineStr">
        <is>
          <t>UPPSALA LÄN</t>
        </is>
      </c>
      <c r="E360" t="inlineStr">
        <is>
          <t>UPPSALA</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70228-2021</t>
        </is>
      </c>
      <c r="B361" s="1" t="n">
        <v>44535</v>
      </c>
      <c r="C361" s="1" t="n">
        <v>45899</v>
      </c>
      <c r="D361" t="inlineStr">
        <is>
          <t>UPPSALA LÄN</t>
        </is>
      </c>
      <c r="E361" t="inlineStr">
        <is>
          <t>UPPSALA</t>
        </is>
      </c>
      <c r="G361" t="n">
        <v>1.8</v>
      </c>
      <c r="H361" t="n">
        <v>0</v>
      </c>
      <c r="I361" t="n">
        <v>0</v>
      </c>
      <c r="J361" t="n">
        <v>0</v>
      </c>
      <c r="K361" t="n">
        <v>0</v>
      </c>
      <c r="L361" t="n">
        <v>0</v>
      </c>
      <c r="M361" t="n">
        <v>0</v>
      </c>
      <c r="N361" t="n">
        <v>0</v>
      </c>
      <c r="O361" t="n">
        <v>0</v>
      </c>
      <c r="P361" t="n">
        <v>0</v>
      </c>
      <c r="Q361" t="n">
        <v>0</v>
      </c>
      <c r="R361" s="2" t="inlineStr"/>
    </row>
    <row r="362" ht="15" customHeight="1">
      <c r="A362" t="inlineStr">
        <is>
          <t>A 12221-2022</t>
        </is>
      </c>
      <c r="B362" s="1" t="n">
        <v>44637.35744212963</v>
      </c>
      <c r="C362" s="1" t="n">
        <v>45899</v>
      </c>
      <c r="D362" t="inlineStr">
        <is>
          <t>UPPSALA LÄN</t>
        </is>
      </c>
      <c r="E362" t="inlineStr">
        <is>
          <t>UPPSALA</t>
        </is>
      </c>
      <c r="G362" t="n">
        <v>1.4</v>
      </c>
      <c r="H362" t="n">
        <v>0</v>
      </c>
      <c r="I362" t="n">
        <v>0</v>
      </c>
      <c r="J362" t="n">
        <v>0</v>
      </c>
      <c r="K362" t="n">
        <v>0</v>
      </c>
      <c r="L362" t="n">
        <v>0</v>
      </c>
      <c r="M362" t="n">
        <v>0</v>
      </c>
      <c r="N362" t="n">
        <v>0</v>
      </c>
      <c r="O362" t="n">
        <v>0</v>
      </c>
      <c r="P362" t="n">
        <v>0</v>
      </c>
      <c r="Q362" t="n">
        <v>0</v>
      </c>
      <c r="R362" s="2" t="inlineStr"/>
    </row>
    <row r="363" ht="15" customHeight="1">
      <c r="A363" t="inlineStr">
        <is>
          <t>A 17481-2023</t>
        </is>
      </c>
      <c r="B363" s="1" t="n">
        <v>45036</v>
      </c>
      <c r="C363" s="1" t="n">
        <v>45899</v>
      </c>
      <c r="D363" t="inlineStr">
        <is>
          <t>UPPSALA LÄN</t>
        </is>
      </c>
      <c r="E363" t="inlineStr">
        <is>
          <t>UPPSALA</t>
        </is>
      </c>
      <c r="G363" t="n">
        <v>1.9</v>
      </c>
      <c r="H363" t="n">
        <v>0</v>
      </c>
      <c r="I363" t="n">
        <v>0</v>
      </c>
      <c r="J363" t="n">
        <v>0</v>
      </c>
      <c r="K363" t="n">
        <v>0</v>
      </c>
      <c r="L363" t="n">
        <v>0</v>
      </c>
      <c r="M363" t="n">
        <v>0</v>
      </c>
      <c r="N363" t="n">
        <v>0</v>
      </c>
      <c r="O363" t="n">
        <v>0</v>
      </c>
      <c r="P363" t="n">
        <v>0</v>
      </c>
      <c r="Q363" t="n">
        <v>0</v>
      </c>
      <c r="R363" s="2" t="inlineStr"/>
    </row>
    <row r="364" ht="15" customHeight="1">
      <c r="A364" t="inlineStr">
        <is>
          <t>A 56067-2024</t>
        </is>
      </c>
      <c r="B364" s="1" t="n">
        <v>45624</v>
      </c>
      <c r="C364" s="1" t="n">
        <v>45899</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6677-2024</t>
        </is>
      </c>
      <c r="B365" s="1" t="n">
        <v>45341</v>
      </c>
      <c r="C365" s="1" t="n">
        <v>45899</v>
      </c>
      <c r="D365" t="inlineStr">
        <is>
          <t>UPPSALA LÄN</t>
        </is>
      </c>
      <c r="E365" t="inlineStr">
        <is>
          <t>UPPSALA</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38493-2023</t>
        </is>
      </c>
      <c r="B366" s="1" t="n">
        <v>45162</v>
      </c>
      <c r="C366" s="1" t="n">
        <v>45899</v>
      </c>
      <c r="D366" t="inlineStr">
        <is>
          <t>UPPSALA LÄN</t>
        </is>
      </c>
      <c r="E366" t="inlineStr">
        <is>
          <t>UPPSALA</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37618-2023</t>
        </is>
      </c>
      <c r="B367" s="1" t="n">
        <v>45159.44694444445</v>
      </c>
      <c r="C367" s="1" t="n">
        <v>45899</v>
      </c>
      <c r="D367" t="inlineStr">
        <is>
          <t>UPPSALA LÄN</t>
        </is>
      </c>
      <c r="E367" t="inlineStr">
        <is>
          <t>UPPSALA</t>
        </is>
      </c>
      <c r="G367" t="n">
        <v>2.6</v>
      </c>
      <c r="H367" t="n">
        <v>0</v>
      </c>
      <c r="I367" t="n">
        <v>0</v>
      </c>
      <c r="J367" t="n">
        <v>0</v>
      </c>
      <c r="K367" t="n">
        <v>0</v>
      </c>
      <c r="L367" t="n">
        <v>0</v>
      </c>
      <c r="M367" t="n">
        <v>0</v>
      </c>
      <c r="N367" t="n">
        <v>0</v>
      </c>
      <c r="O367" t="n">
        <v>0</v>
      </c>
      <c r="P367" t="n">
        <v>0</v>
      </c>
      <c r="Q367" t="n">
        <v>0</v>
      </c>
      <c r="R367" s="2" t="inlineStr"/>
    </row>
    <row r="368" ht="15" customHeight="1">
      <c r="A368" t="inlineStr">
        <is>
          <t>A 35142-2023</t>
        </is>
      </c>
      <c r="B368" s="1" t="n">
        <v>45145</v>
      </c>
      <c r="C368" s="1" t="n">
        <v>45899</v>
      </c>
      <c r="D368" t="inlineStr">
        <is>
          <t>UPPSALA LÄN</t>
        </is>
      </c>
      <c r="E368" t="inlineStr">
        <is>
          <t>UPPSALA</t>
        </is>
      </c>
      <c r="G368" t="n">
        <v>2</v>
      </c>
      <c r="H368" t="n">
        <v>0</v>
      </c>
      <c r="I368" t="n">
        <v>0</v>
      </c>
      <c r="J368" t="n">
        <v>0</v>
      </c>
      <c r="K368" t="n">
        <v>0</v>
      </c>
      <c r="L368" t="n">
        <v>0</v>
      </c>
      <c r="M368" t="n">
        <v>0</v>
      </c>
      <c r="N368" t="n">
        <v>0</v>
      </c>
      <c r="O368" t="n">
        <v>0</v>
      </c>
      <c r="P368" t="n">
        <v>0</v>
      </c>
      <c r="Q368" t="n">
        <v>0</v>
      </c>
      <c r="R368" s="2" t="inlineStr"/>
    </row>
    <row r="369" ht="15" customHeight="1">
      <c r="A369" t="inlineStr">
        <is>
          <t>A 47083-2023</t>
        </is>
      </c>
      <c r="B369" s="1" t="n">
        <v>45201.62318287037</v>
      </c>
      <c r="C369" s="1" t="n">
        <v>45899</v>
      </c>
      <c r="D369" t="inlineStr">
        <is>
          <t>UPPSALA LÄN</t>
        </is>
      </c>
      <c r="E369" t="inlineStr">
        <is>
          <t>UPPSALA</t>
        </is>
      </c>
      <c r="G369" t="n">
        <v>0.7</v>
      </c>
      <c r="H369" t="n">
        <v>0</v>
      </c>
      <c r="I369" t="n">
        <v>0</v>
      </c>
      <c r="J369" t="n">
        <v>0</v>
      </c>
      <c r="K369" t="n">
        <v>0</v>
      </c>
      <c r="L369" t="n">
        <v>0</v>
      </c>
      <c r="M369" t="n">
        <v>0</v>
      </c>
      <c r="N369" t="n">
        <v>0</v>
      </c>
      <c r="O369" t="n">
        <v>0</v>
      </c>
      <c r="P369" t="n">
        <v>0</v>
      </c>
      <c r="Q369" t="n">
        <v>0</v>
      </c>
      <c r="R369" s="2" t="inlineStr"/>
    </row>
    <row r="370" ht="15" customHeight="1">
      <c r="A370" t="inlineStr">
        <is>
          <t>A 9255-2024</t>
        </is>
      </c>
      <c r="B370" s="1" t="n">
        <v>45358</v>
      </c>
      <c r="C370" s="1" t="n">
        <v>45899</v>
      </c>
      <c r="D370" t="inlineStr">
        <is>
          <t>UPPSALA LÄN</t>
        </is>
      </c>
      <c r="E370" t="inlineStr">
        <is>
          <t>UPPSALA</t>
        </is>
      </c>
      <c r="G370" t="n">
        <v>1.8</v>
      </c>
      <c r="H370" t="n">
        <v>0</v>
      </c>
      <c r="I370" t="n">
        <v>0</v>
      </c>
      <c r="J370" t="n">
        <v>0</v>
      </c>
      <c r="K370" t="n">
        <v>0</v>
      </c>
      <c r="L370" t="n">
        <v>0</v>
      </c>
      <c r="M370" t="n">
        <v>0</v>
      </c>
      <c r="N370" t="n">
        <v>0</v>
      </c>
      <c r="O370" t="n">
        <v>0</v>
      </c>
      <c r="P370" t="n">
        <v>0</v>
      </c>
      <c r="Q370" t="n">
        <v>0</v>
      </c>
      <c r="R370" s="2" t="inlineStr"/>
    </row>
    <row r="371" ht="15" customHeight="1">
      <c r="A371" t="inlineStr">
        <is>
          <t>A 66983-2021</t>
        </is>
      </c>
      <c r="B371" s="1" t="n">
        <v>44522</v>
      </c>
      <c r="C371" s="1" t="n">
        <v>45899</v>
      </c>
      <c r="D371" t="inlineStr">
        <is>
          <t>UPPSALA LÄN</t>
        </is>
      </c>
      <c r="E371" t="inlineStr">
        <is>
          <t>UPPSALA</t>
        </is>
      </c>
      <c r="G371" t="n">
        <v>2.5</v>
      </c>
      <c r="H371" t="n">
        <v>0</v>
      </c>
      <c r="I371" t="n">
        <v>0</v>
      </c>
      <c r="J371" t="n">
        <v>0</v>
      </c>
      <c r="K371" t="n">
        <v>0</v>
      </c>
      <c r="L371" t="n">
        <v>0</v>
      </c>
      <c r="M371" t="n">
        <v>0</v>
      </c>
      <c r="N371" t="n">
        <v>0</v>
      </c>
      <c r="O371" t="n">
        <v>0</v>
      </c>
      <c r="P371" t="n">
        <v>0</v>
      </c>
      <c r="Q371" t="n">
        <v>0</v>
      </c>
      <c r="R371" s="2" t="inlineStr"/>
    </row>
    <row r="372" ht="15" customHeight="1">
      <c r="A372" t="inlineStr">
        <is>
          <t>A 9242-2022</t>
        </is>
      </c>
      <c r="B372" s="1" t="n">
        <v>44616</v>
      </c>
      <c r="C372" s="1" t="n">
        <v>45899</v>
      </c>
      <c r="D372" t="inlineStr">
        <is>
          <t>UPPSALA LÄN</t>
        </is>
      </c>
      <c r="E372" t="inlineStr">
        <is>
          <t>UPPSALA</t>
        </is>
      </c>
      <c r="F372" t="inlineStr">
        <is>
          <t>Övriga Aktiebolag</t>
        </is>
      </c>
      <c r="G372" t="n">
        <v>5.9</v>
      </c>
      <c r="H372" t="n">
        <v>0</v>
      </c>
      <c r="I372" t="n">
        <v>0</v>
      </c>
      <c r="J372" t="n">
        <v>0</v>
      </c>
      <c r="K372" t="n">
        <v>0</v>
      </c>
      <c r="L372" t="n">
        <v>0</v>
      </c>
      <c r="M372" t="n">
        <v>0</v>
      </c>
      <c r="N372" t="n">
        <v>0</v>
      </c>
      <c r="O372" t="n">
        <v>0</v>
      </c>
      <c r="P372" t="n">
        <v>0</v>
      </c>
      <c r="Q372" t="n">
        <v>0</v>
      </c>
      <c r="R372" s="2" t="inlineStr"/>
    </row>
    <row r="373" ht="15" customHeight="1">
      <c r="A373" t="inlineStr">
        <is>
          <t>A 42528-2023</t>
        </is>
      </c>
      <c r="B373" s="1" t="n">
        <v>45181.33571759259</v>
      </c>
      <c r="C373" s="1" t="n">
        <v>45899</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65659-2021</t>
        </is>
      </c>
      <c r="B374" s="1" t="n">
        <v>44516</v>
      </c>
      <c r="C374" s="1" t="n">
        <v>45899</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34520-2024</t>
        </is>
      </c>
      <c r="B375" s="1" t="n">
        <v>45525</v>
      </c>
      <c r="C375" s="1" t="n">
        <v>45899</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6630-2024</t>
        </is>
      </c>
      <c r="B376" s="1" t="n">
        <v>45341.63811342593</v>
      </c>
      <c r="C376" s="1" t="n">
        <v>45899</v>
      </c>
      <c r="D376" t="inlineStr">
        <is>
          <t>UPPSALA LÄN</t>
        </is>
      </c>
      <c r="E376" t="inlineStr">
        <is>
          <t>UPPSALA</t>
        </is>
      </c>
      <c r="G376" t="n">
        <v>1.7</v>
      </c>
      <c r="H376" t="n">
        <v>0</v>
      </c>
      <c r="I376" t="n">
        <v>0</v>
      </c>
      <c r="J376" t="n">
        <v>0</v>
      </c>
      <c r="K376" t="n">
        <v>0</v>
      </c>
      <c r="L376" t="n">
        <v>0</v>
      </c>
      <c r="M376" t="n">
        <v>0</v>
      </c>
      <c r="N376" t="n">
        <v>0</v>
      </c>
      <c r="O376" t="n">
        <v>0</v>
      </c>
      <c r="P376" t="n">
        <v>0</v>
      </c>
      <c r="Q376" t="n">
        <v>0</v>
      </c>
      <c r="R376" s="2" t="inlineStr"/>
    </row>
    <row r="377" ht="15" customHeight="1">
      <c r="A377" t="inlineStr">
        <is>
          <t>A 5876-2024</t>
        </is>
      </c>
      <c r="B377" s="1" t="n">
        <v>45335.66331018518</v>
      </c>
      <c r="C377" s="1" t="n">
        <v>45899</v>
      </c>
      <c r="D377" t="inlineStr">
        <is>
          <t>UPPSALA LÄN</t>
        </is>
      </c>
      <c r="E377" t="inlineStr">
        <is>
          <t>UPPSALA</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45885-2023</t>
        </is>
      </c>
      <c r="B378" s="1" t="n">
        <v>45195.64807870371</v>
      </c>
      <c r="C378" s="1" t="n">
        <v>45899</v>
      </c>
      <c r="D378" t="inlineStr">
        <is>
          <t>UPPSALA LÄN</t>
        </is>
      </c>
      <c r="E378" t="inlineStr">
        <is>
          <t>UPPSALA</t>
        </is>
      </c>
      <c r="G378" t="n">
        <v>6.5</v>
      </c>
      <c r="H378" t="n">
        <v>0</v>
      </c>
      <c r="I378" t="n">
        <v>0</v>
      </c>
      <c r="J378" t="n">
        <v>0</v>
      </c>
      <c r="K378" t="n">
        <v>0</v>
      </c>
      <c r="L378" t="n">
        <v>0</v>
      </c>
      <c r="M378" t="n">
        <v>0</v>
      </c>
      <c r="N378" t="n">
        <v>0</v>
      </c>
      <c r="O378" t="n">
        <v>0</v>
      </c>
      <c r="P378" t="n">
        <v>0</v>
      </c>
      <c r="Q378" t="n">
        <v>0</v>
      </c>
      <c r="R378" s="2" t="inlineStr"/>
    </row>
    <row r="379" ht="15" customHeight="1">
      <c r="A379" t="inlineStr">
        <is>
          <t>A 1032-2023</t>
        </is>
      </c>
      <c r="B379" s="1" t="n">
        <v>44935</v>
      </c>
      <c r="C379" s="1" t="n">
        <v>45899</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42063-2023</t>
        </is>
      </c>
      <c r="B380" s="1" t="n">
        <v>45177.56940972222</v>
      </c>
      <c r="C380" s="1" t="n">
        <v>45899</v>
      </c>
      <c r="D380" t="inlineStr">
        <is>
          <t>UPPSALA LÄN</t>
        </is>
      </c>
      <c r="E380" t="inlineStr">
        <is>
          <t>UPPSALA</t>
        </is>
      </c>
      <c r="G380" t="n">
        <v>5.6</v>
      </c>
      <c r="H380" t="n">
        <v>0</v>
      </c>
      <c r="I380" t="n">
        <v>0</v>
      </c>
      <c r="J380" t="n">
        <v>0</v>
      </c>
      <c r="K380" t="n">
        <v>0</v>
      </c>
      <c r="L380" t="n">
        <v>0</v>
      </c>
      <c r="M380" t="n">
        <v>0</v>
      </c>
      <c r="N380" t="n">
        <v>0</v>
      </c>
      <c r="O380" t="n">
        <v>0</v>
      </c>
      <c r="P380" t="n">
        <v>0</v>
      </c>
      <c r="Q380" t="n">
        <v>0</v>
      </c>
      <c r="R380" s="2" t="inlineStr"/>
    </row>
    <row r="381" ht="15" customHeight="1">
      <c r="A381" t="inlineStr">
        <is>
          <t>A 53569-2024</t>
        </is>
      </c>
      <c r="B381" s="1" t="n">
        <v>45614.65928240741</v>
      </c>
      <c r="C381" s="1" t="n">
        <v>45899</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59098-2024</t>
        </is>
      </c>
      <c r="B382" s="1" t="n">
        <v>45636</v>
      </c>
      <c r="C382" s="1" t="n">
        <v>45899</v>
      </c>
      <c r="D382" t="inlineStr">
        <is>
          <t>UPPSALA LÄN</t>
        </is>
      </c>
      <c r="E382" t="inlineStr">
        <is>
          <t>UPPSALA</t>
        </is>
      </c>
      <c r="G382" t="n">
        <v>2.2</v>
      </c>
      <c r="H382" t="n">
        <v>0</v>
      </c>
      <c r="I382" t="n">
        <v>0</v>
      </c>
      <c r="J382" t="n">
        <v>0</v>
      </c>
      <c r="K382" t="n">
        <v>0</v>
      </c>
      <c r="L382" t="n">
        <v>0</v>
      </c>
      <c r="M382" t="n">
        <v>0</v>
      </c>
      <c r="N382" t="n">
        <v>0</v>
      </c>
      <c r="O382" t="n">
        <v>0</v>
      </c>
      <c r="P382" t="n">
        <v>0</v>
      </c>
      <c r="Q382" t="n">
        <v>0</v>
      </c>
      <c r="R382" s="2" t="inlineStr"/>
    </row>
    <row r="383" ht="15" customHeight="1">
      <c r="A383" t="inlineStr">
        <is>
          <t>A 14026-2021</t>
        </is>
      </c>
      <c r="B383" s="1" t="n">
        <v>44277.65650462963</v>
      </c>
      <c r="C383" s="1" t="n">
        <v>45899</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13602-2025</t>
        </is>
      </c>
      <c r="B384" s="1" t="n">
        <v>45736.60863425926</v>
      </c>
      <c r="C384" s="1" t="n">
        <v>45899</v>
      </c>
      <c r="D384" t="inlineStr">
        <is>
          <t>UPPSALA LÄN</t>
        </is>
      </c>
      <c r="E384" t="inlineStr">
        <is>
          <t>UPPSALA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63011-2021</t>
        </is>
      </c>
      <c r="B385" s="1" t="n">
        <v>44504</v>
      </c>
      <c r="C385" s="1" t="n">
        <v>45899</v>
      </c>
      <c r="D385" t="inlineStr">
        <is>
          <t>UPPSALA LÄN</t>
        </is>
      </c>
      <c r="E385" t="inlineStr">
        <is>
          <t>UPPSALA</t>
        </is>
      </c>
      <c r="G385" t="n">
        <v>11.2</v>
      </c>
      <c r="H385" t="n">
        <v>0</v>
      </c>
      <c r="I385" t="n">
        <v>0</v>
      </c>
      <c r="J385" t="n">
        <v>0</v>
      </c>
      <c r="K385" t="n">
        <v>0</v>
      </c>
      <c r="L385" t="n">
        <v>0</v>
      </c>
      <c r="M385" t="n">
        <v>0</v>
      </c>
      <c r="N385" t="n">
        <v>0</v>
      </c>
      <c r="O385" t="n">
        <v>0</v>
      </c>
      <c r="P385" t="n">
        <v>0</v>
      </c>
      <c r="Q385" t="n">
        <v>0</v>
      </c>
      <c r="R385" s="2" t="inlineStr"/>
    </row>
    <row r="386" ht="15" customHeight="1">
      <c r="A386" t="inlineStr">
        <is>
          <t>A 30319-2024</t>
        </is>
      </c>
      <c r="B386" s="1" t="n">
        <v>45490</v>
      </c>
      <c r="C386" s="1" t="n">
        <v>45899</v>
      </c>
      <c r="D386" t="inlineStr">
        <is>
          <t>UPPSALA LÄN</t>
        </is>
      </c>
      <c r="E386" t="inlineStr">
        <is>
          <t>UPPSALA</t>
        </is>
      </c>
      <c r="G386" t="n">
        <v>2.3</v>
      </c>
      <c r="H386" t="n">
        <v>0</v>
      </c>
      <c r="I386" t="n">
        <v>0</v>
      </c>
      <c r="J386" t="n">
        <v>0</v>
      </c>
      <c r="K386" t="n">
        <v>0</v>
      </c>
      <c r="L386" t="n">
        <v>0</v>
      </c>
      <c r="M386" t="n">
        <v>0</v>
      </c>
      <c r="N386" t="n">
        <v>0</v>
      </c>
      <c r="O386" t="n">
        <v>0</v>
      </c>
      <c r="P386" t="n">
        <v>0</v>
      </c>
      <c r="Q386" t="n">
        <v>0</v>
      </c>
      <c r="R386" s="2" t="inlineStr"/>
    </row>
    <row r="387" ht="15" customHeight="1">
      <c r="A387" t="inlineStr">
        <is>
          <t>A 44315-2021</t>
        </is>
      </c>
      <c r="B387" s="1" t="n">
        <v>44435.38657407407</v>
      </c>
      <c r="C387" s="1" t="n">
        <v>45899</v>
      </c>
      <c r="D387" t="inlineStr">
        <is>
          <t>UPPSALA LÄN</t>
        </is>
      </c>
      <c r="E387" t="inlineStr">
        <is>
          <t>UPPSALA</t>
        </is>
      </c>
      <c r="G387" t="n">
        <v>5.2</v>
      </c>
      <c r="H387" t="n">
        <v>0</v>
      </c>
      <c r="I387" t="n">
        <v>0</v>
      </c>
      <c r="J387" t="n">
        <v>0</v>
      </c>
      <c r="K387" t="n">
        <v>0</v>
      </c>
      <c r="L387" t="n">
        <v>0</v>
      </c>
      <c r="M387" t="n">
        <v>0</v>
      </c>
      <c r="N387" t="n">
        <v>0</v>
      </c>
      <c r="O387" t="n">
        <v>0</v>
      </c>
      <c r="P387" t="n">
        <v>0</v>
      </c>
      <c r="Q387" t="n">
        <v>0</v>
      </c>
      <c r="R387" s="2" t="inlineStr"/>
    </row>
    <row r="388" ht="15" customHeight="1">
      <c r="A388" t="inlineStr">
        <is>
          <t>A 6851-2022</t>
        </is>
      </c>
      <c r="B388" s="1" t="n">
        <v>44602</v>
      </c>
      <c r="C388" s="1" t="n">
        <v>45899</v>
      </c>
      <c r="D388" t="inlineStr">
        <is>
          <t>UPPSALA LÄN</t>
        </is>
      </c>
      <c r="E388" t="inlineStr">
        <is>
          <t>UPPSALA</t>
        </is>
      </c>
      <c r="G388" t="n">
        <v>1.1</v>
      </c>
      <c r="H388" t="n">
        <v>0</v>
      </c>
      <c r="I388" t="n">
        <v>0</v>
      </c>
      <c r="J388" t="n">
        <v>0</v>
      </c>
      <c r="K388" t="n">
        <v>0</v>
      </c>
      <c r="L388" t="n">
        <v>0</v>
      </c>
      <c r="M388" t="n">
        <v>0</v>
      </c>
      <c r="N388" t="n">
        <v>0</v>
      </c>
      <c r="O388" t="n">
        <v>0</v>
      </c>
      <c r="P388" t="n">
        <v>0</v>
      </c>
      <c r="Q388" t="n">
        <v>0</v>
      </c>
      <c r="R388" s="2" t="inlineStr"/>
    </row>
    <row r="389" ht="15" customHeight="1">
      <c r="A389" t="inlineStr">
        <is>
          <t>A 20903-2024</t>
        </is>
      </c>
      <c r="B389" s="1" t="n">
        <v>45439</v>
      </c>
      <c r="C389" s="1" t="n">
        <v>45899</v>
      </c>
      <c r="D389" t="inlineStr">
        <is>
          <t>UPPSALA LÄN</t>
        </is>
      </c>
      <c r="E389" t="inlineStr">
        <is>
          <t>UPPSALA</t>
        </is>
      </c>
      <c r="F389" t="inlineStr">
        <is>
          <t>Holmen skog AB</t>
        </is>
      </c>
      <c r="G389" t="n">
        <v>2.7</v>
      </c>
      <c r="H389" t="n">
        <v>0</v>
      </c>
      <c r="I389" t="n">
        <v>0</v>
      </c>
      <c r="J389" t="n">
        <v>0</v>
      </c>
      <c r="K389" t="n">
        <v>0</v>
      </c>
      <c r="L389" t="n">
        <v>0</v>
      </c>
      <c r="M389" t="n">
        <v>0</v>
      </c>
      <c r="N389" t="n">
        <v>0</v>
      </c>
      <c r="O389" t="n">
        <v>0</v>
      </c>
      <c r="P389" t="n">
        <v>0</v>
      </c>
      <c r="Q389" t="n">
        <v>0</v>
      </c>
      <c r="R389" s="2" t="inlineStr"/>
    </row>
    <row r="390" ht="15" customHeight="1">
      <c r="A390" t="inlineStr">
        <is>
          <t>A 19539-2024</t>
        </is>
      </c>
      <c r="B390" s="1" t="n">
        <v>45429</v>
      </c>
      <c r="C390" s="1" t="n">
        <v>45899</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18781-2025</t>
        </is>
      </c>
      <c r="B391" s="1" t="n">
        <v>45763</v>
      </c>
      <c r="C391" s="1" t="n">
        <v>45899</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24284-2025</t>
        </is>
      </c>
      <c r="B392" s="1" t="n">
        <v>45797.45900462963</v>
      </c>
      <c r="C392" s="1" t="n">
        <v>45899</v>
      </c>
      <c r="D392" t="inlineStr">
        <is>
          <t>UPPSALA LÄN</t>
        </is>
      </c>
      <c r="E392" t="inlineStr">
        <is>
          <t>UPPSALA</t>
        </is>
      </c>
      <c r="F392" t="inlineStr">
        <is>
          <t>Holmen skog AB</t>
        </is>
      </c>
      <c r="G392" t="n">
        <v>12.7</v>
      </c>
      <c r="H392" t="n">
        <v>0</v>
      </c>
      <c r="I392" t="n">
        <v>0</v>
      </c>
      <c r="J392" t="n">
        <v>0</v>
      </c>
      <c r="K392" t="n">
        <v>0</v>
      </c>
      <c r="L392" t="n">
        <v>0</v>
      </c>
      <c r="M392" t="n">
        <v>0</v>
      </c>
      <c r="N392" t="n">
        <v>0</v>
      </c>
      <c r="O392" t="n">
        <v>0</v>
      </c>
      <c r="P392" t="n">
        <v>0</v>
      </c>
      <c r="Q392" t="n">
        <v>0</v>
      </c>
      <c r="R392" s="2" t="inlineStr"/>
    </row>
    <row r="393" ht="15" customHeight="1">
      <c r="A393" t="inlineStr">
        <is>
          <t>A 9398-2023</t>
        </is>
      </c>
      <c r="B393" s="1" t="n">
        <v>44977</v>
      </c>
      <c r="C393" s="1" t="n">
        <v>45899</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60735-2024</t>
        </is>
      </c>
      <c r="B394" s="1" t="n">
        <v>45644</v>
      </c>
      <c r="C394" s="1" t="n">
        <v>45899</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37626-2023</t>
        </is>
      </c>
      <c r="B395" s="1" t="n">
        <v>45159.45748842593</v>
      </c>
      <c r="C395" s="1" t="n">
        <v>45899</v>
      </c>
      <c r="D395" t="inlineStr">
        <is>
          <t>UPPSALA LÄN</t>
        </is>
      </c>
      <c r="E395" t="inlineStr">
        <is>
          <t>UPPSALA</t>
        </is>
      </c>
      <c r="G395" t="n">
        <v>0.6</v>
      </c>
      <c r="H395" t="n">
        <v>0</v>
      </c>
      <c r="I395" t="n">
        <v>0</v>
      </c>
      <c r="J395" t="n">
        <v>0</v>
      </c>
      <c r="K395" t="n">
        <v>0</v>
      </c>
      <c r="L395" t="n">
        <v>0</v>
      </c>
      <c r="M395" t="n">
        <v>0</v>
      </c>
      <c r="N395" t="n">
        <v>0</v>
      </c>
      <c r="O395" t="n">
        <v>0</v>
      </c>
      <c r="P395" t="n">
        <v>0</v>
      </c>
      <c r="Q395" t="n">
        <v>0</v>
      </c>
      <c r="R395" s="2" t="inlineStr"/>
    </row>
    <row r="396" ht="15" customHeight="1">
      <c r="A396" t="inlineStr">
        <is>
          <t>A 24525-2025</t>
        </is>
      </c>
      <c r="B396" s="1" t="n">
        <v>45798.42252314815</v>
      </c>
      <c r="C396" s="1" t="n">
        <v>45899</v>
      </c>
      <c r="D396" t="inlineStr">
        <is>
          <t>UPPSALA LÄN</t>
        </is>
      </c>
      <c r="E396" t="inlineStr">
        <is>
          <t>UPPSALA</t>
        </is>
      </c>
      <c r="G396" t="n">
        <v>3.2</v>
      </c>
      <c r="H396" t="n">
        <v>0</v>
      </c>
      <c r="I396" t="n">
        <v>0</v>
      </c>
      <c r="J396" t="n">
        <v>0</v>
      </c>
      <c r="K396" t="n">
        <v>0</v>
      </c>
      <c r="L396" t="n">
        <v>0</v>
      </c>
      <c r="M396" t="n">
        <v>0</v>
      </c>
      <c r="N396" t="n">
        <v>0</v>
      </c>
      <c r="O396" t="n">
        <v>0</v>
      </c>
      <c r="P396" t="n">
        <v>0</v>
      </c>
      <c r="Q396" t="n">
        <v>0</v>
      </c>
      <c r="R396" s="2" t="inlineStr"/>
    </row>
    <row r="397" ht="15" customHeight="1">
      <c r="A397" t="inlineStr">
        <is>
          <t>A 24521-2025</t>
        </is>
      </c>
      <c r="B397" s="1" t="n">
        <v>45798.41734953703</v>
      </c>
      <c r="C397" s="1" t="n">
        <v>45899</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24268-2025</t>
        </is>
      </c>
      <c r="B398" s="1" t="n">
        <v>45797.42777777778</v>
      </c>
      <c r="C398" s="1" t="n">
        <v>45899</v>
      </c>
      <c r="D398" t="inlineStr">
        <is>
          <t>UPPSALA LÄN</t>
        </is>
      </c>
      <c r="E398" t="inlineStr">
        <is>
          <t>UPPSALA</t>
        </is>
      </c>
      <c r="G398" t="n">
        <v>2.5</v>
      </c>
      <c r="H398" t="n">
        <v>0</v>
      </c>
      <c r="I398" t="n">
        <v>0</v>
      </c>
      <c r="J398" t="n">
        <v>0</v>
      </c>
      <c r="K398" t="n">
        <v>0</v>
      </c>
      <c r="L398" t="n">
        <v>0</v>
      </c>
      <c r="M398" t="n">
        <v>0</v>
      </c>
      <c r="N398" t="n">
        <v>0</v>
      </c>
      <c r="O398" t="n">
        <v>0</v>
      </c>
      <c r="P398" t="n">
        <v>0</v>
      </c>
      <c r="Q398" t="n">
        <v>0</v>
      </c>
      <c r="R398" s="2" t="inlineStr"/>
    </row>
    <row r="399" ht="15" customHeight="1">
      <c r="A399" t="inlineStr">
        <is>
          <t>A 60445-2024</t>
        </is>
      </c>
      <c r="B399" s="1" t="n">
        <v>45643</v>
      </c>
      <c r="C399" s="1" t="n">
        <v>45899</v>
      </c>
      <c r="D399" t="inlineStr">
        <is>
          <t>UPPSALA LÄN</t>
        </is>
      </c>
      <c r="E399" t="inlineStr">
        <is>
          <t>UPPSALA</t>
        </is>
      </c>
      <c r="G399" t="n">
        <v>1</v>
      </c>
      <c r="H399" t="n">
        <v>0</v>
      </c>
      <c r="I399" t="n">
        <v>0</v>
      </c>
      <c r="J399" t="n">
        <v>0</v>
      </c>
      <c r="K399" t="n">
        <v>0</v>
      </c>
      <c r="L399" t="n">
        <v>0</v>
      </c>
      <c r="M399" t="n">
        <v>0</v>
      </c>
      <c r="N399" t="n">
        <v>0</v>
      </c>
      <c r="O399" t="n">
        <v>0</v>
      </c>
      <c r="P399" t="n">
        <v>0</v>
      </c>
      <c r="Q399" t="n">
        <v>0</v>
      </c>
      <c r="R399" s="2" t="inlineStr"/>
    </row>
    <row r="400" ht="15" customHeight="1">
      <c r="A400" t="inlineStr">
        <is>
          <t>A 24909-2025</t>
        </is>
      </c>
      <c r="B400" s="1" t="n">
        <v>45799.53348379629</v>
      </c>
      <c r="C400" s="1" t="n">
        <v>45899</v>
      </c>
      <c r="D400" t="inlineStr">
        <is>
          <t>UPPSALA LÄN</t>
        </is>
      </c>
      <c r="E400" t="inlineStr">
        <is>
          <t>UPPSALA</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17232-2022</t>
        </is>
      </c>
      <c r="B401" s="1" t="n">
        <v>44678.3315625</v>
      </c>
      <c r="C401" s="1" t="n">
        <v>45899</v>
      </c>
      <c r="D401" t="inlineStr">
        <is>
          <t>UPPSALA LÄN</t>
        </is>
      </c>
      <c r="E401" t="inlineStr">
        <is>
          <t>UPPSALA</t>
        </is>
      </c>
      <c r="F401" t="inlineStr">
        <is>
          <t>Övriga Aktiebolag</t>
        </is>
      </c>
      <c r="G401" t="n">
        <v>7.4</v>
      </c>
      <c r="H401" t="n">
        <v>0</v>
      </c>
      <c r="I401" t="n">
        <v>0</v>
      </c>
      <c r="J401" t="n">
        <v>0</v>
      </c>
      <c r="K401" t="n">
        <v>0</v>
      </c>
      <c r="L401" t="n">
        <v>0</v>
      </c>
      <c r="M401" t="n">
        <v>0</v>
      </c>
      <c r="N401" t="n">
        <v>0</v>
      </c>
      <c r="O401" t="n">
        <v>0</v>
      </c>
      <c r="P401" t="n">
        <v>0</v>
      </c>
      <c r="Q401" t="n">
        <v>0</v>
      </c>
      <c r="R401" s="2" t="inlineStr"/>
    </row>
    <row r="402" ht="15" customHeight="1">
      <c r="A402" t="inlineStr">
        <is>
          <t>A 8404-2022</t>
        </is>
      </c>
      <c r="B402" s="1" t="n">
        <v>44610</v>
      </c>
      <c r="C402" s="1" t="n">
        <v>45899</v>
      </c>
      <c r="D402" t="inlineStr">
        <is>
          <t>UPPSALA LÄN</t>
        </is>
      </c>
      <c r="E402" t="inlineStr">
        <is>
          <t>UPPSALA</t>
        </is>
      </c>
      <c r="F402" t="inlineStr">
        <is>
          <t>Allmännings- och besparingsskogar</t>
        </is>
      </c>
      <c r="G402" t="n">
        <v>5.4</v>
      </c>
      <c r="H402" t="n">
        <v>0</v>
      </c>
      <c r="I402" t="n">
        <v>0</v>
      </c>
      <c r="J402" t="n">
        <v>0</v>
      </c>
      <c r="K402" t="n">
        <v>0</v>
      </c>
      <c r="L402" t="n">
        <v>0</v>
      </c>
      <c r="M402" t="n">
        <v>0</v>
      </c>
      <c r="N402" t="n">
        <v>0</v>
      </c>
      <c r="O402" t="n">
        <v>0</v>
      </c>
      <c r="P402" t="n">
        <v>0</v>
      </c>
      <c r="Q402" t="n">
        <v>0</v>
      </c>
      <c r="R402" s="2" t="inlineStr"/>
    </row>
    <row r="403" ht="15" customHeight="1">
      <c r="A403" t="inlineStr">
        <is>
          <t>A 53921-2024</t>
        </is>
      </c>
      <c r="B403" s="1" t="n">
        <v>45615</v>
      </c>
      <c r="C403" s="1" t="n">
        <v>45899</v>
      </c>
      <c r="D403" t="inlineStr">
        <is>
          <t>UPPSALA LÄN</t>
        </is>
      </c>
      <c r="E403" t="inlineStr">
        <is>
          <t>UPPSALA</t>
        </is>
      </c>
      <c r="G403" t="n">
        <v>8.1</v>
      </c>
      <c r="H403" t="n">
        <v>0</v>
      </c>
      <c r="I403" t="n">
        <v>0</v>
      </c>
      <c r="J403" t="n">
        <v>0</v>
      </c>
      <c r="K403" t="n">
        <v>0</v>
      </c>
      <c r="L403" t="n">
        <v>0</v>
      </c>
      <c r="M403" t="n">
        <v>0</v>
      </c>
      <c r="N403" t="n">
        <v>0</v>
      </c>
      <c r="O403" t="n">
        <v>0</v>
      </c>
      <c r="P403" t="n">
        <v>0</v>
      </c>
      <c r="Q403" t="n">
        <v>0</v>
      </c>
      <c r="R403" s="2" t="inlineStr"/>
    </row>
    <row r="404" ht="15" customHeight="1">
      <c r="A404" t="inlineStr">
        <is>
          <t>A 6988-2025</t>
        </is>
      </c>
      <c r="B404" s="1" t="n">
        <v>45693</v>
      </c>
      <c r="C404" s="1" t="n">
        <v>45899</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45899</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59562-2024</t>
        </is>
      </c>
      <c r="B406" s="1" t="n">
        <v>45638</v>
      </c>
      <c r="C406" s="1" t="n">
        <v>45899</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10674-2022</t>
        </is>
      </c>
      <c r="B407" s="1" t="n">
        <v>44624.64538194444</v>
      </c>
      <c r="C407" s="1" t="n">
        <v>45899</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54924-2024</t>
        </is>
      </c>
      <c r="B408" s="1" t="n">
        <v>45618.71140046296</v>
      </c>
      <c r="C408" s="1" t="n">
        <v>45899</v>
      </c>
      <c r="D408" t="inlineStr">
        <is>
          <t>UPPSALA LÄN</t>
        </is>
      </c>
      <c r="E408" t="inlineStr">
        <is>
          <t>UPPSALA</t>
        </is>
      </c>
      <c r="G408" t="n">
        <v>2.4</v>
      </c>
      <c r="H408" t="n">
        <v>0</v>
      </c>
      <c r="I408" t="n">
        <v>0</v>
      </c>
      <c r="J408" t="n">
        <v>0</v>
      </c>
      <c r="K408" t="n">
        <v>0</v>
      </c>
      <c r="L408" t="n">
        <v>0</v>
      </c>
      <c r="M408" t="n">
        <v>0</v>
      </c>
      <c r="N408" t="n">
        <v>0</v>
      </c>
      <c r="O408" t="n">
        <v>0</v>
      </c>
      <c r="P408" t="n">
        <v>0</v>
      </c>
      <c r="Q408" t="n">
        <v>0</v>
      </c>
      <c r="R408" s="2" t="inlineStr"/>
    </row>
    <row r="409" ht="15" customHeight="1">
      <c r="A409" t="inlineStr">
        <is>
          <t>A 24912-2025</t>
        </is>
      </c>
      <c r="B409" s="1" t="n">
        <v>45799.53803240741</v>
      </c>
      <c r="C409" s="1" t="n">
        <v>45899</v>
      </c>
      <c r="D409" t="inlineStr">
        <is>
          <t>UPPSALA LÄN</t>
        </is>
      </c>
      <c r="E409" t="inlineStr">
        <is>
          <t>UPPSALA</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24916-2025</t>
        </is>
      </c>
      <c r="B410" s="1" t="n">
        <v>45799.5421875</v>
      </c>
      <c r="C410" s="1" t="n">
        <v>45899</v>
      </c>
      <c r="D410" t="inlineStr">
        <is>
          <t>UPPSALA LÄN</t>
        </is>
      </c>
      <c r="E410" t="inlineStr">
        <is>
          <t>UPPSALA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12293-2022</t>
        </is>
      </c>
      <c r="B411" s="1" t="n">
        <v>44637.56178240741</v>
      </c>
      <c r="C411" s="1" t="n">
        <v>45899</v>
      </c>
      <c r="D411" t="inlineStr">
        <is>
          <t>UPPSALA LÄN</t>
        </is>
      </c>
      <c r="E411" t="inlineStr">
        <is>
          <t>UPPSALA</t>
        </is>
      </c>
      <c r="F411" t="inlineStr">
        <is>
          <t>Kommuner</t>
        </is>
      </c>
      <c r="G411" t="n">
        <v>0.8</v>
      </c>
      <c r="H411" t="n">
        <v>0</v>
      </c>
      <c r="I411" t="n">
        <v>0</v>
      </c>
      <c r="J411" t="n">
        <v>0</v>
      </c>
      <c r="K411" t="n">
        <v>0</v>
      </c>
      <c r="L411" t="n">
        <v>0</v>
      </c>
      <c r="M411" t="n">
        <v>0</v>
      </c>
      <c r="N411" t="n">
        <v>0</v>
      </c>
      <c r="O411" t="n">
        <v>0</v>
      </c>
      <c r="P411" t="n">
        <v>0</v>
      </c>
      <c r="Q411" t="n">
        <v>0</v>
      </c>
      <c r="R411" s="2" t="inlineStr"/>
    </row>
    <row r="412" ht="15" customHeight="1">
      <c r="A412" t="inlineStr">
        <is>
          <t>A 24961-2025</t>
        </is>
      </c>
      <c r="B412" s="1" t="n">
        <v>45799.57714120371</v>
      </c>
      <c r="C412" s="1" t="n">
        <v>45899</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25025-2025</t>
        </is>
      </c>
      <c r="B413" s="1" t="n">
        <v>45799.64877314815</v>
      </c>
      <c r="C413" s="1" t="n">
        <v>45899</v>
      </c>
      <c r="D413" t="inlineStr">
        <is>
          <t>UPPSALA LÄN</t>
        </is>
      </c>
      <c r="E413" t="inlineStr">
        <is>
          <t>UPPSALA</t>
        </is>
      </c>
      <c r="F413" t="inlineStr">
        <is>
          <t>Sveaskog</t>
        </is>
      </c>
      <c r="G413" t="n">
        <v>0.6</v>
      </c>
      <c r="H413" t="n">
        <v>0</v>
      </c>
      <c r="I413" t="n">
        <v>0</v>
      </c>
      <c r="J413" t="n">
        <v>0</v>
      </c>
      <c r="K413" t="n">
        <v>0</v>
      </c>
      <c r="L413" t="n">
        <v>0</v>
      </c>
      <c r="M413" t="n">
        <v>0</v>
      </c>
      <c r="N413" t="n">
        <v>0</v>
      </c>
      <c r="O413" t="n">
        <v>0</v>
      </c>
      <c r="P413" t="n">
        <v>0</v>
      </c>
      <c r="Q413" t="n">
        <v>0</v>
      </c>
      <c r="R413" s="2" t="inlineStr"/>
    </row>
    <row r="414" ht="15" customHeight="1">
      <c r="A414" t="inlineStr">
        <is>
          <t>A 25055-2025</t>
        </is>
      </c>
      <c r="B414" s="1" t="n">
        <v>45799.67806712963</v>
      </c>
      <c r="C414" s="1" t="n">
        <v>45899</v>
      </c>
      <c r="D414" t="inlineStr">
        <is>
          <t>UPPSALA LÄN</t>
        </is>
      </c>
      <c r="E414" t="inlineStr">
        <is>
          <t>UPPSALA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12828-2025</t>
        </is>
      </c>
      <c r="B415" s="1" t="n">
        <v>45733.62903935185</v>
      </c>
      <c r="C415" s="1" t="n">
        <v>45899</v>
      </c>
      <c r="D415" t="inlineStr">
        <is>
          <t>UPPSALA LÄN</t>
        </is>
      </c>
      <c r="E415" t="inlineStr">
        <is>
          <t>UPPSALA</t>
        </is>
      </c>
      <c r="G415" t="n">
        <v>5.3</v>
      </c>
      <c r="H415" t="n">
        <v>0</v>
      </c>
      <c r="I415" t="n">
        <v>0</v>
      </c>
      <c r="J415" t="n">
        <v>0</v>
      </c>
      <c r="K415" t="n">
        <v>0</v>
      </c>
      <c r="L415" t="n">
        <v>0</v>
      </c>
      <c r="M415" t="n">
        <v>0</v>
      </c>
      <c r="N415" t="n">
        <v>0</v>
      </c>
      <c r="O415" t="n">
        <v>0</v>
      </c>
      <c r="P415" t="n">
        <v>0</v>
      </c>
      <c r="Q415" t="n">
        <v>0</v>
      </c>
      <c r="R415" s="2" t="inlineStr"/>
    </row>
    <row r="416" ht="15" customHeight="1">
      <c r="A416" t="inlineStr">
        <is>
          <t>A 60698-2024</t>
        </is>
      </c>
      <c r="B416" s="1" t="n">
        <v>45644</v>
      </c>
      <c r="C416" s="1" t="n">
        <v>45899</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25056-2025</t>
        </is>
      </c>
      <c r="B417" s="1" t="n">
        <v>45799.68190972223</v>
      </c>
      <c r="C417" s="1" t="n">
        <v>45899</v>
      </c>
      <c r="D417" t="inlineStr">
        <is>
          <t>UPPSALA LÄN</t>
        </is>
      </c>
      <c r="E417" t="inlineStr">
        <is>
          <t>UPPSALA</t>
        </is>
      </c>
      <c r="F417" t="inlineStr">
        <is>
          <t>Bergvik skog öst AB</t>
        </is>
      </c>
      <c r="G417" t="n">
        <v>20.9</v>
      </c>
      <c r="H417" t="n">
        <v>0</v>
      </c>
      <c r="I417" t="n">
        <v>0</v>
      </c>
      <c r="J417" t="n">
        <v>0</v>
      </c>
      <c r="K417" t="n">
        <v>0</v>
      </c>
      <c r="L417" t="n">
        <v>0</v>
      </c>
      <c r="M417" t="n">
        <v>0</v>
      </c>
      <c r="N417" t="n">
        <v>0</v>
      </c>
      <c r="O417" t="n">
        <v>0</v>
      </c>
      <c r="P417" t="n">
        <v>0</v>
      </c>
      <c r="Q417" t="n">
        <v>0</v>
      </c>
      <c r="R417" s="2" t="inlineStr"/>
    </row>
    <row r="418" ht="15" customHeight="1">
      <c r="A418" t="inlineStr">
        <is>
          <t>A 44115-2023</t>
        </is>
      </c>
      <c r="B418" s="1" t="n">
        <v>45188</v>
      </c>
      <c r="C418" s="1" t="n">
        <v>45899</v>
      </c>
      <c r="D418" t="inlineStr">
        <is>
          <t>UPPSALA LÄN</t>
        </is>
      </c>
      <c r="E418" t="inlineStr">
        <is>
          <t>UPPSALA</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23291-2024</t>
        </is>
      </c>
      <c r="B419" s="1" t="n">
        <v>45453</v>
      </c>
      <c r="C419" s="1" t="n">
        <v>45899</v>
      </c>
      <c r="D419" t="inlineStr">
        <is>
          <t>UPPSALA LÄN</t>
        </is>
      </c>
      <c r="E419" t="inlineStr">
        <is>
          <t>UPPSALA</t>
        </is>
      </c>
      <c r="G419" t="n">
        <v>1.7</v>
      </c>
      <c r="H419" t="n">
        <v>0</v>
      </c>
      <c r="I419" t="n">
        <v>0</v>
      </c>
      <c r="J419" t="n">
        <v>0</v>
      </c>
      <c r="K419" t="n">
        <v>0</v>
      </c>
      <c r="L419" t="n">
        <v>0</v>
      </c>
      <c r="M419" t="n">
        <v>0</v>
      </c>
      <c r="N419" t="n">
        <v>0</v>
      </c>
      <c r="O419" t="n">
        <v>0</v>
      </c>
      <c r="P419" t="n">
        <v>0</v>
      </c>
      <c r="Q419" t="n">
        <v>0</v>
      </c>
      <c r="R419" s="2" t="inlineStr"/>
    </row>
    <row r="420" ht="15" customHeight="1">
      <c r="A420" t="inlineStr">
        <is>
          <t>A 24913-2025</t>
        </is>
      </c>
      <c r="B420" s="1" t="n">
        <v>45799.53947916667</v>
      </c>
      <c r="C420" s="1" t="n">
        <v>45899</v>
      </c>
      <c r="D420" t="inlineStr">
        <is>
          <t>UPPSALA LÄN</t>
        </is>
      </c>
      <c r="E420" t="inlineStr">
        <is>
          <t>UPPSALA</t>
        </is>
      </c>
      <c r="F420" t="inlineStr">
        <is>
          <t>Sveaskog</t>
        </is>
      </c>
      <c r="G420" t="n">
        <v>4.9</v>
      </c>
      <c r="H420" t="n">
        <v>0</v>
      </c>
      <c r="I420" t="n">
        <v>0</v>
      </c>
      <c r="J420" t="n">
        <v>0</v>
      </c>
      <c r="K420" t="n">
        <v>0</v>
      </c>
      <c r="L420" t="n">
        <v>0</v>
      </c>
      <c r="M420" t="n">
        <v>0</v>
      </c>
      <c r="N420" t="n">
        <v>0</v>
      </c>
      <c r="O420" t="n">
        <v>0</v>
      </c>
      <c r="P420" t="n">
        <v>0</v>
      </c>
      <c r="Q420" t="n">
        <v>0</v>
      </c>
      <c r="R420" s="2" t="inlineStr"/>
    </row>
    <row r="421" ht="15" customHeight="1">
      <c r="A421" t="inlineStr">
        <is>
          <t>A 24915-2025</t>
        </is>
      </c>
      <c r="B421" s="1" t="n">
        <v>45799.54104166666</v>
      </c>
      <c r="C421" s="1" t="n">
        <v>45899</v>
      </c>
      <c r="D421" t="inlineStr">
        <is>
          <t>UPPSALA LÄN</t>
        </is>
      </c>
      <c r="E421" t="inlineStr">
        <is>
          <t>UPPSALA</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45899</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34114-2024</t>
        </is>
      </c>
      <c r="B423" s="1" t="n">
        <v>45524</v>
      </c>
      <c r="C423" s="1" t="n">
        <v>45899</v>
      </c>
      <c r="D423" t="inlineStr">
        <is>
          <t>UPPSALA LÄN</t>
        </is>
      </c>
      <c r="E423" t="inlineStr">
        <is>
          <t>UPPSALA</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45899</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13742-2025</t>
        </is>
      </c>
      <c r="B425" s="1" t="n">
        <v>45737.40503472222</v>
      </c>
      <c r="C425" s="1" t="n">
        <v>45899</v>
      </c>
      <c r="D425" t="inlineStr">
        <is>
          <t>UPPSALA LÄN</t>
        </is>
      </c>
      <c r="E425" t="inlineStr">
        <is>
          <t>UPPSALA</t>
        </is>
      </c>
      <c r="G425" t="n">
        <v>5.1</v>
      </c>
      <c r="H425" t="n">
        <v>0</v>
      </c>
      <c r="I425" t="n">
        <v>0</v>
      </c>
      <c r="J425" t="n">
        <v>0</v>
      </c>
      <c r="K425" t="n">
        <v>0</v>
      </c>
      <c r="L425" t="n">
        <v>0</v>
      </c>
      <c r="M425" t="n">
        <v>0</v>
      </c>
      <c r="N425" t="n">
        <v>0</v>
      </c>
      <c r="O425" t="n">
        <v>0</v>
      </c>
      <c r="P425" t="n">
        <v>0</v>
      </c>
      <c r="Q425" t="n">
        <v>0</v>
      </c>
      <c r="R425" s="2" t="inlineStr"/>
    </row>
    <row r="426" ht="15" customHeight="1">
      <c r="A426" t="inlineStr">
        <is>
          <t>A 7611-2023</t>
        </is>
      </c>
      <c r="B426" s="1" t="n">
        <v>44967</v>
      </c>
      <c r="C426" s="1" t="n">
        <v>45899</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25026-2025</t>
        </is>
      </c>
      <c r="B427" s="1" t="n">
        <v>45799.65021990741</v>
      </c>
      <c r="C427" s="1" t="n">
        <v>45899</v>
      </c>
      <c r="D427" t="inlineStr">
        <is>
          <t>UPPSALA LÄN</t>
        </is>
      </c>
      <c r="E427" t="inlineStr">
        <is>
          <t>UPPSALA</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25030-2025</t>
        </is>
      </c>
      <c r="B428" s="1" t="n">
        <v>45799.6527199074</v>
      </c>
      <c r="C428" s="1" t="n">
        <v>45899</v>
      </c>
      <c r="D428" t="inlineStr">
        <is>
          <t>UPPSALA LÄN</t>
        </is>
      </c>
      <c r="E428" t="inlineStr">
        <is>
          <t>UPPSALA</t>
        </is>
      </c>
      <c r="F428" t="inlineStr">
        <is>
          <t>Sveaskog</t>
        </is>
      </c>
      <c r="G428" t="n">
        <v>6</v>
      </c>
      <c r="H428" t="n">
        <v>0</v>
      </c>
      <c r="I428" t="n">
        <v>0</v>
      </c>
      <c r="J428" t="n">
        <v>0</v>
      </c>
      <c r="K428" t="n">
        <v>0</v>
      </c>
      <c r="L428" t="n">
        <v>0</v>
      </c>
      <c r="M428" t="n">
        <v>0</v>
      </c>
      <c r="N428" t="n">
        <v>0</v>
      </c>
      <c r="O428" t="n">
        <v>0</v>
      </c>
      <c r="P428" t="n">
        <v>0</v>
      </c>
      <c r="Q428" t="n">
        <v>0</v>
      </c>
      <c r="R428" s="2" t="inlineStr"/>
    </row>
    <row r="429" ht="15" customHeight="1">
      <c r="A429" t="inlineStr">
        <is>
          <t>A 24794-2025</t>
        </is>
      </c>
      <c r="B429" s="1" t="n">
        <v>45799.43496527777</v>
      </c>
      <c r="C429" s="1" t="n">
        <v>45899</v>
      </c>
      <c r="D429" t="inlineStr">
        <is>
          <t>UPPSALA LÄN</t>
        </is>
      </c>
      <c r="E429" t="inlineStr">
        <is>
          <t>UPPSALA</t>
        </is>
      </c>
      <c r="F429" t="inlineStr">
        <is>
          <t>BillerudKorsnäs AB</t>
        </is>
      </c>
      <c r="G429" t="n">
        <v>1.4</v>
      </c>
      <c r="H429" t="n">
        <v>0</v>
      </c>
      <c r="I429" t="n">
        <v>0</v>
      </c>
      <c r="J429" t="n">
        <v>0</v>
      </c>
      <c r="K429" t="n">
        <v>0</v>
      </c>
      <c r="L429" t="n">
        <v>0</v>
      </c>
      <c r="M429" t="n">
        <v>0</v>
      </c>
      <c r="N429" t="n">
        <v>0</v>
      </c>
      <c r="O429" t="n">
        <v>0</v>
      </c>
      <c r="P429" t="n">
        <v>0</v>
      </c>
      <c r="Q429" t="n">
        <v>0</v>
      </c>
      <c r="R429" s="2" t="inlineStr"/>
    </row>
    <row r="430" ht="15" customHeight="1">
      <c r="A430" t="inlineStr">
        <is>
          <t>A 42772-2022</t>
        </is>
      </c>
      <c r="B430" s="1" t="n">
        <v>44832.49594907407</v>
      </c>
      <c r="C430" s="1" t="n">
        <v>45899</v>
      </c>
      <c r="D430" t="inlineStr">
        <is>
          <t>UPPSALA LÄN</t>
        </is>
      </c>
      <c r="E430" t="inlineStr">
        <is>
          <t>UPPSALA</t>
        </is>
      </c>
      <c r="G430" t="n">
        <v>17.7</v>
      </c>
      <c r="H430" t="n">
        <v>0</v>
      </c>
      <c r="I430" t="n">
        <v>0</v>
      </c>
      <c r="J430" t="n">
        <v>0</v>
      </c>
      <c r="K430" t="n">
        <v>0</v>
      </c>
      <c r="L430" t="n">
        <v>0</v>
      </c>
      <c r="M430" t="n">
        <v>0</v>
      </c>
      <c r="N430" t="n">
        <v>0</v>
      </c>
      <c r="O430" t="n">
        <v>0</v>
      </c>
      <c r="P430" t="n">
        <v>0</v>
      </c>
      <c r="Q430" t="n">
        <v>0</v>
      </c>
      <c r="R430" s="2" t="inlineStr"/>
    </row>
    <row r="431" ht="15" customHeight="1">
      <c r="A431" t="inlineStr">
        <is>
          <t>A 60056-2022</t>
        </is>
      </c>
      <c r="B431" s="1" t="n">
        <v>44909</v>
      </c>
      <c r="C431" s="1" t="n">
        <v>45899</v>
      </c>
      <c r="D431" t="inlineStr">
        <is>
          <t>UPPSALA LÄN</t>
        </is>
      </c>
      <c r="E431" t="inlineStr">
        <is>
          <t>UPPSALA</t>
        </is>
      </c>
      <c r="G431" t="n">
        <v>1.2</v>
      </c>
      <c r="H431" t="n">
        <v>0</v>
      </c>
      <c r="I431" t="n">
        <v>0</v>
      </c>
      <c r="J431" t="n">
        <v>0</v>
      </c>
      <c r="K431" t="n">
        <v>0</v>
      </c>
      <c r="L431" t="n">
        <v>0</v>
      </c>
      <c r="M431" t="n">
        <v>0</v>
      </c>
      <c r="N431" t="n">
        <v>0</v>
      </c>
      <c r="O431" t="n">
        <v>0</v>
      </c>
      <c r="P431" t="n">
        <v>0</v>
      </c>
      <c r="Q431" t="n">
        <v>0</v>
      </c>
      <c r="R431" s="2" t="inlineStr"/>
    </row>
    <row r="432" ht="15" customHeight="1">
      <c r="A432" t="inlineStr">
        <is>
          <t>A 25280-2023</t>
        </is>
      </c>
      <c r="B432" s="1" t="n">
        <v>45086.7037037037</v>
      </c>
      <c r="C432" s="1" t="n">
        <v>45899</v>
      </c>
      <c r="D432" t="inlineStr">
        <is>
          <t>UPPSALA LÄN</t>
        </is>
      </c>
      <c r="E432" t="inlineStr">
        <is>
          <t>UPPSALA</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5989-2022</t>
        </is>
      </c>
      <c r="B433" s="1" t="n">
        <v>44599.42277777778</v>
      </c>
      <c r="C433" s="1" t="n">
        <v>45899</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15264-2025</t>
        </is>
      </c>
      <c r="B434" s="1" t="n">
        <v>45744</v>
      </c>
      <c r="C434" s="1" t="n">
        <v>45899</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10477-2024</t>
        </is>
      </c>
      <c r="B435" s="1" t="n">
        <v>45366.42888888889</v>
      </c>
      <c r="C435" s="1" t="n">
        <v>45899</v>
      </c>
      <c r="D435" t="inlineStr">
        <is>
          <t>UPPSALA LÄN</t>
        </is>
      </c>
      <c r="E435" t="inlineStr">
        <is>
          <t>UPPSALA</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6628-2024</t>
        </is>
      </c>
      <c r="B436" s="1" t="n">
        <v>45341</v>
      </c>
      <c r="C436" s="1" t="n">
        <v>45899</v>
      </c>
      <c r="D436" t="inlineStr">
        <is>
          <t>UPPSALA LÄN</t>
        </is>
      </c>
      <c r="E436" t="inlineStr">
        <is>
          <t>UPPSALA</t>
        </is>
      </c>
      <c r="G436" t="n">
        <v>4.3</v>
      </c>
      <c r="H436" t="n">
        <v>0</v>
      </c>
      <c r="I436" t="n">
        <v>0</v>
      </c>
      <c r="J436" t="n">
        <v>0</v>
      </c>
      <c r="K436" t="n">
        <v>0</v>
      </c>
      <c r="L436" t="n">
        <v>0</v>
      </c>
      <c r="M436" t="n">
        <v>0</v>
      </c>
      <c r="N436" t="n">
        <v>0</v>
      </c>
      <c r="O436" t="n">
        <v>0</v>
      </c>
      <c r="P436" t="n">
        <v>0</v>
      </c>
      <c r="Q436" t="n">
        <v>0</v>
      </c>
      <c r="R436" s="2" t="inlineStr"/>
    </row>
    <row r="437" ht="15" customHeight="1">
      <c r="A437" t="inlineStr">
        <is>
          <t>A 52197-2024</t>
        </is>
      </c>
      <c r="B437" s="1" t="n">
        <v>45608</v>
      </c>
      <c r="C437" s="1" t="n">
        <v>45899</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5006-2022</t>
        </is>
      </c>
      <c r="B438" s="1" t="n">
        <v>44593</v>
      </c>
      <c r="C438" s="1" t="n">
        <v>45899</v>
      </c>
      <c r="D438" t="inlineStr">
        <is>
          <t>UPPSALA LÄN</t>
        </is>
      </c>
      <c r="E438" t="inlineStr">
        <is>
          <t>UPPSALA</t>
        </is>
      </c>
      <c r="F438" t="inlineStr">
        <is>
          <t>BillerudKorsnäs AB</t>
        </is>
      </c>
      <c r="G438" t="n">
        <v>1.4</v>
      </c>
      <c r="H438" t="n">
        <v>0</v>
      </c>
      <c r="I438" t="n">
        <v>0</v>
      </c>
      <c r="J438" t="n">
        <v>0</v>
      </c>
      <c r="K438" t="n">
        <v>0</v>
      </c>
      <c r="L438" t="n">
        <v>0</v>
      </c>
      <c r="M438" t="n">
        <v>0</v>
      </c>
      <c r="N438" t="n">
        <v>0</v>
      </c>
      <c r="O438" t="n">
        <v>0</v>
      </c>
      <c r="P438" t="n">
        <v>0</v>
      </c>
      <c r="Q438" t="n">
        <v>0</v>
      </c>
      <c r="R438" s="2" t="inlineStr"/>
    </row>
    <row r="439" ht="15" customHeight="1">
      <c r="A439" t="inlineStr">
        <is>
          <t>A 5007-2022</t>
        </is>
      </c>
      <c r="B439" s="1" t="n">
        <v>44593.61355324074</v>
      </c>
      <c r="C439" s="1" t="n">
        <v>45899</v>
      </c>
      <c r="D439" t="inlineStr">
        <is>
          <t>UPPSALA LÄN</t>
        </is>
      </c>
      <c r="E439" t="inlineStr">
        <is>
          <t>UPPSALA</t>
        </is>
      </c>
      <c r="F439" t="inlineStr">
        <is>
          <t>BillerudKorsnäs AB</t>
        </is>
      </c>
      <c r="G439" t="n">
        <v>3.6</v>
      </c>
      <c r="H439" t="n">
        <v>0</v>
      </c>
      <c r="I439" t="n">
        <v>0</v>
      </c>
      <c r="J439" t="n">
        <v>0</v>
      </c>
      <c r="K439" t="n">
        <v>0</v>
      </c>
      <c r="L439" t="n">
        <v>0</v>
      </c>
      <c r="M439" t="n">
        <v>0</v>
      </c>
      <c r="N439" t="n">
        <v>0</v>
      </c>
      <c r="O439" t="n">
        <v>0</v>
      </c>
      <c r="P439" t="n">
        <v>0</v>
      </c>
      <c r="Q439" t="n">
        <v>0</v>
      </c>
      <c r="R439" s="2" t="inlineStr"/>
    </row>
    <row r="440" ht="15" customHeight="1">
      <c r="A440" t="inlineStr">
        <is>
          <t>A 25513-2025</t>
        </is>
      </c>
      <c r="B440" s="1" t="n">
        <v>45803.36384259259</v>
      </c>
      <c r="C440" s="1" t="n">
        <v>45899</v>
      </c>
      <c r="D440" t="inlineStr">
        <is>
          <t>UPPSALA LÄN</t>
        </is>
      </c>
      <c r="E440" t="inlineStr">
        <is>
          <t>UPPSALA</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7276-2024</t>
        </is>
      </c>
      <c r="B441" s="1" t="n">
        <v>45344</v>
      </c>
      <c r="C441" s="1" t="n">
        <v>45899</v>
      </c>
      <c r="D441" t="inlineStr">
        <is>
          <t>UPPSALA LÄN</t>
        </is>
      </c>
      <c r="E441" t="inlineStr">
        <is>
          <t>UPPSALA</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3040-2023</t>
        </is>
      </c>
      <c r="B442" s="1" t="n">
        <v>44946</v>
      </c>
      <c r="C442" s="1" t="n">
        <v>45899</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18607-2024</t>
        </is>
      </c>
      <c r="B443" s="1" t="n">
        <v>45425.94947916667</v>
      </c>
      <c r="C443" s="1" t="n">
        <v>45899</v>
      </c>
      <c r="D443" t="inlineStr">
        <is>
          <t>UPPSALA LÄN</t>
        </is>
      </c>
      <c r="E443" t="inlineStr">
        <is>
          <t>UPPSALA</t>
        </is>
      </c>
      <c r="G443" t="n">
        <v>4.3</v>
      </c>
      <c r="H443" t="n">
        <v>0</v>
      </c>
      <c r="I443" t="n">
        <v>0</v>
      </c>
      <c r="J443" t="n">
        <v>0</v>
      </c>
      <c r="K443" t="n">
        <v>0</v>
      </c>
      <c r="L443" t="n">
        <v>0</v>
      </c>
      <c r="M443" t="n">
        <v>0</v>
      </c>
      <c r="N443" t="n">
        <v>0</v>
      </c>
      <c r="O443" t="n">
        <v>0</v>
      </c>
      <c r="P443" t="n">
        <v>0</v>
      </c>
      <c r="Q443" t="n">
        <v>0</v>
      </c>
      <c r="R443" s="2" t="inlineStr"/>
    </row>
    <row r="444" ht="15" customHeight="1">
      <c r="A444" t="inlineStr">
        <is>
          <t>A 6363-2024</t>
        </is>
      </c>
      <c r="B444" s="1" t="n">
        <v>45338.49412037037</v>
      </c>
      <c r="C444" s="1" t="n">
        <v>45899</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668-2025</t>
        </is>
      </c>
      <c r="B445" s="1" t="n">
        <v>45664</v>
      </c>
      <c r="C445" s="1" t="n">
        <v>45899</v>
      </c>
      <c r="D445" t="inlineStr">
        <is>
          <t>UPPSALA LÄN</t>
        </is>
      </c>
      <c r="E445" t="inlineStr">
        <is>
          <t>UPPSALA</t>
        </is>
      </c>
      <c r="F445" t="inlineStr">
        <is>
          <t>Bergvik skog öst AB</t>
        </is>
      </c>
      <c r="G445" t="n">
        <v>4.7</v>
      </c>
      <c r="H445" t="n">
        <v>0</v>
      </c>
      <c r="I445" t="n">
        <v>0</v>
      </c>
      <c r="J445" t="n">
        <v>0</v>
      </c>
      <c r="K445" t="n">
        <v>0</v>
      </c>
      <c r="L445" t="n">
        <v>0</v>
      </c>
      <c r="M445" t="n">
        <v>0</v>
      </c>
      <c r="N445" t="n">
        <v>0</v>
      </c>
      <c r="O445" t="n">
        <v>0</v>
      </c>
      <c r="P445" t="n">
        <v>0</v>
      </c>
      <c r="Q445" t="n">
        <v>0</v>
      </c>
      <c r="R445" s="2" t="inlineStr"/>
    </row>
    <row r="446" ht="15" customHeight="1">
      <c r="A446" t="inlineStr">
        <is>
          <t>A 25674-2025</t>
        </is>
      </c>
      <c r="B446" s="1" t="n">
        <v>45803.63395833333</v>
      </c>
      <c r="C446" s="1" t="n">
        <v>45899</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45592-2023</t>
        </is>
      </c>
      <c r="B447" s="1" t="n">
        <v>45194.63479166666</v>
      </c>
      <c r="C447" s="1" t="n">
        <v>45899</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18330-2025</t>
        </is>
      </c>
      <c r="B448" s="1" t="n">
        <v>45762.49243055555</v>
      </c>
      <c r="C448" s="1" t="n">
        <v>45899</v>
      </c>
      <c r="D448" t="inlineStr">
        <is>
          <t>UPPSALA LÄN</t>
        </is>
      </c>
      <c r="E448" t="inlineStr">
        <is>
          <t>UPPSALA</t>
        </is>
      </c>
      <c r="G448" t="n">
        <v>1.6</v>
      </c>
      <c r="H448" t="n">
        <v>0</v>
      </c>
      <c r="I448" t="n">
        <v>0</v>
      </c>
      <c r="J448" t="n">
        <v>0</v>
      </c>
      <c r="K448" t="n">
        <v>0</v>
      </c>
      <c r="L448" t="n">
        <v>0</v>
      </c>
      <c r="M448" t="n">
        <v>0</v>
      </c>
      <c r="N448" t="n">
        <v>0</v>
      </c>
      <c r="O448" t="n">
        <v>0</v>
      </c>
      <c r="P448" t="n">
        <v>0</v>
      </c>
      <c r="Q448" t="n">
        <v>0</v>
      </c>
      <c r="R448" s="2" t="inlineStr"/>
    </row>
    <row r="449" ht="15" customHeight="1">
      <c r="A449" t="inlineStr">
        <is>
          <t>A 26130-2025</t>
        </is>
      </c>
      <c r="B449" s="1" t="n">
        <v>45805.4094675926</v>
      </c>
      <c r="C449" s="1" t="n">
        <v>45899</v>
      </c>
      <c r="D449" t="inlineStr">
        <is>
          <t>UPPSALA LÄN</t>
        </is>
      </c>
      <c r="E449" t="inlineStr">
        <is>
          <t>UPPSALA</t>
        </is>
      </c>
      <c r="F449" t="inlineStr">
        <is>
          <t>Bergvik skog öst AB</t>
        </is>
      </c>
      <c r="G449" t="n">
        <v>1</v>
      </c>
      <c r="H449" t="n">
        <v>0</v>
      </c>
      <c r="I449" t="n">
        <v>0</v>
      </c>
      <c r="J449" t="n">
        <v>0</v>
      </c>
      <c r="K449" t="n">
        <v>0</v>
      </c>
      <c r="L449" t="n">
        <v>0</v>
      </c>
      <c r="M449" t="n">
        <v>0</v>
      </c>
      <c r="N449" t="n">
        <v>0</v>
      </c>
      <c r="O449" t="n">
        <v>0</v>
      </c>
      <c r="P449" t="n">
        <v>0</v>
      </c>
      <c r="Q449" t="n">
        <v>0</v>
      </c>
      <c r="R449" s="2" t="inlineStr"/>
    </row>
    <row r="450" ht="15" customHeight="1">
      <c r="A450" t="inlineStr">
        <is>
          <t>A 10490-2025</t>
        </is>
      </c>
      <c r="B450" s="1" t="n">
        <v>45721.35173611111</v>
      </c>
      <c r="C450" s="1" t="n">
        <v>45899</v>
      </c>
      <c r="D450" t="inlineStr">
        <is>
          <t>UPPSALA LÄN</t>
        </is>
      </c>
      <c r="E450" t="inlineStr">
        <is>
          <t>UPPSALA</t>
        </is>
      </c>
      <c r="G450" t="n">
        <v>1.8</v>
      </c>
      <c r="H450" t="n">
        <v>0</v>
      </c>
      <c r="I450" t="n">
        <v>0</v>
      </c>
      <c r="J450" t="n">
        <v>0</v>
      </c>
      <c r="K450" t="n">
        <v>0</v>
      </c>
      <c r="L450" t="n">
        <v>0</v>
      </c>
      <c r="M450" t="n">
        <v>0</v>
      </c>
      <c r="N450" t="n">
        <v>0</v>
      </c>
      <c r="O450" t="n">
        <v>0</v>
      </c>
      <c r="P450" t="n">
        <v>0</v>
      </c>
      <c r="Q450" t="n">
        <v>0</v>
      </c>
      <c r="R450" s="2" t="inlineStr"/>
    </row>
    <row r="451" ht="15" customHeight="1">
      <c r="A451" t="inlineStr">
        <is>
          <t>A 26131-2025</t>
        </is>
      </c>
      <c r="B451" s="1" t="n">
        <v>45805.41010416667</v>
      </c>
      <c r="C451" s="1" t="n">
        <v>45899</v>
      </c>
      <c r="D451" t="inlineStr">
        <is>
          <t>UPPSALA LÄN</t>
        </is>
      </c>
      <c r="E451" t="inlineStr">
        <is>
          <t>UPPSALA</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42124-2021</t>
        </is>
      </c>
      <c r="B452" s="1" t="n">
        <v>44426</v>
      </c>
      <c r="C452" s="1" t="n">
        <v>45899</v>
      </c>
      <c r="D452" t="inlineStr">
        <is>
          <t>UPPSALA LÄN</t>
        </is>
      </c>
      <c r="E452" t="inlineStr">
        <is>
          <t>UPPSALA</t>
        </is>
      </c>
      <c r="G452" t="n">
        <v>6.3</v>
      </c>
      <c r="H452" t="n">
        <v>0</v>
      </c>
      <c r="I452" t="n">
        <v>0</v>
      </c>
      <c r="J452" t="n">
        <v>0</v>
      </c>
      <c r="K452" t="n">
        <v>0</v>
      </c>
      <c r="L452" t="n">
        <v>0</v>
      </c>
      <c r="M452" t="n">
        <v>0</v>
      </c>
      <c r="N452" t="n">
        <v>0</v>
      </c>
      <c r="O452" t="n">
        <v>0</v>
      </c>
      <c r="P452" t="n">
        <v>0</v>
      </c>
      <c r="Q452" t="n">
        <v>0</v>
      </c>
      <c r="R452" s="2" t="inlineStr"/>
    </row>
    <row r="453" ht="15" customHeight="1">
      <c r="A453" t="inlineStr">
        <is>
          <t>A 35906-2023</t>
        </is>
      </c>
      <c r="B453" s="1" t="n">
        <v>45148</v>
      </c>
      <c r="C453" s="1" t="n">
        <v>45899</v>
      </c>
      <c r="D453" t="inlineStr">
        <is>
          <t>UPPSALA LÄN</t>
        </is>
      </c>
      <c r="E453" t="inlineStr">
        <is>
          <t>UPPSALA</t>
        </is>
      </c>
      <c r="G453" t="n">
        <v>1.7</v>
      </c>
      <c r="H453" t="n">
        <v>0</v>
      </c>
      <c r="I453" t="n">
        <v>0</v>
      </c>
      <c r="J453" t="n">
        <v>0</v>
      </c>
      <c r="K453" t="n">
        <v>0</v>
      </c>
      <c r="L453" t="n">
        <v>0</v>
      </c>
      <c r="M453" t="n">
        <v>0</v>
      </c>
      <c r="N453" t="n">
        <v>0</v>
      </c>
      <c r="O453" t="n">
        <v>0</v>
      </c>
      <c r="P453" t="n">
        <v>0</v>
      </c>
      <c r="Q453" t="n">
        <v>0</v>
      </c>
      <c r="R453" s="2" t="inlineStr"/>
    </row>
    <row r="454" ht="15" customHeight="1">
      <c r="A454" t="inlineStr">
        <is>
          <t>A 35914-2023</t>
        </is>
      </c>
      <c r="B454" s="1" t="n">
        <v>45148</v>
      </c>
      <c r="C454" s="1" t="n">
        <v>45899</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35916-2023</t>
        </is>
      </c>
      <c r="B455" s="1" t="n">
        <v>45148</v>
      </c>
      <c r="C455" s="1" t="n">
        <v>45899</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4312-2022</t>
        </is>
      </c>
      <c r="B456" s="1" t="n">
        <v>44588</v>
      </c>
      <c r="C456" s="1" t="n">
        <v>45899</v>
      </c>
      <c r="D456" t="inlineStr">
        <is>
          <t>UPPSALA LÄN</t>
        </is>
      </c>
      <c r="E456" t="inlineStr">
        <is>
          <t>UPPSALA</t>
        </is>
      </c>
      <c r="G456" t="n">
        <v>1.1</v>
      </c>
      <c r="H456" t="n">
        <v>0</v>
      </c>
      <c r="I456" t="n">
        <v>0</v>
      </c>
      <c r="J456" t="n">
        <v>0</v>
      </c>
      <c r="K456" t="n">
        <v>0</v>
      </c>
      <c r="L456" t="n">
        <v>0</v>
      </c>
      <c r="M456" t="n">
        <v>0</v>
      </c>
      <c r="N456" t="n">
        <v>0</v>
      </c>
      <c r="O456" t="n">
        <v>0</v>
      </c>
      <c r="P456" t="n">
        <v>0</v>
      </c>
      <c r="Q456" t="n">
        <v>0</v>
      </c>
      <c r="R456" s="2" t="inlineStr"/>
    </row>
    <row r="457" ht="15" customHeight="1">
      <c r="A457" t="inlineStr">
        <is>
          <t>A 49821-2020</t>
        </is>
      </c>
      <c r="B457" s="1" t="n">
        <v>44106</v>
      </c>
      <c r="C457" s="1" t="n">
        <v>45899</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7899-2022</t>
        </is>
      </c>
      <c r="B458" s="1" t="n">
        <v>44608</v>
      </c>
      <c r="C458" s="1" t="n">
        <v>45899</v>
      </c>
      <c r="D458" t="inlineStr">
        <is>
          <t>UPPSALA LÄN</t>
        </is>
      </c>
      <c r="E458" t="inlineStr">
        <is>
          <t>UPPSALA</t>
        </is>
      </c>
      <c r="F458" t="inlineStr">
        <is>
          <t>Övriga Aktiebolag</t>
        </is>
      </c>
      <c r="G458" t="n">
        <v>7.1</v>
      </c>
      <c r="H458" t="n">
        <v>0</v>
      </c>
      <c r="I458" t="n">
        <v>0</v>
      </c>
      <c r="J458" t="n">
        <v>0</v>
      </c>
      <c r="K458" t="n">
        <v>0</v>
      </c>
      <c r="L458" t="n">
        <v>0</v>
      </c>
      <c r="M458" t="n">
        <v>0</v>
      </c>
      <c r="N458" t="n">
        <v>0</v>
      </c>
      <c r="O458" t="n">
        <v>0</v>
      </c>
      <c r="P458" t="n">
        <v>0</v>
      </c>
      <c r="Q458" t="n">
        <v>0</v>
      </c>
      <c r="R458" s="2" t="inlineStr"/>
    </row>
    <row r="459" ht="15" customHeight="1">
      <c r="A459" t="inlineStr">
        <is>
          <t>A 26139-2025</t>
        </is>
      </c>
      <c r="B459" s="1" t="n">
        <v>45805.41813657407</v>
      </c>
      <c r="C459" s="1" t="n">
        <v>45899</v>
      </c>
      <c r="D459" t="inlineStr">
        <is>
          <t>UPPSALA LÄN</t>
        </is>
      </c>
      <c r="E459" t="inlineStr">
        <is>
          <t>UPPSALA</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53384-2024</t>
        </is>
      </c>
      <c r="B460" s="1" t="n">
        <v>45614</v>
      </c>
      <c r="C460" s="1" t="n">
        <v>45899</v>
      </c>
      <c r="D460" t="inlineStr">
        <is>
          <t>UPPSALA LÄN</t>
        </is>
      </c>
      <c r="E460" t="inlineStr">
        <is>
          <t>UPPSALA</t>
        </is>
      </c>
      <c r="G460" t="n">
        <v>3.7</v>
      </c>
      <c r="H460" t="n">
        <v>0</v>
      </c>
      <c r="I460" t="n">
        <v>0</v>
      </c>
      <c r="J460" t="n">
        <v>0</v>
      </c>
      <c r="K460" t="n">
        <v>0</v>
      </c>
      <c r="L460" t="n">
        <v>0</v>
      </c>
      <c r="M460" t="n">
        <v>0</v>
      </c>
      <c r="N460" t="n">
        <v>0</v>
      </c>
      <c r="O460" t="n">
        <v>0</v>
      </c>
      <c r="P460" t="n">
        <v>0</v>
      </c>
      <c r="Q460" t="n">
        <v>0</v>
      </c>
      <c r="R460" s="2" t="inlineStr"/>
    </row>
    <row r="461" ht="15" customHeight="1">
      <c r="A461" t="inlineStr">
        <is>
          <t>A 26155-2025</t>
        </is>
      </c>
      <c r="B461" s="1" t="n">
        <v>45805.43402777778</v>
      </c>
      <c r="C461" s="1" t="n">
        <v>45899</v>
      </c>
      <c r="D461" t="inlineStr">
        <is>
          <t>UPPSALA LÄN</t>
        </is>
      </c>
      <c r="E461" t="inlineStr">
        <is>
          <t>UPPSALA</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47316-2023</t>
        </is>
      </c>
      <c r="B462" s="1" t="n">
        <v>45202.4997337963</v>
      </c>
      <c r="C462" s="1" t="n">
        <v>45899</v>
      </c>
      <c r="D462" t="inlineStr">
        <is>
          <t>UPPSALA LÄN</t>
        </is>
      </c>
      <c r="E462" t="inlineStr">
        <is>
          <t>UPPSALA</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26141-2025</t>
        </is>
      </c>
      <c r="B463" s="1" t="n">
        <v>45805.4255787037</v>
      </c>
      <c r="C463" s="1" t="n">
        <v>45899</v>
      </c>
      <c r="D463" t="inlineStr">
        <is>
          <t>UPPSALA LÄN</t>
        </is>
      </c>
      <c r="E463" t="inlineStr">
        <is>
          <t>UPPSALA</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4065-2024</t>
        </is>
      </c>
      <c r="B464" s="1" t="n">
        <v>45323.55914351852</v>
      </c>
      <c r="C464" s="1" t="n">
        <v>45899</v>
      </c>
      <c r="D464" t="inlineStr">
        <is>
          <t>UPPSALA LÄN</t>
        </is>
      </c>
      <c r="E464" t="inlineStr">
        <is>
          <t>UPPSALA</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45662-2023</t>
        </is>
      </c>
      <c r="B465" s="1" t="n">
        <v>45194</v>
      </c>
      <c r="C465" s="1" t="n">
        <v>45899</v>
      </c>
      <c r="D465" t="inlineStr">
        <is>
          <t>UPPSALA LÄN</t>
        </is>
      </c>
      <c r="E465" t="inlineStr">
        <is>
          <t>UPPSALA</t>
        </is>
      </c>
      <c r="F465" t="inlineStr">
        <is>
          <t>Bergvik skog öst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32127-2024</t>
        </is>
      </c>
      <c r="B466" s="1" t="n">
        <v>45511</v>
      </c>
      <c r="C466" s="1" t="n">
        <v>45899</v>
      </c>
      <c r="D466" t="inlineStr">
        <is>
          <t>UPPSALA LÄN</t>
        </is>
      </c>
      <c r="E466" t="inlineStr">
        <is>
          <t>UPPSALA</t>
        </is>
      </c>
      <c r="G466" t="n">
        <v>3.7</v>
      </c>
      <c r="H466" t="n">
        <v>0</v>
      </c>
      <c r="I466" t="n">
        <v>0</v>
      </c>
      <c r="J466" t="n">
        <v>0</v>
      </c>
      <c r="K466" t="n">
        <v>0</v>
      </c>
      <c r="L466" t="n">
        <v>0</v>
      </c>
      <c r="M466" t="n">
        <v>0</v>
      </c>
      <c r="N466" t="n">
        <v>0</v>
      </c>
      <c r="O466" t="n">
        <v>0</v>
      </c>
      <c r="P466" t="n">
        <v>0</v>
      </c>
      <c r="Q466" t="n">
        <v>0</v>
      </c>
      <c r="R466" s="2" t="inlineStr"/>
    </row>
    <row r="467" ht="15" customHeight="1">
      <c r="A467" t="inlineStr">
        <is>
          <t>A 39818-2024</t>
        </is>
      </c>
      <c r="B467" s="1" t="n">
        <v>45552</v>
      </c>
      <c r="C467" s="1" t="n">
        <v>45899</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50463-2024</t>
        </is>
      </c>
      <c r="B468" s="1" t="n">
        <v>45601</v>
      </c>
      <c r="C468" s="1" t="n">
        <v>45899</v>
      </c>
      <c r="D468" t="inlineStr">
        <is>
          <t>UPPSALA LÄN</t>
        </is>
      </c>
      <c r="E468" t="inlineStr">
        <is>
          <t>UPPSALA</t>
        </is>
      </c>
      <c r="F468" t="inlineStr">
        <is>
          <t>Allmännings- och besparingsskogar</t>
        </is>
      </c>
      <c r="G468" t="n">
        <v>12.6</v>
      </c>
      <c r="H468" t="n">
        <v>0</v>
      </c>
      <c r="I468" t="n">
        <v>0</v>
      </c>
      <c r="J468" t="n">
        <v>0</v>
      </c>
      <c r="K468" t="n">
        <v>0</v>
      </c>
      <c r="L468" t="n">
        <v>0</v>
      </c>
      <c r="M468" t="n">
        <v>0</v>
      </c>
      <c r="N468" t="n">
        <v>0</v>
      </c>
      <c r="O468" t="n">
        <v>0</v>
      </c>
      <c r="P468" t="n">
        <v>0</v>
      </c>
      <c r="Q468" t="n">
        <v>0</v>
      </c>
      <c r="R468" s="2" t="inlineStr"/>
    </row>
    <row r="469" ht="15" customHeight="1">
      <c r="A469" t="inlineStr">
        <is>
          <t>A 26697-2025</t>
        </is>
      </c>
      <c r="B469" s="1" t="n">
        <v>45810.44339120371</v>
      </c>
      <c r="C469" s="1" t="n">
        <v>45899</v>
      </c>
      <c r="D469" t="inlineStr">
        <is>
          <t>UPPSALA LÄN</t>
        </is>
      </c>
      <c r="E469" t="inlineStr">
        <is>
          <t>UPPSALA</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26739-2025</t>
        </is>
      </c>
      <c r="B470" s="1" t="n">
        <v>45809</v>
      </c>
      <c r="C470" s="1" t="n">
        <v>45899</v>
      </c>
      <c r="D470" t="inlineStr">
        <is>
          <t>UPPSALA LÄN</t>
        </is>
      </c>
      <c r="E470" t="inlineStr">
        <is>
          <t>UPPSALA</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5189-2022</t>
        </is>
      </c>
      <c r="B471" s="1" t="n">
        <v>44594</v>
      </c>
      <c r="C471" s="1" t="n">
        <v>45899</v>
      </c>
      <c r="D471" t="inlineStr">
        <is>
          <t>UPPSALA LÄN</t>
        </is>
      </c>
      <c r="E471" t="inlineStr">
        <is>
          <t>UPPSALA</t>
        </is>
      </c>
      <c r="G471" t="n">
        <v>5.9</v>
      </c>
      <c r="H471" t="n">
        <v>0</v>
      </c>
      <c r="I471" t="n">
        <v>0</v>
      </c>
      <c r="J471" t="n">
        <v>0</v>
      </c>
      <c r="K471" t="n">
        <v>0</v>
      </c>
      <c r="L471" t="n">
        <v>0</v>
      </c>
      <c r="M471" t="n">
        <v>0</v>
      </c>
      <c r="N471" t="n">
        <v>0</v>
      </c>
      <c r="O471" t="n">
        <v>0</v>
      </c>
      <c r="P471" t="n">
        <v>0</v>
      </c>
      <c r="Q471" t="n">
        <v>0</v>
      </c>
      <c r="R471" s="2" t="inlineStr"/>
    </row>
    <row r="472" ht="15" customHeight="1">
      <c r="A472" t="inlineStr">
        <is>
          <t>A 59547-2024</t>
        </is>
      </c>
      <c r="B472" s="1" t="n">
        <v>45638</v>
      </c>
      <c r="C472" s="1" t="n">
        <v>45899</v>
      </c>
      <c r="D472" t="inlineStr">
        <is>
          <t>UPPSALA LÄN</t>
        </is>
      </c>
      <c r="E472" t="inlineStr">
        <is>
          <t>UPPSALA</t>
        </is>
      </c>
      <c r="G472" t="n">
        <v>2.2</v>
      </c>
      <c r="H472" t="n">
        <v>0</v>
      </c>
      <c r="I472" t="n">
        <v>0</v>
      </c>
      <c r="J472" t="n">
        <v>0</v>
      </c>
      <c r="K472" t="n">
        <v>0</v>
      </c>
      <c r="L472" t="n">
        <v>0</v>
      </c>
      <c r="M472" t="n">
        <v>0</v>
      </c>
      <c r="N472" t="n">
        <v>0</v>
      </c>
      <c r="O472" t="n">
        <v>0</v>
      </c>
      <c r="P472" t="n">
        <v>0</v>
      </c>
      <c r="Q472" t="n">
        <v>0</v>
      </c>
      <c r="R472" s="2" t="inlineStr"/>
    </row>
    <row r="473" ht="15" customHeight="1">
      <c r="A473" t="inlineStr">
        <is>
          <t>A 11201-2024</t>
        </is>
      </c>
      <c r="B473" s="1" t="n">
        <v>45371</v>
      </c>
      <c r="C473" s="1" t="n">
        <v>45899</v>
      </c>
      <c r="D473" t="inlineStr">
        <is>
          <t>UPPSALA LÄN</t>
        </is>
      </c>
      <c r="E473" t="inlineStr">
        <is>
          <t>UPPSALA</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49996-2023</t>
        </is>
      </c>
      <c r="B474" s="1" t="n">
        <v>45215.44233796297</v>
      </c>
      <c r="C474" s="1" t="n">
        <v>45899</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row>
    <row r="475" ht="15" customHeight="1">
      <c r="A475" t="inlineStr">
        <is>
          <t>A 2790-2025</t>
        </is>
      </c>
      <c r="B475" s="1" t="n">
        <v>45677</v>
      </c>
      <c r="C475" s="1" t="n">
        <v>45899</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44815-2023</t>
        </is>
      </c>
      <c r="B476" s="1" t="n">
        <v>45190</v>
      </c>
      <c r="C476" s="1" t="n">
        <v>45899</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11162-2022</t>
        </is>
      </c>
      <c r="B477" s="1" t="n">
        <v>44629.42423611111</v>
      </c>
      <c r="C477" s="1" t="n">
        <v>45899</v>
      </c>
      <c r="D477" t="inlineStr">
        <is>
          <t>UPPSALA LÄN</t>
        </is>
      </c>
      <c r="E477" t="inlineStr">
        <is>
          <t>UPPSALA</t>
        </is>
      </c>
      <c r="G477" t="n">
        <v>1.5</v>
      </c>
      <c r="H477" t="n">
        <v>0</v>
      </c>
      <c r="I477" t="n">
        <v>0</v>
      </c>
      <c r="J477" t="n">
        <v>0</v>
      </c>
      <c r="K477" t="n">
        <v>0</v>
      </c>
      <c r="L477" t="n">
        <v>0</v>
      </c>
      <c r="M477" t="n">
        <v>0</v>
      </c>
      <c r="N477" t="n">
        <v>0</v>
      </c>
      <c r="O477" t="n">
        <v>0</v>
      </c>
      <c r="P477" t="n">
        <v>0</v>
      </c>
      <c r="Q477" t="n">
        <v>0</v>
      </c>
      <c r="R477" s="2" t="inlineStr"/>
    </row>
    <row r="478" ht="15" customHeight="1">
      <c r="A478" t="inlineStr">
        <is>
          <t>A 8132-2024</t>
        </is>
      </c>
      <c r="B478" s="1" t="n">
        <v>45351.54596064815</v>
      </c>
      <c r="C478" s="1" t="n">
        <v>45899</v>
      </c>
      <c r="D478" t="inlineStr">
        <is>
          <t>UPPSALA LÄN</t>
        </is>
      </c>
      <c r="E478" t="inlineStr">
        <is>
          <t>UPPSALA</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26738-2025</t>
        </is>
      </c>
      <c r="B479" s="1" t="n">
        <v>45809</v>
      </c>
      <c r="C479" s="1" t="n">
        <v>45899</v>
      </c>
      <c r="D479" t="inlineStr">
        <is>
          <t>UPPSALA LÄN</t>
        </is>
      </c>
      <c r="E479" t="inlineStr">
        <is>
          <t>UPPSALA</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26740-2025</t>
        </is>
      </c>
      <c r="B480" s="1" t="n">
        <v>45809</v>
      </c>
      <c r="C480" s="1" t="n">
        <v>45899</v>
      </c>
      <c r="D480" t="inlineStr">
        <is>
          <t>UPPSALA LÄN</t>
        </is>
      </c>
      <c r="E480" t="inlineStr">
        <is>
          <t>UPPSALA</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20087-2023</t>
        </is>
      </c>
      <c r="B481" s="1" t="n">
        <v>45054.9271875</v>
      </c>
      <c r="C481" s="1" t="n">
        <v>45899</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23494-2024</t>
        </is>
      </c>
      <c r="B482" s="1" t="n">
        <v>45453.69339120371</v>
      </c>
      <c r="C482" s="1" t="n">
        <v>45899</v>
      </c>
      <c r="D482" t="inlineStr">
        <is>
          <t>UPPSALA LÄN</t>
        </is>
      </c>
      <c r="E482" t="inlineStr">
        <is>
          <t>UPPSALA</t>
        </is>
      </c>
      <c r="F482" t="inlineStr">
        <is>
          <t>Kyrkan</t>
        </is>
      </c>
      <c r="G482" t="n">
        <v>0.8</v>
      </c>
      <c r="H482" t="n">
        <v>0</v>
      </c>
      <c r="I482" t="n">
        <v>0</v>
      </c>
      <c r="J482" t="n">
        <v>0</v>
      </c>
      <c r="K482" t="n">
        <v>0</v>
      </c>
      <c r="L482" t="n">
        <v>0</v>
      </c>
      <c r="M482" t="n">
        <v>0</v>
      </c>
      <c r="N482" t="n">
        <v>0</v>
      </c>
      <c r="O482" t="n">
        <v>0</v>
      </c>
      <c r="P482" t="n">
        <v>0</v>
      </c>
      <c r="Q482" t="n">
        <v>0</v>
      </c>
      <c r="R482" s="2" t="inlineStr"/>
    </row>
    <row r="483" ht="15" customHeight="1">
      <c r="A483" t="inlineStr">
        <is>
          <t>A 26696-2025</t>
        </is>
      </c>
      <c r="B483" s="1" t="n">
        <v>45810.44299768518</v>
      </c>
      <c r="C483" s="1" t="n">
        <v>45899</v>
      </c>
      <c r="D483" t="inlineStr">
        <is>
          <t>UPPSALA LÄN</t>
        </is>
      </c>
      <c r="E483" t="inlineStr">
        <is>
          <t>UPPSALA</t>
        </is>
      </c>
      <c r="F483" t="inlineStr">
        <is>
          <t>Bergvik skog öst AB</t>
        </is>
      </c>
      <c r="G483" t="n">
        <v>7.1</v>
      </c>
      <c r="H483" t="n">
        <v>0</v>
      </c>
      <c r="I483" t="n">
        <v>0</v>
      </c>
      <c r="J483" t="n">
        <v>0</v>
      </c>
      <c r="K483" t="n">
        <v>0</v>
      </c>
      <c r="L483" t="n">
        <v>0</v>
      </c>
      <c r="M483" t="n">
        <v>0</v>
      </c>
      <c r="N483" t="n">
        <v>0</v>
      </c>
      <c r="O483" t="n">
        <v>0</v>
      </c>
      <c r="P483" t="n">
        <v>0</v>
      </c>
      <c r="Q483" t="n">
        <v>0</v>
      </c>
      <c r="R483" s="2" t="inlineStr"/>
    </row>
    <row r="484" ht="15" customHeight="1">
      <c r="A484" t="inlineStr">
        <is>
          <t>A 26713-2025</t>
        </is>
      </c>
      <c r="B484" s="1" t="n">
        <v>45809</v>
      </c>
      <c r="C484" s="1" t="n">
        <v>45899</v>
      </c>
      <c r="D484" t="inlineStr">
        <is>
          <t>UPPSALA LÄN</t>
        </is>
      </c>
      <c r="E484" t="inlineStr">
        <is>
          <t>UPPSALA</t>
        </is>
      </c>
      <c r="G484" t="n">
        <v>3.8</v>
      </c>
      <c r="H484" t="n">
        <v>0</v>
      </c>
      <c r="I484" t="n">
        <v>0</v>
      </c>
      <c r="J484" t="n">
        <v>0</v>
      </c>
      <c r="K484" t="n">
        <v>0</v>
      </c>
      <c r="L484" t="n">
        <v>0</v>
      </c>
      <c r="M484" t="n">
        <v>0</v>
      </c>
      <c r="N484" t="n">
        <v>0</v>
      </c>
      <c r="O484" t="n">
        <v>0</v>
      </c>
      <c r="P484" t="n">
        <v>0</v>
      </c>
      <c r="Q484" t="n">
        <v>0</v>
      </c>
      <c r="R484" s="2" t="inlineStr"/>
    </row>
    <row r="485" ht="15" customHeight="1">
      <c r="A485" t="inlineStr">
        <is>
          <t>A 5663-2023</t>
        </is>
      </c>
      <c r="B485" s="1" t="n">
        <v>44960</v>
      </c>
      <c r="C485" s="1" t="n">
        <v>45899</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5675-2023</t>
        </is>
      </c>
      <c r="B486" s="1" t="n">
        <v>44960.66233796296</v>
      </c>
      <c r="C486" s="1" t="n">
        <v>45899</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27265-2025</t>
        </is>
      </c>
      <c r="B487" s="1" t="n">
        <v>45812.48032407407</v>
      </c>
      <c r="C487" s="1" t="n">
        <v>45899</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11409-2025</t>
        </is>
      </c>
      <c r="B488" s="1" t="n">
        <v>45726</v>
      </c>
      <c r="C488" s="1" t="n">
        <v>45899</v>
      </c>
      <c r="D488" t="inlineStr">
        <is>
          <t>UPPSALA LÄN</t>
        </is>
      </c>
      <c r="E488" t="inlineStr">
        <is>
          <t>UPPSALA</t>
        </is>
      </c>
      <c r="G488" t="n">
        <v>0.3</v>
      </c>
      <c r="H488" t="n">
        <v>0</v>
      </c>
      <c r="I488" t="n">
        <v>0</v>
      </c>
      <c r="J488" t="n">
        <v>0</v>
      </c>
      <c r="K488" t="n">
        <v>0</v>
      </c>
      <c r="L488" t="n">
        <v>0</v>
      </c>
      <c r="M488" t="n">
        <v>0</v>
      </c>
      <c r="N488" t="n">
        <v>0</v>
      </c>
      <c r="O488" t="n">
        <v>0</v>
      </c>
      <c r="P488" t="n">
        <v>0</v>
      </c>
      <c r="Q488" t="n">
        <v>0</v>
      </c>
      <c r="R488" s="2" t="inlineStr"/>
    </row>
    <row r="489" ht="15" customHeight="1">
      <c r="A489" t="inlineStr">
        <is>
          <t>A 26709-2025</t>
        </is>
      </c>
      <c r="B489" s="1" t="n">
        <v>45810.45960648148</v>
      </c>
      <c r="C489" s="1" t="n">
        <v>45899</v>
      </c>
      <c r="D489" t="inlineStr">
        <is>
          <t>UPPSALA LÄN</t>
        </is>
      </c>
      <c r="E489" t="inlineStr">
        <is>
          <t>UPPSALA</t>
        </is>
      </c>
      <c r="F489" t="inlineStr">
        <is>
          <t>Kyrkan</t>
        </is>
      </c>
      <c r="G489" t="n">
        <v>6.7</v>
      </c>
      <c r="H489" t="n">
        <v>0</v>
      </c>
      <c r="I489" t="n">
        <v>0</v>
      </c>
      <c r="J489" t="n">
        <v>0</v>
      </c>
      <c r="K489" t="n">
        <v>0</v>
      </c>
      <c r="L489" t="n">
        <v>0</v>
      </c>
      <c r="M489" t="n">
        <v>0</v>
      </c>
      <c r="N489" t="n">
        <v>0</v>
      </c>
      <c r="O489" t="n">
        <v>0</v>
      </c>
      <c r="P489" t="n">
        <v>0</v>
      </c>
      <c r="Q489" t="n">
        <v>0</v>
      </c>
      <c r="R489" s="2" t="inlineStr"/>
    </row>
    <row r="490" ht="15" customHeight="1">
      <c r="A490" t="inlineStr">
        <is>
          <t>A 61463-2024</t>
        </is>
      </c>
      <c r="B490" s="1" t="n">
        <v>45646.50211805556</v>
      </c>
      <c r="C490" s="1" t="n">
        <v>45899</v>
      </c>
      <c r="D490" t="inlineStr">
        <is>
          <t>UPPSALA LÄN</t>
        </is>
      </c>
      <c r="E490" t="inlineStr">
        <is>
          <t>UPPSALA</t>
        </is>
      </c>
      <c r="G490" t="n">
        <v>0.8</v>
      </c>
      <c r="H490" t="n">
        <v>0</v>
      </c>
      <c r="I490" t="n">
        <v>0</v>
      </c>
      <c r="J490" t="n">
        <v>0</v>
      </c>
      <c r="K490" t="n">
        <v>0</v>
      </c>
      <c r="L490" t="n">
        <v>0</v>
      </c>
      <c r="M490" t="n">
        <v>0</v>
      </c>
      <c r="N490" t="n">
        <v>0</v>
      </c>
      <c r="O490" t="n">
        <v>0</v>
      </c>
      <c r="P490" t="n">
        <v>0</v>
      </c>
      <c r="Q490" t="n">
        <v>0</v>
      </c>
      <c r="R490" s="2" t="inlineStr"/>
    </row>
    <row r="491" ht="15" customHeight="1">
      <c r="A491" t="inlineStr">
        <is>
          <t>A 40872-2023</t>
        </is>
      </c>
      <c r="B491" s="1" t="n">
        <v>45173</v>
      </c>
      <c r="C491" s="1" t="n">
        <v>45899</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5309-2022</t>
        </is>
      </c>
      <c r="B492" s="1" t="n">
        <v>44594</v>
      </c>
      <c r="C492" s="1" t="n">
        <v>45899</v>
      </c>
      <c r="D492" t="inlineStr">
        <is>
          <t>UPPSALA LÄN</t>
        </is>
      </c>
      <c r="E492" t="inlineStr">
        <is>
          <t>UPPSALA</t>
        </is>
      </c>
      <c r="G492" t="n">
        <v>4.8</v>
      </c>
      <c r="H492" t="n">
        <v>0</v>
      </c>
      <c r="I492" t="n">
        <v>0</v>
      </c>
      <c r="J492" t="n">
        <v>0</v>
      </c>
      <c r="K492" t="n">
        <v>0</v>
      </c>
      <c r="L492" t="n">
        <v>0</v>
      </c>
      <c r="M492" t="n">
        <v>0</v>
      </c>
      <c r="N492" t="n">
        <v>0</v>
      </c>
      <c r="O492" t="n">
        <v>0</v>
      </c>
      <c r="P492" t="n">
        <v>0</v>
      </c>
      <c r="Q492" t="n">
        <v>0</v>
      </c>
      <c r="R492" s="2" t="inlineStr"/>
    </row>
    <row r="493" ht="15" customHeight="1">
      <c r="A493" t="inlineStr">
        <is>
          <t>A 45575-2023</t>
        </is>
      </c>
      <c r="B493" s="1" t="n">
        <v>45194.60876157408</v>
      </c>
      <c r="C493" s="1" t="n">
        <v>45899</v>
      </c>
      <c r="D493" t="inlineStr">
        <is>
          <t>UPPSALA LÄN</t>
        </is>
      </c>
      <c r="E493" t="inlineStr">
        <is>
          <t>UPPSALA</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39865-2022</t>
        </is>
      </c>
      <c r="B494" s="1" t="n">
        <v>44819.62</v>
      </c>
      <c r="C494" s="1" t="n">
        <v>45899</v>
      </c>
      <c r="D494" t="inlineStr">
        <is>
          <t>UPPSALA LÄN</t>
        </is>
      </c>
      <c r="E494" t="inlineStr">
        <is>
          <t>UPPSALA</t>
        </is>
      </c>
      <c r="G494" t="n">
        <v>2.5</v>
      </c>
      <c r="H494" t="n">
        <v>0</v>
      </c>
      <c r="I494" t="n">
        <v>0</v>
      </c>
      <c r="J494" t="n">
        <v>0</v>
      </c>
      <c r="K494" t="n">
        <v>0</v>
      </c>
      <c r="L494" t="n">
        <v>0</v>
      </c>
      <c r="M494" t="n">
        <v>0</v>
      </c>
      <c r="N494" t="n">
        <v>0</v>
      </c>
      <c r="O494" t="n">
        <v>0</v>
      </c>
      <c r="P494" t="n">
        <v>0</v>
      </c>
      <c r="Q494" t="n">
        <v>0</v>
      </c>
      <c r="R494" s="2" t="inlineStr"/>
    </row>
    <row r="495" ht="15" customHeight="1">
      <c r="A495" t="inlineStr">
        <is>
          <t>A 10489-2025</t>
        </is>
      </c>
      <c r="B495" s="1" t="n">
        <v>45721.34715277778</v>
      </c>
      <c r="C495" s="1" t="n">
        <v>45899</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27917-2025</t>
        </is>
      </c>
      <c r="B496" s="1" t="n">
        <v>45814</v>
      </c>
      <c r="C496" s="1" t="n">
        <v>45899</v>
      </c>
      <c r="D496" t="inlineStr">
        <is>
          <t>UPPSALA LÄN</t>
        </is>
      </c>
      <c r="E496" t="inlineStr">
        <is>
          <t>UPPSALA</t>
        </is>
      </c>
      <c r="G496" t="n">
        <v>4</v>
      </c>
      <c r="H496" t="n">
        <v>0</v>
      </c>
      <c r="I496" t="n">
        <v>0</v>
      </c>
      <c r="J496" t="n">
        <v>0</v>
      </c>
      <c r="K496" t="n">
        <v>0</v>
      </c>
      <c r="L496" t="n">
        <v>0</v>
      </c>
      <c r="M496" t="n">
        <v>0</v>
      </c>
      <c r="N496" t="n">
        <v>0</v>
      </c>
      <c r="O496" t="n">
        <v>0</v>
      </c>
      <c r="P496" t="n">
        <v>0</v>
      </c>
      <c r="Q496" t="n">
        <v>0</v>
      </c>
      <c r="R496" s="2" t="inlineStr"/>
    </row>
    <row r="497" ht="15" customHeight="1">
      <c r="A497" t="inlineStr">
        <is>
          <t>A 27706-2025</t>
        </is>
      </c>
      <c r="B497" s="1" t="n">
        <v>45813</v>
      </c>
      <c r="C497" s="1" t="n">
        <v>45899</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27538-2025</t>
        </is>
      </c>
      <c r="B498" s="1" t="n">
        <v>45813.46034722222</v>
      </c>
      <c r="C498" s="1" t="n">
        <v>45899</v>
      </c>
      <c r="D498" t="inlineStr">
        <is>
          <t>UPPSALA LÄN</t>
        </is>
      </c>
      <c r="E498" t="inlineStr">
        <is>
          <t>UPPSALA</t>
        </is>
      </c>
      <c r="G498" t="n">
        <v>3.1</v>
      </c>
      <c r="H498" t="n">
        <v>0</v>
      </c>
      <c r="I498" t="n">
        <v>0</v>
      </c>
      <c r="J498" t="n">
        <v>0</v>
      </c>
      <c r="K498" t="n">
        <v>0</v>
      </c>
      <c r="L498" t="n">
        <v>0</v>
      </c>
      <c r="M498" t="n">
        <v>0</v>
      </c>
      <c r="N498" t="n">
        <v>0</v>
      </c>
      <c r="O498" t="n">
        <v>0</v>
      </c>
      <c r="P498" t="n">
        <v>0</v>
      </c>
      <c r="Q498" t="n">
        <v>0</v>
      </c>
      <c r="R498" s="2" t="inlineStr"/>
    </row>
    <row r="499" ht="15" customHeight="1">
      <c r="A499" t="inlineStr">
        <is>
          <t>A 20206-2023</t>
        </is>
      </c>
      <c r="B499" s="1" t="n">
        <v>45055</v>
      </c>
      <c r="C499" s="1" t="n">
        <v>45899</v>
      </c>
      <c r="D499" t="inlineStr">
        <is>
          <t>UPPSALA LÄN</t>
        </is>
      </c>
      <c r="E499" t="inlineStr">
        <is>
          <t>UPPSALA</t>
        </is>
      </c>
      <c r="G499" t="n">
        <v>5.7</v>
      </c>
      <c r="H499" t="n">
        <v>0</v>
      </c>
      <c r="I499" t="n">
        <v>0</v>
      </c>
      <c r="J499" t="n">
        <v>0</v>
      </c>
      <c r="K499" t="n">
        <v>0</v>
      </c>
      <c r="L499" t="n">
        <v>0</v>
      </c>
      <c r="M499" t="n">
        <v>0</v>
      </c>
      <c r="N499" t="n">
        <v>0</v>
      </c>
      <c r="O499" t="n">
        <v>0</v>
      </c>
      <c r="P499" t="n">
        <v>0</v>
      </c>
      <c r="Q499" t="n">
        <v>0</v>
      </c>
      <c r="R499" s="2" t="inlineStr"/>
    </row>
    <row r="500" ht="15" customHeight="1">
      <c r="A500" t="inlineStr">
        <is>
          <t>A 74019-2021</t>
        </is>
      </c>
      <c r="B500" s="1" t="n">
        <v>44553</v>
      </c>
      <c r="C500" s="1" t="n">
        <v>45899</v>
      </c>
      <c r="D500" t="inlineStr">
        <is>
          <t>UPPSALA LÄN</t>
        </is>
      </c>
      <c r="E500" t="inlineStr">
        <is>
          <t>UPPSALA</t>
        </is>
      </c>
      <c r="G500" t="n">
        <v>3</v>
      </c>
      <c r="H500" t="n">
        <v>0</v>
      </c>
      <c r="I500" t="n">
        <v>0</v>
      </c>
      <c r="J500" t="n">
        <v>0</v>
      </c>
      <c r="K500" t="n">
        <v>0</v>
      </c>
      <c r="L500" t="n">
        <v>0</v>
      </c>
      <c r="M500" t="n">
        <v>0</v>
      </c>
      <c r="N500" t="n">
        <v>0</v>
      </c>
      <c r="O500" t="n">
        <v>0</v>
      </c>
      <c r="P500" t="n">
        <v>0</v>
      </c>
      <c r="Q500" t="n">
        <v>0</v>
      </c>
      <c r="R500" s="2" t="inlineStr"/>
    </row>
    <row r="501" ht="15" customHeight="1">
      <c r="A501" t="inlineStr">
        <is>
          <t>A 43029-2023</t>
        </is>
      </c>
      <c r="B501" s="1" t="n">
        <v>45182</v>
      </c>
      <c r="C501" s="1" t="n">
        <v>45899</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45899</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26762-2023</t>
        </is>
      </c>
      <c r="B503" s="1" t="n">
        <v>45093.46706018518</v>
      </c>
      <c r="C503" s="1" t="n">
        <v>45899</v>
      </c>
      <c r="D503" t="inlineStr">
        <is>
          <t>UPPSALA LÄN</t>
        </is>
      </c>
      <c r="E503" t="inlineStr">
        <is>
          <t>UPPSALA</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54742-2020</t>
        </is>
      </c>
      <c r="B504" s="1" t="n">
        <v>44126</v>
      </c>
      <c r="C504" s="1" t="n">
        <v>45899</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55220-2020</t>
        </is>
      </c>
      <c r="B505" s="1" t="n">
        <v>44130</v>
      </c>
      <c r="C505" s="1" t="n">
        <v>45899</v>
      </c>
      <c r="D505" t="inlineStr">
        <is>
          <t>UPPSALA LÄN</t>
        </is>
      </c>
      <c r="E505" t="inlineStr">
        <is>
          <t>UPPSALA</t>
        </is>
      </c>
      <c r="G505" t="n">
        <v>2.8</v>
      </c>
      <c r="H505" t="n">
        <v>0</v>
      </c>
      <c r="I505" t="n">
        <v>0</v>
      </c>
      <c r="J505" t="n">
        <v>0</v>
      </c>
      <c r="K505" t="n">
        <v>0</v>
      </c>
      <c r="L505" t="n">
        <v>0</v>
      </c>
      <c r="M505" t="n">
        <v>0</v>
      </c>
      <c r="N505" t="n">
        <v>0</v>
      </c>
      <c r="O505" t="n">
        <v>0</v>
      </c>
      <c r="P505" t="n">
        <v>0</v>
      </c>
      <c r="Q505" t="n">
        <v>0</v>
      </c>
      <c r="R505" s="2" t="inlineStr"/>
    </row>
    <row r="506" ht="15" customHeight="1">
      <c r="A506" t="inlineStr">
        <is>
          <t>A 53906-2023</t>
        </is>
      </c>
      <c r="B506" s="1" t="n">
        <v>45231</v>
      </c>
      <c r="C506" s="1" t="n">
        <v>45899</v>
      </c>
      <c r="D506" t="inlineStr">
        <is>
          <t>UPPSALA LÄN</t>
        </is>
      </c>
      <c r="E506" t="inlineStr">
        <is>
          <t>UPPSALA</t>
        </is>
      </c>
      <c r="G506" t="n">
        <v>13.2</v>
      </c>
      <c r="H506" t="n">
        <v>0</v>
      </c>
      <c r="I506" t="n">
        <v>0</v>
      </c>
      <c r="J506" t="n">
        <v>0</v>
      </c>
      <c r="K506" t="n">
        <v>0</v>
      </c>
      <c r="L506" t="n">
        <v>0</v>
      </c>
      <c r="M506" t="n">
        <v>0</v>
      </c>
      <c r="N506" t="n">
        <v>0</v>
      </c>
      <c r="O506" t="n">
        <v>0</v>
      </c>
      <c r="P506" t="n">
        <v>0</v>
      </c>
      <c r="Q506" t="n">
        <v>0</v>
      </c>
      <c r="R506" s="2" t="inlineStr"/>
    </row>
    <row r="507" ht="15" customHeight="1">
      <c r="A507" t="inlineStr">
        <is>
          <t>A 1975-2022</t>
        </is>
      </c>
      <c r="B507" s="1" t="n">
        <v>44575</v>
      </c>
      <c r="C507" s="1" t="n">
        <v>45899</v>
      </c>
      <c r="D507" t="inlineStr">
        <is>
          <t>UPPSALA LÄN</t>
        </is>
      </c>
      <c r="E507" t="inlineStr">
        <is>
          <t>UPPSALA</t>
        </is>
      </c>
      <c r="G507" t="n">
        <v>3.9</v>
      </c>
      <c r="H507" t="n">
        <v>0</v>
      </c>
      <c r="I507" t="n">
        <v>0</v>
      </c>
      <c r="J507" t="n">
        <v>0</v>
      </c>
      <c r="K507" t="n">
        <v>0</v>
      </c>
      <c r="L507" t="n">
        <v>0</v>
      </c>
      <c r="M507" t="n">
        <v>0</v>
      </c>
      <c r="N507" t="n">
        <v>0</v>
      </c>
      <c r="O507" t="n">
        <v>0</v>
      </c>
      <c r="P507" t="n">
        <v>0</v>
      </c>
      <c r="Q507" t="n">
        <v>0</v>
      </c>
      <c r="R507" s="2" t="inlineStr"/>
    </row>
    <row r="508" ht="15" customHeight="1">
      <c r="A508" t="inlineStr">
        <is>
          <t>A 27622-2023</t>
        </is>
      </c>
      <c r="B508" s="1" t="n">
        <v>45097</v>
      </c>
      <c r="C508" s="1" t="n">
        <v>45899</v>
      </c>
      <c r="D508" t="inlineStr">
        <is>
          <t>UPPSALA LÄN</t>
        </is>
      </c>
      <c r="E508" t="inlineStr">
        <is>
          <t>UPPSALA</t>
        </is>
      </c>
      <c r="G508" t="n">
        <v>3.2</v>
      </c>
      <c r="H508" t="n">
        <v>0</v>
      </c>
      <c r="I508" t="n">
        <v>0</v>
      </c>
      <c r="J508" t="n">
        <v>0</v>
      </c>
      <c r="K508" t="n">
        <v>0</v>
      </c>
      <c r="L508" t="n">
        <v>0</v>
      </c>
      <c r="M508" t="n">
        <v>0</v>
      </c>
      <c r="N508" t="n">
        <v>0</v>
      </c>
      <c r="O508" t="n">
        <v>0</v>
      </c>
      <c r="P508" t="n">
        <v>0</v>
      </c>
      <c r="Q508" t="n">
        <v>0</v>
      </c>
      <c r="R508" s="2" t="inlineStr"/>
    </row>
    <row r="509" ht="15" customHeight="1">
      <c r="A509" t="inlineStr">
        <is>
          <t>A 28275-2025</t>
        </is>
      </c>
      <c r="B509" s="1" t="n">
        <v>45818.57910879629</v>
      </c>
      <c r="C509" s="1" t="n">
        <v>45899</v>
      </c>
      <c r="D509" t="inlineStr">
        <is>
          <t>UPPSALA LÄN</t>
        </is>
      </c>
      <c r="E509" t="inlineStr">
        <is>
          <t>UPPSALA</t>
        </is>
      </c>
      <c r="F509" t="inlineStr">
        <is>
          <t>Holmen skog AB</t>
        </is>
      </c>
      <c r="G509" t="n">
        <v>6.5</v>
      </c>
      <c r="H509" t="n">
        <v>0</v>
      </c>
      <c r="I509" t="n">
        <v>0</v>
      </c>
      <c r="J509" t="n">
        <v>0</v>
      </c>
      <c r="K509" t="n">
        <v>0</v>
      </c>
      <c r="L509" t="n">
        <v>0</v>
      </c>
      <c r="M509" t="n">
        <v>0</v>
      </c>
      <c r="N509" t="n">
        <v>0</v>
      </c>
      <c r="O509" t="n">
        <v>0</v>
      </c>
      <c r="P509" t="n">
        <v>0</v>
      </c>
      <c r="Q509" t="n">
        <v>0</v>
      </c>
      <c r="R509" s="2" t="inlineStr"/>
    </row>
    <row r="510" ht="15" customHeight="1">
      <c r="A510" t="inlineStr">
        <is>
          <t>A 16434-2024</t>
        </is>
      </c>
      <c r="B510" s="1" t="n">
        <v>45407.69575231482</v>
      </c>
      <c r="C510" s="1" t="n">
        <v>45899</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265-2021</t>
        </is>
      </c>
      <c r="B511" s="1" t="n">
        <v>44200</v>
      </c>
      <c r="C511" s="1" t="n">
        <v>45899</v>
      </c>
      <c r="D511" t="inlineStr">
        <is>
          <t>UPPSALA LÄN</t>
        </is>
      </c>
      <c r="E511" t="inlineStr">
        <is>
          <t>UPPSALA</t>
        </is>
      </c>
      <c r="G511" t="n">
        <v>3.1</v>
      </c>
      <c r="H511" t="n">
        <v>0</v>
      </c>
      <c r="I511" t="n">
        <v>0</v>
      </c>
      <c r="J511" t="n">
        <v>0</v>
      </c>
      <c r="K511" t="n">
        <v>0</v>
      </c>
      <c r="L511" t="n">
        <v>0</v>
      </c>
      <c r="M511" t="n">
        <v>0</v>
      </c>
      <c r="N511" t="n">
        <v>0</v>
      </c>
      <c r="O511" t="n">
        <v>0</v>
      </c>
      <c r="P511" t="n">
        <v>0</v>
      </c>
      <c r="Q511" t="n">
        <v>0</v>
      </c>
      <c r="R511" s="2" t="inlineStr"/>
    </row>
    <row r="512" ht="15" customHeight="1">
      <c r="A512" t="inlineStr">
        <is>
          <t>A 44080-2023</t>
        </is>
      </c>
      <c r="B512" s="1" t="n">
        <v>45188.42052083334</v>
      </c>
      <c r="C512" s="1" t="n">
        <v>45899</v>
      </c>
      <c r="D512" t="inlineStr">
        <is>
          <t>UPPSALA LÄN</t>
        </is>
      </c>
      <c r="E512" t="inlineStr">
        <is>
          <t>UPPSALA</t>
        </is>
      </c>
      <c r="G512" t="n">
        <v>13.3</v>
      </c>
      <c r="H512" t="n">
        <v>0</v>
      </c>
      <c r="I512" t="n">
        <v>0</v>
      </c>
      <c r="J512" t="n">
        <v>0</v>
      </c>
      <c r="K512" t="n">
        <v>0</v>
      </c>
      <c r="L512" t="n">
        <v>0</v>
      </c>
      <c r="M512" t="n">
        <v>0</v>
      </c>
      <c r="N512" t="n">
        <v>0</v>
      </c>
      <c r="O512" t="n">
        <v>0</v>
      </c>
      <c r="P512" t="n">
        <v>0</v>
      </c>
      <c r="Q512" t="n">
        <v>0</v>
      </c>
      <c r="R512" s="2" t="inlineStr"/>
    </row>
    <row r="513" ht="15" customHeight="1">
      <c r="A513" t="inlineStr">
        <is>
          <t>A 53963-2023</t>
        </is>
      </c>
      <c r="B513" s="1" t="n">
        <v>45231.62840277778</v>
      </c>
      <c r="C513" s="1" t="n">
        <v>45899</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56679-2022</t>
        </is>
      </c>
      <c r="B514" s="1" t="n">
        <v>44893</v>
      </c>
      <c r="C514" s="1" t="n">
        <v>45899</v>
      </c>
      <c r="D514" t="inlineStr">
        <is>
          <t>UPPSALA LÄN</t>
        </is>
      </c>
      <c r="E514" t="inlineStr">
        <is>
          <t>UPPSALA</t>
        </is>
      </c>
      <c r="G514" t="n">
        <v>1.4</v>
      </c>
      <c r="H514" t="n">
        <v>0</v>
      </c>
      <c r="I514" t="n">
        <v>0</v>
      </c>
      <c r="J514" t="n">
        <v>0</v>
      </c>
      <c r="K514" t="n">
        <v>0</v>
      </c>
      <c r="L514" t="n">
        <v>0</v>
      </c>
      <c r="M514" t="n">
        <v>0</v>
      </c>
      <c r="N514" t="n">
        <v>0</v>
      </c>
      <c r="O514" t="n">
        <v>0</v>
      </c>
      <c r="P514" t="n">
        <v>0</v>
      </c>
      <c r="Q514" t="n">
        <v>0</v>
      </c>
      <c r="R514" s="2" t="inlineStr"/>
    </row>
    <row r="515" ht="15" customHeight="1">
      <c r="A515" t="inlineStr">
        <is>
          <t>A 10827-2024</t>
        </is>
      </c>
      <c r="B515" s="1" t="n">
        <v>45369</v>
      </c>
      <c r="C515" s="1" t="n">
        <v>45899</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61271-2020</t>
        </is>
      </c>
      <c r="B516" s="1" t="n">
        <v>44155</v>
      </c>
      <c r="C516" s="1" t="n">
        <v>45899</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59133-2022</t>
        </is>
      </c>
      <c r="B517" s="1" t="n">
        <v>44904</v>
      </c>
      <c r="C517" s="1" t="n">
        <v>45899</v>
      </c>
      <c r="D517" t="inlineStr">
        <is>
          <t>UPPSALA LÄN</t>
        </is>
      </c>
      <c r="E517" t="inlineStr">
        <is>
          <t>UPPSALA</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28121-2025</t>
        </is>
      </c>
      <c r="B518" s="1" t="n">
        <v>45817</v>
      </c>
      <c r="C518" s="1" t="n">
        <v>45899</v>
      </c>
      <c r="D518" t="inlineStr">
        <is>
          <t>UPPSALA LÄN</t>
        </is>
      </c>
      <c r="E518" t="inlineStr">
        <is>
          <t>UPPSALA</t>
        </is>
      </c>
      <c r="G518" t="n">
        <v>5.6</v>
      </c>
      <c r="H518" t="n">
        <v>0</v>
      </c>
      <c r="I518" t="n">
        <v>0</v>
      </c>
      <c r="J518" t="n">
        <v>0</v>
      </c>
      <c r="K518" t="n">
        <v>0</v>
      </c>
      <c r="L518" t="n">
        <v>0</v>
      </c>
      <c r="M518" t="n">
        <v>0</v>
      </c>
      <c r="N518" t="n">
        <v>0</v>
      </c>
      <c r="O518" t="n">
        <v>0</v>
      </c>
      <c r="P518" t="n">
        <v>0</v>
      </c>
      <c r="Q518" t="n">
        <v>0</v>
      </c>
      <c r="R518" s="2" t="inlineStr"/>
    </row>
    <row r="519" ht="15" customHeight="1">
      <c r="A519" t="inlineStr">
        <is>
          <t>A 2897-2025</t>
        </is>
      </c>
      <c r="B519" s="1" t="n">
        <v>45677</v>
      </c>
      <c r="C519" s="1" t="n">
        <v>45899</v>
      </c>
      <c r="D519" t="inlineStr">
        <is>
          <t>UPPSALA LÄN</t>
        </is>
      </c>
      <c r="E519" t="inlineStr">
        <is>
          <t>UPPSALA</t>
        </is>
      </c>
      <c r="G519" t="n">
        <v>2.7</v>
      </c>
      <c r="H519" t="n">
        <v>0</v>
      </c>
      <c r="I519" t="n">
        <v>0</v>
      </c>
      <c r="J519" t="n">
        <v>0</v>
      </c>
      <c r="K519" t="n">
        <v>0</v>
      </c>
      <c r="L519" t="n">
        <v>0</v>
      </c>
      <c r="M519" t="n">
        <v>0</v>
      </c>
      <c r="N519" t="n">
        <v>0</v>
      </c>
      <c r="O519" t="n">
        <v>0</v>
      </c>
      <c r="P519" t="n">
        <v>0</v>
      </c>
      <c r="Q519" t="n">
        <v>0</v>
      </c>
      <c r="R519" s="2" t="inlineStr"/>
    </row>
    <row r="520" ht="15" customHeight="1">
      <c r="A520" t="inlineStr">
        <is>
          <t>A 15310-2022</t>
        </is>
      </c>
      <c r="B520" s="1" t="n">
        <v>44659</v>
      </c>
      <c r="C520" s="1" t="n">
        <v>45899</v>
      </c>
      <c r="D520" t="inlineStr">
        <is>
          <t>UPPSALA LÄN</t>
        </is>
      </c>
      <c r="E520" t="inlineStr">
        <is>
          <t>UPPSALA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8162-2025</t>
        </is>
      </c>
      <c r="B521" s="1" t="n">
        <v>45707</v>
      </c>
      <c r="C521" s="1" t="n">
        <v>45899</v>
      </c>
      <c r="D521" t="inlineStr">
        <is>
          <t>UPPSALA LÄN</t>
        </is>
      </c>
      <c r="E521" t="inlineStr">
        <is>
          <t>UPPSALA</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28871-2025</t>
        </is>
      </c>
      <c r="B522" s="1" t="n">
        <v>45820</v>
      </c>
      <c r="C522" s="1" t="n">
        <v>45899</v>
      </c>
      <c r="D522" t="inlineStr">
        <is>
          <t>UPPSALA LÄN</t>
        </is>
      </c>
      <c r="E522" t="inlineStr">
        <is>
          <t>UPPSALA</t>
        </is>
      </c>
      <c r="G522" t="n">
        <v>6.5</v>
      </c>
      <c r="H522" t="n">
        <v>0</v>
      </c>
      <c r="I522" t="n">
        <v>0</v>
      </c>
      <c r="J522" t="n">
        <v>0</v>
      </c>
      <c r="K522" t="n">
        <v>0</v>
      </c>
      <c r="L522" t="n">
        <v>0</v>
      </c>
      <c r="M522" t="n">
        <v>0</v>
      </c>
      <c r="N522" t="n">
        <v>0</v>
      </c>
      <c r="O522" t="n">
        <v>0</v>
      </c>
      <c r="P522" t="n">
        <v>0</v>
      </c>
      <c r="Q522" t="n">
        <v>0</v>
      </c>
      <c r="R522" s="2" t="inlineStr"/>
    </row>
    <row r="523" ht="15" customHeight="1">
      <c r="A523" t="inlineStr">
        <is>
          <t>A 28878-2025</t>
        </is>
      </c>
      <c r="B523" s="1" t="n">
        <v>45820</v>
      </c>
      <c r="C523" s="1" t="n">
        <v>45899</v>
      </c>
      <c r="D523" t="inlineStr">
        <is>
          <t>UPPSALA LÄN</t>
        </is>
      </c>
      <c r="E523" t="inlineStr">
        <is>
          <t>UPPSALA</t>
        </is>
      </c>
      <c r="G523" t="n">
        <v>5.5</v>
      </c>
      <c r="H523" t="n">
        <v>0</v>
      </c>
      <c r="I523" t="n">
        <v>0</v>
      </c>
      <c r="J523" t="n">
        <v>0</v>
      </c>
      <c r="K523" t="n">
        <v>0</v>
      </c>
      <c r="L523" t="n">
        <v>0</v>
      </c>
      <c r="M523" t="n">
        <v>0</v>
      </c>
      <c r="N523" t="n">
        <v>0</v>
      </c>
      <c r="O523" t="n">
        <v>0</v>
      </c>
      <c r="P523" t="n">
        <v>0</v>
      </c>
      <c r="Q523" t="n">
        <v>0</v>
      </c>
      <c r="R523" s="2" t="inlineStr"/>
    </row>
    <row r="524" ht="15" customHeight="1">
      <c r="A524" t="inlineStr">
        <is>
          <t>A 27922-2025</t>
        </is>
      </c>
      <c r="B524" s="1" t="n">
        <v>45817</v>
      </c>
      <c r="C524" s="1" t="n">
        <v>45899</v>
      </c>
      <c r="D524" t="inlineStr">
        <is>
          <t>UPPSALA LÄN</t>
        </is>
      </c>
      <c r="E524" t="inlineStr">
        <is>
          <t>UPPSALA</t>
        </is>
      </c>
      <c r="F524" t="inlineStr">
        <is>
          <t>Övriga Aktiebolag</t>
        </is>
      </c>
      <c r="G524" t="n">
        <v>0.1</v>
      </c>
      <c r="H524" t="n">
        <v>0</v>
      </c>
      <c r="I524" t="n">
        <v>0</v>
      </c>
      <c r="J524" t="n">
        <v>0</v>
      </c>
      <c r="K524" t="n">
        <v>0</v>
      </c>
      <c r="L524" t="n">
        <v>0</v>
      </c>
      <c r="M524" t="n">
        <v>0</v>
      </c>
      <c r="N524" t="n">
        <v>0</v>
      </c>
      <c r="O524" t="n">
        <v>0</v>
      </c>
      <c r="P524" t="n">
        <v>0</v>
      </c>
      <c r="Q524" t="n">
        <v>0</v>
      </c>
      <c r="R524" s="2" t="inlineStr"/>
    </row>
    <row r="525" ht="15" customHeight="1">
      <c r="A525" t="inlineStr">
        <is>
          <t>A 6059-2025</t>
        </is>
      </c>
      <c r="B525" s="1" t="n">
        <v>45695.8391550926</v>
      </c>
      <c r="C525" s="1" t="n">
        <v>45899</v>
      </c>
      <c r="D525" t="inlineStr">
        <is>
          <t>UPPSALA LÄN</t>
        </is>
      </c>
      <c r="E525" t="inlineStr">
        <is>
          <t>UPPSALA</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6060-2025</t>
        </is>
      </c>
      <c r="B526" s="1" t="n">
        <v>45695.84078703704</v>
      </c>
      <c r="C526" s="1" t="n">
        <v>45899</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9201-2024</t>
        </is>
      </c>
      <c r="B527" s="1" t="n">
        <v>45358</v>
      </c>
      <c r="C527" s="1" t="n">
        <v>45899</v>
      </c>
      <c r="D527" t="inlineStr">
        <is>
          <t>UPPSALA LÄN</t>
        </is>
      </c>
      <c r="E527" t="inlineStr">
        <is>
          <t>UPPSALA</t>
        </is>
      </c>
      <c r="F527" t="inlineStr">
        <is>
          <t>Allmännings- och besparingsskogar</t>
        </is>
      </c>
      <c r="G527" t="n">
        <v>6.5</v>
      </c>
      <c r="H527" t="n">
        <v>0</v>
      </c>
      <c r="I527" t="n">
        <v>0</v>
      </c>
      <c r="J527" t="n">
        <v>0</v>
      </c>
      <c r="K527" t="n">
        <v>0</v>
      </c>
      <c r="L527" t="n">
        <v>0</v>
      </c>
      <c r="M527" t="n">
        <v>0</v>
      </c>
      <c r="N527" t="n">
        <v>0</v>
      </c>
      <c r="O527" t="n">
        <v>0</v>
      </c>
      <c r="P527" t="n">
        <v>0</v>
      </c>
      <c r="Q527" t="n">
        <v>0</v>
      </c>
      <c r="R527" s="2" t="inlineStr"/>
    </row>
    <row r="528" ht="15" customHeight="1">
      <c r="A528" t="inlineStr">
        <is>
          <t>A 12507-2024</t>
        </is>
      </c>
      <c r="B528" s="1" t="n">
        <v>45379</v>
      </c>
      <c r="C528" s="1" t="n">
        <v>45899</v>
      </c>
      <c r="D528" t="inlineStr">
        <is>
          <t>UPPSALA LÄN</t>
        </is>
      </c>
      <c r="E528" t="inlineStr">
        <is>
          <t>UPPSALA</t>
        </is>
      </c>
      <c r="G528" t="n">
        <v>4.6</v>
      </c>
      <c r="H528" t="n">
        <v>0</v>
      </c>
      <c r="I528" t="n">
        <v>0</v>
      </c>
      <c r="J528" t="n">
        <v>0</v>
      </c>
      <c r="K528" t="n">
        <v>0</v>
      </c>
      <c r="L528" t="n">
        <v>0</v>
      </c>
      <c r="M528" t="n">
        <v>0</v>
      </c>
      <c r="N528" t="n">
        <v>0</v>
      </c>
      <c r="O528" t="n">
        <v>0</v>
      </c>
      <c r="P528" t="n">
        <v>0</v>
      </c>
      <c r="Q528" t="n">
        <v>0</v>
      </c>
      <c r="R528" s="2" t="inlineStr"/>
    </row>
    <row r="529" ht="15" customHeight="1">
      <c r="A529" t="inlineStr">
        <is>
          <t>A 60702-2022</t>
        </is>
      </c>
      <c r="B529" s="1" t="n">
        <v>44912.29869212963</v>
      </c>
      <c r="C529" s="1" t="n">
        <v>45899</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1617-2021</t>
        </is>
      </c>
      <c r="B530" s="1" t="n">
        <v>44209</v>
      </c>
      <c r="C530" s="1" t="n">
        <v>45899</v>
      </c>
      <c r="D530" t="inlineStr">
        <is>
          <t>UPPSALA LÄN</t>
        </is>
      </c>
      <c r="E530" t="inlineStr">
        <is>
          <t>UPPSALA</t>
        </is>
      </c>
      <c r="G530" t="n">
        <v>2.5</v>
      </c>
      <c r="H530" t="n">
        <v>0</v>
      </c>
      <c r="I530" t="n">
        <v>0</v>
      </c>
      <c r="J530" t="n">
        <v>0</v>
      </c>
      <c r="K530" t="n">
        <v>0</v>
      </c>
      <c r="L530" t="n">
        <v>0</v>
      </c>
      <c r="M530" t="n">
        <v>0</v>
      </c>
      <c r="N530" t="n">
        <v>0</v>
      </c>
      <c r="O530" t="n">
        <v>0</v>
      </c>
      <c r="P530" t="n">
        <v>0</v>
      </c>
      <c r="Q530" t="n">
        <v>0</v>
      </c>
      <c r="R530" s="2" t="inlineStr"/>
    </row>
    <row r="531" ht="15" customHeight="1">
      <c r="A531" t="inlineStr">
        <is>
          <t>A 8933-2022</t>
        </is>
      </c>
      <c r="B531" s="1" t="n">
        <v>44614.69730324074</v>
      </c>
      <c r="C531" s="1" t="n">
        <v>45899</v>
      </c>
      <c r="D531" t="inlineStr">
        <is>
          <t>UPPSALA LÄN</t>
        </is>
      </c>
      <c r="E531" t="inlineStr">
        <is>
          <t>UPPSALA</t>
        </is>
      </c>
      <c r="F531" t="inlineStr">
        <is>
          <t>Holmen skog AB</t>
        </is>
      </c>
      <c r="G531" t="n">
        <v>3.6</v>
      </c>
      <c r="H531" t="n">
        <v>0</v>
      </c>
      <c r="I531" t="n">
        <v>0</v>
      </c>
      <c r="J531" t="n">
        <v>0</v>
      </c>
      <c r="K531" t="n">
        <v>0</v>
      </c>
      <c r="L531" t="n">
        <v>0</v>
      </c>
      <c r="M531" t="n">
        <v>0</v>
      </c>
      <c r="N531" t="n">
        <v>0</v>
      </c>
      <c r="O531" t="n">
        <v>0</v>
      </c>
      <c r="P531" t="n">
        <v>0</v>
      </c>
      <c r="Q531" t="n">
        <v>0</v>
      </c>
      <c r="R531" s="2" t="inlineStr"/>
    </row>
    <row r="532" ht="15" customHeight="1">
      <c r="A532" t="inlineStr">
        <is>
          <t>A 4993-2025</t>
        </is>
      </c>
      <c r="B532" s="1" t="n">
        <v>45691</v>
      </c>
      <c r="C532" s="1" t="n">
        <v>45899</v>
      </c>
      <c r="D532" t="inlineStr">
        <is>
          <t>UPPSALA LÄN</t>
        </is>
      </c>
      <c r="E532" t="inlineStr">
        <is>
          <t>UPPSALA</t>
        </is>
      </c>
      <c r="F532" t="inlineStr">
        <is>
          <t>Kyrkan</t>
        </is>
      </c>
      <c r="G532" t="n">
        <v>6.7</v>
      </c>
      <c r="H532" t="n">
        <v>0</v>
      </c>
      <c r="I532" t="n">
        <v>0</v>
      </c>
      <c r="J532" t="n">
        <v>0</v>
      </c>
      <c r="K532" t="n">
        <v>0</v>
      </c>
      <c r="L532" t="n">
        <v>0</v>
      </c>
      <c r="M532" t="n">
        <v>0</v>
      </c>
      <c r="N532" t="n">
        <v>0</v>
      </c>
      <c r="O532" t="n">
        <v>0</v>
      </c>
      <c r="P532" t="n">
        <v>0</v>
      </c>
      <c r="Q532" t="n">
        <v>0</v>
      </c>
      <c r="R532" s="2" t="inlineStr"/>
    </row>
    <row r="533" ht="15" customHeight="1">
      <c r="A533" t="inlineStr">
        <is>
          <t>A 28876-2025</t>
        </is>
      </c>
      <c r="B533" s="1" t="n">
        <v>45820</v>
      </c>
      <c r="C533" s="1" t="n">
        <v>45899</v>
      </c>
      <c r="D533" t="inlineStr">
        <is>
          <t>UPPSALA LÄN</t>
        </is>
      </c>
      <c r="E533" t="inlineStr">
        <is>
          <t>UPPSALA</t>
        </is>
      </c>
      <c r="G533" t="n">
        <v>4</v>
      </c>
      <c r="H533" t="n">
        <v>0</v>
      </c>
      <c r="I533" t="n">
        <v>0</v>
      </c>
      <c r="J533" t="n">
        <v>0</v>
      </c>
      <c r="K533" t="n">
        <v>0</v>
      </c>
      <c r="L533" t="n">
        <v>0</v>
      </c>
      <c r="M533" t="n">
        <v>0</v>
      </c>
      <c r="N533" t="n">
        <v>0</v>
      </c>
      <c r="O533" t="n">
        <v>0</v>
      </c>
      <c r="P533" t="n">
        <v>0</v>
      </c>
      <c r="Q533" t="n">
        <v>0</v>
      </c>
      <c r="R533" s="2" t="inlineStr"/>
    </row>
    <row r="534" ht="15" customHeight="1">
      <c r="A534" t="inlineStr">
        <is>
          <t>A 21859-2024</t>
        </is>
      </c>
      <c r="B534" s="1" t="n">
        <v>45443</v>
      </c>
      <c r="C534" s="1" t="n">
        <v>45899</v>
      </c>
      <c r="D534" t="inlineStr">
        <is>
          <t>UPPSALA LÄN</t>
        </is>
      </c>
      <c r="E534" t="inlineStr">
        <is>
          <t>UPPSALA</t>
        </is>
      </c>
      <c r="F534" t="inlineStr">
        <is>
          <t>Kyrkan</t>
        </is>
      </c>
      <c r="G534" t="n">
        <v>1.4</v>
      </c>
      <c r="H534" t="n">
        <v>0</v>
      </c>
      <c r="I534" t="n">
        <v>0</v>
      </c>
      <c r="J534" t="n">
        <v>0</v>
      </c>
      <c r="K534" t="n">
        <v>0</v>
      </c>
      <c r="L534" t="n">
        <v>0</v>
      </c>
      <c r="M534" t="n">
        <v>0</v>
      </c>
      <c r="N534" t="n">
        <v>0</v>
      </c>
      <c r="O534" t="n">
        <v>0</v>
      </c>
      <c r="P534" t="n">
        <v>0</v>
      </c>
      <c r="Q534" t="n">
        <v>0</v>
      </c>
      <c r="R534" s="2" t="inlineStr"/>
    </row>
    <row r="535" ht="15" customHeight="1">
      <c r="A535" t="inlineStr">
        <is>
          <t>A 35978-2025</t>
        </is>
      </c>
      <c r="B535" s="1" t="n">
        <v>45863.44648148148</v>
      </c>
      <c r="C535" s="1" t="n">
        <v>45899</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6930-2023</t>
        </is>
      </c>
      <c r="B536" s="1" t="n">
        <v>44967.55960648148</v>
      </c>
      <c r="C536" s="1" t="n">
        <v>45899</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33939-2024</t>
        </is>
      </c>
      <c r="B537" s="1" t="n">
        <v>45523</v>
      </c>
      <c r="C537" s="1" t="n">
        <v>45899</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29047-2025</t>
        </is>
      </c>
      <c r="B538" s="1" t="n">
        <v>45821.45905092593</v>
      </c>
      <c r="C538" s="1" t="n">
        <v>45899</v>
      </c>
      <c r="D538" t="inlineStr">
        <is>
          <t>UPPSALA LÄN</t>
        </is>
      </c>
      <c r="E538" t="inlineStr">
        <is>
          <t>UPPSALA</t>
        </is>
      </c>
      <c r="G538" t="n">
        <v>1.3</v>
      </c>
      <c r="H538" t="n">
        <v>0</v>
      </c>
      <c r="I538" t="n">
        <v>0</v>
      </c>
      <c r="J538" t="n">
        <v>0</v>
      </c>
      <c r="K538" t="n">
        <v>0</v>
      </c>
      <c r="L538" t="n">
        <v>0</v>
      </c>
      <c r="M538" t="n">
        <v>0</v>
      </c>
      <c r="N538" t="n">
        <v>0</v>
      </c>
      <c r="O538" t="n">
        <v>0</v>
      </c>
      <c r="P538" t="n">
        <v>0</v>
      </c>
      <c r="Q538" t="n">
        <v>0</v>
      </c>
      <c r="R538" s="2" t="inlineStr"/>
    </row>
    <row r="539" ht="15" customHeight="1">
      <c r="A539" t="inlineStr">
        <is>
          <t>A 29287-2025</t>
        </is>
      </c>
      <c r="B539" s="1" t="n">
        <v>45824.43798611111</v>
      </c>
      <c r="C539" s="1" t="n">
        <v>45899</v>
      </c>
      <c r="D539" t="inlineStr">
        <is>
          <t>UPPSALA LÄN</t>
        </is>
      </c>
      <c r="E539" t="inlineStr">
        <is>
          <t>UPPSALA</t>
        </is>
      </c>
      <c r="F539" t="inlineStr">
        <is>
          <t>Kyrkan</t>
        </is>
      </c>
      <c r="G539" t="n">
        <v>5.2</v>
      </c>
      <c r="H539" t="n">
        <v>0</v>
      </c>
      <c r="I539" t="n">
        <v>0</v>
      </c>
      <c r="J539" t="n">
        <v>0</v>
      </c>
      <c r="K539" t="n">
        <v>0</v>
      </c>
      <c r="L539" t="n">
        <v>0</v>
      </c>
      <c r="M539" t="n">
        <v>0</v>
      </c>
      <c r="N539" t="n">
        <v>0</v>
      </c>
      <c r="O539" t="n">
        <v>0</v>
      </c>
      <c r="P539" t="n">
        <v>0</v>
      </c>
      <c r="Q539" t="n">
        <v>0</v>
      </c>
      <c r="R539" s="2" t="inlineStr"/>
    </row>
    <row r="540" ht="15" customHeight="1">
      <c r="A540" t="inlineStr">
        <is>
          <t>A 29030-2025</t>
        </is>
      </c>
      <c r="B540" s="1" t="n">
        <v>45821.44101851852</v>
      </c>
      <c r="C540" s="1" t="n">
        <v>45899</v>
      </c>
      <c r="D540" t="inlineStr">
        <is>
          <t>UPPSALA LÄN</t>
        </is>
      </c>
      <c r="E540" t="inlineStr">
        <is>
          <t>UPPSALA</t>
        </is>
      </c>
      <c r="G540" t="n">
        <v>3.9</v>
      </c>
      <c r="H540" t="n">
        <v>0</v>
      </c>
      <c r="I540" t="n">
        <v>0</v>
      </c>
      <c r="J540" t="n">
        <v>0</v>
      </c>
      <c r="K540" t="n">
        <v>0</v>
      </c>
      <c r="L540" t="n">
        <v>0</v>
      </c>
      <c r="M540" t="n">
        <v>0</v>
      </c>
      <c r="N540" t="n">
        <v>0</v>
      </c>
      <c r="O540" t="n">
        <v>0</v>
      </c>
      <c r="P540" t="n">
        <v>0</v>
      </c>
      <c r="Q540" t="n">
        <v>0</v>
      </c>
      <c r="R540" s="2" t="inlineStr"/>
    </row>
    <row r="541" ht="15" customHeight="1">
      <c r="A541" t="inlineStr">
        <is>
          <t>A 35984-2025</t>
        </is>
      </c>
      <c r="B541" s="1" t="n">
        <v>45863.45355324074</v>
      </c>
      <c r="C541" s="1" t="n">
        <v>45899</v>
      </c>
      <c r="D541" t="inlineStr">
        <is>
          <t>UPPSALA LÄN</t>
        </is>
      </c>
      <c r="E541" t="inlineStr">
        <is>
          <t>UPPSALA</t>
        </is>
      </c>
      <c r="G541" t="n">
        <v>6.1</v>
      </c>
      <c r="H541" t="n">
        <v>0</v>
      </c>
      <c r="I541" t="n">
        <v>0</v>
      </c>
      <c r="J541" t="n">
        <v>0</v>
      </c>
      <c r="K541" t="n">
        <v>0</v>
      </c>
      <c r="L541" t="n">
        <v>0</v>
      </c>
      <c r="M541" t="n">
        <v>0</v>
      </c>
      <c r="N541" t="n">
        <v>0</v>
      </c>
      <c r="O541" t="n">
        <v>0</v>
      </c>
      <c r="P541" t="n">
        <v>0</v>
      </c>
      <c r="Q541" t="n">
        <v>0</v>
      </c>
      <c r="R541" s="2" t="inlineStr"/>
    </row>
    <row r="542" ht="15" customHeight="1">
      <c r="A542" t="inlineStr">
        <is>
          <t>A 10612-2025</t>
        </is>
      </c>
      <c r="B542" s="1" t="n">
        <v>45721.60894675926</v>
      </c>
      <c r="C542" s="1" t="n">
        <v>45899</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59489-2023</t>
        </is>
      </c>
      <c r="B543" s="1" t="n">
        <v>45254</v>
      </c>
      <c r="C543" s="1" t="n">
        <v>45899</v>
      </c>
      <c r="D543" t="inlineStr">
        <is>
          <t>UPPSALA LÄN</t>
        </is>
      </c>
      <c r="E543" t="inlineStr">
        <is>
          <t>UPPSALA</t>
        </is>
      </c>
      <c r="G543" t="n">
        <v>6.5</v>
      </c>
      <c r="H543" t="n">
        <v>0</v>
      </c>
      <c r="I543" t="n">
        <v>0</v>
      </c>
      <c r="J543" t="n">
        <v>0</v>
      </c>
      <c r="K543" t="n">
        <v>0</v>
      </c>
      <c r="L543" t="n">
        <v>0</v>
      </c>
      <c r="M543" t="n">
        <v>0</v>
      </c>
      <c r="N543" t="n">
        <v>0</v>
      </c>
      <c r="O543" t="n">
        <v>0</v>
      </c>
      <c r="P543" t="n">
        <v>0</v>
      </c>
      <c r="Q543" t="n">
        <v>0</v>
      </c>
      <c r="R543" s="2" t="inlineStr"/>
    </row>
    <row r="544" ht="15" customHeight="1">
      <c r="A544" t="inlineStr">
        <is>
          <t>A 7376-2025</t>
        </is>
      </c>
      <c r="B544" s="1" t="n">
        <v>45705.2953125</v>
      </c>
      <c r="C544" s="1" t="n">
        <v>45899</v>
      </c>
      <c r="D544" t="inlineStr">
        <is>
          <t>UPPSALA LÄN</t>
        </is>
      </c>
      <c r="E544" t="inlineStr">
        <is>
          <t>UPPSALA</t>
        </is>
      </c>
      <c r="F544" t="inlineStr">
        <is>
          <t>Bergvik skog väst AB</t>
        </is>
      </c>
      <c r="G544" t="n">
        <v>7.4</v>
      </c>
      <c r="H544" t="n">
        <v>0</v>
      </c>
      <c r="I544" t="n">
        <v>0</v>
      </c>
      <c r="J544" t="n">
        <v>0</v>
      </c>
      <c r="K544" t="n">
        <v>0</v>
      </c>
      <c r="L544" t="n">
        <v>0</v>
      </c>
      <c r="M544" t="n">
        <v>0</v>
      </c>
      <c r="N544" t="n">
        <v>0</v>
      </c>
      <c r="O544" t="n">
        <v>0</v>
      </c>
      <c r="P544" t="n">
        <v>0</v>
      </c>
      <c r="Q544" t="n">
        <v>0</v>
      </c>
      <c r="R544" s="2" t="inlineStr"/>
    </row>
    <row r="545" ht="15" customHeight="1">
      <c r="A545" t="inlineStr">
        <is>
          <t>A 20418-2025</t>
        </is>
      </c>
      <c r="B545" s="1" t="n">
        <v>45775.46377314815</v>
      </c>
      <c r="C545" s="1" t="n">
        <v>45899</v>
      </c>
      <c r="D545" t="inlineStr">
        <is>
          <t>UPPSALA LÄN</t>
        </is>
      </c>
      <c r="E545" t="inlineStr">
        <is>
          <t>UPPSALA</t>
        </is>
      </c>
      <c r="F545" t="inlineStr">
        <is>
          <t>Allmännings- och besparingsskogar</t>
        </is>
      </c>
      <c r="G545" t="n">
        <v>5.2</v>
      </c>
      <c r="H545" t="n">
        <v>0</v>
      </c>
      <c r="I545" t="n">
        <v>0</v>
      </c>
      <c r="J545" t="n">
        <v>0</v>
      </c>
      <c r="K545" t="n">
        <v>0</v>
      </c>
      <c r="L545" t="n">
        <v>0</v>
      </c>
      <c r="M545" t="n">
        <v>0</v>
      </c>
      <c r="N545" t="n">
        <v>0</v>
      </c>
      <c r="O545" t="n">
        <v>0</v>
      </c>
      <c r="P545" t="n">
        <v>0</v>
      </c>
      <c r="Q545" t="n">
        <v>0</v>
      </c>
      <c r="R545" s="2" t="inlineStr"/>
    </row>
    <row r="546" ht="15" customHeight="1">
      <c r="A546" t="inlineStr">
        <is>
          <t>A 47287-2023</t>
        </is>
      </c>
      <c r="B546" s="1" t="n">
        <v>45202</v>
      </c>
      <c r="C546" s="1" t="n">
        <v>45899</v>
      </c>
      <c r="D546" t="inlineStr">
        <is>
          <t>UPPSALA LÄN</t>
        </is>
      </c>
      <c r="E546" t="inlineStr">
        <is>
          <t>UPPSALA</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50395-2023</t>
        </is>
      </c>
      <c r="B547" s="1" t="n">
        <v>45216</v>
      </c>
      <c r="C547" s="1" t="n">
        <v>45899</v>
      </c>
      <c r="D547" t="inlineStr">
        <is>
          <t>UPPSALA LÄN</t>
        </is>
      </c>
      <c r="E547" t="inlineStr">
        <is>
          <t>UPPSALA</t>
        </is>
      </c>
      <c r="G547" t="n">
        <v>2.3</v>
      </c>
      <c r="H547" t="n">
        <v>0</v>
      </c>
      <c r="I547" t="n">
        <v>0</v>
      </c>
      <c r="J547" t="n">
        <v>0</v>
      </c>
      <c r="K547" t="n">
        <v>0</v>
      </c>
      <c r="L547" t="n">
        <v>0</v>
      </c>
      <c r="M547" t="n">
        <v>0</v>
      </c>
      <c r="N547" t="n">
        <v>0</v>
      </c>
      <c r="O547" t="n">
        <v>0</v>
      </c>
      <c r="P547" t="n">
        <v>0</v>
      </c>
      <c r="Q547" t="n">
        <v>0</v>
      </c>
      <c r="R547" s="2" t="inlineStr"/>
    </row>
    <row r="548" ht="15" customHeight="1">
      <c r="A548" t="inlineStr">
        <is>
          <t>A 50473-2023</t>
        </is>
      </c>
      <c r="B548" s="1" t="n">
        <v>45216</v>
      </c>
      <c r="C548" s="1" t="n">
        <v>45899</v>
      </c>
      <c r="D548" t="inlineStr">
        <is>
          <t>UPPSALA LÄN</t>
        </is>
      </c>
      <c r="E548" t="inlineStr">
        <is>
          <t>UPPSALA</t>
        </is>
      </c>
      <c r="F548" t="inlineStr">
        <is>
          <t>Allmännings- och besparingsskogar</t>
        </is>
      </c>
      <c r="G548" t="n">
        <v>7.6</v>
      </c>
      <c r="H548" t="n">
        <v>0</v>
      </c>
      <c r="I548" t="n">
        <v>0</v>
      </c>
      <c r="J548" t="n">
        <v>0</v>
      </c>
      <c r="K548" t="n">
        <v>0</v>
      </c>
      <c r="L548" t="n">
        <v>0</v>
      </c>
      <c r="M548" t="n">
        <v>0</v>
      </c>
      <c r="N548" t="n">
        <v>0</v>
      </c>
      <c r="O548" t="n">
        <v>0</v>
      </c>
      <c r="P548" t="n">
        <v>0</v>
      </c>
      <c r="Q548" t="n">
        <v>0</v>
      </c>
      <c r="R548" s="2" t="inlineStr"/>
    </row>
    <row r="549" ht="15" customHeight="1">
      <c r="A549" t="inlineStr">
        <is>
          <t>A 41002-2023</t>
        </is>
      </c>
      <c r="B549" s="1" t="n">
        <v>45173</v>
      </c>
      <c r="C549" s="1" t="n">
        <v>45899</v>
      </c>
      <c r="D549" t="inlineStr">
        <is>
          <t>UPPSALA LÄN</t>
        </is>
      </c>
      <c r="E549" t="inlineStr">
        <is>
          <t>UPPSALA</t>
        </is>
      </c>
      <c r="G549" t="n">
        <v>6.2</v>
      </c>
      <c r="H549" t="n">
        <v>0</v>
      </c>
      <c r="I549" t="n">
        <v>0</v>
      </c>
      <c r="J549" t="n">
        <v>0</v>
      </c>
      <c r="K549" t="n">
        <v>0</v>
      </c>
      <c r="L549" t="n">
        <v>0</v>
      </c>
      <c r="M549" t="n">
        <v>0</v>
      </c>
      <c r="N549" t="n">
        <v>0</v>
      </c>
      <c r="O549" t="n">
        <v>0</v>
      </c>
      <c r="P549" t="n">
        <v>0</v>
      </c>
      <c r="Q549" t="n">
        <v>0</v>
      </c>
      <c r="R549" s="2" t="inlineStr"/>
    </row>
    <row r="550" ht="15" customHeight="1">
      <c r="A550" t="inlineStr">
        <is>
          <t>A 56084-2024</t>
        </is>
      </c>
      <c r="B550" s="1" t="n">
        <v>45624</v>
      </c>
      <c r="C550" s="1" t="n">
        <v>45899</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29627-2025</t>
        </is>
      </c>
      <c r="B551" s="1" t="n">
        <v>45825.44482638889</v>
      </c>
      <c r="C551" s="1" t="n">
        <v>45899</v>
      </c>
      <c r="D551" t="inlineStr">
        <is>
          <t>UPPSALA LÄN</t>
        </is>
      </c>
      <c r="E551" t="inlineStr">
        <is>
          <t>UPPSALA</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5725-2025</t>
        </is>
      </c>
      <c r="B552" s="1" t="n">
        <v>45694</v>
      </c>
      <c r="C552" s="1" t="n">
        <v>45899</v>
      </c>
      <c r="D552" t="inlineStr">
        <is>
          <t>UPPSALA LÄN</t>
        </is>
      </c>
      <c r="E552" t="inlineStr">
        <is>
          <t>UPPSALA</t>
        </is>
      </c>
      <c r="G552" t="n">
        <v>1.3</v>
      </c>
      <c r="H552" t="n">
        <v>0</v>
      </c>
      <c r="I552" t="n">
        <v>0</v>
      </c>
      <c r="J552" t="n">
        <v>0</v>
      </c>
      <c r="K552" t="n">
        <v>0</v>
      </c>
      <c r="L552" t="n">
        <v>0</v>
      </c>
      <c r="M552" t="n">
        <v>0</v>
      </c>
      <c r="N552" t="n">
        <v>0</v>
      </c>
      <c r="O552" t="n">
        <v>0</v>
      </c>
      <c r="P552" t="n">
        <v>0</v>
      </c>
      <c r="Q552" t="n">
        <v>0</v>
      </c>
      <c r="R552" s="2" t="inlineStr"/>
    </row>
    <row r="553" ht="15" customHeight="1">
      <c r="A553" t="inlineStr">
        <is>
          <t>A 29664-2025</t>
        </is>
      </c>
      <c r="B553" s="1" t="n">
        <v>45825.49060185185</v>
      </c>
      <c r="C553" s="1" t="n">
        <v>45899</v>
      </c>
      <c r="D553" t="inlineStr">
        <is>
          <t>UPPSALA LÄN</t>
        </is>
      </c>
      <c r="E553" t="inlineStr">
        <is>
          <t>UPPSALA</t>
        </is>
      </c>
      <c r="F553" t="inlineStr">
        <is>
          <t>Holmen skog AB</t>
        </is>
      </c>
      <c r="G553" t="n">
        <v>16.8</v>
      </c>
      <c r="H553" t="n">
        <v>0</v>
      </c>
      <c r="I553" t="n">
        <v>0</v>
      </c>
      <c r="J553" t="n">
        <v>0</v>
      </c>
      <c r="K553" t="n">
        <v>0</v>
      </c>
      <c r="L553" t="n">
        <v>0</v>
      </c>
      <c r="M553" t="n">
        <v>0</v>
      </c>
      <c r="N553" t="n">
        <v>0</v>
      </c>
      <c r="O553" t="n">
        <v>0</v>
      </c>
      <c r="P553" t="n">
        <v>0</v>
      </c>
      <c r="Q553" t="n">
        <v>0</v>
      </c>
      <c r="R553" s="2" t="inlineStr"/>
    </row>
    <row r="554" ht="15" customHeight="1">
      <c r="A554" t="inlineStr">
        <is>
          <t>A 30429-2025</t>
        </is>
      </c>
      <c r="B554" s="1" t="n">
        <v>45827.62096064815</v>
      </c>
      <c r="C554" s="1" t="n">
        <v>45899</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4059-2022</t>
        </is>
      </c>
      <c r="B555" s="1" t="n">
        <v>44588</v>
      </c>
      <c r="C555" s="1" t="n">
        <v>45899</v>
      </c>
      <c r="D555" t="inlineStr">
        <is>
          <t>UPPSALA LÄN</t>
        </is>
      </c>
      <c r="E555" t="inlineStr">
        <is>
          <t>UPPSALA</t>
        </is>
      </c>
      <c r="G555" t="n">
        <v>0.5</v>
      </c>
      <c r="H555" t="n">
        <v>0</v>
      </c>
      <c r="I555" t="n">
        <v>0</v>
      </c>
      <c r="J555" t="n">
        <v>0</v>
      </c>
      <c r="K555" t="n">
        <v>0</v>
      </c>
      <c r="L555" t="n">
        <v>0</v>
      </c>
      <c r="M555" t="n">
        <v>0</v>
      </c>
      <c r="N555" t="n">
        <v>0</v>
      </c>
      <c r="O555" t="n">
        <v>0</v>
      </c>
      <c r="P555" t="n">
        <v>0</v>
      </c>
      <c r="Q555" t="n">
        <v>0</v>
      </c>
      <c r="R555" s="2" t="inlineStr"/>
    </row>
    <row r="556" ht="15" customHeight="1">
      <c r="A556" t="inlineStr">
        <is>
          <t>A 12209-2025</t>
        </is>
      </c>
      <c r="B556" s="1" t="n">
        <v>45729</v>
      </c>
      <c r="C556" s="1" t="n">
        <v>45899</v>
      </c>
      <c r="D556" t="inlineStr">
        <is>
          <t>UPPSALA LÄN</t>
        </is>
      </c>
      <c r="E556" t="inlineStr">
        <is>
          <t>UPPSALA</t>
        </is>
      </c>
      <c r="G556" t="n">
        <v>1.5</v>
      </c>
      <c r="H556" t="n">
        <v>0</v>
      </c>
      <c r="I556" t="n">
        <v>0</v>
      </c>
      <c r="J556" t="n">
        <v>0</v>
      </c>
      <c r="K556" t="n">
        <v>0</v>
      </c>
      <c r="L556" t="n">
        <v>0</v>
      </c>
      <c r="M556" t="n">
        <v>0</v>
      </c>
      <c r="N556" t="n">
        <v>0</v>
      </c>
      <c r="O556" t="n">
        <v>0</v>
      </c>
      <c r="P556" t="n">
        <v>0</v>
      </c>
      <c r="Q556" t="n">
        <v>0</v>
      </c>
      <c r="R556" s="2" t="inlineStr"/>
    </row>
    <row r="557" ht="15" customHeight="1">
      <c r="A557" t="inlineStr">
        <is>
          <t>A 12211-2025</t>
        </is>
      </c>
      <c r="B557" s="1" t="n">
        <v>45729</v>
      </c>
      <c r="C557" s="1" t="n">
        <v>45899</v>
      </c>
      <c r="D557" t="inlineStr">
        <is>
          <t>UPPSALA LÄN</t>
        </is>
      </c>
      <c r="E557" t="inlineStr">
        <is>
          <t>UPPSALA</t>
        </is>
      </c>
      <c r="G557" t="n">
        <v>3.6</v>
      </c>
      <c r="H557" t="n">
        <v>0</v>
      </c>
      <c r="I557" t="n">
        <v>0</v>
      </c>
      <c r="J557" t="n">
        <v>0</v>
      </c>
      <c r="K557" t="n">
        <v>0</v>
      </c>
      <c r="L557" t="n">
        <v>0</v>
      </c>
      <c r="M557" t="n">
        <v>0</v>
      </c>
      <c r="N557" t="n">
        <v>0</v>
      </c>
      <c r="O557" t="n">
        <v>0</v>
      </c>
      <c r="P557" t="n">
        <v>0</v>
      </c>
      <c r="Q557" t="n">
        <v>0</v>
      </c>
      <c r="R557" s="2" t="inlineStr"/>
    </row>
    <row r="558" ht="15" customHeight="1">
      <c r="A558" t="inlineStr">
        <is>
          <t>A 48564-2023</t>
        </is>
      </c>
      <c r="B558" s="1" t="n">
        <v>45208.4350462963</v>
      </c>
      <c r="C558" s="1" t="n">
        <v>45899</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30437-2025</t>
        </is>
      </c>
      <c r="B559" s="1" t="n">
        <v>45827.64092592592</v>
      </c>
      <c r="C559" s="1" t="n">
        <v>45899</v>
      </c>
      <c r="D559" t="inlineStr">
        <is>
          <t>UPPSALA LÄN</t>
        </is>
      </c>
      <c r="E559" t="inlineStr">
        <is>
          <t>UPPSALA</t>
        </is>
      </c>
      <c r="G559" t="n">
        <v>3.6</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45899</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7501-2025</t>
        </is>
      </c>
      <c r="B561" s="1" t="n">
        <v>45705</v>
      </c>
      <c r="C561" s="1" t="n">
        <v>45899</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62352-2020</t>
        </is>
      </c>
      <c r="B562" s="1" t="n">
        <v>44159</v>
      </c>
      <c r="C562" s="1" t="n">
        <v>45899</v>
      </c>
      <c r="D562" t="inlineStr">
        <is>
          <t>UPPSALA LÄN</t>
        </is>
      </c>
      <c r="E562" t="inlineStr">
        <is>
          <t>UPPSALA</t>
        </is>
      </c>
      <c r="F562" t="inlineStr">
        <is>
          <t>Allmännings- och besparingsskogar</t>
        </is>
      </c>
      <c r="G562" t="n">
        <v>12.9</v>
      </c>
      <c r="H562" t="n">
        <v>0</v>
      </c>
      <c r="I562" t="n">
        <v>0</v>
      </c>
      <c r="J562" t="n">
        <v>0</v>
      </c>
      <c r="K562" t="n">
        <v>0</v>
      </c>
      <c r="L562" t="n">
        <v>0</v>
      </c>
      <c r="M562" t="n">
        <v>0</v>
      </c>
      <c r="N562" t="n">
        <v>0</v>
      </c>
      <c r="O562" t="n">
        <v>0</v>
      </c>
      <c r="P562" t="n">
        <v>0</v>
      </c>
      <c r="Q562" t="n">
        <v>0</v>
      </c>
      <c r="R562" s="2" t="inlineStr"/>
    </row>
    <row r="563" ht="15" customHeight="1">
      <c r="A563" t="inlineStr">
        <is>
          <t>A 30282-2025</t>
        </is>
      </c>
      <c r="B563" s="1" t="n">
        <v>45827.46288194445</v>
      </c>
      <c r="C563" s="1" t="n">
        <v>45899</v>
      </c>
      <c r="D563" t="inlineStr">
        <is>
          <t>UPPSALA LÄN</t>
        </is>
      </c>
      <c r="E563" t="inlineStr">
        <is>
          <t>UPPSALA</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13644-2024</t>
        </is>
      </c>
      <c r="B564" s="1" t="n">
        <v>45390</v>
      </c>
      <c r="C564" s="1" t="n">
        <v>45899</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9592-2022</t>
        </is>
      </c>
      <c r="B565" s="1" t="n">
        <v>44617.48311342593</v>
      </c>
      <c r="C565" s="1" t="n">
        <v>45899</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37010-2025</t>
        </is>
      </c>
      <c r="B566" s="1" t="n">
        <v>45874.705</v>
      </c>
      <c r="C566" s="1" t="n">
        <v>45899</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42273-2023</t>
        </is>
      </c>
      <c r="B567" s="1" t="n">
        <v>45180.40255787037</v>
      </c>
      <c r="C567" s="1" t="n">
        <v>45899</v>
      </c>
      <c r="D567" t="inlineStr">
        <is>
          <t>UPPSALA LÄN</t>
        </is>
      </c>
      <c r="E567" t="inlineStr">
        <is>
          <t>UPPSALA</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8494-2021</t>
        </is>
      </c>
      <c r="B568" s="1" t="n">
        <v>44245</v>
      </c>
      <c r="C568" s="1" t="n">
        <v>45899</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30583-2025</t>
        </is>
      </c>
      <c r="B569" s="1" t="n">
        <v>45831.42365740741</v>
      </c>
      <c r="C569" s="1" t="n">
        <v>45899</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30585-2025</t>
        </is>
      </c>
      <c r="B570" s="1" t="n">
        <v>45831.42616898148</v>
      </c>
      <c r="C570" s="1" t="n">
        <v>45899</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30839-2025</t>
        </is>
      </c>
      <c r="B571" s="1" t="n">
        <v>45831.73</v>
      </c>
      <c r="C571" s="1" t="n">
        <v>45899</v>
      </c>
      <c r="D571" t="inlineStr">
        <is>
          <t>UPPSALA LÄN</t>
        </is>
      </c>
      <c r="E571" t="inlineStr">
        <is>
          <t>UPPSALA</t>
        </is>
      </c>
      <c r="F571" t="inlineStr">
        <is>
          <t>Kyrkan</t>
        </is>
      </c>
      <c r="G571" t="n">
        <v>2.2</v>
      </c>
      <c r="H571" t="n">
        <v>0</v>
      </c>
      <c r="I571" t="n">
        <v>0</v>
      </c>
      <c r="J571" t="n">
        <v>0</v>
      </c>
      <c r="K571" t="n">
        <v>0</v>
      </c>
      <c r="L571" t="n">
        <v>0</v>
      </c>
      <c r="M571" t="n">
        <v>0</v>
      </c>
      <c r="N571" t="n">
        <v>0</v>
      </c>
      <c r="O571" t="n">
        <v>0</v>
      </c>
      <c r="P571" t="n">
        <v>0</v>
      </c>
      <c r="Q571" t="n">
        <v>0</v>
      </c>
      <c r="R571" s="2" t="inlineStr"/>
    </row>
    <row r="572" ht="15" customHeight="1">
      <c r="A572" t="inlineStr">
        <is>
          <t>A 8877-2022</t>
        </is>
      </c>
      <c r="B572" s="1" t="n">
        <v>44614.59027777778</v>
      </c>
      <c r="C572" s="1" t="n">
        <v>45899</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8473-2023</t>
        </is>
      </c>
      <c r="B573" s="1" t="n">
        <v>44977</v>
      </c>
      <c r="C573" s="1" t="n">
        <v>45899</v>
      </c>
      <c r="D573" t="inlineStr">
        <is>
          <t>UPPSALA LÄN</t>
        </is>
      </c>
      <c r="E573" t="inlineStr">
        <is>
          <t>UPPSALA</t>
        </is>
      </c>
      <c r="F573" t="inlineStr">
        <is>
          <t>Holmen skog AB</t>
        </is>
      </c>
      <c r="G573" t="n">
        <v>3.6</v>
      </c>
      <c r="H573" t="n">
        <v>0</v>
      </c>
      <c r="I573" t="n">
        <v>0</v>
      </c>
      <c r="J573" t="n">
        <v>0</v>
      </c>
      <c r="K573" t="n">
        <v>0</v>
      </c>
      <c r="L573" t="n">
        <v>0</v>
      </c>
      <c r="M573" t="n">
        <v>0</v>
      </c>
      <c r="N573" t="n">
        <v>0</v>
      </c>
      <c r="O573" t="n">
        <v>0</v>
      </c>
      <c r="P573" t="n">
        <v>0</v>
      </c>
      <c r="Q573" t="n">
        <v>0</v>
      </c>
      <c r="R573" s="2" t="inlineStr"/>
    </row>
    <row r="574" ht="15" customHeight="1">
      <c r="A574" t="inlineStr">
        <is>
          <t>A 22431-2024</t>
        </is>
      </c>
      <c r="B574" s="1" t="n">
        <v>45446.78256944445</v>
      </c>
      <c r="C574" s="1" t="n">
        <v>45899</v>
      </c>
      <c r="D574" t="inlineStr">
        <is>
          <t>UPPSALA LÄN</t>
        </is>
      </c>
      <c r="E574" t="inlineStr">
        <is>
          <t>UPPSALA</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17562-2022</t>
        </is>
      </c>
      <c r="B575" s="1" t="n">
        <v>44679.68706018518</v>
      </c>
      <c r="C575" s="1" t="n">
        <v>45899</v>
      </c>
      <c r="D575" t="inlineStr">
        <is>
          <t>UPPSALA LÄN</t>
        </is>
      </c>
      <c r="E575" t="inlineStr">
        <is>
          <t>UPPSALA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36123-2023</t>
        </is>
      </c>
      <c r="B576" s="1" t="n">
        <v>45149.56928240741</v>
      </c>
      <c r="C576" s="1" t="n">
        <v>45899</v>
      </c>
      <c r="D576" t="inlineStr">
        <is>
          <t>UPPSALA LÄN</t>
        </is>
      </c>
      <c r="E576" t="inlineStr">
        <is>
          <t>UPPSALA</t>
        </is>
      </c>
      <c r="F576" t="inlineStr">
        <is>
          <t>Allmännings- och besparingsskogar</t>
        </is>
      </c>
      <c r="G576" t="n">
        <v>4.2</v>
      </c>
      <c r="H576" t="n">
        <v>0</v>
      </c>
      <c r="I576" t="n">
        <v>0</v>
      </c>
      <c r="J576" t="n">
        <v>0</v>
      </c>
      <c r="K576" t="n">
        <v>0</v>
      </c>
      <c r="L576" t="n">
        <v>0</v>
      </c>
      <c r="M576" t="n">
        <v>0</v>
      </c>
      <c r="N576" t="n">
        <v>0</v>
      </c>
      <c r="O576" t="n">
        <v>0</v>
      </c>
      <c r="P576" t="n">
        <v>0</v>
      </c>
      <c r="Q576" t="n">
        <v>0</v>
      </c>
      <c r="R576" s="2" t="inlineStr"/>
    </row>
    <row r="577" ht="15" customHeight="1">
      <c r="A577" t="inlineStr">
        <is>
          <t>A 19345-2025</t>
        </is>
      </c>
      <c r="B577" s="1" t="n">
        <v>45769.6009375</v>
      </c>
      <c r="C577" s="1" t="n">
        <v>45899</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6290-2025</t>
        </is>
      </c>
      <c r="B578" s="1" t="n">
        <v>45698.65606481482</v>
      </c>
      <c r="C578" s="1" t="n">
        <v>45899</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6970-2025</t>
        </is>
      </c>
      <c r="B579" s="1" t="n">
        <v>45693</v>
      </c>
      <c r="C579" s="1" t="n">
        <v>45899</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30616-2025</t>
        </is>
      </c>
      <c r="B580" s="1" t="n">
        <v>45831.46731481481</v>
      </c>
      <c r="C580" s="1" t="n">
        <v>45899</v>
      </c>
      <c r="D580" t="inlineStr">
        <is>
          <t>UPPSALA LÄN</t>
        </is>
      </c>
      <c r="E580" t="inlineStr">
        <is>
          <t>UPPSALA</t>
        </is>
      </c>
      <c r="G580" t="n">
        <v>2.1</v>
      </c>
      <c r="H580" t="n">
        <v>0</v>
      </c>
      <c r="I580" t="n">
        <v>0</v>
      </c>
      <c r="J580" t="n">
        <v>0</v>
      </c>
      <c r="K580" t="n">
        <v>0</v>
      </c>
      <c r="L580" t="n">
        <v>0</v>
      </c>
      <c r="M580" t="n">
        <v>0</v>
      </c>
      <c r="N580" t="n">
        <v>0</v>
      </c>
      <c r="O580" t="n">
        <v>0</v>
      </c>
      <c r="P580" t="n">
        <v>0</v>
      </c>
      <c r="Q580" t="n">
        <v>0</v>
      </c>
      <c r="R580" s="2" t="inlineStr"/>
    </row>
    <row r="581" ht="15" customHeight="1">
      <c r="A581" t="inlineStr">
        <is>
          <t>A 30898-2025</t>
        </is>
      </c>
      <c r="B581" s="1" t="n">
        <v>45832.35590277778</v>
      </c>
      <c r="C581" s="1" t="n">
        <v>45899</v>
      </c>
      <c r="D581" t="inlineStr">
        <is>
          <t>UPPSALA LÄN</t>
        </is>
      </c>
      <c r="E581" t="inlineStr">
        <is>
          <t>UPPSALA</t>
        </is>
      </c>
      <c r="F581" t="inlineStr">
        <is>
          <t>Kyrkan</t>
        </is>
      </c>
      <c r="G581" t="n">
        <v>2.8</v>
      </c>
      <c r="H581" t="n">
        <v>0</v>
      </c>
      <c r="I581" t="n">
        <v>0</v>
      </c>
      <c r="J581" t="n">
        <v>0</v>
      </c>
      <c r="K581" t="n">
        <v>0</v>
      </c>
      <c r="L581" t="n">
        <v>0</v>
      </c>
      <c r="M581" t="n">
        <v>0</v>
      </c>
      <c r="N581" t="n">
        <v>0</v>
      </c>
      <c r="O581" t="n">
        <v>0</v>
      </c>
      <c r="P581" t="n">
        <v>0</v>
      </c>
      <c r="Q581" t="n">
        <v>0</v>
      </c>
      <c r="R581" s="2" t="inlineStr"/>
    </row>
    <row r="582" ht="15" customHeight="1">
      <c r="A582" t="inlineStr">
        <is>
          <t>A 30567-2025</t>
        </is>
      </c>
      <c r="B582" s="1" t="n">
        <v>45831.40671296296</v>
      </c>
      <c r="C582" s="1" t="n">
        <v>45899</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42543-2023</t>
        </is>
      </c>
      <c r="B583" s="1" t="n">
        <v>45181.36815972222</v>
      </c>
      <c r="C583" s="1" t="n">
        <v>45899</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18677-2024</t>
        </is>
      </c>
      <c r="B584" s="1" t="n">
        <v>45426</v>
      </c>
      <c r="C584" s="1" t="n">
        <v>45899</v>
      </c>
      <c r="D584" t="inlineStr">
        <is>
          <t>UPPSALA LÄN</t>
        </is>
      </c>
      <c r="E584" t="inlineStr">
        <is>
          <t>UPPSALA</t>
        </is>
      </c>
      <c r="G584" t="n">
        <v>2.8</v>
      </c>
      <c r="H584" t="n">
        <v>0</v>
      </c>
      <c r="I584" t="n">
        <v>0</v>
      </c>
      <c r="J584" t="n">
        <v>0</v>
      </c>
      <c r="K584" t="n">
        <v>0</v>
      </c>
      <c r="L584" t="n">
        <v>0</v>
      </c>
      <c r="M584" t="n">
        <v>0</v>
      </c>
      <c r="N584" t="n">
        <v>0</v>
      </c>
      <c r="O584" t="n">
        <v>0</v>
      </c>
      <c r="P584" t="n">
        <v>0</v>
      </c>
      <c r="Q584" t="n">
        <v>0</v>
      </c>
      <c r="R584" s="2" t="inlineStr"/>
    </row>
    <row r="585" ht="15" customHeight="1">
      <c r="A585" t="inlineStr">
        <is>
          <t>A 11739-2023</t>
        </is>
      </c>
      <c r="B585" s="1" t="n">
        <v>44993</v>
      </c>
      <c r="C585" s="1" t="n">
        <v>45899</v>
      </c>
      <c r="D585" t="inlineStr">
        <is>
          <t>UPPSALA LÄN</t>
        </is>
      </c>
      <c r="E585" t="inlineStr">
        <is>
          <t>UPPSALA</t>
        </is>
      </c>
      <c r="G585" t="n">
        <v>1.1</v>
      </c>
      <c r="H585" t="n">
        <v>0</v>
      </c>
      <c r="I585" t="n">
        <v>0</v>
      </c>
      <c r="J585" t="n">
        <v>0</v>
      </c>
      <c r="K585" t="n">
        <v>0</v>
      </c>
      <c r="L585" t="n">
        <v>0</v>
      </c>
      <c r="M585" t="n">
        <v>0</v>
      </c>
      <c r="N585" t="n">
        <v>0</v>
      </c>
      <c r="O585" t="n">
        <v>0</v>
      </c>
      <c r="P585" t="n">
        <v>0</v>
      </c>
      <c r="Q585" t="n">
        <v>0</v>
      </c>
      <c r="R585" s="2" t="inlineStr"/>
    </row>
    <row r="586" ht="15" customHeight="1">
      <c r="A586" t="inlineStr">
        <is>
          <t>A 30897-2025</t>
        </is>
      </c>
      <c r="B586" s="1" t="n">
        <v>45832.35545138889</v>
      </c>
      <c r="C586" s="1" t="n">
        <v>45899</v>
      </c>
      <c r="D586" t="inlineStr">
        <is>
          <t>UPPSALA LÄN</t>
        </is>
      </c>
      <c r="E586" t="inlineStr">
        <is>
          <t>UPPSALA</t>
        </is>
      </c>
      <c r="F586" t="inlineStr">
        <is>
          <t>Kyrkan</t>
        </is>
      </c>
      <c r="G586" t="n">
        <v>2.8</v>
      </c>
      <c r="H586" t="n">
        <v>0</v>
      </c>
      <c r="I586" t="n">
        <v>0</v>
      </c>
      <c r="J586" t="n">
        <v>0</v>
      </c>
      <c r="K586" t="n">
        <v>0</v>
      </c>
      <c r="L586" t="n">
        <v>0</v>
      </c>
      <c r="M586" t="n">
        <v>0</v>
      </c>
      <c r="N586" t="n">
        <v>0</v>
      </c>
      <c r="O586" t="n">
        <v>0</v>
      </c>
      <c r="P586" t="n">
        <v>0</v>
      </c>
      <c r="Q586" t="n">
        <v>0</v>
      </c>
      <c r="R586" s="2" t="inlineStr"/>
    </row>
    <row r="587" ht="15" customHeight="1">
      <c r="A587" t="inlineStr">
        <is>
          <t>A 30838-2025</t>
        </is>
      </c>
      <c r="B587" s="1" t="n">
        <v>45831.72686342592</v>
      </c>
      <c r="C587" s="1" t="n">
        <v>45899</v>
      </c>
      <c r="D587" t="inlineStr">
        <is>
          <t>UPPSALA LÄN</t>
        </is>
      </c>
      <c r="E587" t="inlineStr">
        <is>
          <t>UPPSALA</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17558-2022</t>
        </is>
      </c>
      <c r="B588" s="1" t="n">
        <v>44679.66694444444</v>
      </c>
      <c r="C588" s="1" t="n">
        <v>45899</v>
      </c>
      <c r="D588" t="inlineStr">
        <is>
          <t>UPPSALA LÄN</t>
        </is>
      </c>
      <c r="E588" t="inlineStr">
        <is>
          <t>UPPSALA</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4875-2021</t>
        </is>
      </c>
      <c r="B589" s="1" t="n">
        <v>44223</v>
      </c>
      <c r="C589" s="1" t="n">
        <v>45899</v>
      </c>
      <c r="D589" t="inlineStr">
        <is>
          <t>UPPSALA LÄN</t>
        </is>
      </c>
      <c r="E589" t="inlineStr">
        <is>
          <t>UPPSALA</t>
        </is>
      </c>
      <c r="G589" t="n">
        <v>0.4</v>
      </c>
      <c r="H589" t="n">
        <v>0</v>
      </c>
      <c r="I589" t="n">
        <v>0</v>
      </c>
      <c r="J589" t="n">
        <v>0</v>
      </c>
      <c r="K589" t="n">
        <v>0</v>
      </c>
      <c r="L589" t="n">
        <v>0</v>
      </c>
      <c r="M589" t="n">
        <v>0</v>
      </c>
      <c r="N589" t="n">
        <v>0</v>
      </c>
      <c r="O589" t="n">
        <v>0</v>
      </c>
      <c r="P589" t="n">
        <v>0</v>
      </c>
      <c r="Q589" t="n">
        <v>0</v>
      </c>
      <c r="R589" s="2" t="inlineStr"/>
    </row>
    <row r="590" ht="15" customHeight="1">
      <c r="A590" t="inlineStr">
        <is>
          <t>A 36913-2025</t>
        </is>
      </c>
      <c r="B590" s="1" t="n">
        <v>45874</v>
      </c>
      <c r="C590" s="1" t="n">
        <v>45899</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25776-2022</t>
        </is>
      </c>
      <c r="B591" s="1" t="n">
        <v>44733</v>
      </c>
      <c r="C591" s="1" t="n">
        <v>45899</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37351-2025</t>
        </is>
      </c>
      <c r="B592" s="1" t="n">
        <v>45876</v>
      </c>
      <c r="C592" s="1" t="n">
        <v>45899</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43795-2023</t>
        </is>
      </c>
      <c r="B593" s="1" t="n">
        <v>45182</v>
      </c>
      <c r="C593" s="1" t="n">
        <v>45899</v>
      </c>
      <c r="D593" t="inlineStr">
        <is>
          <t>UPPSALA LÄN</t>
        </is>
      </c>
      <c r="E593" t="inlineStr">
        <is>
          <t>UPPSALA</t>
        </is>
      </c>
      <c r="G593" t="n">
        <v>4.7</v>
      </c>
      <c r="H593" t="n">
        <v>0</v>
      </c>
      <c r="I593" t="n">
        <v>0</v>
      </c>
      <c r="J593" t="n">
        <v>0</v>
      </c>
      <c r="K593" t="n">
        <v>0</v>
      </c>
      <c r="L593" t="n">
        <v>0</v>
      </c>
      <c r="M593" t="n">
        <v>0</v>
      </c>
      <c r="N593" t="n">
        <v>0</v>
      </c>
      <c r="O593" t="n">
        <v>0</v>
      </c>
      <c r="P593" t="n">
        <v>0</v>
      </c>
      <c r="Q593" t="n">
        <v>0</v>
      </c>
      <c r="R593" s="2" t="inlineStr"/>
    </row>
    <row r="594" ht="15" customHeight="1">
      <c r="A594" t="inlineStr">
        <is>
          <t>A 43818-2023</t>
        </is>
      </c>
      <c r="B594" s="1" t="n">
        <v>45182</v>
      </c>
      <c r="C594" s="1" t="n">
        <v>45899</v>
      </c>
      <c r="D594" t="inlineStr">
        <is>
          <t>UPPSALA LÄN</t>
        </is>
      </c>
      <c r="E594" t="inlineStr">
        <is>
          <t>UPPSALA</t>
        </is>
      </c>
      <c r="G594" t="n">
        <v>10.8</v>
      </c>
      <c r="H594" t="n">
        <v>0</v>
      </c>
      <c r="I594" t="n">
        <v>0</v>
      </c>
      <c r="J594" t="n">
        <v>0</v>
      </c>
      <c r="K594" t="n">
        <v>0</v>
      </c>
      <c r="L594" t="n">
        <v>0</v>
      </c>
      <c r="M594" t="n">
        <v>0</v>
      </c>
      <c r="N594" t="n">
        <v>0</v>
      </c>
      <c r="O594" t="n">
        <v>0</v>
      </c>
      <c r="P594" t="n">
        <v>0</v>
      </c>
      <c r="Q594" t="n">
        <v>0</v>
      </c>
      <c r="R594" s="2" t="inlineStr"/>
    </row>
    <row r="595" ht="15" customHeight="1">
      <c r="A595" t="inlineStr">
        <is>
          <t>A 37352-2025</t>
        </is>
      </c>
      <c r="B595" s="1" t="n">
        <v>45876</v>
      </c>
      <c r="C595" s="1" t="n">
        <v>45899</v>
      </c>
      <c r="D595" t="inlineStr">
        <is>
          <t>UPPSALA LÄN</t>
        </is>
      </c>
      <c r="E595" t="inlineStr">
        <is>
          <t>UPPSALA</t>
        </is>
      </c>
      <c r="G595" t="n">
        <v>2.6</v>
      </c>
      <c r="H595" t="n">
        <v>0</v>
      </c>
      <c r="I595" t="n">
        <v>0</v>
      </c>
      <c r="J595" t="n">
        <v>0</v>
      </c>
      <c r="K595" t="n">
        <v>0</v>
      </c>
      <c r="L595" t="n">
        <v>0</v>
      </c>
      <c r="M595" t="n">
        <v>0</v>
      </c>
      <c r="N595" t="n">
        <v>0</v>
      </c>
      <c r="O595" t="n">
        <v>0</v>
      </c>
      <c r="P595" t="n">
        <v>0</v>
      </c>
      <c r="Q595" t="n">
        <v>0</v>
      </c>
      <c r="R595" s="2" t="inlineStr"/>
    </row>
    <row r="596" ht="15" customHeight="1">
      <c r="A596" t="inlineStr">
        <is>
          <t>A 11568-2023</t>
        </is>
      </c>
      <c r="B596" s="1" t="n">
        <v>44994</v>
      </c>
      <c r="C596" s="1" t="n">
        <v>45899</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41422-2023</t>
        </is>
      </c>
      <c r="B597" s="1" t="n">
        <v>45175</v>
      </c>
      <c r="C597" s="1" t="n">
        <v>45899</v>
      </c>
      <c r="D597" t="inlineStr">
        <is>
          <t>UPPSALA LÄN</t>
        </is>
      </c>
      <c r="E597" t="inlineStr">
        <is>
          <t>UPPSALA</t>
        </is>
      </c>
      <c r="F597" t="inlineStr">
        <is>
          <t>Kyrkan</t>
        </is>
      </c>
      <c r="G597" t="n">
        <v>5.2</v>
      </c>
      <c r="H597" t="n">
        <v>0</v>
      </c>
      <c r="I597" t="n">
        <v>0</v>
      </c>
      <c r="J597" t="n">
        <v>0</v>
      </c>
      <c r="K597" t="n">
        <v>0</v>
      </c>
      <c r="L597" t="n">
        <v>0</v>
      </c>
      <c r="M597" t="n">
        <v>0</v>
      </c>
      <c r="N597" t="n">
        <v>0</v>
      </c>
      <c r="O597" t="n">
        <v>0</v>
      </c>
      <c r="P597" t="n">
        <v>0</v>
      </c>
      <c r="Q597" t="n">
        <v>0</v>
      </c>
      <c r="R597" s="2" t="inlineStr"/>
    </row>
    <row r="598" ht="15" customHeight="1">
      <c r="A598" t="inlineStr">
        <is>
          <t>A 16126-2022</t>
        </is>
      </c>
      <c r="B598" s="1" t="n">
        <v>44665</v>
      </c>
      <c r="C598" s="1" t="n">
        <v>45899</v>
      </c>
      <c r="D598" t="inlineStr">
        <is>
          <t>UPPSALA LÄN</t>
        </is>
      </c>
      <c r="E598" t="inlineStr">
        <is>
          <t>UPPSALA</t>
        </is>
      </c>
      <c r="F598" t="inlineStr">
        <is>
          <t>Bergvik skog öst AB</t>
        </is>
      </c>
      <c r="G598" t="n">
        <v>4.4</v>
      </c>
      <c r="H598" t="n">
        <v>0</v>
      </c>
      <c r="I598" t="n">
        <v>0</v>
      </c>
      <c r="J598" t="n">
        <v>0</v>
      </c>
      <c r="K598" t="n">
        <v>0</v>
      </c>
      <c r="L598" t="n">
        <v>0</v>
      </c>
      <c r="M598" t="n">
        <v>0</v>
      </c>
      <c r="N598" t="n">
        <v>0</v>
      </c>
      <c r="O598" t="n">
        <v>0</v>
      </c>
      <c r="P598" t="n">
        <v>0</v>
      </c>
      <c r="Q598" t="n">
        <v>0</v>
      </c>
      <c r="R598" s="2" t="inlineStr"/>
    </row>
    <row r="599" ht="15" customHeight="1">
      <c r="A599" t="inlineStr">
        <is>
          <t>A 21935-2023</t>
        </is>
      </c>
      <c r="B599" s="1" t="n">
        <v>45068.58563657408</v>
      </c>
      <c r="C599" s="1" t="n">
        <v>45899</v>
      </c>
      <c r="D599" t="inlineStr">
        <is>
          <t>UPPSALA LÄN</t>
        </is>
      </c>
      <c r="E599" t="inlineStr">
        <is>
          <t>UPPSALA</t>
        </is>
      </c>
      <c r="G599" t="n">
        <v>2.6</v>
      </c>
      <c r="H599" t="n">
        <v>0</v>
      </c>
      <c r="I599" t="n">
        <v>0</v>
      </c>
      <c r="J599" t="n">
        <v>0</v>
      </c>
      <c r="K599" t="n">
        <v>0</v>
      </c>
      <c r="L599" t="n">
        <v>0</v>
      </c>
      <c r="M599" t="n">
        <v>0</v>
      </c>
      <c r="N599" t="n">
        <v>0</v>
      </c>
      <c r="O599" t="n">
        <v>0</v>
      </c>
      <c r="P599" t="n">
        <v>0</v>
      </c>
      <c r="Q599" t="n">
        <v>0</v>
      </c>
      <c r="R599" s="2" t="inlineStr"/>
    </row>
    <row r="600" ht="15" customHeight="1">
      <c r="A600" t="inlineStr">
        <is>
          <t>A 18668-2024</t>
        </is>
      </c>
      <c r="B600" s="1" t="n">
        <v>45426.34148148148</v>
      </c>
      <c r="C600" s="1" t="n">
        <v>45899</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6541-2025</t>
        </is>
      </c>
      <c r="B601" s="1" t="n">
        <v>45699</v>
      </c>
      <c r="C601" s="1" t="n">
        <v>45899</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36479-2023</t>
        </is>
      </c>
      <c r="B602" s="1" t="n">
        <v>45152</v>
      </c>
      <c r="C602" s="1" t="n">
        <v>45899</v>
      </c>
      <c r="D602" t="inlineStr">
        <is>
          <t>UPPSALA LÄN</t>
        </is>
      </c>
      <c r="E602" t="inlineStr">
        <is>
          <t>UPPSALA</t>
        </is>
      </c>
      <c r="F602" t="inlineStr">
        <is>
          <t>Allmännings- och besparingsskogar</t>
        </is>
      </c>
      <c r="G602" t="n">
        <v>3.4</v>
      </c>
      <c r="H602" t="n">
        <v>0</v>
      </c>
      <c r="I602" t="n">
        <v>0</v>
      </c>
      <c r="J602" t="n">
        <v>0</v>
      </c>
      <c r="K602" t="n">
        <v>0</v>
      </c>
      <c r="L602" t="n">
        <v>0</v>
      </c>
      <c r="M602" t="n">
        <v>0</v>
      </c>
      <c r="N602" t="n">
        <v>0</v>
      </c>
      <c r="O602" t="n">
        <v>0</v>
      </c>
      <c r="P602" t="n">
        <v>0</v>
      </c>
      <c r="Q602" t="n">
        <v>0</v>
      </c>
      <c r="R602" s="2" t="inlineStr"/>
    </row>
    <row r="603" ht="15" customHeight="1">
      <c r="A603" t="inlineStr">
        <is>
          <t>A 5729-2025</t>
        </is>
      </c>
      <c r="B603" s="1" t="n">
        <v>45694.49037037037</v>
      </c>
      <c r="C603" s="1" t="n">
        <v>45899</v>
      </c>
      <c r="D603" t="inlineStr">
        <is>
          <t>UPPSALA LÄN</t>
        </is>
      </c>
      <c r="E603" t="inlineStr">
        <is>
          <t>UPPSALA</t>
        </is>
      </c>
      <c r="G603" t="n">
        <v>1</v>
      </c>
      <c r="H603" t="n">
        <v>0</v>
      </c>
      <c r="I603" t="n">
        <v>0</v>
      </c>
      <c r="J603" t="n">
        <v>0</v>
      </c>
      <c r="K603" t="n">
        <v>0</v>
      </c>
      <c r="L603" t="n">
        <v>0</v>
      </c>
      <c r="M603" t="n">
        <v>0</v>
      </c>
      <c r="N603" t="n">
        <v>0</v>
      </c>
      <c r="O603" t="n">
        <v>0</v>
      </c>
      <c r="P603" t="n">
        <v>0</v>
      </c>
      <c r="Q603" t="n">
        <v>0</v>
      </c>
      <c r="R603" s="2" t="inlineStr"/>
    </row>
    <row r="604" ht="15" customHeight="1">
      <c r="A604" t="inlineStr">
        <is>
          <t>A 20497-2022</t>
        </is>
      </c>
      <c r="B604" s="1" t="n">
        <v>44699</v>
      </c>
      <c r="C604" s="1" t="n">
        <v>45899</v>
      </c>
      <c r="D604" t="inlineStr">
        <is>
          <t>UPPSALA LÄN</t>
        </is>
      </c>
      <c r="E604" t="inlineStr">
        <is>
          <t>UPPSALA</t>
        </is>
      </c>
      <c r="F604" t="inlineStr">
        <is>
          <t>Övriga statliga verk och myndigheter</t>
        </is>
      </c>
      <c r="G604" t="n">
        <v>1</v>
      </c>
      <c r="H604" t="n">
        <v>0</v>
      </c>
      <c r="I604" t="n">
        <v>0</v>
      </c>
      <c r="J604" t="n">
        <v>0</v>
      </c>
      <c r="K604" t="n">
        <v>0</v>
      </c>
      <c r="L604" t="n">
        <v>0</v>
      </c>
      <c r="M604" t="n">
        <v>0</v>
      </c>
      <c r="N604" t="n">
        <v>0</v>
      </c>
      <c r="O604" t="n">
        <v>0</v>
      </c>
      <c r="P604" t="n">
        <v>0</v>
      </c>
      <c r="Q604" t="n">
        <v>0</v>
      </c>
      <c r="R604" s="2" t="inlineStr"/>
    </row>
    <row r="605" ht="15" customHeight="1">
      <c r="A605" t="inlineStr">
        <is>
          <t>A 9914-2024</t>
        </is>
      </c>
      <c r="B605" s="1" t="n">
        <v>45363.54878472222</v>
      </c>
      <c r="C605" s="1" t="n">
        <v>45899</v>
      </c>
      <c r="D605" t="inlineStr">
        <is>
          <t>UPPSALA LÄN</t>
        </is>
      </c>
      <c r="E605" t="inlineStr">
        <is>
          <t>UPPSALA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6999-2023</t>
        </is>
      </c>
      <c r="B606" s="1" t="n">
        <v>44967.80034722222</v>
      </c>
      <c r="C606" s="1" t="n">
        <v>45899</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7002-2023</t>
        </is>
      </c>
      <c r="B607" s="1" t="n">
        <v>44967</v>
      </c>
      <c r="C607" s="1" t="n">
        <v>45899</v>
      </c>
      <c r="D607" t="inlineStr">
        <is>
          <t>UPPSALA LÄN</t>
        </is>
      </c>
      <c r="E607" t="inlineStr">
        <is>
          <t>UPPSALA</t>
        </is>
      </c>
      <c r="G607" t="n">
        <v>5</v>
      </c>
      <c r="H607" t="n">
        <v>0</v>
      </c>
      <c r="I607" t="n">
        <v>0</v>
      </c>
      <c r="J607" t="n">
        <v>0</v>
      </c>
      <c r="K607" t="n">
        <v>0</v>
      </c>
      <c r="L607" t="n">
        <v>0</v>
      </c>
      <c r="M607" t="n">
        <v>0</v>
      </c>
      <c r="N607" t="n">
        <v>0</v>
      </c>
      <c r="O607" t="n">
        <v>0</v>
      </c>
      <c r="P607" t="n">
        <v>0</v>
      </c>
      <c r="Q607" t="n">
        <v>0</v>
      </c>
      <c r="R607" s="2" t="inlineStr"/>
    </row>
    <row r="608" ht="15" customHeight="1">
      <c r="A608" t="inlineStr">
        <is>
          <t>A 3955-2021</t>
        </is>
      </c>
      <c r="B608" s="1" t="n">
        <v>44222</v>
      </c>
      <c r="C608" s="1" t="n">
        <v>45899</v>
      </c>
      <c r="D608" t="inlineStr">
        <is>
          <t>UPPSALA LÄN</t>
        </is>
      </c>
      <c r="E608" t="inlineStr">
        <is>
          <t>UPPSALA</t>
        </is>
      </c>
      <c r="G608" t="n">
        <v>2.3</v>
      </c>
      <c r="H608" t="n">
        <v>0</v>
      </c>
      <c r="I608" t="n">
        <v>0</v>
      </c>
      <c r="J608" t="n">
        <v>0</v>
      </c>
      <c r="K608" t="n">
        <v>0</v>
      </c>
      <c r="L608" t="n">
        <v>0</v>
      </c>
      <c r="M608" t="n">
        <v>0</v>
      </c>
      <c r="N608" t="n">
        <v>0</v>
      </c>
      <c r="O608" t="n">
        <v>0</v>
      </c>
      <c r="P608" t="n">
        <v>0</v>
      </c>
      <c r="Q608" t="n">
        <v>0</v>
      </c>
      <c r="R608" s="2" t="inlineStr"/>
    </row>
    <row r="609" ht="15" customHeight="1">
      <c r="A609" t="inlineStr">
        <is>
          <t>A 52503-2023</t>
        </is>
      </c>
      <c r="B609" s="1" t="n">
        <v>45225.46480324074</v>
      </c>
      <c r="C609" s="1" t="n">
        <v>45899</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367-2023</t>
        </is>
      </c>
      <c r="B610" s="1" t="n">
        <v>44929</v>
      </c>
      <c r="C610" s="1" t="n">
        <v>45899</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33562-2023</t>
        </is>
      </c>
      <c r="B611" s="1" t="n">
        <v>45131</v>
      </c>
      <c r="C611" s="1" t="n">
        <v>45899</v>
      </c>
      <c r="D611" t="inlineStr">
        <is>
          <t>UPPSALA LÄN</t>
        </is>
      </c>
      <c r="E611" t="inlineStr">
        <is>
          <t>UPPSALA</t>
        </is>
      </c>
      <c r="G611" t="n">
        <v>1.3</v>
      </c>
      <c r="H611" t="n">
        <v>0</v>
      </c>
      <c r="I611" t="n">
        <v>0</v>
      </c>
      <c r="J611" t="n">
        <v>0</v>
      </c>
      <c r="K611" t="n">
        <v>0</v>
      </c>
      <c r="L611" t="n">
        <v>0</v>
      </c>
      <c r="M611" t="n">
        <v>0</v>
      </c>
      <c r="N611" t="n">
        <v>0</v>
      </c>
      <c r="O611" t="n">
        <v>0</v>
      </c>
      <c r="P611" t="n">
        <v>0</v>
      </c>
      <c r="Q611" t="n">
        <v>0</v>
      </c>
      <c r="R611" s="2" t="inlineStr"/>
    </row>
    <row r="612" ht="15" customHeight="1">
      <c r="A612" t="inlineStr">
        <is>
          <t>A 37759-2025</t>
        </is>
      </c>
      <c r="B612" s="1" t="n">
        <v>45880.68200231482</v>
      </c>
      <c r="C612" s="1" t="n">
        <v>45899</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12414-2025</t>
        </is>
      </c>
      <c r="B613" s="1" t="n">
        <v>45730.43966435185</v>
      </c>
      <c r="C613" s="1" t="n">
        <v>45899</v>
      </c>
      <c r="D613" t="inlineStr">
        <is>
          <t>UPPSALA LÄN</t>
        </is>
      </c>
      <c r="E613" t="inlineStr">
        <is>
          <t>UPPSALA</t>
        </is>
      </c>
      <c r="F613" t="inlineStr">
        <is>
          <t>Övriga statliga verk och myndigheter</t>
        </is>
      </c>
      <c r="G613" t="n">
        <v>6.8</v>
      </c>
      <c r="H613" t="n">
        <v>0</v>
      </c>
      <c r="I613" t="n">
        <v>0</v>
      </c>
      <c r="J613" t="n">
        <v>0</v>
      </c>
      <c r="K613" t="n">
        <v>0</v>
      </c>
      <c r="L613" t="n">
        <v>0</v>
      </c>
      <c r="M613" t="n">
        <v>0</v>
      </c>
      <c r="N613" t="n">
        <v>0</v>
      </c>
      <c r="O613" t="n">
        <v>0</v>
      </c>
      <c r="P613" t="n">
        <v>0</v>
      </c>
      <c r="Q613" t="n">
        <v>0</v>
      </c>
      <c r="R613" s="2" t="inlineStr"/>
    </row>
    <row r="614" ht="15" customHeight="1">
      <c r="A614" t="inlineStr">
        <is>
          <t>A 32252-2025</t>
        </is>
      </c>
      <c r="B614" s="1" t="n">
        <v>45835.62752314815</v>
      </c>
      <c r="C614" s="1" t="n">
        <v>45899</v>
      </c>
      <c r="D614" t="inlineStr">
        <is>
          <t>UPPSALA LÄN</t>
        </is>
      </c>
      <c r="E614" t="inlineStr">
        <is>
          <t>UPPSALA</t>
        </is>
      </c>
      <c r="F614" t="inlineStr">
        <is>
          <t>Kyrkan</t>
        </is>
      </c>
      <c r="G614" t="n">
        <v>3.8</v>
      </c>
      <c r="H614" t="n">
        <v>0</v>
      </c>
      <c r="I614" t="n">
        <v>0</v>
      </c>
      <c r="J614" t="n">
        <v>0</v>
      </c>
      <c r="K614" t="n">
        <v>0</v>
      </c>
      <c r="L614" t="n">
        <v>0</v>
      </c>
      <c r="M614" t="n">
        <v>0</v>
      </c>
      <c r="N614" t="n">
        <v>0</v>
      </c>
      <c r="O614" t="n">
        <v>0</v>
      </c>
      <c r="P614" t="n">
        <v>0</v>
      </c>
      <c r="Q614" t="n">
        <v>0</v>
      </c>
      <c r="R614" s="2" t="inlineStr"/>
    </row>
    <row r="615" ht="15" customHeight="1">
      <c r="A615" t="inlineStr">
        <is>
          <t>A 37557-2025</t>
        </is>
      </c>
      <c r="B615" s="1" t="n">
        <v>45880.32907407408</v>
      </c>
      <c r="C615" s="1" t="n">
        <v>45899</v>
      </c>
      <c r="D615" t="inlineStr">
        <is>
          <t>UPPSALA LÄN</t>
        </is>
      </c>
      <c r="E615" t="inlineStr">
        <is>
          <t>UPPSALA</t>
        </is>
      </c>
      <c r="G615" t="n">
        <v>1.6</v>
      </c>
      <c r="H615" t="n">
        <v>0</v>
      </c>
      <c r="I615" t="n">
        <v>0</v>
      </c>
      <c r="J615" t="n">
        <v>0</v>
      </c>
      <c r="K615" t="n">
        <v>0</v>
      </c>
      <c r="L615" t="n">
        <v>0</v>
      </c>
      <c r="M615" t="n">
        <v>0</v>
      </c>
      <c r="N615" t="n">
        <v>0</v>
      </c>
      <c r="O615" t="n">
        <v>0</v>
      </c>
      <c r="P615" t="n">
        <v>0</v>
      </c>
      <c r="Q615" t="n">
        <v>0</v>
      </c>
      <c r="R615" s="2" t="inlineStr"/>
    </row>
    <row r="616" ht="15" customHeight="1">
      <c r="A616" t="inlineStr">
        <is>
          <t>A 53365-2024</t>
        </is>
      </c>
      <c r="B616" s="1" t="n">
        <v>45614</v>
      </c>
      <c r="C616" s="1" t="n">
        <v>45899</v>
      </c>
      <c r="D616" t="inlineStr">
        <is>
          <t>UPPSALA LÄN</t>
        </is>
      </c>
      <c r="E616" t="inlineStr">
        <is>
          <t>UPPSALA</t>
        </is>
      </c>
      <c r="F616" t="inlineStr">
        <is>
          <t>Allmännings- och besparingsskogar</t>
        </is>
      </c>
      <c r="G616" t="n">
        <v>6.6</v>
      </c>
      <c r="H616" t="n">
        <v>0</v>
      </c>
      <c r="I616" t="n">
        <v>0</v>
      </c>
      <c r="J616" t="n">
        <v>0</v>
      </c>
      <c r="K616" t="n">
        <v>0</v>
      </c>
      <c r="L616" t="n">
        <v>0</v>
      </c>
      <c r="M616" t="n">
        <v>0</v>
      </c>
      <c r="N616" t="n">
        <v>0</v>
      </c>
      <c r="O616" t="n">
        <v>0</v>
      </c>
      <c r="P616" t="n">
        <v>0</v>
      </c>
      <c r="Q616" t="n">
        <v>0</v>
      </c>
      <c r="R616" s="2" t="inlineStr"/>
    </row>
    <row r="617" ht="15" customHeight="1">
      <c r="A617" t="inlineStr">
        <is>
          <t>A 60447-2023</t>
        </is>
      </c>
      <c r="B617" s="1" t="n">
        <v>45259</v>
      </c>
      <c r="C617" s="1" t="n">
        <v>45899</v>
      </c>
      <c r="D617" t="inlineStr">
        <is>
          <t>UPPSALA LÄN</t>
        </is>
      </c>
      <c r="E617" t="inlineStr">
        <is>
          <t>UPPSALA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36253-2025</t>
        </is>
      </c>
      <c r="B618" s="1" t="n">
        <v>45867.58056712963</v>
      </c>
      <c r="C618" s="1" t="n">
        <v>45899</v>
      </c>
      <c r="D618" t="inlineStr">
        <is>
          <t>UPPSALA LÄN</t>
        </is>
      </c>
      <c r="E618" t="inlineStr">
        <is>
          <t>UPPSALA</t>
        </is>
      </c>
      <c r="G618" t="n">
        <v>1.7</v>
      </c>
      <c r="H618" t="n">
        <v>0</v>
      </c>
      <c r="I618" t="n">
        <v>0</v>
      </c>
      <c r="J618" t="n">
        <v>0</v>
      </c>
      <c r="K618" t="n">
        <v>0</v>
      </c>
      <c r="L618" t="n">
        <v>0</v>
      </c>
      <c r="M618" t="n">
        <v>0</v>
      </c>
      <c r="N618" t="n">
        <v>0</v>
      </c>
      <c r="O618" t="n">
        <v>0</v>
      </c>
      <c r="P618" t="n">
        <v>0</v>
      </c>
      <c r="Q618" t="n">
        <v>0</v>
      </c>
      <c r="R618" s="2" t="inlineStr"/>
    </row>
    <row r="619" ht="15" customHeight="1">
      <c r="A619" t="inlineStr">
        <is>
          <t>A 54783-2023</t>
        </is>
      </c>
      <c r="B619" s="1" t="n">
        <v>45236.47697916667</v>
      </c>
      <c r="C619" s="1" t="n">
        <v>45899</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46796-2024</t>
        </is>
      </c>
      <c r="B620" s="1" t="n">
        <v>45583</v>
      </c>
      <c r="C620" s="1" t="n">
        <v>45899</v>
      </c>
      <c r="D620" t="inlineStr">
        <is>
          <t>UPPSALA LÄN</t>
        </is>
      </c>
      <c r="E620" t="inlineStr">
        <is>
          <t>UPPSALA</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37468-2025</t>
        </is>
      </c>
      <c r="B621" s="1" t="n">
        <v>45877.57847222222</v>
      </c>
      <c r="C621" s="1" t="n">
        <v>45899</v>
      </c>
      <c r="D621" t="inlineStr">
        <is>
          <t>UPPSALA LÄN</t>
        </is>
      </c>
      <c r="E621" t="inlineStr">
        <is>
          <t>UPPSALA</t>
        </is>
      </c>
      <c r="G621" t="n">
        <v>2.9</v>
      </c>
      <c r="H621" t="n">
        <v>0</v>
      </c>
      <c r="I621" t="n">
        <v>0</v>
      </c>
      <c r="J621" t="n">
        <v>0</v>
      </c>
      <c r="K621" t="n">
        <v>0</v>
      </c>
      <c r="L621" t="n">
        <v>0</v>
      </c>
      <c r="M621" t="n">
        <v>0</v>
      </c>
      <c r="N621" t="n">
        <v>0</v>
      </c>
      <c r="O621" t="n">
        <v>0</v>
      </c>
      <c r="P621" t="n">
        <v>0</v>
      </c>
      <c r="Q621" t="n">
        <v>0</v>
      </c>
      <c r="R621" s="2" t="inlineStr"/>
    </row>
    <row r="622" ht="15" customHeight="1">
      <c r="A622" t="inlineStr">
        <is>
          <t>A 37486-2025</t>
        </is>
      </c>
      <c r="B622" s="1" t="n">
        <v>45877.62969907407</v>
      </c>
      <c r="C622" s="1" t="n">
        <v>45899</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37561-2025</t>
        </is>
      </c>
      <c r="B623" s="1" t="n">
        <v>45880.34064814815</v>
      </c>
      <c r="C623" s="1" t="n">
        <v>45899</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18443-2023</t>
        </is>
      </c>
      <c r="B624" s="1" t="n">
        <v>45042</v>
      </c>
      <c r="C624" s="1" t="n">
        <v>45899</v>
      </c>
      <c r="D624" t="inlineStr">
        <is>
          <t>UPPSALA LÄN</t>
        </is>
      </c>
      <c r="E624" t="inlineStr">
        <is>
          <t>UPPSALA</t>
        </is>
      </c>
      <c r="G624" t="n">
        <v>0.4</v>
      </c>
      <c r="H624" t="n">
        <v>0</v>
      </c>
      <c r="I624" t="n">
        <v>0</v>
      </c>
      <c r="J624" t="n">
        <v>0</v>
      </c>
      <c r="K624" t="n">
        <v>0</v>
      </c>
      <c r="L624" t="n">
        <v>0</v>
      </c>
      <c r="M624" t="n">
        <v>0</v>
      </c>
      <c r="N624" t="n">
        <v>0</v>
      </c>
      <c r="O624" t="n">
        <v>0</v>
      </c>
      <c r="P624" t="n">
        <v>0</v>
      </c>
      <c r="Q624" t="n">
        <v>0</v>
      </c>
      <c r="R624" s="2" t="inlineStr"/>
    </row>
    <row r="625" ht="15" customHeight="1">
      <c r="A625" t="inlineStr">
        <is>
          <t>A 37856-2025</t>
        </is>
      </c>
      <c r="B625" s="1" t="n">
        <v>45881.45898148148</v>
      </c>
      <c r="C625" s="1" t="n">
        <v>45899</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8090-2022</t>
        </is>
      </c>
      <c r="B626" s="1" t="n">
        <v>44608</v>
      </c>
      <c r="C626" s="1" t="n">
        <v>45899</v>
      </c>
      <c r="D626" t="inlineStr">
        <is>
          <t>UPPSALA LÄN</t>
        </is>
      </c>
      <c r="E626" t="inlineStr">
        <is>
          <t>UPPSALA</t>
        </is>
      </c>
      <c r="G626" t="n">
        <v>1.4</v>
      </c>
      <c r="H626" t="n">
        <v>0</v>
      </c>
      <c r="I626" t="n">
        <v>0</v>
      </c>
      <c r="J626" t="n">
        <v>0</v>
      </c>
      <c r="K626" t="n">
        <v>0</v>
      </c>
      <c r="L626" t="n">
        <v>0</v>
      </c>
      <c r="M626" t="n">
        <v>0</v>
      </c>
      <c r="N626" t="n">
        <v>0</v>
      </c>
      <c r="O626" t="n">
        <v>0</v>
      </c>
      <c r="P626" t="n">
        <v>0</v>
      </c>
      <c r="Q626" t="n">
        <v>0</v>
      </c>
      <c r="R626" s="2" t="inlineStr"/>
    </row>
    <row r="627" ht="15" customHeight="1">
      <c r="A627" t="inlineStr">
        <is>
          <t>A 60047-2022</t>
        </is>
      </c>
      <c r="B627" s="1" t="n">
        <v>44909.51885416666</v>
      </c>
      <c r="C627" s="1" t="n">
        <v>45899</v>
      </c>
      <c r="D627" t="inlineStr">
        <is>
          <t>UPPSALA LÄN</t>
        </is>
      </c>
      <c r="E627" t="inlineStr">
        <is>
          <t>UPPSALA</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32928-2025</t>
        </is>
      </c>
      <c r="B628" s="1" t="n">
        <v>45839</v>
      </c>
      <c r="C628" s="1" t="n">
        <v>45899</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600-2024</t>
        </is>
      </c>
      <c r="B629" s="1" t="n">
        <v>45299</v>
      </c>
      <c r="C629" s="1" t="n">
        <v>45899</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32711-2025</t>
        </is>
      </c>
      <c r="B630" s="1" t="n">
        <v>45839</v>
      </c>
      <c r="C630" s="1" t="n">
        <v>45899</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c r="U630">
        <f>HYPERLINK("https://klasma.github.io/Logging_0380/knärot/A 32711-2025 karta knärot.png", "A 32711-2025")</f>
        <v/>
      </c>
      <c r="V630">
        <f>HYPERLINK("https://klasma.github.io/Logging_0380/klagomål/A 32711-2025 FSC-klagomål.docx", "A 32711-2025")</f>
        <v/>
      </c>
      <c r="W630">
        <f>HYPERLINK("https://klasma.github.io/Logging_0380/klagomålsmail/A 32711-2025 FSC-klagomål mail.docx", "A 32711-2025")</f>
        <v/>
      </c>
      <c r="X630">
        <f>HYPERLINK("https://klasma.github.io/Logging_0380/tillsyn/A 32711-2025 tillsynsbegäran.docx", "A 32711-2025")</f>
        <v/>
      </c>
      <c r="Y630">
        <f>HYPERLINK("https://klasma.github.io/Logging_0380/tillsynsmail/A 32711-2025 tillsynsbegäran mail.docx", "A 32711-2025")</f>
        <v/>
      </c>
    </row>
    <row r="631" ht="15" customHeight="1">
      <c r="A631" t="inlineStr">
        <is>
          <t>A 37851-2025</t>
        </is>
      </c>
      <c r="B631" s="1" t="n">
        <v>45881.44938657407</v>
      </c>
      <c r="C631" s="1" t="n">
        <v>45899</v>
      </c>
      <c r="D631" t="inlineStr">
        <is>
          <t>UPPSALA LÄN</t>
        </is>
      </c>
      <c r="E631" t="inlineStr">
        <is>
          <t>UPPSALA</t>
        </is>
      </c>
      <c r="G631" t="n">
        <v>2.3</v>
      </c>
      <c r="H631" t="n">
        <v>0</v>
      </c>
      <c r="I631" t="n">
        <v>0</v>
      </c>
      <c r="J631" t="n">
        <v>0</v>
      </c>
      <c r="K631" t="n">
        <v>0</v>
      </c>
      <c r="L631" t="n">
        <v>0</v>
      </c>
      <c r="M631" t="n">
        <v>0</v>
      </c>
      <c r="N631" t="n">
        <v>0</v>
      </c>
      <c r="O631" t="n">
        <v>0</v>
      </c>
      <c r="P631" t="n">
        <v>0</v>
      </c>
      <c r="Q631" t="n">
        <v>0</v>
      </c>
      <c r="R631" s="2" t="inlineStr"/>
    </row>
    <row r="632" ht="15" customHeight="1">
      <c r="A632" t="inlineStr">
        <is>
          <t>A 50535-2024</t>
        </is>
      </c>
      <c r="B632" s="1" t="n">
        <v>45600</v>
      </c>
      <c r="C632" s="1" t="n">
        <v>45899</v>
      </c>
      <c r="D632" t="inlineStr">
        <is>
          <t>UPPSALA LÄN</t>
        </is>
      </c>
      <c r="E632" t="inlineStr">
        <is>
          <t>UPPSALA</t>
        </is>
      </c>
      <c r="F632" t="inlineStr">
        <is>
          <t>Övriga statliga verk och myndigheter</t>
        </is>
      </c>
      <c r="G632" t="n">
        <v>3.2</v>
      </c>
      <c r="H632" t="n">
        <v>0</v>
      </c>
      <c r="I632" t="n">
        <v>0</v>
      </c>
      <c r="J632" t="n">
        <v>0</v>
      </c>
      <c r="K632" t="n">
        <v>0</v>
      </c>
      <c r="L632" t="n">
        <v>0</v>
      </c>
      <c r="M632" t="n">
        <v>0</v>
      </c>
      <c r="N632" t="n">
        <v>0</v>
      </c>
      <c r="O632" t="n">
        <v>0</v>
      </c>
      <c r="P632" t="n">
        <v>0</v>
      </c>
      <c r="Q632" t="n">
        <v>0</v>
      </c>
      <c r="R632" s="2" t="inlineStr"/>
    </row>
    <row r="633" ht="15" customHeight="1">
      <c r="A633" t="inlineStr">
        <is>
          <t>A 62287-2023</t>
        </is>
      </c>
      <c r="B633" s="1" t="n">
        <v>45267</v>
      </c>
      <c r="C633" s="1" t="n">
        <v>45899</v>
      </c>
      <c r="D633" t="inlineStr">
        <is>
          <t>UPPSALA LÄN</t>
        </is>
      </c>
      <c r="E633" t="inlineStr">
        <is>
          <t>UPPSALA</t>
        </is>
      </c>
      <c r="F633" t="inlineStr">
        <is>
          <t>Allmännings- och besparingsskogar</t>
        </is>
      </c>
      <c r="G633" t="n">
        <v>2.8</v>
      </c>
      <c r="H633" t="n">
        <v>0</v>
      </c>
      <c r="I633" t="n">
        <v>0</v>
      </c>
      <c r="J633" t="n">
        <v>0</v>
      </c>
      <c r="K633" t="n">
        <v>0</v>
      </c>
      <c r="L633" t="n">
        <v>0</v>
      </c>
      <c r="M633" t="n">
        <v>0</v>
      </c>
      <c r="N633" t="n">
        <v>0</v>
      </c>
      <c r="O633" t="n">
        <v>0</v>
      </c>
      <c r="P633" t="n">
        <v>0</v>
      </c>
      <c r="Q633" t="n">
        <v>0</v>
      </c>
      <c r="R633" s="2" t="inlineStr"/>
    </row>
    <row r="634" ht="15" customHeight="1">
      <c r="A634" t="inlineStr">
        <is>
          <t>A 29799-2023</t>
        </is>
      </c>
      <c r="B634" s="1" t="n">
        <v>45107.53688657407</v>
      </c>
      <c r="C634" s="1" t="n">
        <v>45899</v>
      </c>
      <c r="D634" t="inlineStr">
        <is>
          <t>UPPSALA LÄN</t>
        </is>
      </c>
      <c r="E634" t="inlineStr">
        <is>
          <t>UPPSALA</t>
        </is>
      </c>
      <c r="G634" t="n">
        <v>1.7</v>
      </c>
      <c r="H634" t="n">
        <v>0</v>
      </c>
      <c r="I634" t="n">
        <v>0</v>
      </c>
      <c r="J634" t="n">
        <v>0</v>
      </c>
      <c r="K634" t="n">
        <v>0</v>
      </c>
      <c r="L634" t="n">
        <v>0</v>
      </c>
      <c r="M634" t="n">
        <v>0</v>
      </c>
      <c r="N634" t="n">
        <v>0</v>
      </c>
      <c r="O634" t="n">
        <v>0</v>
      </c>
      <c r="P634" t="n">
        <v>0</v>
      </c>
      <c r="Q634" t="n">
        <v>0</v>
      </c>
      <c r="R634" s="2" t="inlineStr"/>
    </row>
    <row r="635" ht="15" customHeight="1">
      <c r="A635" t="inlineStr">
        <is>
          <t>A 24098-2024</t>
        </is>
      </c>
      <c r="B635" s="1" t="n">
        <v>45456.59535879629</v>
      </c>
      <c r="C635" s="1" t="n">
        <v>45899</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38034-2025</t>
        </is>
      </c>
      <c r="B636" s="1" t="n">
        <v>45882.37202546297</v>
      </c>
      <c r="C636" s="1" t="n">
        <v>45899</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54808-2023</t>
        </is>
      </c>
      <c r="B637" s="1" t="n">
        <v>45236</v>
      </c>
      <c r="C637" s="1" t="n">
        <v>45899</v>
      </c>
      <c r="D637" t="inlineStr">
        <is>
          <t>UPPSALA LÄN</t>
        </is>
      </c>
      <c r="E637" t="inlineStr">
        <is>
          <t>UPPSALA</t>
        </is>
      </c>
      <c r="G637" t="n">
        <v>4.1</v>
      </c>
      <c r="H637" t="n">
        <v>0</v>
      </c>
      <c r="I637" t="n">
        <v>0</v>
      </c>
      <c r="J637" t="n">
        <v>0</v>
      </c>
      <c r="K637" t="n">
        <v>0</v>
      </c>
      <c r="L637" t="n">
        <v>0</v>
      </c>
      <c r="M637" t="n">
        <v>0</v>
      </c>
      <c r="N637" t="n">
        <v>0</v>
      </c>
      <c r="O637" t="n">
        <v>0</v>
      </c>
      <c r="P637" t="n">
        <v>0</v>
      </c>
      <c r="Q637" t="n">
        <v>0</v>
      </c>
      <c r="R637" s="2" t="inlineStr"/>
    </row>
    <row r="638" ht="15" customHeight="1">
      <c r="A638" t="inlineStr">
        <is>
          <t>A 32923-2025</t>
        </is>
      </c>
      <c r="B638" s="1" t="n">
        <v>45839</v>
      </c>
      <c r="C638" s="1" t="n">
        <v>45899</v>
      </c>
      <c r="D638" t="inlineStr">
        <is>
          <t>UPPSALA LÄN</t>
        </is>
      </c>
      <c r="E638" t="inlineStr">
        <is>
          <t>UPPSALA</t>
        </is>
      </c>
      <c r="G638" t="n">
        <v>5.1</v>
      </c>
      <c r="H638" t="n">
        <v>0</v>
      </c>
      <c r="I638" t="n">
        <v>0</v>
      </c>
      <c r="J638" t="n">
        <v>0</v>
      </c>
      <c r="K638" t="n">
        <v>0</v>
      </c>
      <c r="L638" t="n">
        <v>0</v>
      </c>
      <c r="M638" t="n">
        <v>0</v>
      </c>
      <c r="N638" t="n">
        <v>0</v>
      </c>
      <c r="O638" t="n">
        <v>0</v>
      </c>
      <c r="P638" t="n">
        <v>0</v>
      </c>
      <c r="Q638" t="n">
        <v>0</v>
      </c>
      <c r="R638" s="2" t="inlineStr"/>
    </row>
    <row r="639" ht="15" customHeight="1">
      <c r="A639" t="inlineStr">
        <is>
          <t>A 28958-2025</t>
        </is>
      </c>
      <c r="B639" s="1" t="n">
        <v>45821.31292824074</v>
      </c>
      <c r="C639" s="1" t="n">
        <v>45899</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33272-2025</t>
        </is>
      </c>
      <c r="B640" s="1" t="n">
        <v>45840.68518518518</v>
      </c>
      <c r="C640" s="1" t="n">
        <v>45899</v>
      </c>
      <c r="D640" t="inlineStr">
        <is>
          <t>UPPSALA LÄN</t>
        </is>
      </c>
      <c r="E640" t="inlineStr">
        <is>
          <t>UPPSALA</t>
        </is>
      </c>
      <c r="G640" t="n">
        <v>4.7</v>
      </c>
      <c r="H640" t="n">
        <v>0</v>
      </c>
      <c r="I640" t="n">
        <v>0</v>
      </c>
      <c r="J640" t="n">
        <v>0</v>
      </c>
      <c r="K640" t="n">
        <v>0</v>
      </c>
      <c r="L640" t="n">
        <v>0</v>
      </c>
      <c r="M640" t="n">
        <v>0</v>
      </c>
      <c r="N640" t="n">
        <v>0</v>
      </c>
      <c r="O640" t="n">
        <v>0</v>
      </c>
      <c r="P640" t="n">
        <v>0</v>
      </c>
      <c r="Q640" t="n">
        <v>0</v>
      </c>
      <c r="R640" s="2" t="inlineStr"/>
    </row>
    <row r="641" ht="15" customHeight="1">
      <c r="A641" t="inlineStr">
        <is>
          <t>A 33261-2025</t>
        </is>
      </c>
      <c r="B641" s="1" t="n">
        <v>45840</v>
      </c>
      <c r="C641" s="1" t="n">
        <v>45899</v>
      </c>
      <c r="D641" t="inlineStr">
        <is>
          <t>UPPSALA LÄN</t>
        </is>
      </c>
      <c r="E641" t="inlineStr">
        <is>
          <t>UPPSALA</t>
        </is>
      </c>
      <c r="G641" t="n">
        <v>3.4</v>
      </c>
      <c r="H641" t="n">
        <v>0</v>
      </c>
      <c r="I641" t="n">
        <v>0</v>
      </c>
      <c r="J641" t="n">
        <v>0</v>
      </c>
      <c r="K641" t="n">
        <v>0</v>
      </c>
      <c r="L641" t="n">
        <v>0</v>
      </c>
      <c r="M641" t="n">
        <v>0</v>
      </c>
      <c r="N641" t="n">
        <v>0</v>
      </c>
      <c r="O641" t="n">
        <v>0</v>
      </c>
      <c r="P641" t="n">
        <v>0</v>
      </c>
      <c r="Q641" t="n">
        <v>0</v>
      </c>
      <c r="R641" s="2" t="inlineStr"/>
    </row>
    <row r="642" ht="15" customHeight="1">
      <c r="A642" t="inlineStr">
        <is>
          <t>A 38113-2025</t>
        </is>
      </c>
      <c r="B642" s="1" t="n">
        <v>45882.52290509259</v>
      </c>
      <c r="C642" s="1" t="n">
        <v>45899</v>
      </c>
      <c r="D642" t="inlineStr">
        <is>
          <t>UPPSALA LÄN</t>
        </is>
      </c>
      <c r="E642" t="inlineStr">
        <is>
          <t>UPPSALA</t>
        </is>
      </c>
      <c r="G642" t="n">
        <v>5.8</v>
      </c>
      <c r="H642" t="n">
        <v>0</v>
      </c>
      <c r="I642" t="n">
        <v>0</v>
      </c>
      <c r="J642" t="n">
        <v>0</v>
      </c>
      <c r="K642" t="n">
        <v>0</v>
      </c>
      <c r="L642" t="n">
        <v>0</v>
      </c>
      <c r="M642" t="n">
        <v>0</v>
      </c>
      <c r="N642" t="n">
        <v>0</v>
      </c>
      <c r="O642" t="n">
        <v>0</v>
      </c>
      <c r="P642" t="n">
        <v>0</v>
      </c>
      <c r="Q642" t="n">
        <v>0</v>
      </c>
      <c r="R642" s="2" t="inlineStr"/>
    </row>
    <row r="643" ht="15" customHeight="1">
      <c r="A643" t="inlineStr">
        <is>
          <t>A 9984-2025</t>
        </is>
      </c>
      <c r="B643" s="1" t="n">
        <v>45719.42197916667</v>
      </c>
      <c r="C643" s="1" t="n">
        <v>45899</v>
      </c>
      <c r="D643" t="inlineStr">
        <is>
          <t>UPPSALA LÄN</t>
        </is>
      </c>
      <c r="E643" t="inlineStr">
        <is>
          <t>UPPSALA</t>
        </is>
      </c>
      <c r="F643" t="inlineStr">
        <is>
          <t>Kyrkan</t>
        </is>
      </c>
      <c r="G643" t="n">
        <v>2</v>
      </c>
      <c r="H643" t="n">
        <v>0</v>
      </c>
      <c r="I643" t="n">
        <v>0</v>
      </c>
      <c r="J643" t="n">
        <v>0</v>
      </c>
      <c r="K643" t="n">
        <v>0</v>
      </c>
      <c r="L643" t="n">
        <v>0</v>
      </c>
      <c r="M643" t="n">
        <v>0</v>
      </c>
      <c r="N643" t="n">
        <v>0</v>
      </c>
      <c r="O643" t="n">
        <v>0</v>
      </c>
      <c r="P643" t="n">
        <v>0</v>
      </c>
      <c r="Q643" t="n">
        <v>0</v>
      </c>
      <c r="R643" s="2" t="inlineStr"/>
    </row>
    <row r="644" ht="15" customHeight="1">
      <c r="A644" t="inlineStr">
        <is>
          <t>A 9991-2025</t>
        </is>
      </c>
      <c r="B644" s="1" t="n">
        <v>45719.43646990741</v>
      </c>
      <c r="C644" s="1" t="n">
        <v>45899</v>
      </c>
      <c r="D644" t="inlineStr">
        <is>
          <t>UPPSALA LÄN</t>
        </is>
      </c>
      <c r="E644" t="inlineStr">
        <is>
          <t>UPPSALA</t>
        </is>
      </c>
      <c r="F644" t="inlineStr">
        <is>
          <t>Kyrkan</t>
        </is>
      </c>
      <c r="G644" t="n">
        <v>6.1</v>
      </c>
      <c r="H644" t="n">
        <v>0</v>
      </c>
      <c r="I644" t="n">
        <v>0</v>
      </c>
      <c r="J644" t="n">
        <v>0</v>
      </c>
      <c r="K644" t="n">
        <v>0</v>
      </c>
      <c r="L644" t="n">
        <v>0</v>
      </c>
      <c r="M644" t="n">
        <v>0</v>
      </c>
      <c r="N644" t="n">
        <v>0</v>
      </c>
      <c r="O644" t="n">
        <v>0</v>
      </c>
      <c r="P644" t="n">
        <v>0</v>
      </c>
      <c r="Q644" t="n">
        <v>0</v>
      </c>
      <c r="R644" s="2" t="inlineStr"/>
    </row>
    <row r="645" ht="15" customHeight="1">
      <c r="A645" t="inlineStr">
        <is>
          <t>A 35542-2022</t>
        </is>
      </c>
      <c r="B645" s="1" t="n">
        <v>44799.36695601852</v>
      </c>
      <c r="C645" s="1" t="n">
        <v>45899</v>
      </c>
      <c r="D645" t="inlineStr">
        <is>
          <t>UPPSALA LÄN</t>
        </is>
      </c>
      <c r="E645" t="inlineStr">
        <is>
          <t>UPPSALA</t>
        </is>
      </c>
      <c r="G645" t="n">
        <v>3.2</v>
      </c>
      <c r="H645" t="n">
        <v>0</v>
      </c>
      <c r="I645" t="n">
        <v>0</v>
      </c>
      <c r="J645" t="n">
        <v>0</v>
      </c>
      <c r="K645" t="n">
        <v>0</v>
      </c>
      <c r="L645" t="n">
        <v>0</v>
      </c>
      <c r="M645" t="n">
        <v>0</v>
      </c>
      <c r="N645" t="n">
        <v>0</v>
      </c>
      <c r="O645" t="n">
        <v>0</v>
      </c>
      <c r="P645" t="n">
        <v>0</v>
      </c>
      <c r="Q645" t="n">
        <v>0</v>
      </c>
      <c r="R645" s="2" t="inlineStr"/>
    </row>
    <row r="646" ht="15" customHeight="1">
      <c r="A646" t="inlineStr">
        <is>
          <t>A 33708-2025</t>
        </is>
      </c>
      <c r="B646" s="1" t="n">
        <v>45841.81555555556</v>
      </c>
      <c r="C646" s="1" t="n">
        <v>45899</v>
      </c>
      <c r="D646" t="inlineStr">
        <is>
          <t>UPPSALA LÄN</t>
        </is>
      </c>
      <c r="E646" t="inlineStr">
        <is>
          <t>UPPSALA</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33571-2025</t>
        </is>
      </c>
      <c r="B647" s="1" t="n">
        <v>45841.5847337963</v>
      </c>
      <c r="C647" s="1" t="n">
        <v>45899</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59585-2023</t>
        </is>
      </c>
      <c r="B648" s="1" t="n">
        <v>45254</v>
      </c>
      <c r="C648" s="1" t="n">
        <v>45899</v>
      </c>
      <c r="D648" t="inlineStr">
        <is>
          <t>UPPSALA LÄN</t>
        </is>
      </c>
      <c r="E648" t="inlineStr">
        <is>
          <t>UPPSALA</t>
        </is>
      </c>
      <c r="G648" t="n">
        <v>4.4</v>
      </c>
      <c r="H648" t="n">
        <v>0</v>
      </c>
      <c r="I648" t="n">
        <v>0</v>
      </c>
      <c r="J648" t="n">
        <v>0</v>
      </c>
      <c r="K648" t="n">
        <v>0</v>
      </c>
      <c r="L648" t="n">
        <v>0</v>
      </c>
      <c r="M648" t="n">
        <v>0</v>
      </c>
      <c r="N648" t="n">
        <v>0</v>
      </c>
      <c r="O648" t="n">
        <v>0</v>
      </c>
      <c r="P648" t="n">
        <v>0</v>
      </c>
      <c r="Q648" t="n">
        <v>0</v>
      </c>
      <c r="R648" s="2" t="inlineStr"/>
    </row>
    <row r="649" ht="15" customHeight="1">
      <c r="A649" t="inlineStr">
        <is>
          <t>A 3813-2024</t>
        </is>
      </c>
      <c r="B649" s="1" t="n">
        <v>45321</v>
      </c>
      <c r="C649" s="1" t="n">
        <v>45899</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25462-2023</t>
        </is>
      </c>
      <c r="B650" s="1" t="n">
        <v>45089</v>
      </c>
      <c r="C650" s="1" t="n">
        <v>45899</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3260-2024</t>
        </is>
      </c>
      <c r="B651" s="1" t="n">
        <v>45317</v>
      </c>
      <c r="C651" s="1" t="n">
        <v>45899</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33622-2024</t>
        </is>
      </c>
      <c r="B652" s="1" t="n">
        <v>45520</v>
      </c>
      <c r="C652" s="1" t="n">
        <v>45899</v>
      </c>
      <c r="D652" t="inlineStr">
        <is>
          <t>UPPSALA LÄN</t>
        </is>
      </c>
      <c r="E652" t="inlineStr">
        <is>
          <t>UPPSALA</t>
        </is>
      </c>
      <c r="G652" t="n">
        <v>1</v>
      </c>
      <c r="H652" t="n">
        <v>0</v>
      </c>
      <c r="I652" t="n">
        <v>0</v>
      </c>
      <c r="J652" t="n">
        <v>0</v>
      </c>
      <c r="K652" t="n">
        <v>0</v>
      </c>
      <c r="L652" t="n">
        <v>0</v>
      </c>
      <c r="M652" t="n">
        <v>0</v>
      </c>
      <c r="N652" t="n">
        <v>0</v>
      </c>
      <c r="O652" t="n">
        <v>0</v>
      </c>
      <c r="P652" t="n">
        <v>0</v>
      </c>
      <c r="Q652" t="n">
        <v>0</v>
      </c>
      <c r="R652" s="2" t="inlineStr"/>
    </row>
    <row r="653" ht="15" customHeight="1">
      <c r="A653" t="inlineStr">
        <is>
          <t>A 9611-2024</t>
        </is>
      </c>
      <c r="B653" s="1" t="n">
        <v>45361.57299768519</v>
      </c>
      <c r="C653" s="1" t="n">
        <v>45899</v>
      </c>
      <c r="D653" t="inlineStr">
        <is>
          <t>UPPSALA LÄN</t>
        </is>
      </c>
      <c r="E653" t="inlineStr">
        <is>
          <t>UPPSALA</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33964-2025</t>
        </is>
      </c>
      <c r="B654" s="1" t="n">
        <v>45842.74049768518</v>
      </c>
      <c r="C654" s="1" t="n">
        <v>45899</v>
      </c>
      <c r="D654" t="inlineStr">
        <is>
          <t>UPPSALA LÄN</t>
        </is>
      </c>
      <c r="E654" t="inlineStr">
        <is>
          <t>UPPSALA</t>
        </is>
      </c>
      <c r="G654" t="n">
        <v>2.7</v>
      </c>
      <c r="H654" t="n">
        <v>0</v>
      </c>
      <c r="I654" t="n">
        <v>0</v>
      </c>
      <c r="J654" t="n">
        <v>0</v>
      </c>
      <c r="K654" t="n">
        <v>0</v>
      </c>
      <c r="L654" t="n">
        <v>0</v>
      </c>
      <c r="M654" t="n">
        <v>0</v>
      </c>
      <c r="N654" t="n">
        <v>0</v>
      </c>
      <c r="O654" t="n">
        <v>0</v>
      </c>
      <c r="P654" t="n">
        <v>0</v>
      </c>
      <c r="Q654" t="n">
        <v>0</v>
      </c>
      <c r="R654" s="2" t="inlineStr"/>
    </row>
    <row r="655" ht="15" customHeight="1">
      <c r="A655" t="inlineStr">
        <is>
          <t>A 39107-2023</t>
        </is>
      </c>
      <c r="B655" s="1" t="n">
        <v>45164.82913194445</v>
      </c>
      <c r="C655" s="1" t="n">
        <v>45899</v>
      </c>
      <c r="D655" t="inlineStr">
        <is>
          <t>UPPSALA LÄN</t>
        </is>
      </c>
      <c r="E655" t="inlineStr">
        <is>
          <t>UPPSALA</t>
        </is>
      </c>
      <c r="F655" t="inlineStr">
        <is>
          <t>Bergvik skog öst AB</t>
        </is>
      </c>
      <c r="G655" t="n">
        <v>1</v>
      </c>
      <c r="H655" t="n">
        <v>0</v>
      </c>
      <c r="I655" t="n">
        <v>0</v>
      </c>
      <c r="J655" t="n">
        <v>0</v>
      </c>
      <c r="K655" t="n">
        <v>0</v>
      </c>
      <c r="L655" t="n">
        <v>0</v>
      </c>
      <c r="M655" t="n">
        <v>0</v>
      </c>
      <c r="N655" t="n">
        <v>0</v>
      </c>
      <c r="O655" t="n">
        <v>0</v>
      </c>
      <c r="P655" t="n">
        <v>0</v>
      </c>
      <c r="Q655" t="n">
        <v>0</v>
      </c>
      <c r="R655" s="2" t="inlineStr"/>
    </row>
    <row r="656" ht="15" customHeight="1">
      <c r="A656" t="inlineStr">
        <is>
          <t>A 3314-2025</t>
        </is>
      </c>
      <c r="B656" s="1" t="n">
        <v>45679</v>
      </c>
      <c r="C656" s="1" t="n">
        <v>45899</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8109-2024</t>
        </is>
      </c>
      <c r="B657" s="1" t="n">
        <v>45351.48662037037</v>
      </c>
      <c r="C657" s="1" t="n">
        <v>45899</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554-2023</t>
        </is>
      </c>
      <c r="B658" s="1" t="n">
        <v>44930</v>
      </c>
      <c r="C658" s="1" t="n">
        <v>45899</v>
      </c>
      <c r="D658" t="inlineStr">
        <is>
          <t>UPPSALA LÄN</t>
        </is>
      </c>
      <c r="E658" t="inlineStr">
        <is>
          <t>UPPSALA</t>
        </is>
      </c>
      <c r="G658" t="n">
        <v>2</v>
      </c>
      <c r="H658" t="n">
        <v>0</v>
      </c>
      <c r="I658" t="n">
        <v>0</v>
      </c>
      <c r="J658" t="n">
        <v>0</v>
      </c>
      <c r="K658" t="n">
        <v>0</v>
      </c>
      <c r="L658" t="n">
        <v>0</v>
      </c>
      <c r="M658" t="n">
        <v>0</v>
      </c>
      <c r="N658" t="n">
        <v>0</v>
      </c>
      <c r="O658" t="n">
        <v>0</v>
      </c>
      <c r="P658" t="n">
        <v>0</v>
      </c>
      <c r="Q658" t="n">
        <v>0</v>
      </c>
      <c r="R658" s="2" t="inlineStr"/>
    </row>
    <row r="659" ht="15" customHeight="1">
      <c r="A659" t="inlineStr">
        <is>
          <t>A 2357-2024</t>
        </is>
      </c>
      <c r="B659" s="1" t="n">
        <v>45310</v>
      </c>
      <c r="C659" s="1" t="n">
        <v>45899</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27442-2024</t>
        </is>
      </c>
      <c r="B660" s="1" t="n">
        <v>45474.41729166666</v>
      </c>
      <c r="C660" s="1" t="n">
        <v>45899</v>
      </c>
      <c r="D660" t="inlineStr">
        <is>
          <t>UPPSALA LÄN</t>
        </is>
      </c>
      <c r="E660" t="inlineStr">
        <is>
          <t>UPPSALA</t>
        </is>
      </c>
      <c r="F660" t="inlineStr">
        <is>
          <t>Holmen skog AB</t>
        </is>
      </c>
      <c r="G660" t="n">
        <v>2.6</v>
      </c>
      <c r="H660" t="n">
        <v>0</v>
      </c>
      <c r="I660" t="n">
        <v>0</v>
      </c>
      <c r="J660" t="n">
        <v>0</v>
      </c>
      <c r="K660" t="n">
        <v>0</v>
      </c>
      <c r="L660" t="n">
        <v>0</v>
      </c>
      <c r="M660" t="n">
        <v>0</v>
      </c>
      <c r="N660" t="n">
        <v>0</v>
      </c>
      <c r="O660" t="n">
        <v>0</v>
      </c>
      <c r="P660" t="n">
        <v>0</v>
      </c>
      <c r="Q660" t="n">
        <v>0</v>
      </c>
      <c r="R660" s="2" t="inlineStr"/>
    </row>
    <row r="661" ht="15" customHeight="1">
      <c r="A661" t="inlineStr">
        <is>
          <t>A 44781-2021</t>
        </is>
      </c>
      <c r="B661" s="1" t="n">
        <v>44438</v>
      </c>
      <c r="C661" s="1" t="n">
        <v>45899</v>
      </c>
      <c r="D661" t="inlineStr">
        <is>
          <t>UPPSALA LÄN</t>
        </is>
      </c>
      <c r="E661" t="inlineStr">
        <is>
          <t>UPPSALA</t>
        </is>
      </c>
      <c r="F661" t="inlineStr">
        <is>
          <t>Sveaskog</t>
        </is>
      </c>
      <c r="G661" t="n">
        <v>0.1</v>
      </c>
      <c r="H661" t="n">
        <v>0</v>
      </c>
      <c r="I661" t="n">
        <v>0</v>
      </c>
      <c r="J661" t="n">
        <v>0</v>
      </c>
      <c r="K661" t="n">
        <v>0</v>
      </c>
      <c r="L661" t="n">
        <v>0</v>
      </c>
      <c r="M661" t="n">
        <v>0</v>
      </c>
      <c r="N661" t="n">
        <v>0</v>
      </c>
      <c r="O661" t="n">
        <v>0</v>
      </c>
      <c r="P661" t="n">
        <v>0</v>
      </c>
      <c r="Q661" t="n">
        <v>0</v>
      </c>
      <c r="R661" s="2" t="inlineStr"/>
    </row>
    <row r="662" ht="15" customHeight="1">
      <c r="A662" t="inlineStr">
        <is>
          <t>A 18625-2025</t>
        </is>
      </c>
      <c r="B662" s="1" t="n">
        <v>45763.52744212963</v>
      </c>
      <c r="C662" s="1" t="n">
        <v>45899</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36478-2023</t>
        </is>
      </c>
      <c r="B663" s="1" t="n">
        <v>45152</v>
      </c>
      <c r="C663" s="1" t="n">
        <v>45899</v>
      </c>
      <c r="D663" t="inlineStr">
        <is>
          <t>UPPSALA LÄN</t>
        </is>
      </c>
      <c r="E663" t="inlineStr">
        <is>
          <t>UPPSALA</t>
        </is>
      </c>
      <c r="F663" t="inlineStr">
        <is>
          <t>Allmännings- och besparingsskogar</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37611-2025</t>
        </is>
      </c>
      <c r="B664" s="1" t="n">
        <v>45880</v>
      </c>
      <c r="C664" s="1" t="n">
        <v>45899</v>
      </c>
      <c r="D664" t="inlineStr">
        <is>
          <t>UPPSALA LÄN</t>
        </is>
      </c>
      <c r="E664" t="inlineStr">
        <is>
          <t>UPPSALA</t>
        </is>
      </c>
      <c r="G664" t="n">
        <v>2.9</v>
      </c>
      <c r="H664" t="n">
        <v>0</v>
      </c>
      <c r="I664" t="n">
        <v>0</v>
      </c>
      <c r="J664" t="n">
        <v>0</v>
      </c>
      <c r="K664" t="n">
        <v>0</v>
      </c>
      <c r="L664" t="n">
        <v>0</v>
      </c>
      <c r="M664" t="n">
        <v>0</v>
      </c>
      <c r="N664" t="n">
        <v>0</v>
      </c>
      <c r="O664" t="n">
        <v>0</v>
      </c>
      <c r="P664" t="n">
        <v>0</v>
      </c>
      <c r="Q664" t="n">
        <v>0</v>
      </c>
      <c r="R664" s="2" t="inlineStr"/>
    </row>
    <row r="665" ht="15" customHeight="1">
      <c r="A665" t="inlineStr">
        <is>
          <t>A 34132-2025</t>
        </is>
      </c>
      <c r="B665" s="1" t="n">
        <v>45845.53202546296</v>
      </c>
      <c r="C665" s="1" t="n">
        <v>45899</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26323-2023</t>
        </is>
      </c>
      <c r="B666" s="1" t="n">
        <v>45091.69766203704</v>
      </c>
      <c r="C666" s="1" t="n">
        <v>45899</v>
      </c>
      <c r="D666" t="inlineStr">
        <is>
          <t>UPPSALA LÄN</t>
        </is>
      </c>
      <c r="E666" t="inlineStr">
        <is>
          <t>UPPSALA</t>
        </is>
      </c>
      <c r="G666" t="n">
        <v>3.1</v>
      </c>
      <c r="H666" t="n">
        <v>0</v>
      </c>
      <c r="I666" t="n">
        <v>0</v>
      </c>
      <c r="J666" t="n">
        <v>0</v>
      </c>
      <c r="K666" t="n">
        <v>0</v>
      </c>
      <c r="L666" t="n">
        <v>0</v>
      </c>
      <c r="M666" t="n">
        <v>0</v>
      </c>
      <c r="N666" t="n">
        <v>0</v>
      </c>
      <c r="O666" t="n">
        <v>0</v>
      </c>
      <c r="P666" t="n">
        <v>0</v>
      </c>
      <c r="Q666" t="n">
        <v>0</v>
      </c>
      <c r="R666" s="2" t="inlineStr"/>
    </row>
    <row r="667" ht="15" customHeight="1">
      <c r="A667" t="inlineStr">
        <is>
          <t>A 39529-2025</t>
        </is>
      </c>
      <c r="B667" s="1" t="n">
        <v>45890</v>
      </c>
      <c r="C667" s="1" t="n">
        <v>45899</v>
      </c>
      <c r="D667" t="inlineStr">
        <is>
          <t>UPPSALA LÄN</t>
        </is>
      </c>
      <c r="E667" t="inlineStr">
        <is>
          <t>UPPSALA</t>
        </is>
      </c>
      <c r="F667" t="inlineStr">
        <is>
          <t>Allmännings- och besparingsskogar</t>
        </is>
      </c>
      <c r="G667" t="n">
        <v>3.9</v>
      </c>
      <c r="H667" t="n">
        <v>0</v>
      </c>
      <c r="I667" t="n">
        <v>0</v>
      </c>
      <c r="J667" t="n">
        <v>0</v>
      </c>
      <c r="K667" t="n">
        <v>0</v>
      </c>
      <c r="L667" t="n">
        <v>0</v>
      </c>
      <c r="M667" t="n">
        <v>0</v>
      </c>
      <c r="N667" t="n">
        <v>0</v>
      </c>
      <c r="O667" t="n">
        <v>0</v>
      </c>
      <c r="P667" t="n">
        <v>0</v>
      </c>
      <c r="Q667" t="n">
        <v>0</v>
      </c>
      <c r="R667" s="2" t="inlineStr"/>
    </row>
    <row r="668" ht="15" customHeight="1">
      <c r="A668" t="inlineStr">
        <is>
          <t>A 60003-2024</t>
        </is>
      </c>
      <c r="B668" s="1" t="n">
        <v>45642</v>
      </c>
      <c r="C668" s="1" t="n">
        <v>45899</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16288-2025</t>
        </is>
      </c>
      <c r="B669" s="1" t="n">
        <v>45751.32001157408</v>
      </c>
      <c r="C669" s="1" t="n">
        <v>45899</v>
      </c>
      <c r="D669" t="inlineStr">
        <is>
          <t>UPPSALA LÄN</t>
        </is>
      </c>
      <c r="E669" t="inlineStr">
        <is>
          <t>UPPSALA</t>
        </is>
      </c>
      <c r="G669" t="n">
        <v>3.9</v>
      </c>
      <c r="H669" t="n">
        <v>0</v>
      </c>
      <c r="I669" t="n">
        <v>0</v>
      </c>
      <c r="J669" t="n">
        <v>0</v>
      </c>
      <c r="K669" t="n">
        <v>0</v>
      </c>
      <c r="L669" t="n">
        <v>0</v>
      </c>
      <c r="M669" t="n">
        <v>0</v>
      </c>
      <c r="N669" t="n">
        <v>0</v>
      </c>
      <c r="O669" t="n">
        <v>0</v>
      </c>
      <c r="P669" t="n">
        <v>0</v>
      </c>
      <c r="Q669" t="n">
        <v>0</v>
      </c>
      <c r="R669" s="2" t="inlineStr"/>
    </row>
    <row r="670" ht="15" customHeight="1">
      <c r="A670" t="inlineStr">
        <is>
          <t>A 6058-2025</t>
        </is>
      </c>
      <c r="B670" s="1" t="n">
        <v>45695.83655092592</v>
      </c>
      <c r="C670" s="1" t="n">
        <v>45899</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8164-2025</t>
        </is>
      </c>
      <c r="B671" s="1" t="n">
        <v>45707</v>
      </c>
      <c r="C671" s="1" t="n">
        <v>45899</v>
      </c>
      <c r="D671" t="inlineStr">
        <is>
          <t>UPPSALA LÄN</t>
        </is>
      </c>
      <c r="E671" t="inlineStr">
        <is>
          <t>UPPSALA</t>
        </is>
      </c>
      <c r="F671" t="inlineStr">
        <is>
          <t>Övriga Aktiebolag</t>
        </is>
      </c>
      <c r="G671" t="n">
        <v>12.2</v>
      </c>
      <c r="H671" t="n">
        <v>0</v>
      </c>
      <c r="I671" t="n">
        <v>0</v>
      </c>
      <c r="J671" t="n">
        <v>0</v>
      </c>
      <c r="K671" t="n">
        <v>0</v>
      </c>
      <c r="L671" t="n">
        <v>0</v>
      </c>
      <c r="M671" t="n">
        <v>0</v>
      </c>
      <c r="N671" t="n">
        <v>0</v>
      </c>
      <c r="O671" t="n">
        <v>0</v>
      </c>
      <c r="P671" t="n">
        <v>0</v>
      </c>
      <c r="Q671" t="n">
        <v>0</v>
      </c>
      <c r="R671" s="2" t="inlineStr"/>
    </row>
    <row r="672" ht="15" customHeight="1">
      <c r="A672" t="inlineStr">
        <is>
          <t>A 60954-2024</t>
        </is>
      </c>
      <c r="B672" s="1" t="n">
        <v>45645</v>
      </c>
      <c r="C672" s="1" t="n">
        <v>45899</v>
      </c>
      <c r="D672" t="inlineStr">
        <is>
          <t>UPPSALA LÄN</t>
        </is>
      </c>
      <c r="E672" t="inlineStr">
        <is>
          <t>UPPSALA</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31157-2023</t>
        </is>
      </c>
      <c r="B673" s="1" t="n">
        <v>45113</v>
      </c>
      <c r="C673" s="1" t="n">
        <v>45899</v>
      </c>
      <c r="D673" t="inlineStr">
        <is>
          <t>UPPSALA LÄN</t>
        </is>
      </c>
      <c r="E673" t="inlineStr">
        <is>
          <t>UPPSALA</t>
        </is>
      </c>
      <c r="G673" t="n">
        <v>1.6</v>
      </c>
      <c r="H673" t="n">
        <v>0</v>
      </c>
      <c r="I673" t="n">
        <v>0</v>
      </c>
      <c r="J673" t="n">
        <v>0</v>
      </c>
      <c r="K673" t="n">
        <v>0</v>
      </c>
      <c r="L673" t="n">
        <v>0</v>
      </c>
      <c r="M673" t="n">
        <v>0</v>
      </c>
      <c r="N673" t="n">
        <v>0</v>
      </c>
      <c r="O673" t="n">
        <v>0</v>
      </c>
      <c r="P673" t="n">
        <v>0</v>
      </c>
      <c r="Q673" t="n">
        <v>0</v>
      </c>
      <c r="R673" s="2" t="inlineStr"/>
    </row>
    <row r="674" ht="15" customHeight="1">
      <c r="A674" t="inlineStr">
        <is>
          <t>A 31161-2023</t>
        </is>
      </c>
      <c r="B674" s="1" t="n">
        <v>45113.80170138889</v>
      </c>
      <c r="C674" s="1" t="n">
        <v>45899</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35014-2025</t>
        </is>
      </c>
      <c r="B675" s="1" t="n">
        <v>45851.60097222222</v>
      </c>
      <c r="C675" s="1" t="n">
        <v>45899</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35016-2025</t>
        </is>
      </c>
      <c r="B676" s="1" t="n">
        <v>45851.62179398148</v>
      </c>
      <c r="C676" s="1" t="n">
        <v>45899</v>
      </c>
      <c r="D676" t="inlineStr">
        <is>
          <t>UPPSALA LÄN</t>
        </is>
      </c>
      <c r="E676" t="inlineStr">
        <is>
          <t>UPPSALA</t>
        </is>
      </c>
      <c r="F676" t="inlineStr">
        <is>
          <t>Bergvik skog öst AB</t>
        </is>
      </c>
      <c r="G676" t="n">
        <v>7</v>
      </c>
      <c r="H676" t="n">
        <v>0</v>
      </c>
      <c r="I676" t="n">
        <v>0</v>
      </c>
      <c r="J676" t="n">
        <v>0</v>
      </c>
      <c r="K676" t="n">
        <v>0</v>
      </c>
      <c r="L676" t="n">
        <v>0</v>
      </c>
      <c r="M676" t="n">
        <v>0</v>
      </c>
      <c r="N676" t="n">
        <v>0</v>
      </c>
      <c r="O676" t="n">
        <v>0</v>
      </c>
      <c r="P676" t="n">
        <v>0</v>
      </c>
      <c r="Q676" t="n">
        <v>0</v>
      </c>
      <c r="R676" s="2" t="inlineStr"/>
    </row>
    <row r="677" ht="15" customHeight="1">
      <c r="A677" t="inlineStr">
        <is>
          <t>A 17593-2025</t>
        </is>
      </c>
      <c r="B677" s="1" t="n">
        <v>45757.6997337963</v>
      </c>
      <c r="C677" s="1" t="n">
        <v>45899</v>
      </c>
      <c r="D677" t="inlineStr">
        <is>
          <t>UPPSALA LÄN</t>
        </is>
      </c>
      <c r="E677" t="inlineStr">
        <is>
          <t>UPPSALA</t>
        </is>
      </c>
      <c r="G677" t="n">
        <v>3.6</v>
      </c>
      <c r="H677" t="n">
        <v>0</v>
      </c>
      <c r="I677" t="n">
        <v>0</v>
      </c>
      <c r="J677" t="n">
        <v>0</v>
      </c>
      <c r="K677" t="n">
        <v>0</v>
      </c>
      <c r="L677" t="n">
        <v>0</v>
      </c>
      <c r="M677" t="n">
        <v>0</v>
      </c>
      <c r="N677" t="n">
        <v>0</v>
      </c>
      <c r="O677" t="n">
        <v>0</v>
      </c>
      <c r="P677" t="n">
        <v>0</v>
      </c>
      <c r="Q677" t="n">
        <v>0</v>
      </c>
      <c r="R677" s="2" t="inlineStr"/>
    </row>
    <row r="678" ht="15" customHeight="1">
      <c r="A678" t="inlineStr">
        <is>
          <t>A 17596-2025</t>
        </is>
      </c>
      <c r="B678" s="1" t="n">
        <v>45757</v>
      </c>
      <c r="C678" s="1" t="n">
        <v>45899</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57871-2024</t>
        </is>
      </c>
      <c r="B679" s="1" t="n">
        <v>45631.44464120371</v>
      </c>
      <c r="C679" s="1" t="n">
        <v>45899</v>
      </c>
      <c r="D679" t="inlineStr">
        <is>
          <t>UPPSALA LÄN</t>
        </is>
      </c>
      <c r="E679" t="inlineStr">
        <is>
          <t>UPPSALA</t>
        </is>
      </c>
      <c r="G679" t="n">
        <v>2.9</v>
      </c>
      <c r="H679" t="n">
        <v>0</v>
      </c>
      <c r="I679" t="n">
        <v>0</v>
      </c>
      <c r="J679" t="n">
        <v>0</v>
      </c>
      <c r="K679" t="n">
        <v>0</v>
      </c>
      <c r="L679" t="n">
        <v>0</v>
      </c>
      <c r="M679" t="n">
        <v>0</v>
      </c>
      <c r="N679" t="n">
        <v>0</v>
      </c>
      <c r="O679" t="n">
        <v>0</v>
      </c>
      <c r="P679" t="n">
        <v>0</v>
      </c>
      <c r="Q679" t="n">
        <v>0</v>
      </c>
      <c r="R679" s="2" t="inlineStr"/>
    </row>
    <row r="680" ht="15" customHeight="1">
      <c r="A680" t="inlineStr">
        <is>
          <t>A 13502-2025</t>
        </is>
      </c>
      <c r="B680" s="1" t="n">
        <v>45736.45847222222</v>
      </c>
      <c r="C680" s="1" t="n">
        <v>45899</v>
      </c>
      <c r="D680" t="inlineStr">
        <is>
          <t>UPPSALA LÄN</t>
        </is>
      </c>
      <c r="E680" t="inlineStr">
        <is>
          <t>UPPSALA</t>
        </is>
      </c>
      <c r="F680" t="inlineStr">
        <is>
          <t>Allmännings- och besparingsskogar</t>
        </is>
      </c>
      <c r="G680" t="n">
        <v>1.6</v>
      </c>
      <c r="H680" t="n">
        <v>0</v>
      </c>
      <c r="I680" t="n">
        <v>0</v>
      </c>
      <c r="J680" t="n">
        <v>0</v>
      </c>
      <c r="K680" t="n">
        <v>0</v>
      </c>
      <c r="L680" t="n">
        <v>0</v>
      </c>
      <c r="M680" t="n">
        <v>0</v>
      </c>
      <c r="N680" t="n">
        <v>0</v>
      </c>
      <c r="O680" t="n">
        <v>0</v>
      </c>
      <c r="P680" t="n">
        <v>0</v>
      </c>
      <c r="Q680" t="n">
        <v>0</v>
      </c>
      <c r="R680" s="2" t="inlineStr"/>
    </row>
    <row r="681" ht="15" customHeight="1">
      <c r="A681" t="inlineStr">
        <is>
          <t>A 35015-2025</t>
        </is>
      </c>
      <c r="B681" s="1" t="n">
        <v>45851.62018518519</v>
      </c>
      <c r="C681" s="1" t="n">
        <v>45899</v>
      </c>
      <c r="D681" t="inlineStr">
        <is>
          <t>UPPSALA LÄN</t>
        </is>
      </c>
      <c r="E681" t="inlineStr">
        <is>
          <t>UPPSALA</t>
        </is>
      </c>
      <c r="F681" t="inlineStr">
        <is>
          <t>Bergvik skog öst AB</t>
        </is>
      </c>
      <c r="G681" t="n">
        <v>0.3</v>
      </c>
      <c r="H681" t="n">
        <v>0</v>
      </c>
      <c r="I681" t="n">
        <v>0</v>
      </c>
      <c r="J681" t="n">
        <v>0</v>
      </c>
      <c r="K681" t="n">
        <v>0</v>
      </c>
      <c r="L681" t="n">
        <v>0</v>
      </c>
      <c r="M681" t="n">
        <v>0</v>
      </c>
      <c r="N681" t="n">
        <v>0</v>
      </c>
      <c r="O681" t="n">
        <v>0</v>
      </c>
      <c r="P681" t="n">
        <v>0</v>
      </c>
      <c r="Q681" t="n">
        <v>0</v>
      </c>
      <c r="R681" s="2" t="inlineStr"/>
    </row>
    <row r="682" ht="15" customHeight="1">
      <c r="A682" t="inlineStr">
        <is>
          <t>A 60820-2024</t>
        </is>
      </c>
      <c r="B682" s="1" t="n">
        <v>45644.62677083333</v>
      </c>
      <c r="C682" s="1" t="n">
        <v>45899</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5605-2025</t>
        </is>
      </c>
      <c r="B683" s="1" t="n">
        <v>45693</v>
      </c>
      <c r="C683" s="1" t="n">
        <v>45899</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18675-2024</t>
        </is>
      </c>
      <c r="B684" s="1" t="n">
        <v>45426</v>
      </c>
      <c r="C684" s="1" t="n">
        <v>45899</v>
      </c>
      <c r="D684" t="inlineStr">
        <is>
          <t>UPPSALA LÄN</t>
        </is>
      </c>
      <c r="E684" t="inlineStr">
        <is>
          <t>UPPSALA</t>
        </is>
      </c>
      <c r="G684" t="n">
        <v>8.1</v>
      </c>
      <c r="H684" t="n">
        <v>0</v>
      </c>
      <c r="I684" t="n">
        <v>0</v>
      </c>
      <c r="J684" t="n">
        <v>0</v>
      </c>
      <c r="K684" t="n">
        <v>0</v>
      </c>
      <c r="L684" t="n">
        <v>0</v>
      </c>
      <c r="M684" t="n">
        <v>0</v>
      </c>
      <c r="N684" t="n">
        <v>0</v>
      </c>
      <c r="O684" t="n">
        <v>0</v>
      </c>
      <c r="P684" t="n">
        <v>0</v>
      </c>
      <c r="Q684" t="n">
        <v>0</v>
      </c>
      <c r="R684" s="2" t="inlineStr"/>
    </row>
    <row r="685" ht="15" customHeight="1">
      <c r="A685" t="inlineStr">
        <is>
          <t>A 34893-2025</t>
        </is>
      </c>
      <c r="B685" s="1" t="n">
        <v>45849.49259259259</v>
      </c>
      <c r="C685" s="1" t="n">
        <v>45899</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35148-2025</t>
        </is>
      </c>
      <c r="B686" s="1" t="n">
        <v>45852.67366898148</v>
      </c>
      <c r="C686" s="1" t="n">
        <v>45899</v>
      </c>
      <c r="D686" t="inlineStr">
        <is>
          <t>UPPSALA LÄN</t>
        </is>
      </c>
      <c r="E686" t="inlineStr">
        <is>
          <t>UPPSALA</t>
        </is>
      </c>
      <c r="F686" t="inlineStr">
        <is>
          <t>Holmen skog AB</t>
        </is>
      </c>
      <c r="G686" t="n">
        <v>2.2</v>
      </c>
      <c r="H686" t="n">
        <v>0</v>
      </c>
      <c r="I686" t="n">
        <v>0</v>
      </c>
      <c r="J686" t="n">
        <v>0</v>
      </c>
      <c r="K686" t="n">
        <v>0</v>
      </c>
      <c r="L686" t="n">
        <v>0</v>
      </c>
      <c r="M686" t="n">
        <v>0</v>
      </c>
      <c r="N686" t="n">
        <v>0</v>
      </c>
      <c r="O686" t="n">
        <v>0</v>
      </c>
      <c r="P686" t="n">
        <v>0</v>
      </c>
      <c r="Q686" t="n">
        <v>0</v>
      </c>
      <c r="R686" s="2" t="inlineStr"/>
    </row>
    <row r="687" ht="15" customHeight="1">
      <c r="A687" t="inlineStr">
        <is>
          <t>A 35056-2025</t>
        </is>
      </c>
      <c r="B687" s="1" t="n">
        <v>45852.39642361111</v>
      </c>
      <c r="C687" s="1" t="n">
        <v>45899</v>
      </c>
      <c r="D687" t="inlineStr">
        <is>
          <t>UPPSALA LÄN</t>
        </is>
      </c>
      <c r="E687" t="inlineStr">
        <is>
          <t>UPPSALA</t>
        </is>
      </c>
      <c r="G687" t="n">
        <v>2.6</v>
      </c>
      <c r="H687" t="n">
        <v>0</v>
      </c>
      <c r="I687" t="n">
        <v>0</v>
      </c>
      <c r="J687" t="n">
        <v>0</v>
      </c>
      <c r="K687" t="n">
        <v>0</v>
      </c>
      <c r="L687" t="n">
        <v>0</v>
      </c>
      <c r="M687" t="n">
        <v>0</v>
      </c>
      <c r="N687" t="n">
        <v>0</v>
      </c>
      <c r="O687" t="n">
        <v>0</v>
      </c>
      <c r="P687" t="n">
        <v>0</v>
      </c>
      <c r="Q687" t="n">
        <v>0</v>
      </c>
      <c r="R687" s="2" t="inlineStr"/>
    </row>
    <row r="688" ht="15" customHeight="1">
      <c r="A688" t="inlineStr">
        <is>
          <t>A 35053-2025</t>
        </is>
      </c>
      <c r="B688" s="1" t="n">
        <v>45852.36871527778</v>
      </c>
      <c r="C688" s="1" t="n">
        <v>45899</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38469-2025</t>
        </is>
      </c>
      <c r="B689" s="1" t="n">
        <v>45884</v>
      </c>
      <c r="C689" s="1" t="n">
        <v>45899</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35155-2025</t>
        </is>
      </c>
      <c r="B690" s="1" t="n">
        <v>45852.68978009259</v>
      </c>
      <c r="C690" s="1" t="n">
        <v>45899</v>
      </c>
      <c r="D690" t="inlineStr">
        <is>
          <t>UPPSALA LÄN</t>
        </is>
      </c>
      <c r="E690" t="inlineStr">
        <is>
          <t>UPPSALA</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33332-2022</t>
        </is>
      </c>
      <c r="B691" s="1" t="n">
        <v>44788</v>
      </c>
      <c r="C691" s="1" t="n">
        <v>45899</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18054-2025</t>
        </is>
      </c>
      <c r="B692" s="1" t="n">
        <v>45761.47540509259</v>
      </c>
      <c r="C692" s="1" t="n">
        <v>45899</v>
      </c>
      <c r="D692" t="inlineStr">
        <is>
          <t>UPPSALA LÄN</t>
        </is>
      </c>
      <c r="E692" t="inlineStr">
        <is>
          <t>UPPSALA</t>
        </is>
      </c>
      <c r="G692" t="n">
        <v>1.9</v>
      </c>
      <c r="H692" t="n">
        <v>0</v>
      </c>
      <c r="I692" t="n">
        <v>0</v>
      </c>
      <c r="J692" t="n">
        <v>0</v>
      </c>
      <c r="K692" t="n">
        <v>0</v>
      </c>
      <c r="L692" t="n">
        <v>0</v>
      </c>
      <c r="M692" t="n">
        <v>0</v>
      </c>
      <c r="N692" t="n">
        <v>0</v>
      </c>
      <c r="O692" t="n">
        <v>0</v>
      </c>
      <c r="P692" t="n">
        <v>0</v>
      </c>
      <c r="Q692" t="n">
        <v>0</v>
      </c>
      <c r="R692" s="2" t="inlineStr"/>
    </row>
    <row r="693" ht="15" customHeight="1">
      <c r="A693" t="inlineStr">
        <is>
          <t>A 18058-2025</t>
        </is>
      </c>
      <c r="B693" s="1" t="n">
        <v>45761.47748842592</v>
      </c>
      <c r="C693" s="1" t="n">
        <v>45899</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39777-2025</t>
        </is>
      </c>
      <c r="B694" s="1" t="n">
        <v>45891.46827546296</v>
      </c>
      <c r="C694" s="1" t="n">
        <v>45899</v>
      </c>
      <c r="D694" t="inlineStr">
        <is>
          <t>UPPSALA LÄN</t>
        </is>
      </c>
      <c r="E694" t="inlineStr">
        <is>
          <t>UPPSALA</t>
        </is>
      </c>
      <c r="G694" t="n">
        <v>6.5</v>
      </c>
      <c r="H694" t="n">
        <v>0</v>
      </c>
      <c r="I694" t="n">
        <v>0</v>
      </c>
      <c r="J694" t="n">
        <v>0</v>
      </c>
      <c r="K694" t="n">
        <v>0</v>
      </c>
      <c r="L694" t="n">
        <v>0</v>
      </c>
      <c r="M694" t="n">
        <v>0</v>
      </c>
      <c r="N694" t="n">
        <v>0</v>
      </c>
      <c r="O694" t="n">
        <v>0</v>
      </c>
      <c r="P694" t="n">
        <v>0</v>
      </c>
      <c r="Q694" t="n">
        <v>0</v>
      </c>
      <c r="R694" s="2" t="inlineStr"/>
    </row>
    <row r="695" ht="15" customHeight="1">
      <c r="A695" t="inlineStr">
        <is>
          <t>A 39792-2025</t>
        </is>
      </c>
      <c r="B695" s="1" t="n">
        <v>45891.4865625</v>
      </c>
      <c r="C695" s="1" t="n">
        <v>45899</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35150-2025</t>
        </is>
      </c>
      <c r="B696" s="1" t="n">
        <v>45852</v>
      </c>
      <c r="C696" s="1" t="n">
        <v>45899</v>
      </c>
      <c r="D696" t="inlineStr">
        <is>
          <t>UPPSALA LÄN</t>
        </is>
      </c>
      <c r="E696" t="inlineStr">
        <is>
          <t>UPPSALA</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35167-2025</t>
        </is>
      </c>
      <c r="B697" s="1" t="n">
        <v>45852.72965277778</v>
      </c>
      <c r="C697" s="1" t="n">
        <v>45899</v>
      </c>
      <c r="D697" t="inlineStr">
        <is>
          <t>UPPSALA LÄN</t>
        </is>
      </c>
      <c r="E697" t="inlineStr">
        <is>
          <t>UPPSALA</t>
        </is>
      </c>
      <c r="F697" t="inlineStr">
        <is>
          <t>Holmen skog AB</t>
        </is>
      </c>
      <c r="G697" t="n">
        <v>10</v>
      </c>
      <c r="H697" t="n">
        <v>0</v>
      </c>
      <c r="I697" t="n">
        <v>0</v>
      </c>
      <c r="J697" t="n">
        <v>0</v>
      </c>
      <c r="K697" t="n">
        <v>0</v>
      </c>
      <c r="L697" t="n">
        <v>0</v>
      </c>
      <c r="M697" t="n">
        <v>0</v>
      </c>
      <c r="N697" t="n">
        <v>0</v>
      </c>
      <c r="O697" t="n">
        <v>0</v>
      </c>
      <c r="P697" t="n">
        <v>0</v>
      </c>
      <c r="Q697" t="n">
        <v>0</v>
      </c>
      <c r="R697" s="2" t="inlineStr"/>
    </row>
    <row r="698" ht="15" customHeight="1">
      <c r="A698" t="inlineStr">
        <is>
          <t>A 39721-2025</t>
        </is>
      </c>
      <c r="B698" s="1" t="n">
        <v>45891.33204861111</v>
      </c>
      <c r="C698" s="1" t="n">
        <v>45899</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6971-2025</t>
        </is>
      </c>
      <c r="B699" s="1" t="n">
        <v>45693</v>
      </c>
      <c r="C699" s="1" t="n">
        <v>45899</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9982-2025</t>
        </is>
      </c>
      <c r="B700" s="1" t="n">
        <v>45719.4094212963</v>
      </c>
      <c r="C700" s="1" t="n">
        <v>45899</v>
      </c>
      <c r="D700" t="inlineStr">
        <is>
          <t>UPPSALA LÄN</t>
        </is>
      </c>
      <c r="E700" t="inlineStr">
        <is>
          <t>UPPSALA</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35260-2025</t>
        </is>
      </c>
      <c r="B701" s="1" t="n">
        <v>45853.76976851852</v>
      </c>
      <c r="C701" s="1" t="n">
        <v>45899</v>
      </c>
      <c r="D701" t="inlineStr">
        <is>
          <t>UPPSALA LÄN</t>
        </is>
      </c>
      <c r="E701" t="inlineStr">
        <is>
          <t>UPPSALA</t>
        </is>
      </c>
      <c r="G701" t="n">
        <v>7.3</v>
      </c>
      <c r="H701" t="n">
        <v>0</v>
      </c>
      <c r="I701" t="n">
        <v>0</v>
      </c>
      <c r="J701" t="n">
        <v>0</v>
      </c>
      <c r="K701" t="n">
        <v>0</v>
      </c>
      <c r="L701" t="n">
        <v>0</v>
      </c>
      <c r="M701" t="n">
        <v>0</v>
      </c>
      <c r="N701" t="n">
        <v>0</v>
      </c>
      <c r="O701" t="n">
        <v>0</v>
      </c>
      <c r="P701" t="n">
        <v>0</v>
      </c>
      <c r="Q701" t="n">
        <v>0</v>
      </c>
      <c r="R701" s="2" t="inlineStr"/>
    </row>
    <row r="702" ht="15" customHeight="1">
      <c r="A702" t="inlineStr">
        <is>
          <t>A 35305-2025</t>
        </is>
      </c>
      <c r="B702" s="1" t="n">
        <v>45854.44017361111</v>
      </c>
      <c r="C702" s="1" t="n">
        <v>45899</v>
      </c>
      <c r="D702" t="inlineStr">
        <is>
          <t>UPPSALA LÄN</t>
        </is>
      </c>
      <c r="E702" t="inlineStr">
        <is>
          <t>UPPSALA</t>
        </is>
      </c>
      <c r="F702" t="inlineStr">
        <is>
          <t>Holmen skog AB</t>
        </is>
      </c>
      <c r="G702" t="n">
        <v>3.3</v>
      </c>
      <c r="H702" t="n">
        <v>0</v>
      </c>
      <c r="I702" t="n">
        <v>0</v>
      </c>
      <c r="J702" t="n">
        <v>0</v>
      </c>
      <c r="K702" t="n">
        <v>0</v>
      </c>
      <c r="L702" t="n">
        <v>0</v>
      </c>
      <c r="M702" t="n">
        <v>0</v>
      </c>
      <c r="N702" t="n">
        <v>0</v>
      </c>
      <c r="O702" t="n">
        <v>0</v>
      </c>
      <c r="P702" t="n">
        <v>0</v>
      </c>
      <c r="Q702" t="n">
        <v>0</v>
      </c>
      <c r="R702" s="2" t="inlineStr"/>
    </row>
    <row r="703" ht="15" customHeight="1">
      <c r="A703" t="inlineStr">
        <is>
          <t>A 9995-2025</t>
        </is>
      </c>
      <c r="B703" s="1" t="n">
        <v>45719.43872685185</v>
      </c>
      <c r="C703" s="1" t="n">
        <v>45899</v>
      </c>
      <c r="D703" t="inlineStr">
        <is>
          <t>UPPSALA LÄN</t>
        </is>
      </c>
      <c r="E703" t="inlineStr">
        <is>
          <t>UPPSALA</t>
        </is>
      </c>
      <c r="F703" t="inlineStr">
        <is>
          <t>Kyrkan</t>
        </is>
      </c>
      <c r="G703" t="n">
        <v>2</v>
      </c>
      <c r="H703" t="n">
        <v>0</v>
      </c>
      <c r="I703" t="n">
        <v>0</v>
      </c>
      <c r="J703" t="n">
        <v>0</v>
      </c>
      <c r="K703" t="n">
        <v>0</v>
      </c>
      <c r="L703" t="n">
        <v>0</v>
      </c>
      <c r="M703" t="n">
        <v>0</v>
      </c>
      <c r="N703" t="n">
        <v>0</v>
      </c>
      <c r="O703" t="n">
        <v>0</v>
      </c>
      <c r="P703" t="n">
        <v>0</v>
      </c>
      <c r="Q703" t="n">
        <v>0</v>
      </c>
      <c r="R703" s="2" t="inlineStr"/>
    </row>
    <row r="704" ht="15" customHeight="1">
      <c r="A704" t="inlineStr">
        <is>
          <t>A 6973-2025</t>
        </is>
      </c>
      <c r="B704" s="1" t="n">
        <v>45693</v>
      </c>
      <c r="C704" s="1" t="n">
        <v>45899</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40501-2025</t>
        </is>
      </c>
      <c r="B705" s="1" t="n">
        <v>45896</v>
      </c>
      <c r="C705" s="1" t="n">
        <v>45899</v>
      </c>
      <c r="D705" t="inlineStr">
        <is>
          <t>UPPSALA LÄN</t>
        </is>
      </c>
      <c r="E705" t="inlineStr">
        <is>
          <t>UPPSALA</t>
        </is>
      </c>
      <c r="G705" t="n">
        <v>0.6</v>
      </c>
      <c r="H705" t="n">
        <v>0</v>
      </c>
      <c r="I705" t="n">
        <v>0</v>
      </c>
      <c r="J705" t="n">
        <v>0</v>
      </c>
      <c r="K705" t="n">
        <v>0</v>
      </c>
      <c r="L705" t="n">
        <v>0</v>
      </c>
      <c r="M705" t="n">
        <v>0</v>
      </c>
      <c r="N705" t="n">
        <v>0</v>
      </c>
      <c r="O705" t="n">
        <v>0</v>
      </c>
      <c r="P705" t="n">
        <v>0</v>
      </c>
      <c r="Q705" t="n">
        <v>0</v>
      </c>
      <c r="R705" s="2" t="inlineStr"/>
    </row>
    <row r="706" ht="15" customHeight="1">
      <c r="A706" t="inlineStr">
        <is>
          <t>A 40610-2025</t>
        </is>
      </c>
      <c r="B706" s="1" t="n">
        <v>45896.57368055556</v>
      </c>
      <c r="C706" s="1" t="n">
        <v>45899</v>
      </c>
      <c r="D706" t="inlineStr">
        <is>
          <t>UPPSALA LÄN</t>
        </is>
      </c>
      <c r="E706" t="inlineStr">
        <is>
          <t>UPPSALA</t>
        </is>
      </c>
      <c r="G706" t="n">
        <v>2.3</v>
      </c>
      <c r="H706" t="n">
        <v>0</v>
      </c>
      <c r="I706" t="n">
        <v>0</v>
      </c>
      <c r="J706" t="n">
        <v>0</v>
      </c>
      <c r="K706" t="n">
        <v>0</v>
      </c>
      <c r="L706" t="n">
        <v>0</v>
      </c>
      <c r="M706" t="n">
        <v>0</v>
      </c>
      <c r="N706" t="n">
        <v>0</v>
      </c>
      <c r="O706" t="n">
        <v>0</v>
      </c>
      <c r="P706" t="n">
        <v>0</v>
      </c>
      <c r="Q706" t="n">
        <v>0</v>
      </c>
      <c r="R706" s="2" t="inlineStr"/>
    </row>
    <row r="707" ht="15" customHeight="1">
      <c r="A707" t="inlineStr">
        <is>
          <t>A 13128-2022</t>
        </is>
      </c>
      <c r="B707" s="1" t="n">
        <v>44644.37548611111</v>
      </c>
      <c r="C707" s="1" t="n">
        <v>45899</v>
      </c>
      <c r="D707" t="inlineStr">
        <is>
          <t>UPPSALA LÄN</t>
        </is>
      </c>
      <c r="E707" t="inlineStr">
        <is>
          <t>UPPSALA</t>
        </is>
      </c>
      <c r="F707" t="inlineStr">
        <is>
          <t>Övriga Aktiebolag</t>
        </is>
      </c>
      <c r="G707" t="n">
        <v>3.7</v>
      </c>
      <c r="H707" t="n">
        <v>0</v>
      </c>
      <c r="I707" t="n">
        <v>0</v>
      </c>
      <c r="J707" t="n">
        <v>0</v>
      </c>
      <c r="K707" t="n">
        <v>0</v>
      </c>
      <c r="L707" t="n">
        <v>0</v>
      </c>
      <c r="M707" t="n">
        <v>0</v>
      </c>
      <c r="N707" t="n">
        <v>0</v>
      </c>
      <c r="O707" t="n">
        <v>0</v>
      </c>
      <c r="P707" t="n">
        <v>0</v>
      </c>
      <c r="Q707" t="n">
        <v>0</v>
      </c>
      <c r="R707" s="2" t="inlineStr"/>
    </row>
    <row r="708" ht="15" customHeight="1">
      <c r="A708" t="inlineStr">
        <is>
          <t>A 39608-2022</t>
        </is>
      </c>
      <c r="B708" s="1" t="n">
        <v>44817</v>
      </c>
      <c r="C708" s="1" t="n">
        <v>45899</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40639-2025</t>
        </is>
      </c>
      <c r="B709" s="1" t="n">
        <v>45896.61050925926</v>
      </c>
      <c r="C709" s="1" t="n">
        <v>45899</v>
      </c>
      <c r="D709" t="inlineStr">
        <is>
          <t>UPPSALA LÄN</t>
        </is>
      </c>
      <c r="E709" t="inlineStr">
        <is>
          <t>UPPSALA</t>
        </is>
      </c>
      <c r="G709" t="n">
        <v>6.9</v>
      </c>
      <c r="H709" t="n">
        <v>0</v>
      </c>
      <c r="I709" t="n">
        <v>0</v>
      </c>
      <c r="J709" t="n">
        <v>0</v>
      </c>
      <c r="K709" t="n">
        <v>0</v>
      </c>
      <c r="L709" t="n">
        <v>0</v>
      </c>
      <c r="M709" t="n">
        <v>0</v>
      </c>
      <c r="N709" t="n">
        <v>0</v>
      </c>
      <c r="O709" t="n">
        <v>0</v>
      </c>
      <c r="P709" t="n">
        <v>0</v>
      </c>
      <c r="Q709" t="n">
        <v>0</v>
      </c>
      <c r="R709" s="2" t="inlineStr"/>
    </row>
    <row r="710" ht="15" customHeight="1">
      <c r="A710" t="inlineStr">
        <is>
          <t>A 40606-2025</t>
        </is>
      </c>
      <c r="B710" s="1" t="n">
        <v>45896.57171296296</v>
      </c>
      <c r="C710" s="1" t="n">
        <v>45899</v>
      </c>
      <c r="D710" t="inlineStr">
        <is>
          <t>UPPSALA LÄN</t>
        </is>
      </c>
      <c r="E710" t="inlineStr">
        <is>
          <t>UPPSALA</t>
        </is>
      </c>
      <c r="G710" t="n">
        <v>3.2</v>
      </c>
      <c r="H710" t="n">
        <v>0</v>
      </c>
      <c r="I710" t="n">
        <v>0</v>
      </c>
      <c r="J710" t="n">
        <v>0</v>
      </c>
      <c r="K710" t="n">
        <v>0</v>
      </c>
      <c r="L710" t="n">
        <v>0</v>
      </c>
      <c r="M710" t="n">
        <v>0</v>
      </c>
      <c r="N710" t="n">
        <v>0</v>
      </c>
      <c r="O710" t="n">
        <v>0</v>
      </c>
      <c r="P710" t="n">
        <v>0</v>
      </c>
      <c r="Q710" t="n">
        <v>0</v>
      </c>
      <c r="R710" s="2" t="inlineStr"/>
    </row>
    <row r="711" ht="15" customHeight="1">
      <c r="A711" t="inlineStr">
        <is>
          <t>A 50267-2023</t>
        </is>
      </c>
      <c r="B711" s="1" t="n">
        <v>45216.39040509259</v>
      </c>
      <c r="C711" s="1" t="n">
        <v>45899</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40504-2025</t>
        </is>
      </c>
      <c r="B712" s="1" t="n">
        <v>45896</v>
      </c>
      <c r="C712" s="1" t="n">
        <v>45899</v>
      </c>
      <c r="D712" t="inlineStr">
        <is>
          <t>UPPSALA LÄN</t>
        </is>
      </c>
      <c r="E712" t="inlineStr">
        <is>
          <t>UPPSALA</t>
        </is>
      </c>
      <c r="G712" t="n">
        <v>4.4</v>
      </c>
      <c r="H712" t="n">
        <v>0</v>
      </c>
      <c r="I712" t="n">
        <v>0</v>
      </c>
      <c r="J712" t="n">
        <v>0</v>
      </c>
      <c r="K712" t="n">
        <v>0</v>
      </c>
      <c r="L712" t="n">
        <v>0</v>
      </c>
      <c r="M712" t="n">
        <v>0</v>
      </c>
      <c r="N712" t="n">
        <v>0</v>
      </c>
      <c r="O712" t="n">
        <v>0</v>
      </c>
      <c r="P712" t="n">
        <v>0</v>
      </c>
      <c r="Q712" t="n">
        <v>0</v>
      </c>
      <c r="R712" s="2" t="inlineStr"/>
    </row>
    <row r="713" ht="15" customHeight="1">
      <c r="A713" t="inlineStr">
        <is>
          <t>A 37763-2021</t>
        </is>
      </c>
      <c r="B713" s="1" t="n">
        <v>44400.6750925926</v>
      </c>
      <c r="C713" s="1" t="n">
        <v>45899</v>
      </c>
      <c r="D713" t="inlineStr">
        <is>
          <t>UPPSALA LÄN</t>
        </is>
      </c>
      <c r="E713" t="inlineStr">
        <is>
          <t>UPPSALA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37820-2021</t>
        </is>
      </c>
      <c r="B714" s="1" t="n">
        <v>44403.3119212963</v>
      </c>
      <c r="C714" s="1" t="n">
        <v>45899</v>
      </c>
      <c r="D714" t="inlineStr">
        <is>
          <t>UPPSALA LÄN</t>
        </is>
      </c>
      <c r="E714" t="inlineStr">
        <is>
          <t>UPPSALA</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32475-2025</t>
        </is>
      </c>
      <c r="B715" s="1" t="n">
        <v>45838</v>
      </c>
      <c r="C715" s="1" t="n">
        <v>45899</v>
      </c>
      <c r="D715" t="inlineStr">
        <is>
          <t>UPPSALA LÄN</t>
        </is>
      </c>
      <c r="E715" t="inlineStr">
        <is>
          <t>UPPSALA</t>
        </is>
      </c>
      <c r="G715" t="n">
        <v>3</v>
      </c>
      <c r="H715" t="n">
        <v>0</v>
      </c>
      <c r="I715" t="n">
        <v>0</v>
      </c>
      <c r="J715" t="n">
        <v>0</v>
      </c>
      <c r="K715" t="n">
        <v>0</v>
      </c>
      <c r="L715" t="n">
        <v>0</v>
      </c>
      <c r="M715" t="n">
        <v>0</v>
      </c>
      <c r="N715" t="n">
        <v>0</v>
      </c>
      <c r="O715" t="n">
        <v>0</v>
      </c>
      <c r="P715" t="n">
        <v>0</v>
      </c>
      <c r="Q715" t="n">
        <v>0</v>
      </c>
      <c r="R715" s="2" t="inlineStr"/>
    </row>
    <row r="716" ht="15" customHeight="1">
      <c r="A716" t="inlineStr">
        <is>
          <t>A 32484-2025</t>
        </is>
      </c>
      <c r="B716" s="1" t="n">
        <v>45838</v>
      </c>
      <c r="C716" s="1" t="n">
        <v>45899</v>
      </c>
      <c r="D716" t="inlineStr">
        <is>
          <t>UPPSALA LÄN</t>
        </is>
      </c>
      <c r="E716" t="inlineStr">
        <is>
          <t>UPPSALA</t>
        </is>
      </c>
      <c r="G716" t="n">
        <v>1.2</v>
      </c>
      <c r="H716" t="n">
        <v>0</v>
      </c>
      <c r="I716" t="n">
        <v>0</v>
      </c>
      <c r="J716" t="n">
        <v>0</v>
      </c>
      <c r="K716" t="n">
        <v>0</v>
      </c>
      <c r="L716" t="n">
        <v>0</v>
      </c>
      <c r="M716" t="n">
        <v>0</v>
      </c>
      <c r="N716" t="n">
        <v>0</v>
      </c>
      <c r="O716" t="n">
        <v>0</v>
      </c>
      <c r="P716" t="n">
        <v>0</v>
      </c>
      <c r="Q716" t="n">
        <v>0</v>
      </c>
      <c r="R716" s="2" t="inlineStr"/>
    </row>
    <row r="717" ht="15" customHeight="1">
      <c r="A717" t="inlineStr">
        <is>
          <t>A 41112-2025</t>
        </is>
      </c>
      <c r="B717" s="1" t="n">
        <v>45898.46040509259</v>
      </c>
      <c r="C717" s="1" t="n">
        <v>45899</v>
      </c>
      <c r="D717" t="inlineStr">
        <is>
          <t>UPPSALA LÄN</t>
        </is>
      </c>
      <c r="E717" t="inlineStr">
        <is>
          <t>UPPSALA</t>
        </is>
      </c>
      <c r="G717" t="n">
        <v>3.1</v>
      </c>
      <c r="H717" t="n">
        <v>0</v>
      </c>
      <c r="I717" t="n">
        <v>0</v>
      </c>
      <c r="J717" t="n">
        <v>0</v>
      </c>
      <c r="K717" t="n">
        <v>0</v>
      </c>
      <c r="L717" t="n">
        <v>0</v>
      </c>
      <c r="M717" t="n">
        <v>0</v>
      </c>
      <c r="N717" t="n">
        <v>0</v>
      </c>
      <c r="O717" t="n">
        <v>0</v>
      </c>
      <c r="P717" t="n">
        <v>0</v>
      </c>
      <c r="Q717" t="n">
        <v>0</v>
      </c>
      <c r="R717" s="2" t="inlineStr"/>
    </row>
    <row r="718" ht="15" customHeight="1">
      <c r="A718" t="inlineStr">
        <is>
          <t>A 40855-2025</t>
        </is>
      </c>
      <c r="B718" s="1" t="n">
        <v>45897</v>
      </c>
      <c r="C718" s="1" t="n">
        <v>45899</v>
      </c>
      <c r="D718" t="inlineStr">
        <is>
          <t>UPPSALA LÄN</t>
        </is>
      </c>
      <c r="E718" t="inlineStr">
        <is>
          <t>UPPSALA</t>
        </is>
      </c>
      <c r="G718" t="n">
        <v>2.9</v>
      </c>
      <c r="H718" t="n">
        <v>0</v>
      </c>
      <c r="I718" t="n">
        <v>0</v>
      </c>
      <c r="J718" t="n">
        <v>0</v>
      </c>
      <c r="K718" t="n">
        <v>0</v>
      </c>
      <c r="L718" t="n">
        <v>0</v>
      </c>
      <c r="M718" t="n">
        <v>0</v>
      </c>
      <c r="N718" t="n">
        <v>0</v>
      </c>
      <c r="O718" t="n">
        <v>0</v>
      </c>
      <c r="P718" t="n">
        <v>0</v>
      </c>
      <c r="Q718" t="n">
        <v>0</v>
      </c>
      <c r="R718" s="2" t="inlineStr"/>
    </row>
    <row r="719" ht="15" customHeight="1">
      <c r="A719" t="inlineStr">
        <is>
          <t>A 35509-2025</t>
        </is>
      </c>
      <c r="B719" s="1" t="n">
        <v>45856.34959490741</v>
      </c>
      <c r="C719" s="1" t="n">
        <v>45899</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35510-2025</t>
        </is>
      </c>
      <c r="B720" s="1" t="n">
        <v>45856</v>
      </c>
      <c r="C720" s="1" t="n">
        <v>45899</v>
      </c>
      <c r="D720" t="inlineStr">
        <is>
          <t>UPPSALA LÄN</t>
        </is>
      </c>
      <c r="E720" t="inlineStr">
        <is>
          <t>UPPSALA</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28825-2024</t>
        </is>
      </c>
      <c r="B721" s="1" t="n">
        <v>45478</v>
      </c>
      <c r="C721" s="1" t="n">
        <v>45899</v>
      </c>
      <c r="D721" t="inlineStr">
        <is>
          <t>UPPSALA LÄN</t>
        </is>
      </c>
      <c r="E721" t="inlineStr">
        <is>
          <t>UPPSALA</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9295-2023</t>
        </is>
      </c>
      <c r="B722" s="1" t="n">
        <v>44980</v>
      </c>
      <c r="C722" s="1" t="n">
        <v>45899</v>
      </c>
      <c r="D722" t="inlineStr">
        <is>
          <t>UPPSALA LÄN</t>
        </is>
      </c>
      <c r="E722" t="inlineStr">
        <is>
          <t>UPPSALA</t>
        </is>
      </c>
      <c r="G722" t="n">
        <v>2.1</v>
      </c>
      <c r="H722" t="n">
        <v>0</v>
      </c>
      <c r="I722" t="n">
        <v>0</v>
      </c>
      <c r="J722" t="n">
        <v>0</v>
      </c>
      <c r="K722" t="n">
        <v>0</v>
      </c>
      <c r="L722" t="n">
        <v>0</v>
      </c>
      <c r="M722" t="n">
        <v>0</v>
      </c>
      <c r="N722" t="n">
        <v>0</v>
      </c>
      <c r="O722" t="n">
        <v>0</v>
      </c>
      <c r="P722" t="n">
        <v>0</v>
      </c>
      <c r="Q722" t="n">
        <v>0</v>
      </c>
      <c r="R722" s="2" t="inlineStr"/>
    </row>
    <row r="723" ht="15" customHeight="1">
      <c r="A723" t="inlineStr">
        <is>
          <t>A 32479-2025</t>
        </is>
      </c>
      <c r="B723" s="1" t="n">
        <v>45838</v>
      </c>
      <c r="C723" s="1" t="n">
        <v>45899</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35504-2025</t>
        </is>
      </c>
      <c r="B724" s="1" t="n">
        <v>45856.34034722222</v>
      </c>
      <c r="C724" s="1" t="n">
        <v>45899</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35505-2025</t>
        </is>
      </c>
      <c r="B725" s="1" t="n">
        <v>45856.34231481481</v>
      </c>
      <c r="C725" s="1" t="n">
        <v>45899</v>
      </c>
      <c r="D725" t="inlineStr">
        <is>
          <t>UPPSALA LÄN</t>
        </is>
      </c>
      <c r="E725" t="inlineStr">
        <is>
          <t>UPPSALA</t>
        </is>
      </c>
      <c r="F725" t="inlineStr">
        <is>
          <t>Bergvik skog öst AB</t>
        </is>
      </c>
      <c r="G725" t="n">
        <v>7.9</v>
      </c>
      <c r="H725" t="n">
        <v>0</v>
      </c>
      <c r="I725" t="n">
        <v>0</v>
      </c>
      <c r="J725" t="n">
        <v>0</v>
      </c>
      <c r="K725" t="n">
        <v>0</v>
      </c>
      <c r="L725" t="n">
        <v>0</v>
      </c>
      <c r="M725" t="n">
        <v>0</v>
      </c>
      <c r="N725" t="n">
        <v>0</v>
      </c>
      <c r="O725" t="n">
        <v>0</v>
      </c>
      <c r="P725" t="n">
        <v>0</v>
      </c>
      <c r="Q725" t="n">
        <v>0</v>
      </c>
      <c r="R725" s="2" t="inlineStr"/>
    </row>
    <row r="726" ht="15" customHeight="1">
      <c r="A726" t="inlineStr">
        <is>
          <t>A 63307-2021</t>
        </is>
      </c>
      <c r="B726" s="1" t="n">
        <v>44508.44033564815</v>
      </c>
      <c r="C726" s="1" t="n">
        <v>45899</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50037-2024</t>
        </is>
      </c>
      <c r="B727" s="1" t="n">
        <v>45599</v>
      </c>
      <c r="C727" s="1" t="n">
        <v>45899</v>
      </c>
      <c r="D727" t="inlineStr">
        <is>
          <t>UPPSALA LÄN</t>
        </is>
      </c>
      <c r="E727" t="inlineStr">
        <is>
          <t>UPPSALA</t>
        </is>
      </c>
      <c r="G727" t="n">
        <v>13.7</v>
      </c>
      <c r="H727" t="n">
        <v>0</v>
      </c>
      <c r="I727" t="n">
        <v>0</v>
      </c>
      <c r="J727" t="n">
        <v>0</v>
      </c>
      <c r="K727" t="n">
        <v>0</v>
      </c>
      <c r="L727" t="n">
        <v>0</v>
      </c>
      <c r="M727" t="n">
        <v>0</v>
      </c>
      <c r="N727" t="n">
        <v>0</v>
      </c>
      <c r="O727" t="n">
        <v>0</v>
      </c>
      <c r="P727" t="n">
        <v>0</v>
      </c>
      <c r="Q727" t="n">
        <v>0</v>
      </c>
      <c r="R727" s="2" t="inlineStr"/>
    </row>
    <row r="728" ht="15" customHeight="1">
      <c r="A728" t="inlineStr">
        <is>
          <t>A 66690-2021</t>
        </is>
      </c>
      <c r="B728" s="1" t="n">
        <v>44519.64902777778</v>
      </c>
      <c r="C728" s="1" t="n">
        <v>45899</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21657-2024</t>
        </is>
      </c>
      <c r="B729" s="1" t="n">
        <v>45442</v>
      </c>
      <c r="C729" s="1" t="n">
        <v>45899</v>
      </c>
      <c r="D729" t="inlineStr">
        <is>
          <t>UPPSALA LÄN</t>
        </is>
      </c>
      <c r="E729" t="inlineStr">
        <is>
          <t>UPPSALA</t>
        </is>
      </c>
      <c r="G729" t="n">
        <v>5.7</v>
      </c>
      <c r="H729" t="n">
        <v>0</v>
      </c>
      <c r="I729" t="n">
        <v>0</v>
      </c>
      <c r="J729" t="n">
        <v>0</v>
      </c>
      <c r="K729" t="n">
        <v>0</v>
      </c>
      <c r="L729" t="n">
        <v>0</v>
      </c>
      <c r="M729" t="n">
        <v>0</v>
      </c>
      <c r="N729" t="n">
        <v>0</v>
      </c>
      <c r="O729" t="n">
        <v>0</v>
      </c>
      <c r="P729" t="n">
        <v>0</v>
      </c>
      <c r="Q729" t="n">
        <v>0</v>
      </c>
      <c r="R729" s="2" t="inlineStr"/>
    </row>
    <row r="730" ht="15" customHeight="1">
      <c r="A730" t="inlineStr">
        <is>
          <t>A 60167-2024</t>
        </is>
      </c>
      <c r="B730" s="1" t="n">
        <v>45642.63524305556</v>
      </c>
      <c r="C730" s="1" t="n">
        <v>45899</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61574-2024</t>
        </is>
      </c>
      <c r="B731" s="1" t="n">
        <v>45646.61892361111</v>
      </c>
      <c r="C731" s="1" t="n">
        <v>45899</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62044-2024</t>
        </is>
      </c>
      <c r="B732" s="1" t="n">
        <v>45656</v>
      </c>
      <c r="C732" s="1" t="n">
        <v>45899</v>
      </c>
      <c r="D732" t="inlineStr">
        <is>
          <t>UPPSALA LÄN</t>
        </is>
      </c>
      <c r="E732" t="inlineStr">
        <is>
          <t>UPPSALA</t>
        </is>
      </c>
      <c r="F732" t="inlineStr">
        <is>
          <t>Övriga statliga verk och myndigheter</t>
        </is>
      </c>
      <c r="G732" t="n">
        <v>11.6</v>
      </c>
      <c r="H732" t="n">
        <v>0</v>
      </c>
      <c r="I732" t="n">
        <v>0</v>
      </c>
      <c r="J732" t="n">
        <v>0</v>
      </c>
      <c r="K732" t="n">
        <v>0</v>
      </c>
      <c r="L732" t="n">
        <v>0</v>
      </c>
      <c r="M732" t="n">
        <v>0</v>
      </c>
      <c r="N732" t="n">
        <v>0</v>
      </c>
      <c r="O732" t="n">
        <v>0</v>
      </c>
      <c r="P732" t="n">
        <v>0</v>
      </c>
      <c r="Q732" t="n">
        <v>0</v>
      </c>
      <c r="R732" s="2" t="inlineStr"/>
    </row>
    <row r="733" ht="15" customHeight="1">
      <c r="A733" t="inlineStr">
        <is>
          <t>A 9820-2023</t>
        </is>
      </c>
      <c r="B733" s="1" t="n">
        <v>44984.69216435185</v>
      </c>
      <c r="C733" s="1" t="n">
        <v>45899</v>
      </c>
      <c r="D733" t="inlineStr">
        <is>
          <t>UPPSALA LÄN</t>
        </is>
      </c>
      <c r="E733" t="inlineStr">
        <is>
          <t>UPPSALA</t>
        </is>
      </c>
      <c r="F733" t="inlineStr">
        <is>
          <t>Kyrkan</t>
        </is>
      </c>
      <c r="G733" t="n">
        <v>2</v>
      </c>
      <c r="H733" t="n">
        <v>0</v>
      </c>
      <c r="I733" t="n">
        <v>0</v>
      </c>
      <c r="J733" t="n">
        <v>0</v>
      </c>
      <c r="K733" t="n">
        <v>0</v>
      </c>
      <c r="L733" t="n">
        <v>0</v>
      </c>
      <c r="M733" t="n">
        <v>0</v>
      </c>
      <c r="N733" t="n">
        <v>0</v>
      </c>
      <c r="O733" t="n">
        <v>0</v>
      </c>
      <c r="P733" t="n">
        <v>0</v>
      </c>
      <c r="Q733" t="n">
        <v>0</v>
      </c>
      <c r="R733" s="2" t="inlineStr"/>
    </row>
    <row r="734" ht="15" customHeight="1">
      <c r="A734" t="inlineStr">
        <is>
          <t>A 34243-2021</t>
        </is>
      </c>
      <c r="B734" s="1" t="n">
        <v>44379.56163194445</v>
      </c>
      <c r="C734" s="1" t="n">
        <v>45899</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27912-2023</t>
        </is>
      </c>
      <c r="B735" s="1" t="n">
        <v>45098.63572916666</v>
      </c>
      <c r="C735" s="1" t="n">
        <v>45899</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13799-2024</t>
        </is>
      </c>
      <c r="B736" s="1" t="n">
        <v>45391.37361111111</v>
      </c>
      <c r="C736" s="1" t="n">
        <v>45899</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5764-2025</t>
        </is>
      </c>
      <c r="B737" s="1" t="n">
        <v>45694</v>
      </c>
      <c r="C737" s="1" t="n">
        <v>45899</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3287-2025</t>
        </is>
      </c>
      <c r="B738" s="1" t="n">
        <v>45679</v>
      </c>
      <c r="C738" s="1" t="n">
        <v>45899</v>
      </c>
      <c r="D738" t="inlineStr">
        <is>
          <t>UPPSALA LÄN</t>
        </is>
      </c>
      <c r="E738" t="inlineStr">
        <is>
          <t>UPPSALA</t>
        </is>
      </c>
      <c r="F738" t="inlineStr">
        <is>
          <t>Kyrkan</t>
        </is>
      </c>
      <c r="G738" t="n">
        <v>6.7</v>
      </c>
      <c r="H738" t="n">
        <v>0</v>
      </c>
      <c r="I738" t="n">
        <v>0</v>
      </c>
      <c r="J738" t="n">
        <v>0</v>
      </c>
      <c r="K738" t="n">
        <v>0</v>
      </c>
      <c r="L738" t="n">
        <v>0</v>
      </c>
      <c r="M738" t="n">
        <v>0</v>
      </c>
      <c r="N738" t="n">
        <v>0</v>
      </c>
      <c r="O738" t="n">
        <v>0</v>
      </c>
      <c r="P738" t="n">
        <v>0</v>
      </c>
      <c r="Q738" t="n">
        <v>0</v>
      </c>
      <c r="R738" s="2" t="inlineStr"/>
    </row>
    <row r="739" ht="15" customHeight="1">
      <c r="A739" t="inlineStr">
        <is>
          <t>A 33816-2024</t>
        </is>
      </c>
      <c r="B739" s="1" t="n">
        <v>45520</v>
      </c>
      <c r="C739" s="1" t="n">
        <v>45899</v>
      </c>
      <c r="D739" t="inlineStr">
        <is>
          <t>UPPSALA LÄN</t>
        </is>
      </c>
      <c r="E739" t="inlineStr">
        <is>
          <t>UPPSALA</t>
        </is>
      </c>
      <c r="G739" t="n">
        <v>1.1</v>
      </c>
      <c r="H739" t="n">
        <v>0</v>
      </c>
      <c r="I739" t="n">
        <v>0</v>
      </c>
      <c r="J739" t="n">
        <v>0</v>
      </c>
      <c r="K739" t="n">
        <v>0</v>
      </c>
      <c r="L739" t="n">
        <v>0</v>
      </c>
      <c r="M739" t="n">
        <v>0</v>
      </c>
      <c r="N739" t="n">
        <v>0</v>
      </c>
      <c r="O739" t="n">
        <v>0</v>
      </c>
      <c r="P739" t="n">
        <v>0</v>
      </c>
      <c r="Q739" t="n">
        <v>0</v>
      </c>
      <c r="R739" s="2" t="inlineStr"/>
    </row>
    <row r="740" ht="15" customHeight="1">
      <c r="A740" t="inlineStr">
        <is>
          <t>A 40100-2022</t>
        </is>
      </c>
      <c r="B740" s="1" t="n">
        <v>44820.47935185185</v>
      </c>
      <c r="C740" s="1" t="n">
        <v>45899</v>
      </c>
      <c r="D740" t="inlineStr">
        <is>
          <t>UPPSALA LÄN</t>
        </is>
      </c>
      <c r="E740" t="inlineStr">
        <is>
          <t>UPPSALA</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2927-2022</t>
        </is>
      </c>
      <c r="B741" s="1" t="n">
        <v>44581.60254629629</v>
      </c>
      <c r="C741" s="1" t="n">
        <v>45899</v>
      </c>
      <c r="D741" t="inlineStr">
        <is>
          <t>UPPSALA LÄN</t>
        </is>
      </c>
      <c r="E741" t="inlineStr">
        <is>
          <t>UPPSALA</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21727-2023</t>
        </is>
      </c>
      <c r="B742" s="1" t="n">
        <v>45065.43013888889</v>
      </c>
      <c r="C742" s="1" t="n">
        <v>45899</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59116-2024</t>
        </is>
      </c>
      <c r="B743" s="1" t="n">
        <v>45637</v>
      </c>
      <c r="C743" s="1" t="n">
        <v>45899</v>
      </c>
      <c r="D743" t="inlineStr">
        <is>
          <t>UPPSALA LÄN</t>
        </is>
      </c>
      <c r="E743" t="inlineStr">
        <is>
          <t>UPPSALA</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69698-2021</t>
        </is>
      </c>
      <c r="B744" s="1" t="n">
        <v>44532</v>
      </c>
      <c r="C744" s="1" t="n">
        <v>45899</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5068-2025</t>
        </is>
      </c>
      <c r="B745" s="1" t="n">
        <v>45691</v>
      </c>
      <c r="C745" s="1" t="n">
        <v>45899</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733-2022</t>
        </is>
      </c>
      <c r="B746" s="1" t="n">
        <v>44568.67040509259</v>
      </c>
      <c r="C746" s="1" t="n">
        <v>45899</v>
      </c>
      <c r="D746" t="inlineStr">
        <is>
          <t>UPPSALA LÄN</t>
        </is>
      </c>
      <c r="E746" t="inlineStr">
        <is>
          <t>UPPSALA</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15937-2025</t>
        </is>
      </c>
      <c r="B747" s="1" t="n">
        <v>45749.4737962963</v>
      </c>
      <c r="C747" s="1" t="n">
        <v>45899</v>
      </c>
      <c r="D747" t="inlineStr">
        <is>
          <t>UPPSALA LÄN</t>
        </is>
      </c>
      <c r="E747" t="inlineStr">
        <is>
          <t>UPPSALA</t>
        </is>
      </c>
      <c r="G747" t="n">
        <v>7.6</v>
      </c>
      <c r="H747" t="n">
        <v>0</v>
      </c>
      <c r="I747" t="n">
        <v>0</v>
      </c>
      <c r="J747" t="n">
        <v>0</v>
      </c>
      <c r="K747" t="n">
        <v>0</v>
      </c>
      <c r="L747" t="n">
        <v>0</v>
      </c>
      <c r="M747" t="n">
        <v>0</v>
      </c>
      <c r="N747" t="n">
        <v>0</v>
      </c>
      <c r="O747" t="n">
        <v>0</v>
      </c>
      <c r="P747" t="n">
        <v>0</v>
      </c>
      <c r="Q747" t="n">
        <v>0</v>
      </c>
      <c r="R747" s="2" t="inlineStr"/>
    </row>
    <row r="748" ht="15" customHeight="1">
      <c r="A748" t="inlineStr">
        <is>
          <t>A 53346-2020</t>
        </is>
      </c>
      <c r="B748" s="1" t="n">
        <v>44123</v>
      </c>
      <c r="C748" s="1" t="n">
        <v>45899</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59719-2022</t>
        </is>
      </c>
      <c r="B749" s="1" t="n">
        <v>44908.425625</v>
      </c>
      <c r="C749" s="1" t="n">
        <v>45899</v>
      </c>
      <c r="D749" t="inlineStr">
        <is>
          <t>UPPSALA LÄN</t>
        </is>
      </c>
      <c r="E749" t="inlineStr">
        <is>
          <t>UPPSALA</t>
        </is>
      </c>
      <c r="G749" t="n">
        <v>3.6</v>
      </c>
      <c r="H749" t="n">
        <v>0</v>
      </c>
      <c r="I749" t="n">
        <v>0</v>
      </c>
      <c r="J749" t="n">
        <v>0</v>
      </c>
      <c r="K749" t="n">
        <v>0</v>
      </c>
      <c r="L749" t="n">
        <v>0</v>
      </c>
      <c r="M749" t="n">
        <v>0</v>
      </c>
      <c r="N749" t="n">
        <v>0</v>
      </c>
      <c r="O749" t="n">
        <v>0</v>
      </c>
      <c r="P749" t="n">
        <v>0</v>
      </c>
      <c r="Q749" t="n">
        <v>0</v>
      </c>
      <c r="R749" s="2" t="inlineStr"/>
    </row>
    <row r="750" ht="15" customHeight="1">
      <c r="A750" t="inlineStr">
        <is>
          <t>A 5204-2025</t>
        </is>
      </c>
      <c r="B750" s="1" t="n">
        <v>45691</v>
      </c>
      <c r="C750" s="1" t="n">
        <v>45899</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9993-2025</t>
        </is>
      </c>
      <c r="B751" s="1" t="n">
        <v>45719.43755787037</v>
      </c>
      <c r="C751" s="1" t="n">
        <v>45899</v>
      </c>
      <c r="D751" t="inlineStr">
        <is>
          <t>UPPSALA LÄN</t>
        </is>
      </c>
      <c r="E751" t="inlineStr">
        <is>
          <t>UPPSALA</t>
        </is>
      </c>
      <c r="F751" t="inlineStr">
        <is>
          <t>Kyrkan</t>
        </is>
      </c>
      <c r="G751" t="n">
        <v>6.1</v>
      </c>
      <c r="H751" t="n">
        <v>0</v>
      </c>
      <c r="I751" t="n">
        <v>0</v>
      </c>
      <c r="J751" t="n">
        <v>0</v>
      </c>
      <c r="K751" t="n">
        <v>0</v>
      </c>
      <c r="L751" t="n">
        <v>0</v>
      </c>
      <c r="M751" t="n">
        <v>0</v>
      </c>
      <c r="N751" t="n">
        <v>0</v>
      </c>
      <c r="O751" t="n">
        <v>0</v>
      </c>
      <c r="P751" t="n">
        <v>0</v>
      </c>
      <c r="Q751" t="n">
        <v>0</v>
      </c>
      <c r="R751" s="2" t="inlineStr"/>
    </row>
    <row r="752" ht="15" customHeight="1">
      <c r="A752" t="inlineStr">
        <is>
          <t>A 20102-2023</t>
        </is>
      </c>
      <c r="B752" s="1" t="n">
        <v>45054.95675925926</v>
      </c>
      <c r="C752" s="1" t="n">
        <v>45899</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29145-2021</t>
        </is>
      </c>
      <c r="B753" s="1" t="n">
        <v>44358.63490740741</v>
      </c>
      <c r="C753" s="1" t="n">
        <v>45899</v>
      </c>
      <c r="D753" t="inlineStr">
        <is>
          <t>UPPSALA LÄN</t>
        </is>
      </c>
      <c r="E753" t="inlineStr">
        <is>
          <t>UPPSALA</t>
        </is>
      </c>
      <c r="G753" t="n">
        <v>2.4</v>
      </c>
      <c r="H753" t="n">
        <v>0</v>
      </c>
      <c r="I753" t="n">
        <v>0</v>
      </c>
      <c r="J753" t="n">
        <v>0</v>
      </c>
      <c r="K753" t="n">
        <v>0</v>
      </c>
      <c r="L753" t="n">
        <v>0</v>
      </c>
      <c r="M753" t="n">
        <v>0</v>
      </c>
      <c r="N753" t="n">
        <v>0</v>
      </c>
      <c r="O753" t="n">
        <v>0</v>
      </c>
      <c r="P753" t="n">
        <v>0</v>
      </c>
      <c r="Q753" t="n">
        <v>0</v>
      </c>
      <c r="R753" s="2" t="inlineStr"/>
    </row>
    <row r="754" ht="15" customHeight="1">
      <c r="A754" t="inlineStr">
        <is>
          <t>A 19017-2023</t>
        </is>
      </c>
      <c r="B754" s="1" t="n">
        <v>45047.31793981481</v>
      </c>
      <c r="C754" s="1" t="n">
        <v>45899</v>
      </c>
      <c r="D754" t="inlineStr">
        <is>
          <t>UPPSALA LÄN</t>
        </is>
      </c>
      <c r="E754" t="inlineStr">
        <is>
          <t>UPPSALA</t>
        </is>
      </c>
      <c r="G754" t="n">
        <v>0.6</v>
      </c>
      <c r="H754" t="n">
        <v>0</v>
      </c>
      <c r="I754" t="n">
        <v>0</v>
      </c>
      <c r="J754" t="n">
        <v>0</v>
      </c>
      <c r="K754" t="n">
        <v>0</v>
      </c>
      <c r="L754" t="n">
        <v>0</v>
      </c>
      <c r="M754" t="n">
        <v>0</v>
      </c>
      <c r="N754" t="n">
        <v>0</v>
      </c>
      <c r="O754" t="n">
        <v>0</v>
      </c>
      <c r="P754" t="n">
        <v>0</v>
      </c>
      <c r="Q754" t="n">
        <v>0</v>
      </c>
      <c r="R754" s="2" t="inlineStr"/>
    </row>
    <row r="755" ht="15" customHeight="1">
      <c r="A755" t="inlineStr">
        <is>
          <t>A 55862-2022</t>
        </is>
      </c>
      <c r="B755" s="1" t="n">
        <v>44888</v>
      </c>
      <c r="C755" s="1" t="n">
        <v>45899</v>
      </c>
      <c r="D755" t="inlineStr">
        <is>
          <t>UPPSALA LÄN</t>
        </is>
      </c>
      <c r="E755" t="inlineStr">
        <is>
          <t>UPPSALA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3353-2023</t>
        </is>
      </c>
      <c r="B756" s="1" t="n">
        <v>44949.4708912037</v>
      </c>
      <c r="C756" s="1" t="n">
        <v>45899</v>
      </c>
      <c r="D756" t="inlineStr">
        <is>
          <t>UPPSALA LÄN</t>
        </is>
      </c>
      <c r="E756" t="inlineStr">
        <is>
          <t>UPPSALA</t>
        </is>
      </c>
      <c r="G756" t="n">
        <v>3</v>
      </c>
      <c r="H756" t="n">
        <v>0</v>
      </c>
      <c r="I756" t="n">
        <v>0</v>
      </c>
      <c r="J756" t="n">
        <v>0</v>
      </c>
      <c r="K756" t="n">
        <v>0</v>
      </c>
      <c r="L756" t="n">
        <v>0</v>
      </c>
      <c r="M756" t="n">
        <v>0</v>
      </c>
      <c r="N756" t="n">
        <v>0</v>
      </c>
      <c r="O756" t="n">
        <v>0</v>
      </c>
      <c r="P756" t="n">
        <v>0</v>
      </c>
      <c r="Q756" t="n">
        <v>0</v>
      </c>
      <c r="R756" s="2" t="inlineStr"/>
    </row>
    <row r="757" ht="15" customHeight="1">
      <c r="A757" t="inlineStr">
        <is>
          <t>A 37819-2021</t>
        </is>
      </c>
      <c r="B757" s="1" t="n">
        <v>44403.29719907408</v>
      </c>
      <c r="C757" s="1" t="n">
        <v>45899</v>
      </c>
      <c r="D757" t="inlineStr">
        <is>
          <t>UPPSALA LÄN</t>
        </is>
      </c>
      <c r="E757" t="inlineStr">
        <is>
          <t>UPPSALA</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1020-2021</t>
        </is>
      </c>
      <c r="B758" s="1" t="n">
        <v>44207</v>
      </c>
      <c r="C758" s="1" t="n">
        <v>45899</v>
      </c>
      <c r="D758" t="inlineStr">
        <is>
          <t>UPPSALA LÄN</t>
        </is>
      </c>
      <c r="E758" t="inlineStr">
        <is>
          <t>UPPSALA</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33191-2023</t>
        </is>
      </c>
      <c r="B759" s="1" t="n">
        <v>45127</v>
      </c>
      <c r="C759" s="1" t="n">
        <v>45899</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34265-2021</t>
        </is>
      </c>
      <c r="B760" s="1" t="n">
        <v>44379.5745949074</v>
      </c>
      <c r="C760" s="1" t="n">
        <v>45899</v>
      </c>
      <c r="D760" t="inlineStr">
        <is>
          <t>UPPSALA LÄN</t>
        </is>
      </c>
      <c r="E760" t="inlineStr">
        <is>
          <t>UPPSALA</t>
        </is>
      </c>
      <c r="G760" t="n">
        <v>1.1</v>
      </c>
      <c r="H760" t="n">
        <v>0</v>
      </c>
      <c r="I760" t="n">
        <v>0</v>
      </c>
      <c r="J760" t="n">
        <v>0</v>
      </c>
      <c r="K760" t="n">
        <v>0</v>
      </c>
      <c r="L760" t="n">
        <v>0</v>
      </c>
      <c r="M760" t="n">
        <v>0</v>
      </c>
      <c r="N760" t="n">
        <v>0</v>
      </c>
      <c r="O760" t="n">
        <v>0</v>
      </c>
      <c r="P760" t="n">
        <v>0</v>
      </c>
      <c r="Q760" t="n">
        <v>0</v>
      </c>
      <c r="R760" s="2" t="inlineStr"/>
    </row>
    <row r="761" ht="15" customHeight="1">
      <c r="A761" t="inlineStr">
        <is>
          <t>A 3086-2023</t>
        </is>
      </c>
      <c r="B761" s="1" t="n">
        <v>44946.43564814814</v>
      </c>
      <c r="C761" s="1" t="n">
        <v>45899</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16811-2023</t>
        </is>
      </c>
      <c r="B762" s="1" t="n">
        <v>45033</v>
      </c>
      <c r="C762" s="1" t="n">
        <v>45899</v>
      </c>
      <c r="D762" t="inlineStr">
        <is>
          <t>UPPSALA LÄN</t>
        </is>
      </c>
      <c r="E762" t="inlineStr">
        <is>
          <t>UPPSALA</t>
        </is>
      </c>
      <c r="G762" t="n">
        <v>10.1</v>
      </c>
      <c r="H762" t="n">
        <v>0</v>
      </c>
      <c r="I762" t="n">
        <v>0</v>
      </c>
      <c r="J762" t="n">
        <v>0</v>
      </c>
      <c r="K762" t="n">
        <v>0</v>
      </c>
      <c r="L762" t="n">
        <v>0</v>
      </c>
      <c r="M762" t="n">
        <v>0</v>
      </c>
      <c r="N762" t="n">
        <v>0</v>
      </c>
      <c r="O762" t="n">
        <v>0</v>
      </c>
      <c r="P762" t="n">
        <v>0</v>
      </c>
      <c r="Q762" t="n">
        <v>0</v>
      </c>
      <c r="R762" s="2" t="inlineStr"/>
    </row>
    <row r="763" ht="15" customHeight="1">
      <c r="A763" t="inlineStr">
        <is>
          <t>A 69436-2021</t>
        </is>
      </c>
      <c r="B763" s="1" t="n">
        <v>44531</v>
      </c>
      <c r="C763" s="1" t="n">
        <v>45899</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19139-2023</t>
        </is>
      </c>
      <c r="B764" s="1" t="n">
        <v>45048.55349537037</v>
      </c>
      <c r="C764" s="1" t="n">
        <v>45899</v>
      </c>
      <c r="D764" t="inlineStr">
        <is>
          <t>UPPSALA LÄN</t>
        </is>
      </c>
      <c r="E764" t="inlineStr">
        <is>
          <t>UPPSALA</t>
        </is>
      </c>
      <c r="G764" t="n">
        <v>3</v>
      </c>
      <c r="H764" t="n">
        <v>0</v>
      </c>
      <c r="I764" t="n">
        <v>0</v>
      </c>
      <c r="J764" t="n">
        <v>0</v>
      </c>
      <c r="K764" t="n">
        <v>0</v>
      </c>
      <c r="L764" t="n">
        <v>0</v>
      </c>
      <c r="M764" t="n">
        <v>0</v>
      </c>
      <c r="N764" t="n">
        <v>0</v>
      </c>
      <c r="O764" t="n">
        <v>0</v>
      </c>
      <c r="P764" t="n">
        <v>0</v>
      </c>
      <c r="Q764" t="n">
        <v>0</v>
      </c>
      <c r="R764" s="2" t="inlineStr"/>
    </row>
    <row r="765" ht="15" customHeight="1">
      <c r="A765" t="inlineStr">
        <is>
          <t>A 46807-2022</t>
        </is>
      </c>
      <c r="B765" s="1" t="n">
        <v>44848</v>
      </c>
      <c r="C765" s="1" t="n">
        <v>45899</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60814-2023</t>
        </is>
      </c>
      <c r="B766" s="1" t="n">
        <v>45259</v>
      </c>
      <c r="C766" s="1" t="n">
        <v>45899</v>
      </c>
      <c r="D766" t="inlineStr">
        <is>
          <t>UPPSALA LÄN</t>
        </is>
      </c>
      <c r="E766" t="inlineStr">
        <is>
          <t>UPPSALA</t>
        </is>
      </c>
      <c r="G766" t="n">
        <v>5.9</v>
      </c>
      <c r="H766" t="n">
        <v>0</v>
      </c>
      <c r="I766" t="n">
        <v>0</v>
      </c>
      <c r="J766" t="n">
        <v>0</v>
      </c>
      <c r="K766" t="n">
        <v>0</v>
      </c>
      <c r="L766" t="n">
        <v>0</v>
      </c>
      <c r="M766" t="n">
        <v>0</v>
      </c>
      <c r="N766" t="n">
        <v>0</v>
      </c>
      <c r="O766" t="n">
        <v>0</v>
      </c>
      <c r="P766" t="n">
        <v>0</v>
      </c>
      <c r="Q766" t="n">
        <v>0</v>
      </c>
      <c r="R766" s="2" t="inlineStr"/>
    </row>
    <row r="767" ht="15" customHeight="1">
      <c r="A767" t="inlineStr">
        <is>
          <t>A 49409-2020</t>
        </is>
      </c>
      <c r="B767" s="1" t="n">
        <v>44105</v>
      </c>
      <c r="C767" s="1" t="n">
        <v>45899</v>
      </c>
      <c r="D767" t="inlineStr">
        <is>
          <t>UPPSALA LÄN</t>
        </is>
      </c>
      <c r="E767" t="inlineStr">
        <is>
          <t>UPPSALA</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1573-2021</t>
        </is>
      </c>
      <c r="B768" s="1" t="n">
        <v>44209</v>
      </c>
      <c r="C768" s="1" t="n">
        <v>45899</v>
      </c>
      <c r="D768" t="inlineStr">
        <is>
          <t>UPPSALA LÄN</t>
        </is>
      </c>
      <c r="E768" t="inlineStr">
        <is>
          <t>UPPSALA</t>
        </is>
      </c>
      <c r="G768" t="n">
        <v>15</v>
      </c>
      <c r="H768" t="n">
        <v>0</v>
      </c>
      <c r="I768" t="n">
        <v>0</v>
      </c>
      <c r="J768" t="n">
        <v>0</v>
      </c>
      <c r="K768" t="n">
        <v>0</v>
      </c>
      <c r="L768" t="n">
        <v>0</v>
      </c>
      <c r="M768" t="n">
        <v>0</v>
      </c>
      <c r="N768" t="n">
        <v>0</v>
      </c>
      <c r="O768" t="n">
        <v>0</v>
      </c>
      <c r="P768" t="n">
        <v>0</v>
      </c>
      <c r="Q768" t="n">
        <v>0</v>
      </c>
      <c r="R768" s="2" t="inlineStr"/>
    </row>
    <row r="769" ht="15" customHeight="1">
      <c r="A769" t="inlineStr">
        <is>
          <t>A 13420-2021</t>
        </is>
      </c>
      <c r="B769" s="1" t="n">
        <v>44273</v>
      </c>
      <c r="C769" s="1" t="n">
        <v>45899</v>
      </c>
      <c r="D769" t="inlineStr">
        <is>
          <t>UPPSALA LÄN</t>
        </is>
      </c>
      <c r="E769" t="inlineStr">
        <is>
          <t>UPPSALA</t>
        </is>
      </c>
      <c r="G769" t="n">
        <v>1.9</v>
      </c>
      <c r="H769" t="n">
        <v>0</v>
      </c>
      <c r="I769" t="n">
        <v>0</v>
      </c>
      <c r="J769" t="n">
        <v>0</v>
      </c>
      <c r="K769" t="n">
        <v>0</v>
      </c>
      <c r="L769" t="n">
        <v>0</v>
      </c>
      <c r="M769" t="n">
        <v>0</v>
      </c>
      <c r="N769" t="n">
        <v>0</v>
      </c>
      <c r="O769" t="n">
        <v>0</v>
      </c>
      <c r="P769" t="n">
        <v>0</v>
      </c>
      <c r="Q769" t="n">
        <v>0</v>
      </c>
      <c r="R769" s="2" t="inlineStr"/>
    </row>
    <row r="770" ht="15" customHeight="1">
      <c r="A770" t="inlineStr">
        <is>
          <t>A 5669-2023</t>
        </is>
      </c>
      <c r="B770" s="1" t="n">
        <v>44960.65061342593</v>
      </c>
      <c r="C770" s="1" t="n">
        <v>45899</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5678-2023</t>
        </is>
      </c>
      <c r="B771" s="1" t="n">
        <v>44960</v>
      </c>
      <c r="C771" s="1" t="n">
        <v>45899</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5028-2022</t>
        </is>
      </c>
      <c r="B772" s="1" t="n">
        <v>44593.64863425926</v>
      </c>
      <c r="C772" s="1" t="n">
        <v>45899</v>
      </c>
      <c r="D772" t="inlineStr">
        <is>
          <t>UPPSALA LÄN</t>
        </is>
      </c>
      <c r="E772" t="inlineStr">
        <is>
          <t>UPPSALA</t>
        </is>
      </c>
      <c r="F772" t="inlineStr">
        <is>
          <t>Holmen skog AB</t>
        </is>
      </c>
      <c r="G772" t="n">
        <v>1.6</v>
      </c>
      <c r="H772" t="n">
        <v>0</v>
      </c>
      <c r="I772" t="n">
        <v>0</v>
      </c>
      <c r="J772" t="n">
        <v>0</v>
      </c>
      <c r="K772" t="n">
        <v>0</v>
      </c>
      <c r="L772" t="n">
        <v>0</v>
      </c>
      <c r="M772" t="n">
        <v>0</v>
      </c>
      <c r="N772" t="n">
        <v>0</v>
      </c>
      <c r="O772" t="n">
        <v>0</v>
      </c>
      <c r="P772" t="n">
        <v>0</v>
      </c>
      <c r="Q772" t="n">
        <v>0</v>
      </c>
      <c r="R772" s="2" t="inlineStr"/>
    </row>
    <row r="773" ht="15" customHeight="1">
      <c r="A773" t="inlineStr">
        <is>
          <t>A 179-2023</t>
        </is>
      </c>
      <c r="B773" s="1" t="n">
        <v>44928</v>
      </c>
      <c r="C773" s="1" t="n">
        <v>45899</v>
      </c>
      <c r="D773" t="inlineStr">
        <is>
          <t>UPPSALA LÄN</t>
        </is>
      </c>
      <c r="E773" t="inlineStr">
        <is>
          <t>UPPSALA</t>
        </is>
      </c>
      <c r="F773" t="inlineStr">
        <is>
          <t>Kommuner</t>
        </is>
      </c>
      <c r="G773" t="n">
        <v>1.4</v>
      </c>
      <c r="H773" t="n">
        <v>0</v>
      </c>
      <c r="I773" t="n">
        <v>0</v>
      </c>
      <c r="J773" t="n">
        <v>0</v>
      </c>
      <c r="K773" t="n">
        <v>0</v>
      </c>
      <c r="L773" t="n">
        <v>0</v>
      </c>
      <c r="M773" t="n">
        <v>0</v>
      </c>
      <c r="N773" t="n">
        <v>0</v>
      </c>
      <c r="O773" t="n">
        <v>0</v>
      </c>
      <c r="P773" t="n">
        <v>0</v>
      </c>
      <c r="Q773" t="n">
        <v>0</v>
      </c>
      <c r="R773" s="2" t="inlineStr"/>
    </row>
    <row r="774" ht="15" customHeight="1">
      <c r="A774" t="inlineStr">
        <is>
          <t>A 51935-2023</t>
        </is>
      </c>
      <c r="B774" s="1" t="n">
        <v>45223</v>
      </c>
      <c r="C774" s="1" t="n">
        <v>45899</v>
      </c>
      <c r="D774" t="inlineStr">
        <is>
          <t>UPPSALA LÄN</t>
        </is>
      </c>
      <c r="E774" t="inlineStr">
        <is>
          <t>UPPSALA</t>
        </is>
      </c>
      <c r="G774" t="n">
        <v>4.8</v>
      </c>
      <c r="H774" t="n">
        <v>0</v>
      </c>
      <c r="I774" t="n">
        <v>0</v>
      </c>
      <c r="J774" t="n">
        <v>0</v>
      </c>
      <c r="K774" t="n">
        <v>0</v>
      </c>
      <c r="L774" t="n">
        <v>0</v>
      </c>
      <c r="M774" t="n">
        <v>0</v>
      </c>
      <c r="N774" t="n">
        <v>0</v>
      </c>
      <c r="O774" t="n">
        <v>0</v>
      </c>
      <c r="P774" t="n">
        <v>0</v>
      </c>
      <c r="Q774" t="n">
        <v>0</v>
      </c>
      <c r="R774" s="2" t="inlineStr"/>
    </row>
    <row r="775" ht="15" customHeight="1">
      <c r="A775" t="inlineStr">
        <is>
          <t>A 40507-2021</t>
        </is>
      </c>
      <c r="B775" s="1" t="n">
        <v>44420</v>
      </c>
      <c r="C775" s="1" t="n">
        <v>45899</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39812-2024</t>
        </is>
      </c>
      <c r="B776" s="1" t="n">
        <v>45552</v>
      </c>
      <c r="C776" s="1" t="n">
        <v>45899</v>
      </c>
      <c r="D776" t="inlineStr">
        <is>
          <t>UPPSALA LÄN</t>
        </is>
      </c>
      <c r="E776" t="inlineStr">
        <is>
          <t>UPPSALA</t>
        </is>
      </c>
      <c r="G776" t="n">
        <v>7.9</v>
      </c>
      <c r="H776" t="n">
        <v>0</v>
      </c>
      <c r="I776" t="n">
        <v>0</v>
      </c>
      <c r="J776" t="n">
        <v>0</v>
      </c>
      <c r="K776" t="n">
        <v>0</v>
      </c>
      <c r="L776" t="n">
        <v>0</v>
      </c>
      <c r="M776" t="n">
        <v>0</v>
      </c>
      <c r="N776" t="n">
        <v>0</v>
      </c>
      <c r="O776" t="n">
        <v>0</v>
      </c>
      <c r="P776" t="n">
        <v>0</v>
      </c>
      <c r="Q776" t="n">
        <v>0</v>
      </c>
      <c r="R776" s="2" t="inlineStr"/>
    </row>
    <row r="777" ht="15" customHeight="1">
      <c r="A777" t="inlineStr">
        <is>
          <t>A 11744-2023</t>
        </is>
      </c>
      <c r="B777" s="1" t="n">
        <v>44993</v>
      </c>
      <c r="C777" s="1" t="n">
        <v>45899</v>
      </c>
      <c r="D777" t="inlineStr">
        <is>
          <t>UPPSALA LÄN</t>
        </is>
      </c>
      <c r="E777" t="inlineStr">
        <is>
          <t>UPPSALA</t>
        </is>
      </c>
      <c r="G777" t="n">
        <v>1.4</v>
      </c>
      <c r="H777" t="n">
        <v>0</v>
      </c>
      <c r="I777" t="n">
        <v>0</v>
      </c>
      <c r="J777" t="n">
        <v>0</v>
      </c>
      <c r="K777" t="n">
        <v>0</v>
      </c>
      <c r="L777" t="n">
        <v>0</v>
      </c>
      <c r="M777" t="n">
        <v>0</v>
      </c>
      <c r="N777" t="n">
        <v>0</v>
      </c>
      <c r="O777" t="n">
        <v>0</v>
      </c>
      <c r="P777" t="n">
        <v>0</v>
      </c>
      <c r="Q777" t="n">
        <v>0</v>
      </c>
      <c r="R777" s="2" t="inlineStr"/>
    </row>
    <row r="778" ht="15" customHeight="1">
      <c r="A778" t="inlineStr">
        <is>
          <t>A 32688-2023</t>
        </is>
      </c>
      <c r="B778" s="1" t="n">
        <v>45121</v>
      </c>
      <c r="C778" s="1" t="n">
        <v>45899</v>
      </c>
      <c r="D778" t="inlineStr">
        <is>
          <t>UPPSALA LÄN</t>
        </is>
      </c>
      <c r="E778" t="inlineStr">
        <is>
          <t>UPPSALA</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9235-2025</t>
        </is>
      </c>
      <c r="B779" s="1" t="n">
        <v>45714.55368055555</v>
      </c>
      <c r="C779" s="1" t="n">
        <v>45899</v>
      </c>
      <c r="D779" t="inlineStr">
        <is>
          <t>UPPSALA LÄN</t>
        </is>
      </c>
      <c r="E779" t="inlineStr">
        <is>
          <t>UPPSALA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44819.50233796296</v>
      </c>
      <c r="C780" s="1" t="n">
        <v>45899</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9206-2022</t>
        </is>
      </c>
      <c r="B781" s="1" t="n">
        <v>44616</v>
      </c>
      <c r="C781" s="1" t="n">
        <v>45899</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55021-2022</t>
        </is>
      </c>
      <c r="B782" s="1" t="n">
        <v>44886</v>
      </c>
      <c r="C782" s="1" t="n">
        <v>45899</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11119-2025</t>
        </is>
      </c>
      <c r="B783" s="1" t="n">
        <v>45723.63290509259</v>
      </c>
      <c r="C783" s="1" t="n">
        <v>45899</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18626-2025</t>
        </is>
      </c>
      <c r="B784" s="1" t="n">
        <v>45763.52995370371</v>
      </c>
      <c r="C784" s="1" t="n">
        <v>45899</v>
      </c>
      <c r="D784" t="inlineStr">
        <is>
          <t>UPPSALA LÄN</t>
        </is>
      </c>
      <c r="E784" t="inlineStr">
        <is>
          <t>UPPSALA</t>
        </is>
      </c>
      <c r="G784" t="n">
        <v>1.8</v>
      </c>
      <c r="H784" t="n">
        <v>0</v>
      </c>
      <c r="I784" t="n">
        <v>0</v>
      </c>
      <c r="J784" t="n">
        <v>0</v>
      </c>
      <c r="K784" t="n">
        <v>0</v>
      </c>
      <c r="L784" t="n">
        <v>0</v>
      </c>
      <c r="M784" t="n">
        <v>0</v>
      </c>
      <c r="N784" t="n">
        <v>0</v>
      </c>
      <c r="O784" t="n">
        <v>0</v>
      </c>
      <c r="P784" t="n">
        <v>0</v>
      </c>
      <c r="Q784" t="n">
        <v>0</v>
      </c>
      <c r="R784" s="2" t="inlineStr"/>
    </row>
    <row r="785" ht="15" customHeight="1">
      <c r="A785" t="inlineStr">
        <is>
          <t>A 74495-2021</t>
        </is>
      </c>
      <c r="B785" s="1" t="n">
        <v>44560</v>
      </c>
      <c r="C785" s="1" t="n">
        <v>45899</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6408-2022</t>
        </is>
      </c>
      <c r="B786" s="1" t="n">
        <v>44600</v>
      </c>
      <c r="C786" s="1" t="n">
        <v>45899</v>
      </c>
      <c r="D786" t="inlineStr">
        <is>
          <t>UPPSALA LÄN</t>
        </is>
      </c>
      <c r="E786" t="inlineStr">
        <is>
          <t>UPPSALA</t>
        </is>
      </c>
      <c r="F786" t="inlineStr">
        <is>
          <t>Bergvik skog öst AB</t>
        </is>
      </c>
      <c r="G786" t="n">
        <v>1.8</v>
      </c>
      <c r="H786" t="n">
        <v>0</v>
      </c>
      <c r="I786" t="n">
        <v>0</v>
      </c>
      <c r="J786" t="n">
        <v>0</v>
      </c>
      <c r="K786" t="n">
        <v>0</v>
      </c>
      <c r="L786" t="n">
        <v>0</v>
      </c>
      <c r="M786" t="n">
        <v>0</v>
      </c>
      <c r="N786" t="n">
        <v>0</v>
      </c>
      <c r="O786" t="n">
        <v>0</v>
      </c>
      <c r="P786" t="n">
        <v>0</v>
      </c>
      <c r="Q786" t="n">
        <v>0</v>
      </c>
      <c r="R786" s="2" t="inlineStr"/>
    </row>
    <row r="787" ht="15" customHeight="1">
      <c r="A787" t="inlineStr">
        <is>
          <t>A 10383-2022</t>
        </is>
      </c>
      <c r="B787" s="1" t="n">
        <v>44623.41775462963</v>
      </c>
      <c r="C787" s="1" t="n">
        <v>45899</v>
      </c>
      <c r="D787" t="inlineStr">
        <is>
          <t>UPPSALA LÄN</t>
        </is>
      </c>
      <c r="E787" t="inlineStr">
        <is>
          <t>UPPSALA</t>
        </is>
      </c>
      <c r="F787" t="inlineStr">
        <is>
          <t>Övriga Aktiebolag</t>
        </is>
      </c>
      <c r="G787" t="n">
        <v>2.8</v>
      </c>
      <c r="H787" t="n">
        <v>0</v>
      </c>
      <c r="I787" t="n">
        <v>0</v>
      </c>
      <c r="J787" t="n">
        <v>0</v>
      </c>
      <c r="K787" t="n">
        <v>0</v>
      </c>
      <c r="L787" t="n">
        <v>0</v>
      </c>
      <c r="M787" t="n">
        <v>0</v>
      </c>
      <c r="N787" t="n">
        <v>0</v>
      </c>
      <c r="O787" t="n">
        <v>0</v>
      </c>
      <c r="P787" t="n">
        <v>0</v>
      </c>
      <c r="Q787" t="n">
        <v>0</v>
      </c>
      <c r="R787" s="2" t="inlineStr"/>
    </row>
    <row r="788" ht="15" customHeight="1">
      <c r="A788" t="inlineStr">
        <is>
          <t>A 10456-2022</t>
        </is>
      </c>
      <c r="B788" s="1" t="n">
        <v>44623.5571875</v>
      </c>
      <c r="C788" s="1" t="n">
        <v>45899</v>
      </c>
      <c r="D788" t="inlineStr">
        <is>
          <t>UPPSALA LÄN</t>
        </is>
      </c>
      <c r="E788" t="inlineStr">
        <is>
          <t>UPPSALA</t>
        </is>
      </c>
      <c r="F788" t="inlineStr">
        <is>
          <t>Övriga Aktiebolag</t>
        </is>
      </c>
      <c r="G788" t="n">
        <v>12.6</v>
      </c>
      <c r="H788" t="n">
        <v>0</v>
      </c>
      <c r="I788" t="n">
        <v>0</v>
      </c>
      <c r="J788" t="n">
        <v>0</v>
      </c>
      <c r="K788" t="n">
        <v>0</v>
      </c>
      <c r="L788" t="n">
        <v>0</v>
      </c>
      <c r="M788" t="n">
        <v>0</v>
      </c>
      <c r="N788" t="n">
        <v>0</v>
      </c>
      <c r="O788" t="n">
        <v>0</v>
      </c>
      <c r="P788" t="n">
        <v>0</v>
      </c>
      <c r="Q788" t="n">
        <v>0</v>
      </c>
      <c r="R788" s="2" t="inlineStr"/>
    </row>
    <row r="789" ht="15" customHeight="1">
      <c r="A789" t="inlineStr">
        <is>
          <t>A 39548-2023</t>
        </is>
      </c>
      <c r="B789" s="1" t="n">
        <v>45167.3721412037</v>
      </c>
      <c r="C789" s="1" t="n">
        <v>45899</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69432-2021</t>
        </is>
      </c>
      <c r="B790" s="1" t="n">
        <v>44531</v>
      </c>
      <c r="C790" s="1" t="n">
        <v>45899</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6422-2023</t>
        </is>
      </c>
      <c r="B791" s="1" t="n">
        <v>44965</v>
      </c>
      <c r="C791" s="1" t="n">
        <v>45899</v>
      </c>
      <c r="D791" t="inlineStr">
        <is>
          <t>UPPSALA LÄN</t>
        </is>
      </c>
      <c r="E791" t="inlineStr">
        <is>
          <t>UPPSALA</t>
        </is>
      </c>
      <c r="G791" t="n">
        <v>3.1</v>
      </c>
      <c r="H791" t="n">
        <v>0</v>
      </c>
      <c r="I791" t="n">
        <v>0</v>
      </c>
      <c r="J791" t="n">
        <v>0</v>
      </c>
      <c r="K791" t="n">
        <v>0</v>
      </c>
      <c r="L791" t="n">
        <v>0</v>
      </c>
      <c r="M791" t="n">
        <v>0</v>
      </c>
      <c r="N791" t="n">
        <v>0</v>
      </c>
      <c r="O791" t="n">
        <v>0</v>
      </c>
      <c r="P791" t="n">
        <v>0</v>
      </c>
      <c r="Q791" t="n">
        <v>0</v>
      </c>
      <c r="R791" s="2" t="inlineStr"/>
    </row>
    <row r="792" ht="15" customHeight="1">
      <c r="A792" t="inlineStr">
        <is>
          <t>A 6423-2023</t>
        </is>
      </c>
      <c r="B792" s="1" t="n">
        <v>44965</v>
      </c>
      <c r="C792" s="1" t="n">
        <v>45899</v>
      </c>
      <c r="D792" t="inlineStr">
        <is>
          <t>UPPSALA LÄN</t>
        </is>
      </c>
      <c r="E792" t="inlineStr">
        <is>
          <t>UPPSALA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1994-2024</t>
        </is>
      </c>
      <c r="B793" s="1" t="n">
        <v>45308.63298611111</v>
      </c>
      <c r="C793" s="1" t="n">
        <v>45899</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69691-2021</t>
        </is>
      </c>
      <c r="B794" s="1" t="n">
        <v>44532</v>
      </c>
      <c r="C794" s="1" t="n">
        <v>45899</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49682-2023</t>
        </is>
      </c>
      <c r="B795" s="1" t="n">
        <v>45212.34997685185</v>
      </c>
      <c r="C795" s="1" t="n">
        <v>45899</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55073-2022</t>
        </is>
      </c>
      <c r="B796" s="1" t="n">
        <v>44886.5928125</v>
      </c>
      <c r="C796" s="1" t="n">
        <v>45899</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43-2024</t>
        </is>
      </c>
      <c r="B797" s="1" t="n">
        <v>45293</v>
      </c>
      <c r="C797" s="1" t="n">
        <v>45899</v>
      </c>
      <c r="D797" t="inlineStr">
        <is>
          <t>UPPSALA LÄN</t>
        </is>
      </c>
      <c r="E797" t="inlineStr">
        <is>
          <t>UPPSALA</t>
        </is>
      </c>
      <c r="G797" t="n">
        <v>2.8</v>
      </c>
      <c r="H797" t="n">
        <v>0</v>
      </c>
      <c r="I797" t="n">
        <v>0</v>
      </c>
      <c r="J797" t="n">
        <v>0</v>
      </c>
      <c r="K797" t="n">
        <v>0</v>
      </c>
      <c r="L797" t="n">
        <v>0</v>
      </c>
      <c r="M797" t="n">
        <v>0</v>
      </c>
      <c r="N797" t="n">
        <v>0</v>
      </c>
      <c r="O797" t="n">
        <v>0</v>
      </c>
      <c r="P797" t="n">
        <v>0</v>
      </c>
      <c r="Q797" t="n">
        <v>0</v>
      </c>
      <c r="R797" s="2" t="inlineStr"/>
    </row>
    <row r="798" ht="15" customHeight="1">
      <c r="A798" t="inlineStr">
        <is>
          <t>A 42681-2023</t>
        </is>
      </c>
      <c r="B798" s="1" t="n">
        <v>45181.58055555556</v>
      </c>
      <c r="C798" s="1" t="n">
        <v>45899</v>
      </c>
      <c r="D798" t="inlineStr">
        <is>
          <t>UPPSALA LÄN</t>
        </is>
      </c>
      <c r="E798" t="inlineStr">
        <is>
          <t>UPPSALA</t>
        </is>
      </c>
      <c r="F798" t="inlineStr">
        <is>
          <t>Bergvik skog öst AB</t>
        </is>
      </c>
      <c r="G798" t="n">
        <v>3.1</v>
      </c>
      <c r="H798" t="n">
        <v>0</v>
      </c>
      <c r="I798" t="n">
        <v>0</v>
      </c>
      <c r="J798" t="n">
        <v>0</v>
      </c>
      <c r="K798" t="n">
        <v>0</v>
      </c>
      <c r="L798" t="n">
        <v>0</v>
      </c>
      <c r="M798" t="n">
        <v>0</v>
      </c>
      <c r="N798" t="n">
        <v>0</v>
      </c>
      <c r="O798" t="n">
        <v>0</v>
      </c>
      <c r="P798" t="n">
        <v>0</v>
      </c>
      <c r="Q798" t="n">
        <v>0</v>
      </c>
      <c r="R798" s="2" t="inlineStr"/>
    </row>
    <row r="799" ht="15" customHeight="1">
      <c r="A799" t="inlineStr">
        <is>
          <t>A 1592-2025</t>
        </is>
      </c>
      <c r="B799" s="1" t="n">
        <v>45670</v>
      </c>
      <c r="C799" s="1" t="n">
        <v>45899</v>
      </c>
      <c r="D799" t="inlineStr">
        <is>
          <t>UPPSALA LÄN</t>
        </is>
      </c>
      <c r="E799" t="inlineStr">
        <is>
          <t>UPPSALA</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27543-2022</t>
        </is>
      </c>
      <c r="B800" s="1" t="n">
        <v>44742</v>
      </c>
      <c r="C800" s="1" t="n">
        <v>45899</v>
      </c>
      <c r="D800" t="inlineStr">
        <is>
          <t>UPPSALA LÄN</t>
        </is>
      </c>
      <c r="E800" t="inlineStr">
        <is>
          <t>UPPSALA</t>
        </is>
      </c>
      <c r="F800" t="inlineStr">
        <is>
          <t>Kyrkan</t>
        </is>
      </c>
      <c r="G800" t="n">
        <v>2.6</v>
      </c>
      <c r="H800" t="n">
        <v>0</v>
      </c>
      <c r="I800" t="n">
        <v>0</v>
      </c>
      <c r="J800" t="n">
        <v>0</v>
      </c>
      <c r="K800" t="n">
        <v>0</v>
      </c>
      <c r="L800" t="n">
        <v>0</v>
      </c>
      <c r="M800" t="n">
        <v>0</v>
      </c>
      <c r="N800" t="n">
        <v>0</v>
      </c>
      <c r="O800" t="n">
        <v>0</v>
      </c>
      <c r="P800" t="n">
        <v>0</v>
      </c>
      <c r="Q800" t="n">
        <v>0</v>
      </c>
      <c r="R800" s="2" t="inlineStr"/>
    </row>
    <row r="801" ht="15" customHeight="1">
      <c r="A801" t="inlineStr">
        <is>
          <t>A 17587-2025</t>
        </is>
      </c>
      <c r="B801" s="1" t="n">
        <v>45757.67611111111</v>
      </c>
      <c r="C801" s="1" t="n">
        <v>45899</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24012-2023</t>
        </is>
      </c>
      <c r="B802" s="1" t="n">
        <v>45078</v>
      </c>
      <c r="C802" s="1" t="n">
        <v>45899</v>
      </c>
      <c r="D802" t="inlineStr">
        <is>
          <t>UPPSALA LÄN</t>
        </is>
      </c>
      <c r="E802" t="inlineStr">
        <is>
          <t>UPPSALA</t>
        </is>
      </c>
      <c r="F802" t="inlineStr">
        <is>
          <t>Kyrkan</t>
        </is>
      </c>
      <c r="G802" t="n">
        <v>1.6</v>
      </c>
      <c r="H802" t="n">
        <v>0</v>
      </c>
      <c r="I802" t="n">
        <v>0</v>
      </c>
      <c r="J802" t="n">
        <v>0</v>
      </c>
      <c r="K802" t="n">
        <v>0</v>
      </c>
      <c r="L802" t="n">
        <v>0</v>
      </c>
      <c r="M802" t="n">
        <v>0</v>
      </c>
      <c r="N802" t="n">
        <v>0</v>
      </c>
      <c r="O802" t="n">
        <v>0</v>
      </c>
      <c r="P802" t="n">
        <v>0</v>
      </c>
      <c r="Q802" t="n">
        <v>0</v>
      </c>
      <c r="R802" s="2" t="inlineStr"/>
    </row>
    <row r="803" ht="15" customHeight="1">
      <c r="A803" t="inlineStr">
        <is>
          <t>A 33797-2021</t>
        </is>
      </c>
      <c r="B803" s="1" t="n">
        <v>44378.56137731481</v>
      </c>
      <c r="C803" s="1" t="n">
        <v>45899</v>
      </c>
      <c r="D803" t="inlineStr">
        <is>
          <t>UPPSALA LÄN</t>
        </is>
      </c>
      <c r="E803" t="inlineStr">
        <is>
          <t>UPPSALA</t>
        </is>
      </c>
      <c r="G803" t="n">
        <v>1</v>
      </c>
      <c r="H803" t="n">
        <v>0</v>
      </c>
      <c r="I803" t="n">
        <v>0</v>
      </c>
      <c r="J803" t="n">
        <v>0</v>
      </c>
      <c r="K803" t="n">
        <v>0</v>
      </c>
      <c r="L803" t="n">
        <v>0</v>
      </c>
      <c r="M803" t="n">
        <v>0</v>
      </c>
      <c r="N803" t="n">
        <v>0</v>
      </c>
      <c r="O803" t="n">
        <v>0</v>
      </c>
      <c r="P803" t="n">
        <v>0</v>
      </c>
      <c r="Q803" t="n">
        <v>0</v>
      </c>
      <c r="R803" s="2" t="inlineStr"/>
    </row>
    <row r="804" ht="15" customHeight="1">
      <c r="A804" t="inlineStr">
        <is>
          <t>A 53893-2023</t>
        </is>
      </c>
      <c r="B804" s="1" t="n">
        <v>45231</v>
      </c>
      <c r="C804" s="1" t="n">
        <v>45899</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6679-2024</t>
        </is>
      </c>
      <c r="B805" s="1" t="n">
        <v>45341</v>
      </c>
      <c r="C805" s="1" t="n">
        <v>45899</v>
      </c>
      <c r="D805" t="inlineStr">
        <is>
          <t>UPPSALA LÄN</t>
        </is>
      </c>
      <c r="E805" t="inlineStr">
        <is>
          <t>UPPSALA</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53379-2020</t>
        </is>
      </c>
      <c r="B806" s="1" t="n">
        <v>44123</v>
      </c>
      <c r="C806" s="1" t="n">
        <v>45899</v>
      </c>
      <c r="D806" t="inlineStr">
        <is>
          <t>UPPSALA LÄN</t>
        </is>
      </c>
      <c r="E806" t="inlineStr">
        <is>
          <t>UPPSALA</t>
        </is>
      </c>
      <c r="G806" t="n">
        <v>2.6</v>
      </c>
      <c r="H806" t="n">
        <v>0</v>
      </c>
      <c r="I806" t="n">
        <v>0</v>
      </c>
      <c r="J806" t="n">
        <v>0</v>
      </c>
      <c r="K806" t="n">
        <v>0</v>
      </c>
      <c r="L806" t="n">
        <v>0</v>
      </c>
      <c r="M806" t="n">
        <v>0</v>
      </c>
      <c r="N806" t="n">
        <v>0</v>
      </c>
      <c r="O806" t="n">
        <v>0</v>
      </c>
      <c r="P806" t="n">
        <v>0</v>
      </c>
      <c r="Q806" t="n">
        <v>0</v>
      </c>
      <c r="R806" s="2" t="inlineStr"/>
    </row>
    <row r="807" ht="15" customHeight="1">
      <c r="A807" t="inlineStr">
        <is>
          <t>A 49050-2024</t>
        </is>
      </c>
      <c r="B807" s="1" t="n">
        <v>45594</v>
      </c>
      <c r="C807" s="1" t="n">
        <v>45899</v>
      </c>
      <c r="D807" t="inlineStr">
        <is>
          <t>UPPSALA LÄN</t>
        </is>
      </c>
      <c r="E807" t="inlineStr">
        <is>
          <t>UPPSALA</t>
        </is>
      </c>
      <c r="F807" t="inlineStr">
        <is>
          <t>Övriga statliga verk och myndigheter</t>
        </is>
      </c>
      <c r="G807" t="n">
        <v>3.9</v>
      </c>
      <c r="H807" t="n">
        <v>0</v>
      </c>
      <c r="I807" t="n">
        <v>0</v>
      </c>
      <c r="J807" t="n">
        <v>0</v>
      </c>
      <c r="K807" t="n">
        <v>0</v>
      </c>
      <c r="L807" t="n">
        <v>0</v>
      </c>
      <c r="M807" t="n">
        <v>0</v>
      </c>
      <c r="N807" t="n">
        <v>0</v>
      </c>
      <c r="O807" t="n">
        <v>0</v>
      </c>
      <c r="P807" t="n">
        <v>0</v>
      </c>
      <c r="Q807" t="n">
        <v>0</v>
      </c>
      <c r="R807" s="2" t="inlineStr"/>
    </row>
    <row r="808" ht="15" customHeight="1">
      <c r="A808" t="inlineStr">
        <is>
          <t>A 57271-2020</t>
        </is>
      </c>
      <c r="B808" s="1" t="n">
        <v>44139</v>
      </c>
      <c r="C808" s="1" t="n">
        <v>45899</v>
      </c>
      <c r="D808" t="inlineStr">
        <is>
          <t>UPPSALA LÄN</t>
        </is>
      </c>
      <c r="E808" t="inlineStr">
        <is>
          <t>UPPSALA</t>
        </is>
      </c>
      <c r="G808" t="n">
        <v>3.8</v>
      </c>
      <c r="H808" t="n">
        <v>0</v>
      </c>
      <c r="I808" t="n">
        <v>0</v>
      </c>
      <c r="J808" t="n">
        <v>0</v>
      </c>
      <c r="K808" t="n">
        <v>0</v>
      </c>
      <c r="L808" t="n">
        <v>0</v>
      </c>
      <c r="M808" t="n">
        <v>0</v>
      </c>
      <c r="N808" t="n">
        <v>0</v>
      </c>
      <c r="O808" t="n">
        <v>0</v>
      </c>
      <c r="P808" t="n">
        <v>0</v>
      </c>
      <c r="Q808" t="n">
        <v>0</v>
      </c>
      <c r="R808" s="2" t="inlineStr"/>
    </row>
    <row r="809" ht="15" customHeight="1">
      <c r="A809" t="inlineStr">
        <is>
          <t>A 47221-2023</t>
        </is>
      </c>
      <c r="B809" s="1" t="n">
        <v>45202</v>
      </c>
      <c r="C809" s="1" t="n">
        <v>45899</v>
      </c>
      <c r="D809" t="inlineStr">
        <is>
          <t>UPPSALA LÄN</t>
        </is>
      </c>
      <c r="E809" t="inlineStr">
        <is>
          <t>UPPSALA</t>
        </is>
      </c>
      <c r="G809" t="n">
        <v>8.6</v>
      </c>
      <c r="H809" t="n">
        <v>0</v>
      </c>
      <c r="I809" t="n">
        <v>0</v>
      </c>
      <c r="J809" t="n">
        <v>0</v>
      </c>
      <c r="K809" t="n">
        <v>0</v>
      </c>
      <c r="L809" t="n">
        <v>0</v>
      </c>
      <c r="M809" t="n">
        <v>0</v>
      </c>
      <c r="N809" t="n">
        <v>0</v>
      </c>
      <c r="O809" t="n">
        <v>0</v>
      </c>
      <c r="P809" t="n">
        <v>0</v>
      </c>
      <c r="Q809" t="n">
        <v>0</v>
      </c>
      <c r="R809" s="2" t="inlineStr"/>
    </row>
    <row r="810" ht="15" customHeight="1">
      <c r="A810" t="inlineStr">
        <is>
          <t>A 781-2024</t>
        </is>
      </c>
      <c r="B810" s="1" t="n">
        <v>45300.55028935185</v>
      </c>
      <c r="C810" s="1" t="n">
        <v>45899</v>
      </c>
      <c r="D810" t="inlineStr">
        <is>
          <t>UPPSALA LÄN</t>
        </is>
      </c>
      <c r="E810" t="inlineStr">
        <is>
          <t>UPPSALA</t>
        </is>
      </c>
      <c r="G810" t="n">
        <v>6.3</v>
      </c>
      <c r="H810" t="n">
        <v>0</v>
      </c>
      <c r="I810" t="n">
        <v>0</v>
      </c>
      <c r="J810" t="n">
        <v>0</v>
      </c>
      <c r="K810" t="n">
        <v>0</v>
      </c>
      <c r="L810" t="n">
        <v>0</v>
      </c>
      <c r="M810" t="n">
        <v>0</v>
      </c>
      <c r="N810" t="n">
        <v>0</v>
      </c>
      <c r="O810" t="n">
        <v>0</v>
      </c>
      <c r="P810" t="n">
        <v>0</v>
      </c>
      <c r="Q810" t="n">
        <v>0</v>
      </c>
      <c r="R810" s="2" t="inlineStr"/>
    </row>
    <row r="811" ht="15" customHeight="1">
      <c r="A811" t="inlineStr">
        <is>
          <t>A 59358-2024</t>
        </is>
      </c>
      <c r="B811" s="1" t="n">
        <v>45638</v>
      </c>
      <c r="C811" s="1" t="n">
        <v>45899</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58023-2022</t>
        </is>
      </c>
      <c r="B812" s="1" t="n">
        <v>44900.54711805555</v>
      </c>
      <c r="C812" s="1" t="n">
        <v>45899</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45878-2024</t>
        </is>
      </c>
      <c r="B813" s="1" t="n">
        <v>45580</v>
      </c>
      <c r="C813" s="1" t="n">
        <v>45899</v>
      </c>
      <c r="D813" t="inlineStr">
        <is>
          <t>UPPSALA LÄN</t>
        </is>
      </c>
      <c r="E813" t="inlineStr">
        <is>
          <t>UPPSALA</t>
        </is>
      </c>
      <c r="G813" t="n">
        <v>2.8</v>
      </c>
      <c r="H813" t="n">
        <v>0</v>
      </c>
      <c r="I813" t="n">
        <v>0</v>
      </c>
      <c r="J813" t="n">
        <v>0</v>
      </c>
      <c r="K813" t="n">
        <v>0</v>
      </c>
      <c r="L813" t="n">
        <v>0</v>
      </c>
      <c r="M813" t="n">
        <v>0</v>
      </c>
      <c r="N813" t="n">
        <v>0</v>
      </c>
      <c r="O813" t="n">
        <v>0</v>
      </c>
      <c r="P813" t="n">
        <v>0</v>
      </c>
      <c r="Q813" t="n">
        <v>0</v>
      </c>
      <c r="R813" s="2" t="inlineStr"/>
    </row>
    <row r="814" ht="15" customHeight="1">
      <c r="A814" t="inlineStr">
        <is>
          <t>A 5374-2023</t>
        </is>
      </c>
      <c r="B814" s="1" t="n">
        <v>44944</v>
      </c>
      <c r="C814" s="1" t="n">
        <v>45899</v>
      </c>
      <c r="D814" t="inlineStr">
        <is>
          <t>UPPSALA LÄN</t>
        </is>
      </c>
      <c r="E814" t="inlineStr">
        <is>
          <t>UPPSALA</t>
        </is>
      </c>
      <c r="G814" t="n">
        <v>3.5</v>
      </c>
      <c r="H814" t="n">
        <v>0</v>
      </c>
      <c r="I814" t="n">
        <v>0</v>
      </c>
      <c r="J814" t="n">
        <v>0</v>
      </c>
      <c r="K814" t="n">
        <v>0</v>
      </c>
      <c r="L814" t="n">
        <v>0</v>
      </c>
      <c r="M814" t="n">
        <v>0</v>
      </c>
      <c r="N814" t="n">
        <v>0</v>
      </c>
      <c r="O814" t="n">
        <v>0</v>
      </c>
      <c r="P814" t="n">
        <v>0</v>
      </c>
      <c r="Q814" t="n">
        <v>0</v>
      </c>
      <c r="R814" s="2" t="inlineStr"/>
    </row>
    <row r="815" ht="15" customHeight="1">
      <c r="A815" t="inlineStr">
        <is>
          <t>A 27599-2023</t>
        </is>
      </c>
      <c r="B815" s="1" t="n">
        <v>45097</v>
      </c>
      <c r="C815" s="1" t="n">
        <v>45899</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40503-2024</t>
        </is>
      </c>
      <c r="B816" s="1" t="n">
        <v>45555.5727662037</v>
      </c>
      <c r="C816" s="1" t="n">
        <v>45899</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341-2024</t>
        </is>
      </c>
      <c r="B817" s="1" t="n">
        <v>45295</v>
      </c>
      <c r="C817" s="1" t="n">
        <v>45899</v>
      </c>
      <c r="D817" t="inlineStr">
        <is>
          <t>UPPSALA LÄN</t>
        </is>
      </c>
      <c r="E817" t="inlineStr">
        <is>
          <t>UPPSALA</t>
        </is>
      </c>
      <c r="F817" t="inlineStr">
        <is>
          <t>Allmännings- och besparingsskogar</t>
        </is>
      </c>
      <c r="G817" t="n">
        <v>1.8</v>
      </c>
      <c r="H817" t="n">
        <v>0</v>
      </c>
      <c r="I817" t="n">
        <v>0</v>
      </c>
      <c r="J817" t="n">
        <v>0</v>
      </c>
      <c r="K817" t="n">
        <v>0</v>
      </c>
      <c r="L817" t="n">
        <v>0</v>
      </c>
      <c r="M817" t="n">
        <v>0</v>
      </c>
      <c r="N817" t="n">
        <v>0</v>
      </c>
      <c r="O817" t="n">
        <v>0</v>
      </c>
      <c r="P817" t="n">
        <v>0</v>
      </c>
      <c r="Q817" t="n">
        <v>0</v>
      </c>
      <c r="R817" s="2" t="inlineStr"/>
    </row>
    <row r="818" ht="15" customHeight="1">
      <c r="A818" t="inlineStr">
        <is>
          <t>A 64353-2020</t>
        </is>
      </c>
      <c r="B818" s="1" t="n">
        <v>44168.55746527778</v>
      </c>
      <c r="C818" s="1" t="n">
        <v>45899</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7058-2023</t>
        </is>
      </c>
      <c r="B819" s="1" t="n">
        <v>44969</v>
      </c>
      <c r="C819" s="1" t="n">
        <v>45899</v>
      </c>
      <c r="D819" t="inlineStr">
        <is>
          <t>UPPSALA LÄN</t>
        </is>
      </c>
      <c r="E819" t="inlineStr">
        <is>
          <t>UPPSALA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3214-2023</t>
        </is>
      </c>
      <c r="B820" s="1" t="n">
        <v>44944</v>
      </c>
      <c r="C820" s="1" t="n">
        <v>45899</v>
      </c>
      <c r="D820" t="inlineStr">
        <is>
          <t>UPPSALA LÄN</t>
        </is>
      </c>
      <c r="E820" t="inlineStr">
        <is>
          <t>UPPSALA</t>
        </is>
      </c>
      <c r="G820" t="n">
        <v>4.1</v>
      </c>
      <c r="H820" t="n">
        <v>0</v>
      </c>
      <c r="I820" t="n">
        <v>0</v>
      </c>
      <c r="J820" t="n">
        <v>0</v>
      </c>
      <c r="K820" t="n">
        <v>0</v>
      </c>
      <c r="L820" t="n">
        <v>0</v>
      </c>
      <c r="M820" t="n">
        <v>0</v>
      </c>
      <c r="N820" t="n">
        <v>0</v>
      </c>
      <c r="O820" t="n">
        <v>0</v>
      </c>
      <c r="P820" t="n">
        <v>0</v>
      </c>
      <c r="Q820" t="n">
        <v>0</v>
      </c>
      <c r="R820" s="2" t="inlineStr"/>
    </row>
    <row r="821" ht="15" customHeight="1">
      <c r="A821" t="inlineStr">
        <is>
          <t>A 50669-2024</t>
        </is>
      </c>
      <c r="B821" s="1" t="n">
        <v>45601</v>
      </c>
      <c r="C821" s="1" t="n">
        <v>45899</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36782-2023</t>
        </is>
      </c>
      <c r="B822" s="1" t="n">
        <v>45154.35092592592</v>
      </c>
      <c r="C822" s="1" t="n">
        <v>45899</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14337-2022</t>
        </is>
      </c>
      <c r="B823" s="1" t="n">
        <v>44652</v>
      </c>
      <c r="C823" s="1" t="n">
        <v>45899</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2980-2025</t>
        </is>
      </c>
      <c r="B824" s="1" t="n">
        <v>45678</v>
      </c>
      <c r="C824" s="1" t="n">
        <v>45899</v>
      </c>
      <c r="D824" t="inlineStr">
        <is>
          <t>UPPSALA LÄN</t>
        </is>
      </c>
      <c r="E824" t="inlineStr">
        <is>
          <t>UPPSALA</t>
        </is>
      </c>
      <c r="G824" t="n">
        <v>5</v>
      </c>
      <c r="H824" t="n">
        <v>0</v>
      </c>
      <c r="I824" t="n">
        <v>0</v>
      </c>
      <c r="J824" t="n">
        <v>0</v>
      </c>
      <c r="K824" t="n">
        <v>0</v>
      </c>
      <c r="L824" t="n">
        <v>0</v>
      </c>
      <c r="M824" t="n">
        <v>0</v>
      </c>
      <c r="N824" t="n">
        <v>0</v>
      </c>
      <c r="O824" t="n">
        <v>0</v>
      </c>
      <c r="P824" t="n">
        <v>0</v>
      </c>
      <c r="Q824" t="n">
        <v>0</v>
      </c>
      <c r="R824" s="2" t="inlineStr"/>
    </row>
    <row r="825" ht="15" customHeight="1">
      <c r="A825" t="inlineStr">
        <is>
          <t>A 40111-2024</t>
        </is>
      </c>
      <c r="B825" s="1" t="n">
        <v>45554</v>
      </c>
      <c r="C825" s="1" t="n">
        <v>45899</v>
      </c>
      <c r="D825" t="inlineStr">
        <is>
          <t>UPPSALA LÄN</t>
        </is>
      </c>
      <c r="E825" t="inlineStr">
        <is>
          <t>UPPSALA</t>
        </is>
      </c>
      <c r="G825" t="n">
        <v>3.7</v>
      </c>
      <c r="H825" t="n">
        <v>0</v>
      </c>
      <c r="I825" t="n">
        <v>0</v>
      </c>
      <c r="J825" t="n">
        <v>0</v>
      </c>
      <c r="K825" t="n">
        <v>0</v>
      </c>
      <c r="L825" t="n">
        <v>0</v>
      </c>
      <c r="M825" t="n">
        <v>0</v>
      </c>
      <c r="N825" t="n">
        <v>0</v>
      </c>
      <c r="O825" t="n">
        <v>0</v>
      </c>
      <c r="P825" t="n">
        <v>0</v>
      </c>
      <c r="Q825" t="n">
        <v>0</v>
      </c>
      <c r="R825" s="2" t="inlineStr"/>
    </row>
    <row r="826" ht="15" customHeight="1">
      <c r="A826" t="inlineStr">
        <is>
          <t>A 17448-2022</t>
        </is>
      </c>
      <c r="B826" s="1" t="n">
        <v>44679</v>
      </c>
      <c r="C826" s="1" t="n">
        <v>45899</v>
      </c>
      <c r="D826" t="inlineStr">
        <is>
          <t>UPPSALA LÄN</t>
        </is>
      </c>
      <c r="E826" t="inlineStr">
        <is>
          <t>UPPSALA</t>
        </is>
      </c>
      <c r="G826" t="n">
        <v>2.7</v>
      </c>
      <c r="H826" t="n">
        <v>0</v>
      </c>
      <c r="I826" t="n">
        <v>0</v>
      </c>
      <c r="J826" t="n">
        <v>0</v>
      </c>
      <c r="K826" t="n">
        <v>0</v>
      </c>
      <c r="L826" t="n">
        <v>0</v>
      </c>
      <c r="M826" t="n">
        <v>0</v>
      </c>
      <c r="N826" t="n">
        <v>0</v>
      </c>
      <c r="O826" t="n">
        <v>0</v>
      </c>
      <c r="P826" t="n">
        <v>0</v>
      </c>
      <c r="Q826" t="n">
        <v>0</v>
      </c>
      <c r="R826" s="2" t="inlineStr"/>
    </row>
    <row r="827" ht="15" customHeight="1">
      <c r="A827" t="inlineStr">
        <is>
          <t>A 17595-2025</t>
        </is>
      </c>
      <c r="B827" s="1" t="n">
        <v>45757</v>
      </c>
      <c r="C827" s="1" t="n">
        <v>45899</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38865-2022</t>
        </is>
      </c>
      <c r="B828" s="1" t="n">
        <v>44816</v>
      </c>
      <c r="C828" s="1" t="n">
        <v>45899</v>
      </c>
      <c r="D828" t="inlineStr">
        <is>
          <t>UPPSALA LÄN</t>
        </is>
      </c>
      <c r="E828" t="inlineStr">
        <is>
          <t>UPPSALA</t>
        </is>
      </c>
      <c r="G828" t="n">
        <v>14.6</v>
      </c>
      <c r="H828" t="n">
        <v>0</v>
      </c>
      <c r="I828" t="n">
        <v>0</v>
      </c>
      <c r="J828" t="n">
        <v>0</v>
      </c>
      <c r="K828" t="n">
        <v>0</v>
      </c>
      <c r="L828" t="n">
        <v>0</v>
      </c>
      <c r="M828" t="n">
        <v>0</v>
      </c>
      <c r="N828" t="n">
        <v>0</v>
      </c>
      <c r="O828" t="n">
        <v>0</v>
      </c>
      <c r="P828" t="n">
        <v>0</v>
      </c>
      <c r="Q828" t="n">
        <v>0</v>
      </c>
      <c r="R828" s="2" t="inlineStr"/>
    </row>
    <row r="829" ht="15" customHeight="1">
      <c r="A829" t="inlineStr">
        <is>
          <t>A 18717-2025</t>
        </is>
      </c>
      <c r="B829" s="1" t="n">
        <v>45763.6503125</v>
      </c>
      <c r="C829" s="1" t="n">
        <v>45899</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3183-2024</t>
        </is>
      </c>
      <c r="B830" s="1" t="n">
        <v>45316</v>
      </c>
      <c r="C830" s="1" t="n">
        <v>45899</v>
      </c>
      <c r="D830" t="inlineStr">
        <is>
          <t>UPPSALA LÄN</t>
        </is>
      </c>
      <c r="E830" t="inlineStr">
        <is>
          <t>UPPSALA</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3261-2024</t>
        </is>
      </c>
      <c r="B831" s="1" t="n">
        <v>45317</v>
      </c>
      <c r="C831" s="1" t="n">
        <v>45899</v>
      </c>
      <c r="D831" t="inlineStr">
        <is>
          <t>UPPSALA LÄN</t>
        </is>
      </c>
      <c r="E831" t="inlineStr">
        <is>
          <t>UPPSALA</t>
        </is>
      </c>
      <c r="G831" t="n">
        <v>2.8</v>
      </c>
      <c r="H831" t="n">
        <v>0</v>
      </c>
      <c r="I831" t="n">
        <v>0</v>
      </c>
      <c r="J831" t="n">
        <v>0</v>
      </c>
      <c r="K831" t="n">
        <v>0</v>
      </c>
      <c r="L831" t="n">
        <v>0</v>
      </c>
      <c r="M831" t="n">
        <v>0</v>
      </c>
      <c r="N831" t="n">
        <v>0</v>
      </c>
      <c r="O831" t="n">
        <v>0</v>
      </c>
      <c r="P831" t="n">
        <v>0</v>
      </c>
      <c r="Q831" t="n">
        <v>0</v>
      </c>
      <c r="R831" s="2" t="inlineStr"/>
    </row>
    <row r="832" ht="15" customHeight="1">
      <c r="A832" t="inlineStr">
        <is>
          <t>A 62054-2024</t>
        </is>
      </c>
      <c r="B832" s="1" t="n">
        <v>45656</v>
      </c>
      <c r="C832" s="1" t="n">
        <v>45899</v>
      </c>
      <c r="D832" t="inlineStr">
        <is>
          <t>UPPSALA LÄN</t>
        </is>
      </c>
      <c r="E832" t="inlineStr">
        <is>
          <t>UPPSALA</t>
        </is>
      </c>
      <c r="F832" t="inlineStr">
        <is>
          <t>Övriga statliga verk och myndigheter</t>
        </is>
      </c>
      <c r="G832" t="n">
        <v>29.3</v>
      </c>
      <c r="H832" t="n">
        <v>0</v>
      </c>
      <c r="I832" t="n">
        <v>0</v>
      </c>
      <c r="J832" t="n">
        <v>0</v>
      </c>
      <c r="K832" t="n">
        <v>0</v>
      </c>
      <c r="L832" t="n">
        <v>0</v>
      </c>
      <c r="M832" t="n">
        <v>0</v>
      </c>
      <c r="N832" t="n">
        <v>0</v>
      </c>
      <c r="O832" t="n">
        <v>0</v>
      </c>
      <c r="P832" t="n">
        <v>0</v>
      </c>
      <c r="Q832" t="n">
        <v>0</v>
      </c>
      <c r="R832" s="2" t="inlineStr"/>
    </row>
    <row r="833" ht="15" customHeight="1">
      <c r="A833" t="inlineStr">
        <is>
          <t>A 5722-2025</t>
        </is>
      </c>
      <c r="B833" s="1" t="n">
        <v>45694</v>
      </c>
      <c r="C833" s="1" t="n">
        <v>45899</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37316-2022</t>
        </is>
      </c>
      <c r="B834" s="1" t="n">
        <v>44806</v>
      </c>
      <c r="C834" s="1" t="n">
        <v>45899</v>
      </c>
      <c r="D834" t="inlineStr">
        <is>
          <t>UPPSALA LÄN</t>
        </is>
      </c>
      <c r="E834" t="inlineStr">
        <is>
          <t>UPPSALA</t>
        </is>
      </c>
      <c r="G834" t="n">
        <v>10.6</v>
      </c>
      <c r="H834" t="n">
        <v>0</v>
      </c>
      <c r="I834" t="n">
        <v>0</v>
      </c>
      <c r="J834" t="n">
        <v>0</v>
      </c>
      <c r="K834" t="n">
        <v>0</v>
      </c>
      <c r="L834" t="n">
        <v>0</v>
      </c>
      <c r="M834" t="n">
        <v>0</v>
      </c>
      <c r="N834" t="n">
        <v>0</v>
      </c>
      <c r="O834" t="n">
        <v>0</v>
      </c>
      <c r="P834" t="n">
        <v>0</v>
      </c>
      <c r="Q834" t="n">
        <v>0</v>
      </c>
      <c r="R834" s="2" t="inlineStr"/>
    </row>
    <row r="835" ht="15" customHeight="1">
      <c r="A835" t="inlineStr">
        <is>
          <t>A 1838-2024</t>
        </is>
      </c>
      <c r="B835" s="1" t="n">
        <v>45307</v>
      </c>
      <c r="C835" s="1" t="n">
        <v>45899</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29019-2023</t>
        </is>
      </c>
      <c r="B836" s="1" t="n">
        <v>45104.6828125</v>
      </c>
      <c r="C836" s="1" t="n">
        <v>45899</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59996-2024</t>
        </is>
      </c>
      <c r="B837" s="1" t="n">
        <v>45642</v>
      </c>
      <c r="C837" s="1" t="n">
        <v>45899</v>
      </c>
      <c r="D837" t="inlineStr">
        <is>
          <t>UPPSALA LÄN</t>
        </is>
      </c>
      <c r="E837" t="inlineStr">
        <is>
          <t>UPPSALA</t>
        </is>
      </c>
      <c r="F837" t="inlineStr">
        <is>
          <t>Bergvik skog väst AB</t>
        </is>
      </c>
      <c r="G837" t="n">
        <v>14.5</v>
      </c>
      <c r="H837" t="n">
        <v>0</v>
      </c>
      <c r="I837" t="n">
        <v>0</v>
      </c>
      <c r="J837" t="n">
        <v>0</v>
      </c>
      <c r="K837" t="n">
        <v>0</v>
      </c>
      <c r="L837" t="n">
        <v>0</v>
      </c>
      <c r="M837" t="n">
        <v>0</v>
      </c>
      <c r="N837" t="n">
        <v>0</v>
      </c>
      <c r="O837" t="n">
        <v>0</v>
      </c>
      <c r="P837" t="n">
        <v>0</v>
      </c>
      <c r="Q837" t="n">
        <v>0</v>
      </c>
      <c r="R837" s="2" t="inlineStr"/>
    </row>
    <row r="838" ht="15" customHeight="1">
      <c r="A838" t="inlineStr">
        <is>
          <t>A 19380-2023</t>
        </is>
      </c>
      <c r="B838" s="1" t="n">
        <v>45049.66025462963</v>
      </c>
      <c r="C838" s="1" t="n">
        <v>45899</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1731-2022</t>
        </is>
      </c>
      <c r="B839" s="1" t="n">
        <v>44574</v>
      </c>
      <c r="C839" s="1" t="n">
        <v>45899</v>
      </c>
      <c r="D839" t="inlineStr">
        <is>
          <t>UPPSALA LÄN</t>
        </is>
      </c>
      <c r="E839" t="inlineStr">
        <is>
          <t>UPPSALA</t>
        </is>
      </c>
      <c r="G839" t="n">
        <v>10.1</v>
      </c>
      <c r="H839" t="n">
        <v>0</v>
      </c>
      <c r="I839" t="n">
        <v>0</v>
      </c>
      <c r="J839" t="n">
        <v>0</v>
      </c>
      <c r="K839" t="n">
        <v>0</v>
      </c>
      <c r="L839" t="n">
        <v>0</v>
      </c>
      <c r="M839" t="n">
        <v>0</v>
      </c>
      <c r="N839" t="n">
        <v>0</v>
      </c>
      <c r="O839" t="n">
        <v>0</v>
      </c>
      <c r="P839" t="n">
        <v>0</v>
      </c>
      <c r="Q839" t="n">
        <v>0</v>
      </c>
      <c r="R839" s="2" t="inlineStr"/>
    </row>
    <row r="840" ht="15" customHeight="1">
      <c r="A840" t="inlineStr">
        <is>
          <t>A 13343-2022</t>
        </is>
      </c>
      <c r="B840" s="1" t="n">
        <v>44645.39157407408</v>
      </c>
      <c r="C840" s="1" t="n">
        <v>45899</v>
      </c>
      <c r="D840" t="inlineStr">
        <is>
          <t>UPPSALA LÄN</t>
        </is>
      </c>
      <c r="E840" t="inlineStr">
        <is>
          <t>UPPSALA</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60925-2021</t>
        </is>
      </c>
      <c r="B841" s="1" t="n">
        <v>44497.4666087963</v>
      </c>
      <c r="C841" s="1" t="n">
        <v>45899</v>
      </c>
      <c r="D841" t="inlineStr">
        <is>
          <t>UPPSALA LÄN</t>
        </is>
      </c>
      <c r="E841" t="inlineStr">
        <is>
          <t>UPPSALA</t>
        </is>
      </c>
      <c r="G841" t="n">
        <v>3.7</v>
      </c>
      <c r="H841" t="n">
        <v>0</v>
      </c>
      <c r="I841" t="n">
        <v>0</v>
      </c>
      <c r="J841" t="n">
        <v>0</v>
      </c>
      <c r="K841" t="n">
        <v>0</v>
      </c>
      <c r="L841" t="n">
        <v>0</v>
      </c>
      <c r="M841" t="n">
        <v>0</v>
      </c>
      <c r="N841" t="n">
        <v>0</v>
      </c>
      <c r="O841" t="n">
        <v>0</v>
      </c>
      <c r="P841" t="n">
        <v>0</v>
      </c>
      <c r="Q841" t="n">
        <v>0</v>
      </c>
      <c r="R841" s="2" t="inlineStr"/>
    </row>
    <row r="842" ht="15" customHeight="1">
      <c r="A842" t="inlineStr">
        <is>
          <t>A 36392-2023</t>
        </is>
      </c>
      <c r="B842" s="1" t="n">
        <v>45152</v>
      </c>
      <c r="C842" s="1" t="n">
        <v>45899</v>
      </c>
      <c r="D842" t="inlineStr">
        <is>
          <t>UPPSALA LÄN</t>
        </is>
      </c>
      <c r="E842" t="inlineStr">
        <is>
          <t>UPPSALA</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6155-2023</t>
        </is>
      </c>
      <c r="B843" s="1" t="n">
        <v>44964.65261574074</v>
      </c>
      <c r="C843" s="1" t="n">
        <v>45899</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6009-2022</t>
        </is>
      </c>
      <c r="B844" s="1" t="n">
        <v>44599.44832175926</v>
      </c>
      <c r="C844" s="1" t="n">
        <v>45899</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59549-2024</t>
        </is>
      </c>
      <c r="B845" s="1" t="n">
        <v>45638</v>
      </c>
      <c r="C845" s="1" t="n">
        <v>45899</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12606-2023</t>
        </is>
      </c>
      <c r="B846" s="1" t="n">
        <v>45000.44666666666</v>
      </c>
      <c r="C846" s="1" t="n">
        <v>45899</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18410-2025</t>
        </is>
      </c>
      <c r="B847" s="1" t="n">
        <v>45762.61341435185</v>
      </c>
      <c r="C847" s="1" t="n">
        <v>45899</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8931-2025</t>
        </is>
      </c>
      <c r="B848" s="1" t="n">
        <v>45713.44519675926</v>
      </c>
      <c r="C848" s="1" t="n">
        <v>45899</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4503-2024</t>
        </is>
      </c>
      <c r="B849" s="1" t="n">
        <v>45327.61831018519</v>
      </c>
      <c r="C849" s="1" t="n">
        <v>45899</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8672-2024</t>
        </is>
      </c>
      <c r="B850" s="1" t="n">
        <v>45352</v>
      </c>
      <c r="C850" s="1" t="n">
        <v>45899</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5362-2023</t>
        </is>
      </c>
      <c r="B851" s="1" t="n">
        <v>44944</v>
      </c>
      <c r="C851" s="1" t="n">
        <v>45899</v>
      </c>
      <c r="D851" t="inlineStr">
        <is>
          <t>UPPSALA LÄN</t>
        </is>
      </c>
      <c r="E851" t="inlineStr">
        <is>
          <t>UPPSALA</t>
        </is>
      </c>
      <c r="G851" t="n">
        <v>2.3</v>
      </c>
      <c r="H851" t="n">
        <v>0</v>
      </c>
      <c r="I851" t="n">
        <v>0</v>
      </c>
      <c r="J851" t="n">
        <v>0</v>
      </c>
      <c r="K851" t="n">
        <v>0</v>
      </c>
      <c r="L851" t="n">
        <v>0</v>
      </c>
      <c r="M851" t="n">
        <v>0</v>
      </c>
      <c r="N851" t="n">
        <v>0</v>
      </c>
      <c r="O851" t="n">
        <v>0</v>
      </c>
      <c r="P851" t="n">
        <v>0</v>
      </c>
      <c r="Q851" t="n">
        <v>0</v>
      </c>
      <c r="R851" s="2" t="inlineStr"/>
    </row>
    <row r="852" ht="15" customHeight="1">
      <c r="A852" t="inlineStr">
        <is>
          <t>A 61947-2023</t>
        </is>
      </c>
      <c r="B852" s="1" t="n">
        <v>45266</v>
      </c>
      <c r="C852" s="1" t="n">
        <v>45899</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51661-2022</t>
        </is>
      </c>
      <c r="B853" s="1" t="n">
        <v>44872</v>
      </c>
      <c r="C853" s="1" t="n">
        <v>45899</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32553-2024</t>
        </is>
      </c>
      <c r="B854" s="1" t="n">
        <v>45513.51815972223</v>
      </c>
      <c r="C854" s="1" t="n">
        <v>45899</v>
      </c>
      <c r="D854" t="inlineStr">
        <is>
          <t>UPPSALA LÄN</t>
        </is>
      </c>
      <c r="E854" t="inlineStr">
        <is>
          <t>UPPSALA</t>
        </is>
      </c>
      <c r="F854" t="inlineStr">
        <is>
          <t>Bergvik skog öst AB</t>
        </is>
      </c>
      <c r="G854" t="n">
        <v>4.1</v>
      </c>
      <c r="H854" t="n">
        <v>0</v>
      </c>
      <c r="I854" t="n">
        <v>0</v>
      </c>
      <c r="J854" t="n">
        <v>0</v>
      </c>
      <c r="K854" t="n">
        <v>0</v>
      </c>
      <c r="L854" t="n">
        <v>0</v>
      </c>
      <c r="M854" t="n">
        <v>0</v>
      </c>
      <c r="N854" t="n">
        <v>0</v>
      </c>
      <c r="O854" t="n">
        <v>0</v>
      </c>
      <c r="P854" t="n">
        <v>0</v>
      </c>
      <c r="Q854" t="n">
        <v>0</v>
      </c>
      <c r="R854" s="2" t="inlineStr"/>
    </row>
    <row r="855" ht="15" customHeight="1">
      <c r="A855" t="inlineStr">
        <is>
          <t>A 54512-2024</t>
        </is>
      </c>
      <c r="B855" s="1" t="n">
        <v>45617.59006944444</v>
      </c>
      <c r="C855" s="1" t="n">
        <v>45899</v>
      </c>
      <c r="D855" t="inlineStr">
        <is>
          <t>UPPSALA LÄN</t>
        </is>
      </c>
      <c r="E855" t="inlineStr">
        <is>
          <t>UPPSALA</t>
        </is>
      </c>
      <c r="G855" t="n">
        <v>3.2</v>
      </c>
      <c r="H855" t="n">
        <v>0</v>
      </c>
      <c r="I855" t="n">
        <v>0</v>
      </c>
      <c r="J855" t="n">
        <v>0</v>
      </c>
      <c r="K855" t="n">
        <v>0</v>
      </c>
      <c r="L855" t="n">
        <v>0</v>
      </c>
      <c r="M855" t="n">
        <v>0</v>
      </c>
      <c r="N855" t="n">
        <v>0</v>
      </c>
      <c r="O855" t="n">
        <v>0</v>
      </c>
      <c r="P855" t="n">
        <v>0</v>
      </c>
      <c r="Q855" t="n">
        <v>0</v>
      </c>
      <c r="R855" s="2" t="inlineStr"/>
    </row>
    <row r="856" ht="15" customHeight="1">
      <c r="A856" t="inlineStr">
        <is>
          <t>A 19276-2023</t>
        </is>
      </c>
      <c r="B856" s="1" t="n">
        <v>45049</v>
      </c>
      <c r="C856" s="1" t="n">
        <v>45899</v>
      </c>
      <c r="D856" t="inlineStr">
        <is>
          <t>UPPSALA LÄN</t>
        </is>
      </c>
      <c r="E856" t="inlineStr">
        <is>
          <t>UPPSALA</t>
        </is>
      </c>
      <c r="G856" t="n">
        <v>1.8</v>
      </c>
      <c r="H856" t="n">
        <v>0</v>
      </c>
      <c r="I856" t="n">
        <v>0</v>
      </c>
      <c r="J856" t="n">
        <v>0</v>
      </c>
      <c r="K856" t="n">
        <v>0</v>
      </c>
      <c r="L856" t="n">
        <v>0</v>
      </c>
      <c r="M856" t="n">
        <v>0</v>
      </c>
      <c r="N856" t="n">
        <v>0</v>
      </c>
      <c r="O856" t="n">
        <v>0</v>
      </c>
      <c r="P856" t="n">
        <v>0</v>
      </c>
      <c r="Q856" t="n">
        <v>0</v>
      </c>
      <c r="R856" s="2" t="inlineStr"/>
    </row>
    <row r="857" ht="15" customHeight="1">
      <c r="A857" t="inlineStr">
        <is>
          <t>A 74493-2021</t>
        </is>
      </c>
      <c r="B857" s="1" t="n">
        <v>44560</v>
      </c>
      <c r="C857" s="1" t="n">
        <v>45899</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5974-2024</t>
        </is>
      </c>
      <c r="B858" s="1" t="n">
        <v>45336.53908564815</v>
      </c>
      <c r="C858" s="1" t="n">
        <v>45899</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53589-2024</t>
        </is>
      </c>
      <c r="B859" s="1" t="n">
        <v>45614.67020833334</v>
      </c>
      <c r="C859" s="1" t="n">
        <v>45899</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19613-2025</t>
        </is>
      </c>
      <c r="B860" s="1" t="n">
        <v>45770.61341435185</v>
      </c>
      <c r="C860" s="1" t="n">
        <v>45899</v>
      </c>
      <c r="D860" t="inlineStr">
        <is>
          <t>UPPSALA LÄN</t>
        </is>
      </c>
      <c r="E860" t="inlineStr">
        <is>
          <t>UPPSALA</t>
        </is>
      </c>
      <c r="F860" t="inlineStr">
        <is>
          <t>Övriga Aktiebolag</t>
        </is>
      </c>
      <c r="G860" t="n">
        <v>2.2</v>
      </c>
      <c r="H860" t="n">
        <v>0</v>
      </c>
      <c r="I860" t="n">
        <v>0</v>
      </c>
      <c r="J860" t="n">
        <v>0</v>
      </c>
      <c r="K860" t="n">
        <v>0</v>
      </c>
      <c r="L860" t="n">
        <v>0</v>
      </c>
      <c r="M860" t="n">
        <v>0</v>
      </c>
      <c r="N860" t="n">
        <v>0</v>
      </c>
      <c r="O860" t="n">
        <v>0</v>
      </c>
      <c r="P860" t="n">
        <v>0</v>
      </c>
      <c r="Q860" t="n">
        <v>0</v>
      </c>
      <c r="R860" s="2" t="inlineStr"/>
    </row>
    <row r="861" ht="15" customHeight="1">
      <c r="A861" t="inlineStr">
        <is>
          <t>A 2695-2025</t>
        </is>
      </c>
      <c r="B861" s="1" t="n">
        <v>45677.39440972222</v>
      </c>
      <c r="C861" s="1" t="n">
        <v>45899</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40325-2023</t>
        </is>
      </c>
      <c r="B862" s="1" t="n">
        <v>45169</v>
      </c>
      <c r="C862" s="1" t="n">
        <v>45899</v>
      </c>
      <c r="D862" t="inlineStr">
        <is>
          <t>UPPSALA LÄN</t>
        </is>
      </c>
      <c r="E862" t="inlineStr">
        <is>
          <t>UPPSALA</t>
        </is>
      </c>
      <c r="F862" t="inlineStr">
        <is>
          <t>Kommuner</t>
        </is>
      </c>
      <c r="G862" t="n">
        <v>1.3</v>
      </c>
      <c r="H862" t="n">
        <v>0</v>
      </c>
      <c r="I862" t="n">
        <v>0</v>
      </c>
      <c r="J862" t="n">
        <v>0</v>
      </c>
      <c r="K862" t="n">
        <v>0</v>
      </c>
      <c r="L862" t="n">
        <v>0</v>
      </c>
      <c r="M862" t="n">
        <v>0</v>
      </c>
      <c r="N862" t="n">
        <v>0</v>
      </c>
      <c r="O862" t="n">
        <v>0</v>
      </c>
      <c r="P862" t="n">
        <v>0</v>
      </c>
      <c r="Q862" t="n">
        <v>0</v>
      </c>
      <c r="R862" s="2" t="inlineStr"/>
    </row>
    <row r="863" ht="15" customHeight="1">
      <c r="A863" t="inlineStr">
        <is>
          <t>A 56872-2023</t>
        </is>
      </c>
      <c r="B863" s="1" t="n">
        <v>45244.52202546296</v>
      </c>
      <c r="C863" s="1" t="n">
        <v>45899</v>
      </c>
      <c r="D863" t="inlineStr">
        <is>
          <t>UPPSALA LÄN</t>
        </is>
      </c>
      <c r="E863" t="inlineStr">
        <is>
          <t>UPPSALA</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20301-2024</t>
        </is>
      </c>
      <c r="B864" s="1" t="n">
        <v>45435.34778935185</v>
      </c>
      <c r="C864" s="1" t="n">
        <v>45899</v>
      </c>
      <c r="D864" t="inlineStr">
        <is>
          <t>UPPSALA LÄN</t>
        </is>
      </c>
      <c r="E864" t="inlineStr">
        <is>
          <t>UPPSALA</t>
        </is>
      </c>
      <c r="F864" t="inlineStr">
        <is>
          <t>Kyrkan</t>
        </is>
      </c>
      <c r="G864" t="n">
        <v>2.8</v>
      </c>
      <c r="H864" t="n">
        <v>0</v>
      </c>
      <c r="I864" t="n">
        <v>0</v>
      </c>
      <c r="J864" t="n">
        <v>0</v>
      </c>
      <c r="K864" t="n">
        <v>0</v>
      </c>
      <c r="L864" t="n">
        <v>0</v>
      </c>
      <c r="M864" t="n">
        <v>0</v>
      </c>
      <c r="N864" t="n">
        <v>0</v>
      </c>
      <c r="O864" t="n">
        <v>0</v>
      </c>
      <c r="P864" t="n">
        <v>0</v>
      </c>
      <c r="Q864" t="n">
        <v>0</v>
      </c>
      <c r="R864" s="2" t="inlineStr"/>
    </row>
    <row r="865" ht="15" customHeight="1">
      <c r="A865" t="inlineStr">
        <is>
          <t>A 18805-2025</t>
        </is>
      </c>
      <c r="B865" s="1" t="n">
        <v>45763</v>
      </c>
      <c r="C865" s="1" t="n">
        <v>45899</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39007-2024</t>
        </is>
      </c>
      <c r="B866" s="1" t="n">
        <v>45548.42854166667</v>
      </c>
      <c r="C866" s="1" t="n">
        <v>45899</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69595-2021</t>
        </is>
      </c>
      <c r="B867" s="1" t="n">
        <v>44532</v>
      </c>
      <c r="C867" s="1" t="n">
        <v>45899</v>
      </c>
      <c r="D867" t="inlineStr">
        <is>
          <t>UPPSALA LÄN</t>
        </is>
      </c>
      <c r="E867" t="inlineStr">
        <is>
          <t>UPPSALA</t>
        </is>
      </c>
      <c r="G867" t="n">
        <v>3.9</v>
      </c>
      <c r="H867" t="n">
        <v>0</v>
      </c>
      <c r="I867" t="n">
        <v>0</v>
      </c>
      <c r="J867" t="n">
        <v>0</v>
      </c>
      <c r="K867" t="n">
        <v>0</v>
      </c>
      <c r="L867" t="n">
        <v>0</v>
      </c>
      <c r="M867" t="n">
        <v>0</v>
      </c>
      <c r="N867" t="n">
        <v>0</v>
      </c>
      <c r="O867" t="n">
        <v>0</v>
      </c>
      <c r="P867" t="n">
        <v>0</v>
      </c>
      <c r="Q867" t="n">
        <v>0</v>
      </c>
      <c r="R867" s="2" t="inlineStr"/>
    </row>
    <row r="868" ht="15" customHeight="1">
      <c r="A868" t="inlineStr">
        <is>
          <t>A 44830-2023</t>
        </is>
      </c>
      <c r="B868" s="1" t="n">
        <v>45190</v>
      </c>
      <c r="C868" s="1" t="n">
        <v>45899</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9426-2023</t>
        </is>
      </c>
      <c r="B869" s="1" t="n">
        <v>44977</v>
      </c>
      <c r="C869" s="1" t="n">
        <v>45899</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5975-2024</t>
        </is>
      </c>
      <c r="B870" s="1" t="n">
        <v>45336.54270833333</v>
      </c>
      <c r="C870" s="1" t="n">
        <v>45899</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32428-2023</t>
        </is>
      </c>
      <c r="B871" s="1" t="n">
        <v>45110</v>
      </c>
      <c r="C871" s="1" t="n">
        <v>45899</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45489-2023</t>
        </is>
      </c>
      <c r="B872" s="1" t="n">
        <v>45194</v>
      </c>
      <c r="C872" s="1" t="n">
        <v>45899</v>
      </c>
      <c r="D872" t="inlineStr">
        <is>
          <t>UPPSALA LÄN</t>
        </is>
      </c>
      <c r="E872" t="inlineStr">
        <is>
          <t>UPPSALA</t>
        </is>
      </c>
      <c r="F872" t="inlineStr">
        <is>
          <t>Allmännings- och besparingsskogar</t>
        </is>
      </c>
      <c r="G872" t="n">
        <v>15.8</v>
      </c>
      <c r="H872" t="n">
        <v>0</v>
      </c>
      <c r="I872" t="n">
        <v>0</v>
      </c>
      <c r="J872" t="n">
        <v>0</v>
      </c>
      <c r="K872" t="n">
        <v>0</v>
      </c>
      <c r="L872" t="n">
        <v>0</v>
      </c>
      <c r="M872" t="n">
        <v>0</v>
      </c>
      <c r="N872" t="n">
        <v>0</v>
      </c>
      <c r="O872" t="n">
        <v>0</v>
      </c>
      <c r="P872" t="n">
        <v>0</v>
      </c>
      <c r="Q872" t="n">
        <v>0</v>
      </c>
      <c r="R872" s="2" t="inlineStr"/>
    </row>
    <row r="873" ht="15" customHeight="1">
      <c r="A873" t="inlineStr">
        <is>
          <t>A 27473-2024</t>
        </is>
      </c>
      <c r="B873" s="1" t="n">
        <v>45474</v>
      </c>
      <c r="C873" s="1" t="n">
        <v>45899</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53614-2024</t>
        </is>
      </c>
      <c r="B874" s="1" t="n">
        <v>45611</v>
      </c>
      <c r="C874" s="1" t="n">
        <v>45899</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784-2024</t>
        </is>
      </c>
      <c r="B875" s="1" t="n">
        <v>45300.55680555556</v>
      </c>
      <c r="C875" s="1" t="n">
        <v>45899</v>
      </c>
      <c r="D875" t="inlineStr">
        <is>
          <t>UPPSALA LÄN</t>
        </is>
      </c>
      <c r="E875" t="inlineStr">
        <is>
          <t>UPPSALA</t>
        </is>
      </c>
      <c r="G875" t="n">
        <v>6.6</v>
      </c>
      <c r="H875" t="n">
        <v>0</v>
      </c>
      <c r="I875" t="n">
        <v>0</v>
      </c>
      <c r="J875" t="n">
        <v>0</v>
      </c>
      <c r="K875" t="n">
        <v>0</v>
      </c>
      <c r="L875" t="n">
        <v>0</v>
      </c>
      <c r="M875" t="n">
        <v>0</v>
      </c>
      <c r="N875" t="n">
        <v>0</v>
      </c>
      <c r="O875" t="n">
        <v>0</v>
      </c>
      <c r="P875" t="n">
        <v>0</v>
      </c>
      <c r="Q875" t="n">
        <v>0</v>
      </c>
      <c r="R875" s="2" t="inlineStr"/>
    </row>
    <row r="876" ht="15" customHeight="1">
      <c r="A876" t="inlineStr">
        <is>
          <t>A 48153-2024</t>
        </is>
      </c>
      <c r="B876" s="1" t="n">
        <v>45589</v>
      </c>
      <c r="C876" s="1" t="n">
        <v>45899</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48154-2024</t>
        </is>
      </c>
      <c r="B877" s="1" t="n">
        <v>45589</v>
      </c>
      <c r="C877" s="1" t="n">
        <v>45899</v>
      </c>
      <c r="D877" t="inlineStr">
        <is>
          <t>UPPSALA LÄN</t>
        </is>
      </c>
      <c r="E877" t="inlineStr">
        <is>
          <t>UPPSALA</t>
        </is>
      </c>
      <c r="G877" t="n">
        <v>5.1</v>
      </c>
      <c r="H877" t="n">
        <v>0</v>
      </c>
      <c r="I877" t="n">
        <v>0</v>
      </c>
      <c r="J877" t="n">
        <v>0</v>
      </c>
      <c r="K877" t="n">
        <v>0</v>
      </c>
      <c r="L877" t="n">
        <v>0</v>
      </c>
      <c r="M877" t="n">
        <v>0</v>
      </c>
      <c r="N877" t="n">
        <v>0</v>
      </c>
      <c r="O877" t="n">
        <v>0</v>
      </c>
      <c r="P877" t="n">
        <v>0</v>
      </c>
      <c r="Q877" t="n">
        <v>0</v>
      </c>
      <c r="R877" s="2" t="inlineStr"/>
    </row>
    <row r="878" ht="15" customHeight="1">
      <c r="A878" t="inlineStr">
        <is>
          <t>A 8132-2022</t>
        </is>
      </c>
      <c r="B878" s="1" t="n">
        <v>44609.60171296296</v>
      </c>
      <c r="C878" s="1" t="n">
        <v>45899</v>
      </c>
      <c r="D878" t="inlineStr">
        <is>
          <t>UPPSALA LÄN</t>
        </is>
      </c>
      <c r="E878" t="inlineStr">
        <is>
          <t>UPPSALA</t>
        </is>
      </c>
      <c r="F878" t="inlineStr">
        <is>
          <t>Kommuner</t>
        </is>
      </c>
      <c r="G878" t="n">
        <v>1.2</v>
      </c>
      <c r="H878" t="n">
        <v>0</v>
      </c>
      <c r="I878" t="n">
        <v>0</v>
      </c>
      <c r="J878" t="n">
        <v>0</v>
      </c>
      <c r="K878" t="n">
        <v>0</v>
      </c>
      <c r="L878" t="n">
        <v>0</v>
      </c>
      <c r="M878" t="n">
        <v>0</v>
      </c>
      <c r="N878" t="n">
        <v>0</v>
      </c>
      <c r="O878" t="n">
        <v>0</v>
      </c>
      <c r="P878" t="n">
        <v>0</v>
      </c>
      <c r="Q878" t="n">
        <v>0</v>
      </c>
      <c r="R878" s="2" t="inlineStr"/>
    </row>
    <row r="879" ht="15" customHeight="1">
      <c r="A879" t="inlineStr">
        <is>
          <t>A 62471-2021</t>
        </is>
      </c>
      <c r="B879" s="1" t="n">
        <v>44503</v>
      </c>
      <c r="C879" s="1" t="n">
        <v>45899</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10565-2022</t>
        </is>
      </c>
      <c r="B880" s="1" t="n">
        <v>44624.35083333333</v>
      </c>
      <c r="C880" s="1" t="n">
        <v>45899</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24091-2024</t>
        </is>
      </c>
      <c r="B881" s="1" t="n">
        <v>45456.58491898148</v>
      </c>
      <c r="C881" s="1" t="n">
        <v>45899</v>
      </c>
      <c r="D881" t="inlineStr">
        <is>
          <t>UPPSALA LÄN</t>
        </is>
      </c>
      <c r="E881" t="inlineStr">
        <is>
          <t>UPPSALA</t>
        </is>
      </c>
      <c r="G881" t="n">
        <v>1.8</v>
      </c>
      <c r="H881" t="n">
        <v>0</v>
      </c>
      <c r="I881" t="n">
        <v>0</v>
      </c>
      <c r="J881" t="n">
        <v>0</v>
      </c>
      <c r="K881" t="n">
        <v>0</v>
      </c>
      <c r="L881" t="n">
        <v>0</v>
      </c>
      <c r="M881" t="n">
        <v>0</v>
      </c>
      <c r="N881" t="n">
        <v>0</v>
      </c>
      <c r="O881" t="n">
        <v>0</v>
      </c>
      <c r="P881" t="n">
        <v>0</v>
      </c>
      <c r="Q881" t="n">
        <v>0</v>
      </c>
      <c r="R881" s="2" t="inlineStr"/>
    </row>
    <row r="882" ht="15" customHeight="1">
      <c r="A882" t="inlineStr">
        <is>
          <t>A 57714-2022</t>
        </is>
      </c>
      <c r="B882" s="1" t="n">
        <v>44897</v>
      </c>
      <c r="C882" s="1" t="n">
        <v>45899</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12284-2025</t>
        </is>
      </c>
      <c r="B883" s="1" t="n">
        <v>45729</v>
      </c>
      <c r="C883" s="1" t="n">
        <v>45899</v>
      </c>
      <c r="D883" t="inlineStr">
        <is>
          <t>UPPSALA LÄN</t>
        </is>
      </c>
      <c r="E883" t="inlineStr">
        <is>
          <t>UPPSALA</t>
        </is>
      </c>
      <c r="G883" t="n">
        <v>6.7</v>
      </c>
      <c r="H883" t="n">
        <v>0</v>
      </c>
      <c r="I883" t="n">
        <v>0</v>
      </c>
      <c r="J883" t="n">
        <v>0</v>
      </c>
      <c r="K883" t="n">
        <v>0</v>
      </c>
      <c r="L883" t="n">
        <v>0</v>
      </c>
      <c r="M883" t="n">
        <v>0</v>
      </c>
      <c r="N883" t="n">
        <v>0</v>
      </c>
      <c r="O883" t="n">
        <v>0</v>
      </c>
      <c r="P883" t="n">
        <v>0</v>
      </c>
      <c r="Q883" t="n">
        <v>0</v>
      </c>
      <c r="R883" s="2" t="inlineStr"/>
    </row>
    <row r="884" ht="15" customHeight="1">
      <c r="A884" t="inlineStr">
        <is>
          <t>A 12287-2025</t>
        </is>
      </c>
      <c r="B884" s="1" t="n">
        <v>45729</v>
      </c>
      <c r="C884" s="1" t="n">
        <v>45899</v>
      </c>
      <c r="D884" t="inlineStr">
        <is>
          <t>UPPSALA LÄN</t>
        </is>
      </c>
      <c r="E884" t="inlineStr">
        <is>
          <t>UPPSALA</t>
        </is>
      </c>
      <c r="G884" t="n">
        <v>4.6</v>
      </c>
      <c r="H884" t="n">
        <v>0</v>
      </c>
      <c r="I884" t="n">
        <v>0</v>
      </c>
      <c r="J884" t="n">
        <v>0</v>
      </c>
      <c r="K884" t="n">
        <v>0</v>
      </c>
      <c r="L884" t="n">
        <v>0</v>
      </c>
      <c r="M884" t="n">
        <v>0</v>
      </c>
      <c r="N884" t="n">
        <v>0</v>
      </c>
      <c r="O884" t="n">
        <v>0</v>
      </c>
      <c r="P884" t="n">
        <v>0</v>
      </c>
      <c r="Q884" t="n">
        <v>0</v>
      </c>
      <c r="R884" s="2" t="inlineStr"/>
    </row>
    <row r="885" ht="15" customHeight="1">
      <c r="A885" t="inlineStr">
        <is>
          <t>A 4461-2024</t>
        </is>
      </c>
      <c r="B885" s="1" t="n">
        <v>45327</v>
      </c>
      <c r="C885" s="1" t="n">
        <v>45899</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14784-2023</t>
        </is>
      </c>
      <c r="B886" s="1" t="n">
        <v>45014</v>
      </c>
      <c r="C886" s="1" t="n">
        <v>45899</v>
      </c>
      <c r="D886" t="inlineStr">
        <is>
          <t>UPPSALA LÄN</t>
        </is>
      </c>
      <c r="E886" t="inlineStr">
        <is>
          <t>UPPSALA</t>
        </is>
      </c>
      <c r="G886" t="n">
        <v>4.7</v>
      </c>
      <c r="H886" t="n">
        <v>0</v>
      </c>
      <c r="I886" t="n">
        <v>0</v>
      </c>
      <c r="J886" t="n">
        <v>0</v>
      </c>
      <c r="K886" t="n">
        <v>0</v>
      </c>
      <c r="L886" t="n">
        <v>0</v>
      </c>
      <c r="M886" t="n">
        <v>0</v>
      </c>
      <c r="N886" t="n">
        <v>0</v>
      </c>
      <c r="O886" t="n">
        <v>0</v>
      </c>
      <c r="P886" t="n">
        <v>0</v>
      </c>
      <c r="Q886" t="n">
        <v>0</v>
      </c>
      <c r="R886" s="2" t="inlineStr"/>
    </row>
    <row r="887" ht="15" customHeight="1">
      <c r="A887" t="inlineStr">
        <is>
          <t>A 51576-2023</t>
        </is>
      </c>
      <c r="B887" s="1" t="n">
        <v>45222</v>
      </c>
      <c r="C887" s="1" t="n">
        <v>45899</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4929-2022</t>
        </is>
      </c>
      <c r="B888" s="1" t="n">
        <v>44593</v>
      </c>
      <c r="C888" s="1" t="n">
        <v>45899</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4240-2025</t>
        </is>
      </c>
      <c r="B889" s="1" t="n">
        <v>45685.5778125</v>
      </c>
      <c r="C889" s="1" t="n">
        <v>45899</v>
      </c>
      <c r="D889" t="inlineStr">
        <is>
          <t>UPPSALA LÄN</t>
        </is>
      </c>
      <c r="E889" t="inlineStr">
        <is>
          <t>UPPSALA</t>
        </is>
      </c>
      <c r="G889" t="n">
        <v>1.2</v>
      </c>
      <c r="H889" t="n">
        <v>0</v>
      </c>
      <c r="I889" t="n">
        <v>0</v>
      </c>
      <c r="J889" t="n">
        <v>0</v>
      </c>
      <c r="K889" t="n">
        <v>0</v>
      </c>
      <c r="L889" t="n">
        <v>0</v>
      </c>
      <c r="M889" t="n">
        <v>0</v>
      </c>
      <c r="N889" t="n">
        <v>0</v>
      </c>
      <c r="O889" t="n">
        <v>0</v>
      </c>
      <c r="P889" t="n">
        <v>0</v>
      </c>
      <c r="Q889" t="n">
        <v>0</v>
      </c>
      <c r="R889" s="2" t="inlineStr"/>
    </row>
    <row r="890" ht="15" customHeight="1">
      <c r="A890" t="inlineStr">
        <is>
          <t>A 6012-2025</t>
        </is>
      </c>
      <c r="B890" s="1" t="n">
        <v>45695.59805555556</v>
      </c>
      <c r="C890" s="1" t="n">
        <v>45899</v>
      </c>
      <c r="D890" t="inlineStr">
        <is>
          <t>UPPSALA LÄN</t>
        </is>
      </c>
      <c r="E890" t="inlineStr">
        <is>
          <t>UPPSALA</t>
        </is>
      </c>
      <c r="F890" t="inlineStr">
        <is>
          <t>Övriga Aktiebolag</t>
        </is>
      </c>
      <c r="G890" t="n">
        <v>14.3</v>
      </c>
      <c r="H890" t="n">
        <v>0</v>
      </c>
      <c r="I890" t="n">
        <v>0</v>
      </c>
      <c r="J890" t="n">
        <v>0</v>
      </c>
      <c r="K890" t="n">
        <v>0</v>
      </c>
      <c r="L890" t="n">
        <v>0</v>
      </c>
      <c r="M890" t="n">
        <v>0</v>
      </c>
      <c r="N890" t="n">
        <v>0</v>
      </c>
      <c r="O890" t="n">
        <v>0</v>
      </c>
      <c r="P890" t="n">
        <v>0</v>
      </c>
      <c r="Q890" t="n">
        <v>0</v>
      </c>
      <c r="R890" s="2" t="inlineStr"/>
    </row>
    <row r="891" ht="15" customHeight="1">
      <c r="A891" t="inlineStr">
        <is>
          <t>A 24787-2024</t>
        </is>
      </c>
      <c r="B891" s="1" t="n">
        <v>45460</v>
      </c>
      <c r="C891" s="1" t="n">
        <v>45899</v>
      </c>
      <c r="D891" t="inlineStr">
        <is>
          <t>UPPSALA LÄN</t>
        </is>
      </c>
      <c r="E891" t="inlineStr">
        <is>
          <t>UPPSALA</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7388-2024</t>
        </is>
      </c>
      <c r="B892" s="1" t="n">
        <v>45345.56</v>
      </c>
      <c r="C892" s="1" t="n">
        <v>45899</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60984-2022</t>
        </is>
      </c>
      <c r="B893" s="1" t="n">
        <v>44914.67600694444</v>
      </c>
      <c r="C893" s="1" t="n">
        <v>45899</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21052-2023</t>
        </is>
      </c>
      <c r="B894" s="1" t="n">
        <v>45061</v>
      </c>
      <c r="C894" s="1" t="n">
        <v>45899</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1855-2021</t>
        </is>
      </c>
      <c r="B895" s="1" t="n">
        <v>44210</v>
      </c>
      <c r="C895" s="1" t="n">
        <v>45899</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46743-2024</t>
        </is>
      </c>
      <c r="B896" s="1" t="n">
        <v>45583.47836805556</v>
      </c>
      <c r="C896" s="1" t="n">
        <v>45899</v>
      </c>
      <c r="D896" t="inlineStr">
        <is>
          <t>UPPSALA LÄN</t>
        </is>
      </c>
      <c r="E896" t="inlineStr">
        <is>
          <t>UPPSALA</t>
        </is>
      </c>
      <c r="F896" t="inlineStr">
        <is>
          <t>Sveaskog</t>
        </is>
      </c>
      <c r="G896" t="n">
        <v>1.7</v>
      </c>
      <c r="H896" t="n">
        <v>0</v>
      </c>
      <c r="I896" t="n">
        <v>0</v>
      </c>
      <c r="J896" t="n">
        <v>0</v>
      </c>
      <c r="K896" t="n">
        <v>0</v>
      </c>
      <c r="L896" t="n">
        <v>0</v>
      </c>
      <c r="M896" t="n">
        <v>0</v>
      </c>
      <c r="N896" t="n">
        <v>0</v>
      </c>
      <c r="O896" t="n">
        <v>0</v>
      </c>
      <c r="P896" t="n">
        <v>0</v>
      </c>
      <c r="Q896" t="n">
        <v>0</v>
      </c>
      <c r="R896" s="2" t="inlineStr"/>
    </row>
    <row r="897" ht="15" customHeight="1">
      <c r="A897" t="inlineStr">
        <is>
          <t>A 60701-2022</t>
        </is>
      </c>
      <c r="B897" s="1" t="n">
        <v>44912</v>
      </c>
      <c r="C897" s="1" t="n">
        <v>45899</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6997-2023</t>
        </is>
      </c>
      <c r="B898" s="1" t="n">
        <v>44967.78984953704</v>
      </c>
      <c r="C898" s="1" t="n">
        <v>45899</v>
      </c>
      <c r="D898" t="inlineStr">
        <is>
          <t>UPPSALA LÄN</t>
        </is>
      </c>
      <c r="E898" t="inlineStr">
        <is>
          <t>UPPSALA</t>
        </is>
      </c>
      <c r="G898" t="n">
        <v>3.9</v>
      </c>
      <c r="H898" t="n">
        <v>0</v>
      </c>
      <c r="I898" t="n">
        <v>0</v>
      </c>
      <c r="J898" t="n">
        <v>0</v>
      </c>
      <c r="K898" t="n">
        <v>0</v>
      </c>
      <c r="L898" t="n">
        <v>0</v>
      </c>
      <c r="M898" t="n">
        <v>0</v>
      </c>
      <c r="N898" t="n">
        <v>0</v>
      </c>
      <c r="O898" t="n">
        <v>0</v>
      </c>
      <c r="P898" t="n">
        <v>0</v>
      </c>
      <c r="Q898" t="n">
        <v>0</v>
      </c>
      <c r="R898" s="2" t="inlineStr"/>
    </row>
    <row r="899" ht="15" customHeight="1">
      <c r="A899" t="inlineStr">
        <is>
          <t>A 23157-2023</t>
        </is>
      </c>
      <c r="B899" s="1" t="n">
        <v>45075.51982638889</v>
      </c>
      <c r="C899" s="1" t="n">
        <v>45899</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7727-2024</t>
        </is>
      </c>
      <c r="B900" s="1" t="n">
        <v>45349</v>
      </c>
      <c r="C900" s="1" t="n">
        <v>45899</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10394-2025</t>
        </is>
      </c>
      <c r="B901" s="1" t="n">
        <v>45720.60410879629</v>
      </c>
      <c r="C901" s="1" t="n">
        <v>45899</v>
      </c>
      <c r="D901" t="inlineStr">
        <is>
          <t>UPPSALA LÄN</t>
        </is>
      </c>
      <c r="E901" t="inlineStr">
        <is>
          <t>UPPSALA</t>
        </is>
      </c>
      <c r="G901" t="n">
        <v>3.4</v>
      </c>
      <c r="H901" t="n">
        <v>0</v>
      </c>
      <c r="I901" t="n">
        <v>0</v>
      </c>
      <c r="J901" t="n">
        <v>0</v>
      </c>
      <c r="K901" t="n">
        <v>0</v>
      </c>
      <c r="L901" t="n">
        <v>0</v>
      </c>
      <c r="M901" t="n">
        <v>0</v>
      </c>
      <c r="N901" t="n">
        <v>0</v>
      </c>
      <c r="O901" t="n">
        <v>0</v>
      </c>
      <c r="P901" t="n">
        <v>0</v>
      </c>
      <c r="Q901" t="n">
        <v>0</v>
      </c>
      <c r="R901" s="2" t="inlineStr"/>
    </row>
    <row r="902" ht="15" customHeight="1">
      <c r="A902" t="inlineStr">
        <is>
          <t>A 6549-2025</t>
        </is>
      </c>
      <c r="B902" s="1" t="n">
        <v>45699</v>
      </c>
      <c r="C902" s="1" t="n">
        <v>45899</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12830-2025</t>
        </is>
      </c>
      <c r="B903" s="1" t="n">
        <v>45733.63099537037</v>
      </c>
      <c r="C903" s="1" t="n">
        <v>45899</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18808-2024</t>
        </is>
      </c>
      <c r="B904" s="1" t="n">
        <v>45426.61569444444</v>
      </c>
      <c r="C904" s="1" t="n">
        <v>45899</v>
      </c>
      <c r="D904" t="inlineStr">
        <is>
          <t>UPPSALA LÄN</t>
        </is>
      </c>
      <c r="E904" t="inlineStr">
        <is>
          <t>UPPSALA</t>
        </is>
      </c>
      <c r="G904" t="n">
        <v>11.5</v>
      </c>
      <c r="H904" t="n">
        <v>0</v>
      </c>
      <c r="I904" t="n">
        <v>0</v>
      </c>
      <c r="J904" t="n">
        <v>0</v>
      </c>
      <c r="K904" t="n">
        <v>0</v>
      </c>
      <c r="L904" t="n">
        <v>0</v>
      </c>
      <c r="M904" t="n">
        <v>0</v>
      </c>
      <c r="N904" t="n">
        <v>0</v>
      </c>
      <c r="O904" t="n">
        <v>0</v>
      </c>
      <c r="P904" t="n">
        <v>0</v>
      </c>
      <c r="Q904" t="n">
        <v>0</v>
      </c>
      <c r="R904" s="2" t="inlineStr"/>
    </row>
    <row r="905" ht="15" customHeight="1">
      <c r="A905" t="inlineStr">
        <is>
          <t>A 28782-2024</t>
        </is>
      </c>
      <c r="B905" s="1" t="n">
        <v>45478.60802083334</v>
      </c>
      <c r="C905" s="1" t="n">
        <v>45899</v>
      </c>
      <c r="D905" t="inlineStr">
        <is>
          <t>UPPSALA LÄN</t>
        </is>
      </c>
      <c r="E905" t="inlineStr">
        <is>
          <t>UPPSALA</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9981-2025</t>
        </is>
      </c>
      <c r="B906" s="1" t="n">
        <v>45719.40723379629</v>
      </c>
      <c r="C906" s="1" t="n">
        <v>45899</v>
      </c>
      <c r="D906" t="inlineStr">
        <is>
          <t>UPPSALA LÄN</t>
        </is>
      </c>
      <c r="E906" t="inlineStr">
        <is>
          <t>UPPSALA</t>
        </is>
      </c>
      <c r="F906" t="inlineStr">
        <is>
          <t>Kyrkan</t>
        </is>
      </c>
      <c r="G906" t="n">
        <v>2.9</v>
      </c>
      <c r="H906" t="n">
        <v>0</v>
      </c>
      <c r="I906" t="n">
        <v>0</v>
      </c>
      <c r="J906" t="n">
        <v>0</v>
      </c>
      <c r="K906" t="n">
        <v>0</v>
      </c>
      <c r="L906" t="n">
        <v>0</v>
      </c>
      <c r="M906" t="n">
        <v>0</v>
      </c>
      <c r="N906" t="n">
        <v>0</v>
      </c>
      <c r="O906" t="n">
        <v>0</v>
      </c>
      <c r="P906" t="n">
        <v>0</v>
      </c>
      <c r="Q906" t="n">
        <v>0</v>
      </c>
      <c r="R906" s="2" t="inlineStr"/>
    </row>
    <row r="907">
      <c r="A907" t="inlineStr">
        <is>
          <t>A 36781-2023</t>
        </is>
      </c>
      <c r="B907" s="1" t="n">
        <v>45154.34931712963</v>
      </c>
      <c r="C907" s="1" t="n">
        <v>45899</v>
      </c>
      <c r="D907" t="inlineStr">
        <is>
          <t>UPPSALA LÄN</t>
        </is>
      </c>
      <c r="E907" t="inlineStr">
        <is>
          <t>UPPSALA</t>
        </is>
      </c>
      <c r="G907" t="n">
        <v>0.9</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2025-08-30T08:32:19Z</dcterms:created>
  <dcterms:modified xmlns:dcterms="http://purl.org/dc/terms/" xmlns:xsi="http://www.w3.org/2001/XMLSchema-instance" xsi:type="dcterms:W3CDTF">2025-08-30T08:32:19Z</dcterms:modified>
</cp:coreProperties>
</file>