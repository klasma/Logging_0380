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45584</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45584</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45584</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45584</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45584</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45584</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45584</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45584</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45584</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45584</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45584</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45584</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45584</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45584</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45584</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45584</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45584</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45584</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45584</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45584</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46741-2024</t>
        </is>
      </c>
      <c r="B29" s="1" t="n">
        <v>45583</v>
      </c>
      <c r="C29" s="1" t="n">
        <v>45584</v>
      </c>
      <c r="D29" t="inlineStr">
        <is>
          <t>UPPSALA LÄN</t>
        </is>
      </c>
      <c r="E29" t="inlineStr">
        <is>
          <t>UPPSALA</t>
        </is>
      </c>
      <c r="F29" t="inlineStr">
        <is>
          <t>Sveaskog</t>
        </is>
      </c>
      <c r="G29" t="n">
        <v>5.1</v>
      </c>
      <c r="H29" t="n">
        <v>2</v>
      </c>
      <c r="I29" t="n">
        <v>3</v>
      </c>
      <c r="J29" t="n">
        <v>3</v>
      </c>
      <c r="K29" t="n">
        <v>1</v>
      </c>
      <c r="L29" t="n">
        <v>0</v>
      </c>
      <c r="M29" t="n">
        <v>0</v>
      </c>
      <c r="N29" t="n">
        <v>0</v>
      </c>
      <c r="O29" t="n">
        <v>4</v>
      </c>
      <c r="P29" t="n">
        <v>1</v>
      </c>
      <c r="Q29" t="n">
        <v>8</v>
      </c>
      <c r="R29" s="2" t="inlineStr">
        <is>
          <t>Knärot
Granticka
Lunglav
Vedtrappmossa
Barkkornlav
Lönnlav
Vedticka
Vanlig padda</t>
        </is>
      </c>
      <c r="S29">
        <f>HYPERLINK("https://klasma.github.io/Logging_0380/artfynd/A 46741-2024 artfynd.xlsx", "A 46741-2024")</f>
        <v/>
      </c>
      <c r="T29">
        <f>HYPERLINK("https://klasma.github.io/Logging_0380/kartor/A 46741-2024 karta.png", "A 46741-2024")</f>
        <v/>
      </c>
      <c r="U29">
        <f>HYPERLINK("https://klasma.github.io/Logging_0380/knärot/A 46741-2024 karta knärot.png", "A 46741-2024")</f>
        <v/>
      </c>
      <c r="V29">
        <f>HYPERLINK("https://klasma.github.io/Logging_0380/klagomål/A 46741-2024 FSC-klagomål.docx", "A 46741-2024")</f>
        <v/>
      </c>
      <c r="W29">
        <f>HYPERLINK("https://klasma.github.io/Logging_0380/klagomålsmail/A 46741-2024 FSC-klagomål mail.docx", "A 46741-2024")</f>
        <v/>
      </c>
      <c r="X29">
        <f>HYPERLINK("https://klasma.github.io/Logging_0380/tillsyn/A 46741-2024 tillsynsbegäran.docx", "A 46741-2024")</f>
        <v/>
      </c>
      <c r="Y29">
        <f>HYPERLINK("https://klasma.github.io/Logging_0380/tillsynsmail/A 46741-2024 tillsynsbegäran mail.docx", "A 46741-2024")</f>
        <v/>
      </c>
    </row>
    <row r="30" ht="15" customHeight="1">
      <c r="A30" t="inlineStr">
        <is>
          <t>A 33012-2021</t>
        </is>
      </c>
      <c r="B30" s="1" t="n">
        <v>44376</v>
      </c>
      <c r="C30" s="1" t="n">
        <v>45584</v>
      </c>
      <c r="D30" t="inlineStr">
        <is>
          <t>UPPSALA LÄN</t>
        </is>
      </c>
      <c r="E30" t="inlineStr">
        <is>
          <t>UPPSALA</t>
        </is>
      </c>
      <c r="F30" t="inlineStr">
        <is>
          <t>Holmen skog AB</t>
        </is>
      </c>
      <c r="G30" t="n">
        <v>10.9</v>
      </c>
      <c r="H30" t="n">
        <v>4</v>
      </c>
      <c r="I30" t="n">
        <v>4</v>
      </c>
      <c r="J30" t="n">
        <v>0</v>
      </c>
      <c r="K30" t="n">
        <v>1</v>
      </c>
      <c r="L30" t="n">
        <v>0</v>
      </c>
      <c r="M30" t="n">
        <v>0</v>
      </c>
      <c r="N30" t="n">
        <v>0</v>
      </c>
      <c r="O30" t="n">
        <v>1</v>
      </c>
      <c r="P30" t="n">
        <v>1</v>
      </c>
      <c r="Q30" t="n">
        <v>7</v>
      </c>
      <c r="R30" s="2" t="inlineStr">
        <is>
          <t>Knärot
Grön sköldmossa
Grönpyrola
Källpraktmossa
Skogshakmossa
Blåsippa
Revlummer</t>
        </is>
      </c>
      <c r="S30">
        <f>HYPERLINK("https://klasma.github.io/Logging_0380/artfynd/A 33012-2021 artfynd.xlsx", "A 33012-2021")</f>
        <v/>
      </c>
      <c r="T30">
        <f>HYPERLINK("https://klasma.github.io/Logging_0380/kartor/A 33012-2021 karta.png", "A 33012-2021")</f>
        <v/>
      </c>
      <c r="U30">
        <f>HYPERLINK("https://klasma.github.io/Logging_0380/knärot/A 33012-2021 karta knärot.png", "A 33012-2021")</f>
        <v/>
      </c>
      <c r="V30">
        <f>HYPERLINK("https://klasma.github.io/Logging_0380/klagomål/A 33012-2021 FSC-klagomål.docx", "A 33012-2021")</f>
        <v/>
      </c>
      <c r="W30">
        <f>HYPERLINK("https://klasma.github.io/Logging_0380/klagomålsmail/A 33012-2021 FSC-klagomål mail.docx", "A 33012-2021")</f>
        <v/>
      </c>
      <c r="X30">
        <f>HYPERLINK("https://klasma.github.io/Logging_0380/tillsyn/A 33012-2021 tillsynsbegäran.docx", "A 33012-2021")</f>
        <v/>
      </c>
      <c r="Y30">
        <f>HYPERLINK("https://klasma.github.io/Logging_0380/tillsynsmail/A 33012-2021 tillsynsbegäran mail.docx", "A 33012-2021")</f>
        <v/>
      </c>
    </row>
    <row r="31" ht="15" customHeight="1">
      <c r="A31" t="inlineStr">
        <is>
          <t>A 1760-2023</t>
        </is>
      </c>
      <c r="B31" s="1" t="n">
        <v>44938</v>
      </c>
      <c r="C31" s="1" t="n">
        <v>45584</v>
      </c>
      <c r="D31" t="inlineStr">
        <is>
          <t>UPPSALA LÄN</t>
        </is>
      </c>
      <c r="E31" t="inlineStr">
        <is>
          <t>UPPSALA</t>
        </is>
      </c>
      <c r="F31" t="inlineStr">
        <is>
          <t>Holmen skog AB</t>
        </is>
      </c>
      <c r="G31" t="n">
        <v>2.1</v>
      </c>
      <c r="H31" t="n">
        <v>2</v>
      </c>
      <c r="I31" t="n">
        <v>2</v>
      </c>
      <c r="J31" t="n">
        <v>3</v>
      </c>
      <c r="K31" t="n">
        <v>0</v>
      </c>
      <c r="L31" t="n">
        <v>0</v>
      </c>
      <c r="M31" t="n">
        <v>0</v>
      </c>
      <c r="N31" t="n">
        <v>0</v>
      </c>
      <c r="O31" t="n">
        <v>3</v>
      </c>
      <c r="P31" t="n">
        <v>0</v>
      </c>
      <c r="Q31" t="n">
        <v>7</v>
      </c>
      <c r="R31" s="2" t="inlineStr">
        <is>
          <t>Lunglav
Ullticka
Vippärt
Svart trolldruva
Vårärt
Skogsödla
Gullviva</t>
        </is>
      </c>
      <c r="S31">
        <f>HYPERLINK("https://klasma.github.io/Logging_0380/artfynd/A 1760-2023 artfynd.xlsx", "A 1760-2023")</f>
        <v/>
      </c>
      <c r="T31">
        <f>HYPERLINK("https://klasma.github.io/Logging_0380/kartor/A 1760-2023 karta.png", "A 1760-2023")</f>
        <v/>
      </c>
      <c r="V31">
        <f>HYPERLINK("https://klasma.github.io/Logging_0380/klagomål/A 1760-2023 FSC-klagomål.docx", "A 1760-2023")</f>
        <v/>
      </c>
      <c r="W31">
        <f>HYPERLINK("https://klasma.github.io/Logging_0380/klagomålsmail/A 1760-2023 FSC-klagomål mail.docx", "A 1760-2023")</f>
        <v/>
      </c>
      <c r="X31">
        <f>HYPERLINK("https://klasma.github.io/Logging_0380/tillsyn/A 1760-2023 tillsynsbegäran.docx", "A 1760-2023")</f>
        <v/>
      </c>
      <c r="Y31">
        <f>HYPERLINK("https://klasma.github.io/Logging_0380/tillsynsmail/A 1760-2023 tillsynsbegäran mail.docx", "A 1760-2023")</f>
        <v/>
      </c>
    </row>
    <row r="32" ht="15" customHeight="1">
      <c r="A32" t="inlineStr">
        <is>
          <t>A 14836-2023</t>
        </is>
      </c>
      <c r="B32" s="1" t="n">
        <v>45013</v>
      </c>
      <c r="C32" s="1" t="n">
        <v>45584</v>
      </c>
      <c r="D32" t="inlineStr">
        <is>
          <t>UPPSALA LÄN</t>
        </is>
      </c>
      <c r="E32" t="inlineStr">
        <is>
          <t>UPPSALA</t>
        </is>
      </c>
      <c r="G32" t="n">
        <v>8.199999999999999</v>
      </c>
      <c r="H32" t="n">
        <v>5</v>
      </c>
      <c r="I32" t="n">
        <v>2</v>
      </c>
      <c r="J32" t="n">
        <v>3</v>
      </c>
      <c r="K32" t="n">
        <v>1</v>
      </c>
      <c r="L32" t="n">
        <v>0</v>
      </c>
      <c r="M32" t="n">
        <v>0</v>
      </c>
      <c r="N32" t="n">
        <v>0</v>
      </c>
      <c r="O32" t="n">
        <v>4</v>
      </c>
      <c r="P32" t="n">
        <v>1</v>
      </c>
      <c r="Q32" t="n">
        <v>7</v>
      </c>
      <c r="R32" s="2" t="inlineStr">
        <is>
          <t>Kricka
Entita
Gulsparv
Rödvingetrast
Björksplintborre
Jättesvampmal
Nötkråka</t>
        </is>
      </c>
      <c r="S32">
        <f>HYPERLINK("https://klasma.github.io/Logging_0380/artfynd/A 14836-2023 artfynd.xlsx", "A 14836-2023")</f>
        <v/>
      </c>
      <c r="T32">
        <f>HYPERLINK("https://klasma.github.io/Logging_0380/kartor/A 14836-2023 karta.png", "A 14836-2023")</f>
        <v/>
      </c>
      <c r="V32">
        <f>HYPERLINK("https://klasma.github.io/Logging_0380/klagomål/A 14836-2023 FSC-klagomål.docx", "A 14836-2023")</f>
        <v/>
      </c>
      <c r="W32">
        <f>HYPERLINK("https://klasma.github.io/Logging_0380/klagomålsmail/A 14836-2023 FSC-klagomål mail.docx", "A 14836-2023")</f>
        <v/>
      </c>
      <c r="X32">
        <f>HYPERLINK("https://klasma.github.io/Logging_0380/tillsyn/A 14836-2023 tillsynsbegäran.docx", "A 14836-2023")</f>
        <v/>
      </c>
      <c r="Y32">
        <f>HYPERLINK("https://klasma.github.io/Logging_0380/tillsynsmail/A 14836-2023 tillsynsbegäran mail.docx", "A 14836-2023")</f>
        <v/>
      </c>
      <c r="Z32">
        <f>HYPERLINK("https://klasma.github.io/Logging_0380/fåglar/A 14836-2023 prioriterade fågelarter.docx", "A 14836-2023")</f>
        <v/>
      </c>
    </row>
    <row r="33" ht="15" customHeight="1">
      <c r="A33" t="inlineStr">
        <is>
          <t>A 31628-2023</t>
        </is>
      </c>
      <c r="B33" s="1" t="n">
        <v>45117</v>
      </c>
      <c r="C33" s="1" t="n">
        <v>45584</v>
      </c>
      <c r="D33" t="inlineStr">
        <is>
          <t>UPPSALA LÄN</t>
        </is>
      </c>
      <c r="E33" t="inlineStr">
        <is>
          <t>UPPSALA</t>
        </is>
      </c>
      <c r="G33" t="n">
        <v>15</v>
      </c>
      <c r="H33" t="n">
        <v>2</v>
      </c>
      <c r="I33" t="n">
        <v>2</v>
      </c>
      <c r="J33" t="n">
        <v>4</v>
      </c>
      <c r="K33" t="n">
        <v>1</v>
      </c>
      <c r="L33" t="n">
        <v>0</v>
      </c>
      <c r="M33" t="n">
        <v>0</v>
      </c>
      <c r="N33" t="n">
        <v>0</v>
      </c>
      <c r="O33" t="n">
        <v>5</v>
      </c>
      <c r="P33" t="n">
        <v>1</v>
      </c>
      <c r="Q33" t="n">
        <v>7</v>
      </c>
      <c r="R33" s="2" t="inlineStr">
        <is>
          <t>Knärot
Skogsklocka
Spillkråka
Tallticka
Vedtrappmossa
Grönpyrola
Stubbspretmossa</t>
        </is>
      </c>
      <c r="S33">
        <f>HYPERLINK("https://klasma.github.io/Logging_0380/artfynd/A 31628-2023 artfynd.xlsx", "A 31628-2023")</f>
        <v/>
      </c>
      <c r="T33">
        <f>HYPERLINK("https://klasma.github.io/Logging_0380/kartor/A 31628-2023 karta.png", "A 31628-2023")</f>
        <v/>
      </c>
      <c r="U33">
        <f>HYPERLINK("https://klasma.github.io/Logging_0380/knärot/A 31628-2023 karta knärot.png", "A 31628-2023")</f>
        <v/>
      </c>
      <c r="V33">
        <f>HYPERLINK("https://klasma.github.io/Logging_0380/klagomål/A 31628-2023 FSC-klagomål.docx", "A 31628-2023")</f>
        <v/>
      </c>
      <c r="W33">
        <f>HYPERLINK("https://klasma.github.io/Logging_0380/klagomålsmail/A 31628-2023 FSC-klagomål mail.docx", "A 31628-2023")</f>
        <v/>
      </c>
      <c r="X33">
        <f>HYPERLINK("https://klasma.github.io/Logging_0380/tillsyn/A 31628-2023 tillsynsbegäran.docx", "A 31628-2023")</f>
        <v/>
      </c>
      <c r="Y33">
        <f>HYPERLINK("https://klasma.github.io/Logging_0380/tillsynsmail/A 31628-2023 tillsynsbegäran mail.docx", "A 31628-2023")</f>
        <v/>
      </c>
      <c r="Z33">
        <f>HYPERLINK("https://klasma.github.io/Logging_0380/fåglar/A 31628-2023 prioriterade fågelarter.docx", "A 31628-2023")</f>
        <v/>
      </c>
    </row>
    <row r="34" ht="15" customHeight="1">
      <c r="A34" t="inlineStr">
        <is>
          <t>A 31073-2024</t>
        </is>
      </c>
      <c r="B34" s="1" t="n">
        <v>45502</v>
      </c>
      <c r="C34" s="1" t="n">
        <v>45584</v>
      </c>
      <c r="D34" t="inlineStr">
        <is>
          <t>UPPSALA LÄN</t>
        </is>
      </c>
      <c r="E34" t="inlineStr">
        <is>
          <t>UPPSALA</t>
        </is>
      </c>
      <c r="G34" t="n">
        <v>12.9</v>
      </c>
      <c r="H34" t="n">
        <v>1</v>
      </c>
      <c r="I34" t="n">
        <v>4</v>
      </c>
      <c r="J34" t="n">
        <v>2</v>
      </c>
      <c r="K34" t="n">
        <v>1</v>
      </c>
      <c r="L34" t="n">
        <v>0</v>
      </c>
      <c r="M34" t="n">
        <v>0</v>
      </c>
      <c r="N34" t="n">
        <v>0</v>
      </c>
      <c r="O34" t="n">
        <v>3</v>
      </c>
      <c r="P34" t="n">
        <v>1</v>
      </c>
      <c r="Q34" t="n">
        <v>7</v>
      </c>
      <c r="R34" s="2" t="inlineStr">
        <is>
          <t>Knärot
Gul taggsvamp
Orange taggsvamp
Brandticka
Mandelriska
Rödgul trumpetsvamp
Rökmusseron</t>
        </is>
      </c>
      <c r="S34">
        <f>HYPERLINK("https://klasma.github.io/Logging_0380/artfynd/A 31073-2024 artfynd.xlsx", "A 31073-2024")</f>
        <v/>
      </c>
      <c r="T34">
        <f>HYPERLINK("https://klasma.github.io/Logging_0380/kartor/A 31073-2024 karta.png", "A 31073-2024")</f>
        <v/>
      </c>
      <c r="U34">
        <f>HYPERLINK("https://klasma.github.io/Logging_0380/knärot/A 31073-2024 karta knärot.png", "A 31073-2024")</f>
        <v/>
      </c>
      <c r="V34">
        <f>HYPERLINK("https://klasma.github.io/Logging_0380/klagomål/A 31073-2024 FSC-klagomål.docx", "A 31073-2024")</f>
        <v/>
      </c>
      <c r="W34">
        <f>HYPERLINK("https://klasma.github.io/Logging_0380/klagomålsmail/A 31073-2024 FSC-klagomål mail.docx", "A 31073-2024")</f>
        <v/>
      </c>
      <c r="X34">
        <f>HYPERLINK("https://klasma.github.io/Logging_0380/tillsyn/A 31073-2024 tillsynsbegäran.docx", "A 31073-2024")</f>
        <v/>
      </c>
      <c r="Y34">
        <f>HYPERLINK("https://klasma.github.io/Logging_0380/tillsynsmail/A 31073-2024 tillsynsbegäran mail.docx", "A 31073-2024")</f>
        <v/>
      </c>
    </row>
    <row r="35" ht="15" customHeight="1">
      <c r="A35" t="inlineStr">
        <is>
          <t>A 52838-2020</t>
        </is>
      </c>
      <c r="B35" s="1" t="n">
        <v>44119</v>
      </c>
      <c r="C35" s="1" t="n">
        <v>45584</v>
      </c>
      <c r="D35" t="inlineStr">
        <is>
          <t>UPPSALA LÄN</t>
        </is>
      </c>
      <c r="E35" t="inlineStr">
        <is>
          <t>UPPSALA</t>
        </is>
      </c>
      <c r="G35" t="n">
        <v>4.8</v>
      </c>
      <c r="H35" t="n">
        <v>3</v>
      </c>
      <c r="I35" t="n">
        <v>3</v>
      </c>
      <c r="J35" t="n">
        <v>2</v>
      </c>
      <c r="K35" t="n">
        <v>0</v>
      </c>
      <c r="L35" t="n">
        <v>0</v>
      </c>
      <c r="M35" t="n">
        <v>0</v>
      </c>
      <c r="N35" t="n">
        <v>0</v>
      </c>
      <c r="O35" t="n">
        <v>2</v>
      </c>
      <c r="P35" t="n">
        <v>0</v>
      </c>
      <c r="Q35" t="n">
        <v>6</v>
      </c>
      <c r="R35" s="2" t="inlineStr">
        <is>
          <t>Spillkråka
Ärtsångare
Bronshjon
Fjällig taggsvamp s.str.
Thomsons trägnagare
Blåsippa</t>
        </is>
      </c>
      <c r="S35">
        <f>HYPERLINK("https://klasma.github.io/Logging_0380/artfynd/A 52838-2020 artfynd.xlsx", "A 52838-2020")</f>
        <v/>
      </c>
      <c r="T35">
        <f>HYPERLINK("https://klasma.github.io/Logging_0380/kartor/A 52838-2020 karta.png", "A 52838-2020")</f>
        <v/>
      </c>
      <c r="V35">
        <f>HYPERLINK("https://klasma.github.io/Logging_0380/klagomål/A 52838-2020 FSC-klagomål.docx", "A 52838-2020")</f>
        <v/>
      </c>
      <c r="W35">
        <f>HYPERLINK("https://klasma.github.io/Logging_0380/klagomålsmail/A 52838-2020 FSC-klagomål mail.docx", "A 52838-2020")</f>
        <v/>
      </c>
      <c r="X35">
        <f>HYPERLINK("https://klasma.github.io/Logging_0380/tillsyn/A 52838-2020 tillsynsbegäran.docx", "A 52838-2020")</f>
        <v/>
      </c>
      <c r="Y35">
        <f>HYPERLINK("https://klasma.github.io/Logging_0380/tillsynsmail/A 52838-2020 tillsynsbegäran mail.docx", "A 52838-2020")</f>
        <v/>
      </c>
      <c r="Z35">
        <f>HYPERLINK("https://klasma.github.io/Logging_0380/fåglar/A 52838-2020 prioriterade fågelarter.docx", "A 52838-2020")</f>
        <v/>
      </c>
    </row>
    <row r="36" ht="15" customHeight="1">
      <c r="A36" t="inlineStr">
        <is>
          <t>A 28577-2021</t>
        </is>
      </c>
      <c r="B36" s="1" t="n">
        <v>44356</v>
      </c>
      <c r="C36" s="1" t="n">
        <v>45584</v>
      </c>
      <c r="D36" t="inlineStr">
        <is>
          <t>UPPSALA LÄN</t>
        </is>
      </c>
      <c r="E36" t="inlineStr">
        <is>
          <t>UPPSALA</t>
        </is>
      </c>
      <c r="G36" t="n">
        <v>13.1</v>
      </c>
      <c r="H36" t="n">
        <v>2</v>
      </c>
      <c r="I36" t="n">
        <v>3</v>
      </c>
      <c r="J36" t="n">
        <v>2</v>
      </c>
      <c r="K36" t="n">
        <v>0</v>
      </c>
      <c r="L36" t="n">
        <v>0</v>
      </c>
      <c r="M36" t="n">
        <v>0</v>
      </c>
      <c r="N36" t="n">
        <v>0</v>
      </c>
      <c r="O36" t="n">
        <v>2</v>
      </c>
      <c r="P36" t="n">
        <v>0</v>
      </c>
      <c r="Q36" t="n">
        <v>6</v>
      </c>
      <c r="R36" s="2" t="inlineStr">
        <is>
          <t>Spillkråka
Ullticka
Bronshjon
Korallblylav
Thomsons trägnagare
Blåsippa</t>
        </is>
      </c>
      <c r="S36">
        <f>HYPERLINK("https://klasma.github.io/Logging_0380/artfynd/A 28577-2021 artfynd.xlsx", "A 28577-2021")</f>
        <v/>
      </c>
      <c r="T36">
        <f>HYPERLINK("https://klasma.github.io/Logging_0380/kartor/A 28577-2021 karta.png", "A 28577-2021")</f>
        <v/>
      </c>
      <c r="V36">
        <f>HYPERLINK("https://klasma.github.io/Logging_0380/klagomål/A 28577-2021 FSC-klagomål.docx", "A 28577-2021")</f>
        <v/>
      </c>
      <c r="W36">
        <f>HYPERLINK("https://klasma.github.io/Logging_0380/klagomålsmail/A 28577-2021 FSC-klagomål mail.docx", "A 28577-2021")</f>
        <v/>
      </c>
      <c r="X36">
        <f>HYPERLINK("https://klasma.github.io/Logging_0380/tillsyn/A 28577-2021 tillsynsbegäran.docx", "A 28577-2021")</f>
        <v/>
      </c>
      <c r="Y36">
        <f>HYPERLINK("https://klasma.github.io/Logging_0380/tillsynsmail/A 28577-2021 tillsynsbegäran mail.docx", "A 28577-2021")</f>
        <v/>
      </c>
      <c r="Z36">
        <f>HYPERLINK("https://klasma.github.io/Logging_0380/fåglar/A 28577-2021 prioriterade fågelarter.docx", "A 28577-2021")</f>
        <v/>
      </c>
    </row>
    <row r="37" ht="15" customHeight="1">
      <c r="A37" t="inlineStr">
        <is>
          <t>A 34459-2022</t>
        </is>
      </c>
      <c r="B37" s="1" t="n">
        <v>44792</v>
      </c>
      <c r="C37" s="1" t="n">
        <v>45584</v>
      </c>
      <c r="D37" t="inlineStr">
        <is>
          <t>UPPSALA LÄN</t>
        </is>
      </c>
      <c r="E37" t="inlineStr">
        <is>
          <t>UPPSALA</t>
        </is>
      </c>
      <c r="F37" t="inlineStr">
        <is>
          <t>Kommuner</t>
        </is>
      </c>
      <c r="G37" t="n">
        <v>2.6</v>
      </c>
      <c r="H37" t="n">
        <v>5</v>
      </c>
      <c r="I37" t="n">
        <v>1</v>
      </c>
      <c r="J37" t="n">
        <v>0</v>
      </c>
      <c r="K37" t="n">
        <v>0</v>
      </c>
      <c r="L37" t="n">
        <v>1</v>
      </c>
      <c r="M37" t="n">
        <v>0</v>
      </c>
      <c r="N37" t="n">
        <v>0</v>
      </c>
      <c r="O37" t="n">
        <v>1</v>
      </c>
      <c r="P37" t="n">
        <v>1</v>
      </c>
      <c r="Q37" t="n">
        <v>6</v>
      </c>
      <c r="R37" s="2" t="inlineStr">
        <is>
          <t>Cinnoberbagge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58015-2023</t>
        </is>
      </c>
      <c r="B38" s="1" t="n">
        <v>45245</v>
      </c>
      <c r="C38" s="1" t="n">
        <v>45584</v>
      </c>
      <c r="D38" t="inlineStr">
        <is>
          <t>UPPSALA LÄN</t>
        </is>
      </c>
      <c r="E38" t="inlineStr">
        <is>
          <t>UPPSALA</t>
        </is>
      </c>
      <c r="G38" t="n">
        <v>12.8</v>
      </c>
      <c r="H38" t="n">
        <v>0</v>
      </c>
      <c r="I38" t="n">
        <v>4</v>
      </c>
      <c r="J38" t="n">
        <v>2</v>
      </c>
      <c r="K38" t="n">
        <v>0</v>
      </c>
      <c r="L38" t="n">
        <v>0</v>
      </c>
      <c r="M38" t="n">
        <v>0</v>
      </c>
      <c r="N38" t="n">
        <v>0</v>
      </c>
      <c r="O38" t="n">
        <v>2</v>
      </c>
      <c r="P38" t="n">
        <v>0</v>
      </c>
      <c r="Q38" t="n">
        <v>6</v>
      </c>
      <c r="R38" s="2" t="inlineStr">
        <is>
          <t>Kandelabersvamp
Orange taggsvamp
Dropptaggsvamp
Fjällig taggsvamp s.str.
Svavelriska
Trådticka</t>
        </is>
      </c>
      <c r="S38">
        <f>HYPERLINK("https://klasma.github.io/Logging_0380/artfynd/A 58015-2023 artfynd.xlsx", "A 58015-2023")</f>
        <v/>
      </c>
      <c r="T38">
        <f>HYPERLINK("https://klasma.github.io/Logging_0380/kartor/A 58015-2023 karta.png", "A 58015-2023")</f>
        <v/>
      </c>
      <c r="V38">
        <f>HYPERLINK("https://klasma.github.io/Logging_0380/klagomål/A 58015-2023 FSC-klagomål.docx", "A 58015-2023")</f>
        <v/>
      </c>
      <c r="W38">
        <f>HYPERLINK("https://klasma.github.io/Logging_0380/klagomålsmail/A 58015-2023 FSC-klagomål mail.docx", "A 58015-2023")</f>
        <v/>
      </c>
      <c r="X38">
        <f>HYPERLINK("https://klasma.github.io/Logging_0380/tillsyn/A 58015-2023 tillsynsbegäran.docx", "A 58015-2023")</f>
        <v/>
      </c>
      <c r="Y38">
        <f>HYPERLINK("https://klasma.github.io/Logging_0380/tillsynsmail/A 58015-2023 tillsynsbegäran mail.docx", "A 58015-2023")</f>
        <v/>
      </c>
    </row>
    <row r="39" ht="15" customHeight="1">
      <c r="A39" t="inlineStr">
        <is>
          <t>A 67522-2019</t>
        </is>
      </c>
      <c r="B39" s="1" t="n">
        <v>43814</v>
      </c>
      <c r="C39" s="1" t="n">
        <v>45584</v>
      </c>
      <c r="D39" t="inlineStr">
        <is>
          <t>UPPSALA LÄN</t>
        </is>
      </c>
      <c r="E39" t="inlineStr">
        <is>
          <t>UPPSALA</t>
        </is>
      </c>
      <c r="F39" t="inlineStr">
        <is>
          <t>Allmännings- och besparingsskogar</t>
        </is>
      </c>
      <c r="G39" t="n">
        <v>27.9</v>
      </c>
      <c r="H39" t="n">
        <v>0</v>
      </c>
      <c r="I39" t="n">
        <v>3</v>
      </c>
      <c r="J39" t="n">
        <v>2</v>
      </c>
      <c r="K39" t="n">
        <v>0</v>
      </c>
      <c r="L39" t="n">
        <v>0</v>
      </c>
      <c r="M39" t="n">
        <v>0</v>
      </c>
      <c r="N39" t="n">
        <v>0</v>
      </c>
      <c r="O39" t="n">
        <v>2</v>
      </c>
      <c r="P39" t="n">
        <v>0</v>
      </c>
      <c r="Q39" t="n">
        <v>5</v>
      </c>
      <c r="R39" s="2" t="inlineStr">
        <is>
          <t>Större flatbagge
Tallticka
Bronshjon
Granbarkgnagare
Jättesvampmal</t>
        </is>
      </c>
      <c r="S39">
        <f>HYPERLINK("https://klasma.github.io/Logging_0380/artfynd/A 67522-2019 artfynd.xlsx", "A 67522-2019")</f>
        <v/>
      </c>
      <c r="T39">
        <f>HYPERLINK("https://klasma.github.io/Logging_0380/kartor/A 67522-2019 karta.png", "A 67522-2019")</f>
        <v/>
      </c>
      <c r="V39">
        <f>HYPERLINK("https://klasma.github.io/Logging_0380/klagomål/A 67522-2019 FSC-klagomål.docx", "A 67522-2019")</f>
        <v/>
      </c>
      <c r="W39">
        <f>HYPERLINK("https://klasma.github.io/Logging_0380/klagomålsmail/A 67522-2019 FSC-klagomål mail.docx", "A 67522-2019")</f>
        <v/>
      </c>
      <c r="X39">
        <f>HYPERLINK("https://klasma.github.io/Logging_0380/tillsyn/A 67522-2019 tillsynsbegäran.docx", "A 67522-2019")</f>
        <v/>
      </c>
      <c r="Y39">
        <f>HYPERLINK("https://klasma.github.io/Logging_0380/tillsynsmail/A 67522-2019 tillsynsbegäran mail.docx", "A 67522-2019")</f>
        <v/>
      </c>
    </row>
    <row r="40" ht="15" customHeight="1">
      <c r="A40" t="inlineStr">
        <is>
          <t>A 5673-2020</t>
        </is>
      </c>
      <c r="B40" s="1" t="n">
        <v>43861</v>
      </c>
      <c r="C40" s="1" t="n">
        <v>45584</v>
      </c>
      <c r="D40" t="inlineStr">
        <is>
          <t>UPPSALA LÄN</t>
        </is>
      </c>
      <c r="E40" t="inlineStr">
        <is>
          <t>UPPSALA</t>
        </is>
      </c>
      <c r="G40" t="n">
        <v>1.2</v>
      </c>
      <c r="H40" t="n">
        <v>1</v>
      </c>
      <c r="I40" t="n">
        <v>4</v>
      </c>
      <c r="J40" t="n">
        <v>0</v>
      </c>
      <c r="K40" t="n">
        <v>0</v>
      </c>
      <c r="L40" t="n">
        <v>0</v>
      </c>
      <c r="M40" t="n">
        <v>0</v>
      </c>
      <c r="N40" t="n">
        <v>0</v>
      </c>
      <c r="O40" t="n">
        <v>0</v>
      </c>
      <c r="P40" t="n">
        <v>0</v>
      </c>
      <c r="Q40" t="n">
        <v>5</v>
      </c>
      <c r="R40" s="2" t="inlineStr">
        <is>
          <t>Hasselticka
Platt fjädermossa
Trubbfjädermossa
Vedticka
Blåsippa</t>
        </is>
      </c>
      <c r="S40">
        <f>HYPERLINK("https://klasma.github.io/Logging_0380/artfynd/A 5673-2020 artfynd.xlsx", "A 5673-2020")</f>
        <v/>
      </c>
      <c r="T40">
        <f>HYPERLINK("https://klasma.github.io/Logging_0380/kartor/A 5673-2020 karta.png", "A 5673-2020")</f>
        <v/>
      </c>
      <c r="V40">
        <f>HYPERLINK("https://klasma.github.io/Logging_0380/klagomål/A 5673-2020 FSC-klagomål.docx", "A 5673-2020")</f>
        <v/>
      </c>
      <c r="W40">
        <f>HYPERLINK("https://klasma.github.io/Logging_0380/klagomålsmail/A 5673-2020 FSC-klagomål mail.docx", "A 5673-2020")</f>
        <v/>
      </c>
      <c r="X40">
        <f>HYPERLINK("https://klasma.github.io/Logging_0380/tillsyn/A 5673-2020 tillsynsbegäran.docx", "A 5673-2020")</f>
        <v/>
      </c>
      <c r="Y40">
        <f>HYPERLINK("https://klasma.github.io/Logging_0380/tillsynsmail/A 5673-2020 tillsynsbegäran mail.docx", "A 5673-2020")</f>
        <v/>
      </c>
    </row>
    <row r="41" ht="15" customHeight="1">
      <c r="A41" t="inlineStr">
        <is>
          <t>A 27389-2021</t>
        </is>
      </c>
      <c r="B41" s="1" t="n">
        <v>44351</v>
      </c>
      <c r="C41" s="1" t="n">
        <v>45584</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61388-2021</t>
        </is>
      </c>
      <c r="B42" s="1" t="n">
        <v>44500</v>
      </c>
      <c r="C42" s="1" t="n">
        <v>45584</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1725-2022</t>
        </is>
      </c>
      <c r="B43" s="1" t="n">
        <v>44574</v>
      </c>
      <c r="C43" s="1" t="n">
        <v>45584</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53574-2022</t>
        </is>
      </c>
      <c r="B44" s="1" t="n">
        <v>44879</v>
      </c>
      <c r="C44" s="1" t="n">
        <v>45584</v>
      </c>
      <c r="D44" t="inlineStr">
        <is>
          <t>UPPSALA LÄN</t>
        </is>
      </c>
      <c r="E44" t="inlineStr">
        <is>
          <t>UPPSALA</t>
        </is>
      </c>
      <c r="G44" t="n">
        <v>19.2</v>
      </c>
      <c r="H44" t="n">
        <v>1</v>
      </c>
      <c r="I44" t="n">
        <v>4</v>
      </c>
      <c r="J44" t="n">
        <v>1</v>
      </c>
      <c r="K44" t="n">
        <v>0</v>
      </c>
      <c r="L44" t="n">
        <v>0</v>
      </c>
      <c r="M44" t="n">
        <v>0</v>
      </c>
      <c r="N44" t="n">
        <v>0</v>
      </c>
      <c r="O44" t="n">
        <v>1</v>
      </c>
      <c r="P44" t="n">
        <v>0</v>
      </c>
      <c r="Q44" t="n">
        <v>5</v>
      </c>
      <c r="R44" s="2" t="inlineStr">
        <is>
          <t>Ullticka
Fällmossa
Grön sköldmossa
Korallblylav
Stuplav</t>
        </is>
      </c>
      <c r="S44">
        <f>HYPERLINK("https://klasma.github.io/Logging_0380/artfynd/A 53574-2022 artfynd.xlsx", "A 53574-2022")</f>
        <v/>
      </c>
      <c r="T44">
        <f>HYPERLINK("https://klasma.github.io/Logging_0380/kartor/A 53574-2022 karta.png", "A 53574-2022")</f>
        <v/>
      </c>
      <c r="V44">
        <f>HYPERLINK("https://klasma.github.io/Logging_0380/klagomål/A 53574-2022 FSC-klagomål.docx", "A 53574-2022")</f>
        <v/>
      </c>
      <c r="W44">
        <f>HYPERLINK("https://klasma.github.io/Logging_0380/klagomålsmail/A 53574-2022 FSC-klagomål mail.docx", "A 53574-2022")</f>
        <v/>
      </c>
      <c r="X44">
        <f>HYPERLINK("https://klasma.github.io/Logging_0380/tillsyn/A 53574-2022 tillsynsbegäran.docx", "A 53574-2022")</f>
        <v/>
      </c>
      <c r="Y44">
        <f>HYPERLINK("https://klasma.github.io/Logging_0380/tillsynsmail/A 53574-2022 tillsynsbegäran mail.docx", "A 53574-2022")</f>
        <v/>
      </c>
    </row>
    <row r="45" ht="15" customHeight="1">
      <c r="A45" t="inlineStr">
        <is>
          <t>A 62169-2022</t>
        </is>
      </c>
      <c r="B45" s="1" t="n">
        <v>44922</v>
      </c>
      <c r="C45" s="1" t="n">
        <v>45584</v>
      </c>
      <c r="D45" t="inlineStr">
        <is>
          <t>UPPSALA LÄN</t>
        </is>
      </c>
      <c r="E45" t="inlineStr">
        <is>
          <t>UPPSALA</t>
        </is>
      </c>
      <c r="G45" t="n">
        <v>19.6</v>
      </c>
      <c r="H45" t="n">
        <v>2</v>
      </c>
      <c r="I45" t="n">
        <v>2</v>
      </c>
      <c r="J45" t="n">
        <v>1</v>
      </c>
      <c r="K45" t="n">
        <v>1</v>
      </c>
      <c r="L45" t="n">
        <v>0</v>
      </c>
      <c r="M45" t="n">
        <v>0</v>
      </c>
      <c r="N45" t="n">
        <v>0</v>
      </c>
      <c r="O45" t="n">
        <v>2</v>
      </c>
      <c r="P45" t="n">
        <v>1</v>
      </c>
      <c r="Q45" t="n">
        <v>5</v>
      </c>
      <c r="R45" s="2" t="inlineStr">
        <is>
          <t>Knärot
Tallticka
Björksplintborre
Kamjordstjärna
Revlummer</t>
        </is>
      </c>
      <c r="S45">
        <f>HYPERLINK("https://klasma.github.io/Logging_0380/artfynd/A 62169-2022 artfynd.xlsx", "A 62169-2022")</f>
        <v/>
      </c>
      <c r="T45">
        <f>HYPERLINK("https://klasma.github.io/Logging_0380/kartor/A 62169-2022 karta.png", "A 62169-2022")</f>
        <v/>
      </c>
      <c r="U45">
        <f>HYPERLINK("https://klasma.github.io/Logging_0380/knärot/A 62169-2022 karta knärot.png", "A 62169-2022")</f>
        <v/>
      </c>
      <c r="V45">
        <f>HYPERLINK("https://klasma.github.io/Logging_0380/klagomål/A 62169-2022 FSC-klagomål.docx", "A 62169-2022")</f>
        <v/>
      </c>
      <c r="W45">
        <f>HYPERLINK("https://klasma.github.io/Logging_0380/klagomålsmail/A 62169-2022 FSC-klagomål mail.docx", "A 62169-2022")</f>
        <v/>
      </c>
      <c r="X45">
        <f>HYPERLINK("https://klasma.github.io/Logging_0380/tillsyn/A 62169-2022 tillsynsbegäran.docx", "A 62169-2022")</f>
        <v/>
      </c>
      <c r="Y45">
        <f>HYPERLINK("https://klasma.github.io/Logging_0380/tillsynsmail/A 62169-2022 tillsynsbegäran mail.docx", "A 62169-2022")</f>
        <v/>
      </c>
    </row>
    <row r="46" ht="15" customHeight="1">
      <c r="A46" t="inlineStr">
        <is>
          <t>A 9422-2023</t>
        </is>
      </c>
      <c r="B46" s="1" t="n">
        <v>44977</v>
      </c>
      <c r="C46" s="1" t="n">
        <v>45584</v>
      </c>
      <c r="D46" t="inlineStr">
        <is>
          <t>UPPSALA LÄN</t>
        </is>
      </c>
      <c r="E46" t="inlineStr">
        <is>
          <t>UPPSALA</t>
        </is>
      </c>
      <c r="G46" t="n">
        <v>4.5</v>
      </c>
      <c r="H46" t="n">
        <v>0</v>
      </c>
      <c r="I46" t="n">
        <v>5</v>
      </c>
      <c r="J46" t="n">
        <v>0</v>
      </c>
      <c r="K46" t="n">
        <v>0</v>
      </c>
      <c r="L46" t="n">
        <v>0</v>
      </c>
      <c r="M46" t="n">
        <v>0</v>
      </c>
      <c r="N46" t="n">
        <v>0</v>
      </c>
      <c r="O46" t="n">
        <v>0</v>
      </c>
      <c r="P46" t="n">
        <v>0</v>
      </c>
      <c r="Q46" t="n">
        <v>5</v>
      </c>
      <c r="R46" s="2" t="inlineStr">
        <is>
          <t>Anisspindling
Brun klibbskivling
Olivspindling
Skarp dropptaggsvamp
Strimspindling</t>
        </is>
      </c>
      <c r="S46">
        <f>HYPERLINK("https://klasma.github.io/Logging_0380/artfynd/A 9422-2023 artfynd.xlsx", "A 9422-2023")</f>
        <v/>
      </c>
      <c r="T46">
        <f>HYPERLINK("https://klasma.github.io/Logging_0380/kartor/A 9422-2023 karta.png", "A 9422-2023")</f>
        <v/>
      </c>
      <c r="V46">
        <f>HYPERLINK("https://klasma.github.io/Logging_0380/klagomål/A 9422-2023 FSC-klagomål.docx", "A 9422-2023")</f>
        <v/>
      </c>
      <c r="W46">
        <f>HYPERLINK("https://klasma.github.io/Logging_0380/klagomålsmail/A 9422-2023 FSC-klagomål mail.docx", "A 9422-2023")</f>
        <v/>
      </c>
      <c r="X46">
        <f>HYPERLINK("https://klasma.github.io/Logging_0380/tillsyn/A 9422-2023 tillsynsbegäran.docx", "A 9422-2023")</f>
        <v/>
      </c>
      <c r="Y46">
        <f>HYPERLINK("https://klasma.github.io/Logging_0380/tillsynsmail/A 9422-2023 tillsynsbegäran mail.docx", "A 9422-2023")</f>
        <v/>
      </c>
    </row>
    <row r="47" ht="15" customHeight="1">
      <c r="A47" t="inlineStr">
        <is>
          <t>A 27625-2023</t>
        </is>
      </c>
      <c r="B47" s="1" t="n">
        <v>45097</v>
      </c>
      <c r="C47" s="1" t="n">
        <v>45584</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29803-2023</t>
        </is>
      </c>
      <c r="B48" s="1" t="n">
        <v>45107</v>
      </c>
      <c r="C48" s="1" t="n">
        <v>45584</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63181-2023</t>
        </is>
      </c>
      <c r="B49" s="1" t="n">
        <v>45273</v>
      </c>
      <c r="C49" s="1" t="n">
        <v>45584</v>
      </c>
      <c r="D49" t="inlineStr">
        <is>
          <t>UPPSALA LÄN</t>
        </is>
      </c>
      <c r="E49" t="inlineStr">
        <is>
          <t>UPPSALA</t>
        </is>
      </c>
      <c r="G49" t="n">
        <v>3.2</v>
      </c>
      <c r="H49" t="n">
        <v>0</v>
      </c>
      <c r="I49" t="n">
        <v>2</v>
      </c>
      <c r="J49" t="n">
        <v>3</v>
      </c>
      <c r="K49" t="n">
        <v>0</v>
      </c>
      <c r="L49" t="n">
        <v>0</v>
      </c>
      <c r="M49" t="n">
        <v>0</v>
      </c>
      <c r="N49" t="n">
        <v>0</v>
      </c>
      <c r="O49" t="n">
        <v>3</v>
      </c>
      <c r="P49" t="n">
        <v>0</v>
      </c>
      <c r="Q49" t="n">
        <v>5</v>
      </c>
      <c r="R49" s="2" t="inlineStr">
        <is>
          <t>Barrviolspindling
Harticka
Kungsspindling
Brandticka
Kamjordstjärna</t>
        </is>
      </c>
      <c r="S49">
        <f>HYPERLINK("https://klasma.github.io/Logging_0380/artfynd/A 63181-2023 artfynd.xlsx", "A 63181-2023")</f>
        <v/>
      </c>
      <c r="T49">
        <f>HYPERLINK("https://klasma.github.io/Logging_0380/kartor/A 63181-2023 karta.png", "A 63181-2023")</f>
        <v/>
      </c>
      <c r="V49">
        <f>HYPERLINK("https://klasma.github.io/Logging_0380/klagomål/A 63181-2023 FSC-klagomål.docx", "A 63181-2023")</f>
        <v/>
      </c>
      <c r="W49">
        <f>HYPERLINK("https://klasma.github.io/Logging_0380/klagomålsmail/A 63181-2023 FSC-klagomål mail.docx", "A 63181-2023")</f>
        <v/>
      </c>
      <c r="X49">
        <f>HYPERLINK("https://klasma.github.io/Logging_0380/tillsyn/A 63181-2023 tillsynsbegäran.docx", "A 63181-2023")</f>
        <v/>
      </c>
      <c r="Y49">
        <f>HYPERLINK("https://klasma.github.io/Logging_0380/tillsynsmail/A 63181-2023 tillsynsbegäran mail.docx", "A 63181-2023")</f>
        <v/>
      </c>
    </row>
    <row r="50" ht="15" customHeight="1">
      <c r="A50" t="inlineStr">
        <is>
          <t>A 3100-2024</t>
        </is>
      </c>
      <c r="B50" s="1" t="n">
        <v>45316</v>
      </c>
      <c r="C50" s="1" t="n">
        <v>45584</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46718-2024</t>
        </is>
      </c>
      <c r="B51" s="1" t="n">
        <v>45583</v>
      </c>
      <c r="C51" s="1" t="n">
        <v>45584</v>
      </c>
      <c r="D51" t="inlineStr">
        <is>
          <t>UPPSALA LÄN</t>
        </is>
      </c>
      <c r="E51" t="inlineStr">
        <is>
          <t>UPPSALA</t>
        </is>
      </c>
      <c r="F51" t="inlineStr">
        <is>
          <t>Sveaskog</t>
        </is>
      </c>
      <c r="G51" t="n">
        <v>3.1</v>
      </c>
      <c r="H51" t="n">
        <v>1</v>
      </c>
      <c r="I51" t="n">
        <v>3</v>
      </c>
      <c r="J51" t="n">
        <v>0</v>
      </c>
      <c r="K51" t="n">
        <v>1</v>
      </c>
      <c r="L51" t="n">
        <v>0</v>
      </c>
      <c r="M51" t="n">
        <v>0</v>
      </c>
      <c r="N51" t="n">
        <v>0</v>
      </c>
      <c r="O51" t="n">
        <v>1</v>
      </c>
      <c r="P51" t="n">
        <v>1</v>
      </c>
      <c r="Q51" t="n">
        <v>5</v>
      </c>
      <c r="R51" s="2" t="inlineStr">
        <is>
          <t>Rynkskinn
Fjällig taggsvamp s.str.
Skogshakmossa
Trådticka
Blåsippa</t>
        </is>
      </c>
      <c r="S51">
        <f>HYPERLINK("https://klasma.github.io/Logging_0380/artfynd/A 46718-2024 artfynd.xlsx", "A 46718-2024")</f>
        <v/>
      </c>
      <c r="T51">
        <f>HYPERLINK("https://klasma.github.io/Logging_0380/kartor/A 46718-2024 karta.png", "A 46718-2024")</f>
        <v/>
      </c>
      <c r="V51">
        <f>HYPERLINK("https://klasma.github.io/Logging_0380/klagomål/A 46718-2024 FSC-klagomål.docx", "A 46718-2024")</f>
        <v/>
      </c>
      <c r="W51">
        <f>HYPERLINK("https://klasma.github.io/Logging_0380/klagomålsmail/A 46718-2024 FSC-klagomål mail.docx", "A 46718-2024")</f>
        <v/>
      </c>
      <c r="X51">
        <f>HYPERLINK("https://klasma.github.io/Logging_0380/tillsyn/A 46718-2024 tillsynsbegäran.docx", "A 46718-2024")</f>
        <v/>
      </c>
      <c r="Y51">
        <f>HYPERLINK("https://klasma.github.io/Logging_0380/tillsynsmail/A 46718-2024 tillsynsbegäran mail.docx", "A 46718-2024")</f>
        <v/>
      </c>
    </row>
    <row r="52" ht="15" customHeight="1">
      <c r="A52" t="inlineStr">
        <is>
          <t>A 4116-2020</t>
        </is>
      </c>
      <c r="B52" s="1" t="n">
        <v>43857</v>
      </c>
      <c r="C52" s="1" t="n">
        <v>45584</v>
      </c>
      <c r="D52" t="inlineStr">
        <is>
          <t>UPPSALA LÄN</t>
        </is>
      </c>
      <c r="E52" t="inlineStr">
        <is>
          <t>UPPSALA</t>
        </is>
      </c>
      <c r="G52" t="n">
        <v>2.4</v>
      </c>
      <c r="H52" t="n">
        <v>1</v>
      </c>
      <c r="I52" t="n">
        <v>1</v>
      </c>
      <c r="J52" t="n">
        <v>1</v>
      </c>
      <c r="K52" t="n">
        <v>1</v>
      </c>
      <c r="L52" t="n">
        <v>0</v>
      </c>
      <c r="M52" t="n">
        <v>0</v>
      </c>
      <c r="N52" t="n">
        <v>0</v>
      </c>
      <c r="O52" t="n">
        <v>2</v>
      </c>
      <c r="P52" t="n">
        <v>1</v>
      </c>
      <c r="Q52" t="n">
        <v>4</v>
      </c>
      <c r="R52" s="2" t="inlineStr">
        <is>
          <t>Grangråticka
Svart taggsvamp
Fjällig taggsvamp s.str.
Blåsippa</t>
        </is>
      </c>
      <c r="S52">
        <f>HYPERLINK("https://klasma.github.io/Logging_0380/artfynd/A 4116-2020 artfynd.xlsx", "A 4116-2020")</f>
        <v/>
      </c>
      <c r="T52">
        <f>HYPERLINK("https://klasma.github.io/Logging_0380/kartor/A 4116-2020 karta.png", "A 4116-2020")</f>
        <v/>
      </c>
      <c r="V52">
        <f>HYPERLINK("https://klasma.github.io/Logging_0380/klagomål/A 4116-2020 FSC-klagomål.docx", "A 4116-2020")</f>
        <v/>
      </c>
      <c r="W52">
        <f>HYPERLINK("https://klasma.github.io/Logging_0380/klagomålsmail/A 4116-2020 FSC-klagomål mail.docx", "A 4116-2020")</f>
        <v/>
      </c>
      <c r="X52">
        <f>HYPERLINK("https://klasma.github.io/Logging_0380/tillsyn/A 4116-2020 tillsynsbegäran.docx", "A 4116-2020")</f>
        <v/>
      </c>
      <c r="Y52">
        <f>HYPERLINK("https://klasma.github.io/Logging_0380/tillsynsmail/A 4116-2020 tillsynsbegäran mail.docx", "A 4116-2020")</f>
        <v/>
      </c>
    </row>
    <row r="53" ht="15" customHeight="1">
      <c r="A53" t="inlineStr">
        <is>
          <t>A 25264-2020</t>
        </is>
      </c>
      <c r="B53" s="1" t="n">
        <v>43980</v>
      </c>
      <c r="C53" s="1" t="n">
        <v>45584</v>
      </c>
      <c r="D53" t="inlineStr">
        <is>
          <t>UPPSALA LÄN</t>
        </is>
      </c>
      <c r="E53" t="inlineStr">
        <is>
          <t>UPPSALA</t>
        </is>
      </c>
      <c r="G53" t="n">
        <v>2.8</v>
      </c>
      <c r="H53" t="n">
        <v>4</v>
      </c>
      <c r="I53" t="n">
        <v>0</v>
      </c>
      <c r="J53" t="n">
        <v>0</v>
      </c>
      <c r="K53" t="n">
        <v>1</v>
      </c>
      <c r="L53" t="n">
        <v>0</v>
      </c>
      <c r="M53" t="n">
        <v>0</v>
      </c>
      <c r="N53" t="n">
        <v>0</v>
      </c>
      <c r="O53" t="n">
        <v>1</v>
      </c>
      <c r="P53" t="n">
        <v>1</v>
      </c>
      <c r="Q53" t="n">
        <v>4</v>
      </c>
      <c r="R53" s="2" t="inlineStr">
        <is>
          <t>Knärot
Kopparödla
Fläcknycklar
Revlummer</t>
        </is>
      </c>
      <c r="S53">
        <f>HYPERLINK("https://klasma.github.io/Logging_0380/artfynd/A 25264-2020 artfynd.xlsx", "A 25264-2020")</f>
        <v/>
      </c>
      <c r="T53">
        <f>HYPERLINK("https://klasma.github.io/Logging_0380/kartor/A 25264-2020 karta.png", "A 25264-2020")</f>
        <v/>
      </c>
      <c r="U53">
        <f>HYPERLINK("https://klasma.github.io/Logging_0380/knärot/A 25264-2020 karta knärot.png", "A 25264-2020")</f>
        <v/>
      </c>
      <c r="V53">
        <f>HYPERLINK("https://klasma.github.io/Logging_0380/klagomål/A 25264-2020 FSC-klagomål.docx", "A 25264-2020")</f>
        <v/>
      </c>
      <c r="W53">
        <f>HYPERLINK("https://klasma.github.io/Logging_0380/klagomålsmail/A 25264-2020 FSC-klagomål mail.docx", "A 25264-2020")</f>
        <v/>
      </c>
      <c r="X53">
        <f>HYPERLINK("https://klasma.github.io/Logging_0380/tillsyn/A 25264-2020 tillsynsbegäran.docx", "A 25264-2020")</f>
        <v/>
      </c>
      <c r="Y53">
        <f>HYPERLINK("https://klasma.github.io/Logging_0380/tillsynsmail/A 25264-2020 tillsynsbegäran mail.docx", "A 25264-2020")</f>
        <v/>
      </c>
    </row>
    <row r="54" ht="15" customHeight="1">
      <c r="A54" t="inlineStr">
        <is>
          <t>A 37670-2020</t>
        </is>
      </c>
      <c r="B54" s="1" t="n">
        <v>44056</v>
      </c>
      <c r="C54" s="1" t="n">
        <v>45584</v>
      </c>
      <c r="D54" t="inlineStr">
        <is>
          <t>UPPSALA LÄN</t>
        </is>
      </c>
      <c r="E54" t="inlineStr">
        <is>
          <t>UPPSALA</t>
        </is>
      </c>
      <c r="F54" t="inlineStr">
        <is>
          <t>Allmännings- och besparingsskogar</t>
        </is>
      </c>
      <c r="G54" t="n">
        <v>56.8</v>
      </c>
      <c r="H54" t="n">
        <v>3</v>
      </c>
      <c r="I54" t="n">
        <v>2</v>
      </c>
      <c r="J54" t="n">
        <v>1</v>
      </c>
      <c r="K54" t="n">
        <v>1</v>
      </c>
      <c r="L54" t="n">
        <v>0</v>
      </c>
      <c r="M54" t="n">
        <v>0</v>
      </c>
      <c r="N54" t="n">
        <v>0</v>
      </c>
      <c r="O54" t="n">
        <v>2</v>
      </c>
      <c r="P54" t="n">
        <v>1</v>
      </c>
      <c r="Q54" t="n">
        <v>4</v>
      </c>
      <c r="R54" s="2" t="inlineStr">
        <is>
          <t>Knärot
Talltita
Grönpyrola
Plattlummer</t>
        </is>
      </c>
      <c r="S54">
        <f>HYPERLINK("https://klasma.github.io/Logging_0380/artfynd/A 37670-2020 artfynd.xlsx", "A 37670-2020")</f>
        <v/>
      </c>
      <c r="T54">
        <f>HYPERLINK("https://klasma.github.io/Logging_0380/kartor/A 37670-2020 karta.png", "A 37670-2020")</f>
        <v/>
      </c>
      <c r="U54">
        <f>HYPERLINK("https://klasma.github.io/Logging_0380/knärot/A 37670-2020 karta knärot.png", "A 37670-2020")</f>
        <v/>
      </c>
      <c r="V54">
        <f>HYPERLINK("https://klasma.github.io/Logging_0380/klagomål/A 37670-2020 FSC-klagomål.docx", "A 37670-2020")</f>
        <v/>
      </c>
      <c r="W54">
        <f>HYPERLINK("https://klasma.github.io/Logging_0380/klagomålsmail/A 37670-2020 FSC-klagomål mail.docx", "A 37670-2020")</f>
        <v/>
      </c>
      <c r="X54">
        <f>HYPERLINK("https://klasma.github.io/Logging_0380/tillsyn/A 37670-2020 tillsynsbegäran.docx", "A 37670-2020")</f>
        <v/>
      </c>
      <c r="Y54">
        <f>HYPERLINK("https://klasma.github.io/Logging_0380/tillsynsmail/A 37670-2020 tillsynsbegäran mail.docx", "A 37670-2020")</f>
        <v/>
      </c>
      <c r="Z54">
        <f>HYPERLINK("https://klasma.github.io/Logging_0380/fåglar/A 37670-2020 prioriterade fågelarter.docx", "A 37670-2020")</f>
        <v/>
      </c>
    </row>
    <row r="55" ht="15" customHeight="1">
      <c r="A55" t="inlineStr">
        <is>
          <t>A 51688-2021</t>
        </is>
      </c>
      <c r="B55" s="1" t="n">
        <v>44462</v>
      </c>
      <c r="C55" s="1" t="n">
        <v>45584</v>
      </c>
      <c r="D55" t="inlineStr">
        <is>
          <t>UPPSALA LÄN</t>
        </is>
      </c>
      <c r="E55" t="inlineStr">
        <is>
          <t>UPPSALA</t>
        </is>
      </c>
      <c r="F55" t="inlineStr">
        <is>
          <t>Allmännings- och besparingsskogar</t>
        </is>
      </c>
      <c r="G55" t="n">
        <v>9.9</v>
      </c>
      <c r="H55" t="n">
        <v>1</v>
      </c>
      <c r="I55" t="n">
        <v>1</v>
      </c>
      <c r="J55" t="n">
        <v>2</v>
      </c>
      <c r="K55" t="n">
        <v>1</v>
      </c>
      <c r="L55" t="n">
        <v>0</v>
      </c>
      <c r="M55" t="n">
        <v>0</v>
      </c>
      <c r="N55" t="n">
        <v>0</v>
      </c>
      <c r="O55" t="n">
        <v>3</v>
      </c>
      <c r="P55" t="n">
        <v>1</v>
      </c>
      <c r="Q55" t="n">
        <v>4</v>
      </c>
      <c r="R55" s="2" t="inlineStr">
        <is>
          <t>Knärot
Garnlav
Ullticka
Vedticka</t>
        </is>
      </c>
      <c r="S55">
        <f>HYPERLINK("https://klasma.github.io/Logging_0380/artfynd/A 51688-2021 artfynd.xlsx", "A 51688-2021")</f>
        <v/>
      </c>
      <c r="T55">
        <f>HYPERLINK("https://klasma.github.io/Logging_0380/kartor/A 51688-2021 karta.png", "A 51688-2021")</f>
        <v/>
      </c>
      <c r="U55">
        <f>HYPERLINK("https://klasma.github.io/Logging_0380/knärot/A 51688-2021 karta knärot.png", "A 51688-2021")</f>
        <v/>
      </c>
      <c r="V55">
        <f>HYPERLINK("https://klasma.github.io/Logging_0380/klagomål/A 51688-2021 FSC-klagomål.docx", "A 51688-2021")</f>
        <v/>
      </c>
      <c r="W55">
        <f>HYPERLINK("https://klasma.github.io/Logging_0380/klagomålsmail/A 51688-2021 FSC-klagomål mail.docx", "A 51688-2021")</f>
        <v/>
      </c>
      <c r="X55">
        <f>HYPERLINK("https://klasma.github.io/Logging_0380/tillsyn/A 51688-2021 tillsynsbegäran.docx", "A 51688-2021")</f>
        <v/>
      </c>
      <c r="Y55">
        <f>HYPERLINK("https://klasma.github.io/Logging_0380/tillsynsmail/A 51688-2021 tillsynsbegäran mail.docx", "A 51688-2021")</f>
        <v/>
      </c>
    </row>
    <row r="56" ht="15" customHeight="1">
      <c r="A56" t="inlineStr">
        <is>
          <t>A 15956-2022</t>
        </is>
      </c>
      <c r="B56" s="1" t="n">
        <v>44664</v>
      </c>
      <c r="C56" s="1" t="n">
        <v>45584</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23153-2022</t>
        </is>
      </c>
      <c r="B57" s="1" t="n">
        <v>44719</v>
      </c>
      <c r="C57" s="1" t="n">
        <v>45584</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26758-2022</t>
        </is>
      </c>
      <c r="B58" s="1" t="n">
        <v>44740</v>
      </c>
      <c r="C58" s="1" t="n">
        <v>45584</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8323-2023</t>
        </is>
      </c>
      <c r="B59" s="1" t="n">
        <v>44974</v>
      </c>
      <c r="C59" s="1" t="n">
        <v>45584</v>
      </c>
      <c r="D59" t="inlineStr">
        <is>
          <t>UPPSALA LÄN</t>
        </is>
      </c>
      <c r="E59" t="inlineStr">
        <is>
          <t>UPPSALA</t>
        </is>
      </c>
      <c r="G59" t="n">
        <v>9.4</v>
      </c>
      <c r="H59" t="n">
        <v>1</v>
      </c>
      <c r="I59" t="n">
        <v>2</v>
      </c>
      <c r="J59" t="n">
        <v>1</v>
      </c>
      <c r="K59" t="n">
        <v>0</v>
      </c>
      <c r="L59" t="n">
        <v>0</v>
      </c>
      <c r="M59" t="n">
        <v>0</v>
      </c>
      <c r="N59" t="n">
        <v>0</v>
      </c>
      <c r="O59" t="n">
        <v>1</v>
      </c>
      <c r="P59" t="n">
        <v>0</v>
      </c>
      <c r="Q59" t="n">
        <v>4</v>
      </c>
      <c r="R59" s="2" t="inlineStr">
        <is>
          <t>Leptoporus erubescens
Blodticka
Grönpyrola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row>
    <row r="60" ht="15" customHeight="1">
      <c r="A60" t="inlineStr">
        <is>
          <t>A 13210-2023</t>
        </is>
      </c>
      <c r="B60" s="1" t="n">
        <v>45002</v>
      </c>
      <c r="C60" s="1" t="n">
        <v>45584</v>
      </c>
      <c r="D60" t="inlineStr">
        <is>
          <t>UPPSALA LÄN</t>
        </is>
      </c>
      <c r="E60" t="inlineStr">
        <is>
          <t>UPPSALA</t>
        </is>
      </c>
      <c r="F60" t="inlineStr">
        <is>
          <t>Holmen skog AB</t>
        </is>
      </c>
      <c r="G60" t="n">
        <v>6.5</v>
      </c>
      <c r="H60" t="n">
        <v>2</v>
      </c>
      <c r="I60" t="n">
        <v>2</v>
      </c>
      <c r="J60" t="n">
        <v>0</v>
      </c>
      <c r="K60" t="n">
        <v>1</v>
      </c>
      <c r="L60" t="n">
        <v>0</v>
      </c>
      <c r="M60" t="n">
        <v>0</v>
      </c>
      <c r="N60" t="n">
        <v>0</v>
      </c>
      <c r="O60" t="n">
        <v>1</v>
      </c>
      <c r="P60" t="n">
        <v>1</v>
      </c>
      <c r="Q60" t="n">
        <v>4</v>
      </c>
      <c r="R60" s="2" t="inlineStr">
        <is>
          <t>Knärot
Bronshjon
Vanlig rörsvepemossa
Blåsippa</t>
        </is>
      </c>
      <c r="S60">
        <f>HYPERLINK("https://klasma.github.io/Logging_0380/artfynd/A 13210-2023 artfynd.xlsx", "A 13210-2023")</f>
        <v/>
      </c>
      <c r="T60">
        <f>HYPERLINK("https://klasma.github.io/Logging_0380/kartor/A 13210-2023 karta.png", "A 13210-2023")</f>
        <v/>
      </c>
      <c r="U60">
        <f>HYPERLINK("https://klasma.github.io/Logging_0380/knärot/A 13210-2023 karta knärot.png", "A 13210-2023")</f>
        <v/>
      </c>
      <c r="V60">
        <f>HYPERLINK("https://klasma.github.io/Logging_0380/klagomål/A 13210-2023 FSC-klagomål.docx", "A 13210-2023")</f>
        <v/>
      </c>
      <c r="W60">
        <f>HYPERLINK("https://klasma.github.io/Logging_0380/klagomålsmail/A 13210-2023 FSC-klagomål mail.docx", "A 13210-2023")</f>
        <v/>
      </c>
      <c r="X60">
        <f>HYPERLINK("https://klasma.github.io/Logging_0380/tillsyn/A 13210-2023 tillsynsbegäran.docx", "A 13210-2023")</f>
        <v/>
      </c>
      <c r="Y60">
        <f>HYPERLINK("https://klasma.github.io/Logging_0380/tillsynsmail/A 13210-2023 tillsynsbegäran mail.docx", "A 13210-2023")</f>
        <v/>
      </c>
    </row>
    <row r="61" ht="15" customHeight="1">
      <c r="A61" t="inlineStr">
        <is>
          <t>A 16456-2023</t>
        </is>
      </c>
      <c r="B61" s="1" t="n">
        <v>45026</v>
      </c>
      <c r="C61" s="1" t="n">
        <v>45584</v>
      </c>
      <c r="D61" t="inlineStr">
        <is>
          <t>UPPSALA LÄN</t>
        </is>
      </c>
      <c r="E61" t="inlineStr">
        <is>
          <t>UPPSALA</t>
        </is>
      </c>
      <c r="G61" t="n">
        <v>6.5</v>
      </c>
      <c r="H61" t="n">
        <v>3</v>
      </c>
      <c r="I61" t="n">
        <v>1</v>
      </c>
      <c r="J61" t="n">
        <v>2</v>
      </c>
      <c r="K61" t="n">
        <v>0</v>
      </c>
      <c r="L61" t="n">
        <v>0</v>
      </c>
      <c r="M61" t="n">
        <v>0</v>
      </c>
      <c r="N61" t="n">
        <v>0</v>
      </c>
      <c r="O61" t="n">
        <v>2</v>
      </c>
      <c r="P61" t="n">
        <v>0</v>
      </c>
      <c r="Q61" t="n">
        <v>4</v>
      </c>
      <c r="R61" s="2" t="inlineStr">
        <is>
          <t>Entita
Rödvingetrast
Björksplintborre
Skogsduva</t>
        </is>
      </c>
      <c r="S61">
        <f>HYPERLINK("https://klasma.github.io/Logging_0380/artfynd/A 16456-2023 artfynd.xlsx", "A 16456-2023")</f>
        <v/>
      </c>
      <c r="T61">
        <f>HYPERLINK("https://klasma.github.io/Logging_0380/kartor/A 16456-2023 karta.png", "A 16456-2023")</f>
        <v/>
      </c>
      <c r="V61">
        <f>HYPERLINK("https://klasma.github.io/Logging_0380/klagomål/A 16456-2023 FSC-klagomål.docx", "A 16456-2023")</f>
        <v/>
      </c>
      <c r="W61">
        <f>HYPERLINK("https://klasma.github.io/Logging_0380/klagomålsmail/A 16456-2023 FSC-klagomål mail.docx", "A 16456-2023")</f>
        <v/>
      </c>
      <c r="X61">
        <f>HYPERLINK("https://klasma.github.io/Logging_0380/tillsyn/A 16456-2023 tillsynsbegäran.docx", "A 16456-2023")</f>
        <v/>
      </c>
      <c r="Y61">
        <f>HYPERLINK("https://klasma.github.io/Logging_0380/tillsynsmail/A 16456-2023 tillsynsbegäran mail.docx", "A 16456-2023")</f>
        <v/>
      </c>
      <c r="Z61">
        <f>HYPERLINK("https://klasma.github.io/Logging_0380/fåglar/A 16456-2023 prioriterade fågelarter.docx", "A 16456-2023")</f>
        <v/>
      </c>
    </row>
    <row r="62" ht="15" customHeight="1">
      <c r="A62" t="inlineStr">
        <is>
          <t>A 19329-2023</t>
        </is>
      </c>
      <c r="B62" s="1" t="n">
        <v>45049</v>
      </c>
      <c r="C62" s="1" t="n">
        <v>45584</v>
      </c>
      <c r="D62" t="inlineStr">
        <is>
          <t>UPPSALA LÄN</t>
        </is>
      </c>
      <c r="E62" t="inlineStr">
        <is>
          <t>UPPSALA</t>
        </is>
      </c>
      <c r="G62" t="n">
        <v>10</v>
      </c>
      <c r="H62" t="n">
        <v>0</v>
      </c>
      <c r="I62" t="n">
        <v>3</v>
      </c>
      <c r="J62" t="n">
        <v>1</v>
      </c>
      <c r="K62" t="n">
        <v>0</v>
      </c>
      <c r="L62" t="n">
        <v>0</v>
      </c>
      <c r="M62" t="n">
        <v>0</v>
      </c>
      <c r="N62" t="n">
        <v>0</v>
      </c>
      <c r="O62" t="n">
        <v>1</v>
      </c>
      <c r="P62" t="n">
        <v>0</v>
      </c>
      <c r="Q62" t="n">
        <v>4</v>
      </c>
      <c r="R62" s="2" t="inlineStr">
        <is>
          <t>Erastia ochraceolateritia
Blodticka
Fjällig taggsvamp s.str.
Svavelriska</t>
        </is>
      </c>
      <c r="S62">
        <f>HYPERLINK("https://klasma.github.io/Logging_0380/artfynd/A 19329-2023 artfynd.xlsx", "A 19329-2023")</f>
        <v/>
      </c>
      <c r="T62">
        <f>HYPERLINK("https://klasma.github.io/Logging_0380/kartor/A 19329-2023 karta.png", "A 19329-2023")</f>
        <v/>
      </c>
      <c r="V62">
        <f>HYPERLINK("https://klasma.github.io/Logging_0380/klagomål/A 19329-2023 FSC-klagomål.docx", "A 19329-2023")</f>
        <v/>
      </c>
      <c r="W62">
        <f>HYPERLINK("https://klasma.github.io/Logging_0380/klagomålsmail/A 19329-2023 FSC-klagomål mail.docx", "A 19329-2023")</f>
        <v/>
      </c>
      <c r="X62">
        <f>HYPERLINK("https://klasma.github.io/Logging_0380/tillsyn/A 19329-2023 tillsynsbegäran.docx", "A 19329-2023")</f>
        <v/>
      </c>
      <c r="Y62">
        <f>HYPERLINK("https://klasma.github.io/Logging_0380/tillsynsmail/A 19329-2023 tillsynsbegäran mail.docx", "A 19329-2023")</f>
        <v/>
      </c>
    </row>
    <row r="63" ht="15" customHeight="1">
      <c r="A63" t="inlineStr">
        <is>
          <t>A 46533-2023</t>
        </is>
      </c>
      <c r="B63" s="1" t="n">
        <v>45197</v>
      </c>
      <c r="C63" s="1" t="n">
        <v>45584</v>
      </c>
      <c r="D63" t="inlineStr">
        <is>
          <t>UPPSALA LÄN</t>
        </is>
      </c>
      <c r="E63" t="inlineStr">
        <is>
          <t>UPPSALA</t>
        </is>
      </c>
      <c r="F63" t="inlineStr">
        <is>
          <t>Allmännings- och besparingsskogar</t>
        </is>
      </c>
      <c r="G63" t="n">
        <v>11.5</v>
      </c>
      <c r="H63" t="n">
        <v>1</v>
      </c>
      <c r="I63" t="n">
        <v>1</v>
      </c>
      <c r="J63" t="n">
        <v>2</v>
      </c>
      <c r="K63" t="n">
        <v>1</v>
      </c>
      <c r="L63" t="n">
        <v>0</v>
      </c>
      <c r="M63" t="n">
        <v>0</v>
      </c>
      <c r="N63" t="n">
        <v>0</v>
      </c>
      <c r="O63" t="n">
        <v>3</v>
      </c>
      <c r="P63" t="n">
        <v>1</v>
      </c>
      <c r="Q63" t="n">
        <v>4</v>
      </c>
      <c r="R63" s="2" t="inlineStr">
        <is>
          <t>Knärot
Lunglav
Vedskivlav
Korallblylav</t>
        </is>
      </c>
      <c r="S63">
        <f>HYPERLINK("https://klasma.github.io/Logging_0380/artfynd/A 46533-2023 artfynd.xlsx", "A 46533-2023")</f>
        <v/>
      </c>
      <c r="T63">
        <f>HYPERLINK("https://klasma.github.io/Logging_0380/kartor/A 46533-2023 karta.png", "A 46533-2023")</f>
        <v/>
      </c>
      <c r="U63">
        <f>HYPERLINK("https://klasma.github.io/Logging_0380/knärot/A 46533-2023 karta knärot.png", "A 46533-2023")</f>
        <v/>
      </c>
      <c r="V63">
        <f>HYPERLINK("https://klasma.github.io/Logging_0380/klagomål/A 46533-2023 FSC-klagomål.docx", "A 46533-2023")</f>
        <v/>
      </c>
      <c r="W63">
        <f>HYPERLINK("https://klasma.github.io/Logging_0380/klagomålsmail/A 46533-2023 FSC-klagomål mail.docx", "A 46533-2023")</f>
        <v/>
      </c>
      <c r="X63">
        <f>HYPERLINK("https://klasma.github.io/Logging_0380/tillsyn/A 46533-2023 tillsynsbegäran.docx", "A 46533-2023")</f>
        <v/>
      </c>
      <c r="Y63">
        <f>HYPERLINK("https://klasma.github.io/Logging_0380/tillsynsmail/A 46533-2023 tillsynsbegäran mail.docx", "A 46533-2023")</f>
        <v/>
      </c>
    </row>
    <row r="64" ht="15" customHeight="1">
      <c r="A64" t="inlineStr">
        <is>
          <t>A 11217-2024</t>
        </is>
      </c>
      <c r="B64" s="1" t="n">
        <v>45371</v>
      </c>
      <c r="C64" s="1" t="n">
        <v>45584</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21809-2024</t>
        </is>
      </c>
      <c r="B65" s="1" t="n">
        <v>45442</v>
      </c>
      <c r="C65" s="1" t="n">
        <v>45584</v>
      </c>
      <c r="D65" t="inlineStr">
        <is>
          <t>UPPSALA LÄN</t>
        </is>
      </c>
      <c r="E65" t="inlineStr">
        <is>
          <t>UPPSALA</t>
        </is>
      </c>
      <c r="F65" t="inlineStr">
        <is>
          <t>Övriga statliga verk och myndigheter</t>
        </is>
      </c>
      <c r="G65" t="n">
        <v>6.6</v>
      </c>
      <c r="H65" t="n">
        <v>3</v>
      </c>
      <c r="I65" t="n">
        <v>1</v>
      </c>
      <c r="J65" t="n">
        <v>1</v>
      </c>
      <c r="K65" t="n">
        <v>0</v>
      </c>
      <c r="L65" t="n">
        <v>0</v>
      </c>
      <c r="M65" t="n">
        <v>0</v>
      </c>
      <c r="N65" t="n">
        <v>0</v>
      </c>
      <c r="O65" t="n">
        <v>1</v>
      </c>
      <c r="P65" t="n">
        <v>0</v>
      </c>
      <c r="Q65" t="n">
        <v>4</v>
      </c>
      <c r="R65" s="2" t="inlineStr">
        <is>
          <t>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23691-2024</t>
        </is>
      </c>
      <c r="B66" s="1" t="n">
        <v>45454</v>
      </c>
      <c r="C66" s="1" t="n">
        <v>45584</v>
      </c>
      <c r="D66" t="inlineStr">
        <is>
          <t>UPPSALA LÄN</t>
        </is>
      </c>
      <c r="E66" t="inlineStr">
        <is>
          <t>UPPSALA</t>
        </is>
      </c>
      <c r="F66" t="inlineStr">
        <is>
          <t>Holmen skog AB</t>
        </is>
      </c>
      <c r="G66" t="n">
        <v>2.2</v>
      </c>
      <c r="H66" t="n">
        <v>0</v>
      </c>
      <c r="I66" t="n">
        <v>1</v>
      </c>
      <c r="J66" t="n">
        <v>3</v>
      </c>
      <c r="K66" t="n">
        <v>0</v>
      </c>
      <c r="L66" t="n">
        <v>0</v>
      </c>
      <c r="M66" t="n">
        <v>0</v>
      </c>
      <c r="N66" t="n">
        <v>0</v>
      </c>
      <c r="O66" t="n">
        <v>3</v>
      </c>
      <c r="P66" t="n">
        <v>0</v>
      </c>
      <c r="Q66" t="n">
        <v>4</v>
      </c>
      <c r="R66" s="2" t="inlineStr">
        <is>
          <t>Ekticka
Lunglav
Skuggorangelav
Gulpudrad spiklav</t>
        </is>
      </c>
      <c r="S66">
        <f>HYPERLINK("https://klasma.github.io/Logging_0380/artfynd/A 23691-2024 artfynd.xlsx", "A 23691-2024")</f>
        <v/>
      </c>
      <c r="T66">
        <f>HYPERLINK("https://klasma.github.io/Logging_0380/kartor/A 23691-2024 karta.png", "A 23691-2024")</f>
        <v/>
      </c>
      <c r="V66">
        <f>HYPERLINK("https://klasma.github.io/Logging_0380/klagomål/A 23691-2024 FSC-klagomål.docx", "A 23691-2024")</f>
        <v/>
      </c>
      <c r="W66">
        <f>HYPERLINK("https://klasma.github.io/Logging_0380/klagomålsmail/A 23691-2024 FSC-klagomål mail.docx", "A 23691-2024")</f>
        <v/>
      </c>
      <c r="X66">
        <f>HYPERLINK("https://klasma.github.io/Logging_0380/tillsyn/A 23691-2024 tillsynsbegäran.docx", "A 23691-2024")</f>
        <v/>
      </c>
      <c r="Y66">
        <f>HYPERLINK("https://klasma.github.io/Logging_0380/tillsynsmail/A 23691-2024 tillsynsbegäran mail.docx", "A 23691-2024")</f>
        <v/>
      </c>
    </row>
    <row r="67" ht="15" customHeight="1">
      <c r="A67" t="inlineStr">
        <is>
          <t>A 23807-2024</t>
        </is>
      </c>
      <c r="B67" s="1" t="n">
        <v>45455</v>
      </c>
      <c r="C67" s="1" t="n">
        <v>45584</v>
      </c>
      <c r="D67" t="inlineStr">
        <is>
          <t>UPPSALA LÄN</t>
        </is>
      </c>
      <c r="E67" t="inlineStr">
        <is>
          <t>UPPSALA</t>
        </is>
      </c>
      <c r="F67" t="inlineStr">
        <is>
          <t>Holmen skog AB</t>
        </is>
      </c>
      <c r="G67" t="n">
        <v>8.800000000000001</v>
      </c>
      <c r="H67" t="n">
        <v>2</v>
      </c>
      <c r="I67" t="n">
        <v>2</v>
      </c>
      <c r="J67" t="n">
        <v>0</v>
      </c>
      <c r="K67" t="n">
        <v>0</v>
      </c>
      <c r="L67" t="n">
        <v>0</v>
      </c>
      <c r="M67" t="n">
        <v>0</v>
      </c>
      <c r="N67" t="n">
        <v>0</v>
      </c>
      <c r="O67" t="n">
        <v>0</v>
      </c>
      <c r="P67" t="n">
        <v>0</v>
      </c>
      <c r="Q67" t="n">
        <v>4</v>
      </c>
      <c r="R67" s="2" t="inlineStr">
        <is>
          <t>Sotlav
Underviol
Blåsippa
Gullviva</t>
        </is>
      </c>
      <c r="S67">
        <f>HYPERLINK("https://klasma.github.io/Logging_0380/artfynd/A 23807-2024 artfynd.xlsx", "A 23807-2024")</f>
        <v/>
      </c>
      <c r="T67">
        <f>HYPERLINK("https://klasma.github.io/Logging_0380/kartor/A 23807-2024 karta.png", "A 23807-2024")</f>
        <v/>
      </c>
      <c r="V67">
        <f>HYPERLINK("https://klasma.github.io/Logging_0380/klagomål/A 23807-2024 FSC-klagomål.docx", "A 23807-2024")</f>
        <v/>
      </c>
      <c r="W67">
        <f>HYPERLINK("https://klasma.github.io/Logging_0380/klagomålsmail/A 23807-2024 FSC-klagomål mail.docx", "A 23807-2024")</f>
        <v/>
      </c>
      <c r="X67">
        <f>HYPERLINK("https://klasma.github.io/Logging_0380/tillsyn/A 23807-2024 tillsynsbegäran.docx", "A 23807-2024")</f>
        <v/>
      </c>
      <c r="Y67">
        <f>HYPERLINK("https://klasma.github.io/Logging_0380/tillsynsmail/A 23807-2024 tillsynsbegäran mail.docx", "A 23807-2024")</f>
        <v/>
      </c>
    </row>
    <row r="68" ht="15" customHeight="1">
      <c r="A68" t="inlineStr">
        <is>
          <t>A 49258-2019</t>
        </is>
      </c>
      <c r="B68" s="1" t="n">
        <v>43731</v>
      </c>
      <c r="C68" s="1" t="n">
        <v>45584</v>
      </c>
      <c r="D68" t="inlineStr">
        <is>
          <t>UPPSALA LÄN</t>
        </is>
      </c>
      <c r="E68" t="inlineStr">
        <is>
          <t>UPPSALA</t>
        </is>
      </c>
      <c r="G68" t="n">
        <v>0.9</v>
      </c>
      <c r="H68" t="n">
        <v>0</v>
      </c>
      <c r="I68" t="n">
        <v>0</v>
      </c>
      <c r="J68" t="n">
        <v>1</v>
      </c>
      <c r="K68" t="n">
        <v>2</v>
      </c>
      <c r="L68" t="n">
        <v>0</v>
      </c>
      <c r="M68" t="n">
        <v>0</v>
      </c>
      <c r="N68" t="n">
        <v>0</v>
      </c>
      <c r="O68" t="n">
        <v>3</v>
      </c>
      <c r="P68" t="n">
        <v>2</v>
      </c>
      <c r="Q68" t="n">
        <v>3</v>
      </c>
      <c r="R68" s="2" t="inlineStr">
        <is>
          <t>Liten blekspik
Ostticka
Vedtrappmossa</t>
        </is>
      </c>
      <c r="S68">
        <f>HYPERLINK("https://klasma.github.io/Logging_0380/artfynd/A 49258-2019 artfynd.xlsx", "A 49258-2019")</f>
        <v/>
      </c>
      <c r="T68">
        <f>HYPERLINK("https://klasma.github.io/Logging_0380/kartor/A 49258-2019 karta.png", "A 49258-2019")</f>
        <v/>
      </c>
      <c r="V68">
        <f>HYPERLINK("https://klasma.github.io/Logging_0380/klagomål/A 49258-2019 FSC-klagomål.docx", "A 49258-2019")</f>
        <v/>
      </c>
      <c r="W68">
        <f>HYPERLINK("https://klasma.github.io/Logging_0380/klagomålsmail/A 49258-2019 FSC-klagomål mail.docx", "A 49258-2019")</f>
        <v/>
      </c>
      <c r="X68">
        <f>HYPERLINK("https://klasma.github.io/Logging_0380/tillsyn/A 49258-2019 tillsynsbegäran.docx", "A 49258-2019")</f>
        <v/>
      </c>
      <c r="Y68">
        <f>HYPERLINK("https://klasma.github.io/Logging_0380/tillsynsmail/A 49258-2019 tillsynsbegäran mail.docx", "A 49258-2019")</f>
        <v/>
      </c>
    </row>
    <row r="69" ht="15" customHeight="1">
      <c r="A69" t="inlineStr">
        <is>
          <t>A 63909-2019</t>
        </is>
      </c>
      <c r="B69" s="1" t="n">
        <v>43796</v>
      </c>
      <c r="C69" s="1" t="n">
        <v>45584</v>
      </c>
      <c r="D69" t="inlineStr">
        <is>
          <t>UPPSALA LÄN</t>
        </is>
      </c>
      <c r="E69" t="inlineStr">
        <is>
          <t>UPPSALA</t>
        </is>
      </c>
      <c r="F69" t="inlineStr">
        <is>
          <t>Holmen skog AB</t>
        </is>
      </c>
      <c r="G69" t="n">
        <v>3.8</v>
      </c>
      <c r="H69" t="n">
        <v>0</v>
      </c>
      <c r="I69" t="n">
        <v>0</v>
      </c>
      <c r="J69" t="n">
        <v>3</v>
      </c>
      <c r="K69" t="n">
        <v>0</v>
      </c>
      <c r="L69" t="n">
        <v>0</v>
      </c>
      <c r="M69" t="n">
        <v>0</v>
      </c>
      <c r="N69" t="n">
        <v>0</v>
      </c>
      <c r="O69" t="n">
        <v>3</v>
      </c>
      <c r="P69" t="n">
        <v>0</v>
      </c>
      <c r="Q69" t="n">
        <v>3</v>
      </c>
      <c r="R69" s="2" t="inlineStr">
        <is>
          <t>Ekticka
Rödbrun blekspik
Skuggorangelav</t>
        </is>
      </c>
      <c r="S69">
        <f>HYPERLINK("https://klasma.github.io/Logging_0380/artfynd/A 63909-2019 artfynd.xlsx", "A 63909-2019")</f>
        <v/>
      </c>
      <c r="T69">
        <f>HYPERLINK("https://klasma.github.io/Logging_0380/kartor/A 63909-2019 karta.png", "A 63909-2019")</f>
        <v/>
      </c>
      <c r="V69">
        <f>HYPERLINK("https://klasma.github.io/Logging_0380/klagomål/A 63909-2019 FSC-klagomål.docx", "A 63909-2019")</f>
        <v/>
      </c>
      <c r="W69">
        <f>HYPERLINK("https://klasma.github.io/Logging_0380/klagomålsmail/A 63909-2019 FSC-klagomål mail.docx", "A 63909-2019")</f>
        <v/>
      </c>
      <c r="X69">
        <f>HYPERLINK("https://klasma.github.io/Logging_0380/tillsyn/A 63909-2019 tillsynsbegäran.docx", "A 63909-2019")</f>
        <v/>
      </c>
      <c r="Y69">
        <f>HYPERLINK("https://klasma.github.io/Logging_0380/tillsynsmail/A 63909-2019 tillsynsbegäran mail.docx", "A 63909-2019")</f>
        <v/>
      </c>
    </row>
    <row r="70" ht="15" customHeight="1">
      <c r="A70" t="inlineStr">
        <is>
          <t>A 56107-2020</t>
        </is>
      </c>
      <c r="B70" s="1" t="n">
        <v>44133</v>
      </c>
      <c r="C70" s="1" t="n">
        <v>45584</v>
      </c>
      <c r="D70" t="inlineStr">
        <is>
          <t>UPPSALA LÄN</t>
        </is>
      </c>
      <c r="E70" t="inlineStr">
        <is>
          <t>UPPSALA</t>
        </is>
      </c>
      <c r="F70" t="inlineStr">
        <is>
          <t>Allmännings- och besparingsskogar</t>
        </is>
      </c>
      <c r="G70" t="n">
        <v>45.6</v>
      </c>
      <c r="H70" t="n">
        <v>3</v>
      </c>
      <c r="I70" t="n">
        <v>0</v>
      </c>
      <c r="J70" t="n">
        <v>1</v>
      </c>
      <c r="K70" t="n">
        <v>0</v>
      </c>
      <c r="L70" t="n">
        <v>0</v>
      </c>
      <c r="M70" t="n">
        <v>0</v>
      </c>
      <c r="N70" t="n">
        <v>0</v>
      </c>
      <c r="O70" t="n">
        <v>1</v>
      </c>
      <c r="P70" t="n">
        <v>0</v>
      </c>
      <c r="Q70" t="n">
        <v>3</v>
      </c>
      <c r="R70" s="2" t="inlineStr">
        <is>
          <t>Nordfladdermus
Dvärgpipistrell
Vattenfladdermus</t>
        </is>
      </c>
      <c r="S70">
        <f>HYPERLINK("https://klasma.github.io/Logging_0380/artfynd/A 56107-2020 artfynd.xlsx", "A 56107-2020")</f>
        <v/>
      </c>
      <c r="T70">
        <f>HYPERLINK("https://klasma.github.io/Logging_0380/kartor/A 56107-2020 karta.png", "A 56107-2020")</f>
        <v/>
      </c>
      <c r="V70">
        <f>HYPERLINK("https://klasma.github.io/Logging_0380/klagomål/A 56107-2020 FSC-klagomål.docx", "A 56107-2020")</f>
        <v/>
      </c>
      <c r="W70">
        <f>HYPERLINK("https://klasma.github.io/Logging_0380/klagomålsmail/A 56107-2020 FSC-klagomål mail.docx", "A 56107-2020")</f>
        <v/>
      </c>
      <c r="X70">
        <f>HYPERLINK("https://klasma.github.io/Logging_0380/tillsyn/A 56107-2020 tillsynsbegäran.docx", "A 56107-2020")</f>
        <v/>
      </c>
      <c r="Y70">
        <f>HYPERLINK("https://klasma.github.io/Logging_0380/tillsynsmail/A 56107-2020 tillsynsbegäran mail.docx", "A 56107-2020")</f>
        <v/>
      </c>
    </row>
    <row r="71" ht="15" customHeight="1">
      <c r="A71" t="inlineStr">
        <is>
          <t>A 60038-2021</t>
        </is>
      </c>
      <c r="B71" s="1" t="n">
        <v>44495</v>
      </c>
      <c r="C71" s="1" t="n">
        <v>45584</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14313-2022</t>
        </is>
      </c>
      <c r="B72" s="1" t="n">
        <v>44652</v>
      </c>
      <c r="C72" s="1" t="n">
        <v>45584</v>
      </c>
      <c r="D72" t="inlineStr">
        <is>
          <t>UPPSALA LÄN</t>
        </is>
      </c>
      <c r="E72" t="inlineStr">
        <is>
          <t>UPPSALA</t>
        </is>
      </c>
      <c r="F72" t="inlineStr">
        <is>
          <t>Holmen skog AB</t>
        </is>
      </c>
      <c r="G72" t="n">
        <v>1.7</v>
      </c>
      <c r="H72" t="n">
        <v>2</v>
      </c>
      <c r="I72" t="n">
        <v>1</v>
      </c>
      <c r="J72" t="n">
        <v>0</v>
      </c>
      <c r="K72" t="n">
        <v>0</v>
      </c>
      <c r="L72" t="n">
        <v>0</v>
      </c>
      <c r="M72" t="n">
        <v>0</v>
      </c>
      <c r="N72" t="n">
        <v>0</v>
      </c>
      <c r="O72" t="n">
        <v>0</v>
      </c>
      <c r="P72" t="n">
        <v>0</v>
      </c>
      <c r="Q72" t="n">
        <v>3</v>
      </c>
      <c r="R72" s="2" t="inlineStr">
        <is>
          <t>Vätteros
Blåsippa
Gullviva</t>
        </is>
      </c>
      <c r="S72">
        <f>HYPERLINK("https://klasma.github.io/Logging_0380/artfynd/A 14313-2022 artfynd.xlsx", "A 14313-2022")</f>
        <v/>
      </c>
      <c r="T72">
        <f>HYPERLINK("https://klasma.github.io/Logging_0380/kartor/A 14313-2022 karta.png", "A 14313-2022")</f>
        <v/>
      </c>
      <c r="V72">
        <f>HYPERLINK("https://klasma.github.io/Logging_0380/klagomål/A 14313-2022 FSC-klagomål.docx", "A 14313-2022")</f>
        <v/>
      </c>
      <c r="W72">
        <f>HYPERLINK("https://klasma.github.io/Logging_0380/klagomålsmail/A 14313-2022 FSC-klagomål mail.docx", "A 14313-2022")</f>
        <v/>
      </c>
      <c r="X72">
        <f>HYPERLINK("https://klasma.github.io/Logging_0380/tillsyn/A 14313-2022 tillsynsbegäran.docx", "A 14313-2022")</f>
        <v/>
      </c>
      <c r="Y72">
        <f>HYPERLINK("https://klasma.github.io/Logging_0380/tillsynsmail/A 14313-2022 tillsynsbegäran mail.docx", "A 14313-2022")</f>
        <v/>
      </c>
    </row>
    <row r="73" ht="15" customHeight="1">
      <c r="A73" t="inlineStr">
        <is>
          <t>A 18079-2022</t>
        </is>
      </c>
      <c r="B73" s="1" t="n">
        <v>44684</v>
      </c>
      <c r="C73" s="1" t="n">
        <v>45584</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19373-2022</t>
        </is>
      </c>
      <c r="B74" s="1" t="n">
        <v>44692</v>
      </c>
      <c r="C74" s="1" t="n">
        <v>45584</v>
      </c>
      <c r="D74" t="inlineStr">
        <is>
          <t>UPPSALA LÄN</t>
        </is>
      </c>
      <c r="E74" t="inlineStr">
        <is>
          <t>UPPSALA</t>
        </is>
      </c>
      <c r="F74" t="inlineStr">
        <is>
          <t>Bergvik skog öst AB</t>
        </is>
      </c>
      <c r="G74" t="n">
        <v>12.2</v>
      </c>
      <c r="H74" t="n">
        <v>1</v>
      </c>
      <c r="I74" t="n">
        <v>1</v>
      </c>
      <c r="J74" t="n">
        <v>0</v>
      </c>
      <c r="K74" t="n">
        <v>0</v>
      </c>
      <c r="L74" t="n">
        <v>1</v>
      </c>
      <c r="M74" t="n">
        <v>0</v>
      </c>
      <c r="N74" t="n">
        <v>0</v>
      </c>
      <c r="O74" t="n">
        <v>1</v>
      </c>
      <c r="P74" t="n">
        <v>1</v>
      </c>
      <c r="Q74" t="n">
        <v>3</v>
      </c>
      <c r="R74" s="2" t="inlineStr">
        <is>
          <t>Ask
Sårläka
Blåsippa</t>
        </is>
      </c>
      <c r="S74">
        <f>HYPERLINK("https://klasma.github.io/Logging_0380/artfynd/A 19373-2022 artfynd.xlsx", "A 19373-2022")</f>
        <v/>
      </c>
      <c r="T74">
        <f>HYPERLINK("https://klasma.github.io/Logging_0380/kartor/A 19373-2022 karta.png", "A 19373-2022")</f>
        <v/>
      </c>
      <c r="V74">
        <f>HYPERLINK("https://klasma.github.io/Logging_0380/klagomål/A 19373-2022 FSC-klagomål.docx", "A 19373-2022")</f>
        <v/>
      </c>
      <c r="W74">
        <f>HYPERLINK("https://klasma.github.io/Logging_0380/klagomålsmail/A 19373-2022 FSC-klagomål mail.docx", "A 19373-2022")</f>
        <v/>
      </c>
      <c r="X74">
        <f>HYPERLINK("https://klasma.github.io/Logging_0380/tillsyn/A 19373-2022 tillsynsbegäran.docx", "A 19373-2022")</f>
        <v/>
      </c>
      <c r="Y74">
        <f>HYPERLINK("https://klasma.github.io/Logging_0380/tillsynsmail/A 19373-2022 tillsynsbegäran mail.docx", "A 19373-2022")</f>
        <v/>
      </c>
    </row>
    <row r="75" ht="15" customHeight="1">
      <c r="A75" t="inlineStr">
        <is>
          <t>A 34147-2022</t>
        </is>
      </c>
      <c r="B75" s="1" t="n">
        <v>44791</v>
      </c>
      <c r="C75" s="1" t="n">
        <v>45584</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36471-2022</t>
        </is>
      </c>
      <c r="B76" s="1" t="n">
        <v>44804</v>
      </c>
      <c r="C76" s="1" t="n">
        <v>45584</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4586-2023</t>
        </is>
      </c>
      <c r="B77" s="1" t="n">
        <v>44956</v>
      </c>
      <c r="C77" s="1" t="n">
        <v>45584</v>
      </c>
      <c r="D77" t="inlineStr">
        <is>
          <t>UPPSALA LÄN</t>
        </is>
      </c>
      <c r="E77" t="inlineStr">
        <is>
          <t>UPPSALA</t>
        </is>
      </c>
      <c r="G77" t="n">
        <v>12.2</v>
      </c>
      <c r="H77" t="n">
        <v>1</v>
      </c>
      <c r="I77" t="n">
        <v>2</v>
      </c>
      <c r="J77" t="n">
        <v>0</v>
      </c>
      <c r="K77" t="n">
        <v>0</v>
      </c>
      <c r="L77" t="n">
        <v>0</v>
      </c>
      <c r="M77" t="n">
        <v>0</v>
      </c>
      <c r="N77" t="n">
        <v>0</v>
      </c>
      <c r="O77" t="n">
        <v>0</v>
      </c>
      <c r="P77" t="n">
        <v>0</v>
      </c>
      <c r="Q77" t="n">
        <v>3</v>
      </c>
      <c r="R77" s="2" t="inlineStr">
        <is>
          <t>Barkticka
Vedticka
Vanlig padda</t>
        </is>
      </c>
      <c r="S77">
        <f>HYPERLINK("https://klasma.github.io/Logging_0380/artfynd/A 4586-2023 artfynd.xlsx", "A 4586-2023")</f>
        <v/>
      </c>
      <c r="T77">
        <f>HYPERLINK("https://klasma.github.io/Logging_0380/kartor/A 4586-2023 karta.png", "A 4586-2023")</f>
        <v/>
      </c>
      <c r="V77">
        <f>HYPERLINK("https://klasma.github.io/Logging_0380/klagomål/A 4586-2023 FSC-klagomål.docx", "A 4586-2023")</f>
        <v/>
      </c>
      <c r="W77">
        <f>HYPERLINK("https://klasma.github.io/Logging_0380/klagomålsmail/A 4586-2023 FSC-klagomål mail.docx", "A 4586-2023")</f>
        <v/>
      </c>
      <c r="X77">
        <f>HYPERLINK("https://klasma.github.io/Logging_0380/tillsyn/A 4586-2023 tillsynsbegäran.docx", "A 4586-2023")</f>
        <v/>
      </c>
      <c r="Y77">
        <f>HYPERLINK("https://klasma.github.io/Logging_0380/tillsynsmail/A 4586-2023 tillsynsbegäran mail.docx", "A 4586-2023")</f>
        <v/>
      </c>
    </row>
    <row r="78" ht="15" customHeight="1">
      <c r="A78" t="inlineStr">
        <is>
          <t>A 7752-2023</t>
        </is>
      </c>
      <c r="B78" s="1" t="n">
        <v>44973</v>
      </c>
      <c r="C78" s="1" t="n">
        <v>45584</v>
      </c>
      <c r="D78" t="inlineStr">
        <is>
          <t>UPPSALA LÄN</t>
        </is>
      </c>
      <c r="E78" t="inlineStr">
        <is>
          <t>UPPSALA</t>
        </is>
      </c>
      <c r="F78" t="inlineStr">
        <is>
          <t>Sveaskog</t>
        </is>
      </c>
      <c r="G78" t="n">
        <v>0.6</v>
      </c>
      <c r="H78" t="n">
        <v>1</v>
      </c>
      <c r="I78" t="n">
        <v>2</v>
      </c>
      <c r="J78" t="n">
        <v>0</v>
      </c>
      <c r="K78" t="n">
        <v>0</v>
      </c>
      <c r="L78" t="n">
        <v>0</v>
      </c>
      <c r="M78" t="n">
        <v>0</v>
      </c>
      <c r="N78" t="n">
        <v>0</v>
      </c>
      <c r="O78" t="n">
        <v>0</v>
      </c>
      <c r="P78" t="n">
        <v>0</v>
      </c>
      <c r="Q78" t="n">
        <v>3</v>
      </c>
      <c r="R78" s="2" t="inlineStr">
        <is>
          <t>Fjällig taggsvamp s.str.
Skogshakmossa
Blåsippa</t>
        </is>
      </c>
      <c r="S78">
        <f>HYPERLINK("https://klasma.github.io/Logging_0380/artfynd/A 7752-2023 artfynd.xlsx", "A 7752-2023")</f>
        <v/>
      </c>
      <c r="T78">
        <f>HYPERLINK("https://klasma.github.io/Logging_0380/kartor/A 7752-2023 karta.png", "A 7752-2023")</f>
        <v/>
      </c>
      <c r="V78">
        <f>HYPERLINK("https://klasma.github.io/Logging_0380/klagomål/A 7752-2023 FSC-klagomål.docx", "A 7752-2023")</f>
        <v/>
      </c>
      <c r="W78">
        <f>HYPERLINK("https://klasma.github.io/Logging_0380/klagomålsmail/A 7752-2023 FSC-klagomål mail.docx", "A 7752-2023")</f>
        <v/>
      </c>
      <c r="X78">
        <f>HYPERLINK("https://klasma.github.io/Logging_0380/tillsyn/A 7752-2023 tillsynsbegäran.docx", "A 7752-2023")</f>
        <v/>
      </c>
      <c r="Y78">
        <f>HYPERLINK("https://klasma.github.io/Logging_0380/tillsynsmail/A 7752-2023 tillsynsbegäran mail.docx", "A 7752-2023")</f>
        <v/>
      </c>
    </row>
    <row r="79" ht="15" customHeight="1">
      <c r="A79" t="inlineStr">
        <is>
          <t>A 25943-2023</t>
        </is>
      </c>
      <c r="B79" s="1" t="n">
        <v>45090</v>
      </c>
      <c r="C79" s="1" t="n">
        <v>45584</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43942-2023</t>
        </is>
      </c>
      <c r="B80" s="1" t="n">
        <v>45187</v>
      </c>
      <c r="C80" s="1" t="n">
        <v>45584</v>
      </c>
      <c r="D80" t="inlineStr">
        <is>
          <t>UPPSALA LÄN</t>
        </is>
      </c>
      <c r="E80" t="inlineStr">
        <is>
          <t>UPPSALA</t>
        </is>
      </c>
      <c r="F80" t="inlineStr">
        <is>
          <t>Allmännings- och besparingsskogar</t>
        </is>
      </c>
      <c r="G80" t="n">
        <v>31.6</v>
      </c>
      <c r="H80" t="n">
        <v>3</v>
      </c>
      <c r="I80" t="n">
        <v>1</v>
      </c>
      <c r="J80" t="n">
        <v>1</v>
      </c>
      <c r="K80" t="n">
        <v>0</v>
      </c>
      <c r="L80" t="n">
        <v>0</v>
      </c>
      <c r="M80" t="n">
        <v>1</v>
      </c>
      <c r="N80" t="n">
        <v>0</v>
      </c>
      <c r="O80" t="n">
        <v>2</v>
      </c>
      <c r="P80" t="n">
        <v>1</v>
      </c>
      <c r="Q80" t="n">
        <v>3</v>
      </c>
      <c r="R80" s="2" t="inlineStr">
        <is>
          <t>Vedtrådmossa
Slaguggla
Grön sköldmossa</t>
        </is>
      </c>
      <c r="S80">
        <f>HYPERLINK("https://klasma.github.io/Logging_0380/artfynd/A 43942-2023 artfynd.xlsx", "A 43942-2023")</f>
        <v/>
      </c>
      <c r="T80">
        <f>HYPERLINK("https://klasma.github.io/Logging_0380/kartor/A 43942-2023 karta.png", "A 43942-2023")</f>
        <v/>
      </c>
      <c r="V80">
        <f>HYPERLINK("https://klasma.github.io/Logging_0380/klagomål/A 43942-2023 FSC-klagomål.docx", "A 43942-2023")</f>
        <v/>
      </c>
      <c r="W80">
        <f>HYPERLINK("https://klasma.github.io/Logging_0380/klagomålsmail/A 43942-2023 FSC-klagomål mail.docx", "A 43942-2023")</f>
        <v/>
      </c>
      <c r="X80">
        <f>HYPERLINK("https://klasma.github.io/Logging_0380/tillsyn/A 43942-2023 tillsynsbegäran.docx", "A 43942-2023")</f>
        <v/>
      </c>
      <c r="Y80">
        <f>HYPERLINK("https://klasma.github.io/Logging_0380/tillsynsmail/A 43942-2023 tillsynsbegäran mail.docx", "A 43942-2023")</f>
        <v/>
      </c>
      <c r="Z80">
        <f>HYPERLINK("https://klasma.github.io/Logging_0380/fåglar/A 43942-2023 prioriterade fågelarter.docx", "A 43942-2023")</f>
        <v/>
      </c>
    </row>
    <row r="81" ht="15" customHeight="1">
      <c r="A81" t="inlineStr">
        <is>
          <t>A 39228-2024</t>
        </is>
      </c>
      <c r="B81" s="1" t="n">
        <v>45550</v>
      </c>
      <c r="C81" s="1" t="n">
        <v>45584</v>
      </c>
      <c r="D81" t="inlineStr">
        <is>
          <t>UPPSALA LÄN</t>
        </is>
      </c>
      <c r="E81" t="inlineStr">
        <is>
          <t>UPPSALA</t>
        </is>
      </c>
      <c r="G81" t="n">
        <v>2</v>
      </c>
      <c r="H81" t="n">
        <v>2</v>
      </c>
      <c r="I81" t="n">
        <v>1</v>
      </c>
      <c r="J81" t="n">
        <v>0</v>
      </c>
      <c r="K81" t="n">
        <v>0</v>
      </c>
      <c r="L81" t="n">
        <v>0</v>
      </c>
      <c r="M81" t="n">
        <v>0</v>
      </c>
      <c r="N81" t="n">
        <v>0</v>
      </c>
      <c r="O81" t="n">
        <v>0</v>
      </c>
      <c r="P81" t="n">
        <v>0</v>
      </c>
      <c r="Q81" t="n">
        <v>3</v>
      </c>
      <c r="R81" s="2" t="inlineStr">
        <is>
          <t>Sotlav
Fläcknycklar
Blåsippa</t>
        </is>
      </c>
      <c r="S81">
        <f>HYPERLINK("https://klasma.github.io/Logging_0380/artfynd/A 39228-2024 artfynd.xlsx", "A 39228-2024")</f>
        <v/>
      </c>
      <c r="T81">
        <f>HYPERLINK("https://klasma.github.io/Logging_0380/kartor/A 39228-2024 karta.png", "A 39228-2024")</f>
        <v/>
      </c>
      <c r="V81">
        <f>HYPERLINK("https://klasma.github.io/Logging_0380/klagomål/A 39228-2024 FSC-klagomål.docx", "A 39228-2024")</f>
        <v/>
      </c>
      <c r="W81">
        <f>HYPERLINK("https://klasma.github.io/Logging_0380/klagomålsmail/A 39228-2024 FSC-klagomål mail.docx", "A 39228-2024")</f>
        <v/>
      </c>
      <c r="X81">
        <f>HYPERLINK("https://klasma.github.io/Logging_0380/tillsyn/A 39228-2024 tillsynsbegäran.docx", "A 39228-2024")</f>
        <v/>
      </c>
      <c r="Y81">
        <f>HYPERLINK("https://klasma.github.io/Logging_0380/tillsynsmail/A 39228-2024 tillsynsbegäran mail.docx", "A 39228-2024")</f>
        <v/>
      </c>
    </row>
    <row r="82" ht="15" customHeight="1">
      <c r="A82" t="inlineStr">
        <is>
          <t>A 46735-2024</t>
        </is>
      </c>
      <c r="B82" s="1" t="n">
        <v>45583</v>
      </c>
      <c r="C82" s="1" t="n">
        <v>45584</v>
      </c>
      <c r="D82" t="inlineStr">
        <is>
          <t>UPPSALA LÄN</t>
        </is>
      </c>
      <c r="E82" t="inlineStr">
        <is>
          <t>UPPSALA</t>
        </is>
      </c>
      <c r="F82" t="inlineStr">
        <is>
          <t>Sveaskog</t>
        </is>
      </c>
      <c r="G82" t="n">
        <v>2.3</v>
      </c>
      <c r="H82" t="n">
        <v>1</v>
      </c>
      <c r="I82" t="n">
        <v>1</v>
      </c>
      <c r="J82" t="n">
        <v>1</v>
      </c>
      <c r="K82" t="n">
        <v>1</v>
      </c>
      <c r="L82" t="n">
        <v>0</v>
      </c>
      <c r="M82" t="n">
        <v>0</v>
      </c>
      <c r="N82" t="n">
        <v>0</v>
      </c>
      <c r="O82" t="n">
        <v>2</v>
      </c>
      <c r="P82" t="n">
        <v>1</v>
      </c>
      <c r="Q82" t="n">
        <v>3</v>
      </c>
      <c r="R82" s="2" t="inlineStr">
        <is>
          <t>Knärot
Vedtrappmossa
Mörk husmossa</t>
        </is>
      </c>
      <c r="S82">
        <f>HYPERLINK("https://klasma.github.io/Logging_0380/artfynd/A 46735-2024 artfynd.xlsx", "A 46735-2024")</f>
        <v/>
      </c>
      <c r="T82">
        <f>HYPERLINK("https://klasma.github.io/Logging_0380/kartor/A 46735-2024 karta.png", "A 46735-2024")</f>
        <v/>
      </c>
      <c r="U82">
        <f>HYPERLINK("https://klasma.github.io/Logging_0380/knärot/A 46735-2024 karta knärot.png", "A 46735-2024")</f>
        <v/>
      </c>
      <c r="V82">
        <f>HYPERLINK("https://klasma.github.io/Logging_0380/klagomål/A 46735-2024 FSC-klagomål.docx", "A 46735-2024")</f>
        <v/>
      </c>
      <c r="W82">
        <f>HYPERLINK("https://klasma.github.io/Logging_0380/klagomålsmail/A 46735-2024 FSC-klagomål mail.docx", "A 46735-2024")</f>
        <v/>
      </c>
      <c r="X82">
        <f>HYPERLINK("https://klasma.github.io/Logging_0380/tillsyn/A 46735-2024 tillsynsbegäran.docx", "A 46735-2024")</f>
        <v/>
      </c>
      <c r="Y82">
        <f>HYPERLINK("https://klasma.github.io/Logging_0380/tillsynsmail/A 46735-2024 tillsynsbegäran mail.docx", "A 46735-2024")</f>
        <v/>
      </c>
    </row>
    <row r="83" ht="15" customHeight="1">
      <c r="A83" t="inlineStr">
        <is>
          <t>A 25607-2019</t>
        </is>
      </c>
      <c r="B83" s="1" t="n">
        <v>43607</v>
      </c>
      <c r="C83" s="1" t="n">
        <v>45584</v>
      </c>
      <c r="D83" t="inlineStr">
        <is>
          <t>UPPSALA LÄN</t>
        </is>
      </c>
      <c r="E83" t="inlineStr">
        <is>
          <t>UPPSALA</t>
        </is>
      </c>
      <c r="G83" t="n">
        <v>1.1</v>
      </c>
      <c r="H83" t="n">
        <v>2</v>
      </c>
      <c r="I83" t="n">
        <v>0</v>
      </c>
      <c r="J83" t="n">
        <v>0</v>
      </c>
      <c r="K83" t="n">
        <v>0</v>
      </c>
      <c r="L83" t="n">
        <v>0</v>
      </c>
      <c r="M83" t="n">
        <v>0</v>
      </c>
      <c r="N83" t="n">
        <v>0</v>
      </c>
      <c r="O83" t="n">
        <v>0</v>
      </c>
      <c r="P83" t="n">
        <v>0</v>
      </c>
      <c r="Q83" t="n">
        <v>2</v>
      </c>
      <c r="R83" s="2" t="inlineStr">
        <is>
          <t>Större vattensalamander
Mindre vattensalamander</t>
        </is>
      </c>
      <c r="S83">
        <f>HYPERLINK("https://klasma.github.io/Logging_0380/artfynd/A 25607-2019 artfynd.xlsx", "A 25607-2019")</f>
        <v/>
      </c>
      <c r="T83">
        <f>HYPERLINK("https://klasma.github.io/Logging_0380/kartor/A 25607-2019 karta.png", "A 25607-2019")</f>
        <v/>
      </c>
      <c r="V83">
        <f>HYPERLINK("https://klasma.github.io/Logging_0380/klagomål/A 25607-2019 FSC-klagomål.docx", "A 25607-2019")</f>
        <v/>
      </c>
      <c r="W83">
        <f>HYPERLINK("https://klasma.github.io/Logging_0380/klagomålsmail/A 25607-2019 FSC-klagomål mail.docx", "A 25607-2019")</f>
        <v/>
      </c>
      <c r="X83">
        <f>HYPERLINK("https://klasma.github.io/Logging_0380/tillsyn/A 25607-2019 tillsynsbegäran.docx", "A 25607-2019")</f>
        <v/>
      </c>
      <c r="Y83">
        <f>HYPERLINK("https://klasma.github.io/Logging_0380/tillsynsmail/A 25607-2019 tillsynsbegäran mail.docx", "A 25607-2019")</f>
        <v/>
      </c>
    </row>
    <row r="84" ht="15" customHeight="1">
      <c r="A84" t="inlineStr">
        <is>
          <t>A 34066-2019</t>
        </is>
      </c>
      <c r="B84" s="1" t="n">
        <v>43654</v>
      </c>
      <c r="C84" s="1" t="n">
        <v>45584</v>
      </c>
      <c r="D84" t="inlineStr">
        <is>
          <t>UPPSALA LÄN</t>
        </is>
      </c>
      <c r="E84" t="inlineStr">
        <is>
          <t>UPPSALA</t>
        </is>
      </c>
      <c r="G84" t="n">
        <v>1.3</v>
      </c>
      <c r="H84" t="n">
        <v>0</v>
      </c>
      <c r="I84" t="n">
        <v>0</v>
      </c>
      <c r="J84" t="n">
        <v>2</v>
      </c>
      <c r="K84" t="n">
        <v>0</v>
      </c>
      <c r="L84" t="n">
        <v>0</v>
      </c>
      <c r="M84" t="n">
        <v>0</v>
      </c>
      <c r="N84" t="n">
        <v>0</v>
      </c>
      <c r="O84" t="n">
        <v>2</v>
      </c>
      <c r="P84" t="n">
        <v>0</v>
      </c>
      <c r="Q84" t="n">
        <v>2</v>
      </c>
      <c r="R84" s="2" t="inlineStr">
        <is>
          <t>Asppraktbagge
Grön aspvedbock</t>
        </is>
      </c>
      <c r="S84">
        <f>HYPERLINK("https://klasma.github.io/Logging_0380/artfynd/A 34066-2019 artfynd.xlsx", "A 34066-2019")</f>
        <v/>
      </c>
      <c r="T84">
        <f>HYPERLINK("https://klasma.github.io/Logging_0380/kartor/A 34066-2019 karta.png", "A 34066-2019")</f>
        <v/>
      </c>
      <c r="V84">
        <f>HYPERLINK("https://klasma.github.io/Logging_0380/klagomål/A 34066-2019 FSC-klagomål.docx", "A 34066-2019")</f>
        <v/>
      </c>
      <c r="W84">
        <f>HYPERLINK("https://klasma.github.io/Logging_0380/klagomålsmail/A 34066-2019 FSC-klagomål mail.docx", "A 34066-2019")</f>
        <v/>
      </c>
      <c r="X84">
        <f>HYPERLINK("https://klasma.github.io/Logging_0380/tillsyn/A 34066-2019 tillsynsbegäran.docx", "A 34066-2019")</f>
        <v/>
      </c>
      <c r="Y84">
        <f>HYPERLINK("https://klasma.github.io/Logging_0380/tillsynsmail/A 34066-2019 tillsynsbegäran mail.docx", "A 34066-2019")</f>
        <v/>
      </c>
    </row>
    <row r="85" ht="15" customHeight="1">
      <c r="A85" t="inlineStr">
        <is>
          <t>A 52165-2019</t>
        </is>
      </c>
      <c r="B85" s="1" t="n">
        <v>43742</v>
      </c>
      <c r="C85" s="1" t="n">
        <v>45584</v>
      </c>
      <c r="D85" t="inlineStr">
        <is>
          <t>UPPSALA LÄN</t>
        </is>
      </c>
      <c r="E85" t="inlineStr">
        <is>
          <t>UPPSALA</t>
        </is>
      </c>
      <c r="F85" t="inlineStr">
        <is>
          <t>Allmännings- och besparingsskogar</t>
        </is>
      </c>
      <c r="G85" t="n">
        <v>28.7</v>
      </c>
      <c r="H85" t="n">
        <v>2</v>
      </c>
      <c r="I85" t="n">
        <v>2</v>
      </c>
      <c r="J85" t="n">
        <v>0</v>
      </c>
      <c r="K85" t="n">
        <v>0</v>
      </c>
      <c r="L85" t="n">
        <v>0</v>
      </c>
      <c r="M85" t="n">
        <v>0</v>
      </c>
      <c r="N85" t="n">
        <v>0</v>
      </c>
      <c r="O85" t="n">
        <v>0</v>
      </c>
      <c r="P85" t="n">
        <v>0</v>
      </c>
      <c r="Q85" t="n">
        <v>2</v>
      </c>
      <c r="R85" s="2" t="inlineStr">
        <is>
          <t>Korallrot
Spindelblomster</t>
        </is>
      </c>
      <c r="S85">
        <f>HYPERLINK("https://klasma.github.io/Logging_0380/artfynd/A 52165-2019 artfynd.xlsx", "A 52165-2019")</f>
        <v/>
      </c>
      <c r="T85">
        <f>HYPERLINK("https://klasma.github.io/Logging_0380/kartor/A 52165-2019 karta.png", "A 52165-2019")</f>
        <v/>
      </c>
      <c r="V85">
        <f>HYPERLINK("https://klasma.github.io/Logging_0380/klagomål/A 52165-2019 FSC-klagomål.docx", "A 52165-2019")</f>
        <v/>
      </c>
      <c r="W85">
        <f>HYPERLINK("https://klasma.github.io/Logging_0380/klagomålsmail/A 52165-2019 FSC-klagomål mail.docx", "A 52165-2019")</f>
        <v/>
      </c>
      <c r="X85">
        <f>HYPERLINK("https://klasma.github.io/Logging_0380/tillsyn/A 52165-2019 tillsynsbegäran.docx", "A 52165-2019")</f>
        <v/>
      </c>
      <c r="Y85">
        <f>HYPERLINK("https://klasma.github.io/Logging_0380/tillsynsmail/A 52165-2019 tillsynsbegäran mail.docx", "A 52165-2019")</f>
        <v/>
      </c>
    </row>
    <row r="86" ht="15" customHeight="1">
      <c r="A86" t="inlineStr">
        <is>
          <t>A 18468-2020</t>
        </is>
      </c>
      <c r="B86" s="1" t="n">
        <v>43929</v>
      </c>
      <c r="C86" s="1" t="n">
        <v>45584</v>
      </c>
      <c r="D86" t="inlineStr">
        <is>
          <t>UPPSALA LÄN</t>
        </is>
      </c>
      <c r="E86" t="inlineStr">
        <is>
          <t>UPPSALA</t>
        </is>
      </c>
      <c r="G86" t="n">
        <v>0.5</v>
      </c>
      <c r="H86" t="n">
        <v>1</v>
      </c>
      <c r="I86" t="n">
        <v>1</v>
      </c>
      <c r="J86" t="n">
        <v>0</v>
      </c>
      <c r="K86" t="n">
        <v>0</v>
      </c>
      <c r="L86" t="n">
        <v>0</v>
      </c>
      <c r="M86" t="n">
        <v>0</v>
      </c>
      <c r="N86" t="n">
        <v>0</v>
      </c>
      <c r="O86" t="n">
        <v>0</v>
      </c>
      <c r="P86" t="n">
        <v>0</v>
      </c>
      <c r="Q86" t="n">
        <v>2</v>
      </c>
      <c r="R86" s="2" t="inlineStr">
        <is>
          <t>Mindre märgborre
Gullviva</t>
        </is>
      </c>
      <c r="S86">
        <f>HYPERLINK("https://klasma.github.io/Logging_0380/artfynd/A 18468-2020 artfynd.xlsx", "A 18468-2020")</f>
        <v/>
      </c>
      <c r="T86">
        <f>HYPERLINK("https://klasma.github.io/Logging_0380/kartor/A 18468-2020 karta.png", "A 18468-2020")</f>
        <v/>
      </c>
      <c r="V86">
        <f>HYPERLINK("https://klasma.github.io/Logging_0380/klagomål/A 18468-2020 FSC-klagomål.docx", "A 18468-2020")</f>
        <v/>
      </c>
      <c r="W86">
        <f>HYPERLINK("https://klasma.github.io/Logging_0380/klagomålsmail/A 18468-2020 FSC-klagomål mail.docx", "A 18468-2020")</f>
        <v/>
      </c>
      <c r="X86">
        <f>HYPERLINK("https://klasma.github.io/Logging_0380/tillsyn/A 18468-2020 tillsynsbegäran.docx", "A 18468-2020")</f>
        <v/>
      </c>
      <c r="Y86">
        <f>HYPERLINK("https://klasma.github.io/Logging_0380/tillsynsmail/A 18468-2020 tillsynsbegäran mail.docx", "A 18468-2020")</f>
        <v/>
      </c>
    </row>
    <row r="87" ht="15" customHeight="1">
      <c r="A87" t="inlineStr">
        <is>
          <t>A 37289-2020</t>
        </is>
      </c>
      <c r="B87" s="1" t="n">
        <v>44054</v>
      </c>
      <c r="C87" s="1" t="n">
        <v>45584</v>
      </c>
      <c r="D87" t="inlineStr">
        <is>
          <t>UPPSALA LÄN</t>
        </is>
      </c>
      <c r="E87" t="inlineStr">
        <is>
          <t>UPPSALA</t>
        </is>
      </c>
      <c r="F87" t="inlineStr">
        <is>
          <t>Allmännings- och besparingsskogar</t>
        </is>
      </c>
      <c r="G87" t="n">
        <v>13.5</v>
      </c>
      <c r="H87" t="n">
        <v>0</v>
      </c>
      <c r="I87" t="n">
        <v>1</v>
      </c>
      <c r="J87" t="n">
        <v>1</v>
      </c>
      <c r="K87" t="n">
        <v>0</v>
      </c>
      <c r="L87" t="n">
        <v>0</v>
      </c>
      <c r="M87" t="n">
        <v>0</v>
      </c>
      <c r="N87" t="n">
        <v>0</v>
      </c>
      <c r="O87" t="n">
        <v>1</v>
      </c>
      <c r="P87" t="n">
        <v>0</v>
      </c>
      <c r="Q87" t="n">
        <v>2</v>
      </c>
      <c r="R87" s="2" t="inlineStr">
        <is>
          <t>Vedtrappmossa
Granbarkgnagare</t>
        </is>
      </c>
      <c r="S87">
        <f>HYPERLINK("https://klasma.github.io/Logging_0380/artfynd/A 37289-2020 artfynd.xlsx", "A 37289-2020")</f>
        <v/>
      </c>
      <c r="T87">
        <f>HYPERLINK("https://klasma.github.io/Logging_0380/kartor/A 37289-2020 karta.png", "A 37289-2020")</f>
        <v/>
      </c>
      <c r="V87">
        <f>HYPERLINK("https://klasma.github.io/Logging_0380/klagomål/A 37289-2020 FSC-klagomål.docx", "A 37289-2020")</f>
        <v/>
      </c>
      <c r="W87">
        <f>HYPERLINK("https://klasma.github.io/Logging_0380/klagomålsmail/A 37289-2020 FSC-klagomål mail.docx", "A 37289-2020")</f>
        <v/>
      </c>
      <c r="X87">
        <f>HYPERLINK("https://klasma.github.io/Logging_0380/tillsyn/A 37289-2020 tillsynsbegäran.docx", "A 37289-2020")</f>
        <v/>
      </c>
      <c r="Y87">
        <f>HYPERLINK("https://klasma.github.io/Logging_0380/tillsynsmail/A 37289-2020 tillsynsbegäran mail.docx", "A 37289-2020")</f>
        <v/>
      </c>
    </row>
    <row r="88" ht="15" customHeight="1">
      <c r="A88" t="inlineStr">
        <is>
          <t>A 48100-2020</t>
        </is>
      </c>
      <c r="B88" s="1" t="n">
        <v>44101</v>
      </c>
      <c r="C88" s="1" t="n">
        <v>45584</v>
      </c>
      <c r="D88" t="inlineStr">
        <is>
          <t>UPPSALA LÄN</t>
        </is>
      </c>
      <c r="E88" t="inlineStr">
        <is>
          <t>UPPSALA</t>
        </is>
      </c>
      <c r="F88" t="inlineStr">
        <is>
          <t>Sveaskog</t>
        </is>
      </c>
      <c r="G88" t="n">
        <v>8.800000000000001</v>
      </c>
      <c r="H88" t="n">
        <v>1</v>
      </c>
      <c r="I88" t="n">
        <v>1</v>
      </c>
      <c r="J88" t="n">
        <v>0</v>
      </c>
      <c r="K88" t="n">
        <v>0</v>
      </c>
      <c r="L88" t="n">
        <v>0</v>
      </c>
      <c r="M88" t="n">
        <v>0</v>
      </c>
      <c r="N88" t="n">
        <v>0</v>
      </c>
      <c r="O88" t="n">
        <v>0</v>
      </c>
      <c r="P88" t="n">
        <v>0</v>
      </c>
      <c r="Q88" t="n">
        <v>2</v>
      </c>
      <c r="R88" s="2" t="inlineStr">
        <is>
          <t>Svavelriska
Blåsippa</t>
        </is>
      </c>
      <c r="S88">
        <f>HYPERLINK("https://klasma.github.io/Logging_0380/artfynd/A 48100-2020 artfynd.xlsx", "A 48100-2020")</f>
        <v/>
      </c>
      <c r="T88">
        <f>HYPERLINK("https://klasma.github.io/Logging_0380/kartor/A 48100-2020 karta.png", "A 48100-2020")</f>
        <v/>
      </c>
      <c r="V88">
        <f>HYPERLINK("https://klasma.github.io/Logging_0380/klagomål/A 48100-2020 FSC-klagomål.docx", "A 48100-2020")</f>
        <v/>
      </c>
      <c r="W88">
        <f>HYPERLINK("https://klasma.github.io/Logging_0380/klagomålsmail/A 48100-2020 FSC-klagomål mail.docx", "A 48100-2020")</f>
        <v/>
      </c>
      <c r="X88">
        <f>HYPERLINK("https://klasma.github.io/Logging_0380/tillsyn/A 48100-2020 tillsynsbegäran.docx", "A 48100-2020")</f>
        <v/>
      </c>
      <c r="Y88">
        <f>HYPERLINK("https://klasma.github.io/Logging_0380/tillsynsmail/A 48100-2020 tillsynsbegäran mail.docx", "A 48100-2020")</f>
        <v/>
      </c>
    </row>
    <row r="89" ht="15" customHeight="1">
      <c r="A89" t="inlineStr">
        <is>
          <t>A 15277-2022</t>
        </is>
      </c>
      <c r="B89" s="1" t="n">
        <v>44659</v>
      </c>
      <c r="C89" s="1" t="n">
        <v>45584</v>
      </c>
      <c r="D89" t="inlineStr">
        <is>
          <t>UPPSALA LÄN</t>
        </is>
      </c>
      <c r="E89" t="inlineStr">
        <is>
          <t>UPPSALA</t>
        </is>
      </c>
      <c r="G89" t="n">
        <v>8.9</v>
      </c>
      <c r="H89" t="n">
        <v>2</v>
      </c>
      <c r="I89" t="n">
        <v>0</v>
      </c>
      <c r="J89" t="n">
        <v>2</v>
      </c>
      <c r="K89" t="n">
        <v>0</v>
      </c>
      <c r="L89" t="n">
        <v>0</v>
      </c>
      <c r="M89" t="n">
        <v>0</v>
      </c>
      <c r="N89" t="n">
        <v>0</v>
      </c>
      <c r="O89" t="n">
        <v>2</v>
      </c>
      <c r="P89" t="n">
        <v>0</v>
      </c>
      <c r="Q89" t="n">
        <v>2</v>
      </c>
      <c r="R89" s="2" t="inlineStr">
        <is>
          <t>Entita
Mindre hackspett</t>
        </is>
      </c>
      <c r="S89">
        <f>HYPERLINK("https://klasma.github.io/Logging_0380/artfynd/A 15277-2022 artfynd.xlsx", "A 15277-2022")</f>
        <v/>
      </c>
      <c r="T89">
        <f>HYPERLINK("https://klasma.github.io/Logging_0380/kartor/A 15277-2022 karta.png", "A 15277-2022")</f>
        <v/>
      </c>
      <c r="V89">
        <f>HYPERLINK("https://klasma.github.io/Logging_0380/klagomål/A 15277-2022 FSC-klagomål.docx", "A 15277-2022")</f>
        <v/>
      </c>
      <c r="W89">
        <f>HYPERLINK("https://klasma.github.io/Logging_0380/klagomålsmail/A 15277-2022 FSC-klagomål mail.docx", "A 15277-2022")</f>
        <v/>
      </c>
      <c r="X89">
        <f>HYPERLINK("https://klasma.github.io/Logging_0380/tillsyn/A 15277-2022 tillsynsbegäran.docx", "A 15277-2022")</f>
        <v/>
      </c>
      <c r="Y89">
        <f>HYPERLINK("https://klasma.github.io/Logging_0380/tillsynsmail/A 15277-2022 tillsynsbegäran mail.docx", "A 15277-2022")</f>
        <v/>
      </c>
      <c r="Z89">
        <f>HYPERLINK("https://klasma.github.io/Logging_0380/fåglar/A 15277-2022 prioriterade fågelarter.docx", "A 15277-2022")</f>
        <v/>
      </c>
    </row>
    <row r="90" ht="15" customHeight="1">
      <c r="A90" t="inlineStr">
        <is>
          <t>A 17341-2022</t>
        </is>
      </c>
      <c r="B90" s="1" t="n">
        <v>44678</v>
      </c>
      <c r="C90" s="1" t="n">
        <v>45584</v>
      </c>
      <c r="D90" t="inlineStr">
        <is>
          <t>UPPSALA LÄN</t>
        </is>
      </c>
      <c r="E90" t="inlineStr">
        <is>
          <t>UPPSALA</t>
        </is>
      </c>
      <c r="F90" t="inlineStr">
        <is>
          <t>Övriga Aktiebolag</t>
        </is>
      </c>
      <c r="G90" t="n">
        <v>10.3</v>
      </c>
      <c r="H90" t="n">
        <v>2</v>
      </c>
      <c r="I90" t="n">
        <v>0</v>
      </c>
      <c r="J90" t="n">
        <v>2</v>
      </c>
      <c r="K90" t="n">
        <v>0</v>
      </c>
      <c r="L90" t="n">
        <v>0</v>
      </c>
      <c r="M90" t="n">
        <v>0</v>
      </c>
      <c r="N90" t="n">
        <v>0</v>
      </c>
      <c r="O90" t="n">
        <v>2</v>
      </c>
      <c r="P90" t="n">
        <v>0</v>
      </c>
      <c r="Q90" t="n">
        <v>2</v>
      </c>
      <c r="R90" s="2" t="inlineStr">
        <is>
          <t>Järpe
Tretåig hackspett</t>
        </is>
      </c>
      <c r="S90">
        <f>HYPERLINK("https://klasma.github.io/Logging_0380/artfynd/A 17341-2022 artfynd.xlsx", "A 17341-2022")</f>
        <v/>
      </c>
      <c r="T90">
        <f>HYPERLINK("https://klasma.github.io/Logging_0380/kartor/A 17341-2022 karta.png", "A 17341-2022")</f>
        <v/>
      </c>
      <c r="V90">
        <f>HYPERLINK("https://klasma.github.io/Logging_0380/klagomål/A 17341-2022 FSC-klagomål.docx", "A 17341-2022")</f>
        <v/>
      </c>
      <c r="W90">
        <f>HYPERLINK("https://klasma.github.io/Logging_0380/klagomålsmail/A 17341-2022 FSC-klagomål mail.docx", "A 17341-2022")</f>
        <v/>
      </c>
      <c r="X90">
        <f>HYPERLINK("https://klasma.github.io/Logging_0380/tillsyn/A 17341-2022 tillsynsbegäran.docx", "A 17341-2022")</f>
        <v/>
      </c>
      <c r="Y90">
        <f>HYPERLINK("https://klasma.github.io/Logging_0380/tillsynsmail/A 17341-2022 tillsynsbegäran mail.docx", "A 17341-2022")</f>
        <v/>
      </c>
      <c r="Z90">
        <f>HYPERLINK("https://klasma.github.io/Logging_0380/fåglar/A 17341-2022 prioriterade fågelarter.docx", "A 17341-2022")</f>
        <v/>
      </c>
    </row>
    <row r="91" ht="15" customHeight="1">
      <c r="A91" t="inlineStr">
        <is>
          <t>A 54082-2022</t>
        </is>
      </c>
      <c r="B91" s="1" t="n">
        <v>44879</v>
      </c>
      <c r="C91" s="1" t="n">
        <v>45584</v>
      </c>
      <c r="D91" t="inlineStr">
        <is>
          <t>UPPSALA LÄN</t>
        </is>
      </c>
      <c r="E91" t="inlineStr">
        <is>
          <t>UPPSALA</t>
        </is>
      </c>
      <c r="G91" t="n">
        <v>15.1</v>
      </c>
      <c r="H91" t="n">
        <v>0</v>
      </c>
      <c r="I91" t="n">
        <v>2</v>
      </c>
      <c r="J91" t="n">
        <v>0</v>
      </c>
      <c r="K91" t="n">
        <v>0</v>
      </c>
      <c r="L91" t="n">
        <v>0</v>
      </c>
      <c r="M91" t="n">
        <v>0</v>
      </c>
      <c r="N91" t="n">
        <v>0</v>
      </c>
      <c r="O91" t="n">
        <v>0</v>
      </c>
      <c r="P91" t="n">
        <v>0</v>
      </c>
      <c r="Q91" t="n">
        <v>2</v>
      </c>
      <c r="R91" s="2" t="inlineStr">
        <is>
          <t>Fjällig taggsvamp s.str.
Skarp dropptaggsvamp</t>
        </is>
      </c>
      <c r="S91">
        <f>HYPERLINK("https://klasma.github.io/Logging_0380/artfynd/A 54082-2022 artfynd.xlsx", "A 54082-2022")</f>
        <v/>
      </c>
      <c r="T91">
        <f>HYPERLINK("https://klasma.github.io/Logging_0380/kartor/A 54082-2022 karta.png", "A 54082-2022")</f>
        <v/>
      </c>
      <c r="V91">
        <f>HYPERLINK("https://klasma.github.io/Logging_0380/klagomål/A 54082-2022 FSC-klagomål.docx", "A 54082-2022")</f>
        <v/>
      </c>
      <c r="W91">
        <f>HYPERLINK("https://klasma.github.io/Logging_0380/klagomålsmail/A 54082-2022 FSC-klagomål mail.docx", "A 54082-2022")</f>
        <v/>
      </c>
      <c r="X91">
        <f>HYPERLINK("https://klasma.github.io/Logging_0380/tillsyn/A 54082-2022 tillsynsbegäran.docx", "A 54082-2022")</f>
        <v/>
      </c>
      <c r="Y91">
        <f>HYPERLINK("https://klasma.github.io/Logging_0380/tillsynsmail/A 54082-2022 tillsynsbegäran mail.docx", "A 54082-2022")</f>
        <v/>
      </c>
    </row>
    <row r="92" ht="15" customHeight="1">
      <c r="A92" t="inlineStr">
        <is>
          <t>A 6998-2023</t>
        </is>
      </c>
      <c r="B92" s="1" t="n">
        <v>44967</v>
      </c>
      <c r="C92" s="1" t="n">
        <v>45584</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13206-2023</t>
        </is>
      </c>
      <c r="B93" s="1" t="n">
        <v>45002</v>
      </c>
      <c r="C93" s="1" t="n">
        <v>45584</v>
      </c>
      <c r="D93" t="inlineStr">
        <is>
          <t>UPPSALA LÄN</t>
        </is>
      </c>
      <c r="E93" t="inlineStr">
        <is>
          <t>UPPSALA</t>
        </is>
      </c>
      <c r="F93" t="inlineStr">
        <is>
          <t>Holmen skog AB</t>
        </is>
      </c>
      <c r="G93" t="n">
        <v>5.1</v>
      </c>
      <c r="H93" t="n">
        <v>2</v>
      </c>
      <c r="I93" t="n">
        <v>0</v>
      </c>
      <c r="J93" t="n">
        <v>0</v>
      </c>
      <c r="K93" t="n">
        <v>0</v>
      </c>
      <c r="L93" t="n">
        <v>0</v>
      </c>
      <c r="M93" t="n">
        <v>0</v>
      </c>
      <c r="N93" t="n">
        <v>0</v>
      </c>
      <c r="O93" t="n">
        <v>0</v>
      </c>
      <c r="P93" t="n">
        <v>0</v>
      </c>
      <c r="Q93" t="n">
        <v>2</v>
      </c>
      <c r="R93" s="2" t="inlineStr">
        <is>
          <t>Blåsippa
Revlummer</t>
        </is>
      </c>
      <c r="S93">
        <f>HYPERLINK("https://klasma.github.io/Logging_0380/artfynd/A 13206-2023 artfynd.xlsx", "A 13206-2023")</f>
        <v/>
      </c>
      <c r="T93">
        <f>HYPERLINK("https://klasma.github.io/Logging_0380/kartor/A 13206-2023 karta.png", "A 13206-2023")</f>
        <v/>
      </c>
      <c r="V93">
        <f>HYPERLINK("https://klasma.github.io/Logging_0380/klagomål/A 13206-2023 FSC-klagomål.docx", "A 13206-2023")</f>
        <v/>
      </c>
      <c r="W93">
        <f>HYPERLINK("https://klasma.github.io/Logging_0380/klagomålsmail/A 13206-2023 FSC-klagomål mail.docx", "A 13206-2023")</f>
        <v/>
      </c>
      <c r="X93">
        <f>HYPERLINK("https://klasma.github.io/Logging_0380/tillsyn/A 13206-2023 tillsynsbegäran.docx", "A 13206-2023")</f>
        <v/>
      </c>
      <c r="Y93">
        <f>HYPERLINK("https://klasma.github.io/Logging_0380/tillsynsmail/A 13206-2023 tillsynsbegäran mail.docx", "A 13206-2023")</f>
        <v/>
      </c>
    </row>
    <row r="94" ht="15" customHeight="1">
      <c r="A94" t="inlineStr">
        <is>
          <t>A 17277-2023</t>
        </is>
      </c>
      <c r="B94" s="1" t="n">
        <v>45035</v>
      </c>
      <c r="C94" s="1" t="n">
        <v>45584</v>
      </c>
      <c r="D94" t="inlineStr">
        <is>
          <t>UPPSALA LÄN</t>
        </is>
      </c>
      <c r="E94" t="inlineStr">
        <is>
          <t>UPPSALA</t>
        </is>
      </c>
      <c r="F94" t="inlineStr">
        <is>
          <t>Övriga Aktiebolag</t>
        </is>
      </c>
      <c r="G94" t="n">
        <v>6.1</v>
      </c>
      <c r="H94" t="n">
        <v>2</v>
      </c>
      <c r="I94" t="n">
        <v>0</v>
      </c>
      <c r="J94" t="n">
        <v>1</v>
      </c>
      <c r="K94" t="n">
        <v>0</v>
      </c>
      <c r="L94" t="n">
        <v>0</v>
      </c>
      <c r="M94" t="n">
        <v>0</v>
      </c>
      <c r="N94" t="n">
        <v>0</v>
      </c>
      <c r="O94" t="n">
        <v>1</v>
      </c>
      <c r="P94" t="n">
        <v>0</v>
      </c>
      <c r="Q94" t="n">
        <v>2</v>
      </c>
      <c r="R94" s="2" t="inlineStr">
        <is>
          <t>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32675-2023</t>
        </is>
      </c>
      <c r="B95" s="1" t="n">
        <v>45121</v>
      </c>
      <c r="C95" s="1" t="n">
        <v>45584</v>
      </c>
      <c r="D95" t="inlineStr">
        <is>
          <t>UPPSALA LÄN</t>
        </is>
      </c>
      <c r="E95" t="inlineStr">
        <is>
          <t>UPPSALA</t>
        </is>
      </c>
      <c r="F95" t="inlineStr">
        <is>
          <t>Holmen skog AB</t>
        </is>
      </c>
      <c r="G95" t="n">
        <v>5.8</v>
      </c>
      <c r="H95" t="n">
        <v>1</v>
      </c>
      <c r="I95" t="n">
        <v>1</v>
      </c>
      <c r="J95" t="n">
        <v>0</v>
      </c>
      <c r="K95" t="n">
        <v>0</v>
      </c>
      <c r="L95" t="n">
        <v>0</v>
      </c>
      <c r="M95" t="n">
        <v>0</v>
      </c>
      <c r="N95" t="n">
        <v>0</v>
      </c>
      <c r="O95" t="n">
        <v>0</v>
      </c>
      <c r="P95" t="n">
        <v>0</v>
      </c>
      <c r="Q95" t="n">
        <v>2</v>
      </c>
      <c r="R95" s="2" t="inlineStr">
        <is>
          <t>Brandticka
Blåsippa</t>
        </is>
      </c>
      <c r="S95">
        <f>HYPERLINK("https://klasma.github.io/Logging_0380/artfynd/A 32675-2023 artfynd.xlsx", "A 32675-2023")</f>
        <v/>
      </c>
      <c r="T95">
        <f>HYPERLINK("https://klasma.github.io/Logging_0380/kartor/A 32675-2023 karta.png", "A 32675-2023")</f>
        <v/>
      </c>
      <c r="V95">
        <f>HYPERLINK("https://klasma.github.io/Logging_0380/klagomål/A 32675-2023 FSC-klagomål.docx", "A 32675-2023")</f>
        <v/>
      </c>
      <c r="W95">
        <f>HYPERLINK("https://klasma.github.io/Logging_0380/klagomålsmail/A 32675-2023 FSC-klagomål mail.docx", "A 32675-2023")</f>
        <v/>
      </c>
      <c r="X95">
        <f>HYPERLINK("https://klasma.github.io/Logging_0380/tillsyn/A 32675-2023 tillsynsbegäran.docx", "A 32675-2023")</f>
        <v/>
      </c>
      <c r="Y95">
        <f>HYPERLINK("https://klasma.github.io/Logging_0380/tillsynsmail/A 32675-2023 tillsynsbegäran mail.docx", "A 32675-2023")</f>
        <v/>
      </c>
    </row>
    <row r="96" ht="15" customHeight="1">
      <c r="A96" t="inlineStr">
        <is>
          <t>A 39933-2023</t>
        </is>
      </c>
      <c r="B96" s="1" t="n">
        <v>45168</v>
      </c>
      <c r="C96" s="1" t="n">
        <v>45584</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44675-2023</t>
        </is>
      </c>
      <c r="B97" s="1" t="n">
        <v>45189</v>
      </c>
      <c r="C97" s="1" t="n">
        <v>45584</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51749-2023</t>
        </is>
      </c>
      <c r="B98" s="1" t="n">
        <v>45222</v>
      </c>
      <c r="C98" s="1" t="n">
        <v>45584</v>
      </c>
      <c r="D98" t="inlineStr">
        <is>
          <t>UPPSALA LÄN</t>
        </is>
      </c>
      <c r="E98" t="inlineStr">
        <is>
          <t>UPPSALA</t>
        </is>
      </c>
      <c r="G98" t="n">
        <v>3.6</v>
      </c>
      <c r="H98" t="n">
        <v>1</v>
      </c>
      <c r="I98" t="n">
        <v>0</v>
      </c>
      <c r="J98" t="n">
        <v>1</v>
      </c>
      <c r="K98" t="n">
        <v>0</v>
      </c>
      <c r="L98" t="n">
        <v>0</v>
      </c>
      <c r="M98" t="n">
        <v>0</v>
      </c>
      <c r="N98" t="n">
        <v>0</v>
      </c>
      <c r="O98" t="n">
        <v>1</v>
      </c>
      <c r="P98" t="n">
        <v>0</v>
      </c>
      <c r="Q98" t="n">
        <v>2</v>
      </c>
      <c r="R98" s="2" t="inlineStr">
        <is>
          <t>Säfferot
Gullviva</t>
        </is>
      </c>
      <c r="S98">
        <f>HYPERLINK("https://klasma.github.io/Logging_0380/artfynd/A 51749-2023 artfynd.xlsx", "A 51749-2023")</f>
        <v/>
      </c>
      <c r="T98">
        <f>HYPERLINK("https://klasma.github.io/Logging_0380/kartor/A 51749-2023 karta.png", "A 51749-2023")</f>
        <v/>
      </c>
      <c r="V98">
        <f>HYPERLINK("https://klasma.github.io/Logging_0380/klagomål/A 51749-2023 FSC-klagomål.docx", "A 51749-2023")</f>
        <v/>
      </c>
      <c r="W98">
        <f>HYPERLINK("https://klasma.github.io/Logging_0380/klagomålsmail/A 51749-2023 FSC-klagomål mail.docx", "A 51749-2023")</f>
        <v/>
      </c>
      <c r="X98">
        <f>HYPERLINK("https://klasma.github.io/Logging_0380/tillsyn/A 51749-2023 tillsynsbegäran.docx", "A 51749-2023")</f>
        <v/>
      </c>
      <c r="Y98">
        <f>HYPERLINK("https://klasma.github.io/Logging_0380/tillsynsmail/A 51749-2023 tillsynsbegäran mail.docx", "A 51749-2023")</f>
        <v/>
      </c>
    </row>
    <row r="99" ht="15" customHeight="1">
      <c r="A99" t="inlineStr">
        <is>
          <t>A 60703-2023</t>
        </is>
      </c>
      <c r="B99" s="1" t="n">
        <v>45260</v>
      </c>
      <c r="C99" s="1" t="n">
        <v>45584</v>
      </c>
      <c r="D99" t="inlineStr">
        <is>
          <t>UPPSALA LÄN</t>
        </is>
      </c>
      <c r="E99" t="inlineStr">
        <is>
          <t>UPPSALA</t>
        </is>
      </c>
      <c r="G99" t="n">
        <v>1.6</v>
      </c>
      <c r="H99" t="n">
        <v>0</v>
      </c>
      <c r="I99" t="n">
        <v>2</v>
      </c>
      <c r="J99" t="n">
        <v>0</v>
      </c>
      <c r="K99" t="n">
        <v>0</v>
      </c>
      <c r="L99" t="n">
        <v>0</v>
      </c>
      <c r="M99" t="n">
        <v>0</v>
      </c>
      <c r="N99" t="n">
        <v>0</v>
      </c>
      <c r="O99" t="n">
        <v>0</v>
      </c>
      <c r="P99" t="n">
        <v>0</v>
      </c>
      <c r="Q99" t="n">
        <v>2</v>
      </c>
      <c r="R99" s="2" t="inlineStr">
        <is>
          <t>Kantjordstjärna
Svavelriska</t>
        </is>
      </c>
      <c r="S99">
        <f>HYPERLINK("https://klasma.github.io/Logging_0380/artfynd/A 60703-2023 artfynd.xlsx", "A 60703-2023")</f>
        <v/>
      </c>
      <c r="T99">
        <f>HYPERLINK("https://klasma.github.io/Logging_0380/kartor/A 60703-2023 karta.png", "A 60703-2023")</f>
        <v/>
      </c>
      <c r="V99">
        <f>HYPERLINK("https://klasma.github.io/Logging_0380/klagomål/A 60703-2023 FSC-klagomål.docx", "A 60703-2023")</f>
        <v/>
      </c>
      <c r="W99">
        <f>HYPERLINK("https://klasma.github.io/Logging_0380/klagomålsmail/A 60703-2023 FSC-klagomål mail.docx", "A 60703-2023")</f>
        <v/>
      </c>
      <c r="X99">
        <f>HYPERLINK("https://klasma.github.io/Logging_0380/tillsyn/A 60703-2023 tillsynsbegäran.docx", "A 60703-2023")</f>
        <v/>
      </c>
      <c r="Y99">
        <f>HYPERLINK("https://klasma.github.io/Logging_0380/tillsynsmail/A 60703-2023 tillsynsbegäran mail.docx", "A 60703-2023")</f>
        <v/>
      </c>
    </row>
    <row r="100" ht="15" customHeight="1">
      <c r="A100" t="inlineStr">
        <is>
          <t>A 60712-2023</t>
        </is>
      </c>
      <c r="B100" s="1" t="n">
        <v>45260</v>
      </c>
      <c r="C100" s="1" t="n">
        <v>45584</v>
      </c>
      <c r="D100" t="inlineStr">
        <is>
          <t>UPPSALA LÄN</t>
        </is>
      </c>
      <c r="E100" t="inlineStr">
        <is>
          <t>UPPSALA</t>
        </is>
      </c>
      <c r="G100" t="n">
        <v>1</v>
      </c>
      <c r="H100" t="n">
        <v>0</v>
      </c>
      <c r="I100" t="n">
        <v>1</v>
      </c>
      <c r="J100" t="n">
        <v>1</v>
      </c>
      <c r="K100" t="n">
        <v>0</v>
      </c>
      <c r="L100" t="n">
        <v>0</v>
      </c>
      <c r="M100" t="n">
        <v>0</v>
      </c>
      <c r="N100" t="n">
        <v>0</v>
      </c>
      <c r="O100" t="n">
        <v>1</v>
      </c>
      <c r="P100" t="n">
        <v>0</v>
      </c>
      <c r="Q100" t="n">
        <v>2</v>
      </c>
      <c r="R100" s="2" t="inlineStr">
        <is>
          <t>Tallticka
Blodticka</t>
        </is>
      </c>
      <c r="S100">
        <f>HYPERLINK("https://klasma.github.io/Logging_0380/artfynd/A 60712-2023 artfynd.xlsx", "A 60712-2023")</f>
        <v/>
      </c>
      <c r="T100">
        <f>HYPERLINK("https://klasma.github.io/Logging_0380/kartor/A 60712-2023 karta.png", "A 60712-2023")</f>
        <v/>
      </c>
      <c r="V100">
        <f>HYPERLINK("https://klasma.github.io/Logging_0380/klagomål/A 60712-2023 FSC-klagomål.docx", "A 60712-2023")</f>
        <v/>
      </c>
      <c r="W100">
        <f>HYPERLINK("https://klasma.github.io/Logging_0380/klagomålsmail/A 60712-2023 FSC-klagomål mail.docx", "A 60712-2023")</f>
        <v/>
      </c>
      <c r="X100">
        <f>HYPERLINK("https://klasma.github.io/Logging_0380/tillsyn/A 60712-2023 tillsynsbegäran.docx", "A 60712-2023")</f>
        <v/>
      </c>
      <c r="Y100">
        <f>HYPERLINK("https://klasma.github.io/Logging_0380/tillsynsmail/A 60712-2023 tillsynsbegäran mail.docx", "A 60712-2023")</f>
        <v/>
      </c>
    </row>
    <row r="101" ht="15" customHeight="1">
      <c r="A101" t="inlineStr">
        <is>
          <t>A 88-2024</t>
        </is>
      </c>
      <c r="B101" s="1" t="n">
        <v>45293</v>
      </c>
      <c r="C101" s="1" t="n">
        <v>45584</v>
      </c>
      <c r="D101" t="inlineStr">
        <is>
          <t>UPPSALA LÄN</t>
        </is>
      </c>
      <c r="E101" t="inlineStr">
        <is>
          <t>UPPSALA</t>
        </is>
      </c>
      <c r="G101" t="n">
        <v>2.1</v>
      </c>
      <c r="H101" t="n">
        <v>0</v>
      </c>
      <c r="I101" t="n">
        <v>0</v>
      </c>
      <c r="J101" t="n">
        <v>1</v>
      </c>
      <c r="K101" t="n">
        <v>0</v>
      </c>
      <c r="L101" t="n">
        <v>1</v>
      </c>
      <c r="M101" t="n">
        <v>0</v>
      </c>
      <c r="N101" t="n">
        <v>0</v>
      </c>
      <c r="O101" t="n">
        <v>2</v>
      </c>
      <c r="P101" t="n">
        <v>1</v>
      </c>
      <c r="Q101" t="n">
        <v>2</v>
      </c>
      <c r="R101" s="2" t="inlineStr">
        <is>
          <t>Ask
Gullklöver</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5185-2024</t>
        </is>
      </c>
      <c r="B102" s="1" t="n">
        <v>45330</v>
      </c>
      <c r="C102" s="1" t="n">
        <v>45584</v>
      </c>
      <c r="D102" t="inlineStr">
        <is>
          <t>UPPSALA LÄN</t>
        </is>
      </c>
      <c r="E102" t="inlineStr">
        <is>
          <t>UPPSALA</t>
        </is>
      </c>
      <c r="F102" t="inlineStr">
        <is>
          <t>Övriga Aktiebolag</t>
        </is>
      </c>
      <c r="G102" t="n">
        <v>13.1</v>
      </c>
      <c r="H102" t="n">
        <v>0</v>
      </c>
      <c r="I102" t="n">
        <v>1</v>
      </c>
      <c r="J102" t="n">
        <v>1</v>
      </c>
      <c r="K102" t="n">
        <v>0</v>
      </c>
      <c r="L102" t="n">
        <v>0</v>
      </c>
      <c r="M102" t="n">
        <v>0</v>
      </c>
      <c r="N102" t="n">
        <v>0</v>
      </c>
      <c r="O102" t="n">
        <v>1</v>
      </c>
      <c r="P102" t="n">
        <v>0</v>
      </c>
      <c r="Q102" t="n">
        <v>2</v>
      </c>
      <c r="R102" s="2" t="inlineStr">
        <is>
          <t>Skogsklocka
Sotlav</t>
        </is>
      </c>
      <c r="S102">
        <f>HYPERLINK("https://klasma.github.io/Logging_0380/artfynd/A 5185-2024 artfynd.xlsx", "A 5185-2024")</f>
        <v/>
      </c>
      <c r="T102">
        <f>HYPERLINK("https://klasma.github.io/Logging_0380/kartor/A 5185-2024 karta.png", "A 5185-2024")</f>
        <v/>
      </c>
      <c r="V102">
        <f>HYPERLINK("https://klasma.github.io/Logging_0380/klagomål/A 5185-2024 FSC-klagomål.docx", "A 5185-2024")</f>
        <v/>
      </c>
      <c r="W102">
        <f>HYPERLINK("https://klasma.github.io/Logging_0380/klagomålsmail/A 5185-2024 FSC-klagomål mail.docx", "A 5185-2024")</f>
        <v/>
      </c>
      <c r="X102">
        <f>HYPERLINK("https://klasma.github.io/Logging_0380/tillsyn/A 5185-2024 tillsynsbegäran.docx", "A 5185-2024")</f>
        <v/>
      </c>
      <c r="Y102">
        <f>HYPERLINK("https://klasma.github.io/Logging_0380/tillsynsmail/A 5185-2024 tillsynsbegäran mail.docx", "A 5185-2024")</f>
        <v/>
      </c>
    </row>
    <row r="103" ht="15" customHeight="1">
      <c r="A103" t="inlineStr">
        <is>
          <t>A 11230-2024</t>
        </is>
      </c>
      <c r="B103" s="1" t="n">
        <v>45371</v>
      </c>
      <c r="C103" s="1" t="n">
        <v>45584</v>
      </c>
      <c r="D103" t="inlineStr">
        <is>
          <t>UPPSALA LÄN</t>
        </is>
      </c>
      <c r="E103" t="inlineStr">
        <is>
          <t>UPPSALA</t>
        </is>
      </c>
      <c r="F103" t="inlineStr">
        <is>
          <t>Kommuner</t>
        </is>
      </c>
      <c r="G103" t="n">
        <v>2.1</v>
      </c>
      <c r="H103" t="n">
        <v>0</v>
      </c>
      <c r="I103" t="n">
        <v>1</v>
      </c>
      <c r="J103" t="n">
        <v>1</v>
      </c>
      <c r="K103" t="n">
        <v>0</v>
      </c>
      <c r="L103" t="n">
        <v>0</v>
      </c>
      <c r="M103" t="n">
        <v>0</v>
      </c>
      <c r="N103" t="n">
        <v>0</v>
      </c>
      <c r="O103" t="n">
        <v>1</v>
      </c>
      <c r="P103" t="n">
        <v>0</v>
      </c>
      <c r="Q103" t="n">
        <v>2</v>
      </c>
      <c r="R103" s="2" t="inlineStr">
        <is>
          <t>Tallticka
Fällmossa</t>
        </is>
      </c>
      <c r="S103">
        <f>HYPERLINK("https://klasma.github.io/Logging_0380/artfynd/A 11230-2024 artfynd.xlsx", "A 11230-2024")</f>
        <v/>
      </c>
      <c r="T103">
        <f>HYPERLINK("https://klasma.github.io/Logging_0380/kartor/A 11230-2024 karta.png", "A 11230-2024")</f>
        <v/>
      </c>
      <c r="V103">
        <f>HYPERLINK("https://klasma.github.io/Logging_0380/klagomål/A 11230-2024 FSC-klagomål.docx", "A 11230-2024")</f>
        <v/>
      </c>
      <c r="W103">
        <f>HYPERLINK("https://klasma.github.io/Logging_0380/klagomålsmail/A 11230-2024 FSC-klagomål mail.docx", "A 11230-2024")</f>
        <v/>
      </c>
      <c r="X103">
        <f>HYPERLINK("https://klasma.github.io/Logging_0380/tillsyn/A 11230-2024 tillsynsbegäran.docx", "A 11230-2024")</f>
        <v/>
      </c>
      <c r="Y103">
        <f>HYPERLINK("https://klasma.github.io/Logging_0380/tillsynsmail/A 11230-2024 tillsynsbegäran mail.docx", "A 11230-2024")</f>
        <v/>
      </c>
    </row>
    <row r="104" ht="15" customHeight="1">
      <c r="A104" t="inlineStr">
        <is>
          <t>A 11224-2024</t>
        </is>
      </c>
      <c r="B104" s="1" t="n">
        <v>45371</v>
      </c>
      <c r="C104" s="1" t="n">
        <v>45584</v>
      </c>
      <c r="D104" t="inlineStr">
        <is>
          <t>UPPSALA LÄN</t>
        </is>
      </c>
      <c r="E104" t="inlineStr">
        <is>
          <t>UPPSALA</t>
        </is>
      </c>
      <c r="F104" t="inlineStr">
        <is>
          <t>Kommuner</t>
        </is>
      </c>
      <c r="G104" t="n">
        <v>1.6</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11224-2024 artfynd.xlsx", "A 11224-2024")</f>
        <v/>
      </c>
      <c r="T104">
        <f>HYPERLINK("https://klasma.github.io/Logging_0380/kartor/A 11224-2024 karta.png", "A 11224-2024")</f>
        <v/>
      </c>
      <c r="V104">
        <f>HYPERLINK("https://klasma.github.io/Logging_0380/klagomål/A 11224-2024 FSC-klagomål.docx", "A 11224-2024")</f>
        <v/>
      </c>
      <c r="W104">
        <f>HYPERLINK("https://klasma.github.io/Logging_0380/klagomålsmail/A 11224-2024 FSC-klagomål mail.docx", "A 11224-2024")</f>
        <v/>
      </c>
      <c r="X104">
        <f>HYPERLINK("https://klasma.github.io/Logging_0380/tillsyn/A 11224-2024 tillsynsbegäran.docx", "A 11224-2024")</f>
        <v/>
      </c>
      <c r="Y104">
        <f>HYPERLINK("https://klasma.github.io/Logging_0380/tillsynsmail/A 11224-2024 tillsynsbegäran mail.docx", "A 11224-2024")</f>
        <v/>
      </c>
    </row>
    <row r="105" ht="15" customHeight="1">
      <c r="A105" t="inlineStr">
        <is>
          <t>A 12039-2024</t>
        </is>
      </c>
      <c r="B105" s="1" t="n">
        <v>45377</v>
      </c>
      <c r="C105" s="1" t="n">
        <v>45584</v>
      </c>
      <c r="D105" t="inlineStr">
        <is>
          <t>UPPSALA LÄN</t>
        </is>
      </c>
      <c r="E105" t="inlineStr">
        <is>
          <t>UPPSALA</t>
        </is>
      </c>
      <c r="F105" t="inlineStr">
        <is>
          <t>Allmännings- och besparingsskogar</t>
        </is>
      </c>
      <c r="G105" t="n">
        <v>3.9</v>
      </c>
      <c r="H105" t="n">
        <v>1</v>
      </c>
      <c r="I105" t="n">
        <v>1</v>
      </c>
      <c r="J105" t="n">
        <v>1</v>
      </c>
      <c r="K105" t="n">
        <v>0</v>
      </c>
      <c r="L105" t="n">
        <v>0</v>
      </c>
      <c r="M105" t="n">
        <v>0</v>
      </c>
      <c r="N105" t="n">
        <v>0</v>
      </c>
      <c r="O105" t="n">
        <v>1</v>
      </c>
      <c r="P105" t="n">
        <v>0</v>
      </c>
      <c r="Q105" t="n">
        <v>2</v>
      </c>
      <c r="R105" s="2" t="inlineStr">
        <is>
          <t>Platt spretmossa
Grön sköldmossa</t>
        </is>
      </c>
      <c r="S105">
        <f>HYPERLINK("https://klasma.github.io/Logging_0380/artfynd/A 12039-2024 artfynd.xlsx", "A 12039-2024")</f>
        <v/>
      </c>
      <c r="T105">
        <f>HYPERLINK("https://klasma.github.io/Logging_0380/kartor/A 12039-2024 karta.png", "A 12039-2024")</f>
        <v/>
      </c>
      <c r="V105">
        <f>HYPERLINK("https://klasma.github.io/Logging_0380/klagomål/A 12039-2024 FSC-klagomål.docx", "A 12039-2024")</f>
        <v/>
      </c>
      <c r="W105">
        <f>HYPERLINK("https://klasma.github.io/Logging_0380/klagomålsmail/A 12039-2024 FSC-klagomål mail.docx", "A 12039-2024")</f>
        <v/>
      </c>
      <c r="X105">
        <f>HYPERLINK("https://klasma.github.io/Logging_0380/tillsyn/A 12039-2024 tillsynsbegäran.docx", "A 12039-2024")</f>
        <v/>
      </c>
      <c r="Y105">
        <f>HYPERLINK("https://klasma.github.io/Logging_0380/tillsynsmail/A 12039-2024 tillsynsbegäran mail.docx", "A 12039-2024")</f>
        <v/>
      </c>
    </row>
    <row r="106" ht="15" customHeight="1">
      <c r="A106" t="inlineStr">
        <is>
          <t>A 18347-2024</t>
        </is>
      </c>
      <c r="B106" s="1" t="n">
        <v>45422</v>
      </c>
      <c r="C106" s="1" t="n">
        <v>45584</v>
      </c>
      <c r="D106" t="inlineStr">
        <is>
          <t>UPPSALA LÄN</t>
        </is>
      </c>
      <c r="E106" t="inlineStr">
        <is>
          <t>UPPSALA</t>
        </is>
      </c>
      <c r="F106" t="inlineStr">
        <is>
          <t>Holmen skog AB</t>
        </is>
      </c>
      <c r="G106" t="n">
        <v>3.5</v>
      </c>
      <c r="H106" t="n">
        <v>1</v>
      </c>
      <c r="I106" t="n">
        <v>1</v>
      </c>
      <c r="J106" t="n">
        <v>0</v>
      </c>
      <c r="K106" t="n">
        <v>0</v>
      </c>
      <c r="L106" t="n">
        <v>0</v>
      </c>
      <c r="M106" t="n">
        <v>0</v>
      </c>
      <c r="N106" t="n">
        <v>0</v>
      </c>
      <c r="O106" t="n">
        <v>0</v>
      </c>
      <c r="P106" t="n">
        <v>0</v>
      </c>
      <c r="Q106" t="n">
        <v>2</v>
      </c>
      <c r="R106" s="2" t="inlineStr">
        <is>
          <t>Fällmossa
Blåsippa</t>
        </is>
      </c>
      <c r="S106">
        <f>HYPERLINK("https://klasma.github.io/Logging_0380/artfynd/A 18347-2024 artfynd.xlsx", "A 18347-2024")</f>
        <v/>
      </c>
      <c r="T106">
        <f>HYPERLINK("https://klasma.github.io/Logging_0380/kartor/A 18347-2024 karta.png", "A 18347-2024")</f>
        <v/>
      </c>
      <c r="V106">
        <f>HYPERLINK("https://klasma.github.io/Logging_0380/klagomål/A 18347-2024 FSC-klagomål.docx", "A 18347-2024")</f>
        <v/>
      </c>
      <c r="W106">
        <f>HYPERLINK("https://klasma.github.io/Logging_0380/klagomålsmail/A 18347-2024 FSC-klagomål mail.docx", "A 18347-2024")</f>
        <v/>
      </c>
      <c r="X106">
        <f>HYPERLINK("https://klasma.github.io/Logging_0380/tillsyn/A 18347-2024 tillsynsbegäran.docx", "A 18347-2024")</f>
        <v/>
      </c>
      <c r="Y106">
        <f>HYPERLINK("https://klasma.github.io/Logging_0380/tillsynsmail/A 18347-2024 tillsynsbegäran mail.docx", "A 18347-2024")</f>
        <v/>
      </c>
    </row>
    <row r="107" ht="15" customHeight="1">
      <c r="A107" t="inlineStr">
        <is>
          <t>A 27502-2024</t>
        </is>
      </c>
      <c r="B107" s="1" t="n">
        <v>45474</v>
      </c>
      <c r="C107" s="1" t="n">
        <v>45584</v>
      </c>
      <c r="D107" t="inlineStr">
        <is>
          <t>UPPSALA LÄN</t>
        </is>
      </c>
      <c r="E107" t="inlineStr">
        <is>
          <t>UPPSALA</t>
        </is>
      </c>
      <c r="G107" t="n">
        <v>13.6</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27502-2024 artfynd.xlsx", "A 27502-2024")</f>
        <v/>
      </c>
      <c r="T107">
        <f>HYPERLINK("https://klasma.github.io/Logging_0380/kartor/A 27502-2024 karta.png", "A 27502-2024")</f>
        <v/>
      </c>
      <c r="U107">
        <f>HYPERLINK("https://klasma.github.io/Logging_0380/knärot/A 27502-2024 karta knärot.png", "A 27502-2024")</f>
        <v/>
      </c>
      <c r="V107">
        <f>HYPERLINK("https://klasma.github.io/Logging_0380/klagomål/A 27502-2024 FSC-klagomål.docx", "A 27502-2024")</f>
        <v/>
      </c>
      <c r="W107">
        <f>HYPERLINK("https://klasma.github.io/Logging_0380/klagomålsmail/A 27502-2024 FSC-klagomål mail.docx", "A 27502-2024")</f>
        <v/>
      </c>
      <c r="X107">
        <f>HYPERLINK("https://klasma.github.io/Logging_0380/tillsyn/A 27502-2024 tillsynsbegäran.docx", "A 27502-2024")</f>
        <v/>
      </c>
      <c r="Y107">
        <f>HYPERLINK("https://klasma.github.io/Logging_0380/tillsynsmail/A 27502-2024 tillsynsbegäran mail.docx", "A 27502-2024")</f>
        <v/>
      </c>
      <c r="Z107">
        <f>HYPERLINK("https://klasma.github.io/Logging_0380/fåglar/A 27502-2024 prioriterade fågelarter.docx", "A 27502-2024")</f>
        <v/>
      </c>
    </row>
    <row r="108" ht="15" customHeight="1">
      <c r="A108" t="inlineStr">
        <is>
          <t>A 20671-2019</t>
        </is>
      </c>
      <c r="B108" s="1" t="n">
        <v>43572</v>
      </c>
      <c r="C108" s="1" t="n">
        <v>45584</v>
      </c>
      <c r="D108" t="inlineStr">
        <is>
          <t>UPPSALA LÄN</t>
        </is>
      </c>
      <c r="E108" t="inlineStr">
        <is>
          <t>UPPSALA</t>
        </is>
      </c>
      <c r="G108" t="n">
        <v>14.8</v>
      </c>
      <c r="H108" t="n">
        <v>0</v>
      </c>
      <c r="I108" t="n">
        <v>0</v>
      </c>
      <c r="J108" t="n">
        <v>1</v>
      </c>
      <c r="K108" t="n">
        <v>0</v>
      </c>
      <c r="L108" t="n">
        <v>0</v>
      </c>
      <c r="M108" t="n">
        <v>0</v>
      </c>
      <c r="N108" t="n">
        <v>0</v>
      </c>
      <c r="O108" t="n">
        <v>1</v>
      </c>
      <c r="P108" t="n">
        <v>0</v>
      </c>
      <c r="Q108" t="n">
        <v>1</v>
      </c>
      <c r="R108" s="2" t="inlineStr">
        <is>
          <t>Svartöra</t>
        </is>
      </c>
      <c r="S108">
        <f>HYPERLINK("https://klasma.github.io/Logging_0380/artfynd/A 20671-2019 artfynd.xlsx", "A 20671-2019")</f>
        <v/>
      </c>
      <c r="T108">
        <f>HYPERLINK("https://klasma.github.io/Logging_0380/kartor/A 20671-2019 karta.png", "A 20671-2019")</f>
        <v/>
      </c>
      <c r="V108">
        <f>HYPERLINK("https://klasma.github.io/Logging_0380/klagomål/A 20671-2019 FSC-klagomål.docx", "A 20671-2019")</f>
        <v/>
      </c>
      <c r="W108">
        <f>HYPERLINK("https://klasma.github.io/Logging_0380/klagomålsmail/A 20671-2019 FSC-klagomål mail.docx", "A 20671-2019")</f>
        <v/>
      </c>
      <c r="X108">
        <f>HYPERLINK("https://klasma.github.io/Logging_0380/tillsyn/A 20671-2019 tillsynsbegäran.docx", "A 20671-2019")</f>
        <v/>
      </c>
      <c r="Y108">
        <f>HYPERLINK("https://klasma.github.io/Logging_0380/tillsynsmail/A 20671-2019 tillsynsbegäran mail.docx", "A 20671-2019")</f>
        <v/>
      </c>
    </row>
    <row r="109" ht="15" customHeight="1">
      <c r="A109" t="inlineStr">
        <is>
          <t>A 36346-2019</t>
        </is>
      </c>
      <c r="B109" s="1" t="n">
        <v>43661</v>
      </c>
      <c r="C109" s="1" t="n">
        <v>45584</v>
      </c>
      <c r="D109" t="inlineStr">
        <is>
          <t>UPPSALA LÄN</t>
        </is>
      </c>
      <c r="E109" t="inlineStr">
        <is>
          <t>UPPSALA</t>
        </is>
      </c>
      <c r="G109" t="n">
        <v>15.8</v>
      </c>
      <c r="H109" t="n">
        <v>0</v>
      </c>
      <c r="I109" t="n">
        <v>0</v>
      </c>
      <c r="J109" t="n">
        <v>1</v>
      </c>
      <c r="K109" t="n">
        <v>0</v>
      </c>
      <c r="L109" t="n">
        <v>0</v>
      </c>
      <c r="M109" t="n">
        <v>0</v>
      </c>
      <c r="N109" t="n">
        <v>0</v>
      </c>
      <c r="O109" t="n">
        <v>1</v>
      </c>
      <c r="P109" t="n">
        <v>0</v>
      </c>
      <c r="Q109" t="n">
        <v>1</v>
      </c>
      <c r="R109" s="2" t="inlineStr">
        <is>
          <t>Rosenticka</t>
        </is>
      </c>
      <c r="S109">
        <f>HYPERLINK("https://klasma.github.io/Logging_0380/artfynd/A 36346-2019 artfynd.xlsx", "A 36346-2019")</f>
        <v/>
      </c>
      <c r="T109">
        <f>HYPERLINK("https://klasma.github.io/Logging_0380/kartor/A 36346-2019 karta.png", "A 36346-2019")</f>
        <v/>
      </c>
      <c r="V109">
        <f>HYPERLINK("https://klasma.github.io/Logging_0380/klagomål/A 36346-2019 FSC-klagomål.docx", "A 36346-2019")</f>
        <v/>
      </c>
      <c r="W109">
        <f>HYPERLINK("https://klasma.github.io/Logging_0380/klagomålsmail/A 36346-2019 FSC-klagomål mail.docx", "A 36346-2019")</f>
        <v/>
      </c>
      <c r="X109">
        <f>HYPERLINK("https://klasma.github.io/Logging_0380/tillsyn/A 36346-2019 tillsynsbegäran.docx", "A 36346-2019")</f>
        <v/>
      </c>
      <c r="Y109">
        <f>HYPERLINK("https://klasma.github.io/Logging_0380/tillsynsmail/A 36346-2019 tillsynsbegäran mail.docx", "A 36346-2019")</f>
        <v/>
      </c>
    </row>
    <row r="110" ht="15" customHeight="1">
      <c r="A110" t="inlineStr">
        <is>
          <t>A 40104-2019</t>
        </is>
      </c>
      <c r="B110" s="1" t="n">
        <v>43693</v>
      </c>
      <c r="C110" s="1" t="n">
        <v>45584</v>
      </c>
      <c r="D110" t="inlineStr">
        <is>
          <t>UPPSALA LÄN</t>
        </is>
      </c>
      <c r="E110" t="inlineStr">
        <is>
          <t>UPPSALA</t>
        </is>
      </c>
      <c r="G110" t="n">
        <v>1.8</v>
      </c>
      <c r="H110" t="n">
        <v>1</v>
      </c>
      <c r="I110" t="n">
        <v>0</v>
      </c>
      <c r="J110" t="n">
        <v>0</v>
      </c>
      <c r="K110" t="n">
        <v>0</v>
      </c>
      <c r="L110" t="n">
        <v>0</v>
      </c>
      <c r="M110" t="n">
        <v>0</v>
      </c>
      <c r="N110" t="n">
        <v>0</v>
      </c>
      <c r="O110" t="n">
        <v>0</v>
      </c>
      <c r="P110" t="n">
        <v>0</v>
      </c>
      <c r="Q110" t="n">
        <v>1</v>
      </c>
      <c r="R110" s="2" t="inlineStr">
        <is>
          <t>Huggorm</t>
        </is>
      </c>
      <c r="S110">
        <f>HYPERLINK("https://klasma.github.io/Logging_0380/artfynd/A 40104-2019 artfynd.xlsx", "A 40104-2019")</f>
        <v/>
      </c>
      <c r="T110">
        <f>HYPERLINK("https://klasma.github.io/Logging_0380/kartor/A 40104-2019 karta.png", "A 40104-2019")</f>
        <v/>
      </c>
      <c r="V110">
        <f>HYPERLINK("https://klasma.github.io/Logging_0380/klagomål/A 40104-2019 FSC-klagomål.docx", "A 40104-2019")</f>
        <v/>
      </c>
      <c r="W110">
        <f>HYPERLINK("https://klasma.github.io/Logging_0380/klagomålsmail/A 40104-2019 FSC-klagomål mail.docx", "A 40104-2019")</f>
        <v/>
      </c>
      <c r="X110">
        <f>HYPERLINK("https://klasma.github.io/Logging_0380/tillsyn/A 40104-2019 tillsynsbegäran.docx", "A 40104-2019")</f>
        <v/>
      </c>
      <c r="Y110">
        <f>HYPERLINK("https://klasma.github.io/Logging_0380/tillsynsmail/A 40104-2019 tillsynsbegäran mail.docx", "A 40104-2019")</f>
        <v/>
      </c>
    </row>
    <row r="111" ht="15" customHeight="1">
      <c r="A111" t="inlineStr">
        <is>
          <t>A 40111-2019</t>
        </is>
      </c>
      <c r="B111" s="1" t="n">
        <v>43693</v>
      </c>
      <c r="C111" s="1" t="n">
        <v>45584</v>
      </c>
      <c r="D111" t="inlineStr">
        <is>
          <t>UPPSALA LÄN</t>
        </is>
      </c>
      <c r="E111" t="inlineStr">
        <is>
          <t>UPPSALA</t>
        </is>
      </c>
      <c r="G111" t="n">
        <v>1.9</v>
      </c>
      <c r="H111" t="n">
        <v>1</v>
      </c>
      <c r="I111" t="n">
        <v>0</v>
      </c>
      <c r="J111" t="n">
        <v>0</v>
      </c>
      <c r="K111" t="n">
        <v>0</v>
      </c>
      <c r="L111" t="n">
        <v>0</v>
      </c>
      <c r="M111" t="n">
        <v>0</v>
      </c>
      <c r="N111" t="n">
        <v>0</v>
      </c>
      <c r="O111" t="n">
        <v>0</v>
      </c>
      <c r="P111" t="n">
        <v>0</v>
      </c>
      <c r="Q111" t="n">
        <v>1</v>
      </c>
      <c r="R111" s="2" t="inlineStr">
        <is>
          <t>Blåsippa</t>
        </is>
      </c>
      <c r="S111">
        <f>HYPERLINK("https://klasma.github.io/Logging_0380/artfynd/A 40111-2019 artfynd.xlsx", "A 40111-2019")</f>
        <v/>
      </c>
      <c r="T111">
        <f>HYPERLINK("https://klasma.github.io/Logging_0380/kartor/A 40111-2019 karta.png", "A 40111-2019")</f>
        <v/>
      </c>
      <c r="V111">
        <f>HYPERLINK("https://klasma.github.io/Logging_0380/klagomål/A 40111-2019 FSC-klagomål.docx", "A 40111-2019")</f>
        <v/>
      </c>
      <c r="W111">
        <f>HYPERLINK("https://klasma.github.io/Logging_0380/klagomålsmail/A 40111-2019 FSC-klagomål mail.docx", "A 40111-2019")</f>
        <v/>
      </c>
      <c r="X111">
        <f>HYPERLINK("https://klasma.github.io/Logging_0380/tillsyn/A 40111-2019 tillsynsbegäran.docx", "A 40111-2019")</f>
        <v/>
      </c>
      <c r="Y111">
        <f>HYPERLINK("https://klasma.github.io/Logging_0380/tillsynsmail/A 40111-2019 tillsynsbegäran mail.docx", "A 40111-2019")</f>
        <v/>
      </c>
    </row>
    <row r="112" ht="15" customHeight="1">
      <c r="A112" t="inlineStr">
        <is>
          <t>A 49081-2019</t>
        </is>
      </c>
      <c r="B112" s="1" t="n">
        <v>43731</v>
      </c>
      <c r="C112" s="1" t="n">
        <v>45584</v>
      </c>
      <c r="D112" t="inlineStr">
        <is>
          <t>UPPSALA LÄN</t>
        </is>
      </c>
      <c r="E112" t="inlineStr">
        <is>
          <t>UPPSALA</t>
        </is>
      </c>
      <c r="G112" t="n">
        <v>14.4</v>
      </c>
      <c r="H112" t="n">
        <v>1</v>
      </c>
      <c r="I112" t="n">
        <v>0</v>
      </c>
      <c r="J112" t="n">
        <v>0</v>
      </c>
      <c r="K112" t="n">
        <v>0</v>
      </c>
      <c r="L112" t="n">
        <v>0</v>
      </c>
      <c r="M112" t="n">
        <v>0</v>
      </c>
      <c r="N112" t="n">
        <v>0</v>
      </c>
      <c r="O112" t="n">
        <v>0</v>
      </c>
      <c r="P112" t="n">
        <v>0</v>
      </c>
      <c r="Q112" t="n">
        <v>1</v>
      </c>
      <c r="R112" s="2" t="inlineStr">
        <is>
          <t>Vanlig padda</t>
        </is>
      </c>
      <c r="S112">
        <f>HYPERLINK("https://klasma.github.io/Logging_0380/artfynd/A 49081-2019 artfynd.xlsx", "A 49081-2019")</f>
        <v/>
      </c>
      <c r="T112">
        <f>HYPERLINK("https://klasma.github.io/Logging_0380/kartor/A 49081-2019 karta.png", "A 49081-2019")</f>
        <v/>
      </c>
      <c r="V112">
        <f>HYPERLINK("https://klasma.github.io/Logging_0380/klagomål/A 49081-2019 FSC-klagomål.docx", "A 49081-2019")</f>
        <v/>
      </c>
      <c r="W112">
        <f>HYPERLINK("https://klasma.github.io/Logging_0380/klagomålsmail/A 49081-2019 FSC-klagomål mail.docx", "A 49081-2019")</f>
        <v/>
      </c>
      <c r="X112">
        <f>HYPERLINK("https://klasma.github.io/Logging_0380/tillsyn/A 49081-2019 tillsynsbegäran.docx", "A 49081-2019")</f>
        <v/>
      </c>
      <c r="Y112">
        <f>HYPERLINK("https://klasma.github.io/Logging_0380/tillsynsmail/A 49081-2019 tillsynsbegäran mail.docx", "A 49081-2019")</f>
        <v/>
      </c>
    </row>
    <row r="113" ht="15" customHeight="1">
      <c r="A113" t="inlineStr">
        <is>
          <t>A 54859-2019</t>
        </is>
      </c>
      <c r="B113" s="1" t="n">
        <v>43755</v>
      </c>
      <c r="C113" s="1" t="n">
        <v>45584</v>
      </c>
      <c r="D113" t="inlineStr">
        <is>
          <t>UPPSALA LÄN</t>
        </is>
      </c>
      <c r="E113" t="inlineStr">
        <is>
          <t>UPPSALA</t>
        </is>
      </c>
      <c r="G113" t="n">
        <v>2.4</v>
      </c>
      <c r="H113" t="n">
        <v>1</v>
      </c>
      <c r="I113" t="n">
        <v>0</v>
      </c>
      <c r="J113" t="n">
        <v>1</v>
      </c>
      <c r="K113" t="n">
        <v>0</v>
      </c>
      <c r="L113" t="n">
        <v>0</v>
      </c>
      <c r="M113" t="n">
        <v>0</v>
      </c>
      <c r="N113" t="n">
        <v>0</v>
      </c>
      <c r="O113" t="n">
        <v>1</v>
      </c>
      <c r="P113" t="n">
        <v>0</v>
      </c>
      <c r="Q113" t="n">
        <v>1</v>
      </c>
      <c r="R113" s="2" t="inlineStr">
        <is>
          <t>Slaguggla</t>
        </is>
      </c>
      <c r="S113">
        <f>HYPERLINK("https://klasma.github.io/Logging_0380/artfynd/A 54859-2019 artfynd.xlsx", "A 54859-2019")</f>
        <v/>
      </c>
      <c r="T113">
        <f>HYPERLINK("https://klasma.github.io/Logging_0380/kartor/A 54859-2019 karta.png", "A 54859-2019")</f>
        <v/>
      </c>
      <c r="V113">
        <f>HYPERLINK("https://klasma.github.io/Logging_0380/klagomål/A 54859-2019 FSC-klagomål.docx", "A 54859-2019")</f>
        <v/>
      </c>
      <c r="W113">
        <f>HYPERLINK("https://klasma.github.io/Logging_0380/klagomålsmail/A 54859-2019 FSC-klagomål mail.docx", "A 54859-2019")</f>
        <v/>
      </c>
      <c r="X113">
        <f>HYPERLINK("https://klasma.github.io/Logging_0380/tillsyn/A 54859-2019 tillsynsbegäran.docx", "A 54859-2019")</f>
        <v/>
      </c>
      <c r="Y113">
        <f>HYPERLINK("https://klasma.github.io/Logging_0380/tillsynsmail/A 54859-2019 tillsynsbegäran mail.docx", "A 54859-2019")</f>
        <v/>
      </c>
      <c r="Z113">
        <f>HYPERLINK("https://klasma.github.io/Logging_0380/fåglar/A 54859-2019 prioriterade fågelarter.docx", "A 54859-2019")</f>
        <v/>
      </c>
    </row>
    <row r="114" ht="15" customHeight="1">
      <c r="A114" t="inlineStr">
        <is>
          <t>A 6659-2020</t>
        </is>
      </c>
      <c r="B114" s="1" t="n">
        <v>43867</v>
      </c>
      <c r="C114" s="1" t="n">
        <v>45584</v>
      </c>
      <c r="D114" t="inlineStr">
        <is>
          <t>UPPSALA LÄN</t>
        </is>
      </c>
      <c r="E114" t="inlineStr">
        <is>
          <t>UPPSALA</t>
        </is>
      </c>
      <c r="G114" t="n">
        <v>3.4</v>
      </c>
      <c r="H114" t="n">
        <v>1</v>
      </c>
      <c r="I114" t="n">
        <v>0</v>
      </c>
      <c r="J114" t="n">
        <v>0</v>
      </c>
      <c r="K114" t="n">
        <v>0</v>
      </c>
      <c r="L114" t="n">
        <v>0</v>
      </c>
      <c r="M114" t="n">
        <v>0</v>
      </c>
      <c r="N114" t="n">
        <v>0</v>
      </c>
      <c r="O114" t="n">
        <v>0</v>
      </c>
      <c r="P114" t="n">
        <v>0</v>
      </c>
      <c r="Q114" t="n">
        <v>1</v>
      </c>
      <c r="R114" s="2" t="inlineStr">
        <is>
          <t>Mindre vattensalamander</t>
        </is>
      </c>
      <c r="S114">
        <f>HYPERLINK("https://klasma.github.io/Logging_0380/artfynd/A 6659-2020 artfynd.xlsx", "A 6659-2020")</f>
        <v/>
      </c>
      <c r="T114">
        <f>HYPERLINK("https://klasma.github.io/Logging_0380/kartor/A 6659-2020 karta.png", "A 6659-2020")</f>
        <v/>
      </c>
      <c r="V114">
        <f>HYPERLINK("https://klasma.github.io/Logging_0380/klagomål/A 6659-2020 FSC-klagomål.docx", "A 6659-2020")</f>
        <v/>
      </c>
      <c r="W114">
        <f>HYPERLINK("https://klasma.github.io/Logging_0380/klagomålsmail/A 6659-2020 FSC-klagomål mail.docx", "A 6659-2020")</f>
        <v/>
      </c>
      <c r="X114">
        <f>HYPERLINK("https://klasma.github.io/Logging_0380/tillsyn/A 6659-2020 tillsynsbegäran.docx", "A 6659-2020")</f>
        <v/>
      </c>
      <c r="Y114">
        <f>HYPERLINK("https://klasma.github.io/Logging_0380/tillsynsmail/A 6659-2020 tillsynsbegäran mail.docx", "A 6659-2020")</f>
        <v/>
      </c>
    </row>
    <row r="115" ht="15" customHeight="1">
      <c r="A115" t="inlineStr">
        <is>
          <t>A 12786-2020</t>
        </is>
      </c>
      <c r="B115" s="1" t="n">
        <v>43893</v>
      </c>
      <c r="C115" s="1" t="n">
        <v>45584</v>
      </c>
      <c r="D115" t="inlineStr">
        <is>
          <t>UPPSALA LÄN</t>
        </is>
      </c>
      <c r="E115" t="inlineStr">
        <is>
          <t>UPPSALA</t>
        </is>
      </c>
      <c r="G115" t="n">
        <v>1</v>
      </c>
      <c r="H115" t="n">
        <v>1</v>
      </c>
      <c r="I115" t="n">
        <v>0</v>
      </c>
      <c r="J115" t="n">
        <v>0</v>
      </c>
      <c r="K115" t="n">
        <v>0</v>
      </c>
      <c r="L115" t="n">
        <v>0</v>
      </c>
      <c r="M115" t="n">
        <v>0</v>
      </c>
      <c r="N115" t="n">
        <v>0</v>
      </c>
      <c r="O115" t="n">
        <v>0</v>
      </c>
      <c r="P115" t="n">
        <v>0</v>
      </c>
      <c r="Q115" t="n">
        <v>1</v>
      </c>
      <c r="R115" s="2" t="inlineStr">
        <is>
          <t>Blåsippa</t>
        </is>
      </c>
      <c r="S115">
        <f>HYPERLINK("https://klasma.github.io/Logging_0380/artfynd/A 12786-2020 artfynd.xlsx", "A 12786-2020")</f>
        <v/>
      </c>
      <c r="T115">
        <f>HYPERLINK("https://klasma.github.io/Logging_0380/kartor/A 12786-2020 karta.png", "A 12786-2020")</f>
        <v/>
      </c>
      <c r="V115">
        <f>HYPERLINK("https://klasma.github.io/Logging_0380/klagomål/A 12786-2020 FSC-klagomål.docx", "A 12786-2020")</f>
        <v/>
      </c>
      <c r="W115">
        <f>HYPERLINK("https://klasma.github.io/Logging_0380/klagomålsmail/A 12786-2020 FSC-klagomål mail.docx", "A 12786-2020")</f>
        <v/>
      </c>
      <c r="X115">
        <f>HYPERLINK("https://klasma.github.io/Logging_0380/tillsyn/A 12786-2020 tillsynsbegäran.docx", "A 12786-2020")</f>
        <v/>
      </c>
      <c r="Y115">
        <f>HYPERLINK("https://klasma.github.io/Logging_0380/tillsynsmail/A 12786-2020 tillsynsbegäran mail.docx", "A 12786-2020")</f>
        <v/>
      </c>
    </row>
    <row r="116" ht="15" customHeight="1">
      <c r="A116" t="inlineStr">
        <is>
          <t>A 25299-2020</t>
        </is>
      </c>
      <c r="B116" s="1" t="n">
        <v>43980</v>
      </c>
      <c r="C116" s="1" t="n">
        <v>45584</v>
      </c>
      <c r="D116" t="inlineStr">
        <is>
          <t>UPPSALA LÄN</t>
        </is>
      </c>
      <c r="E116" t="inlineStr">
        <is>
          <t>UPPSALA</t>
        </is>
      </c>
      <c r="F116" t="inlineStr">
        <is>
          <t>Bergvik skog öst AB</t>
        </is>
      </c>
      <c r="G116" t="n">
        <v>2.5</v>
      </c>
      <c r="H116" t="n">
        <v>0</v>
      </c>
      <c r="I116" t="n">
        <v>1</v>
      </c>
      <c r="J116" t="n">
        <v>0</v>
      </c>
      <c r="K116" t="n">
        <v>0</v>
      </c>
      <c r="L116" t="n">
        <v>0</v>
      </c>
      <c r="M116" t="n">
        <v>0</v>
      </c>
      <c r="N116" t="n">
        <v>0</v>
      </c>
      <c r="O116" t="n">
        <v>0</v>
      </c>
      <c r="P116" t="n">
        <v>0</v>
      </c>
      <c r="Q116" t="n">
        <v>1</v>
      </c>
      <c r="R116" s="2" t="inlineStr">
        <is>
          <t>Scharlakansskål</t>
        </is>
      </c>
      <c r="S116">
        <f>HYPERLINK("https://klasma.github.io/Logging_0380/artfynd/A 25299-2020 artfynd.xlsx", "A 25299-2020")</f>
        <v/>
      </c>
      <c r="T116">
        <f>HYPERLINK("https://klasma.github.io/Logging_0380/kartor/A 25299-2020 karta.png", "A 25299-2020")</f>
        <v/>
      </c>
      <c r="V116">
        <f>HYPERLINK("https://klasma.github.io/Logging_0380/klagomål/A 25299-2020 FSC-klagomål.docx", "A 25299-2020")</f>
        <v/>
      </c>
      <c r="W116">
        <f>HYPERLINK("https://klasma.github.io/Logging_0380/klagomålsmail/A 25299-2020 FSC-klagomål mail.docx", "A 25299-2020")</f>
        <v/>
      </c>
      <c r="X116">
        <f>HYPERLINK("https://klasma.github.io/Logging_0380/tillsyn/A 25299-2020 tillsynsbegäran.docx", "A 25299-2020")</f>
        <v/>
      </c>
      <c r="Y116">
        <f>HYPERLINK("https://klasma.github.io/Logging_0380/tillsynsmail/A 25299-2020 tillsynsbegäran mail.docx", "A 25299-2020")</f>
        <v/>
      </c>
    </row>
    <row r="117" ht="15" customHeight="1">
      <c r="A117" t="inlineStr">
        <is>
          <t>A 35478-2020</t>
        </is>
      </c>
      <c r="B117" s="1" t="n">
        <v>44042</v>
      </c>
      <c r="C117" s="1" t="n">
        <v>45584</v>
      </c>
      <c r="D117" t="inlineStr">
        <is>
          <t>UPPSALA LÄN</t>
        </is>
      </c>
      <c r="E117" t="inlineStr">
        <is>
          <t>UPPSALA</t>
        </is>
      </c>
      <c r="G117" t="n">
        <v>2.5</v>
      </c>
      <c r="H117" t="n">
        <v>0</v>
      </c>
      <c r="I117" t="n">
        <v>1</v>
      </c>
      <c r="J117" t="n">
        <v>0</v>
      </c>
      <c r="K117" t="n">
        <v>0</v>
      </c>
      <c r="L117" t="n">
        <v>0</v>
      </c>
      <c r="M117" t="n">
        <v>0</v>
      </c>
      <c r="N117" t="n">
        <v>0</v>
      </c>
      <c r="O117" t="n">
        <v>0</v>
      </c>
      <c r="P117" t="n">
        <v>0</v>
      </c>
      <c r="Q117" t="n">
        <v>1</v>
      </c>
      <c r="R117" s="2" t="inlineStr">
        <is>
          <t>Stor aspticka</t>
        </is>
      </c>
      <c r="S117">
        <f>HYPERLINK("https://klasma.github.io/Logging_0380/artfynd/A 35478-2020 artfynd.xlsx", "A 35478-2020")</f>
        <v/>
      </c>
      <c r="T117">
        <f>HYPERLINK("https://klasma.github.io/Logging_0380/kartor/A 35478-2020 karta.png", "A 35478-2020")</f>
        <v/>
      </c>
      <c r="V117">
        <f>HYPERLINK("https://klasma.github.io/Logging_0380/klagomål/A 35478-2020 FSC-klagomål.docx", "A 35478-2020")</f>
        <v/>
      </c>
      <c r="W117">
        <f>HYPERLINK("https://klasma.github.io/Logging_0380/klagomålsmail/A 35478-2020 FSC-klagomål mail.docx", "A 35478-2020")</f>
        <v/>
      </c>
      <c r="X117">
        <f>HYPERLINK("https://klasma.github.io/Logging_0380/tillsyn/A 35478-2020 tillsynsbegäran.docx", "A 35478-2020")</f>
        <v/>
      </c>
      <c r="Y117">
        <f>HYPERLINK("https://klasma.github.io/Logging_0380/tillsynsmail/A 35478-2020 tillsynsbegäran mail.docx", "A 35478-2020")</f>
        <v/>
      </c>
    </row>
    <row r="118" ht="15" customHeight="1">
      <c r="A118" t="inlineStr">
        <is>
          <t>A 43192-2020</t>
        </is>
      </c>
      <c r="B118" s="1" t="n">
        <v>44081</v>
      </c>
      <c r="C118" s="1" t="n">
        <v>45584</v>
      </c>
      <c r="D118" t="inlineStr">
        <is>
          <t>UPPSALA LÄN</t>
        </is>
      </c>
      <c r="E118" t="inlineStr">
        <is>
          <t>UPPSALA</t>
        </is>
      </c>
      <c r="G118" t="n">
        <v>16.5</v>
      </c>
      <c r="H118" t="n">
        <v>0</v>
      </c>
      <c r="I118" t="n">
        <v>0</v>
      </c>
      <c r="J118" t="n">
        <v>1</v>
      </c>
      <c r="K118" t="n">
        <v>0</v>
      </c>
      <c r="L118" t="n">
        <v>0</v>
      </c>
      <c r="M118" t="n">
        <v>0</v>
      </c>
      <c r="N118" t="n">
        <v>0</v>
      </c>
      <c r="O118" t="n">
        <v>1</v>
      </c>
      <c r="P118" t="n">
        <v>0</v>
      </c>
      <c r="Q118" t="n">
        <v>1</v>
      </c>
      <c r="R118" s="2" t="inlineStr">
        <is>
          <t>Lunglav</t>
        </is>
      </c>
      <c r="S118">
        <f>HYPERLINK("https://klasma.github.io/Logging_0380/artfynd/A 43192-2020 artfynd.xlsx", "A 43192-2020")</f>
        <v/>
      </c>
      <c r="T118">
        <f>HYPERLINK("https://klasma.github.io/Logging_0380/kartor/A 43192-2020 karta.png", "A 43192-2020")</f>
        <v/>
      </c>
      <c r="V118">
        <f>HYPERLINK("https://klasma.github.io/Logging_0380/klagomål/A 43192-2020 FSC-klagomål.docx", "A 43192-2020")</f>
        <v/>
      </c>
      <c r="W118">
        <f>HYPERLINK("https://klasma.github.io/Logging_0380/klagomålsmail/A 43192-2020 FSC-klagomål mail.docx", "A 43192-2020")</f>
        <v/>
      </c>
      <c r="X118">
        <f>HYPERLINK("https://klasma.github.io/Logging_0380/tillsyn/A 43192-2020 tillsynsbegäran.docx", "A 43192-2020")</f>
        <v/>
      </c>
      <c r="Y118">
        <f>HYPERLINK("https://klasma.github.io/Logging_0380/tillsynsmail/A 43192-2020 tillsynsbegäran mail.docx", "A 43192-2020")</f>
        <v/>
      </c>
    </row>
    <row r="119" ht="15" customHeight="1">
      <c r="A119" t="inlineStr">
        <is>
          <t>A 12255-2021</t>
        </is>
      </c>
      <c r="B119" s="1" t="n">
        <v>44266</v>
      </c>
      <c r="C119" s="1" t="n">
        <v>45584</v>
      </c>
      <c r="D119" t="inlineStr">
        <is>
          <t>UPPSALA LÄN</t>
        </is>
      </c>
      <c r="E119" t="inlineStr">
        <is>
          <t>UPPSALA</t>
        </is>
      </c>
      <c r="F119" t="inlineStr">
        <is>
          <t>Bergvik skog öst AB</t>
        </is>
      </c>
      <c r="G119" t="n">
        <v>19.1</v>
      </c>
      <c r="H119" t="n">
        <v>0</v>
      </c>
      <c r="I119" t="n">
        <v>0</v>
      </c>
      <c r="J119" t="n">
        <v>1</v>
      </c>
      <c r="K119" t="n">
        <v>0</v>
      </c>
      <c r="L119" t="n">
        <v>0</v>
      </c>
      <c r="M119" t="n">
        <v>0</v>
      </c>
      <c r="N119" t="n">
        <v>0</v>
      </c>
      <c r="O119" t="n">
        <v>1</v>
      </c>
      <c r="P119" t="n">
        <v>0</v>
      </c>
      <c r="Q119" t="n">
        <v>1</v>
      </c>
      <c r="R119" s="2" t="inlineStr">
        <is>
          <t>Sexfläckig bastardsvärmare</t>
        </is>
      </c>
      <c r="S119">
        <f>HYPERLINK("https://klasma.github.io/Logging_0380/artfynd/A 12255-2021 artfynd.xlsx", "A 12255-2021")</f>
        <v/>
      </c>
      <c r="T119">
        <f>HYPERLINK("https://klasma.github.io/Logging_0380/kartor/A 12255-2021 karta.png", "A 12255-2021")</f>
        <v/>
      </c>
      <c r="V119">
        <f>HYPERLINK("https://klasma.github.io/Logging_0380/klagomål/A 12255-2021 FSC-klagomål.docx", "A 12255-2021")</f>
        <v/>
      </c>
      <c r="W119">
        <f>HYPERLINK("https://klasma.github.io/Logging_0380/klagomålsmail/A 12255-2021 FSC-klagomål mail.docx", "A 12255-2021")</f>
        <v/>
      </c>
      <c r="X119">
        <f>HYPERLINK("https://klasma.github.io/Logging_0380/tillsyn/A 12255-2021 tillsynsbegäran.docx", "A 12255-2021")</f>
        <v/>
      </c>
      <c r="Y119">
        <f>HYPERLINK("https://klasma.github.io/Logging_0380/tillsynsmail/A 12255-2021 tillsynsbegäran mail.docx", "A 12255-2021")</f>
        <v/>
      </c>
    </row>
    <row r="120" ht="15" customHeight="1">
      <c r="A120" t="inlineStr">
        <is>
          <t>A 52849-2021</t>
        </is>
      </c>
      <c r="B120" s="1" t="n">
        <v>44467</v>
      </c>
      <c r="C120" s="1" t="n">
        <v>45584</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58050-2021</t>
        </is>
      </c>
      <c r="B121" s="1" t="n">
        <v>44487</v>
      </c>
      <c r="C121" s="1" t="n">
        <v>45584</v>
      </c>
      <c r="D121" t="inlineStr">
        <is>
          <t>UPPSALA LÄN</t>
        </is>
      </c>
      <c r="E121" t="inlineStr">
        <is>
          <t>UPPSALA</t>
        </is>
      </c>
      <c r="G121" t="n">
        <v>4.4</v>
      </c>
      <c r="H121" t="n">
        <v>0</v>
      </c>
      <c r="I121" t="n">
        <v>0</v>
      </c>
      <c r="J121" t="n">
        <v>1</v>
      </c>
      <c r="K121" t="n">
        <v>0</v>
      </c>
      <c r="L121" t="n">
        <v>0</v>
      </c>
      <c r="M121" t="n">
        <v>0</v>
      </c>
      <c r="N121" t="n">
        <v>0</v>
      </c>
      <c r="O121" t="n">
        <v>1</v>
      </c>
      <c r="P121" t="n">
        <v>0</v>
      </c>
      <c r="Q121" t="n">
        <v>1</v>
      </c>
      <c r="R121" s="2" t="inlineStr">
        <is>
          <t>Ullticka</t>
        </is>
      </c>
      <c r="S121">
        <f>HYPERLINK("https://klasma.github.io/Logging_0380/artfynd/A 58050-2021 artfynd.xlsx", "A 58050-2021")</f>
        <v/>
      </c>
      <c r="T121">
        <f>HYPERLINK("https://klasma.github.io/Logging_0380/kartor/A 58050-2021 karta.png", "A 58050-2021")</f>
        <v/>
      </c>
      <c r="V121">
        <f>HYPERLINK("https://klasma.github.io/Logging_0380/klagomål/A 58050-2021 FSC-klagomål.docx", "A 58050-2021")</f>
        <v/>
      </c>
      <c r="W121">
        <f>HYPERLINK("https://klasma.github.io/Logging_0380/klagomålsmail/A 58050-2021 FSC-klagomål mail.docx", "A 58050-2021")</f>
        <v/>
      </c>
      <c r="X121">
        <f>HYPERLINK("https://klasma.github.io/Logging_0380/tillsyn/A 58050-2021 tillsynsbegäran.docx", "A 58050-2021")</f>
        <v/>
      </c>
      <c r="Y121">
        <f>HYPERLINK("https://klasma.github.io/Logging_0380/tillsynsmail/A 58050-2021 tillsynsbegäran mail.docx", "A 58050-2021")</f>
        <v/>
      </c>
    </row>
    <row r="122" ht="15" customHeight="1">
      <c r="A122" t="inlineStr">
        <is>
          <t>A 58906-2021</t>
        </is>
      </c>
      <c r="B122" s="1" t="n">
        <v>44489</v>
      </c>
      <c r="C122" s="1" t="n">
        <v>45584</v>
      </c>
      <c r="D122" t="inlineStr">
        <is>
          <t>UPPSALA LÄN</t>
        </is>
      </c>
      <c r="E122" t="inlineStr">
        <is>
          <t>UPPSALA</t>
        </is>
      </c>
      <c r="G122" t="n">
        <v>8.6</v>
      </c>
      <c r="H122" t="n">
        <v>0</v>
      </c>
      <c r="I122" t="n">
        <v>0</v>
      </c>
      <c r="J122" t="n">
        <v>1</v>
      </c>
      <c r="K122" t="n">
        <v>0</v>
      </c>
      <c r="L122" t="n">
        <v>0</v>
      </c>
      <c r="M122" t="n">
        <v>0</v>
      </c>
      <c r="N122" t="n">
        <v>0</v>
      </c>
      <c r="O122" t="n">
        <v>1</v>
      </c>
      <c r="P122" t="n">
        <v>0</v>
      </c>
      <c r="Q122" t="n">
        <v>1</v>
      </c>
      <c r="R122" s="2" t="inlineStr">
        <is>
          <t>Ullticka</t>
        </is>
      </c>
      <c r="S122">
        <f>HYPERLINK("https://klasma.github.io/Logging_0380/artfynd/A 58906-2021 artfynd.xlsx", "A 58906-2021")</f>
        <v/>
      </c>
      <c r="T122">
        <f>HYPERLINK("https://klasma.github.io/Logging_0380/kartor/A 58906-2021 karta.png", "A 58906-2021")</f>
        <v/>
      </c>
      <c r="V122">
        <f>HYPERLINK("https://klasma.github.io/Logging_0380/klagomål/A 58906-2021 FSC-klagomål.docx", "A 58906-2021")</f>
        <v/>
      </c>
      <c r="W122">
        <f>HYPERLINK("https://klasma.github.io/Logging_0380/klagomålsmail/A 58906-2021 FSC-klagomål mail.docx", "A 58906-2021")</f>
        <v/>
      </c>
      <c r="X122">
        <f>HYPERLINK("https://klasma.github.io/Logging_0380/tillsyn/A 58906-2021 tillsynsbegäran.docx", "A 58906-2021")</f>
        <v/>
      </c>
      <c r="Y122">
        <f>HYPERLINK("https://klasma.github.io/Logging_0380/tillsynsmail/A 58906-2021 tillsynsbegäran mail.docx", "A 58906-2021")</f>
        <v/>
      </c>
    </row>
    <row r="123" ht="15" customHeight="1">
      <c r="A123" t="inlineStr">
        <is>
          <t>A 3257-2022</t>
        </is>
      </c>
      <c r="B123" s="1" t="n">
        <v>44583</v>
      </c>
      <c r="C123" s="1" t="n">
        <v>45584</v>
      </c>
      <c r="D123" t="inlineStr">
        <is>
          <t>UPPSALA LÄN</t>
        </is>
      </c>
      <c r="E123" t="inlineStr">
        <is>
          <t>UPPSALA</t>
        </is>
      </c>
      <c r="F123" t="inlineStr">
        <is>
          <t>Holmen skog AB</t>
        </is>
      </c>
      <c r="G123" t="n">
        <v>1.9</v>
      </c>
      <c r="H123" t="n">
        <v>0</v>
      </c>
      <c r="I123" t="n">
        <v>1</v>
      </c>
      <c r="J123" t="n">
        <v>0</v>
      </c>
      <c r="K123" t="n">
        <v>0</v>
      </c>
      <c r="L123" t="n">
        <v>0</v>
      </c>
      <c r="M123" t="n">
        <v>0</v>
      </c>
      <c r="N123" t="n">
        <v>0</v>
      </c>
      <c r="O123" t="n">
        <v>0</v>
      </c>
      <c r="P123" t="n">
        <v>0</v>
      </c>
      <c r="Q123" t="n">
        <v>1</v>
      </c>
      <c r="R123" s="2" t="inlineStr">
        <is>
          <t>Gulpudrad spiklav</t>
        </is>
      </c>
      <c r="S123">
        <f>HYPERLINK("https://klasma.github.io/Logging_0380/artfynd/A 3257-2022 artfynd.xlsx", "A 3257-2022")</f>
        <v/>
      </c>
      <c r="T123">
        <f>HYPERLINK("https://klasma.github.io/Logging_0380/kartor/A 3257-2022 karta.png", "A 3257-2022")</f>
        <v/>
      </c>
      <c r="V123">
        <f>HYPERLINK("https://klasma.github.io/Logging_0380/klagomål/A 3257-2022 FSC-klagomål.docx", "A 3257-2022")</f>
        <v/>
      </c>
      <c r="W123">
        <f>HYPERLINK("https://klasma.github.io/Logging_0380/klagomålsmail/A 3257-2022 FSC-klagomål mail.docx", "A 3257-2022")</f>
        <v/>
      </c>
      <c r="X123">
        <f>HYPERLINK("https://klasma.github.io/Logging_0380/tillsyn/A 3257-2022 tillsynsbegäran.docx", "A 3257-2022")</f>
        <v/>
      </c>
      <c r="Y123">
        <f>HYPERLINK("https://klasma.github.io/Logging_0380/tillsynsmail/A 3257-2022 tillsynsbegäran mail.docx", "A 3257-2022")</f>
        <v/>
      </c>
    </row>
    <row r="124" ht="15" customHeight="1">
      <c r="A124" t="inlineStr">
        <is>
          <t>A 4449-2022</t>
        </is>
      </c>
      <c r="B124" s="1" t="n">
        <v>44589</v>
      </c>
      <c r="C124" s="1" t="n">
        <v>45584</v>
      </c>
      <c r="D124" t="inlineStr">
        <is>
          <t>UPPSALA LÄN</t>
        </is>
      </c>
      <c r="E124" t="inlineStr">
        <is>
          <t>UPPSALA</t>
        </is>
      </c>
      <c r="G124" t="n">
        <v>8.9</v>
      </c>
      <c r="H124" t="n">
        <v>0</v>
      </c>
      <c r="I124" t="n">
        <v>0</v>
      </c>
      <c r="J124" t="n">
        <v>1</v>
      </c>
      <c r="K124" t="n">
        <v>0</v>
      </c>
      <c r="L124" t="n">
        <v>0</v>
      </c>
      <c r="M124" t="n">
        <v>0</v>
      </c>
      <c r="N124" t="n">
        <v>0</v>
      </c>
      <c r="O124" t="n">
        <v>1</v>
      </c>
      <c r="P124" t="n">
        <v>0</v>
      </c>
      <c r="Q124" t="n">
        <v>1</v>
      </c>
      <c r="R124" s="2" t="inlineStr">
        <is>
          <t>Gul taggsvamp</t>
        </is>
      </c>
      <c r="S124">
        <f>HYPERLINK("https://klasma.github.io/Logging_0380/artfynd/A 4449-2022 artfynd.xlsx", "A 4449-2022")</f>
        <v/>
      </c>
      <c r="T124">
        <f>HYPERLINK("https://klasma.github.io/Logging_0380/kartor/A 4449-2022 karta.png", "A 4449-2022")</f>
        <v/>
      </c>
      <c r="V124">
        <f>HYPERLINK("https://klasma.github.io/Logging_0380/klagomål/A 4449-2022 FSC-klagomål.docx", "A 4449-2022")</f>
        <v/>
      </c>
      <c r="W124">
        <f>HYPERLINK("https://klasma.github.io/Logging_0380/klagomålsmail/A 4449-2022 FSC-klagomål mail.docx", "A 4449-2022")</f>
        <v/>
      </c>
      <c r="X124">
        <f>HYPERLINK("https://klasma.github.io/Logging_0380/tillsyn/A 4449-2022 tillsynsbegäran.docx", "A 4449-2022")</f>
        <v/>
      </c>
      <c r="Y124">
        <f>HYPERLINK("https://klasma.github.io/Logging_0380/tillsynsmail/A 4449-2022 tillsynsbegäran mail.docx", "A 4449-2022")</f>
        <v/>
      </c>
    </row>
    <row r="125" ht="15" customHeight="1">
      <c r="A125" t="inlineStr">
        <is>
          <t>A 8865-2022</t>
        </is>
      </c>
      <c r="B125" s="1" t="n">
        <v>44614</v>
      </c>
      <c r="C125" s="1" t="n">
        <v>45584</v>
      </c>
      <c r="D125" t="inlineStr">
        <is>
          <t>UPPSALA LÄN</t>
        </is>
      </c>
      <c r="E125" t="inlineStr">
        <is>
          <t>UPPSALA</t>
        </is>
      </c>
      <c r="G125" t="n">
        <v>1.1</v>
      </c>
      <c r="H125" t="n">
        <v>0</v>
      </c>
      <c r="I125" t="n">
        <v>1</v>
      </c>
      <c r="J125" t="n">
        <v>0</v>
      </c>
      <c r="K125" t="n">
        <v>0</v>
      </c>
      <c r="L125" t="n">
        <v>0</v>
      </c>
      <c r="M125" t="n">
        <v>0</v>
      </c>
      <c r="N125" t="n">
        <v>0</v>
      </c>
      <c r="O125" t="n">
        <v>0</v>
      </c>
      <c r="P125" t="n">
        <v>0</v>
      </c>
      <c r="Q125" t="n">
        <v>1</v>
      </c>
      <c r="R125" s="2" t="inlineStr">
        <is>
          <t>Narrtagging</t>
        </is>
      </c>
      <c r="S125">
        <f>HYPERLINK("https://klasma.github.io/Logging_0380/artfynd/A 8865-2022 artfynd.xlsx", "A 8865-2022")</f>
        <v/>
      </c>
      <c r="T125">
        <f>HYPERLINK("https://klasma.github.io/Logging_0380/kartor/A 8865-2022 karta.png", "A 8865-2022")</f>
        <v/>
      </c>
      <c r="V125">
        <f>HYPERLINK("https://klasma.github.io/Logging_0380/klagomål/A 8865-2022 FSC-klagomål.docx", "A 8865-2022")</f>
        <v/>
      </c>
      <c r="W125">
        <f>HYPERLINK("https://klasma.github.io/Logging_0380/klagomålsmail/A 8865-2022 FSC-klagomål mail.docx", "A 8865-2022")</f>
        <v/>
      </c>
      <c r="X125">
        <f>HYPERLINK("https://klasma.github.io/Logging_0380/tillsyn/A 8865-2022 tillsynsbegäran.docx", "A 8865-2022")</f>
        <v/>
      </c>
      <c r="Y125">
        <f>HYPERLINK("https://klasma.github.io/Logging_0380/tillsynsmail/A 8865-2022 tillsynsbegäran mail.docx", "A 8865-2022")</f>
        <v/>
      </c>
    </row>
    <row r="126" ht="15" customHeight="1">
      <c r="A126" t="inlineStr">
        <is>
          <t>A 13363-2022</t>
        </is>
      </c>
      <c r="B126" s="1" t="n">
        <v>44645</v>
      </c>
      <c r="C126" s="1" t="n">
        <v>45584</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19376-2022</t>
        </is>
      </c>
      <c r="B127" s="1" t="n">
        <v>44692</v>
      </c>
      <c r="C127" s="1" t="n">
        <v>45584</v>
      </c>
      <c r="D127" t="inlineStr">
        <is>
          <t>UPPSALA LÄN</t>
        </is>
      </c>
      <c r="E127" t="inlineStr">
        <is>
          <t>UPPSALA</t>
        </is>
      </c>
      <c r="F127" t="inlineStr">
        <is>
          <t>Bergvik skog öst AB</t>
        </is>
      </c>
      <c r="G127" t="n">
        <v>6.8</v>
      </c>
      <c r="H127" t="n">
        <v>0</v>
      </c>
      <c r="I127" t="n">
        <v>1</v>
      </c>
      <c r="J127" t="n">
        <v>0</v>
      </c>
      <c r="K127" t="n">
        <v>0</v>
      </c>
      <c r="L127" t="n">
        <v>0</v>
      </c>
      <c r="M127" t="n">
        <v>0</v>
      </c>
      <c r="N127" t="n">
        <v>0</v>
      </c>
      <c r="O127" t="n">
        <v>0</v>
      </c>
      <c r="P127" t="n">
        <v>0</v>
      </c>
      <c r="Q127" t="n">
        <v>1</v>
      </c>
      <c r="R127" s="2" t="inlineStr">
        <is>
          <t>Vårärt</t>
        </is>
      </c>
      <c r="S127">
        <f>HYPERLINK("https://klasma.github.io/Logging_0380/artfynd/A 19376-2022 artfynd.xlsx", "A 19376-2022")</f>
        <v/>
      </c>
      <c r="T127">
        <f>HYPERLINK("https://klasma.github.io/Logging_0380/kartor/A 19376-2022 karta.png", "A 19376-2022")</f>
        <v/>
      </c>
      <c r="V127">
        <f>HYPERLINK("https://klasma.github.io/Logging_0380/klagomål/A 19376-2022 FSC-klagomål.docx", "A 19376-2022")</f>
        <v/>
      </c>
      <c r="W127">
        <f>HYPERLINK("https://klasma.github.io/Logging_0380/klagomålsmail/A 19376-2022 FSC-klagomål mail.docx", "A 19376-2022")</f>
        <v/>
      </c>
      <c r="X127">
        <f>HYPERLINK("https://klasma.github.io/Logging_0380/tillsyn/A 19376-2022 tillsynsbegäran.docx", "A 19376-2022")</f>
        <v/>
      </c>
      <c r="Y127">
        <f>HYPERLINK("https://klasma.github.io/Logging_0380/tillsynsmail/A 19376-2022 tillsynsbegäran mail.docx", "A 19376-2022")</f>
        <v/>
      </c>
    </row>
    <row r="128" ht="15" customHeight="1">
      <c r="A128" t="inlineStr">
        <is>
          <t>A 23141-2022</t>
        </is>
      </c>
      <c r="B128" s="1" t="n">
        <v>44719</v>
      </c>
      <c r="C128" s="1" t="n">
        <v>45584</v>
      </c>
      <c r="D128" t="inlineStr">
        <is>
          <t>UPPSALA LÄN</t>
        </is>
      </c>
      <c r="E128" t="inlineStr">
        <is>
          <t>UPPSALA</t>
        </is>
      </c>
      <c r="G128" t="n">
        <v>3.1</v>
      </c>
      <c r="H128" t="n">
        <v>1</v>
      </c>
      <c r="I128" t="n">
        <v>0</v>
      </c>
      <c r="J128" t="n">
        <v>0</v>
      </c>
      <c r="K128" t="n">
        <v>0</v>
      </c>
      <c r="L128" t="n">
        <v>0</v>
      </c>
      <c r="M128" t="n">
        <v>0</v>
      </c>
      <c r="N128" t="n">
        <v>0</v>
      </c>
      <c r="O128" t="n">
        <v>0</v>
      </c>
      <c r="P128" t="n">
        <v>0</v>
      </c>
      <c r="Q128" t="n">
        <v>1</v>
      </c>
      <c r="R128" s="2" t="inlineStr">
        <is>
          <t>Enkelbeckasin</t>
        </is>
      </c>
      <c r="S128">
        <f>HYPERLINK("https://klasma.github.io/Logging_0380/artfynd/A 23141-2022 artfynd.xlsx", "A 23141-2022")</f>
        <v/>
      </c>
      <c r="T128">
        <f>HYPERLINK("https://klasma.github.io/Logging_0380/kartor/A 23141-2022 karta.png", "A 23141-2022")</f>
        <v/>
      </c>
      <c r="V128">
        <f>HYPERLINK("https://klasma.github.io/Logging_0380/klagomål/A 23141-2022 FSC-klagomål.docx", "A 23141-2022")</f>
        <v/>
      </c>
      <c r="W128">
        <f>HYPERLINK("https://klasma.github.io/Logging_0380/klagomålsmail/A 23141-2022 FSC-klagomål mail.docx", "A 23141-2022")</f>
        <v/>
      </c>
      <c r="X128">
        <f>HYPERLINK("https://klasma.github.io/Logging_0380/tillsyn/A 23141-2022 tillsynsbegäran.docx", "A 23141-2022")</f>
        <v/>
      </c>
      <c r="Y128">
        <f>HYPERLINK("https://klasma.github.io/Logging_0380/tillsynsmail/A 23141-2022 tillsynsbegäran mail.docx", "A 23141-2022")</f>
        <v/>
      </c>
      <c r="Z128">
        <f>HYPERLINK("https://klasma.github.io/Logging_0380/fåglar/A 23141-2022 prioriterade fågelarter.docx", "A 23141-2022")</f>
        <v/>
      </c>
    </row>
    <row r="129" ht="15" customHeight="1">
      <c r="A129" t="inlineStr">
        <is>
          <t>A 25119-2022</t>
        </is>
      </c>
      <c r="B129" s="1" t="n">
        <v>44729</v>
      </c>
      <c r="C129" s="1" t="n">
        <v>45584</v>
      </c>
      <c r="D129" t="inlineStr">
        <is>
          <t>UPPSALA LÄN</t>
        </is>
      </c>
      <c r="E129" t="inlineStr">
        <is>
          <t>UPPSALA</t>
        </is>
      </c>
      <c r="F129" t="inlineStr">
        <is>
          <t>Kommuner</t>
        </is>
      </c>
      <c r="G129" t="n">
        <v>0.9</v>
      </c>
      <c r="H129" t="n">
        <v>0</v>
      </c>
      <c r="I129" t="n">
        <v>1</v>
      </c>
      <c r="J129" t="n">
        <v>0</v>
      </c>
      <c r="K129" t="n">
        <v>0</v>
      </c>
      <c r="L129" t="n">
        <v>0</v>
      </c>
      <c r="M129" t="n">
        <v>0</v>
      </c>
      <c r="N129" t="n">
        <v>0</v>
      </c>
      <c r="O129" t="n">
        <v>0</v>
      </c>
      <c r="P129" t="n">
        <v>0</v>
      </c>
      <c r="Q129" t="n">
        <v>1</v>
      </c>
      <c r="R129" s="2" t="inlineStr">
        <is>
          <t>Stor aspticka</t>
        </is>
      </c>
      <c r="S129">
        <f>HYPERLINK("https://klasma.github.io/Logging_0380/artfynd/A 25119-2022 artfynd.xlsx", "A 25119-2022")</f>
        <v/>
      </c>
      <c r="T129">
        <f>HYPERLINK("https://klasma.github.io/Logging_0380/kartor/A 25119-2022 karta.png", "A 25119-2022")</f>
        <v/>
      </c>
      <c r="V129">
        <f>HYPERLINK("https://klasma.github.io/Logging_0380/klagomål/A 25119-2022 FSC-klagomål.docx", "A 25119-2022")</f>
        <v/>
      </c>
      <c r="W129">
        <f>HYPERLINK("https://klasma.github.io/Logging_0380/klagomålsmail/A 25119-2022 FSC-klagomål mail.docx", "A 25119-2022")</f>
        <v/>
      </c>
      <c r="X129">
        <f>HYPERLINK("https://klasma.github.io/Logging_0380/tillsyn/A 25119-2022 tillsynsbegäran.docx", "A 25119-2022")</f>
        <v/>
      </c>
      <c r="Y129">
        <f>HYPERLINK("https://klasma.github.io/Logging_0380/tillsynsmail/A 25119-2022 tillsynsbegäran mail.docx", "A 25119-2022")</f>
        <v/>
      </c>
    </row>
    <row r="130" ht="15" customHeight="1">
      <c r="A130" t="inlineStr">
        <is>
          <t>A 46634-2022</t>
        </is>
      </c>
      <c r="B130" s="1" t="n">
        <v>44849</v>
      </c>
      <c r="C130" s="1" t="n">
        <v>45584</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49015-2022</t>
        </is>
      </c>
      <c r="B131" s="1" t="n">
        <v>44855</v>
      </c>
      <c r="C131" s="1" t="n">
        <v>45584</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57793-2022</t>
        </is>
      </c>
      <c r="B132" s="1" t="n">
        <v>44897</v>
      </c>
      <c r="C132" s="1" t="n">
        <v>45584</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Talltita</t>
        </is>
      </c>
      <c r="S132">
        <f>HYPERLINK("https://klasma.github.io/Logging_0380/artfynd/A 57793-2022 artfynd.xlsx", "A 57793-2022")</f>
        <v/>
      </c>
      <c r="T132">
        <f>HYPERLINK("https://klasma.github.io/Logging_0380/kartor/A 57793-2022 karta.png", "A 57793-2022")</f>
        <v/>
      </c>
      <c r="V132">
        <f>HYPERLINK("https://klasma.github.io/Logging_0380/klagomål/A 57793-2022 FSC-klagomål.docx", "A 57793-2022")</f>
        <v/>
      </c>
      <c r="W132">
        <f>HYPERLINK("https://klasma.github.io/Logging_0380/klagomålsmail/A 57793-2022 FSC-klagomål mail.docx", "A 57793-2022")</f>
        <v/>
      </c>
      <c r="X132">
        <f>HYPERLINK("https://klasma.github.io/Logging_0380/tillsyn/A 57793-2022 tillsynsbegäran.docx", "A 57793-2022")</f>
        <v/>
      </c>
      <c r="Y132">
        <f>HYPERLINK("https://klasma.github.io/Logging_0380/tillsynsmail/A 57793-2022 tillsynsbegäran mail.docx", "A 57793-2022")</f>
        <v/>
      </c>
      <c r="Z132">
        <f>HYPERLINK("https://klasma.github.io/Logging_0380/fåglar/A 57793-2022 prioriterade fågelarter.docx", "A 57793-2022")</f>
        <v/>
      </c>
    </row>
    <row r="133" ht="15" customHeight="1">
      <c r="A133" t="inlineStr">
        <is>
          <t>A 61818-2022</t>
        </is>
      </c>
      <c r="B133" s="1" t="n">
        <v>44917</v>
      </c>
      <c r="C133" s="1" t="n">
        <v>45584</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61830-2022</t>
        </is>
      </c>
      <c r="B134" s="1" t="n">
        <v>44917</v>
      </c>
      <c r="C134" s="1" t="n">
        <v>45584</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5009-2023</t>
        </is>
      </c>
      <c r="B135" s="1" t="n">
        <v>44958</v>
      </c>
      <c r="C135" s="1" t="n">
        <v>45584</v>
      </c>
      <c r="D135" t="inlineStr">
        <is>
          <t>UPPSALA LÄN</t>
        </is>
      </c>
      <c r="E135" t="inlineStr">
        <is>
          <t>UPPSALA</t>
        </is>
      </c>
      <c r="G135" t="n">
        <v>4.7</v>
      </c>
      <c r="H135" t="n">
        <v>1</v>
      </c>
      <c r="I135" t="n">
        <v>0</v>
      </c>
      <c r="J135" t="n">
        <v>0</v>
      </c>
      <c r="K135" t="n">
        <v>0</v>
      </c>
      <c r="L135" t="n">
        <v>0</v>
      </c>
      <c r="M135" t="n">
        <v>0</v>
      </c>
      <c r="N135" t="n">
        <v>0</v>
      </c>
      <c r="O135" t="n">
        <v>0</v>
      </c>
      <c r="P135" t="n">
        <v>0</v>
      </c>
      <c r="Q135" t="n">
        <v>1</v>
      </c>
      <c r="R135" s="2" t="inlineStr">
        <is>
          <t>Blåsippa</t>
        </is>
      </c>
      <c r="S135">
        <f>HYPERLINK("https://klasma.github.io/Logging_0380/artfynd/A 5009-2023 artfynd.xlsx", "A 5009-2023")</f>
        <v/>
      </c>
      <c r="T135">
        <f>HYPERLINK("https://klasma.github.io/Logging_0380/kartor/A 5009-2023 karta.png", "A 5009-2023")</f>
        <v/>
      </c>
      <c r="V135">
        <f>HYPERLINK("https://klasma.github.io/Logging_0380/klagomål/A 5009-2023 FSC-klagomål.docx", "A 5009-2023")</f>
        <v/>
      </c>
      <c r="W135">
        <f>HYPERLINK("https://klasma.github.io/Logging_0380/klagomålsmail/A 5009-2023 FSC-klagomål mail.docx", "A 5009-2023")</f>
        <v/>
      </c>
      <c r="X135">
        <f>HYPERLINK("https://klasma.github.io/Logging_0380/tillsyn/A 5009-2023 tillsynsbegäran.docx", "A 5009-2023")</f>
        <v/>
      </c>
      <c r="Y135">
        <f>HYPERLINK("https://klasma.github.io/Logging_0380/tillsynsmail/A 5009-2023 tillsynsbegäran mail.docx", "A 5009-2023")</f>
        <v/>
      </c>
    </row>
    <row r="136" ht="15" customHeight="1">
      <c r="A136" t="inlineStr">
        <is>
          <t>A 5750-2023</t>
        </is>
      </c>
      <c r="B136" s="1" t="n">
        <v>44963</v>
      </c>
      <c r="C136" s="1" t="n">
        <v>45584</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13154-2023</t>
        </is>
      </c>
      <c r="B137" s="1" t="n">
        <v>45002</v>
      </c>
      <c r="C137" s="1" t="n">
        <v>45584</v>
      </c>
      <c r="D137" t="inlineStr">
        <is>
          <t>UPPSALA LÄN</t>
        </is>
      </c>
      <c r="E137" t="inlineStr">
        <is>
          <t>UPPSALA</t>
        </is>
      </c>
      <c r="F137" t="inlineStr">
        <is>
          <t>Holmen skog AB</t>
        </is>
      </c>
      <c r="G137" t="n">
        <v>2.6</v>
      </c>
      <c r="H137" t="n">
        <v>0</v>
      </c>
      <c r="I137" t="n">
        <v>1</v>
      </c>
      <c r="J137" t="n">
        <v>0</v>
      </c>
      <c r="K137" t="n">
        <v>0</v>
      </c>
      <c r="L137" t="n">
        <v>0</v>
      </c>
      <c r="M137" t="n">
        <v>0</v>
      </c>
      <c r="N137" t="n">
        <v>0</v>
      </c>
      <c r="O137" t="n">
        <v>0</v>
      </c>
      <c r="P137" t="n">
        <v>0</v>
      </c>
      <c r="Q137" t="n">
        <v>1</v>
      </c>
      <c r="R137" s="2" t="inlineStr">
        <is>
          <t>Korallblylav</t>
        </is>
      </c>
      <c r="S137">
        <f>HYPERLINK("https://klasma.github.io/Logging_0380/artfynd/A 13154-2023 artfynd.xlsx", "A 13154-2023")</f>
        <v/>
      </c>
      <c r="T137">
        <f>HYPERLINK("https://klasma.github.io/Logging_0380/kartor/A 13154-2023 karta.png", "A 13154-2023")</f>
        <v/>
      </c>
      <c r="V137">
        <f>HYPERLINK("https://klasma.github.io/Logging_0380/klagomål/A 13154-2023 FSC-klagomål.docx", "A 13154-2023")</f>
        <v/>
      </c>
      <c r="W137">
        <f>HYPERLINK("https://klasma.github.io/Logging_0380/klagomålsmail/A 13154-2023 FSC-klagomål mail.docx", "A 13154-2023")</f>
        <v/>
      </c>
      <c r="X137">
        <f>HYPERLINK("https://klasma.github.io/Logging_0380/tillsyn/A 13154-2023 tillsynsbegäran.docx", "A 13154-2023")</f>
        <v/>
      </c>
      <c r="Y137">
        <f>HYPERLINK("https://klasma.github.io/Logging_0380/tillsynsmail/A 13154-2023 tillsynsbegäran mail.docx", "A 13154-2023")</f>
        <v/>
      </c>
    </row>
    <row r="138" ht="15" customHeight="1">
      <c r="A138" t="inlineStr">
        <is>
          <t>A 15722-2023</t>
        </is>
      </c>
      <c r="B138" s="1" t="n">
        <v>45021</v>
      </c>
      <c r="C138" s="1" t="n">
        <v>45584</v>
      </c>
      <c r="D138" t="inlineStr">
        <is>
          <t>UPPSALA LÄN</t>
        </is>
      </c>
      <c r="E138" t="inlineStr">
        <is>
          <t>UPPSALA</t>
        </is>
      </c>
      <c r="G138" t="n">
        <v>15.2</v>
      </c>
      <c r="H138" t="n">
        <v>0</v>
      </c>
      <c r="I138" t="n">
        <v>1</v>
      </c>
      <c r="J138" t="n">
        <v>0</v>
      </c>
      <c r="K138" t="n">
        <v>0</v>
      </c>
      <c r="L138" t="n">
        <v>0</v>
      </c>
      <c r="M138" t="n">
        <v>0</v>
      </c>
      <c r="N138" t="n">
        <v>0</v>
      </c>
      <c r="O138" t="n">
        <v>0</v>
      </c>
      <c r="P138" t="n">
        <v>0</v>
      </c>
      <c r="Q138" t="n">
        <v>1</v>
      </c>
      <c r="R138" s="2" t="inlineStr">
        <is>
          <t>Tibast</t>
        </is>
      </c>
      <c r="S138">
        <f>HYPERLINK("https://klasma.github.io/Logging_0380/artfynd/A 15722-2023 artfynd.xlsx", "A 15722-2023")</f>
        <v/>
      </c>
      <c r="T138">
        <f>HYPERLINK("https://klasma.github.io/Logging_0380/kartor/A 15722-2023 karta.png", "A 15722-2023")</f>
        <v/>
      </c>
      <c r="V138">
        <f>HYPERLINK("https://klasma.github.io/Logging_0380/klagomål/A 15722-2023 FSC-klagomål.docx", "A 15722-2023")</f>
        <v/>
      </c>
      <c r="W138">
        <f>HYPERLINK("https://klasma.github.io/Logging_0380/klagomålsmail/A 15722-2023 FSC-klagomål mail.docx", "A 15722-2023")</f>
        <v/>
      </c>
      <c r="X138">
        <f>HYPERLINK("https://klasma.github.io/Logging_0380/tillsyn/A 15722-2023 tillsynsbegäran.docx", "A 15722-2023")</f>
        <v/>
      </c>
      <c r="Y138">
        <f>HYPERLINK("https://klasma.github.io/Logging_0380/tillsynsmail/A 15722-2023 tillsynsbegäran mail.docx", "A 15722-2023")</f>
        <v/>
      </c>
    </row>
    <row r="139" ht="15" customHeight="1">
      <c r="A139" t="inlineStr">
        <is>
          <t>A 15919-2023</t>
        </is>
      </c>
      <c r="B139" s="1" t="n">
        <v>45022</v>
      </c>
      <c r="C139" s="1" t="n">
        <v>45584</v>
      </c>
      <c r="D139" t="inlineStr">
        <is>
          <t>UPPSALA LÄN</t>
        </is>
      </c>
      <c r="E139" t="inlineStr">
        <is>
          <t>UPPSALA</t>
        </is>
      </c>
      <c r="F139" t="inlineStr">
        <is>
          <t>Holmen skog AB</t>
        </is>
      </c>
      <c r="G139" t="n">
        <v>10</v>
      </c>
      <c r="H139" t="n">
        <v>1</v>
      </c>
      <c r="I139" t="n">
        <v>0</v>
      </c>
      <c r="J139" t="n">
        <v>0</v>
      </c>
      <c r="K139" t="n">
        <v>0</v>
      </c>
      <c r="L139" t="n">
        <v>0</v>
      </c>
      <c r="M139" t="n">
        <v>0</v>
      </c>
      <c r="N139" t="n">
        <v>0</v>
      </c>
      <c r="O139" t="n">
        <v>0</v>
      </c>
      <c r="P139" t="n">
        <v>0</v>
      </c>
      <c r="Q139" t="n">
        <v>1</v>
      </c>
      <c r="R139" s="2" t="inlineStr">
        <is>
          <t>Blåsippa</t>
        </is>
      </c>
      <c r="S139">
        <f>HYPERLINK("https://klasma.github.io/Logging_0380/artfynd/A 15919-2023 artfynd.xlsx", "A 15919-2023")</f>
        <v/>
      </c>
      <c r="T139">
        <f>HYPERLINK("https://klasma.github.io/Logging_0380/kartor/A 15919-2023 karta.png", "A 15919-2023")</f>
        <v/>
      </c>
      <c r="V139">
        <f>HYPERLINK("https://klasma.github.io/Logging_0380/klagomål/A 15919-2023 FSC-klagomål.docx", "A 15919-2023")</f>
        <v/>
      </c>
      <c r="W139">
        <f>HYPERLINK("https://klasma.github.io/Logging_0380/klagomålsmail/A 15919-2023 FSC-klagomål mail.docx", "A 15919-2023")</f>
        <v/>
      </c>
      <c r="X139">
        <f>HYPERLINK("https://klasma.github.io/Logging_0380/tillsyn/A 15919-2023 tillsynsbegäran.docx", "A 15919-2023")</f>
        <v/>
      </c>
      <c r="Y139">
        <f>HYPERLINK("https://klasma.github.io/Logging_0380/tillsynsmail/A 15919-2023 tillsynsbegäran mail.docx", "A 15919-2023")</f>
        <v/>
      </c>
    </row>
    <row r="140" ht="15" customHeight="1">
      <c r="A140" t="inlineStr">
        <is>
          <t>A 15918-2023</t>
        </is>
      </c>
      <c r="B140" s="1" t="n">
        <v>45022</v>
      </c>
      <c r="C140" s="1" t="n">
        <v>45584</v>
      </c>
      <c r="D140" t="inlineStr">
        <is>
          <t>UPPSALA LÄN</t>
        </is>
      </c>
      <c r="E140" t="inlineStr">
        <is>
          <t>UPPSALA</t>
        </is>
      </c>
      <c r="F140" t="inlineStr">
        <is>
          <t>Holmen skog AB</t>
        </is>
      </c>
      <c r="G140" t="n">
        <v>3.2</v>
      </c>
      <c r="H140" t="n">
        <v>1</v>
      </c>
      <c r="I140" t="n">
        <v>0</v>
      </c>
      <c r="J140" t="n">
        <v>0</v>
      </c>
      <c r="K140" t="n">
        <v>0</v>
      </c>
      <c r="L140" t="n">
        <v>0</v>
      </c>
      <c r="M140" t="n">
        <v>0</v>
      </c>
      <c r="N140" t="n">
        <v>0</v>
      </c>
      <c r="O140" t="n">
        <v>0</v>
      </c>
      <c r="P140" t="n">
        <v>0</v>
      </c>
      <c r="Q140" t="n">
        <v>1</v>
      </c>
      <c r="R140" s="2" t="inlineStr">
        <is>
          <t>Blåsippa</t>
        </is>
      </c>
      <c r="S140">
        <f>HYPERLINK("https://klasma.github.io/Logging_0380/artfynd/A 15918-2023 artfynd.xlsx", "A 15918-2023")</f>
        <v/>
      </c>
      <c r="T140">
        <f>HYPERLINK("https://klasma.github.io/Logging_0380/kartor/A 15918-2023 karta.png", "A 15918-2023")</f>
        <v/>
      </c>
      <c r="V140">
        <f>HYPERLINK("https://klasma.github.io/Logging_0380/klagomål/A 15918-2023 FSC-klagomål.docx", "A 15918-2023")</f>
        <v/>
      </c>
      <c r="W140">
        <f>HYPERLINK("https://klasma.github.io/Logging_0380/klagomålsmail/A 15918-2023 FSC-klagomål mail.docx", "A 15918-2023")</f>
        <v/>
      </c>
      <c r="X140">
        <f>HYPERLINK("https://klasma.github.io/Logging_0380/tillsyn/A 15918-2023 tillsynsbegäran.docx", "A 15918-2023")</f>
        <v/>
      </c>
      <c r="Y140">
        <f>HYPERLINK("https://klasma.github.io/Logging_0380/tillsynsmail/A 15918-2023 tillsynsbegäran mail.docx", "A 15918-2023")</f>
        <v/>
      </c>
    </row>
    <row r="141" ht="15" customHeight="1">
      <c r="A141" t="inlineStr">
        <is>
          <t>A 20172-2023</t>
        </is>
      </c>
      <c r="B141" s="1" t="n">
        <v>45055</v>
      </c>
      <c r="C141" s="1" t="n">
        <v>45584</v>
      </c>
      <c r="D141" t="inlineStr">
        <is>
          <t>UPPSALA LÄN</t>
        </is>
      </c>
      <c r="E141" t="inlineStr">
        <is>
          <t>UPPSALA</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HYPERLINK("https://klasma.github.io/Logging_0380/artfynd/A 20172-2023 artfynd.xlsx", "A 20172-2023")</f>
        <v/>
      </c>
      <c r="T141">
        <f>HYPERLINK("https://klasma.github.io/Logging_0380/kartor/A 20172-2023 karta.png", "A 20172-2023")</f>
        <v/>
      </c>
      <c r="V141">
        <f>HYPERLINK("https://klasma.github.io/Logging_0380/klagomål/A 20172-2023 FSC-klagomål.docx", "A 20172-2023")</f>
        <v/>
      </c>
      <c r="W141">
        <f>HYPERLINK("https://klasma.github.io/Logging_0380/klagomålsmail/A 20172-2023 FSC-klagomål mail.docx", "A 20172-2023")</f>
        <v/>
      </c>
      <c r="X141">
        <f>HYPERLINK("https://klasma.github.io/Logging_0380/tillsyn/A 20172-2023 tillsynsbegäran.docx", "A 20172-2023")</f>
        <v/>
      </c>
      <c r="Y141">
        <f>HYPERLINK("https://klasma.github.io/Logging_0380/tillsynsmail/A 20172-2023 tillsynsbegäran mail.docx", "A 20172-2023")</f>
        <v/>
      </c>
    </row>
    <row r="142" ht="15" customHeight="1">
      <c r="A142" t="inlineStr">
        <is>
          <t>A 20930-2023</t>
        </is>
      </c>
      <c r="B142" s="1" t="n">
        <v>45061</v>
      </c>
      <c r="C142" s="1" t="n">
        <v>45584</v>
      </c>
      <c r="D142" t="inlineStr">
        <is>
          <t>UPPSALA LÄN</t>
        </is>
      </c>
      <c r="E142" t="inlineStr">
        <is>
          <t>UPPSALA</t>
        </is>
      </c>
      <c r="G142" t="n">
        <v>5.1</v>
      </c>
      <c r="H142" t="n">
        <v>0</v>
      </c>
      <c r="I142" t="n">
        <v>1</v>
      </c>
      <c r="J142" t="n">
        <v>0</v>
      </c>
      <c r="K142" t="n">
        <v>0</v>
      </c>
      <c r="L142" t="n">
        <v>0</v>
      </c>
      <c r="M142" t="n">
        <v>0</v>
      </c>
      <c r="N142" t="n">
        <v>0</v>
      </c>
      <c r="O142" t="n">
        <v>0</v>
      </c>
      <c r="P142" t="n">
        <v>0</v>
      </c>
      <c r="Q142" t="n">
        <v>1</v>
      </c>
      <c r="R142" s="2" t="inlineStr">
        <is>
          <t>Grönpyrola</t>
        </is>
      </c>
      <c r="S142">
        <f>HYPERLINK("https://klasma.github.io/Logging_0380/artfynd/A 20930-2023 artfynd.xlsx", "A 20930-2023")</f>
        <v/>
      </c>
      <c r="T142">
        <f>HYPERLINK("https://klasma.github.io/Logging_0380/kartor/A 20930-2023 karta.png", "A 20930-2023")</f>
        <v/>
      </c>
      <c r="V142">
        <f>HYPERLINK("https://klasma.github.io/Logging_0380/klagomål/A 20930-2023 FSC-klagomål.docx", "A 20930-2023")</f>
        <v/>
      </c>
      <c r="W142">
        <f>HYPERLINK("https://klasma.github.io/Logging_0380/klagomålsmail/A 20930-2023 FSC-klagomål mail.docx", "A 20930-2023")</f>
        <v/>
      </c>
      <c r="X142">
        <f>HYPERLINK("https://klasma.github.io/Logging_0380/tillsyn/A 20930-2023 tillsynsbegäran.docx", "A 20930-2023")</f>
        <v/>
      </c>
      <c r="Y142">
        <f>HYPERLINK("https://klasma.github.io/Logging_0380/tillsynsmail/A 20930-2023 tillsynsbegäran mail.docx", "A 20930-2023")</f>
        <v/>
      </c>
    </row>
    <row r="143" ht="15" customHeight="1">
      <c r="A143" t="inlineStr">
        <is>
          <t>A 20923-2023</t>
        </is>
      </c>
      <c r="B143" s="1" t="n">
        <v>45061</v>
      </c>
      <c r="C143" s="1" t="n">
        <v>45584</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Dvärghäxört</t>
        </is>
      </c>
      <c r="S143">
        <f>HYPERLINK("https://klasma.github.io/Logging_0380/artfynd/A 20923-2023 artfynd.xlsx", "A 20923-2023")</f>
        <v/>
      </c>
      <c r="T143">
        <f>HYPERLINK("https://klasma.github.io/Logging_0380/kartor/A 20923-2023 karta.png", "A 20923-2023")</f>
        <v/>
      </c>
      <c r="V143">
        <f>HYPERLINK("https://klasma.github.io/Logging_0380/klagomål/A 20923-2023 FSC-klagomål.docx", "A 20923-2023")</f>
        <v/>
      </c>
      <c r="W143">
        <f>HYPERLINK("https://klasma.github.io/Logging_0380/klagomålsmail/A 20923-2023 FSC-klagomål mail.docx", "A 20923-2023")</f>
        <v/>
      </c>
      <c r="X143">
        <f>HYPERLINK("https://klasma.github.io/Logging_0380/tillsyn/A 20923-2023 tillsynsbegäran.docx", "A 20923-2023")</f>
        <v/>
      </c>
      <c r="Y143">
        <f>HYPERLINK("https://klasma.github.io/Logging_0380/tillsynsmail/A 20923-2023 tillsynsbegäran mail.docx", "A 20923-2023")</f>
        <v/>
      </c>
    </row>
    <row r="144" ht="15" customHeight="1">
      <c r="A144" t="inlineStr">
        <is>
          <t>A 22958-2023</t>
        </is>
      </c>
      <c r="B144" s="1" t="n">
        <v>45072</v>
      </c>
      <c r="C144" s="1" t="n">
        <v>45584</v>
      </c>
      <c r="D144" t="inlineStr">
        <is>
          <t>UPPSALA LÄN</t>
        </is>
      </c>
      <c r="E144" t="inlineStr">
        <is>
          <t>UPPSALA</t>
        </is>
      </c>
      <c r="F144" t="inlineStr">
        <is>
          <t>Holmen skog AB</t>
        </is>
      </c>
      <c r="G144" t="n">
        <v>6.4</v>
      </c>
      <c r="H144" t="n">
        <v>0</v>
      </c>
      <c r="I144" t="n">
        <v>0</v>
      </c>
      <c r="J144" t="n">
        <v>1</v>
      </c>
      <c r="K144" t="n">
        <v>0</v>
      </c>
      <c r="L144" t="n">
        <v>0</v>
      </c>
      <c r="M144" t="n">
        <v>0</v>
      </c>
      <c r="N144" t="n">
        <v>0</v>
      </c>
      <c r="O144" t="n">
        <v>1</v>
      </c>
      <c r="P144" t="n">
        <v>0</v>
      </c>
      <c r="Q144" t="n">
        <v>1</v>
      </c>
      <c r="R144" s="2" t="inlineStr">
        <is>
          <t>Krusfrö</t>
        </is>
      </c>
      <c r="S144">
        <f>HYPERLINK("https://klasma.github.io/Logging_0380/artfynd/A 22958-2023 artfynd.xlsx", "A 22958-2023")</f>
        <v/>
      </c>
      <c r="T144">
        <f>HYPERLINK("https://klasma.github.io/Logging_0380/kartor/A 22958-2023 karta.png", "A 22958-2023")</f>
        <v/>
      </c>
      <c r="V144">
        <f>HYPERLINK("https://klasma.github.io/Logging_0380/klagomål/A 22958-2023 FSC-klagomål.docx", "A 22958-2023")</f>
        <v/>
      </c>
      <c r="W144">
        <f>HYPERLINK("https://klasma.github.io/Logging_0380/klagomålsmail/A 22958-2023 FSC-klagomål mail.docx", "A 22958-2023")</f>
        <v/>
      </c>
      <c r="X144">
        <f>HYPERLINK("https://klasma.github.io/Logging_0380/tillsyn/A 22958-2023 tillsynsbegäran.docx", "A 22958-2023")</f>
        <v/>
      </c>
      <c r="Y144">
        <f>HYPERLINK("https://klasma.github.io/Logging_0380/tillsynsmail/A 22958-2023 tillsynsbegäran mail.docx", "A 22958-2023")</f>
        <v/>
      </c>
    </row>
    <row r="145" ht="15" customHeight="1">
      <c r="A145" t="inlineStr">
        <is>
          <t>A 27848-2023</t>
        </is>
      </c>
      <c r="B145" s="1" t="n">
        <v>45098</v>
      </c>
      <c r="C145" s="1" t="n">
        <v>45584</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28951-2023</t>
        </is>
      </c>
      <c r="B146" s="1" t="n">
        <v>45104</v>
      </c>
      <c r="C146" s="1" t="n">
        <v>45584</v>
      </c>
      <c r="D146" t="inlineStr">
        <is>
          <t>UPPSALA LÄN</t>
        </is>
      </c>
      <c r="E146" t="inlineStr">
        <is>
          <t>UPPSALA</t>
        </is>
      </c>
      <c r="G146" t="n">
        <v>3.7</v>
      </c>
      <c r="H146" t="n">
        <v>0</v>
      </c>
      <c r="I146" t="n">
        <v>1</v>
      </c>
      <c r="J146" t="n">
        <v>0</v>
      </c>
      <c r="K146" t="n">
        <v>0</v>
      </c>
      <c r="L146" t="n">
        <v>0</v>
      </c>
      <c r="M146" t="n">
        <v>0</v>
      </c>
      <c r="N146" t="n">
        <v>0</v>
      </c>
      <c r="O146" t="n">
        <v>0</v>
      </c>
      <c r="P146" t="n">
        <v>0</v>
      </c>
      <c r="Q146" t="n">
        <v>1</v>
      </c>
      <c r="R146" s="2" t="inlineStr">
        <is>
          <t>Grönpyrola</t>
        </is>
      </c>
      <c r="S146">
        <f>HYPERLINK("https://klasma.github.io/Logging_0380/artfynd/A 28951-2023 artfynd.xlsx", "A 28951-2023")</f>
        <v/>
      </c>
      <c r="T146">
        <f>HYPERLINK("https://klasma.github.io/Logging_0380/kartor/A 28951-2023 karta.png", "A 28951-2023")</f>
        <v/>
      </c>
      <c r="V146">
        <f>HYPERLINK("https://klasma.github.io/Logging_0380/klagomål/A 28951-2023 FSC-klagomål.docx", "A 28951-2023")</f>
        <v/>
      </c>
      <c r="W146">
        <f>HYPERLINK("https://klasma.github.io/Logging_0380/klagomålsmail/A 28951-2023 FSC-klagomål mail.docx", "A 28951-2023")</f>
        <v/>
      </c>
      <c r="X146">
        <f>HYPERLINK("https://klasma.github.io/Logging_0380/tillsyn/A 28951-2023 tillsynsbegäran.docx", "A 28951-2023")</f>
        <v/>
      </c>
      <c r="Y146">
        <f>HYPERLINK("https://klasma.github.io/Logging_0380/tillsynsmail/A 28951-2023 tillsynsbegäran mail.docx", "A 28951-2023")</f>
        <v/>
      </c>
    </row>
    <row r="147" ht="15" customHeight="1">
      <c r="A147" t="inlineStr">
        <is>
          <t>A 29906-2023</t>
        </is>
      </c>
      <c r="B147" s="1" t="n">
        <v>45107</v>
      </c>
      <c r="C147" s="1" t="n">
        <v>45584</v>
      </c>
      <c r="D147" t="inlineStr">
        <is>
          <t>UPPSALA LÄN</t>
        </is>
      </c>
      <c r="E147" t="inlineStr">
        <is>
          <t>UPPSALA</t>
        </is>
      </c>
      <c r="F147" t="inlineStr">
        <is>
          <t>Kyrkan</t>
        </is>
      </c>
      <c r="G147" t="n">
        <v>0.5</v>
      </c>
      <c r="H147" t="n">
        <v>0</v>
      </c>
      <c r="I147" t="n">
        <v>1</v>
      </c>
      <c r="J147" t="n">
        <v>0</v>
      </c>
      <c r="K147" t="n">
        <v>0</v>
      </c>
      <c r="L147" t="n">
        <v>0</v>
      </c>
      <c r="M147" t="n">
        <v>0</v>
      </c>
      <c r="N147" t="n">
        <v>0</v>
      </c>
      <c r="O147" t="n">
        <v>0</v>
      </c>
      <c r="P147" t="n">
        <v>0</v>
      </c>
      <c r="Q147" t="n">
        <v>1</v>
      </c>
      <c r="R147" s="2" t="inlineStr">
        <is>
          <t>Sotriska</t>
        </is>
      </c>
      <c r="S147">
        <f>HYPERLINK("https://klasma.github.io/Logging_0380/artfynd/A 29906-2023 artfynd.xlsx", "A 29906-2023")</f>
        <v/>
      </c>
      <c r="T147">
        <f>HYPERLINK("https://klasma.github.io/Logging_0380/kartor/A 29906-2023 karta.png", "A 29906-2023")</f>
        <v/>
      </c>
      <c r="V147">
        <f>HYPERLINK("https://klasma.github.io/Logging_0380/klagomål/A 29906-2023 FSC-klagomål.docx", "A 29906-2023")</f>
        <v/>
      </c>
      <c r="W147">
        <f>HYPERLINK("https://klasma.github.io/Logging_0380/klagomålsmail/A 29906-2023 FSC-klagomål mail.docx", "A 29906-2023")</f>
        <v/>
      </c>
      <c r="X147">
        <f>HYPERLINK("https://klasma.github.io/Logging_0380/tillsyn/A 29906-2023 tillsynsbegäran.docx", "A 29906-2023")</f>
        <v/>
      </c>
      <c r="Y147">
        <f>HYPERLINK("https://klasma.github.io/Logging_0380/tillsynsmail/A 29906-2023 tillsynsbegäran mail.docx", "A 29906-2023")</f>
        <v/>
      </c>
    </row>
    <row r="148" ht="15" customHeight="1">
      <c r="A148" t="inlineStr">
        <is>
          <t>A 32668-2023</t>
        </is>
      </c>
      <c r="B148" s="1" t="n">
        <v>45121</v>
      </c>
      <c r="C148" s="1" t="n">
        <v>45584</v>
      </c>
      <c r="D148" t="inlineStr">
        <is>
          <t>UPPSALA LÄN</t>
        </is>
      </c>
      <c r="E148" t="inlineStr">
        <is>
          <t>UPPSALA</t>
        </is>
      </c>
      <c r="F148" t="inlineStr">
        <is>
          <t>Holmen skog AB</t>
        </is>
      </c>
      <c r="G148" t="n">
        <v>6.3</v>
      </c>
      <c r="H148" t="n">
        <v>1</v>
      </c>
      <c r="I148" t="n">
        <v>0</v>
      </c>
      <c r="J148" t="n">
        <v>0</v>
      </c>
      <c r="K148" t="n">
        <v>0</v>
      </c>
      <c r="L148" t="n">
        <v>0</v>
      </c>
      <c r="M148" t="n">
        <v>0</v>
      </c>
      <c r="N148" t="n">
        <v>0</v>
      </c>
      <c r="O148" t="n">
        <v>0</v>
      </c>
      <c r="P148" t="n">
        <v>0</v>
      </c>
      <c r="Q148" t="n">
        <v>1</v>
      </c>
      <c r="R148" s="2" t="inlineStr">
        <is>
          <t>Blåsippa</t>
        </is>
      </c>
      <c r="S148">
        <f>HYPERLINK("https://klasma.github.io/Logging_0380/artfynd/A 32668-2023 artfynd.xlsx", "A 32668-2023")</f>
        <v/>
      </c>
      <c r="T148">
        <f>HYPERLINK("https://klasma.github.io/Logging_0380/kartor/A 32668-2023 karta.png", "A 32668-2023")</f>
        <v/>
      </c>
      <c r="V148">
        <f>HYPERLINK("https://klasma.github.io/Logging_0380/klagomål/A 32668-2023 FSC-klagomål.docx", "A 32668-2023")</f>
        <v/>
      </c>
      <c r="W148">
        <f>HYPERLINK("https://klasma.github.io/Logging_0380/klagomålsmail/A 32668-2023 FSC-klagomål mail.docx", "A 32668-2023")</f>
        <v/>
      </c>
      <c r="X148">
        <f>HYPERLINK("https://klasma.github.io/Logging_0380/tillsyn/A 32668-2023 tillsynsbegäran.docx", "A 32668-2023")</f>
        <v/>
      </c>
      <c r="Y148">
        <f>HYPERLINK("https://klasma.github.io/Logging_0380/tillsynsmail/A 32668-2023 tillsynsbegäran mail.docx", "A 32668-2023")</f>
        <v/>
      </c>
    </row>
    <row r="149" ht="15" customHeight="1">
      <c r="A149" t="inlineStr">
        <is>
          <t>A 32755-2023</t>
        </is>
      </c>
      <c r="B149" s="1" t="n">
        <v>45123</v>
      </c>
      <c r="C149" s="1" t="n">
        <v>45584</v>
      </c>
      <c r="D149" t="inlineStr">
        <is>
          <t>UPPSALA LÄN</t>
        </is>
      </c>
      <c r="E149" t="inlineStr">
        <is>
          <t>UPPSALA</t>
        </is>
      </c>
      <c r="G149" t="n">
        <v>5.7</v>
      </c>
      <c r="H149" t="n">
        <v>1</v>
      </c>
      <c r="I149" t="n">
        <v>0</v>
      </c>
      <c r="J149" t="n">
        <v>1</v>
      </c>
      <c r="K149" t="n">
        <v>0</v>
      </c>
      <c r="L149" t="n">
        <v>0</v>
      </c>
      <c r="M149" t="n">
        <v>0</v>
      </c>
      <c r="N149" t="n">
        <v>0</v>
      </c>
      <c r="O149" t="n">
        <v>1</v>
      </c>
      <c r="P149" t="n">
        <v>0</v>
      </c>
      <c r="Q149" t="n">
        <v>1</v>
      </c>
      <c r="R149" s="2" t="inlineStr">
        <is>
          <t>Spillkråka</t>
        </is>
      </c>
      <c r="S149">
        <f>HYPERLINK("https://klasma.github.io/Logging_0380/artfynd/A 32755-2023 artfynd.xlsx", "A 32755-2023")</f>
        <v/>
      </c>
      <c r="T149">
        <f>HYPERLINK("https://klasma.github.io/Logging_0380/kartor/A 32755-2023 karta.png", "A 32755-2023")</f>
        <v/>
      </c>
      <c r="V149">
        <f>HYPERLINK("https://klasma.github.io/Logging_0380/klagomål/A 32755-2023 FSC-klagomål.docx", "A 32755-2023")</f>
        <v/>
      </c>
      <c r="W149">
        <f>HYPERLINK("https://klasma.github.io/Logging_0380/klagomålsmail/A 32755-2023 FSC-klagomål mail.docx", "A 32755-2023")</f>
        <v/>
      </c>
      <c r="X149">
        <f>HYPERLINK("https://klasma.github.io/Logging_0380/tillsyn/A 32755-2023 tillsynsbegäran.docx", "A 32755-2023")</f>
        <v/>
      </c>
      <c r="Y149">
        <f>HYPERLINK("https://klasma.github.io/Logging_0380/tillsynsmail/A 32755-2023 tillsynsbegäran mail.docx", "A 32755-2023")</f>
        <v/>
      </c>
      <c r="Z149">
        <f>HYPERLINK("https://klasma.github.io/Logging_0380/fåglar/A 32755-2023 prioriterade fågelarter.docx", "A 32755-2023")</f>
        <v/>
      </c>
    </row>
    <row r="150" ht="15" customHeight="1">
      <c r="A150" t="inlineStr">
        <is>
          <t>A 34732-2023</t>
        </is>
      </c>
      <c r="B150" s="1" t="n">
        <v>45139</v>
      </c>
      <c r="C150" s="1" t="n">
        <v>45584</v>
      </c>
      <c r="D150" t="inlineStr">
        <is>
          <t>UPPSALA LÄN</t>
        </is>
      </c>
      <c r="E150" t="inlineStr">
        <is>
          <t>UPPSALA</t>
        </is>
      </c>
      <c r="G150" t="n">
        <v>8.1</v>
      </c>
      <c r="H150" t="n">
        <v>1</v>
      </c>
      <c r="I150" t="n">
        <v>1</v>
      </c>
      <c r="J150" t="n">
        <v>0</v>
      </c>
      <c r="K150" t="n">
        <v>0</v>
      </c>
      <c r="L150" t="n">
        <v>0</v>
      </c>
      <c r="M150" t="n">
        <v>0</v>
      </c>
      <c r="N150" t="n">
        <v>0</v>
      </c>
      <c r="O150" t="n">
        <v>0</v>
      </c>
      <c r="P150" t="n">
        <v>0</v>
      </c>
      <c r="Q150" t="n">
        <v>1</v>
      </c>
      <c r="R150" s="2" t="inlineStr">
        <is>
          <t>Grön sköldmossa</t>
        </is>
      </c>
      <c r="S150">
        <f>HYPERLINK("https://klasma.github.io/Logging_0380/artfynd/A 34732-2023 artfynd.xlsx", "A 34732-2023")</f>
        <v/>
      </c>
      <c r="T150">
        <f>HYPERLINK("https://klasma.github.io/Logging_0380/kartor/A 34732-2023 karta.png", "A 34732-2023")</f>
        <v/>
      </c>
      <c r="V150">
        <f>HYPERLINK("https://klasma.github.io/Logging_0380/klagomål/A 34732-2023 FSC-klagomål.docx", "A 34732-2023")</f>
        <v/>
      </c>
      <c r="W150">
        <f>HYPERLINK("https://klasma.github.io/Logging_0380/klagomålsmail/A 34732-2023 FSC-klagomål mail.docx", "A 34732-2023")</f>
        <v/>
      </c>
      <c r="X150">
        <f>HYPERLINK("https://klasma.github.io/Logging_0380/tillsyn/A 34732-2023 tillsynsbegäran.docx", "A 34732-2023")</f>
        <v/>
      </c>
      <c r="Y150">
        <f>HYPERLINK("https://klasma.github.io/Logging_0380/tillsynsmail/A 34732-2023 tillsynsbegäran mail.docx", "A 34732-2023")</f>
        <v/>
      </c>
    </row>
    <row r="151" ht="15" customHeight="1">
      <c r="A151" t="inlineStr">
        <is>
          <t>A 39741-2023</t>
        </is>
      </c>
      <c r="B151" s="1" t="n">
        <v>45167</v>
      </c>
      <c r="C151" s="1" t="n">
        <v>45584</v>
      </c>
      <c r="D151" t="inlineStr">
        <is>
          <t>UPPSALA LÄN</t>
        </is>
      </c>
      <c r="E151" t="inlineStr">
        <is>
          <t>UPPSALA</t>
        </is>
      </c>
      <c r="G151" t="n">
        <v>5.6</v>
      </c>
      <c r="H151" t="n">
        <v>1</v>
      </c>
      <c r="I151" t="n">
        <v>0</v>
      </c>
      <c r="J151" t="n">
        <v>1</v>
      </c>
      <c r="K151" t="n">
        <v>0</v>
      </c>
      <c r="L151" t="n">
        <v>0</v>
      </c>
      <c r="M151" t="n">
        <v>0</v>
      </c>
      <c r="N151" t="n">
        <v>0</v>
      </c>
      <c r="O151" t="n">
        <v>1</v>
      </c>
      <c r="P151" t="n">
        <v>0</v>
      </c>
      <c r="Q151" t="n">
        <v>1</v>
      </c>
      <c r="R151" s="2" t="inlineStr">
        <is>
          <t>Entita</t>
        </is>
      </c>
      <c r="S151">
        <f>HYPERLINK("https://klasma.github.io/Logging_0380/artfynd/A 39741-2023 artfynd.xlsx", "A 39741-2023")</f>
        <v/>
      </c>
      <c r="T151">
        <f>HYPERLINK("https://klasma.github.io/Logging_0380/kartor/A 39741-2023 karta.png", "A 39741-2023")</f>
        <v/>
      </c>
      <c r="V151">
        <f>HYPERLINK("https://klasma.github.io/Logging_0380/klagomål/A 39741-2023 FSC-klagomål.docx", "A 39741-2023")</f>
        <v/>
      </c>
      <c r="W151">
        <f>HYPERLINK("https://klasma.github.io/Logging_0380/klagomålsmail/A 39741-2023 FSC-klagomål mail.docx", "A 39741-2023")</f>
        <v/>
      </c>
      <c r="X151">
        <f>HYPERLINK("https://klasma.github.io/Logging_0380/tillsyn/A 39741-2023 tillsynsbegäran.docx", "A 39741-2023")</f>
        <v/>
      </c>
      <c r="Y151">
        <f>HYPERLINK("https://klasma.github.io/Logging_0380/tillsynsmail/A 39741-2023 tillsynsbegäran mail.docx", "A 39741-2023")</f>
        <v/>
      </c>
      <c r="Z151">
        <f>HYPERLINK("https://klasma.github.io/Logging_0380/fåglar/A 39741-2023 prioriterade fågelarter.docx", "A 39741-2023")</f>
        <v/>
      </c>
    </row>
    <row r="152" ht="15" customHeight="1">
      <c r="A152" t="inlineStr">
        <is>
          <t>A 49990-2023</t>
        </is>
      </c>
      <c r="B152" s="1" t="n">
        <v>45215</v>
      </c>
      <c r="C152" s="1" t="n">
        <v>45584</v>
      </c>
      <c r="D152" t="inlineStr">
        <is>
          <t>UPPSALA LÄN</t>
        </is>
      </c>
      <c r="E152" t="inlineStr">
        <is>
          <t>UPPSALA</t>
        </is>
      </c>
      <c r="G152" t="n">
        <v>2</v>
      </c>
      <c r="H152" t="n">
        <v>1</v>
      </c>
      <c r="I152" t="n">
        <v>0</v>
      </c>
      <c r="J152" t="n">
        <v>0</v>
      </c>
      <c r="K152" t="n">
        <v>0</v>
      </c>
      <c r="L152" t="n">
        <v>0</v>
      </c>
      <c r="M152" t="n">
        <v>0</v>
      </c>
      <c r="N152" t="n">
        <v>0</v>
      </c>
      <c r="O152" t="n">
        <v>0</v>
      </c>
      <c r="P152" t="n">
        <v>0</v>
      </c>
      <c r="Q152" t="n">
        <v>1</v>
      </c>
      <c r="R152" s="2" t="inlineStr">
        <is>
          <t>Järnsparv</t>
        </is>
      </c>
      <c r="S152">
        <f>HYPERLINK("https://klasma.github.io/Logging_0380/artfynd/A 49990-2023 artfynd.xlsx", "A 49990-2023")</f>
        <v/>
      </c>
      <c r="T152">
        <f>HYPERLINK("https://klasma.github.io/Logging_0380/kartor/A 49990-2023 karta.png", "A 49990-2023")</f>
        <v/>
      </c>
      <c r="V152">
        <f>HYPERLINK("https://klasma.github.io/Logging_0380/klagomål/A 49990-2023 FSC-klagomål.docx", "A 49990-2023")</f>
        <v/>
      </c>
      <c r="W152">
        <f>HYPERLINK("https://klasma.github.io/Logging_0380/klagomålsmail/A 49990-2023 FSC-klagomål mail.docx", "A 49990-2023")</f>
        <v/>
      </c>
      <c r="X152">
        <f>HYPERLINK("https://klasma.github.io/Logging_0380/tillsyn/A 49990-2023 tillsynsbegäran.docx", "A 49990-2023")</f>
        <v/>
      </c>
      <c r="Y152">
        <f>HYPERLINK("https://klasma.github.io/Logging_0380/tillsynsmail/A 49990-2023 tillsynsbegäran mail.docx", "A 49990-2023")</f>
        <v/>
      </c>
      <c r="Z152">
        <f>HYPERLINK("https://klasma.github.io/Logging_0380/fåglar/A 49990-2023 prioriterade fågelarter.docx", "A 49990-2023")</f>
        <v/>
      </c>
    </row>
    <row r="153" ht="15" customHeight="1">
      <c r="A153" t="inlineStr">
        <is>
          <t>A 51540-2023</t>
        </is>
      </c>
      <c r="B153" s="1" t="n">
        <v>45222</v>
      </c>
      <c r="C153" s="1" t="n">
        <v>45584</v>
      </c>
      <c r="D153" t="inlineStr">
        <is>
          <t>UPPSALA LÄN</t>
        </is>
      </c>
      <c r="E153" t="inlineStr">
        <is>
          <t>UPPSALA</t>
        </is>
      </c>
      <c r="G153" t="n">
        <v>6.4</v>
      </c>
      <c r="H153" t="n">
        <v>0</v>
      </c>
      <c r="I153" t="n">
        <v>0</v>
      </c>
      <c r="J153" t="n">
        <v>1</v>
      </c>
      <c r="K153" t="n">
        <v>0</v>
      </c>
      <c r="L153" t="n">
        <v>0</v>
      </c>
      <c r="M153" t="n">
        <v>0</v>
      </c>
      <c r="N153" t="n">
        <v>0</v>
      </c>
      <c r="O153" t="n">
        <v>1</v>
      </c>
      <c r="P153" t="n">
        <v>0</v>
      </c>
      <c r="Q153" t="n">
        <v>1</v>
      </c>
      <c r="R153" s="2" t="inlineStr">
        <is>
          <t>Svedjenäva</t>
        </is>
      </c>
      <c r="S153">
        <f>HYPERLINK("https://klasma.github.io/Logging_0380/artfynd/A 51540-2023 artfynd.xlsx", "A 51540-2023")</f>
        <v/>
      </c>
      <c r="T153">
        <f>HYPERLINK("https://klasma.github.io/Logging_0380/kartor/A 51540-2023 karta.png", "A 51540-2023")</f>
        <v/>
      </c>
      <c r="V153">
        <f>HYPERLINK("https://klasma.github.io/Logging_0380/klagomål/A 51540-2023 FSC-klagomål.docx", "A 51540-2023")</f>
        <v/>
      </c>
      <c r="W153">
        <f>HYPERLINK("https://klasma.github.io/Logging_0380/klagomålsmail/A 51540-2023 FSC-klagomål mail.docx", "A 51540-2023")</f>
        <v/>
      </c>
      <c r="X153">
        <f>HYPERLINK("https://klasma.github.io/Logging_0380/tillsyn/A 51540-2023 tillsynsbegäran.docx", "A 51540-2023")</f>
        <v/>
      </c>
      <c r="Y153">
        <f>HYPERLINK("https://klasma.github.io/Logging_0380/tillsynsmail/A 51540-2023 tillsynsbegäran mail.docx", "A 51540-2023")</f>
        <v/>
      </c>
    </row>
    <row r="154" ht="15" customHeight="1">
      <c r="A154" t="inlineStr">
        <is>
          <t>A 57332-2023</t>
        </is>
      </c>
      <c r="B154" s="1" t="n">
        <v>45245</v>
      </c>
      <c r="C154" s="1" t="n">
        <v>45584</v>
      </c>
      <c r="D154" t="inlineStr">
        <is>
          <t>UPPSALA LÄN</t>
        </is>
      </c>
      <c r="E154" t="inlineStr">
        <is>
          <t>UPPSALA</t>
        </is>
      </c>
      <c r="F154" t="inlineStr">
        <is>
          <t>Allmännings- och besparingsskogar</t>
        </is>
      </c>
      <c r="G154" t="n">
        <v>11.4</v>
      </c>
      <c r="H154" t="n">
        <v>1</v>
      </c>
      <c r="I154" t="n">
        <v>0</v>
      </c>
      <c r="J154" t="n">
        <v>0</v>
      </c>
      <c r="K154" t="n">
        <v>1</v>
      </c>
      <c r="L154" t="n">
        <v>0</v>
      </c>
      <c r="M154" t="n">
        <v>0</v>
      </c>
      <c r="N154" t="n">
        <v>0</v>
      </c>
      <c r="O154" t="n">
        <v>1</v>
      </c>
      <c r="P154" t="n">
        <v>1</v>
      </c>
      <c r="Q154" t="n">
        <v>1</v>
      </c>
      <c r="R154" s="2" t="inlineStr">
        <is>
          <t>Knärot</t>
        </is>
      </c>
      <c r="S154">
        <f>HYPERLINK("https://klasma.github.io/Logging_0380/artfynd/A 57332-2023 artfynd.xlsx", "A 57332-2023")</f>
        <v/>
      </c>
      <c r="T154">
        <f>HYPERLINK("https://klasma.github.io/Logging_0380/kartor/A 57332-2023 karta.png", "A 57332-2023")</f>
        <v/>
      </c>
      <c r="U154">
        <f>HYPERLINK("https://klasma.github.io/Logging_0380/knärot/A 57332-2023 karta knärot.png", "A 57332-2023")</f>
        <v/>
      </c>
      <c r="V154">
        <f>HYPERLINK("https://klasma.github.io/Logging_0380/klagomål/A 57332-2023 FSC-klagomål.docx", "A 57332-2023")</f>
        <v/>
      </c>
      <c r="W154">
        <f>HYPERLINK("https://klasma.github.io/Logging_0380/klagomålsmail/A 57332-2023 FSC-klagomål mail.docx", "A 57332-2023")</f>
        <v/>
      </c>
      <c r="X154">
        <f>HYPERLINK("https://klasma.github.io/Logging_0380/tillsyn/A 57332-2023 tillsynsbegäran.docx", "A 57332-2023")</f>
        <v/>
      </c>
      <c r="Y154">
        <f>HYPERLINK("https://klasma.github.io/Logging_0380/tillsynsmail/A 57332-2023 tillsynsbegäran mail.docx", "A 57332-2023")</f>
        <v/>
      </c>
    </row>
    <row r="155" ht="15" customHeight="1">
      <c r="A155" t="inlineStr">
        <is>
          <t>A 61068-2023</t>
        </is>
      </c>
      <c r="B155" s="1" t="n">
        <v>45259</v>
      </c>
      <c r="C155" s="1" t="n">
        <v>45584</v>
      </c>
      <c r="D155" t="inlineStr">
        <is>
          <t>UPPSALA LÄN</t>
        </is>
      </c>
      <c r="E155" t="inlineStr">
        <is>
          <t>UPPSALA</t>
        </is>
      </c>
      <c r="F155" t="inlineStr">
        <is>
          <t>Övriga Aktiebolag</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HYPERLINK("https://klasma.github.io/Logging_0380/artfynd/A 61068-2023 artfynd.xlsx", "A 61068-2023")</f>
        <v/>
      </c>
      <c r="T155">
        <f>HYPERLINK("https://klasma.github.io/Logging_0380/kartor/A 61068-2023 karta.png", "A 61068-2023")</f>
        <v/>
      </c>
      <c r="U155">
        <f>HYPERLINK("https://klasma.github.io/Logging_0380/knärot/A 61068-2023 karta knärot.png", "A 61068-2023")</f>
        <v/>
      </c>
      <c r="V155">
        <f>HYPERLINK("https://klasma.github.io/Logging_0380/klagomål/A 61068-2023 FSC-klagomål.docx", "A 61068-2023")</f>
        <v/>
      </c>
      <c r="W155">
        <f>HYPERLINK("https://klasma.github.io/Logging_0380/klagomålsmail/A 61068-2023 FSC-klagomål mail.docx", "A 61068-2023")</f>
        <v/>
      </c>
      <c r="X155">
        <f>HYPERLINK("https://klasma.github.io/Logging_0380/tillsyn/A 61068-2023 tillsynsbegäran.docx", "A 61068-2023")</f>
        <v/>
      </c>
      <c r="Y155">
        <f>HYPERLINK("https://klasma.github.io/Logging_0380/tillsynsmail/A 61068-2023 tillsynsbegäran mail.docx", "A 61068-2023")</f>
        <v/>
      </c>
    </row>
    <row r="156" ht="15" customHeight="1">
      <c r="A156" t="inlineStr">
        <is>
          <t>A 61066-2023</t>
        </is>
      </c>
      <c r="B156" s="1" t="n">
        <v>45259</v>
      </c>
      <c r="C156" s="1" t="n">
        <v>45584</v>
      </c>
      <c r="D156" t="inlineStr">
        <is>
          <t>UPPSALA LÄN</t>
        </is>
      </c>
      <c r="E156" t="inlineStr">
        <is>
          <t>UPPSALA</t>
        </is>
      </c>
      <c r="F156" t="inlineStr">
        <is>
          <t>Övriga Aktiebolag</t>
        </is>
      </c>
      <c r="G156" t="n">
        <v>4.7</v>
      </c>
      <c r="H156" t="n">
        <v>0</v>
      </c>
      <c r="I156" t="n">
        <v>0</v>
      </c>
      <c r="J156" t="n">
        <v>1</v>
      </c>
      <c r="K156" t="n">
        <v>0</v>
      </c>
      <c r="L156" t="n">
        <v>0</v>
      </c>
      <c r="M156" t="n">
        <v>0</v>
      </c>
      <c r="N156" t="n">
        <v>0</v>
      </c>
      <c r="O156" t="n">
        <v>1</v>
      </c>
      <c r="P156" t="n">
        <v>0</v>
      </c>
      <c r="Q156" t="n">
        <v>1</v>
      </c>
      <c r="R156" s="2" t="inlineStr">
        <is>
          <t>Igelkott</t>
        </is>
      </c>
      <c r="S156">
        <f>HYPERLINK("https://klasma.github.io/Logging_0380/artfynd/A 61066-2023 artfynd.xlsx", "A 61066-2023")</f>
        <v/>
      </c>
      <c r="T156">
        <f>HYPERLINK("https://klasma.github.io/Logging_0380/kartor/A 61066-2023 karta.png", "A 61066-2023")</f>
        <v/>
      </c>
      <c r="V156">
        <f>HYPERLINK("https://klasma.github.io/Logging_0380/klagomål/A 61066-2023 FSC-klagomål.docx", "A 61066-2023")</f>
        <v/>
      </c>
      <c r="W156">
        <f>HYPERLINK("https://klasma.github.io/Logging_0380/klagomålsmail/A 61066-2023 FSC-klagomål mail.docx", "A 61066-2023")</f>
        <v/>
      </c>
      <c r="X156">
        <f>HYPERLINK("https://klasma.github.io/Logging_0380/tillsyn/A 61066-2023 tillsynsbegäran.docx", "A 61066-2023")</f>
        <v/>
      </c>
      <c r="Y156">
        <f>HYPERLINK("https://klasma.github.io/Logging_0380/tillsynsmail/A 61066-2023 tillsynsbegäran mail.docx", "A 61066-2023")</f>
        <v/>
      </c>
    </row>
    <row r="157" ht="15" customHeight="1">
      <c r="A157" t="inlineStr">
        <is>
          <t>A 63172-2023</t>
        </is>
      </c>
      <c r="B157" s="1" t="n">
        <v>45273</v>
      </c>
      <c r="C157" s="1" t="n">
        <v>45584</v>
      </c>
      <c r="D157" t="inlineStr">
        <is>
          <t>UPPSALA LÄN</t>
        </is>
      </c>
      <c r="E157" t="inlineStr">
        <is>
          <t>UPPSALA</t>
        </is>
      </c>
      <c r="G157" t="n">
        <v>1.8</v>
      </c>
      <c r="H157" t="n">
        <v>0</v>
      </c>
      <c r="I157" t="n">
        <v>1</v>
      </c>
      <c r="J157" t="n">
        <v>0</v>
      </c>
      <c r="K157" t="n">
        <v>0</v>
      </c>
      <c r="L157" t="n">
        <v>0</v>
      </c>
      <c r="M157" t="n">
        <v>0</v>
      </c>
      <c r="N157" t="n">
        <v>0</v>
      </c>
      <c r="O157" t="n">
        <v>0</v>
      </c>
      <c r="P157" t="n">
        <v>0</v>
      </c>
      <c r="Q157" t="n">
        <v>1</v>
      </c>
      <c r="R157" s="2" t="inlineStr">
        <is>
          <t>Ögonpyrola</t>
        </is>
      </c>
      <c r="S157">
        <f>HYPERLINK("https://klasma.github.io/Logging_0380/artfynd/A 63172-2023 artfynd.xlsx", "A 63172-2023")</f>
        <v/>
      </c>
      <c r="T157">
        <f>HYPERLINK("https://klasma.github.io/Logging_0380/kartor/A 63172-2023 karta.png", "A 63172-2023")</f>
        <v/>
      </c>
      <c r="V157">
        <f>HYPERLINK("https://klasma.github.io/Logging_0380/klagomål/A 63172-2023 FSC-klagomål.docx", "A 63172-2023")</f>
        <v/>
      </c>
      <c r="W157">
        <f>HYPERLINK("https://klasma.github.io/Logging_0380/klagomålsmail/A 63172-2023 FSC-klagomål mail.docx", "A 63172-2023")</f>
        <v/>
      </c>
      <c r="X157">
        <f>HYPERLINK("https://klasma.github.io/Logging_0380/tillsyn/A 63172-2023 tillsynsbegäran.docx", "A 63172-2023")</f>
        <v/>
      </c>
      <c r="Y157">
        <f>HYPERLINK("https://klasma.github.io/Logging_0380/tillsynsmail/A 63172-2023 tillsynsbegäran mail.docx", "A 63172-2023")</f>
        <v/>
      </c>
    </row>
    <row r="158" ht="15" customHeight="1">
      <c r="A158" t="inlineStr">
        <is>
          <t>A 584-2024</t>
        </is>
      </c>
      <c r="B158" s="1" t="n">
        <v>45299</v>
      </c>
      <c r="C158" s="1" t="n">
        <v>45584</v>
      </c>
      <c r="D158" t="inlineStr">
        <is>
          <t>UPPSALA LÄN</t>
        </is>
      </c>
      <c r="E158" t="inlineStr">
        <is>
          <t>UPPSALA</t>
        </is>
      </c>
      <c r="G158" t="n">
        <v>0.8</v>
      </c>
      <c r="H158" t="n">
        <v>1</v>
      </c>
      <c r="I158" t="n">
        <v>0</v>
      </c>
      <c r="J158" t="n">
        <v>0</v>
      </c>
      <c r="K158" t="n">
        <v>1</v>
      </c>
      <c r="L158" t="n">
        <v>0</v>
      </c>
      <c r="M158" t="n">
        <v>0</v>
      </c>
      <c r="N158" t="n">
        <v>0</v>
      </c>
      <c r="O158" t="n">
        <v>1</v>
      </c>
      <c r="P158" t="n">
        <v>1</v>
      </c>
      <c r="Q158" t="n">
        <v>1</v>
      </c>
      <c r="R158" s="2" t="inlineStr">
        <is>
          <t>Väddnätfjäril</t>
        </is>
      </c>
      <c r="S158">
        <f>HYPERLINK("https://klasma.github.io/Logging_0380/artfynd/A 584-2024 artfynd.xlsx", "A 584-2024")</f>
        <v/>
      </c>
      <c r="T158">
        <f>HYPERLINK("https://klasma.github.io/Logging_0380/kartor/A 584-2024 karta.png", "A 584-2024")</f>
        <v/>
      </c>
      <c r="V158">
        <f>HYPERLINK("https://klasma.github.io/Logging_0380/klagomål/A 584-2024 FSC-klagomål.docx", "A 584-2024")</f>
        <v/>
      </c>
      <c r="W158">
        <f>HYPERLINK("https://klasma.github.io/Logging_0380/klagomålsmail/A 584-2024 FSC-klagomål mail.docx", "A 584-2024")</f>
        <v/>
      </c>
      <c r="X158">
        <f>HYPERLINK("https://klasma.github.io/Logging_0380/tillsyn/A 584-2024 tillsynsbegäran.docx", "A 584-2024")</f>
        <v/>
      </c>
      <c r="Y158">
        <f>HYPERLINK("https://klasma.github.io/Logging_0380/tillsynsmail/A 584-2024 tillsynsbegäran mail.docx", "A 584-2024")</f>
        <v/>
      </c>
    </row>
    <row r="159" ht="15" customHeight="1">
      <c r="A159" t="inlineStr">
        <is>
          <t>A 2729-2024</t>
        </is>
      </c>
      <c r="B159" s="1" t="n">
        <v>45314</v>
      </c>
      <c r="C159" s="1" t="n">
        <v>45584</v>
      </c>
      <c r="D159" t="inlineStr">
        <is>
          <t>UPPSALA LÄN</t>
        </is>
      </c>
      <c r="E159" t="inlineStr">
        <is>
          <t>UPPSALA</t>
        </is>
      </c>
      <c r="G159" t="n">
        <v>3.3</v>
      </c>
      <c r="H159" t="n">
        <v>1</v>
      </c>
      <c r="I159" t="n">
        <v>0</v>
      </c>
      <c r="J159" t="n">
        <v>0</v>
      </c>
      <c r="K159" t="n">
        <v>0</v>
      </c>
      <c r="L159" t="n">
        <v>0</v>
      </c>
      <c r="M159" t="n">
        <v>0</v>
      </c>
      <c r="N159" t="n">
        <v>0</v>
      </c>
      <c r="O159" t="n">
        <v>0</v>
      </c>
      <c r="P159" t="n">
        <v>0</v>
      </c>
      <c r="Q159" t="n">
        <v>1</v>
      </c>
      <c r="R159" s="2" t="inlineStr">
        <is>
          <t>Revlummer</t>
        </is>
      </c>
      <c r="S159">
        <f>HYPERLINK("https://klasma.github.io/Logging_0380/artfynd/A 2729-2024 artfynd.xlsx", "A 2729-2024")</f>
        <v/>
      </c>
      <c r="T159">
        <f>HYPERLINK("https://klasma.github.io/Logging_0380/kartor/A 2729-2024 karta.png", "A 2729-2024")</f>
        <v/>
      </c>
      <c r="V159">
        <f>HYPERLINK("https://klasma.github.io/Logging_0380/klagomål/A 2729-2024 FSC-klagomål.docx", "A 2729-2024")</f>
        <v/>
      </c>
      <c r="W159">
        <f>HYPERLINK("https://klasma.github.io/Logging_0380/klagomålsmail/A 2729-2024 FSC-klagomål mail.docx", "A 2729-2024")</f>
        <v/>
      </c>
      <c r="X159">
        <f>HYPERLINK("https://klasma.github.io/Logging_0380/tillsyn/A 2729-2024 tillsynsbegäran.docx", "A 2729-2024")</f>
        <v/>
      </c>
      <c r="Y159">
        <f>HYPERLINK("https://klasma.github.io/Logging_0380/tillsynsmail/A 2729-2024 tillsynsbegäran mail.docx", "A 2729-2024")</f>
        <v/>
      </c>
    </row>
    <row r="160" ht="15" customHeight="1">
      <c r="A160" t="inlineStr">
        <is>
          <t>A 5972-2024</t>
        </is>
      </c>
      <c r="B160" s="1" t="n">
        <v>45336</v>
      </c>
      <c r="C160" s="1" t="n">
        <v>45584</v>
      </c>
      <c r="D160" t="inlineStr">
        <is>
          <t>UPPSALA LÄN</t>
        </is>
      </c>
      <c r="E160" t="inlineStr">
        <is>
          <t>UPPSALA</t>
        </is>
      </c>
      <c r="G160" t="n">
        <v>1.6</v>
      </c>
      <c r="H160" t="n">
        <v>1</v>
      </c>
      <c r="I160" t="n">
        <v>0</v>
      </c>
      <c r="J160" t="n">
        <v>0</v>
      </c>
      <c r="K160" t="n">
        <v>0</v>
      </c>
      <c r="L160" t="n">
        <v>0</v>
      </c>
      <c r="M160" t="n">
        <v>0</v>
      </c>
      <c r="N160" t="n">
        <v>0</v>
      </c>
      <c r="O160" t="n">
        <v>0</v>
      </c>
      <c r="P160" t="n">
        <v>0</v>
      </c>
      <c r="Q160" t="n">
        <v>1</v>
      </c>
      <c r="R160" s="2" t="inlineStr">
        <is>
          <t>Sparvuggla</t>
        </is>
      </c>
      <c r="S160">
        <f>HYPERLINK("https://klasma.github.io/Logging_0380/artfynd/A 5972-2024 artfynd.xlsx", "A 5972-2024")</f>
        <v/>
      </c>
      <c r="T160">
        <f>HYPERLINK("https://klasma.github.io/Logging_0380/kartor/A 5972-2024 karta.png", "A 5972-2024")</f>
        <v/>
      </c>
      <c r="V160">
        <f>HYPERLINK("https://klasma.github.io/Logging_0380/klagomål/A 5972-2024 FSC-klagomål.docx", "A 5972-2024")</f>
        <v/>
      </c>
      <c r="W160">
        <f>HYPERLINK("https://klasma.github.io/Logging_0380/klagomålsmail/A 5972-2024 FSC-klagomål mail.docx", "A 5972-2024")</f>
        <v/>
      </c>
      <c r="X160">
        <f>HYPERLINK("https://klasma.github.io/Logging_0380/tillsyn/A 5972-2024 tillsynsbegäran.docx", "A 5972-2024")</f>
        <v/>
      </c>
      <c r="Y160">
        <f>HYPERLINK("https://klasma.github.io/Logging_0380/tillsynsmail/A 5972-2024 tillsynsbegäran mail.docx", "A 5972-2024")</f>
        <v/>
      </c>
      <c r="Z160">
        <f>HYPERLINK("https://klasma.github.io/Logging_0380/fåglar/A 5972-2024 prioriterade fågelarter.docx", "A 5972-2024")</f>
        <v/>
      </c>
    </row>
    <row r="161" ht="15" customHeight="1">
      <c r="A161" t="inlineStr">
        <is>
          <t>A 6044-2024</t>
        </is>
      </c>
      <c r="B161" s="1" t="n">
        <v>45336</v>
      </c>
      <c r="C161" s="1" t="n">
        <v>45584</v>
      </c>
      <c r="D161" t="inlineStr">
        <is>
          <t>UPPSALA LÄN</t>
        </is>
      </c>
      <c r="E161" t="inlineStr">
        <is>
          <t>UPPSALA</t>
        </is>
      </c>
      <c r="F161" t="inlineStr">
        <is>
          <t>Holmen skog AB</t>
        </is>
      </c>
      <c r="G161" t="n">
        <v>7.4</v>
      </c>
      <c r="H161" t="n">
        <v>0</v>
      </c>
      <c r="I161" t="n">
        <v>0</v>
      </c>
      <c r="J161" t="n">
        <v>1</v>
      </c>
      <c r="K161" t="n">
        <v>0</v>
      </c>
      <c r="L161" t="n">
        <v>0</v>
      </c>
      <c r="M161" t="n">
        <v>0</v>
      </c>
      <c r="N161" t="n">
        <v>0</v>
      </c>
      <c r="O161" t="n">
        <v>1</v>
      </c>
      <c r="P161" t="n">
        <v>0</v>
      </c>
      <c r="Q161" t="n">
        <v>1</v>
      </c>
      <c r="R161" s="2" t="inlineStr">
        <is>
          <t>Gul dropplav</t>
        </is>
      </c>
      <c r="S161">
        <f>HYPERLINK("https://klasma.github.io/Logging_0380/artfynd/A 6044-2024 artfynd.xlsx", "A 6044-2024")</f>
        <v/>
      </c>
      <c r="T161">
        <f>HYPERLINK("https://klasma.github.io/Logging_0380/kartor/A 6044-2024 karta.png", "A 6044-2024")</f>
        <v/>
      </c>
      <c r="V161">
        <f>HYPERLINK("https://klasma.github.io/Logging_0380/klagomål/A 6044-2024 FSC-klagomål.docx", "A 6044-2024")</f>
        <v/>
      </c>
      <c r="W161">
        <f>HYPERLINK("https://klasma.github.io/Logging_0380/klagomålsmail/A 6044-2024 FSC-klagomål mail.docx", "A 6044-2024")</f>
        <v/>
      </c>
      <c r="X161">
        <f>HYPERLINK("https://klasma.github.io/Logging_0380/tillsyn/A 6044-2024 tillsynsbegäran.docx", "A 6044-2024")</f>
        <v/>
      </c>
      <c r="Y161">
        <f>HYPERLINK("https://klasma.github.io/Logging_0380/tillsynsmail/A 6044-2024 tillsynsbegäran mail.docx", "A 6044-2024")</f>
        <v/>
      </c>
    </row>
    <row r="162" ht="15" customHeight="1">
      <c r="A162" t="inlineStr">
        <is>
          <t>A 7395-2024</t>
        </is>
      </c>
      <c r="B162" s="1" t="n">
        <v>45345</v>
      </c>
      <c r="C162" s="1" t="n">
        <v>45584</v>
      </c>
      <c r="D162" t="inlineStr">
        <is>
          <t>UPPSALA LÄN</t>
        </is>
      </c>
      <c r="E162" t="inlineStr">
        <is>
          <t>UPPSALA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HYPERLINK("https://klasma.github.io/Logging_0380/artfynd/A 7395-2024 artfynd.xlsx", "A 7395-2024")</f>
        <v/>
      </c>
      <c r="T162">
        <f>HYPERLINK("https://klasma.github.io/Logging_0380/kartor/A 7395-2024 karta.png", "A 7395-2024")</f>
        <v/>
      </c>
      <c r="U162">
        <f>HYPERLINK("https://klasma.github.io/Logging_0380/knärot/A 7395-2024 karta knärot.png", "A 7395-2024")</f>
        <v/>
      </c>
      <c r="V162">
        <f>HYPERLINK("https://klasma.github.io/Logging_0380/klagomål/A 7395-2024 FSC-klagomål.docx", "A 7395-2024")</f>
        <v/>
      </c>
      <c r="W162">
        <f>HYPERLINK("https://klasma.github.io/Logging_0380/klagomålsmail/A 7395-2024 FSC-klagomål mail.docx", "A 7395-2024")</f>
        <v/>
      </c>
      <c r="X162">
        <f>HYPERLINK("https://klasma.github.io/Logging_0380/tillsyn/A 7395-2024 tillsynsbegäran.docx", "A 7395-2024")</f>
        <v/>
      </c>
      <c r="Y162">
        <f>HYPERLINK("https://klasma.github.io/Logging_0380/tillsynsmail/A 7395-2024 tillsynsbegäran mail.docx", "A 7395-2024")</f>
        <v/>
      </c>
    </row>
    <row r="163" ht="15" customHeight="1">
      <c r="A163" t="inlineStr">
        <is>
          <t>A 7397-2024</t>
        </is>
      </c>
      <c r="B163" s="1" t="n">
        <v>45345</v>
      </c>
      <c r="C163" s="1" t="n">
        <v>45584</v>
      </c>
      <c r="D163" t="inlineStr">
        <is>
          <t>UPPSALA LÄN</t>
        </is>
      </c>
      <c r="E163" t="inlineStr">
        <is>
          <t>UPPSALA</t>
        </is>
      </c>
      <c r="G163" t="n">
        <v>3.4</v>
      </c>
      <c r="H163" t="n">
        <v>0</v>
      </c>
      <c r="I163" t="n">
        <v>1</v>
      </c>
      <c r="J163" t="n">
        <v>0</v>
      </c>
      <c r="K163" t="n">
        <v>0</v>
      </c>
      <c r="L163" t="n">
        <v>0</v>
      </c>
      <c r="M163" t="n">
        <v>0</v>
      </c>
      <c r="N163" t="n">
        <v>0</v>
      </c>
      <c r="O163" t="n">
        <v>0</v>
      </c>
      <c r="P163" t="n">
        <v>0</v>
      </c>
      <c r="Q163" t="n">
        <v>1</v>
      </c>
      <c r="R163" s="2" t="inlineStr">
        <is>
          <t>Svavelriska</t>
        </is>
      </c>
      <c r="S163">
        <f>HYPERLINK("https://klasma.github.io/Logging_0380/artfynd/A 7397-2024 artfynd.xlsx", "A 7397-2024")</f>
        <v/>
      </c>
      <c r="T163">
        <f>HYPERLINK("https://klasma.github.io/Logging_0380/kartor/A 7397-2024 karta.png", "A 7397-2024")</f>
        <v/>
      </c>
      <c r="U163">
        <f>HYPERLINK("https://klasma.github.io/Logging_0380/knärot/A 7397-2024 karta knärot.png", "A 7397-2024")</f>
        <v/>
      </c>
      <c r="V163">
        <f>HYPERLINK("https://klasma.github.io/Logging_0380/klagomål/A 7397-2024 FSC-klagomål.docx", "A 7397-2024")</f>
        <v/>
      </c>
      <c r="W163">
        <f>HYPERLINK("https://klasma.github.io/Logging_0380/klagomålsmail/A 7397-2024 FSC-klagomål mail.docx", "A 7397-2024")</f>
        <v/>
      </c>
      <c r="X163">
        <f>HYPERLINK("https://klasma.github.io/Logging_0380/tillsyn/A 7397-2024 tillsynsbegäran.docx", "A 7397-2024")</f>
        <v/>
      </c>
      <c r="Y163">
        <f>HYPERLINK("https://klasma.github.io/Logging_0380/tillsynsmail/A 7397-2024 tillsynsbegäran mail.docx", "A 7397-2024")</f>
        <v/>
      </c>
    </row>
    <row r="164" ht="15" customHeight="1">
      <c r="A164" t="inlineStr">
        <is>
          <t>A 8398-2024</t>
        </is>
      </c>
      <c r="B164" s="1" t="n">
        <v>45352</v>
      </c>
      <c r="C164" s="1" t="n">
        <v>45584</v>
      </c>
      <c r="D164" t="inlineStr">
        <is>
          <t>UPPSALA LÄN</t>
        </is>
      </c>
      <c r="E164" t="inlineStr">
        <is>
          <t>UPPSALA</t>
        </is>
      </c>
      <c r="G164" t="n">
        <v>6.2</v>
      </c>
      <c r="H164" t="n">
        <v>1</v>
      </c>
      <c r="I164" t="n">
        <v>0</v>
      </c>
      <c r="J164" t="n">
        <v>0</v>
      </c>
      <c r="K164" t="n">
        <v>0</v>
      </c>
      <c r="L164" t="n">
        <v>0</v>
      </c>
      <c r="M164" t="n">
        <v>0</v>
      </c>
      <c r="N164" t="n">
        <v>0</v>
      </c>
      <c r="O164" t="n">
        <v>0</v>
      </c>
      <c r="P164" t="n">
        <v>0</v>
      </c>
      <c r="Q164" t="n">
        <v>1</v>
      </c>
      <c r="R164" s="2" t="inlineStr">
        <is>
          <t>Tjäder</t>
        </is>
      </c>
      <c r="S164">
        <f>HYPERLINK("https://klasma.github.io/Logging_0380/artfynd/A 8398-2024 artfynd.xlsx", "A 8398-2024")</f>
        <v/>
      </c>
      <c r="T164">
        <f>HYPERLINK("https://klasma.github.io/Logging_0380/kartor/A 8398-2024 karta.png", "A 8398-2024")</f>
        <v/>
      </c>
      <c r="V164">
        <f>HYPERLINK("https://klasma.github.io/Logging_0380/klagomål/A 8398-2024 FSC-klagomål.docx", "A 8398-2024")</f>
        <v/>
      </c>
      <c r="W164">
        <f>HYPERLINK("https://klasma.github.io/Logging_0380/klagomålsmail/A 8398-2024 FSC-klagomål mail.docx", "A 8398-2024")</f>
        <v/>
      </c>
      <c r="X164">
        <f>HYPERLINK("https://klasma.github.io/Logging_0380/tillsyn/A 8398-2024 tillsynsbegäran.docx", "A 8398-2024")</f>
        <v/>
      </c>
      <c r="Y164">
        <f>HYPERLINK("https://klasma.github.io/Logging_0380/tillsynsmail/A 8398-2024 tillsynsbegäran mail.docx", "A 8398-2024")</f>
        <v/>
      </c>
      <c r="Z164">
        <f>HYPERLINK("https://klasma.github.io/Logging_0380/fåglar/A 8398-2024 prioriterade fågelarter.docx", "A 8398-2024")</f>
        <v/>
      </c>
    </row>
    <row r="165" ht="15" customHeight="1">
      <c r="A165" t="inlineStr">
        <is>
          <t>A 9206-2024</t>
        </is>
      </c>
      <c r="B165" s="1" t="n">
        <v>45358</v>
      </c>
      <c r="C165" s="1" t="n">
        <v>45584</v>
      </c>
      <c r="D165" t="inlineStr">
        <is>
          <t>UPPSALA LÄN</t>
        </is>
      </c>
      <c r="E165" t="inlineStr">
        <is>
          <t>UPPSALA</t>
        </is>
      </c>
      <c r="F165" t="inlineStr">
        <is>
          <t>Allmännings- och besparingsskogar</t>
        </is>
      </c>
      <c r="G165" t="n">
        <v>22.2</v>
      </c>
      <c r="H165" t="n">
        <v>1</v>
      </c>
      <c r="I165" t="n">
        <v>0</v>
      </c>
      <c r="J165" t="n">
        <v>0</v>
      </c>
      <c r="K165" t="n">
        <v>1</v>
      </c>
      <c r="L165" t="n">
        <v>0</v>
      </c>
      <c r="M165" t="n">
        <v>0</v>
      </c>
      <c r="N165" t="n">
        <v>0</v>
      </c>
      <c r="O165" t="n">
        <v>1</v>
      </c>
      <c r="P165" t="n">
        <v>1</v>
      </c>
      <c r="Q165" t="n">
        <v>1</v>
      </c>
      <c r="R165" s="2" t="inlineStr">
        <is>
          <t>Knärot</t>
        </is>
      </c>
      <c r="S165">
        <f>HYPERLINK("https://klasma.github.io/Logging_0380/artfynd/A 9206-2024 artfynd.xlsx", "A 9206-2024")</f>
        <v/>
      </c>
      <c r="T165">
        <f>HYPERLINK("https://klasma.github.io/Logging_0380/kartor/A 9206-2024 karta.png", "A 9206-2024")</f>
        <v/>
      </c>
      <c r="U165">
        <f>HYPERLINK("https://klasma.github.io/Logging_0380/knärot/A 9206-2024 karta knärot.png", "A 9206-2024")</f>
        <v/>
      </c>
      <c r="V165">
        <f>HYPERLINK("https://klasma.github.io/Logging_0380/klagomål/A 9206-2024 FSC-klagomål.docx", "A 9206-2024")</f>
        <v/>
      </c>
      <c r="W165">
        <f>HYPERLINK("https://klasma.github.io/Logging_0380/klagomålsmail/A 9206-2024 FSC-klagomål mail.docx", "A 9206-2024")</f>
        <v/>
      </c>
      <c r="X165">
        <f>HYPERLINK("https://klasma.github.io/Logging_0380/tillsyn/A 9206-2024 tillsynsbegäran.docx", "A 9206-2024")</f>
        <v/>
      </c>
      <c r="Y165">
        <f>HYPERLINK("https://klasma.github.io/Logging_0380/tillsynsmail/A 9206-2024 tillsynsbegäran mail.docx", "A 9206-2024")</f>
        <v/>
      </c>
    </row>
    <row r="166" ht="15" customHeight="1">
      <c r="A166" t="inlineStr">
        <is>
          <t>A 13093-2024</t>
        </is>
      </c>
      <c r="B166" s="1" t="n">
        <v>45385</v>
      </c>
      <c r="C166" s="1" t="n">
        <v>45584</v>
      </c>
      <c r="D166" t="inlineStr">
        <is>
          <t>UPPSALA LÄN</t>
        </is>
      </c>
      <c r="E166" t="inlineStr">
        <is>
          <t>UPPSALA</t>
        </is>
      </c>
      <c r="G166" t="n">
        <v>1.1</v>
      </c>
      <c r="H166" t="n">
        <v>1</v>
      </c>
      <c r="I166" t="n">
        <v>1</v>
      </c>
      <c r="J166" t="n">
        <v>0</v>
      </c>
      <c r="K166" t="n">
        <v>0</v>
      </c>
      <c r="L166" t="n">
        <v>0</v>
      </c>
      <c r="M166" t="n">
        <v>0</v>
      </c>
      <c r="N166" t="n">
        <v>0</v>
      </c>
      <c r="O166" t="n">
        <v>0</v>
      </c>
      <c r="P166" t="n">
        <v>0</v>
      </c>
      <c r="Q166" t="n">
        <v>1</v>
      </c>
      <c r="R166" s="2" t="inlineStr">
        <is>
          <t>Skogsknipprot</t>
        </is>
      </c>
      <c r="S166">
        <f>HYPERLINK("https://klasma.github.io/Logging_0380/artfynd/A 13093-2024 artfynd.xlsx", "A 13093-2024")</f>
        <v/>
      </c>
      <c r="T166">
        <f>HYPERLINK("https://klasma.github.io/Logging_0380/kartor/A 13093-2024 karta.png", "A 13093-2024")</f>
        <v/>
      </c>
      <c r="V166">
        <f>HYPERLINK("https://klasma.github.io/Logging_0380/klagomål/A 13093-2024 FSC-klagomål.docx", "A 13093-2024")</f>
        <v/>
      </c>
      <c r="W166">
        <f>HYPERLINK("https://klasma.github.io/Logging_0380/klagomålsmail/A 13093-2024 FSC-klagomål mail.docx", "A 13093-2024")</f>
        <v/>
      </c>
      <c r="X166">
        <f>HYPERLINK("https://klasma.github.io/Logging_0380/tillsyn/A 13093-2024 tillsynsbegäran.docx", "A 13093-2024")</f>
        <v/>
      </c>
      <c r="Y166">
        <f>HYPERLINK("https://klasma.github.io/Logging_0380/tillsynsmail/A 13093-2024 tillsynsbegäran mail.docx", "A 13093-2024")</f>
        <v/>
      </c>
    </row>
    <row r="167" ht="15" customHeight="1">
      <c r="A167" t="inlineStr">
        <is>
          <t>A 13661-2024</t>
        </is>
      </c>
      <c r="B167" s="1" t="n">
        <v>45390</v>
      </c>
      <c r="C167" s="1" t="n">
        <v>45584</v>
      </c>
      <c r="D167" t="inlineStr">
        <is>
          <t>UPPSALA LÄN</t>
        </is>
      </c>
      <c r="E167" t="inlineStr">
        <is>
          <t>UPPSALA</t>
        </is>
      </c>
      <c r="F167" t="inlineStr">
        <is>
          <t>Holmen skog AB</t>
        </is>
      </c>
      <c r="G167" t="n">
        <v>3.7</v>
      </c>
      <c r="H167" t="n">
        <v>0</v>
      </c>
      <c r="I167" t="n">
        <v>0</v>
      </c>
      <c r="J167" t="n">
        <v>1</v>
      </c>
      <c r="K167" t="n">
        <v>0</v>
      </c>
      <c r="L167" t="n">
        <v>0</v>
      </c>
      <c r="M167" t="n">
        <v>0</v>
      </c>
      <c r="N167" t="n">
        <v>0</v>
      </c>
      <c r="O167" t="n">
        <v>1</v>
      </c>
      <c r="P167" t="n">
        <v>0</v>
      </c>
      <c r="Q167" t="n">
        <v>1</v>
      </c>
      <c r="R167" s="2" t="inlineStr">
        <is>
          <t>Skogsklocka</t>
        </is>
      </c>
      <c r="S167">
        <f>HYPERLINK("https://klasma.github.io/Logging_0380/artfynd/A 13661-2024 artfynd.xlsx", "A 13661-2024")</f>
        <v/>
      </c>
      <c r="T167">
        <f>HYPERLINK("https://klasma.github.io/Logging_0380/kartor/A 13661-2024 karta.png", "A 13661-2024")</f>
        <v/>
      </c>
      <c r="V167">
        <f>HYPERLINK("https://klasma.github.io/Logging_0380/klagomål/A 13661-2024 FSC-klagomål.docx", "A 13661-2024")</f>
        <v/>
      </c>
      <c r="W167">
        <f>HYPERLINK("https://klasma.github.io/Logging_0380/klagomålsmail/A 13661-2024 FSC-klagomål mail.docx", "A 13661-2024")</f>
        <v/>
      </c>
      <c r="X167">
        <f>HYPERLINK("https://klasma.github.io/Logging_0380/tillsyn/A 13661-2024 tillsynsbegäran.docx", "A 13661-2024")</f>
        <v/>
      </c>
      <c r="Y167">
        <f>HYPERLINK("https://klasma.github.io/Logging_0380/tillsynsmail/A 13661-2024 tillsynsbegäran mail.docx", "A 13661-2024")</f>
        <v/>
      </c>
    </row>
    <row r="168" ht="15" customHeight="1">
      <c r="A168" t="inlineStr">
        <is>
          <t>A 18348-2024</t>
        </is>
      </c>
      <c r="B168" s="1" t="n">
        <v>45422</v>
      </c>
      <c r="C168" s="1" t="n">
        <v>45584</v>
      </c>
      <c r="D168" t="inlineStr">
        <is>
          <t>UPPSALA LÄN</t>
        </is>
      </c>
      <c r="E168" t="inlineStr">
        <is>
          <t>UPPSALA</t>
        </is>
      </c>
      <c r="F168" t="inlineStr">
        <is>
          <t>Holmen skog AB</t>
        </is>
      </c>
      <c r="G168" t="n">
        <v>2.8</v>
      </c>
      <c r="H168" t="n">
        <v>0</v>
      </c>
      <c r="I168" t="n">
        <v>0</v>
      </c>
      <c r="J168" t="n">
        <v>1</v>
      </c>
      <c r="K168" t="n">
        <v>0</v>
      </c>
      <c r="L168" t="n">
        <v>0</v>
      </c>
      <c r="M168" t="n">
        <v>0</v>
      </c>
      <c r="N168" t="n">
        <v>0</v>
      </c>
      <c r="O168" t="n">
        <v>1</v>
      </c>
      <c r="P168" t="n">
        <v>0</v>
      </c>
      <c r="Q168" t="n">
        <v>1</v>
      </c>
      <c r="R168" s="2" t="inlineStr">
        <is>
          <t>Granticka</t>
        </is>
      </c>
      <c r="S168">
        <f>HYPERLINK("https://klasma.github.io/Logging_0380/artfynd/A 18348-2024 artfynd.xlsx", "A 18348-2024")</f>
        <v/>
      </c>
      <c r="T168">
        <f>HYPERLINK("https://klasma.github.io/Logging_0380/kartor/A 18348-2024 karta.png", "A 18348-2024")</f>
        <v/>
      </c>
      <c r="V168">
        <f>HYPERLINK("https://klasma.github.io/Logging_0380/klagomål/A 18348-2024 FSC-klagomål.docx", "A 18348-2024")</f>
        <v/>
      </c>
      <c r="W168">
        <f>HYPERLINK("https://klasma.github.io/Logging_0380/klagomålsmail/A 18348-2024 FSC-klagomål mail.docx", "A 18348-2024")</f>
        <v/>
      </c>
      <c r="X168">
        <f>HYPERLINK("https://klasma.github.io/Logging_0380/tillsyn/A 18348-2024 tillsynsbegäran.docx", "A 18348-2024")</f>
        <v/>
      </c>
      <c r="Y168">
        <f>HYPERLINK("https://klasma.github.io/Logging_0380/tillsynsmail/A 18348-2024 tillsynsbegäran mail.docx", "A 18348-2024")</f>
        <v/>
      </c>
    </row>
    <row r="169" ht="15" customHeight="1">
      <c r="A169" t="inlineStr">
        <is>
          <t>A 18509-2024</t>
        </is>
      </c>
      <c r="B169" s="1" t="n">
        <v>45425</v>
      </c>
      <c r="C169" s="1" t="n">
        <v>45584</v>
      </c>
      <c r="D169" t="inlineStr">
        <is>
          <t>UPPSALA LÄN</t>
        </is>
      </c>
      <c r="E169" t="inlineStr">
        <is>
          <t>UPPSALA</t>
        </is>
      </c>
      <c r="G169" t="n">
        <v>4</v>
      </c>
      <c r="H169" t="n">
        <v>0</v>
      </c>
      <c r="I169" t="n">
        <v>1</v>
      </c>
      <c r="J169" t="n">
        <v>0</v>
      </c>
      <c r="K169" t="n">
        <v>0</v>
      </c>
      <c r="L169" t="n">
        <v>0</v>
      </c>
      <c r="M169" t="n">
        <v>0</v>
      </c>
      <c r="N169" t="n">
        <v>0</v>
      </c>
      <c r="O169" t="n">
        <v>0</v>
      </c>
      <c r="P169" t="n">
        <v>0</v>
      </c>
      <c r="Q169" t="n">
        <v>1</v>
      </c>
      <c r="R169" s="2" t="inlineStr">
        <is>
          <t>Fällmossa</t>
        </is>
      </c>
      <c r="S169">
        <f>HYPERLINK("https://klasma.github.io/Logging_0380/artfynd/A 18509-2024 artfynd.xlsx", "A 18509-2024")</f>
        <v/>
      </c>
      <c r="T169">
        <f>HYPERLINK("https://klasma.github.io/Logging_0380/kartor/A 18509-2024 karta.png", "A 18509-2024")</f>
        <v/>
      </c>
      <c r="V169">
        <f>HYPERLINK("https://klasma.github.io/Logging_0380/klagomål/A 18509-2024 FSC-klagomål.docx", "A 18509-2024")</f>
        <v/>
      </c>
      <c r="W169">
        <f>HYPERLINK("https://klasma.github.io/Logging_0380/klagomålsmail/A 18509-2024 FSC-klagomål mail.docx", "A 18509-2024")</f>
        <v/>
      </c>
      <c r="X169">
        <f>HYPERLINK("https://klasma.github.io/Logging_0380/tillsyn/A 18509-2024 tillsynsbegäran.docx", "A 18509-2024")</f>
        <v/>
      </c>
      <c r="Y169">
        <f>HYPERLINK("https://klasma.github.io/Logging_0380/tillsynsmail/A 18509-2024 tillsynsbegäran mail.docx", "A 18509-2024")</f>
        <v/>
      </c>
    </row>
    <row r="170" ht="15" customHeight="1">
      <c r="A170" t="inlineStr">
        <is>
          <t>A 21671-2024</t>
        </is>
      </c>
      <c r="B170" s="1" t="n">
        <v>45442</v>
      </c>
      <c r="C170" s="1" t="n">
        <v>45584</v>
      </c>
      <c r="D170" t="inlineStr">
        <is>
          <t>UPPSALA LÄN</t>
        </is>
      </c>
      <c r="E170" t="inlineStr">
        <is>
          <t>UPPSALA</t>
        </is>
      </c>
      <c r="G170" t="n">
        <v>3.7</v>
      </c>
      <c r="H170" t="n">
        <v>1</v>
      </c>
      <c r="I170" t="n">
        <v>0</v>
      </c>
      <c r="J170" t="n">
        <v>0</v>
      </c>
      <c r="K170" t="n">
        <v>1</v>
      </c>
      <c r="L170" t="n">
        <v>0</v>
      </c>
      <c r="M170" t="n">
        <v>0</v>
      </c>
      <c r="N170" t="n">
        <v>0</v>
      </c>
      <c r="O170" t="n">
        <v>1</v>
      </c>
      <c r="P170" t="n">
        <v>1</v>
      </c>
      <c r="Q170" t="n">
        <v>1</v>
      </c>
      <c r="R170" s="2" t="inlineStr">
        <is>
          <t>Knärot</t>
        </is>
      </c>
      <c r="S170">
        <f>HYPERLINK("https://klasma.github.io/Logging_0380/artfynd/A 21671-2024 artfynd.xlsx", "A 21671-2024")</f>
        <v/>
      </c>
      <c r="T170">
        <f>HYPERLINK("https://klasma.github.io/Logging_0380/kartor/A 21671-2024 karta.png", "A 21671-2024")</f>
        <v/>
      </c>
      <c r="U170">
        <f>HYPERLINK("https://klasma.github.io/Logging_0380/knärot/A 21671-2024 karta knärot.png", "A 21671-2024")</f>
        <v/>
      </c>
      <c r="V170">
        <f>HYPERLINK("https://klasma.github.io/Logging_0380/klagomål/A 21671-2024 FSC-klagomål.docx", "A 21671-2024")</f>
        <v/>
      </c>
      <c r="W170">
        <f>HYPERLINK("https://klasma.github.io/Logging_0380/klagomålsmail/A 21671-2024 FSC-klagomål mail.docx", "A 21671-2024")</f>
        <v/>
      </c>
      <c r="X170">
        <f>HYPERLINK("https://klasma.github.io/Logging_0380/tillsyn/A 21671-2024 tillsynsbegäran.docx", "A 21671-2024")</f>
        <v/>
      </c>
      <c r="Y170">
        <f>HYPERLINK("https://klasma.github.io/Logging_0380/tillsynsmail/A 21671-2024 tillsynsbegäran mail.docx", "A 21671-2024")</f>
        <v/>
      </c>
    </row>
    <row r="171" ht="15" customHeight="1">
      <c r="A171" t="inlineStr">
        <is>
          <t>A 23321-2024</t>
        </is>
      </c>
      <c r="B171" s="1" t="n">
        <v>45453</v>
      </c>
      <c r="C171" s="1" t="n">
        <v>45584</v>
      </c>
      <c r="D171" t="inlineStr">
        <is>
          <t>UPPSALA LÄN</t>
        </is>
      </c>
      <c r="E171" t="inlineStr">
        <is>
          <t>UPPSALA</t>
        </is>
      </c>
      <c r="G171" t="n">
        <v>11.8</v>
      </c>
      <c r="H171" t="n">
        <v>1</v>
      </c>
      <c r="I171" t="n">
        <v>0</v>
      </c>
      <c r="J171" t="n">
        <v>1</v>
      </c>
      <c r="K171" t="n">
        <v>0</v>
      </c>
      <c r="L171" t="n">
        <v>0</v>
      </c>
      <c r="M171" t="n">
        <v>0</v>
      </c>
      <c r="N171" t="n">
        <v>0</v>
      </c>
      <c r="O171" t="n">
        <v>1</v>
      </c>
      <c r="P171" t="n">
        <v>0</v>
      </c>
      <c r="Q171" t="n">
        <v>1</v>
      </c>
      <c r="R171" s="2" t="inlineStr">
        <is>
          <t>Talltita</t>
        </is>
      </c>
      <c r="S171">
        <f>HYPERLINK("https://klasma.github.io/Logging_0380/artfynd/A 23321-2024 artfynd.xlsx", "A 23321-2024")</f>
        <v/>
      </c>
      <c r="T171">
        <f>HYPERLINK("https://klasma.github.io/Logging_0380/kartor/A 23321-2024 karta.png", "A 23321-2024")</f>
        <v/>
      </c>
      <c r="U171">
        <f>HYPERLINK("https://klasma.github.io/Logging_0380/knärot/A 23321-2024 karta knärot.png", "A 23321-2024")</f>
        <v/>
      </c>
      <c r="V171">
        <f>HYPERLINK("https://klasma.github.io/Logging_0380/klagomål/A 23321-2024 FSC-klagomål.docx", "A 23321-2024")</f>
        <v/>
      </c>
      <c r="W171">
        <f>HYPERLINK("https://klasma.github.io/Logging_0380/klagomålsmail/A 23321-2024 FSC-klagomål mail.docx", "A 23321-2024")</f>
        <v/>
      </c>
      <c r="X171">
        <f>HYPERLINK("https://klasma.github.io/Logging_0380/tillsyn/A 23321-2024 tillsynsbegäran.docx", "A 23321-2024")</f>
        <v/>
      </c>
      <c r="Y171">
        <f>HYPERLINK("https://klasma.github.io/Logging_0380/tillsynsmail/A 23321-2024 tillsynsbegäran mail.docx", "A 23321-2024")</f>
        <v/>
      </c>
      <c r="Z171">
        <f>HYPERLINK("https://klasma.github.io/Logging_0380/fåglar/A 23321-2024 prioriterade fågelarter.docx", "A 23321-2024")</f>
        <v/>
      </c>
    </row>
    <row r="172" ht="15" customHeight="1">
      <c r="A172" t="inlineStr">
        <is>
          <t>A 25482-2024</t>
        </is>
      </c>
      <c r="B172" s="1" t="n">
        <v>45463</v>
      </c>
      <c r="C172" s="1" t="n">
        <v>45584</v>
      </c>
      <c r="D172" t="inlineStr">
        <is>
          <t>UPPSALA LÄN</t>
        </is>
      </c>
      <c r="E172" t="inlineStr">
        <is>
          <t>UPPSALA</t>
        </is>
      </c>
      <c r="F172" t="inlineStr">
        <is>
          <t>Övriga Aktiebolag</t>
        </is>
      </c>
      <c r="G172" t="n">
        <v>1</v>
      </c>
      <c r="H172" t="n">
        <v>0</v>
      </c>
      <c r="I172" t="n">
        <v>1</v>
      </c>
      <c r="J172" t="n">
        <v>0</v>
      </c>
      <c r="K172" t="n">
        <v>0</v>
      </c>
      <c r="L172" t="n">
        <v>0</v>
      </c>
      <c r="M172" t="n">
        <v>0</v>
      </c>
      <c r="N172" t="n">
        <v>0</v>
      </c>
      <c r="O172" t="n">
        <v>0</v>
      </c>
      <c r="P172" t="n">
        <v>0</v>
      </c>
      <c r="Q172" t="n">
        <v>1</v>
      </c>
      <c r="R172" s="2" t="inlineStr">
        <is>
          <t>Stor aspticka</t>
        </is>
      </c>
      <c r="S172">
        <f>HYPERLINK("https://klasma.github.io/Logging_0380/artfynd/A 25482-2024 artfynd.xlsx", "A 25482-2024")</f>
        <v/>
      </c>
      <c r="T172">
        <f>HYPERLINK("https://klasma.github.io/Logging_0380/kartor/A 25482-2024 karta.png", "A 25482-2024")</f>
        <v/>
      </c>
      <c r="V172">
        <f>HYPERLINK("https://klasma.github.io/Logging_0380/klagomål/A 25482-2024 FSC-klagomål.docx", "A 25482-2024")</f>
        <v/>
      </c>
      <c r="W172">
        <f>HYPERLINK("https://klasma.github.io/Logging_0380/klagomålsmail/A 25482-2024 FSC-klagomål mail.docx", "A 25482-2024")</f>
        <v/>
      </c>
      <c r="X172">
        <f>HYPERLINK("https://klasma.github.io/Logging_0380/tillsyn/A 25482-2024 tillsynsbegäran.docx", "A 25482-2024")</f>
        <v/>
      </c>
      <c r="Y172">
        <f>HYPERLINK("https://klasma.github.io/Logging_0380/tillsynsmail/A 25482-2024 tillsynsbegäran mail.docx", "A 25482-2024")</f>
        <v/>
      </c>
    </row>
    <row r="173" ht="15" customHeight="1">
      <c r="A173" t="inlineStr">
        <is>
          <t>A 25729-2024</t>
        </is>
      </c>
      <c r="B173" s="1" t="n">
        <v>45464</v>
      </c>
      <c r="C173" s="1" t="n">
        <v>45584</v>
      </c>
      <c r="D173" t="inlineStr">
        <is>
          <t>UPPSALA LÄN</t>
        </is>
      </c>
      <c r="E173" t="inlineStr">
        <is>
          <t>UPPSALA</t>
        </is>
      </c>
      <c r="G173" t="n">
        <v>22.3</v>
      </c>
      <c r="H173" t="n">
        <v>0</v>
      </c>
      <c r="I173" t="n">
        <v>0</v>
      </c>
      <c r="J173" t="n">
        <v>1</v>
      </c>
      <c r="K173" t="n">
        <v>0</v>
      </c>
      <c r="L173" t="n">
        <v>0</v>
      </c>
      <c r="M173" t="n">
        <v>0</v>
      </c>
      <c r="N173" t="n">
        <v>0</v>
      </c>
      <c r="O173" t="n">
        <v>1</v>
      </c>
      <c r="P173" t="n">
        <v>0</v>
      </c>
      <c r="Q173" t="n">
        <v>1</v>
      </c>
      <c r="R173" s="2" t="inlineStr">
        <is>
          <t>Ullticka</t>
        </is>
      </c>
      <c r="S173">
        <f>HYPERLINK("https://klasma.github.io/Logging_0380/artfynd/A 25729-2024 artfynd.xlsx", "A 25729-2024")</f>
        <v/>
      </c>
      <c r="T173">
        <f>HYPERLINK("https://klasma.github.io/Logging_0380/kartor/A 25729-2024 karta.png", "A 25729-2024")</f>
        <v/>
      </c>
      <c r="V173">
        <f>HYPERLINK("https://klasma.github.io/Logging_0380/klagomål/A 25729-2024 FSC-klagomål.docx", "A 25729-2024")</f>
        <v/>
      </c>
      <c r="W173">
        <f>HYPERLINK("https://klasma.github.io/Logging_0380/klagomålsmail/A 25729-2024 FSC-klagomål mail.docx", "A 25729-2024")</f>
        <v/>
      </c>
      <c r="X173">
        <f>HYPERLINK("https://klasma.github.io/Logging_0380/tillsyn/A 25729-2024 tillsynsbegäran.docx", "A 25729-2024")</f>
        <v/>
      </c>
      <c r="Y173">
        <f>HYPERLINK("https://klasma.github.io/Logging_0380/tillsynsmail/A 25729-2024 tillsynsbegäran mail.docx", "A 25729-2024")</f>
        <v/>
      </c>
    </row>
    <row r="174" ht="15" customHeight="1">
      <c r="A174" t="inlineStr">
        <is>
          <t>A 29139-2024</t>
        </is>
      </c>
      <c r="B174" s="1" t="n">
        <v>45482</v>
      </c>
      <c r="C174" s="1" t="n">
        <v>45584</v>
      </c>
      <c r="D174" t="inlineStr">
        <is>
          <t>UPPSALA LÄN</t>
        </is>
      </c>
      <c r="E174" t="inlineStr">
        <is>
          <t>UPPSALA</t>
        </is>
      </c>
      <c r="F174" t="inlineStr">
        <is>
          <t>Allmännings- och besparingsskogar</t>
        </is>
      </c>
      <c r="G174" t="n">
        <v>26.4</v>
      </c>
      <c r="H174" t="n">
        <v>0</v>
      </c>
      <c r="I174" t="n">
        <v>0</v>
      </c>
      <c r="J174" t="n">
        <v>1</v>
      </c>
      <c r="K174" t="n">
        <v>0</v>
      </c>
      <c r="L174" t="n">
        <v>0</v>
      </c>
      <c r="M174" t="n">
        <v>0</v>
      </c>
      <c r="N174" t="n">
        <v>0</v>
      </c>
      <c r="O174" t="n">
        <v>1</v>
      </c>
      <c r="P174" t="n">
        <v>0</v>
      </c>
      <c r="Q174" t="n">
        <v>1</v>
      </c>
      <c r="R174" s="2" t="inlineStr">
        <is>
          <t>Granskugglöpare</t>
        </is>
      </c>
      <c r="S174">
        <f>HYPERLINK("https://klasma.github.io/Logging_0380/artfynd/A 29139-2024 artfynd.xlsx", "A 29139-2024")</f>
        <v/>
      </c>
      <c r="T174">
        <f>HYPERLINK("https://klasma.github.io/Logging_0380/kartor/A 29139-2024 karta.png", "A 29139-2024")</f>
        <v/>
      </c>
      <c r="V174">
        <f>HYPERLINK("https://klasma.github.io/Logging_0380/klagomål/A 29139-2024 FSC-klagomål.docx", "A 29139-2024")</f>
        <v/>
      </c>
      <c r="W174">
        <f>HYPERLINK("https://klasma.github.io/Logging_0380/klagomålsmail/A 29139-2024 FSC-klagomål mail.docx", "A 29139-2024")</f>
        <v/>
      </c>
      <c r="X174">
        <f>HYPERLINK("https://klasma.github.io/Logging_0380/tillsyn/A 29139-2024 tillsynsbegäran.docx", "A 29139-2024")</f>
        <v/>
      </c>
      <c r="Y174">
        <f>HYPERLINK("https://klasma.github.io/Logging_0380/tillsynsmail/A 29139-2024 tillsynsbegäran mail.docx", "A 29139-2024")</f>
        <v/>
      </c>
    </row>
    <row r="175" ht="15" customHeight="1">
      <c r="A175" t="inlineStr">
        <is>
          <t>A 34159-2024</t>
        </is>
      </c>
      <c r="B175" s="1" t="n">
        <v>45524</v>
      </c>
      <c r="C175" s="1" t="n">
        <v>45584</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Granbarkgnagare</t>
        </is>
      </c>
      <c r="S175">
        <f>HYPERLINK("https://klasma.github.io/Logging_0380/artfynd/A 34159-2024 artfynd.xlsx", "A 34159-2024")</f>
        <v/>
      </c>
      <c r="T175">
        <f>HYPERLINK("https://klasma.github.io/Logging_0380/kartor/A 34159-2024 karta.png", "A 34159-2024")</f>
        <v/>
      </c>
      <c r="V175">
        <f>HYPERLINK("https://klasma.github.io/Logging_0380/klagomål/A 34159-2024 FSC-klagomål.docx", "A 34159-2024")</f>
        <v/>
      </c>
      <c r="W175">
        <f>HYPERLINK("https://klasma.github.io/Logging_0380/klagomålsmail/A 34159-2024 FSC-klagomål mail.docx", "A 34159-2024")</f>
        <v/>
      </c>
      <c r="X175">
        <f>HYPERLINK("https://klasma.github.io/Logging_0380/tillsyn/A 34159-2024 tillsynsbegäran.docx", "A 34159-2024")</f>
        <v/>
      </c>
      <c r="Y175">
        <f>HYPERLINK("https://klasma.github.io/Logging_0380/tillsynsmail/A 34159-2024 tillsynsbegäran mail.docx", "A 34159-2024")</f>
        <v/>
      </c>
    </row>
    <row r="176" ht="15" customHeight="1">
      <c r="A176" t="inlineStr">
        <is>
          <t>A 37563-2024</t>
        </is>
      </c>
      <c r="B176" s="1" t="n">
        <v>45541</v>
      </c>
      <c r="C176" s="1" t="n">
        <v>45584</v>
      </c>
      <c r="D176" t="inlineStr">
        <is>
          <t>UPPSALA LÄN</t>
        </is>
      </c>
      <c r="E176" t="inlineStr">
        <is>
          <t>UPPSALA</t>
        </is>
      </c>
      <c r="F176" t="inlineStr">
        <is>
          <t>Övriga Aktiebolag</t>
        </is>
      </c>
      <c r="G176" t="n">
        <v>6.1</v>
      </c>
      <c r="H176" t="n">
        <v>0</v>
      </c>
      <c r="I176" t="n">
        <v>0</v>
      </c>
      <c r="J176" t="n">
        <v>1</v>
      </c>
      <c r="K176" t="n">
        <v>0</v>
      </c>
      <c r="L176" t="n">
        <v>0</v>
      </c>
      <c r="M176" t="n">
        <v>0</v>
      </c>
      <c r="N176" t="n">
        <v>0</v>
      </c>
      <c r="O176" t="n">
        <v>1</v>
      </c>
      <c r="P176" t="n">
        <v>0</v>
      </c>
      <c r="Q176" t="n">
        <v>1</v>
      </c>
      <c r="R176" s="2" t="inlineStr">
        <is>
          <t>Skogshare</t>
        </is>
      </c>
      <c r="S176">
        <f>HYPERLINK("https://klasma.github.io/Logging_0380/artfynd/A 37563-2024 artfynd.xlsx", "A 37563-2024")</f>
        <v/>
      </c>
      <c r="T176">
        <f>HYPERLINK("https://klasma.github.io/Logging_0380/kartor/A 37563-2024 karta.png", "A 37563-2024")</f>
        <v/>
      </c>
      <c r="V176">
        <f>HYPERLINK("https://klasma.github.io/Logging_0380/klagomål/A 37563-2024 FSC-klagomål.docx", "A 37563-2024")</f>
        <v/>
      </c>
      <c r="W176">
        <f>HYPERLINK("https://klasma.github.io/Logging_0380/klagomålsmail/A 37563-2024 FSC-klagomål mail.docx", "A 37563-2024")</f>
        <v/>
      </c>
      <c r="X176">
        <f>HYPERLINK("https://klasma.github.io/Logging_0380/tillsyn/A 37563-2024 tillsynsbegäran.docx", "A 37563-2024")</f>
        <v/>
      </c>
      <c r="Y176">
        <f>HYPERLINK("https://klasma.github.io/Logging_0380/tillsynsmail/A 37563-2024 tillsynsbegäran mail.docx", "A 37563-2024")</f>
        <v/>
      </c>
    </row>
    <row r="177" ht="15" customHeight="1">
      <c r="A177" t="inlineStr">
        <is>
          <t>A 42787-2024</t>
        </is>
      </c>
      <c r="B177" s="1" t="n">
        <v>45566</v>
      </c>
      <c r="C177" s="1" t="n">
        <v>45584</v>
      </c>
      <c r="D177" t="inlineStr">
        <is>
          <t>UPPSALA LÄN</t>
        </is>
      </c>
      <c r="E177" t="inlineStr">
        <is>
          <t>UPPSALA</t>
        </is>
      </c>
      <c r="G177" t="n">
        <v>3.2</v>
      </c>
      <c r="H177" t="n">
        <v>1</v>
      </c>
      <c r="I177" t="n">
        <v>0</v>
      </c>
      <c r="J177" t="n">
        <v>0</v>
      </c>
      <c r="K177" t="n">
        <v>0</v>
      </c>
      <c r="L177" t="n">
        <v>0</v>
      </c>
      <c r="M177" t="n">
        <v>0</v>
      </c>
      <c r="N177" t="n">
        <v>0</v>
      </c>
      <c r="O177" t="n">
        <v>0</v>
      </c>
      <c r="P177" t="n">
        <v>0</v>
      </c>
      <c r="Q177" t="n">
        <v>1</v>
      </c>
      <c r="R177" s="2" t="inlineStr">
        <is>
          <t>Mattlummer</t>
        </is>
      </c>
      <c r="S177">
        <f>HYPERLINK("https://klasma.github.io/Logging_0380/artfynd/A 42787-2024 artfynd.xlsx", "A 42787-2024")</f>
        <v/>
      </c>
      <c r="T177">
        <f>HYPERLINK("https://klasma.github.io/Logging_0380/kartor/A 42787-2024 karta.png", "A 42787-2024")</f>
        <v/>
      </c>
      <c r="V177">
        <f>HYPERLINK("https://klasma.github.io/Logging_0380/klagomål/A 42787-2024 FSC-klagomål.docx", "A 42787-2024")</f>
        <v/>
      </c>
      <c r="W177">
        <f>HYPERLINK("https://klasma.github.io/Logging_0380/klagomålsmail/A 42787-2024 FSC-klagomål mail.docx", "A 42787-2024")</f>
        <v/>
      </c>
      <c r="X177">
        <f>HYPERLINK("https://klasma.github.io/Logging_0380/tillsyn/A 42787-2024 tillsynsbegäran.docx", "A 42787-2024")</f>
        <v/>
      </c>
      <c r="Y177">
        <f>HYPERLINK("https://klasma.github.io/Logging_0380/tillsynsmail/A 42787-2024 tillsynsbegäran mail.docx", "A 42787-2024")</f>
        <v/>
      </c>
    </row>
    <row r="178" ht="15" customHeight="1">
      <c r="A178" t="inlineStr">
        <is>
          <t>A 17828-2019</t>
        </is>
      </c>
      <c r="B178" s="1" t="n">
        <v>43556</v>
      </c>
      <c r="C178" s="1" t="n">
        <v>45584</v>
      </c>
      <c r="D178" t="inlineStr">
        <is>
          <t>UPPSALA LÄN</t>
        </is>
      </c>
      <c r="E178" t="inlineStr">
        <is>
          <t>UPPSALA</t>
        </is>
      </c>
      <c r="G178" t="n">
        <v>2.8</v>
      </c>
      <c r="H178" t="n">
        <v>0</v>
      </c>
      <c r="I178" t="n">
        <v>0</v>
      </c>
      <c r="J178" t="n">
        <v>0</v>
      </c>
      <c r="K178" t="n">
        <v>0</v>
      </c>
      <c r="L178" t="n">
        <v>0</v>
      </c>
      <c r="M178" t="n">
        <v>0</v>
      </c>
      <c r="N178" t="n">
        <v>0</v>
      </c>
      <c r="O178" t="n">
        <v>0</v>
      </c>
      <c r="P178" t="n">
        <v>0</v>
      </c>
      <c r="Q178" t="n">
        <v>0</v>
      </c>
      <c r="R178" s="2" t="inlineStr"/>
    </row>
    <row r="179" ht="15" customHeight="1">
      <c r="A179" t="inlineStr">
        <is>
          <t>A 18446-2019</t>
        </is>
      </c>
      <c r="B179" s="1" t="n">
        <v>43559</v>
      </c>
      <c r="C179" s="1" t="n">
        <v>45584</v>
      </c>
      <c r="D179" t="inlineStr">
        <is>
          <t>UPPSALA LÄN</t>
        </is>
      </c>
      <c r="E179" t="inlineStr">
        <is>
          <t>UPPSALA</t>
        </is>
      </c>
      <c r="G179" t="n">
        <v>9.1</v>
      </c>
      <c r="H179" t="n">
        <v>0</v>
      </c>
      <c r="I179" t="n">
        <v>0</v>
      </c>
      <c r="J179" t="n">
        <v>0</v>
      </c>
      <c r="K179" t="n">
        <v>0</v>
      </c>
      <c r="L179" t="n">
        <v>0</v>
      </c>
      <c r="M179" t="n">
        <v>0</v>
      </c>
      <c r="N179" t="n">
        <v>0</v>
      </c>
      <c r="O179" t="n">
        <v>0</v>
      </c>
      <c r="P179" t="n">
        <v>0</v>
      </c>
      <c r="Q179" t="n">
        <v>0</v>
      </c>
      <c r="R179" s="2" t="inlineStr"/>
    </row>
    <row r="180" ht="15" customHeight="1">
      <c r="A180" t="inlineStr">
        <is>
          <t>A 18554-2019</t>
        </is>
      </c>
      <c r="B180" s="1" t="n">
        <v>43559</v>
      </c>
      <c r="C180" s="1" t="n">
        <v>45584</v>
      </c>
      <c r="D180" t="inlineStr">
        <is>
          <t>UPPSALA LÄN</t>
        </is>
      </c>
      <c r="E180" t="inlineStr">
        <is>
          <t>UPPSALA</t>
        </is>
      </c>
      <c r="G180" t="n">
        <v>5.6</v>
      </c>
      <c r="H180" t="n">
        <v>0</v>
      </c>
      <c r="I180" t="n">
        <v>0</v>
      </c>
      <c r="J180" t="n">
        <v>0</v>
      </c>
      <c r="K180" t="n">
        <v>0</v>
      </c>
      <c r="L180" t="n">
        <v>0</v>
      </c>
      <c r="M180" t="n">
        <v>0</v>
      </c>
      <c r="N180" t="n">
        <v>0</v>
      </c>
      <c r="O180" t="n">
        <v>0</v>
      </c>
      <c r="P180" t="n">
        <v>0</v>
      </c>
      <c r="Q180" t="n">
        <v>0</v>
      </c>
      <c r="R180" s="2" t="inlineStr"/>
    </row>
    <row r="181" ht="15" customHeight="1">
      <c r="A181" t="inlineStr">
        <is>
          <t>A 18810-2019</t>
        </is>
      </c>
      <c r="B181" s="1" t="n">
        <v>43560</v>
      </c>
      <c r="C181" s="1" t="n">
        <v>45584</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20011-2019</t>
        </is>
      </c>
      <c r="B182" s="1" t="n">
        <v>43570</v>
      </c>
      <c r="C182" s="1" t="n">
        <v>45584</v>
      </c>
      <c r="D182" t="inlineStr">
        <is>
          <t>UPPSALA LÄN</t>
        </is>
      </c>
      <c r="E182" t="inlineStr">
        <is>
          <t>UPPSALA</t>
        </is>
      </c>
      <c r="G182" t="n">
        <v>6.3</v>
      </c>
      <c r="H182" t="n">
        <v>0</v>
      </c>
      <c r="I182" t="n">
        <v>0</v>
      </c>
      <c r="J182" t="n">
        <v>0</v>
      </c>
      <c r="K182" t="n">
        <v>0</v>
      </c>
      <c r="L182" t="n">
        <v>0</v>
      </c>
      <c r="M182" t="n">
        <v>0</v>
      </c>
      <c r="N182" t="n">
        <v>0</v>
      </c>
      <c r="O182" t="n">
        <v>0</v>
      </c>
      <c r="P182" t="n">
        <v>0</v>
      </c>
      <c r="Q182" t="n">
        <v>0</v>
      </c>
      <c r="R182" s="2" t="inlineStr"/>
    </row>
    <row r="183" ht="15" customHeight="1">
      <c r="A183" t="inlineStr">
        <is>
          <t>A 21087-2019</t>
        </is>
      </c>
      <c r="B183" s="1" t="n">
        <v>43578</v>
      </c>
      <c r="C183" s="1" t="n">
        <v>45584</v>
      </c>
      <c r="D183" t="inlineStr">
        <is>
          <t>UPPSALA LÄN</t>
        </is>
      </c>
      <c r="E183" t="inlineStr">
        <is>
          <t>UPPSALA</t>
        </is>
      </c>
      <c r="G183" t="n">
        <v>1.8</v>
      </c>
      <c r="H183" t="n">
        <v>0</v>
      </c>
      <c r="I183" t="n">
        <v>0</v>
      </c>
      <c r="J183" t="n">
        <v>0</v>
      </c>
      <c r="K183" t="n">
        <v>0</v>
      </c>
      <c r="L183" t="n">
        <v>0</v>
      </c>
      <c r="M183" t="n">
        <v>0</v>
      </c>
      <c r="N183" t="n">
        <v>0</v>
      </c>
      <c r="O183" t="n">
        <v>0</v>
      </c>
      <c r="P183" t="n">
        <v>0</v>
      </c>
      <c r="Q183" t="n">
        <v>0</v>
      </c>
      <c r="R183" s="2" t="inlineStr"/>
    </row>
    <row r="184" ht="15" customHeight="1">
      <c r="A184" t="inlineStr">
        <is>
          <t>A 21082-2019</t>
        </is>
      </c>
      <c r="B184" s="1" t="n">
        <v>43578</v>
      </c>
      <c r="C184" s="1" t="n">
        <v>45584</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21862-2019</t>
        </is>
      </c>
      <c r="B185" s="1" t="n">
        <v>43583</v>
      </c>
      <c r="C185" s="1" t="n">
        <v>45584</v>
      </c>
      <c r="D185" t="inlineStr">
        <is>
          <t>UPPSALA LÄN</t>
        </is>
      </c>
      <c r="E185" t="inlineStr">
        <is>
          <t>UPPSALA</t>
        </is>
      </c>
      <c r="G185" t="n">
        <v>9.5</v>
      </c>
      <c r="H185" t="n">
        <v>0</v>
      </c>
      <c r="I185" t="n">
        <v>0</v>
      </c>
      <c r="J185" t="n">
        <v>0</v>
      </c>
      <c r="K185" t="n">
        <v>0</v>
      </c>
      <c r="L185" t="n">
        <v>0</v>
      </c>
      <c r="M185" t="n">
        <v>0</v>
      </c>
      <c r="N185" t="n">
        <v>0</v>
      </c>
      <c r="O185" t="n">
        <v>0</v>
      </c>
      <c r="P185" t="n">
        <v>0</v>
      </c>
      <c r="Q185" t="n">
        <v>0</v>
      </c>
      <c r="R185" s="2" t="inlineStr"/>
    </row>
    <row r="186" ht="15" customHeight="1">
      <c r="A186" t="inlineStr">
        <is>
          <t>A 22153-2019</t>
        </is>
      </c>
      <c r="B186" s="1" t="n">
        <v>43585</v>
      </c>
      <c r="C186" s="1" t="n">
        <v>45584</v>
      </c>
      <c r="D186" t="inlineStr">
        <is>
          <t>UPPSALA LÄN</t>
        </is>
      </c>
      <c r="E186" t="inlineStr">
        <is>
          <t>UPPSALA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23042-2019</t>
        </is>
      </c>
      <c r="B187" s="1" t="n">
        <v>43591</v>
      </c>
      <c r="C187" s="1" t="n">
        <v>45584</v>
      </c>
      <c r="D187" t="inlineStr">
        <is>
          <t>UPPSALA LÄN</t>
        </is>
      </c>
      <c r="E187" t="inlineStr">
        <is>
          <t>UPPSALA</t>
        </is>
      </c>
      <c r="G187" t="n">
        <v>2.7</v>
      </c>
      <c r="H187" t="n">
        <v>0</v>
      </c>
      <c r="I187" t="n">
        <v>0</v>
      </c>
      <c r="J187" t="n">
        <v>0</v>
      </c>
      <c r="K187" t="n">
        <v>0</v>
      </c>
      <c r="L187" t="n">
        <v>0</v>
      </c>
      <c r="M187" t="n">
        <v>0</v>
      </c>
      <c r="N187" t="n">
        <v>0</v>
      </c>
      <c r="O187" t="n">
        <v>0</v>
      </c>
      <c r="P187" t="n">
        <v>0</v>
      </c>
      <c r="Q187" t="n">
        <v>0</v>
      </c>
      <c r="R187" s="2" t="inlineStr"/>
    </row>
    <row r="188" ht="15" customHeight="1">
      <c r="A188" t="inlineStr">
        <is>
          <t>A 23262-2019</t>
        </is>
      </c>
      <c r="B188" s="1" t="n">
        <v>43592</v>
      </c>
      <c r="C188" s="1" t="n">
        <v>45584</v>
      </c>
      <c r="D188" t="inlineStr">
        <is>
          <t>UPPSALA LÄN</t>
        </is>
      </c>
      <c r="E188" t="inlineStr">
        <is>
          <t>UPPSALA</t>
        </is>
      </c>
      <c r="F188" t="inlineStr">
        <is>
          <t>Kyrkan</t>
        </is>
      </c>
      <c r="G188" t="n">
        <v>7.6</v>
      </c>
      <c r="H188" t="n">
        <v>0</v>
      </c>
      <c r="I188" t="n">
        <v>0</v>
      </c>
      <c r="J188" t="n">
        <v>0</v>
      </c>
      <c r="K188" t="n">
        <v>0</v>
      </c>
      <c r="L188" t="n">
        <v>0</v>
      </c>
      <c r="M188" t="n">
        <v>0</v>
      </c>
      <c r="N188" t="n">
        <v>0</v>
      </c>
      <c r="O188" t="n">
        <v>0</v>
      </c>
      <c r="P188" t="n">
        <v>0</v>
      </c>
      <c r="Q188" t="n">
        <v>0</v>
      </c>
      <c r="R188" s="2" t="inlineStr"/>
    </row>
    <row r="189" ht="15" customHeight="1">
      <c r="A189" t="inlineStr">
        <is>
          <t>A 24998-2019</t>
        </is>
      </c>
      <c r="B189" s="1" t="n">
        <v>43600</v>
      </c>
      <c r="C189" s="1" t="n">
        <v>45584</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25164-2019</t>
        </is>
      </c>
      <c r="B190" s="1" t="n">
        <v>43605</v>
      </c>
      <c r="C190" s="1" t="n">
        <v>45584</v>
      </c>
      <c r="D190" t="inlineStr">
        <is>
          <t>UPPSALA LÄN</t>
        </is>
      </c>
      <c r="E190" t="inlineStr">
        <is>
          <t>UPPSALA</t>
        </is>
      </c>
      <c r="G190" t="n">
        <v>1.6</v>
      </c>
      <c r="H190" t="n">
        <v>0</v>
      </c>
      <c r="I190" t="n">
        <v>0</v>
      </c>
      <c r="J190" t="n">
        <v>0</v>
      </c>
      <c r="K190" t="n">
        <v>0</v>
      </c>
      <c r="L190" t="n">
        <v>0</v>
      </c>
      <c r="M190" t="n">
        <v>0</v>
      </c>
      <c r="N190" t="n">
        <v>0</v>
      </c>
      <c r="O190" t="n">
        <v>0</v>
      </c>
      <c r="P190" t="n">
        <v>0</v>
      </c>
      <c r="Q190" t="n">
        <v>0</v>
      </c>
      <c r="R190" s="2" t="inlineStr"/>
    </row>
    <row r="191" ht="15" customHeight="1">
      <c r="A191" t="inlineStr">
        <is>
          <t>A 25157-2019</t>
        </is>
      </c>
      <c r="B191" s="1" t="n">
        <v>43605</v>
      </c>
      <c r="C191" s="1" t="n">
        <v>45584</v>
      </c>
      <c r="D191" t="inlineStr">
        <is>
          <t>UPPSALA LÄN</t>
        </is>
      </c>
      <c r="E191" t="inlineStr">
        <is>
          <t>UPPSALA</t>
        </is>
      </c>
      <c r="G191" t="n">
        <v>3</v>
      </c>
      <c r="H191" t="n">
        <v>0</v>
      </c>
      <c r="I191" t="n">
        <v>0</v>
      </c>
      <c r="J191" t="n">
        <v>0</v>
      </c>
      <c r="K191" t="n">
        <v>0</v>
      </c>
      <c r="L191" t="n">
        <v>0</v>
      </c>
      <c r="M191" t="n">
        <v>0</v>
      </c>
      <c r="N191" t="n">
        <v>0</v>
      </c>
      <c r="O191" t="n">
        <v>0</v>
      </c>
      <c r="P191" t="n">
        <v>0</v>
      </c>
      <c r="Q191" t="n">
        <v>0</v>
      </c>
      <c r="R191" s="2" t="inlineStr"/>
    </row>
    <row r="192" ht="15" customHeight="1">
      <c r="A192" t="inlineStr">
        <is>
          <t>A 25667-2019</t>
        </is>
      </c>
      <c r="B192" s="1" t="n">
        <v>43607</v>
      </c>
      <c r="C192" s="1" t="n">
        <v>45584</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29105-2019</t>
        </is>
      </c>
      <c r="B193" s="1" t="n">
        <v>43628</v>
      </c>
      <c r="C193" s="1" t="n">
        <v>45584</v>
      </c>
      <c r="D193" t="inlineStr">
        <is>
          <t>UPPSALA LÄN</t>
        </is>
      </c>
      <c r="E193" t="inlineStr">
        <is>
          <t>UPPSALA</t>
        </is>
      </c>
      <c r="G193" t="n">
        <v>2.1</v>
      </c>
      <c r="H193" t="n">
        <v>0</v>
      </c>
      <c r="I193" t="n">
        <v>0</v>
      </c>
      <c r="J193" t="n">
        <v>0</v>
      </c>
      <c r="K193" t="n">
        <v>0</v>
      </c>
      <c r="L193" t="n">
        <v>0</v>
      </c>
      <c r="M193" t="n">
        <v>0</v>
      </c>
      <c r="N193" t="n">
        <v>0</v>
      </c>
      <c r="O193" t="n">
        <v>0</v>
      </c>
      <c r="P193" t="n">
        <v>0</v>
      </c>
      <c r="Q193" t="n">
        <v>0</v>
      </c>
      <c r="R193" s="2" t="inlineStr"/>
    </row>
    <row r="194" ht="15" customHeight="1">
      <c r="A194" t="inlineStr">
        <is>
          <t>A 29183-2019</t>
        </is>
      </c>
      <c r="B194" s="1" t="n">
        <v>43628</v>
      </c>
      <c r="C194" s="1" t="n">
        <v>45584</v>
      </c>
      <c r="D194" t="inlineStr">
        <is>
          <t>UPPSALA LÄN</t>
        </is>
      </c>
      <c r="E194" t="inlineStr">
        <is>
          <t>UPPSALA</t>
        </is>
      </c>
      <c r="F194" t="inlineStr">
        <is>
          <t>Allmännings- och besparingsskogar</t>
        </is>
      </c>
      <c r="G194" t="n">
        <v>6.3</v>
      </c>
      <c r="H194" t="n">
        <v>0</v>
      </c>
      <c r="I194" t="n">
        <v>0</v>
      </c>
      <c r="J194" t="n">
        <v>0</v>
      </c>
      <c r="K194" t="n">
        <v>0</v>
      </c>
      <c r="L194" t="n">
        <v>0</v>
      </c>
      <c r="M194" t="n">
        <v>0</v>
      </c>
      <c r="N194" t="n">
        <v>0</v>
      </c>
      <c r="O194" t="n">
        <v>0</v>
      </c>
      <c r="P194" t="n">
        <v>0</v>
      </c>
      <c r="Q194" t="n">
        <v>0</v>
      </c>
      <c r="R194" s="2" t="inlineStr"/>
    </row>
    <row r="195" ht="15" customHeight="1">
      <c r="A195" t="inlineStr">
        <is>
          <t>A 29081-2019</t>
        </is>
      </c>
      <c r="B195" s="1" t="n">
        <v>43628</v>
      </c>
      <c r="C195" s="1" t="n">
        <v>45584</v>
      </c>
      <c r="D195" t="inlineStr">
        <is>
          <t>UPPSALA LÄN</t>
        </is>
      </c>
      <c r="E195" t="inlineStr">
        <is>
          <t>UPPSALA</t>
        </is>
      </c>
      <c r="G195" t="n">
        <v>8.4</v>
      </c>
      <c r="H195" t="n">
        <v>0</v>
      </c>
      <c r="I195" t="n">
        <v>0</v>
      </c>
      <c r="J195" t="n">
        <v>0</v>
      </c>
      <c r="K195" t="n">
        <v>0</v>
      </c>
      <c r="L195" t="n">
        <v>0</v>
      </c>
      <c r="M195" t="n">
        <v>0</v>
      </c>
      <c r="N195" t="n">
        <v>0</v>
      </c>
      <c r="O195" t="n">
        <v>0</v>
      </c>
      <c r="P195" t="n">
        <v>0</v>
      </c>
      <c r="Q195" t="n">
        <v>0</v>
      </c>
      <c r="R195" s="2" t="inlineStr"/>
    </row>
    <row r="196" ht="15" customHeight="1">
      <c r="A196" t="inlineStr">
        <is>
          <t>A 29719-2019</t>
        </is>
      </c>
      <c r="B196" s="1" t="n">
        <v>43630</v>
      </c>
      <c r="C196" s="1" t="n">
        <v>45584</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29713-2019</t>
        </is>
      </c>
      <c r="B197" s="1" t="n">
        <v>43630</v>
      </c>
      <c r="C197" s="1" t="n">
        <v>45584</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32558-2019</t>
        </is>
      </c>
      <c r="B198" s="1" t="n">
        <v>43647</v>
      </c>
      <c r="C198" s="1" t="n">
        <v>45584</v>
      </c>
      <c r="D198" t="inlineStr">
        <is>
          <t>UPPSALA LÄN</t>
        </is>
      </c>
      <c r="E198" t="inlineStr">
        <is>
          <t>UPPSALA</t>
        </is>
      </c>
      <c r="G198" t="n">
        <v>4.2</v>
      </c>
      <c r="H198" t="n">
        <v>0</v>
      </c>
      <c r="I198" t="n">
        <v>0</v>
      </c>
      <c r="J198" t="n">
        <v>0</v>
      </c>
      <c r="K198" t="n">
        <v>0</v>
      </c>
      <c r="L198" t="n">
        <v>0</v>
      </c>
      <c r="M198" t="n">
        <v>0</v>
      </c>
      <c r="N198" t="n">
        <v>0</v>
      </c>
      <c r="O198" t="n">
        <v>0</v>
      </c>
      <c r="P198" t="n">
        <v>0</v>
      </c>
      <c r="Q198" t="n">
        <v>0</v>
      </c>
      <c r="R198" s="2" t="inlineStr"/>
    </row>
    <row r="199" ht="15" customHeight="1">
      <c r="A199" t="inlineStr">
        <is>
          <t>A 34560-2019</t>
        </is>
      </c>
      <c r="B199" s="1" t="n">
        <v>43647</v>
      </c>
      <c r="C199" s="1" t="n">
        <v>45584</v>
      </c>
      <c r="D199" t="inlineStr">
        <is>
          <t>UPPSALA LÄN</t>
        </is>
      </c>
      <c r="E199" t="inlineStr">
        <is>
          <t>UPPSALA</t>
        </is>
      </c>
      <c r="G199" t="n">
        <v>8.6</v>
      </c>
      <c r="H199" t="n">
        <v>0</v>
      </c>
      <c r="I199" t="n">
        <v>0</v>
      </c>
      <c r="J199" t="n">
        <v>0</v>
      </c>
      <c r="K199" t="n">
        <v>0</v>
      </c>
      <c r="L199" t="n">
        <v>0</v>
      </c>
      <c r="M199" t="n">
        <v>0</v>
      </c>
      <c r="N199" t="n">
        <v>0</v>
      </c>
      <c r="O199" t="n">
        <v>0</v>
      </c>
      <c r="P199" t="n">
        <v>0</v>
      </c>
      <c r="Q199" t="n">
        <v>0</v>
      </c>
      <c r="R199" s="2" t="inlineStr"/>
    </row>
    <row r="200" ht="15" customHeight="1">
      <c r="A200" t="inlineStr">
        <is>
          <t>A 32830-2019</t>
        </is>
      </c>
      <c r="B200" s="1" t="n">
        <v>43648</v>
      </c>
      <c r="C200" s="1" t="n">
        <v>45584</v>
      </c>
      <c r="D200" t="inlineStr">
        <is>
          <t>UPPSALA LÄN</t>
        </is>
      </c>
      <c r="E200" t="inlineStr">
        <is>
          <t>UPPSALA</t>
        </is>
      </c>
      <c r="G200" t="n">
        <v>13.6</v>
      </c>
      <c r="H200" t="n">
        <v>0</v>
      </c>
      <c r="I200" t="n">
        <v>0</v>
      </c>
      <c r="J200" t="n">
        <v>0</v>
      </c>
      <c r="K200" t="n">
        <v>0</v>
      </c>
      <c r="L200" t="n">
        <v>0</v>
      </c>
      <c r="M200" t="n">
        <v>0</v>
      </c>
      <c r="N200" t="n">
        <v>0</v>
      </c>
      <c r="O200" t="n">
        <v>0</v>
      </c>
      <c r="P200" t="n">
        <v>0</v>
      </c>
      <c r="Q200" t="n">
        <v>0</v>
      </c>
      <c r="R200" s="2" t="inlineStr"/>
    </row>
    <row r="201" ht="15" customHeight="1">
      <c r="A201" t="inlineStr">
        <is>
          <t>A 33602-2019</t>
        </is>
      </c>
      <c r="B201" s="1" t="n">
        <v>43651</v>
      </c>
      <c r="C201" s="1" t="n">
        <v>45584</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33614-2019</t>
        </is>
      </c>
      <c r="B202" s="1" t="n">
        <v>43651</v>
      </c>
      <c r="C202" s="1" t="n">
        <v>45584</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33615-2019</t>
        </is>
      </c>
      <c r="B203" s="1" t="n">
        <v>43651</v>
      </c>
      <c r="C203" s="1" t="n">
        <v>45584</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33596-2019</t>
        </is>
      </c>
      <c r="B204" s="1" t="n">
        <v>43651</v>
      </c>
      <c r="C204" s="1" t="n">
        <v>45584</v>
      </c>
      <c r="D204" t="inlineStr">
        <is>
          <t>UPPSALA LÄN</t>
        </is>
      </c>
      <c r="E204" t="inlineStr">
        <is>
          <t>UPPSALA</t>
        </is>
      </c>
      <c r="G204" t="n">
        <v>1.3</v>
      </c>
      <c r="H204" t="n">
        <v>0</v>
      </c>
      <c r="I204" t="n">
        <v>0</v>
      </c>
      <c r="J204" t="n">
        <v>0</v>
      </c>
      <c r="K204" t="n">
        <v>0</v>
      </c>
      <c r="L204" t="n">
        <v>0</v>
      </c>
      <c r="M204" t="n">
        <v>0</v>
      </c>
      <c r="N204" t="n">
        <v>0</v>
      </c>
      <c r="O204" t="n">
        <v>0</v>
      </c>
      <c r="P204" t="n">
        <v>0</v>
      </c>
      <c r="Q204" t="n">
        <v>0</v>
      </c>
      <c r="R204" s="2" t="inlineStr"/>
    </row>
    <row r="205" ht="15" customHeight="1">
      <c r="A205" t="inlineStr">
        <is>
          <t>A 34007-2019</t>
        </is>
      </c>
      <c r="B205" s="1" t="n">
        <v>43654</v>
      </c>
      <c r="C205" s="1" t="n">
        <v>45584</v>
      </c>
      <c r="D205" t="inlineStr">
        <is>
          <t>UPPSALA LÄN</t>
        </is>
      </c>
      <c r="E205" t="inlineStr">
        <is>
          <t>UPPSALA</t>
        </is>
      </c>
      <c r="G205" t="n">
        <v>2</v>
      </c>
      <c r="H205" t="n">
        <v>0</v>
      </c>
      <c r="I205" t="n">
        <v>0</v>
      </c>
      <c r="J205" t="n">
        <v>0</v>
      </c>
      <c r="K205" t="n">
        <v>0</v>
      </c>
      <c r="L205" t="n">
        <v>0</v>
      </c>
      <c r="M205" t="n">
        <v>0</v>
      </c>
      <c r="N205" t="n">
        <v>0</v>
      </c>
      <c r="O205" t="n">
        <v>0</v>
      </c>
      <c r="P205" t="n">
        <v>0</v>
      </c>
      <c r="Q205" t="n">
        <v>0</v>
      </c>
      <c r="R205" s="2" t="inlineStr"/>
    </row>
    <row r="206" ht="15" customHeight="1">
      <c r="A206" t="inlineStr">
        <is>
          <t>A 34063-2019</t>
        </is>
      </c>
      <c r="B206" s="1" t="n">
        <v>43654</v>
      </c>
      <c r="C206" s="1" t="n">
        <v>45584</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34331-2019</t>
        </is>
      </c>
      <c r="B207" s="1" t="n">
        <v>43656</v>
      </c>
      <c r="C207" s="1" t="n">
        <v>45584</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36345-2019</t>
        </is>
      </c>
      <c r="B208" s="1" t="n">
        <v>43661</v>
      </c>
      <c r="C208" s="1" t="n">
        <v>45584</v>
      </c>
      <c r="D208" t="inlineStr">
        <is>
          <t>UPPSALA LÄN</t>
        </is>
      </c>
      <c r="E208" t="inlineStr">
        <is>
          <t>UPPSALA</t>
        </is>
      </c>
      <c r="G208" t="n">
        <v>5.3</v>
      </c>
      <c r="H208" t="n">
        <v>0</v>
      </c>
      <c r="I208" t="n">
        <v>0</v>
      </c>
      <c r="J208" t="n">
        <v>0</v>
      </c>
      <c r="K208" t="n">
        <v>0</v>
      </c>
      <c r="L208" t="n">
        <v>0</v>
      </c>
      <c r="M208" t="n">
        <v>0</v>
      </c>
      <c r="N208" t="n">
        <v>0</v>
      </c>
      <c r="O208" t="n">
        <v>0</v>
      </c>
      <c r="P208" t="n">
        <v>0</v>
      </c>
      <c r="Q208" t="n">
        <v>0</v>
      </c>
      <c r="R208" s="2" t="inlineStr"/>
    </row>
    <row r="209" ht="15" customHeight="1">
      <c r="A209" t="inlineStr">
        <is>
          <t>A 36394-2019</t>
        </is>
      </c>
      <c r="B209" s="1" t="n">
        <v>43663</v>
      </c>
      <c r="C209" s="1" t="n">
        <v>45584</v>
      </c>
      <c r="D209" t="inlineStr">
        <is>
          <t>UPPSALA LÄN</t>
        </is>
      </c>
      <c r="E209" t="inlineStr">
        <is>
          <t>UPPSALA</t>
        </is>
      </c>
      <c r="G209" t="n">
        <v>2.4</v>
      </c>
      <c r="H209" t="n">
        <v>0</v>
      </c>
      <c r="I209" t="n">
        <v>0</v>
      </c>
      <c r="J209" t="n">
        <v>0</v>
      </c>
      <c r="K209" t="n">
        <v>0</v>
      </c>
      <c r="L209" t="n">
        <v>0</v>
      </c>
      <c r="M209" t="n">
        <v>0</v>
      </c>
      <c r="N209" t="n">
        <v>0</v>
      </c>
      <c r="O209" t="n">
        <v>0</v>
      </c>
      <c r="P209" t="n">
        <v>0</v>
      </c>
      <c r="Q209" t="n">
        <v>0</v>
      </c>
      <c r="R209" s="2" t="inlineStr"/>
    </row>
    <row r="210" ht="15" customHeight="1">
      <c r="A210" t="inlineStr">
        <is>
          <t>A 37234-2019</t>
        </is>
      </c>
      <c r="B210" s="1" t="n">
        <v>43677</v>
      </c>
      <c r="C210" s="1" t="n">
        <v>45584</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37711-2019</t>
        </is>
      </c>
      <c r="B211" s="1" t="n">
        <v>43682</v>
      </c>
      <c r="C211" s="1" t="n">
        <v>45584</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38684-2019</t>
        </is>
      </c>
      <c r="B212" s="1" t="n">
        <v>43686</v>
      </c>
      <c r="C212" s="1" t="n">
        <v>45584</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40151-2019</t>
        </is>
      </c>
      <c r="B213" s="1" t="n">
        <v>43693</v>
      </c>
      <c r="C213" s="1" t="n">
        <v>45584</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41609-2019</t>
        </is>
      </c>
      <c r="B214" s="1" t="n">
        <v>43696</v>
      </c>
      <c r="C214" s="1" t="n">
        <v>45584</v>
      </c>
      <c r="D214" t="inlineStr">
        <is>
          <t>UPPSALA LÄN</t>
        </is>
      </c>
      <c r="E214" t="inlineStr">
        <is>
          <t>UPPSALA</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41653-2019</t>
        </is>
      </c>
      <c r="B215" s="1" t="n">
        <v>43696</v>
      </c>
      <c r="C215" s="1" t="n">
        <v>45584</v>
      </c>
      <c r="D215" t="inlineStr">
        <is>
          <t>UPPSALA LÄN</t>
        </is>
      </c>
      <c r="E215" t="inlineStr">
        <is>
          <t>UPPSALA</t>
        </is>
      </c>
      <c r="G215" t="n">
        <v>5.2</v>
      </c>
      <c r="H215" t="n">
        <v>0</v>
      </c>
      <c r="I215" t="n">
        <v>0</v>
      </c>
      <c r="J215" t="n">
        <v>0</v>
      </c>
      <c r="K215" t="n">
        <v>0</v>
      </c>
      <c r="L215" t="n">
        <v>0</v>
      </c>
      <c r="M215" t="n">
        <v>0</v>
      </c>
      <c r="N215" t="n">
        <v>0</v>
      </c>
      <c r="O215" t="n">
        <v>0</v>
      </c>
      <c r="P215" t="n">
        <v>0</v>
      </c>
      <c r="Q215" t="n">
        <v>0</v>
      </c>
      <c r="R215" s="2" t="inlineStr"/>
    </row>
    <row r="216" ht="15" customHeight="1">
      <c r="A216" t="inlineStr">
        <is>
          <t>A 41524-2019</t>
        </is>
      </c>
      <c r="B216" s="1" t="n">
        <v>43699</v>
      </c>
      <c r="C216" s="1" t="n">
        <v>45584</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41535-2019</t>
        </is>
      </c>
      <c r="B217" s="1" t="n">
        <v>43699</v>
      </c>
      <c r="C217" s="1" t="n">
        <v>45584</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41695-2019</t>
        </is>
      </c>
      <c r="B218" s="1" t="n">
        <v>43699</v>
      </c>
      <c r="C218" s="1" t="n">
        <v>45584</v>
      </c>
      <c r="D218" t="inlineStr">
        <is>
          <t>UPPSALA LÄN</t>
        </is>
      </c>
      <c r="E218" t="inlineStr">
        <is>
          <t>UPPSALA</t>
        </is>
      </c>
      <c r="G218" t="n">
        <v>3.1</v>
      </c>
      <c r="H218" t="n">
        <v>0</v>
      </c>
      <c r="I218" t="n">
        <v>0</v>
      </c>
      <c r="J218" t="n">
        <v>0</v>
      </c>
      <c r="K218" t="n">
        <v>0</v>
      </c>
      <c r="L218" t="n">
        <v>0</v>
      </c>
      <c r="M218" t="n">
        <v>0</v>
      </c>
      <c r="N218" t="n">
        <v>0</v>
      </c>
      <c r="O218" t="n">
        <v>0</v>
      </c>
      <c r="P218" t="n">
        <v>0</v>
      </c>
      <c r="Q218" t="n">
        <v>0</v>
      </c>
      <c r="R218" s="2" t="inlineStr"/>
    </row>
    <row r="219" ht="15" customHeight="1">
      <c r="A219" t="inlineStr">
        <is>
          <t>A 42111-2019</t>
        </is>
      </c>
      <c r="B219" s="1" t="n">
        <v>43703</v>
      </c>
      <c r="C219" s="1" t="n">
        <v>45584</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42986-2019</t>
        </is>
      </c>
      <c r="B220" s="1" t="n">
        <v>43705</v>
      </c>
      <c r="C220" s="1" t="n">
        <v>45584</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43222-2019</t>
        </is>
      </c>
      <c r="B221" s="1" t="n">
        <v>43706</v>
      </c>
      <c r="C221" s="1" t="n">
        <v>45584</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43410-2019</t>
        </is>
      </c>
      <c r="B222" s="1" t="n">
        <v>43706</v>
      </c>
      <c r="C222" s="1" t="n">
        <v>45584</v>
      </c>
      <c r="D222" t="inlineStr">
        <is>
          <t>UPPSALA LÄN</t>
        </is>
      </c>
      <c r="E222" t="inlineStr">
        <is>
          <t>UPPSALA</t>
        </is>
      </c>
      <c r="F222" t="inlineStr">
        <is>
          <t>Övriga statliga verk och myndigheter</t>
        </is>
      </c>
      <c r="G222" t="n">
        <v>8.6</v>
      </c>
      <c r="H222" t="n">
        <v>0</v>
      </c>
      <c r="I222" t="n">
        <v>0</v>
      </c>
      <c r="J222" t="n">
        <v>0</v>
      </c>
      <c r="K222" t="n">
        <v>0</v>
      </c>
      <c r="L222" t="n">
        <v>0</v>
      </c>
      <c r="M222" t="n">
        <v>0</v>
      </c>
      <c r="N222" t="n">
        <v>0</v>
      </c>
      <c r="O222" t="n">
        <v>0</v>
      </c>
      <c r="P222" t="n">
        <v>0</v>
      </c>
      <c r="Q222" t="n">
        <v>0</v>
      </c>
      <c r="R222" s="2" t="inlineStr"/>
    </row>
    <row r="223" ht="15" customHeight="1">
      <c r="A223" t="inlineStr">
        <is>
          <t>A 43715-2019</t>
        </is>
      </c>
      <c r="B223" s="1" t="n">
        <v>43706</v>
      </c>
      <c r="C223" s="1" t="n">
        <v>45584</v>
      </c>
      <c r="D223" t="inlineStr">
        <is>
          <t>UPPSALA LÄN</t>
        </is>
      </c>
      <c r="E223" t="inlineStr">
        <is>
          <t>UPPSALA</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43224-2019</t>
        </is>
      </c>
      <c r="B224" s="1" t="n">
        <v>43706</v>
      </c>
      <c r="C224" s="1" t="n">
        <v>45584</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43435-2019</t>
        </is>
      </c>
      <c r="B225" s="1" t="n">
        <v>43706</v>
      </c>
      <c r="C225" s="1" t="n">
        <v>45584</v>
      </c>
      <c r="D225" t="inlineStr">
        <is>
          <t>UPPSALA LÄN</t>
        </is>
      </c>
      <c r="E225" t="inlineStr">
        <is>
          <t>UPPSALA</t>
        </is>
      </c>
      <c r="G225" t="n">
        <v>5.4</v>
      </c>
      <c r="H225" t="n">
        <v>0</v>
      </c>
      <c r="I225" t="n">
        <v>0</v>
      </c>
      <c r="J225" t="n">
        <v>0</v>
      </c>
      <c r="K225" t="n">
        <v>0</v>
      </c>
      <c r="L225" t="n">
        <v>0</v>
      </c>
      <c r="M225" t="n">
        <v>0</v>
      </c>
      <c r="N225" t="n">
        <v>0</v>
      </c>
      <c r="O225" t="n">
        <v>0</v>
      </c>
      <c r="P225" t="n">
        <v>0</v>
      </c>
      <c r="Q225" t="n">
        <v>0</v>
      </c>
      <c r="R225" s="2" t="inlineStr"/>
    </row>
    <row r="226" ht="15" customHeight="1">
      <c r="A226" t="inlineStr">
        <is>
          <t>A 43722-2019</t>
        </is>
      </c>
      <c r="B226" s="1" t="n">
        <v>43706</v>
      </c>
      <c r="C226" s="1" t="n">
        <v>45584</v>
      </c>
      <c r="D226" t="inlineStr">
        <is>
          <t>UPPSALA LÄN</t>
        </is>
      </c>
      <c r="E226" t="inlineStr">
        <is>
          <t>UPPSALA</t>
        </is>
      </c>
      <c r="F226" t="inlineStr">
        <is>
          <t>Övriga statliga verk och myndigheter</t>
        </is>
      </c>
      <c r="G226" t="n">
        <v>0.6</v>
      </c>
      <c r="H226" t="n">
        <v>0</v>
      </c>
      <c r="I226" t="n">
        <v>0</v>
      </c>
      <c r="J226" t="n">
        <v>0</v>
      </c>
      <c r="K226" t="n">
        <v>0</v>
      </c>
      <c r="L226" t="n">
        <v>0</v>
      </c>
      <c r="M226" t="n">
        <v>0</v>
      </c>
      <c r="N226" t="n">
        <v>0</v>
      </c>
      <c r="O226" t="n">
        <v>0</v>
      </c>
      <c r="P226" t="n">
        <v>0</v>
      </c>
      <c r="Q226" t="n">
        <v>0</v>
      </c>
      <c r="R226" s="2" t="inlineStr"/>
    </row>
    <row r="227" ht="15" customHeight="1">
      <c r="A227" t="inlineStr">
        <is>
          <t>A 43704-2019</t>
        </is>
      </c>
      <c r="B227" s="1" t="n">
        <v>43707</v>
      </c>
      <c r="C227" s="1" t="n">
        <v>45584</v>
      </c>
      <c r="D227" t="inlineStr">
        <is>
          <t>UPPSALA LÄN</t>
        </is>
      </c>
      <c r="E227" t="inlineStr">
        <is>
          <t>UPPSALA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43725-2019</t>
        </is>
      </c>
      <c r="B228" s="1" t="n">
        <v>43707</v>
      </c>
      <c r="C228" s="1" t="n">
        <v>45584</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44109-2019</t>
        </is>
      </c>
      <c r="B229" s="1" t="n">
        <v>43707</v>
      </c>
      <c r="C229" s="1" t="n">
        <v>45584</v>
      </c>
      <c r="D229" t="inlineStr">
        <is>
          <t>UPPSALA LÄN</t>
        </is>
      </c>
      <c r="E229" t="inlineStr">
        <is>
          <t>UPPSALA</t>
        </is>
      </c>
      <c r="F229" t="inlineStr">
        <is>
          <t>Allmännings- och besparingsskogar</t>
        </is>
      </c>
      <c r="G229" t="n">
        <v>81.3</v>
      </c>
      <c r="H229" t="n">
        <v>0</v>
      </c>
      <c r="I229" t="n">
        <v>0</v>
      </c>
      <c r="J229" t="n">
        <v>0</v>
      </c>
      <c r="K229" t="n">
        <v>0</v>
      </c>
      <c r="L229" t="n">
        <v>0</v>
      </c>
      <c r="M229" t="n">
        <v>0</v>
      </c>
      <c r="N229" t="n">
        <v>0</v>
      </c>
      <c r="O229" t="n">
        <v>0</v>
      </c>
      <c r="P229" t="n">
        <v>0</v>
      </c>
      <c r="Q229" t="n">
        <v>0</v>
      </c>
      <c r="R229" s="2" t="inlineStr"/>
    </row>
    <row r="230" ht="15" customHeight="1">
      <c r="A230" t="inlineStr">
        <is>
          <t>A 43713-2019</t>
        </is>
      </c>
      <c r="B230" s="1" t="n">
        <v>43707</v>
      </c>
      <c r="C230" s="1" t="n">
        <v>45584</v>
      </c>
      <c r="D230" t="inlineStr">
        <is>
          <t>UPPSALA LÄN</t>
        </is>
      </c>
      <c r="E230" t="inlineStr">
        <is>
          <t>UPPSALA</t>
        </is>
      </c>
      <c r="F230" t="inlineStr">
        <is>
          <t>Bergvik skog öst AB</t>
        </is>
      </c>
      <c r="G230" t="n">
        <v>7.9</v>
      </c>
      <c r="H230" t="n">
        <v>0</v>
      </c>
      <c r="I230" t="n">
        <v>0</v>
      </c>
      <c r="J230" t="n">
        <v>0</v>
      </c>
      <c r="K230" t="n">
        <v>0</v>
      </c>
      <c r="L230" t="n">
        <v>0</v>
      </c>
      <c r="M230" t="n">
        <v>0</v>
      </c>
      <c r="N230" t="n">
        <v>0</v>
      </c>
      <c r="O230" t="n">
        <v>0</v>
      </c>
      <c r="P230" t="n">
        <v>0</v>
      </c>
      <c r="Q230" t="n">
        <v>0</v>
      </c>
      <c r="R230" s="2" t="inlineStr"/>
    </row>
    <row r="231" ht="15" customHeight="1">
      <c r="A231" t="inlineStr">
        <is>
          <t>A 43853-2019</t>
        </is>
      </c>
      <c r="B231" s="1" t="n">
        <v>43707</v>
      </c>
      <c r="C231" s="1" t="n">
        <v>45584</v>
      </c>
      <c r="D231" t="inlineStr">
        <is>
          <t>UPPSALA LÄN</t>
        </is>
      </c>
      <c r="E231" t="inlineStr">
        <is>
          <t>UPPSALA</t>
        </is>
      </c>
      <c r="F231" t="inlineStr">
        <is>
          <t>Övriga statliga verk och myndigheter</t>
        </is>
      </c>
      <c r="G231" t="n">
        <v>1.8</v>
      </c>
      <c r="H231" t="n">
        <v>0</v>
      </c>
      <c r="I231" t="n">
        <v>0</v>
      </c>
      <c r="J231" t="n">
        <v>0</v>
      </c>
      <c r="K231" t="n">
        <v>0</v>
      </c>
      <c r="L231" t="n">
        <v>0</v>
      </c>
      <c r="M231" t="n">
        <v>0</v>
      </c>
      <c r="N231" t="n">
        <v>0</v>
      </c>
      <c r="O231" t="n">
        <v>0</v>
      </c>
      <c r="P231" t="n">
        <v>0</v>
      </c>
      <c r="Q231" t="n">
        <v>0</v>
      </c>
      <c r="R231" s="2" t="inlineStr"/>
    </row>
    <row r="232" ht="15" customHeight="1">
      <c r="A232" t="inlineStr">
        <is>
          <t>A 44141-2019</t>
        </is>
      </c>
      <c r="B232" s="1" t="n">
        <v>43710</v>
      </c>
      <c r="C232" s="1" t="n">
        <v>45584</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44701-2019</t>
        </is>
      </c>
      <c r="B233" s="1" t="n">
        <v>43712</v>
      </c>
      <c r="C233" s="1" t="n">
        <v>45584</v>
      </c>
      <c r="D233" t="inlineStr">
        <is>
          <t>UPPSALA LÄN</t>
        </is>
      </c>
      <c r="E233" t="inlineStr">
        <is>
          <t>UPPSALA</t>
        </is>
      </c>
      <c r="G233" t="n">
        <v>3.4</v>
      </c>
      <c r="H233" t="n">
        <v>0</v>
      </c>
      <c r="I233" t="n">
        <v>0</v>
      </c>
      <c r="J233" t="n">
        <v>0</v>
      </c>
      <c r="K233" t="n">
        <v>0</v>
      </c>
      <c r="L233" t="n">
        <v>0</v>
      </c>
      <c r="M233" t="n">
        <v>0</v>
      </c>
      <c r="N233" t="n">
        <v>0</v>
      </c>
      <c r="O233" t="n">
        <v>0</v>
      </c>
      <c r="P233" t="n">
        <v>0</v>
      </c>
      <c r="Q233" t="n">
        <v>0</v>
      </c>
      <c r="R233" s="2" t="inlineStr"/>
    </row>
    <row r="234" ht="15" customHeight="1">
      <c r="A234" t="inlineStr">
        <is>
          <t>A 44687-2019</t>
        </is>
      </c>
      <c r="B234" s="1" t="n">
        <v>43712</v>
      </c>
      <c r="C234" s="1" t="n">
        <v>45584</v>
      </c>
      <c r="D234" t="inlineStr">
        <is>
          <t>UPPSALA LÄN</t>
        </is>
      </c>
      <c r="E234" t="inlineStr">
        <is>
          <t>UPPSALA</t>
        </is>
      </c>
      <c r="G234" t="n">
        <v>3.3</v>
      </c>
      <c r="H234" t="n">
        <v>0</v>
      </c>
      <c r="I234" t="n">
        <v>0</v>
      </c>
      <c r="J234" t="n">
        <v>0</v>
      </c>
      <c r="K234" t="n">
        <v>0</v>
      </c>
      <c r="L234" t="n">
        <v>0</v>
      </c>
      <c r="M234" t="n">
        <v>0</v>
      </c>
      <c r="N234" t="n">
        <v>0</v>
      </c>
      <c r="O234" t="n">
        <v>0</v>
      </c>
      <c r="P234" t="n">
        <v>0</v>
      </c>
      <c r="Q234" t="n">
        <v>0</v>
      </c>
      <c r="R234" s="2" t="inlineStr"/>
    </row>
    <row r="235" ht="15" customHeight="1">
      <c r="A235" t="inlineStr">
        <is>
          <t>A 45010-2019</t>
        </is>
      </c>
      <c r="B235" s="1" t="n">
        <v>43713</v>
      </c>
      <c r="C235" s="1" t="n">
        <v>45584</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45574-2019</t>
        </is>
      </c>
      <c r="B236" s="1" t="n">
        <v>43716</v>
      </c>
      <c r="C236" s="1" t="n">
        <v>45584</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46311-2019</t>
        </is>
      </c>
      <c r="B237" s="1" t="n">
        <v>43718</v>
      </c>
      <c r="C237" s="1" t="n">
        <v>45584</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46307-2019</t>
        </is>
      </c>
      <c r="B238" s="1" t="n">
        <v>43718</v>
      </c>
      <c r="C238" s="1" t="n">
        <v>45584</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46151-2019</t>
        </is>
      </c>
      <c r="B239" s="1" t="n">
        <v>43718</v>
      </c>
      <c r="C239" s="1" t="n">
        <v>45584</v>
      </c>
      <c r="D239" t="inlineStr">
        <is>
          <t>UPPSALA LÄN</t>
        </is>
      </c>
      <c r="E239" t="inlineStr">
        <is>
          <t>UPPSALA</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46157-2019</t>
        </is>
      </c>
      <c r="B240" s="1" t="n">
        <v>43718</v>
      </c>
      <c r="C240" s="1" t="n">
        <v>45584</v>
      </c>
      <c r="D240" t="inlineStr">
        <is>
          <t>UPPSALA LÄN</t>
        </is>
      </c>
      <c r="E240" t="inlineStr">
        <is>
          <t>UPPSALA</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46310-2019</t>
        </is>
      </c>
      <c r="B241" s="1" t="n">
        <v>43718</v>
      </c>
      <c r="C241" s="1" t="n">
        <v>45584</v>
      </c>
      <c r="D241" t="inlineStr">
        <is>
          <t>UPPSALA LÄN</t>
        </is>
      </c>
      <c r="E241" t="inlineStr">
        <is>
          <t>UPPSALA</t>
        </is>
      </c>
      <c r="G241" t="n">
        <v>7</v>
      </c>
      <c r="H241" t="n">
        <v>0</v>
      </c>
      <c r="I241" t="n">
        <v>0</v>
      </c>
      <c r="J241" t="n">
        <v>0</v>
      </c>
      <c r="K241" t="n">
        <v>0</v>
      </c>
      <c r="L241" t="n">
        <v>0</v>
      </c>
      <c r="M241" t="n">
        <v>0</v>
      </c>
      <c r="N241" t="n">
        <v>0</v>
      </c>
      <c r="O241" t="n">
        <v>0</v>
      </c>
      <c r="P241" t="n">
        <v>0</v>
      </c>
      <c r="Q241" t="n">
        <v>0</v>
      </c>
      <c r="R241" s="2" t="inlineStr"/>
    </row>
    <row r="242" ht="15" customHeight="1">
      <c r="A242" t="inlineStr">
        <is>
          <t>A 46147-2019</t>
        </is>
      </c>
      <c r="B242" s="1" t="n">
        <v>43718</v>
      </c>
      <c r="C242" s="1" t="n">
        <v>45584</v>
      </c>
      <c r="D242" t="inlineStr">
        <is>
          <t>UPPSALA LÄN</t>
        </is>
      </c>
      <c r="E242" t="inlineStr">
        <is>
          <t>UPPSALA</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46877-2019</t>
        </is>
      </c>
      <c r="B243" s="1" t="n">
        <v>43720</v>
      </c>
      <c r="C243" s="1" t="n">
        <v>45584</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46896-2019</t>
        </is>
      </c>
      <c r="B244" s="1" t="n">
        <v>43720</v>
      </c>
      <c r="C244" s="1" t="n">
        <v>45584</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48485-2019</t>
        </is>
      </c>
      <c r="B245" s="1" t="n">
        <v>43727</v>
      </c>
      <c r="C245" s="1" t="n">
        <v>45584</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49567-2019</t>
        </is>
      </c>
      <c r="B246" s="1" t="n">
        <v>43730</v>
      </c>
      <c r="C246" s="1" t="n">
        <v>45584</v>
      </c>
      <c r="D246" t="inlineStr">
        <is>
          <t>UPPSALA LÄN</t>
        </is>
      </c>
      <c r="E246" t="inlineStr">
        <is>
          <t>UPPSALA</t>
        </is>
      </c>
      <c r="G246" t="n">
        <v>6</v>
      </c>
      <c r="H246" t="n">
        <v>0</v>
      </c>
      <c r="I246" t="n">
        <v>0</v>
      </c>
      <c r="J246" t="n">
        <v>0</v>
      </c>
      <c r="K246" t="n">
        <v>0</v>
      </c>
      <c r="L246" t="n">
        <v>0</v>
      </c>
      <c r="M246" t="n">
        <v>0</v>
      </c>
      <c r="N246" t="n">
        <v>0</v>
      </c>
      <c r="O246" t="n">
        <v>0</v>
      </c>
      <c r="P246" t="n">
        <v>0</v>
      </c>
      <c r="Q246" t="n">
        <v>0</v>
      </c>
      <c r="R246" s="2" t="inlineStr"/>
    </row>
    <row r="247" ht="15" customHeight="1">
      <c r="A247" t="inlineStr">
        <is>
          <t>A 50180-2019</t>
        </is>
      </c>
      <c r="B247" s="1" t="n">
        <v>43733</v>
      </c>
      <c r="C247" s="1" t="n">
        <v>45584</v>
      </c>
      <c r="D247" t="inlineStr">
        <is>
          <t>UPPSALA LÄN</t>
        </is>
      </c>
      <c r="E247" t="inlineStr">
        <is>
          <t>UPPSALA</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50387-2019</t>
        </is>
      </c>
      <c r="B248" s="1" t="n">
        <v>43735</v>
      </c>
      <c r="C248" s="1" t="n">
        <v>45584</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50415-2019</t>
        </is>
      </c>
      <c r="B249" s="1" t="n">
        <v>43735</v>
      </c>
      <c r="C249" s="1" t="n">
        <v>45584</v>
      </c>
      <c r="D249" t="inlineStr">
        <is>
          <t>UPPSALA LÄN</t>
        </is>
      </c>
      <c r="E249" t="inlineStr">
        <is>
          <t>UPPSALA</t>
        </is>
      </c>
      <c r="F249" t="inlineStr">
        <is>
          <t>Kyrkan</t>
        </is>
      </c>
      <c r="G249" t="n">
        <v>13.6</v>
      </c>
      <c r="H249" t="n">
        <v>0</v>
      </c>
      <c r="I249" t="n">
        <v>0</v>
      </c>
      <c r="J249" t="n">
        <v>0</v>
      </c>
      <c r="K249" t="n">
        <v>0</v>
      </c>
      <c r="L249" t="n">
        <v>0</v>
      </c>
      <c r="M249" t="n">
        <v>0</v>
      </c>
      <c r="N249" t="n">
        <v>0</v>
      </c>
      <c r="O249" t="n">
        <v>0</v>
      </c>
      <c r="P249" t="n">
        <v>0</v>
      </c>
      <c r="Q249" t="n">
        <v>0</v>
      </c>
      <c r="R249" s="2" t="inlineStr"/>
    </row>
    <row r="250" ht="15" customHeight="1">
      <c r="A250" t="inlineStr">
        <is>
          <t>A 50616-2019</t>
        </is>
      </c>
      <c r="B250" s="1" t="n">
        <v>43736</v>
      </c>
      <c r="C250" s="1" t="n">
        <v>45584</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52386-2019</t>
        </is>
      </c>
      <c r="B251" s="1" t="n">
        <v>43745</v>
      </c>
      <c r="C251" s="1" t="n">
        <v>45584</v>
      </c>
      <c r="D251" t="inlineStr">
        <is>
          <t>UPPSALA LÄN</t>
        </is>
      </c>
      <c r="E251" t="inlineStr">
        <is>
          <t>UPPSALA</t>
        </is>
      </c>
      <c r="G251" t="n">
        <v>15.7</v>
      </c>
      <c r="H251" t="n">
        <v>0</v>
      </c>
      <c r="I251" t="n">
        <v>0</v>
      </c>
      <c r="J251" t="n">
        <v>0</v>
      </c>
      <c r="K251" t="n">
        <v>0</v>
      </c>
      <c r="L251" t="n">
        <v>0</v>
      </c>
      <c r="M251" t="n">
        <v>0</v>
      </c>
      <c r="N251" t="n">
        <v>0</v>
      </c>
      <c r="O251" t="n">
        <v>0</v>
      </c>
      <c r="P251" t="n">
        <v>0</v>
      </c>
      <c r="Q251" t="n">
        <v>0</v>
      </c>
      <c r="R251" s="2" t="inlineStr"/>
    </row>
    <row r="252" ht="15" customHeight="1">
      <c r="A252" t="inlineStr">
        <is>
          <t>A 52419-2019</t>
        </is>
      </c>
      <c r="B252" s="1" t="n">
        <v>43745</v>
      </c>
      <c r="C252" s="1" t="n">
        <v>45584</v>
      </c>
      <c r="D252" t="inlineStr">
        <is>
          <t>UPPSALA LÄN</t>
        </is>
      </c>
      <c r="E252" t="inlineStr">
        <is>
          <t>UPPSALA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52950-2019</t>
        </is>
      </c>
      <c r="B253" s="1" t="n">
        <v>43747</v>
      </c>
      <c r="C253" s="1" t="n">
        <v>45584</v>
      </c>
      <c r="D253" t="inlineStr">
        <is>
          <t>UPPSALA LÄN</t>
        </is>
      </c>
      <c r="E253" t="inlineStr">
        <is>
          <t>UPPSALA</t>
        </is>
      </c>
      <c r="G253" t="n">
        <v>0.2</v>
      </c>
      <c r="H253" t="n">
        <v>0</v>
      </c>
      <c r="I253" t="n">
        <v>0</v>
      </c>
      <c r="J253" t="n">
        <v>0</v>
      </c>
      <c r="K253" t="n">
        <v>0</v>
      </c>
      <c r="L253" t="n">
        <v>0</v>
      </c>
      <c r="M253" t="n">
        <v>0</v>
      </c>
      <c r="N253" t="n">
        <v>0</v>
      </c>
      <c r="O253" t="n">
        <v>0</v>
      </c>
      <c r="P253" t="n">
        <v>0</v>
      </c>
      <c r="Q253" t="n">
        <v>0</v>
      </c>
      <c r="R253" s="2" t="inlineStr"/>
    </row>
    <row r="254" ht="15" customHeight="1">
      <c r="A254" t="inlineStr">
        <is>
          <t>A 53303-2019</t>
        </is>
      </c>
      <c r="B254" s="1" t="n">
        <v>43747</v>
      </c>
      <c r="C254" s="1" t="n">
        <v>45584</v>
      </c>
      <c r="D254" t="inlineStr">
        <is>
          <t>UPPSALA LÄN</t>
        </is>
      </c>
      <c r="E254" t="inlineStr">
        <is>
          <t>UPPSALA</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53316-2019</t>
        </is>
      </c>
      <c r="B255" s="1" t="n">
        <v>43748</v>
      </c>
      <c r="C255" s="1" t="n">
        <v>45584</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54757-2019</t>
        </is>
      </c>
      <c r="B256" s="1" t="n">
        <v>43755</v>
      </c>
      <c r="C256" s="1" t="n">
        <v>45584</v>
      </c>
      <c r="D256" t="inlineStr">
        <is>
          <t>UPPSALA LÄN</t>
        </is>
      </c>
      <c r="E256" t="inlineStr">
        <is>
          <t>UPPSALA</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56041-2019</t>
        </is>
      </c>
      <c r="B257" s="1" t="n">
        <v>43759</v>
      </c>
      <c r="C257" s="1" t="n">
        <v>45584</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56634-2019</t>
        </is>
      </c>
      <c r="B258" s="1" t="n">
        <v>43763</v>
      </c>
      <c r="C258" s="1" t="n">
        <v>45584</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58445-2019</t>
        </is>
      </c>
      <c r="B259" s="1" t="n">
        <v>43773</v>
      </c>
      <c r="C259" s="1" t="n">
        <v>45584</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58527-2019</t>
        </is>
      </c>
      <c r="B260" s="1" t="n">
        <v>43773</v>
      </c>
      <c r="C260" s="1" t="n">
        <v>45584</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58903-2019</t>
        </is>
      </c>
      <c r="B261" s="1" t="n">
        <v>43773</v>
      </c>
      <c r="C261" s="1" t="n">
        <v>45584</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60011-2019</t>
        </is>
      </c>
      <c r="B262" s="1" t="n">
        <v>43777</v>
      </c>
      <c r="C262" s="1" t="n">
        <v>45584</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60159-2019</t>
        </is>
      </c>
      <c r="B263" s="1" t="n">
        <v>43777</v>
      </c>
      <c r="C263" s="1" t="n">
        <v>45584</v>
      </c>
      <c r="D263" t="inlineStr">
        <is>
          <t>UPPSALA LÄN</t>
        </is>
      </c>
      <c r="E263" t="inlineStr">
        <is>
          <t>UPPSALA</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60163-2019</t>
        </is>
      </c>
      <c r="B264" s="1" t="n">
        <v>43780</v>
      </c>
      <c r="C264" s="1" t="n">
        <v>45584</v>
      </c>
      <c r="D264" t="inlineStr">
        <is>
          <t>UPPSALA LÄN</t>
        </is>
      </c>
      <c r="E264" t="inlineStr">
        <is>
          <t>UPPSALA</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60579-2019</t>
        </is>
      </c>
      <c r="B265" s="1" t="n">
        <v>43780</v>
      </c>
      <c r="C265" s="1" t="n">
        <v>45584</v>
      </c>
      <c r="D265" t="inlineStr">
        <is>
          <t>UPPSALA LÄN</t>
        </is>
      </c>
      <c r="E265" t="inlineStr">
        <is>
          <t>UPPSALA</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62308-2019</t>
        </is>
      </c>
      <c r="B266" s="1" t="n">
        <v>43782</v>
      </c>
      <c r="C266" s="1" t="n">
        <v>45584</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61667-2019</t>
        </is>
      </c>
      <c r="B267" s="1" t="n">
        <v>43784</v>
      </c>
      <c r="C267" s="1" t="n">
        <v>45584</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63145-2019</t>
        </is>
      </c>
      <c r="B268" s="1" t="n">
        <v>43791</v>
      </c>
      <c r="C268" s="1" t="n">
        <v>45584</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63091-2019</t>
        </is>
      </c>
      <c r="B269" s="1" t="n">
        <v>43791</v>
      </c>
      <c r="C269" s="1" t="n">
        <v>45584</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63099-2019</t>
        </is>
      </c>
      <c r="B270" s="1" t="n">
        <v>43791</v>
      </c>
      <c r="C270" s="1" t="n">
        <v>45584</v>
      </c>
      <c r="D270" t="inlineStr">
        <is>
          <t>UPPSALA LÄN</t>
        </is>
      </c>
      <c r="E270" t="inlineStr">
        <is>
          <t>UPPSALA</t>
        </is>
      </c>
      <c r="G270" t="n">
        <v>4.4</v>
      </c>
      <c r="H270" t="n">
        <v>0</v>
      </c>
      <c r="I270" t="n">
        <v>0</v>
      </c>
      <c r="J270" t="n">
        <v>0</v>
      </c>
      <c r="K270" t="n">
        <v>0</v>
      </c>
      <c r="L270" t="n">
        <v>0</v>
      </c>
      <c r="M270" t="n">
        <v>0</v>
      </c>
      <c r="N270" t="n">
        <v>0</v>
      </c>
      <c r="O270" t="n">
        <v>0</v>
      </c>
      <c r="P270" t="n">
        <v>0</v>
      </c>
      <c r="Q270" t="n">
        <v>0</v>
      </c>
      <c r="R270" s="2" t="inlineStr"/>
    </row>
    <row r="271" ht="15" customHeight="1">
      <c r="A271" t="inlineStr">
        <is>
          <t>A 63118-2019</t>
        </is>
      </c>
      <c r="B271" s="1" t="n">
        <v>43791</v>
      </c>
      <c r="C271" s="1" t="n">
        <v>45584</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63589-2019</t>
        </is>
      </c>
      <c r="B272" s="1" t="n">
        <v>43795</v>
      </c>
      <c r="C272" s="1" t="n">
        <v>45584</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63757-2019</t>
        </is>
      </c>
      <c r="B273" s="1" t="n">
        <v>43795</v>
      </c>
      <c r="C273" s="1" t="n">
        <v>45584</v>
      </c>
      <c r="D273" t="inlineStr">
        <is>
          <t>UPPSALA LÄN</t>
        </is>
      </c>
      <c r="E273" t="inlineStr">
        <is>
          <t>UPPSALA</t>
        </is>
      </c>
      <c r="G273" t="n">
        <v>6.9</v>
      </c>
      <c r="H273" t="n">
        <v>0</v>
      </c>
      <c r="I273" t="n">
        <v>0</v>
      </c>
      <c r="J273" t="n">
        <v>0</v>
      </c>
      <c r="K273" t="n">
        <v>0</v>
      </c>
      <c r="L273" t="n">
        <v>0</v>
      </c>
      <c r="M273" t="n">
        <v>0</v>
      </c>
      <c r="N273" t="n">
        <v>0</v>
      </c>
      <c r="O273" t="n">
        <v>0</v>
      </c>
      <c r="P273" t="n">
        <v>0</v>
      </c>
      <c r="Q273" t="n">
        <v>0</v>
      </c>
      <c r="R273" s="2" t="inlineStr"/>
    </row>
    <row r="274" ht="15" customHeight="1">
      <c r="A274" t="inlineStr">
        <is>
          <t>A 63756-2019</t>
        </is>
      </c>
      <c r="B274" s="1" t="n">
        <v>43795</v>
      </c>
      <c r="C274" s="1" t="n">
        <v>45584</v>
      </c>
      <c r="D274" t="inlineStr">
        <is>
          <t>UPPSALA LÄN</t>
        </is>
      </c>
      <c r="E274" t="inlineStr">
        <is>
          <t>UPPSALA</t>
        </is>
      </c>
      <c r="G274" t="n">
        <v>6.5</v>
      </c>
      <c r="H274" t="n">
        <v>0</v>
      </c>
      <c r="I274" t="n">
        <v>0</v>
      </c>
      <c r="J274" t="n">
        <v>0</v>
      </c>
      <c r="K274" t="n">
        <v>0</v>
      </c>
      <c r="L274" t="n">
        <v>0</v>
      </c>
      <c r="M274" t="n">
        <v>0</v>
      </c>
      <c r="N274" t="n">
        <v>0</v>
      </c>
      <c r="O274" t="n">
        <v>0</v>
      </c>
      <c r="P274" t="n">
        <v>0</v>
      </c>
      <c r="Q274" t="n">
        <v>0</v>
      </c>
      <c r="R274" s="2" t="inlineStr"/>
    </row>
    <row r="275" ht="15" customHeight="1">
      <c r="A275" t="inlineStr">
        <is>
          <t>A 64836-2019</t>
        </is>
      </c>
      <c r="B275" s="1" t="n">
        <v>43801</v>
      </c>
      <c r="C275" s="1" t="n">
        <v>45584</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64834-2019</t>
        </is>
      </c>
      <c r="B276" s="1" t="n">
        <v>43801</v>
      </c>
      <c r="C276" s="1" t="n">
        <v>45584</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65527-2019</t>
        </is>
      </c>
      <c r="B277" s="1" t="n">
        <v>43803</v>
      </c>
      <c r="C277" s="1" t="n">
        <v>45584</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65668-2019</t>
        </is>
      </c>
      <c r="B278" s="1" t="n">
        <v>43804</v>
      </c>
      <c r="C278" s="1" t="n">
        <v>45584</v>
      </c>
      <c r="D278" t="inlineStr">
        <is>
          <t>UPPSALA LÄN</t>
        </is>
      </c>
      <c r="E278" t="inlineStr">
        <is>
          <t>UPPSALA</t>
        </is>
      </c>
      <c r="G278" t="n">
        <v>7.6</v>
      </c>
      <c r="H278" t="n">
        <v>0</v>
      </c>
      <c r="I278" t="n">
        <v>0</v>
      </c>
      <c r="J278" t="n">
        <v>0</v>
      </c>
      <c r="K278" t="n">
        <v>0</v>
      </c>
      <c r="L278" t="n">
        <v>0</v>
      </c>
      <c r="M278" t="n">
        <v>0</v>
      </c>
      <c r="N278" t="n">
        <v>0</v>
      </c>
      <c r="O278" t="n">
        <v>0</v>
      </c>
      <c r="P278" t="n">
        <v>0</v>
      </c>
      <c r="Q278" t="n">
        <v>0</v>
      </c>
      <c r="R278" s="2" t="inlineStr"/>
    </row>
    <row r="279" ht="15" customHeight="1">
      <c r="A279" t="inlineStr">
        <is>
          <t>A 66167-2019</t>
        </is>
      </c>
      <c r="B279" s="1" t="n">
        <v>43808</v>
      </c>
      <c r="C279" s="1" t="n">
        <v>45584</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66270-2019</t>
        </is>
      </c>
      <c r="B280" s="1" t="n">
        <v>43808</v>
      </c>
      <c r="C280" s="1" t="n">
        <v>45584</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67108-2019</t>
        </is>
      </c>
      <c r="B281" s="1" t="n">
        <v>43811</v>
      </c>
      <c r="C281" s="1" t="n">
        <v>45584</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67281-2019</t>
        </is>
      </c>
      <c r="B282" s="1" t="n">
        <v>43812</v>
      </c>
      <c r="C282" s="1" t="n">
        <v>45584</v>
      </c>
      <c r="D282" t="inlineStr">
        <is>
          <t>UPPSALA LÄN</t>
        </is>
      </c>
      <c r="E282" t="inlineStr">
        <is>
          <t>UPPSALA</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67508-2019</t>
        </is>
      </c>
      <c r="B283" s="1" t="n">
        <v>43814</v>
      </c>
      <c r="C283" s="1" t="n">
        <v>45584</v>
      </c>
      <c r="D283" t="inlineStr">
        <is>
          <t>UPPSALA LÄN</t>
        </is>
      </c>
      <c r="E283" t="inlineStr">
        <is>
          <t>UPPSALA</t>
        </is>
      </c>
      <c r="F283" t="inlineStr">
        <is>
          <t>Allmännings- och besparingsskogar</t>
        </is>
      </c>
      <c r="G283" t="n">
        <v>4.9</v>
      </c>
      <c r="H283" t="n">
        <v>0</v>
      </c>
      <c r="I283" t="n">
        <v>0</v>
      </c>
      <c r="J283" t="n">
        <v>0</v>
      </c>
      <c r="K283" t="n">
        <v>0</v>
      </c>
      <c r="L283" t="n">
        <v>0</v>
      </c>
      <c r="M283" t="n">
        <v>0</v>
      </c>
      <c r="N283" t="n">
        <v>0</v>
      </c>
      <c r="O283" t="n">
        <v>0</v>
      </c>
      <c r="P283" t="n">
        <v>0</v>
      </c>
      <c r="Q283" t="n">
        <v>0</v>
      </c>
      <c r="R283" s="2" t="inlineStr"/>
    </row>
    <row r="284" ht="15" customHeight="1">
      <c r="A284" t="inlineStr">
        <is>
          <t>A 67504-2019</t>
        </is>
      </c>
      <c r="B284" s="1" t="n">
        <v>43814</v>
      </c>
      <c r="C284" s="1" t="n">
        <v>45584</v>
      </c>
      <c r="D284" t="inlineStr">
        <is>
          <t>UPPSALA LÄN</t>
        </is>
      </c>
      <c r="E284" t="inlineStr">
        <is>
          <t>UPPSALA</t>
        </is>
      </c>
      <c r="F284" t="inlineStr">
        <is>
          <t>Allmännings- och besparingsskogar</t>
        </is>
      </c>
      <c r="G284" t="n">
        <v>21.9</v>
      </c>
      <c r="H284" t="n">
        <v>0</v>
      </c>
      <c r="I284" t="n">
        <v>0</v>
      </c>
      <c r="J284" t="n">
        <v>0</v>
      </c>
      <c r="K284" t="n">
        <v>0</v>
      </c>
      <c r="L284" t="n">
        <v>0</v>
      </c>
      <c r="M284" t="n">
        <v>0</v>
      </c>
      <c r="N284" t="n">
        <v>0</v>
      </c>
      <c r="O284" t="n">
        <v>0</v>
      </c>
      <c r="P284" t="n">
        <v>0</v>
      </c>
      <c r="Q284" t="n">
        <v>0</v>
      </c>
      <c r="R284" s="2" t="inlineStr"/>
    </row>
    <row r="285" ht="15" customHeight="1">
      <c r="A285" t="inlineStr">
        <is>
          <t>A 67720-2019</t>
        </is>
      </c>
      <c r="B285" s="1" t="n">
        <v>43815</v>
      </c>
      <c r="C285" s="1" t="n">
        <v>45584</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67592-2019</t>
        </is>
      </c>
      <c r="B286" s="1" t="n">
        <v>43815</v>
      </c>
      <c r="C286" s="1" t="n">
        <v>45584</v>
      </c>
      <c r="D286" t="inlineStr">
        <is>
          <t>UPPSALA LÄN</t>
        </is>
      </c>
      <c r="E286" t="inlineStr">
        <is>
          <t>UPPSALA</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68264-2019</t>
        </is>
      </c>
      <c r="B287" s="1" t="n">
        <v>43817</v>
      </c>
      <c r="C287" s="1" t="n">
        <v>45584</v>
      </c>
      <c r="D287" t="inlineStr">
        <is>
          <t>UPPSALA LÄN</t>
        </is>
      </c>
      <c r="E287" t="inlineStr">
        <is>
          <t>UPPSALA</t>
        </is>
      </c>
      <c r="G287" t="n">
        <v>2.9</v>
      </c>
      <c r="H287" t="n">
        <v>0</v>
      </c>
      <c r="I287" t="n">
        <v>0</v>
      </c>
      <c r="J287" t="n">
        <v>0</v>
      </c>
      <c r="K287" t="n">
        <v>0</v>
      </c>
      <c r="L287" t="n">
        <v>0</v>
      </c>
      <c r="M287" t="n">
        <v>0</v>
      </c>
      <c r="N287" t="n">
        <v>0</v>
      </c>
      <c r="O287" t="n">
        <v>0</v>
      </c>
      <c r="P287" t="n">
        <v>0</v>
      </c>
      <c r="Q287" t="n">
        <v>0</v>
      </c>
      <c r="R287" s="2" t="inlineStr"/>
    </row>
    <row r="288" ht="15" customHeight="1">
      <c r="A288" t="inlineStr">
        <is>
          <t>A 68265-2019</t>
        </is>
      </c>
      <c r="B288" s="1" t="n">
        <v>43817</v>
      </c>
      <c r="C288" s="1" t="n">
        <v>45584</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68317-2019</t>
        </is>
      </c>
      <c r="B289" s="1" t="n">
        <v>43818</v>
      </c>
      <c r="C289" s="1" t="n">
        <v>45584</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68316-2019</t>
        </is>
      </c>
      <c r="B290" s="1" t="n">
        <v>43818</v>
      </c>
      <c r="C290" s="1" t="n">
        <v>45584</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68908-2019</t>
        </is>
      </c>
      <c r="B291" s="1" t="n">
        <v>43822</v>
      </c>
      <c r="C291" s="1" t="n">
        <v>45584</v>
      </c>
      <c r="D291" t="inlineStr">
        <is>
          <t>UPPSALA LÄN</t>
        </is>
      </c>
      <c r="E291" t="inlineStr">
        <is>
          <t>UPPSALA</t>
        </is>
      </c>
      <c r="G291" t="n">
        <v>4</v>
      </c>
      <c r="H291" t="n">
        <v>0</v>
      </c>
      <c r="I291" t="n">
        <v>0</v>
      </c>
      <c r="J291" t="n">
        <v>0</v>
      </c>
      <c r="K291" t="n">
        <v>0</v>
      </c>
      <c r="L291" t="n">
        <v>0</v>
      </c>
      <c r="M291" t="n">
        <v>0</v>
      </c>
      <c r="N291" t="n">
        <v>0</v>
      </c>
      <c r="O291" t="n">
        <v>0</v>
      </c>
      <c r="P291" t="n">
        <v>0</v>
      </c>
      <c r="Q291" t="n">
        <v>0</v>
      </c>
      <c r="R291" s="2" t="inlineStr"/>
    </row>
    <row r="292" ht="15" customHeight="1">
      <c r="A292" t="inlineStr">
        <is>
          <t>A 529-2020</t>
        </is>
      </c>
      <c r="B292" s="1" t="n">
        <v>43837</v>
      </c>
      <c r="C292" s="1" t="n">
        <v>45584</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1891-2020</t>
        </is>
      </c>
      <c r="B293" s="1" t="n">
        <v>43837</v>
      </c>
      <c r="C293" s="1" t="n">
        <v>45584</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701-2020</t>
        </is>
      </c>
      <c r="B294" s="1" t="n">
        <v>43838</v>
      </c>
      <c r="C294" s="1" t="n">
        <v>45584</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1171-2020</t>
        </is>
      </c>
      <c r="B295" s="1" t="n">
        <v>43840</v>
      </c>
      <c r="C295" s="1" t="n">
        <v>45584</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1688-2020</t>
        </is>
      </c>
      <c r="B296" s="1" t="n">
        <v>43844</v>
      </c>
      <c r="C296" s="1" t="n">
        <v>45584</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2162-2020</t>
        </is>
      </c>
      <c r="B297" s="1" t="n">
        <v>43846</v>
      </c>
      <c r="C297" s="1" t="n">
        <v>45584</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2895-2020</t>
        </is>
      </c>
      <c r="B298" s="1" t="n">
        <v>43850</v>
      </c>
      <c r="C298" s="1" t="n">
        <v>45584</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3693-2020</t>
        </is>
      </c>
      <c r="B299" s="1" t="n">
        <v>43853</v>
      </c>
      <c r="C299" s="1" t="n">
        <v>45584</v>
      </c>
      <c r="D299" t="inlineStr">
        <is>
          <t>UPPSALA LÄN</t>
        </is>
      </c>
      <c r="E299" t="inlineStr">
        <is>
          <t>UPPSALA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3516-2020</t>
        </is>
      </c>
      <c r="B300" s="1" t="n">
        <v>43853</v>
      </c>
      <c r="C300" s="1" t="n">
        <v>45584</v>
      </c>
      <c r="D300" t="inlineStr">
        <is>
          <t>UPPSALA LÄN</t>
        </is>
      </c>
      <c r="E300" t="inlineStr">
        <is>
          <t>UPPSALA</t>
        </is>
      </c>
      <c r="G300" t="n">
        <v>9.4</v>
      </c>
      <c r="H300" t="n">
        <v>0</v>
      </c>
      <c r="I300" t="n">
        <v>0</v>
      </c>
      <c r="J300" t="n">
        <v>0</v>
      </c>
      <c r="K300" t="n">
        <v>0</v>
      </c>
      <c r="L300" t="n">
        <v>0</v>
      </c>
      <c r="M300" t="n">
        <v>0</v>
      </c>
      <c r="N300" t="n">
        <v>0</v>
      </c>
      <c r="O300" t="n">
        <v>0</v>
      </c>
      <c r="P300" t="n">
        <v>0</v>
      </c>
      <c r="Q300" t="n">
        <v>0</v>
      </c>
      <c r="R300" s="2" t="inlineStr"/>
    </row>
    <row r="301" ht="15" customHeight="1">
      <c r="A301" t="inlineStr">
        <is>
          <t>A 6313-2020</t>
        </is>
      </c>
      <c r="B301" s="1" t="n">
        <v>43866</v>
      </c>
      <c r="C301" s="1" t="n">
        <v>45584</v>
      </c>
      <c r="D301" t="inlineStr">
        <is>
          <t>UPPSALA LÄN</t>
        </is>
      </c>
      <c r="E301" t="inlineStr">
        <is>
          <t>UPPSALA</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6315-2020</t>
        </is>
      </c>
      <c r="B302" s="1" t="n">
        <v>43866</v>
      </c>
      <c r="C302" s="1" t="n">
        <v>45584</v>
      </c>
      <c r="D302" t="inlineStr">
        <is>
          <t>UPPSALA LÄN</t>
        </is>
      </c>
      <c r="E302" t="inlineStr">
        <is>
          <t>UPPSALA</t>
        </is>
      </c>
      <c r="F302" t="inlineStr">
        <is>
          <t>Övriga statliga verk och myndigheter</t>
        </is>
      </c>
      <c r="G302" t="n">
        <v>1.9</v>
      </c>
      <c r="H302" t="n">
        <v>0</v>
      </c>
      <c r="I302" t="n">
        <v>0</v>
      </c>
      <c r="J302" t="n">
        <v>0</v>
      </c>
      <c r="K302" t="n">
        <v>0</v>
      </c>
      <c r="L302" t="n">
        <v>0</v>
      </c>
      <c r="M302" t="n">
        <v>0</v>
      </c>
      <c r="N302" t="n">
        <v>0</v>
      </c>
      <c r="O302" t="n">
        <v>0</v>
      </c>
      <c r="P302" t="n">
        <v>0</v>
      </c>
      <c r="Q302" t="n">
        <v>0</v>
      </c>
      <c r="R302" s="2" t="inlineStr"/>
    </row>
    <row r="303" ht="15" customHeight="1">
      <c r="A303" t="inlineStr">
        <is>
          <t>A 6655-2020</t>
        </is>
      </c>
      <c r="B303" s="1" t="n">
        <v>43867</v>
      </c>
      <c r="C303" s="1" t="n">
        <v>45584</v>
      </c>
      <c r="D303" t="inlineStr">
        <is>
          <t>UPPSALA LÄN</t>
        </is>
      </c>
      <c r="E303" t="inlineStr">
        <is>
          <t>UPPSALA</t>
        </is>
      </c>
      <c r="G303" t="n">
        <v>7.3</v>
      </c>
      <c r="H303" t="n">
        <v>0</v>
      </c>
      <c r="I303" t="n">
        <v>0</v>
      </c>
      <c r="J303" t="n">
        <v>0</v>
      </c>
      <c r="K303" t="n">
        <v>0</v>
      </c>
      <c r="L303" t="n">
        <v>0</v>
      </c>
      <c r="M303" t="n">
        <v>0</v>
      </c>
      <c r="N303" t="n">
        <v>0</v>
      </c>
      <c r="O303" t="n">
        <v>0</v>
      </c>
      <c r="P303" t="n">
        <v>0</v>
      </c>
      <c r="Q303" t="n">
        <v>0</v>
      </c>
      <c r="R303" s="2" t="inlineStr"/>
    </row>
    <row r="304" ht="15" customHeight="1">
      <c r="A304" t="inlineStr">
        <is>
          <t>A 8261-2020</t>
        </is>
      </c>
      <c r="B304" s="1" t="n">
        <v>43874</v>
      </c>
      <c r="C304" s="1" t="n">
        <v>45584</v>
      </c>
      <c r="D304" t="inlineStr">
        <is>
          <t>UPPSALA LÄN</t>
        </is>
      </c>
      <c r="E304" t="inlineStr">
        <is>
          <t>UPPSALA</t>
        </is>
      </c>
      <c r="G304" t="n">
        <v>5.1</v>
      </c>
      <c r="H304" t="n">
        <v>0</v>
      </c>
      <c r="I304" t="n">
        <v>0</v>
      </c>
      <c r="J304" t="n">
        <v>0</v>
      </c>
      <c r="K304" t="n">
        <v>0</v>
      </c>
      <c r="L304" t="n">
        <v>0</v>
      </c>
      <c r="M304" t="n">
        <v>0</v>
      </c>
      <c r="N304" t="n">
        <v>0</v>
      </c>
      <c r="O304" t="n">
        <v>0</v>
      </c>
      <c r="P304" t="n">
        <v>0</v>
      </c>
      <c r="Q304" t="n">
        <v>0</v>
      </c>
      <c r="R304" s="2" t="inlineStr"/>
    </row>
    <row r="305" ht="15" customHeight="1">
      <c r="A305" t="inlineStr">
        <is>
          <t>A 8646-2020</t>
        </is>
      </c>
      <c r="B305" s="1" t="n">
        <v>43878</v>
      </c>
      <c r="C305" s="1" t="n">
        <v>45584</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8902-2020</t>
        </is>
      </c>
      <c r="B306" s="1" t="n">
        <v>43878</v>
      </c>
      <c r="C306" s="1" t="n">
        <v>45584</v>
      </c>
      <c r="D306" t="inlineStr">
        <is>
          <t>UPPSALA LÄN</t>
        </is>
      </c>
      <c r="E306" t="inlineStr">
        <is>
          <t>UPPSALA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9011-2020</t>
        </is>
      </c>
      <c r="B307" s="1" t="n">
        <v>43879</v>
      </c>
      <c r="C307" s="1" t="n">
        <v>45584</v>
      </c>
      <c r="D307" t="inlineStr">
        <is>
          <t>UPPSALA LÄN</t>
        </is>
      </c>
      <c r="E307" t="inlineStr">
        <is>
          <t>UPPSALA</t>
        </is>
      </c>
      <c r="F307" t="inlineStr">
        <is>
          <t>Övriga statliga verk och myndigheter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9084-2020</t>
        </is>
      </c>
      <c r="B308" s="1" t="n">
        <v>43879</v>
      </c>
      <c r="C308" s="1" t="n">
        <v>45584</v>
      </c>
      <c r="D308" t="inlineStr">
        <is>
          <t>UPPSALA LÄN</t>
        </is>
      </c>
      <c r="E308" t="inlineStr">
        <is>
          <t>UPPSALA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9257-2020</t>
        </is>
      </c>
      <c r="B309" s="1" t="n">
        <v>43879</v>
      </c>
      <c r="C309" s="1" t="n">
        <v>45584</v>
      </c>
      <c r="D309" t="inlineStr">
        <is>
          <t>UPPSALA LÄN</t>
        </is>
      </c>
      <c r="E309" t="inlineStr">
        <is>
          <t>UPPSALA</t>
        </is>
      </c>
      <c r="F309" t="inlineStr">
        <is>
          <t>Bergvik skog öst AB</t>
        </is>
      </c>
      <c r="G309" t="n">
        <v>5.8</v>
      </c>
      <c r="H309" t="n">
        <v>0</v>
      </c>
      <c r="I309" t="n">
        <v>0</v>
      </c>
      <c r="J309" t="n">
        <v>0</v>
      </c>
      <c r="K309" t="n">
        <v>0</v>
      </c>
      <c r="L309" t="n">
        <v>0</v>
      </c>
      <c r="M309" t="n">
        <v>0</v>
      </c>
      <c r="N309" t="n">
        <v>0</v>
      </c>
      <c r="O309" t="n">
        <v>0</v>
      </c>
      <c r="P309" t="n">
        <v>0</v>
      </c>
      <c r="Q309" t="n">
        <v>0</v>
      </c>
      <c r="R309" s="2" t="inlineStr"/>
    </row>
    <row r="310" ht="15" customHeight="1">
      <c r="A310" t="inlineStr">
        <is>
          <t>A 9658-2020</t>
        </is>
      </c>
      <c r="B310" s="1" t="n">
        <v>43881</v>
      </c>
      <c r="C310" s="1" t="n">
        <v>45584</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10003-2020</t>
        </is>
      </c>
      <c r="B311" s="1" t="n">
        <v>43882</v>
      </c>
      <c r="C311" s="1" t="n">
        <v>45584</v>
      </c>
      <c r="D311" t="inlineStr">
        <is>
          <t>UPPSALA LÄN</t>
        </is>
      </c>
      <c r="E311" t="inlineStr">
        <is>
          <t>UPPSALA</t>
        </is>
      </c>
      <c r="F311" t="inlineStr">
        <is>
          <t>Kyrkan</t>
        </is>
      </c>
      <c r="G311" t="n">
        <v>5.2</v>
      </c>
      <c r="H311" t="n">
        <v>0</v>
      </c>
      <c r="I311" t="n">
        <v>0</v>
      </c>
      <c r="J311" t="n">
        <v>0</v>
      </c>
      <c r="K311" t="n">
        <v>0</v>
      </c>
      <c r="L311" t="n">
        <v>0</v>
      </c>
      <c r="M311" t="n">
        <v>0</v>
      </c>
      <c r="N311" t="n">
        <v>0</v>
      </c>
      <c r="O311" t="n">
        <v>0</v>
      </c>
      <c r="P311" t="n">
        <v>0</v>
      </c>
      <c r="Q311" t="n">
        <v>0</v>
      </c>
      <c r="R311" s="2" t="inlineStr"/>
    </row>
    <row r="312" ht="15" customHeight="1">
      <c r="A312" t="inlineStr">
        <is>
          <t>A 9949-2020</t>
        </is>
      </c>
      <c r="B312" s="1" t="n">
        <v>43882</v>
      </c>
      <c r="C312" s="1" t="n">
        <v>45584</v>
      </c>
      <c r="D312" t="inlineStr">
        <is>
          <t>UPPSALA LÄN</t>
        </is>
      </c>
      <c r="E312" t="inlineStr">
        <is>
          <t>UPPSALA</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10033-2020</t>
        </is>
      </c>
      <c r="B313" s="1" t="n">
        <v>43882</v>
      </c>
      <c r="C313" s="1" t="n">
        <v>45584</v>
      </c>
      <c r="D313" t="inlineStr">
        <is>
          <t>UPPSALA LÄN</t>
        </is>
      </c>
      <c r="E313" t="inlineStr">
        <is>
          <t>UPPSALA</t>
        </is>
      </c>
      <c r="G313" t="n">
        <v>4.6</v>
      </c>
      <c r="H313" t="n">
        <v>0</v>
      </c>
      <c r="I313" t="n">
        <v>0</v>
      </c>
      <c r="J313" t="n">
        <v>0</v>
      </c>
      <c r="K313" t="n">
        <v>0</v>
      </c>
      <c r="L313" t="n">
        <v>0</v>
      </c>
      <c r="M313" t="n">
        <v>0</v>
      </c>
      <c r="N313" t="n">
        <v>0</v>
      </c>
      <c r="O313" t="n">
        <v>0</v>
      </c>
      <c r="P313" t="n">
        <v>0</v>
      </c>
      <c r="Q313" t="n">
        <v>0</v>
      </c>
      <c r="R313" s="2" t="inlineStr"/>
    </row>
    <row r="314" ht="15" customHeight="1">
      <c r="A314" t="inlineStr">
        <is>
          <t>A 10478-2020</t>
        </is>
      </c>
      <c r="B314" s="1" t="n">
        <v>43886</v>
      </c>
      <c r="C314" s="1" t="n">
        <v>45584</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11540-2020</t>
        </is>
      </c>
      <c r="B315" s="1" t="n">
        <v>43887</v>
      </c>
      <c r="C315" s="1" t="n">
        <v>45584</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11174-2020</t>
        </is>
      </c>
      <c r="B316" s="1" t="n">
        <v>43891</v>
      </c>
      <c r="C316" s="1" t="n">
        <v>45584</v>
      </c>
      <c r="D316" t="inlineStr">
        <is>
          <t>UPPSALA LÄN</t>
        </is>
      </c>
      <c r="E316" t="inlineStr">
        <is>
          <t>UPPSALA</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12626-2020</t>
        </is>
      </c>
      <c r="B317" s="1" t="n">
        <v>43892</v>
      </c>
      <c r="C317" s="1" t="n">
        <v>45584</v>
      </c>
      <c r="D317" t="inlineStr">
        <is>
          <t>UPPSALA LÄN</t>
        </is>
      </c>
      <c r="E317" t="inlineStr">
        <is>
          <t>UPPSALA</t>
        </is>
      </c>
      <c r="G317" t="n">
        <v>11.4</v>
      </c>
      <c r="H317" t="n">
        <v>0</v>
      </c>
      <c r="I317" t="n">
        <v>0</v>
      </c>
      <c r="J317" t="n">
        <v>0</v>
      </c>
      <c r="K317" t="n">
        <v>0</v>
      </c>
      <c r="L317" t="n">
        <v>0</v>
      </c>
      <c r="M317" t="n">
        <v>0</v>
      </c>
      <c r="N317" t="n">
        <v>0</v>
      </c>
      <c r="O317" t="n">
        <v>0</v>
      </c>
      <c r="P317" t="n">
        <v>0</v>
      </c>
      <c r="Q317" t="n">
        <v>0</v>
      </c>
      <c r="R317" s="2" t="inlineStr"/>
    </row>
    <row r="318" ht="15" customHeight="1">
      <c r="A318" t="inlineStr">
        <is>
          <t>A 11336-2020</t>
        </is>
      </c>
      <c r="B318" s="1" t="n">
        <v>43892</v>
      </c>
      <c r="C318" s="1" t="n">
        <v>45584</v>
      </c>
      <c r="D318" t="inlineStr">
        <is>
          <t>UPPSALA LÄN</t>
        </is>
      </c>
      <c r="E318" t="inlineStr">
        <is>
          <t>UPPSALA</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11320-2020</t>
        </is>
      </c>
      <c r="B319" s="1" t="n">
        <v>43892</v>
      </c>
      <c r="C319" s="1" t="n">
        <v>45584</v>
      </c>
      <c r="D319" t="inlineStr">
        <is>
          <t>UPPSALA LÄN</t>
        </is>
      </c>
      <c r="E319" t="inlineStr">
        <is>
          <t>UPPSALA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12028-2020</t>
        </is>
      </c>
      <c r="B320" s="1" t="n">
        <v>43894</v>
      </c>
      <c r="C320" s="1" t="n">
        <v>45584</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12055-2020</t>
        </is>
      </c>
      <c r="B321" s="1" t="n">
        <v>43894</v>
      </c>
      <c r="C321" s="1" t="n">
        <v>45584</v>
      </c>
      <c r="D321" t="inlineStr">
        <is>
          <t>UPPSALA LÄN</t>
        </is>
      </c>
      <c r="E321" t="inlineStr">
        <is>
          <t>UPPSALA</t>
        </is>
      </c>
      <c r="G321" t="n">
        <v>6.2</v>
      </c>
      <c r="H321" t="n">
        <v>0</v>
      </c>
      <c r="I321" t="n">
        <v>0</v>
      </c>
      <c r="J321" t="n">
        <v>0</v>
      </c>
      <c r="K321" t="n">
        <v>0</v>
      </c>
      <c r="L321" t="n">
        <v>0</v>
      </c>
      <c r="M321" t="n">
        <v>0</v>
      </c>
      <c r="N321" t="n">
        <v>0</v>
      </c>
      <c r="O321" t="n">
        <v>0</v>
      </c>
      <c r="P321" t="n">
        <v>0</v>
      </c>
      <c r="Q321" t="n">
        <v>0</v>
      </c>
      <c r="R321" s="2" t="inlineStr"/>
    </row>
    <row r="322" ht="15" customHeight="1">
      <c r="A322" t="inlineStr">
        <is>
          <t>A 12848-2020</t>
        </is>
      </c>
      <c r="B322" s="1" t="n">
        <v>43899</v>
      </c>
      <c r="C322" s="1" t="n">
        <v>45584</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12781-2020</t>
        </is>
      </c>
      <c r="B323" s="1" t="n">
        <v>43899</v>
      </c>
      <c r="C323" s="1" t="n">
        <v>45584</v>
      </c>
      <c r="D323" t="inlineStr">
        <is>
          <t>UPPSALA LÄN</t>
        </is>
      </c>
      <c r="E323" t="inlineStr">
        <is>
          <t>UPPSALA</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13636-2020</t>
        </is>
      </c>
      <c r="B324" s="1" t="n">
        <v>43903</v>
      </c>
      <c r="C324" s="1" t="n">
        <v>45584</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14469-2020</t>
        </is>
      </c>
      <c r="B325" s="1" t="n">
        <v>43908</v>
      </c>
      <c r="C325" s="1" t="n">
        <v>45584</v>
      </c>
      <c r="D325" t="inlineStr">
        <is>
          <t>UPPSALA LÄN</t>
        </is>
      </c>
      <c r="E325" t="inlineStr">
        <is>
          <t>UPPSALA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14423-2020</t>
        </is>
      </c>
      <c r="B326" s="1" t="n">
        <v>43908</v>
      </c>
      <c r="C326" s="1" t="n">
        <v>45584</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14472-2020</t>
        </is>
      </c>
      <c r="B327" s="1" t="n">
        <v>43908</v>
      </c>
      <c r="C327" s="1" t="n">
        <v>45584</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14427-2020</t>
        </is>
      </c>
      <c r="B328" s="1" t="n">
        <v>43908</v>
      </c>
      <c r="C328" s="1" t="n">
        <v>45584</v>
      </c>
      <c r="D328" t="inlineStr">
        <is>
          <t>UPPSALA LÄN</t>
        </is>
      </c>
      <c r="E328" t="inlineStr">
        <is>
          <t>UPPSALA</t>
        </is>
      </c>
      <c r="F328" t="inlineStr">
        <is>
          <t>Bergvik skog öst AB</t>
        </is>
      </c>
      <c r="G328" t="n">
        <v>0.9</v>
      </c>
      <c r="H328" t="n">
        <v>0</v>
      </c>
      <c r="I328" t="n">
        <v>0</v>
      </c>
      <c r="J328" t="n">
        <v>0</v>
      </c>
      <c r="K328" t="n">
        <v>0</v>
      </c>
      <c r="L328" t="n">
        <v>0</v>
      </c>
      <c r="M328" t="n">
        <v>0</v>
      </c>
      <c r="N328" t="n">
        <v>0</v>
      </c>
      <c r="O328" t="n">
        <v>0</v>
      </c>
      <c r="P328" t="n">
        <v>0</v>
      </c>
      <c r="Q328" t="n">
        <v>0</v>
      </c>
      <c r="R328" s="2" t="inlineStr"/>
    </row>
    <row r="329" ht="15" customHeight="1">
      <c r="A329" t="inlineStr">
        <is>
          <t>A 15344-2020</t>
        </is>
      </c>
      <c r="B329" s="1" t="n">
        <v>43913</v>
      </c>
      <c r="C329" s="1" t="n">
        <v>45584</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18106-2020</t>
        </is>
      </c>
      <c r="B330" s="1" t="n">
        <v>43927</v>
      </c>
      <c r="C330" s="1" t="n">
        <v>45584</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18114-2020</t>
        </is>
      </c>
      <c r="B331" s="1" t="n">
        <v>43927</v>
      </c>
      <c r="C331" s="1" t="n">
        <v>45584</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18469-2020</t>
        </is>
      </c>
      <c r="B332" s="1" t="n">
        <v>43929</v>
      </c>
      <c r="C332" s="1" t="n">
        <v>45584</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19210-2020</t>
        </is>
      </c>
      <c r="B333" s="1" t="n">
        <v>43937</v>
      </c>
      <c r="C333" s="1" t="n">
        <v>45584</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20218-2020</t>
        </is>
      </c>
      <c r="B334" s="1" t="n">
        <v>43944</v>
      </c>
      <c r="C334" s="1" t="n">
        <v>45584</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20506-2020</t>
        </is>
      </c>
      <c r="B335" s="1" t="n">
        <v>43948</v>
      </c>
      <c r="C335" s="1" t="n">
        <v>45584</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20490-2020</t>
        </is>
      </c>
      <c r="B336" s="1" t="n">
        <v>43948</v>
      </c>
      <c r="C336" s="1" t="n">
        <v>45584</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20960-2020</t>
        </is>
      </c>
      <c r="B337" s="1" t="n">
        <v>43950</v>
      </c>
      <c r="C337" s="1" t="n">
        <v>45584</v>
      </c>
      <c r="D337" t="inlineStr">
        <is>
          <t>UPPSALA LÄN</t>
        </is>
      </c>
      <c r="E337" t="inlineStr">
        <is>
          <t>UPPSALA</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24300-2020</t>
        </is>
      </c>
      <c r="B338" s="1" t="n">
        <v>43973</v>
      </c>
      <c r="C338" s="1" t="n">
        <v>45584</v>
      </c>
      <c r="D338" t="inlineStr">
        <is>
          <t>UPPSALA LÄN</t>
        </is>
      </c>
      <c r="E338" t="inlineStr">
        <is>
          <t>UPPSALA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24287-2020</t>
        </is>
      </c>
      <c r="B339" s="1" t="n">
        <v>43976</v>
      </c>
      <c r="C339" s="1" t="n">
        <v>45584</v>
      </c>
      <c r="D339" t="inlineStr">
        <is>
          <t>UPPSALA LÄN</t>
        </is>
      </c>
      <c r="E339" t="inlineStr">
        <is>
          <t>UPPSALA</t>
        </is>
      </c>
      <c r="G339" t="n">
        <v>1</v>
      </c>
      <c r="H339" t="n">
        <v>0</v>
      </c>
      <c r="I339" t="n">
        <v>0</v>
      </c>
      <c r="J339" t="n">
        <v>0</v>
      </c>
      <c r="K339" t="n">
        <v>0</v>
      </c>
      <c r="L339" t="n">
        <v>0</v>
      </c>
      <c r="M339" t="n">
        <v>0</v>
      </c>
      <c r="N339" t="n">
        <v>0</v>
      </c>
      <c r="O339" t="n">
        <v>0</v>
      </c>
      <c r="P339" t="n">
        <v>0</v>
      </c>
      <c r="Q339" t="n">
        <v>0</v>
      </c>
      <c r="R339" s="2" t="inlineStr"/>
    </row>
    <row r="340" ht="15" customHeight="1">
      <c r="A340" t="inlineStr">
        <is>
          <t>A 25798-2020</t>
        </is>
      </c>
      <c r="B340" s="1" t="n">
        <v>43984</v>
      </c>
      <c r="C340" s="1" t="n">
        <v>45584</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26488-2020</t>
        </is>
      </c>
      <c r="B341" s="1" t="n">
        <v>43987</v>
      </c>
      <c r="C341" s="1" t="n">
        <v>45584</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26492-2020</t>
        </is>
      </c>
      <c r="B342" s="1" t="n">
        <v>43987</v>
      </c>
      <c r="C342" s="1" t="n">
        <v>45584</v>
      </c>
      <c r="D342" t="inlineStr">
        <is>
          <t>UPPSALA LÄN</t>
        </is>
      </c>
      <c r="E342" t="inlineStr">
        <is>
          <t>UPPSALA</t>
        </is>
      </c>
      <c r="G342" t="n">
        <v>9.5</v>
      </c>
      <c r="H342" t="n">
        <v>0</v>
      </c>
      <c r="I342" t="n">
        <v>0</v>
      </c>
      <c r="J342" t="n">
        <v>0</v>
      </c>
      <c r="K342" t="n">
        <v>0</v>
      </c>
      <c r="L342" t="n">
        <v>0</v>
      </c>
      <c r="M342" t="n">
        <v>0</v>
      </c>
      <c r="N342" t="n">
        <v>0</v>
      </c>
      <c r="O342" t="n">
        <v>0</v>
      </c>
      <c r="P342" t="n">
        <v>0</v>
      </c>
      <c r="Q342" t="n">
        <v>0</v>
      </c>
      <c r="R342" s="2" t="inlineStr"/>
    </row>
    <row r="343" ht="15" customHeight="1">
      <c r="A343" t="inlineStr">
        <is>
          <t>A 26856-2020</t>
        </is>
      </c>
      <c r="B343" s="1" t="n">
        <v>43990</v>
      </c>
      <c r="C343" s="1" t="n">
        <v>45584</v>
      </c>
      <c r="D343" t="inlineStr">
        <is>
          <t>UPPSALA LÄN</t>
        </is>
      </c>
      <c r="E343" t="inlineStr">
        <is>
          <t>UPPSALA</t>
        </is>
      </c>
      <c r="G343" t="n">
        <v>1.5</v>
      </c>
      <c r="H343" t="n">
        <v>0</v>
      </c>
      <c r="I343" t="n">
        <v>0</v>
      </c>
      <c r="J343" t="n">
        <v>0</v>
      </c>
      <c r="K343" t="n">
        <v>0</v>
      </c>
      <c r="L343" t="n">
        <v>0</v>
      </c>
      <c r="M343" t="n">
        <v>0</v>
      </c>
      <c r="N343" t="n">
        <v>0</v>
      </c>
      <c r="O343" t="n">
        <v>0</v>
      </c>
      <c r="P343" t="n">
        <v>0</v>
      </c>
      <c r="Q343" t="n">
        <v>0</v>
      </c>
      <c r="R343" s="2" t="inlineStr"/>
    </row>
    <row r="344" ht="15" customHeight="1">
      <c r="A344" t="inlineStr">
        <is>
          <t>A 28565-2020</t>
        </is>
      </c>
      <c r="B344" s="1" t="n">
        <v>43999</v>
      </c>
      <c r="C344" s="1" t="n">
        <v>45584</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28514-2020</t>
        </is>
      </c>
      <c r="B345" s="1" t="n">
        <v>43999</v>
      </c>
      <c r="C345" s="1" t="n">
        <v>45584</v>
      </c>
      <c r="D345" t="inlineStr">
        <is>
          <t>UPPSALA LÄN</t>
        </is>
      </c>
      <c r="E345" t="inlineStr">
        <is>
          <t>UPPSALA</t>
        </is>
      </c>
      <c r="G345" t="n">
        <v>3.6</v>
      </c>
      <c r="H345" t="n">
        <v>0</v>
      </c>
      <c r="I345" t="n">
        <v>0</v>
      </c>
      <c r="J345" t="n">
        <v>0</v>
      </c>
      <c r="K345" t="n">
        <v>0</v>
      </c>
      <c r="L345" t="n">
        <v>0</v>
      </c>
      <c r="M345" t="n">
        <v>0</v>
      </c>
      <c r="N345" t="n">
        <v>0</v>
      </c>
      <c r="O345" t="n">
        <v>0</v>
      </c>
      <c r="P345" t="n">
        <v>0</v>
      </c>
      <c r="Q345" t="n">
        <v>0</v>
      </c>
      <c r="R345" s="2" t="inlineStr"/>
    </row>
    <row r="346" ht="15" customHeight="1">
      <c r="A346" t="inlineStr">
        <is>
          <t>A 28993-2020</t>
        </is>
      </c>
      <c r="B346" s="1" t="n">
        <v>44000</v>
      </c>
      <c r="C346" s="1" t="n">
        <v>45584</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29034-2020</t>
        </is>
      </c>
      <c r="B347" s="1" t="n">
        <v>44000</v>
      </c>
      <c r="C347" s="1" t="n">
        <v>45584</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30196-2020</t>
        </is>
      </c>
      <c r="B348" s="1" t="n">
        <v>44007</v>
      </c>
      <c r="C348" s="1" t="n">
        <v>45584</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30208-2020</t>
        </is>
      </c>
      <c r="B349" s="1" t="n">
        <v>44007</v>
      </c>
      <c r="C349" s="1" t="n">
        <v>45584</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31219-2020</t>
        </is>
      </c>
      <c r="B350" s="1" t="n">
        <v>44012</v>
      </c>
      <c r="C350" s="1" t="n">
        <v>45584</v>
      </c>
      <c r="D350" t="inlineStr">
        <is>
          <t>UPPSALA LÄN</t>
        </is>
      </c>
      <c r="E350" t="inlineStr">
        <is>
          <t>UPPSALA</t>
        </is>
      </c>
      <c r="F350" t="inlineStr">
        <is>
          <t>Bergvik skog öst AB</t>
        </is>
      </c>
      <c r="G350" t="n">
        <v>7.4</v>
      </c>
      <c r="H350" t="n">
        <v>0</v>
      </c>
      <c r="I350" t="n">
        <v>0</v>
      </c>
      <c r="J350" t="n">
        <v>0</v>
      </c>
      <c r="K350" t="n">
        <v>0</v>
      </c>
      <c r="L350" t="n">
        <v>0</v>
      </c>
      <c r="M350" t="n">
        <v>0</v>
      </c>
      <c r="N350" t="n">
        <v>0</v>
      </c>
      <c r="O350" t="n">
        <v>0</v>
      </c>
      <c r="P350" t="n">
        <v>0</v>
      </c>
      <c r="Q350" t="n">
        <v>0</v>
      </c>
      <c r="R350" s="2" t="inlineStr"/>
    </row>
    <row r="351" ht="15" customHeight="1">
      <c r="A351" t="inlineStr">
        <is>
          <t>A 31430-2020</t>
        </is>
      </c>
      <c r="B351" s="1" t="n">
        <v>44013</v>
      </c>
      <c r="C351" s="1" t="n">
        <v>45584</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31932-2020</t>
        </is>
      </c>
      <c r="B352" s="1" t="n">
        <v>44014</v>
      </c>
      <c r="C352" s="1" t="n">
        <v>45584</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32235-2020</t>
        </is>
      </c>
      <c r="B353" s="1" t="n">
        <v>44015</v>
      </c>
      <c r="C353" s="1" t="n">
        <v>45584</v>
      </c>
      <c r="D353" t="inlineStr">
        <is>
          <t>UPPSALA LÄN</t>
        </is>
      </c>
      <c r="E353" t="inlineStr">
        <is>
          <t>UPPSALA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32340-2020</t>
        </is>
      </c>
      <c r="B354" s="1" t="n">
        <v>44016</v>
      </c>
      <c r="C354" s="1" t="n">
        <v>45584</v>
      </c>
      <c r="D354" t="inlineStr">
        <is>
          <t>UPPSALA LÄN</t>
        </is>
      </c>
      <c r="E354" t="inlineStr">
        <is>
          <t>UPPSALA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32608-2020</t>
        </is>
      </c>
      <c r="B355" s="1" t="n">
        <v>44019</v>
      </c>
      <c r="C355" s="1" t="n">
        <v>45584</v>
      </c>
      <c r="D355" t="inlineStr">
        <is>
          <t>UPPSALA LÄN</t>
        </is>
      </c>
      <c r="E355" t="inlineStr">
        <is>
          <t>UPPSALA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33658-2020</t>
        </is>
      </c>
      <c r="B356" s="1" t="n">
        <v>44026</v>
      </c>
      <c r="C356" s="1" t="n">
        <v>45584</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34205-2020</t>
        </is>
      </c>
      <c r="B357" s="1" t="n">
        <v>44029</v>
      </c>
      <c r="C357" s="1" t="n">
        <v>45584</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34565-2020</t>
        </is>
      </c>
      <c r="B358" s="1" t="n">
        <v>44033</v>
      </c>
      <c r="C358" s="1" t="n">
        <v>45584</v>
      </c>
      <c r="D358" t="inlineStr">
        <is>
          <t>UPPSALA LÄN</t>
        </is>
      </c>
      <c r="E358" t="inlineStr">
        <is>
          <t>UPPSALA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34753-2020</t>
        </is>
      </c>
      <c r="B359" s="1" t="n">
        <v>44035</v>
      </c>
      <c r="C359" s="1" t="n">
        <v>45584</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34749-2020</t>
        </is>
      </c>
      <c r="B360" s="1" t="n">
        <v>44035</v>
      </c>
      <c r="C360" s="1" t="n">
        <v>45584</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35281-2020</t>
        </is>
      </c>
      <c r="B361" s="1" t="n">
        <v>44041</v>
      </c>
      <c r="C361" s="1" t="n">
        <v>45584</v>
      </c>
      <c r="D361" t="inlineStr">
        <is>
          <t>UPPSALA LÄN</t>
        </is>
      </c>
      <c r="E361" t="inlineStr">
        <is>
          <t>UPPSALA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36035-2020</t>
        </is>
      </c>
      <c r="B362" s="1" t="n">
        <v>44048</v>
      </c>
      <c r="C362" s="1" t="n">
        <v>45584</v>
      </c>
      <c r="D362" t="inlineStr">
        <is>
          <t>UPPSALA LÄN</t>
        </is>
      </c>
      <c r="E362" t="inlineStr">
        <is>
          <t>UPPSALA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36202-2020</t>
        </is>
      </c>
      <c r="B363" s="1" t="n">
        <v>44048</v>
      </c>
      <c r="C363" s="1" t="n">
        <v>45584</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36198-2020</t>
        </is>
      </c>
      <c r="B364" s="1" t="n">
        <v>44048</v>
      </c>
      <c r="C364" s="1" t="n">
        <v>45584</v>
      </c>
      <c r="D364" t="inlineStr">
        <is>
          <t>UPPSALA LÄN</t>
        </is>
      </c>
      <c r="E364" t="inlineStr">
        <is>
          <t>UPPSALA</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36350-2020</t>
        </is>
      </c>
      <c r="B365" s="1" t="n">
        <v>44049</v>
      </c>
      <c r="C365" s="1" t="n">
        <v>45584</v>
      </c>
      <c r="D365" t="inlineStr">
        <is>
          <t>UPPSALA LÄN</t>
        </is>
      </c>
      <c r="E365" t="inlineStr">
        <is>
          <t>UPPSALA</t>
        </is>
      </c>
      <c r="G365" t="n">
        <v>1.9</v>
      </c>
      <c r="H365" t="n">
        <v>0</v>
      </c>
      <c r="I365" t="n">
        <v>0</v>
      </c>
      <c r="J365" t="n">
        <v>0</v>
      </c>
      <c r="K365" t="n">
        <v>0</v>
      </c>
      <c r="L365" t="n">
        <v>0</v>
      </c>
      <c r="M365" t="n">
        <v>0</v>
      </c>
      <c r="N365" t="n">
        <v>0</v>
      </c>
      <c r="O365" t="n">
        <v>0</v>
      </c>
      <c r="P365" t="n">
        <v>0</v>
      </c>
      <c r="Q365" t="n">
        <v>0</v>
      </c>
      <c r="R365" s="2" t="inlineStr"/>
    </row>
    <row r="366" ht="15" customHeight="1">
      <c r="A366" t="inlineStr">
        <is>
          <t>A 36512-2020</t>
        </is>
      </c>
      <c r="B366" s="1" t="n">
        <v>44050</v>
      </c>
      <c r="C366" s="1" t="n">
        <v>45584</v>
      </c>
      <c r="D366" t="inlineStr">
        <is>
          <t>UPPSALA LÄN</t>
        </is>
      </c>
      <c r="E366" t="inlineStr">
        <is>
          <t>UPPSALA</t>
        </is>
      </c>
      <c r="G366" t="n">
        <v>5.8</v>
      </c>
      <c r="H366" t="n">
        <v>0</v>
      </c>
      <c r="I366" t="n">
        <v>0</v>
      </c>
      <c r="J366" t="n">
        <v>0</v>
      </c>
      <c r="K366" t="n">
        <v>0</v>
      </c>
      <c r="L366" t="n">
        <v>0</v>
      </c>
      <c r="M366" t="n">
        <v>0</v>
      </c>
      <c r="N366" t="n">
        <v>0</v>
      </c>
      <c r="O366" t="n">
        <v>0</v>
      </c>
      <c r="P366" t="n">
        <v>0</v>
      </c>
      <c r="Q366" t="n">
        <v>0</v>
      </c>
      <c r="R366" s="2" t="inlineStr"/>
    </row>
    <row r="367" ht="15" customHeight="1">
      <c r="A367" t="inlineStr">
        <is>
          <t>A 37276-2020</t>
        </is>
      </c>
      <c r="B367" s="1" t="n">
        <v>44055</v>
      </c>
      <c r="C367" s="1" t="n">
        <v>45584</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37669-2020</t>
        </is>
      </c>
      <c r="B368" s="1" t="n">
        <v>44056</v>
      </c>
      <c r="C368" s="1" t="n">
        <v>45584</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39233-2020</t>
        </is>
      </c>
      <c r="B369" s="1" t="n">
        <v>44063</v>
      </c>
      <c r="C369" s="1" t="n">
        <v>45584</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39178-2020</t>
        </is>
      </c>
      <c r="B370" s="1" t="n">
        <v>44063</v>
      </c>
      <c r="C370" s="1" t="n">
        <v>45584</v>
      </c>
      <c r="D370" t="inlineStr">
        <is>
          <t>UPPSALA LÄN</t>
        </is>
      </c>
      <c r="E370" t="inlineStr">
        <is>
          <t>UPPSALA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39236-2020</t>
        </is>
      </c>
      <c r="B371" s="1" t="n">
        <v>44063</v>
      </c>
      <c r="C371" s="1" t="n">
        <v>45584</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39272-2020</t>
        </is>
      </c>
      <c r="B372" s="1" t="n">
        <v>44063</v>
      </c>
      <c r="C372" s="1" t="n">
        <v>45584</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40894-2020</t>
        </is>
      </c>
      <c r="B373" s="1" t="n">
        <v>44070</v>
      </c>
      <c r="C373" s="1" t="n">
        <v>45584</v>
      </c>
      <c r="D373" t="inlineStr">
        <is>
          <t>UPPSALA LÄN</t>
        </is>
      </c>
      <c r="E373" t="inlineStr">
        <is>
          <t>UPPSALA</t>
        </is>
      </c>
      <c r="G373" t="n">
        <v>7.1</v>
      </c>
      <c r="H373" t="n">
        <v>0</v>
      </c>
      <c r="I373" t="n">
        <v>0</v>
      </c>
      <c r="J373" t="n">
        <v>0</v>
      </c>
      <c r="K373" t="n">
        <v>0</v>
      </c>
      <c r="L373" t="n">
        <v>0</v>
      </c>
      <c r="M373" t="n">
        <v>0</v>
      </c>
      <c r="N373" t="n">
        <v>0</v>
      </c>
      <c r="O373" t="n">
        <v>0</v>
      </c>
      <c r="P373" t="n">
        <v>0</v>
      </c>
      <c r="Q373" t="n">
        <v>0</v>
      </c>
      <c r="R373" s="2" t="inlineStr"/>
    </row>
    <row r="374" ht="15" customHeight="1">
      <c r="A374" t="inlineStr">
        <is>
          <t>A 42341-2020</t>
        </is>
      </c>
      <c r="B374" s="1" t="n">
        <v>44076</v>
      </c>
      <c r="C374" s="1" t="n">
        <v>45584</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43968-2020</t>
        </is>
      </c>
      <c r="B375" s="1" t="n">
        <v>44083</v>
      </c>
      <c r="C375" s="1" t="n">
        <v>45584</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45930-2020</t>
        </is>
      </c>
      <c r="B376" s="1" t="n">
        <v>44091</v>
      </c>
      <c r="C376" s="1" t="n">
        <v>45584</v>
      </c>
      <c r="D376" t="inlineStr">
        <is>
          <t>UPPSALA LÄN</t>
        </is>
      </c>
      <c r="E376" t="inlineStr">
        <is>
          <t>UPPSALA</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46633-2020</t>
        </is>
      </c>
      <c r="B377" s="1" t="n">
        <v>44095</v>
      </c>
      <c r="C377" s="1" t="n">
        <v>45584</v>
      </c>
      <c r="D377" t="inlineStr">
        <is>
          <t>UPPSALA LÄN</t>
        </is>
      </c>
      <c r="E377" t="inlineStr">
        <is>
          <t>UPPSALA</t>
        </is>
      </c>
      <c r="G377" t="n">
        <v>4.2</v>
      </c>
      <c r="H377" t="n">
        <v>0</v>
      </c>
      <c r="I377" t="n">
        <v>0</v>
      </c>
      <c r="J377" t="n">
        <v>0</v>
      </c>
      <c r="K377" t="n">
        <v>0</v>
      </c>
      <c r="L377" t="n">
        <v>0</v>
      </c>
      <c r="M377" t="n">
        <v>0</v>
      </c>
      <c r="N377" t="n">
        <v>0</v>
      </c>
      <c r="O377" t="n">
        <v>0</v>
      </c>
      <c r="P377" t="n">
        <v>0</v>
      </c>
      <c r="Q377" t="n">
        <v>0</v>
      </c>
      <c r="R377" s="2" t="inlineStr"/>
    </row>
    <row r="378" ht="15" customHeight="1">
      <c r="A378" t="inlineStr">
        <is>
          <t>A 46647-2020</t>
        </is>
      </c>
      <c r="B378" s="1" t="n">
        <v>44095</v>
      </c>
      <c r="C378" s="1" t="n">
        <v>45584</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48786-2020</t>
        </is>
      </c>
      <c r="B379" s="1" t="n">
        <v>44103</v>
      </c>
      <c r="C379" s="1" t="n">
        <v>45584</v>
      </c>
      <c r="D379" t="inlineStr">
        <is>
          <t>UPPSALA LÄN</t>
        </is>
      </c>
      <c r="E379" t="inlineStr">
        <is>
          <t>UPPSALA</t>
        </is>
      </c>
      <c r="G379" t="n">
        <v>0.4</v>
      </c>
      <c r="H379" t="n">
        <v>0</v>
      </c>
      <c r="I379" t="n">
        <v>0</v>
      </c>
      <c r="J379" t="n">
        <v>0</v>
      </c>
      <c r="K379" t="n">
        <v>0</v>
      </c>
      <c r="L379" t="n">
        <v>0</v>
      </c>
      <c r="M379" t="n">
        <v>0</v>
      </c>
      <c r="N379" t="n">
        <v>0</v>
      </c>
      <c r="O379" t="n">
        <v>0</v>
      </c>
      <c r="P379" t="n">
        <v>0</v>
      </c>
      <c r="Q379" t="n">
        <v>0</v>
      </c>
      <c r="R379" s="2" t="inlineStr"/>
    </row>
    <row r="380" ht="15" customHeight="1">
      <c r="A380" t="inlineStr">
        <is>
          <t>A 49363-2020</t>
        </is>
      </c>
      <c r="B380" s="1" t="n">
        <v>44105</v>
      </c>
      <c r="C380" s="1" t="n">
        <v>45584</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49409-2020</t>
        </is>
      </c>
      <c r="B381" s="1" t="n">
        <v>44105</v>
      </c>
      <c r="C381" s="1" t="n">
        <v>45584</v>
      </c>
      <c r="D381" t="inlineStr">
        <is>
          <t>UPPSALA LÄN</t>
        </is>
      </c>
      <c r="E381" t="inlineStr">
        <is>
          <t>UPPSALA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49404-2020</t>
        </is>
      </c>
      <c r="B382" s="1" t="n">
        <v>44105</v>
      </c>
      <c r="C382" s="1" t="n">
        <v>45584</v>
      </c>
      <c r="D382" t="inlineStr">
        <is>
          <t>UPPSALA LÄN</t>
        </is>
      </c>
      <c r="E382" t="inlineStr">
        <is>
          <t>UPPSALA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49821-2020</t>
        </is>
      </c>
      <c r="B383" s="1" t="n">
        <v>44106</v>
      </c>
      <c r="C383" s="1" t="n">
        <v>45584</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45584</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52717-2020</t>
        </is>
      </c>
      <c r="B385" s="1" t="n">
        <v>44119</v>
      </c>
      <c r="C385" s="1" t="n">
        <v>45584</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53346-2020</t>
        </is>
      </c>
      <c r="B386" s="1" t="n">
        <v>44123</v>
      </c>
      <c r="C386" s="1" t="n">
        <v>45584</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53379-2020</t>
        </is>
      </c>
      <c r="B387" s="1" t="n">
        <v>44123</v>
      </c>
      <c r="C387" s="1" t="n">
        <v>45584</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45584</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55220-2020</t>
        </is>
      </c>
      <c r="B389" s="1" t="n">
        <v>44130</v>
      </c>
      <c r="C389" s="1" t="n">
        <v>45584</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45584</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56097-2020</t>
        </is>
      </c>
      <c r="B391" s="1" t="n">
        <v>44131</v>
      </c>
      <c r="C391" s="1" t="n">
        <v>45584</v>
      </c>
      <c r="D391" t="inlineStr">
        <is>
          <t>UPPSALA LÄN</t>
        </is>
      </c>
      <c r="E391" t="inlineStr">
        <is>
          <t>UPPSALA</t>
        </is>
      </c>
      <c r="F391" t="inlineStr">
        <is>
          <t>Allmännings- och besparingsskogar</t>
        </is>
      </c>
      <c r="G391" t="n">
        <v>10.6</v>
      </c>
      <c r="H391" t="n">
        <v>0</v>
      </c>
      <c r="I391" t="n">
        <v>0</v>
      </c>
      <c r="J391" t="n">
        <v>0</v>
      </c>
      <c r="K391" t="n">
        <v>0</v>
      </c>
      <c r="L391" t="n">
        <v>0</v>
      </c>
      <c r="M391" t="n">
        <v>0</v>
      </c>
      <c r="N391" t="n">
        <v>0</v>
      </c>
      <c r="O391" t="n">
        <v>0</v>
      </c>
      <c r="P391" t="n">
        <v>0</v>
      </c>
      <c r="Q391" t="n">
        <v>0</v>
      </c>
      <c r="R391" s="2" t="inlineStr"/>
    </row>
    <row r="392" ht="15" customHeight="1">
      <c r="A392" t="inlineStr">
        <is>
          <t>A 56466-2020</t>
        </is>
      </c>
      <c r="B392" s="1" t="n">
        <v>44134</v>
      </c>
      <c r="C392" s="1" t="n">
        <v>45584</v>
      </c>
      <c r="D392" t="inlineStr">
        <is>
          <t>UPPSALA LÄN</t>
        </is>
      </c>
      <c r="E392" t="inlineStr">
        <is>
          <t>UPPSALA</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57041-2020</t>
        </is>
      </c>
      <c r="B393" s="1" t="n">
        <v>44137</v>
      </c>
      <c r="C393" s="1" t="n">
        <v>45584</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57271-2020</t>
        </is>
      </c>
      <c r="B394" s="1" t="n">
        <v>44139</v>
      </c>
      <c r="C394" s="1" t="n">
        <v>45584</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57451-2020</t>
        </is>
      </c>
      <c r="B395" s="1" t="n">
        <v>44139</v>
      </c>
      <c r="C395" s="1" t="n">
        <v>45584</v>
      </c>
      <c r="D395" t="inlineStr">
        <is>
          <t>UPPSALA LÄN</t>
        </is>
      </c>
      <c r="E395" t="inlineStr">
        <is>
          <t>UPPSALA</t>
        </is>
      </c>
      <c r="G395" t="n">
        <v>1.5</v>
      </c>
      <c r="H395" t="n">
        <v>0</v>
      </c>
      <c r="I395" t="n">
        <v>0</v>
      </c>
      <c r="J395" t="n">
        <v>0</v>
      </c>
      <c r="K395" t="n">
        <v>0</v>
      </c>
      <c r="L395" t="n">
        <v>0</v>
      </c>
      <c r="M395" t="n">
        <v>0</v>
      </c>
      <c r="N395" t="n">
        <v>0</v>
      </c>
      <c r="O395" t="n">
        <v>0</v>
      </c>
      <c r="P395" t="n">
        <v>0</v>
      </c>
      <c r="Q395" t="n">
        <v>0</v>
      </c>
      <c r="R395" s="2" t="inlineStr"/>
    </row>
    <row r="396" ht="15" customHeight="1">
      <c r="A396" t="inlineStr">
        <is>
          <t>A 57466-2020</t>
        </is>
      </c>
      <c r="B396" s="1" t="n">
        <v>44139</v>
      </c>
      <c r="C396" s="1" t="n">
        <v>45584</v>
      </c>
      <c r="D396" t="inlineStr">
        <is>
          <t>UPPSALA LÄN</t>
        </is>
      </c>
      <c r="E396" t="inlineStr">
        <is>
          <t>UPPSALA</t>
        </is>
      </c>
      <c r="G396" t="n">
        <v>2.5</v>
      </c>
      <c r="H396" t="n">
        <v>0</v>
      </c>
      <c r="I396" t="n">
        <v>0</v>
      </c>
      <c r="J396" t="n">
        <v>0</v>
      </c>
      <c r="K396" t="n">
        <v>0</v>
      </c>
      <c r="L396" t="n">
        <v>0</v>
      </c>
      <c r="M396" t="n">
        <v>0</v>
      </c>
      <c r="N396" t="n">
        <v>0</v>
      </c>
      <c r="O396" t="n">
        <v>0</v>
      </c>
      <c r="P396" t="n">
        <v>0</v>
      </c>
      <c r="Q396" t="n">
        <v>0</v>
      </c>
      <c r="R396" s="2" t="inlineStr"/>
    </row>
    <row r="397" ht="15" customHeight="1">
      <c r="A397" t="inlineStr">
        <is>
          <t>A 58070-2020</t>
        </is>
      </c>
      <c r="B397" s="1" t="n">
        <v>44140</v>
      </c>
      <c r="C397" s="1" t="n">
        <v>45584</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58058-2020</t>
        </is>
      </c>
      <c r="B398" s="1" t="n">
        <v>44144</v>
      </c>
      <c r="C398" s="1" t="n">
        <v>45584</v>
      </c>
      <c r="D398" t="inlineStr">
        <is>
          <t>UPPSALA LÄN</t>
        </is>
      </c>
      <c r="E398" t="inlineStr">
        <is>
          <t>UPPSALA</t>
        </is>
      </c>
      <c r="G398" t="n">
        <v>4.4</v>
      </c>
      <c r="H398" t="n">
        <v>0</v>
      </c>
      <c r="I398" t="n">
        <v>0</v>
      </c>
      <c r="J398" t="n">
        <v>0</v>
      </c>
      <c r="K398" t="n">
        <v>0</v>
      </c>
      <c r="L398" t="n">
        <v>0</v>
      </c>
      <c r="M398" t="n">
        <v>0</v>
      </c>
      <c r="N398" t="n">
        <v>0</v>
      </c>
      <c r="O398" t="n">
        <v>0</v>
      </c>
      <c r="P398" t="n">
        <v>0</v>
      </c>
      <c r="Q398" t="n">
        <v>0</v>
      </c>
      <c r="R398" s="2" t="inlineStr"/>
    </row>
    <row r="399" ht="15" customHeight="1">
      <c r="A399" t="inlineStr">
        <is>
          <t>A 58056-2020</t>
        </is>
      </c>
      <c r="B399" s="1" t="n">
        <v>44144</v>
      </c>
      <c r="C399" s="1" t="n">
        <v>45584</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45584</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58928-2020</t>
        </is>
      </c>
      <c r="B401" s="1" t="n">
        <v>44146</v>
      </c>
      <c r="C401" s="1" t="n">
        <v>45584</v>
      </c>
      <c r="D401" t="inlineStr">
        <is>
          <t>UPPSALA LÄN</t>
        </is>
      </c>
      <c r="E401" t="inlineStr">
        <is>
          <t>UPPSALA</t>
        </is>
      </c>
      <c r="G401" t="n">
        <v>10.6</v>
      </c>
      <c r="H401" t="n">
        <v>0</v>
      </c>
      <c r="I401" t="n">
        <v>0</v>
      </c>
      <c r="J401" t="n">
        <v>0</v>
      </c>
      <c r="K401" t="n">
        <v>0</v>
      </c>
      <c r="L401" t="n">
        <v>0</v>
      </c>
      <c r="M401" t="n">
        <v>0</v>
      </c>
      <c r="N401" t="n">
        <v>0</v>
      </c>
      <c r="O401" t="n">
        <v>0</v>
      </c>
      <c r="P401" t="n">
        <v>0</v>
      </c>
      <c r="Q401" t="n">
        <v>0</v>
      </c>
      <c r="R401" s="2" t="inlineStr"/>
    </row>
    <row r="402" ht="15" customHeight="1">
      <c r="A402" t="inlineStr">
        <is>
          <t>A 59952-2020</t>
        </is>
      </c>
      <c r="B402" s="1" t="n">
        <v>44151</v>
      </c>
      <c r="C402" s="1" t="n">
        <v>45584</v>
      </c>
      <c r="D402" t="inlineStr">
        <is>
          <t>UPPSALA LÄN</t>
        </is>
      </c>
      <c r="E402" t="inlineStr">
        <is>
          <t>UPPSALA</t>
        </is>
      </c>
      <c r="G402" t="n">
        <v>25.8</v>
      </c>
      <c r="H402" t="n">
        <v>0</v>
      </c>
      <c r="I402" t="n">
        <v>0</v>
      </c>
      <c r="J402" t="n">
        <v>0</v>
      </c>
      <c r="K402" t="n">
        <v>0</v>
      </c>
      <c r="L402" t="n">
        <v>0</v>
      </c>
      <c r="M402" t="n">
        <v>0</v>
      </c>
      <c r="N402" t="n">
        <v>0</v>
      </c>
      <c r="O402" t="n">
        <v>0</v>
      </c>
      <c r="P402" t="n">
        <v>0</v>
      </c>
      <c r="Q402" t="n">
        <v>0</v>
      </c>
      <c r="R402" s="2" t="inlineStr"/>
    </row>
    <row r="403" ht="15" customHeight="1">
      <c r="A403" t="inlineStr">
        <is>
          <t>A 60702-2020</t>
        </is>
      </c>
      <c r="B403" s="1" t="n">
        <v>44153</v>
      </c>
      <c r="C403" s="1" t="n">
        <v>45584</v>
      </c>
      <c r="D403" t="inlineStr">
        <is>
          <t>UPPSALA LÄN</t>
        </is>
      </c>
      <c r="E403" t="inlineStr">
        <is>
          <t>UPPSALA</t>
        </is>
      </c>
      <c r="F403" t="inlineStr">
        <is>
          <t>Övriga statliga verk och myndigheter</t>
        </is>
      </c>
      <c r="G403" t="n">
        <v>1.4</v>
      </c>
      <c r="H403" t="n">
        <v>0</v>
      </c>
      <c r="I403" t="n">
        <v>0</v>
      </c>
      <c r="J403" t="n">
        <v>0</v>
      </c>
      <c r="K403" t="n">
        <v>0</v>
      </c>
      <c r="L403" t="n">
        <v>0</v>
      </c>
      <c r="M403" t="n">
        <v>0</v>
      </c>
      <c r="N403" t="n">
        <v>0</v>
      </c>
      <c r="O403" t="n">
        <v>0</v>
      </c>
      <c r="P403" t="n">
        <v>0</v>
      </c>
      <c r="Q403" t="n">
        <v>0</v>
      </c>
      <c r="R403" s="2" t="inlineStr"/>
    </row>
    <row r="404" ht="15" customHeight="1">
      <c r="A404" t="inlineStr">
        <is>
          <t>A 61265-2020</t>
        </is>
      </c>
      <c r="B404" s="1" t="n">
        <v>44155</v>
      </c>
      <c r="C404" s="1" t="n">
        <v>45584</v>
      </c>
      <c r="D404" t="inlineStr">
        <is>
          <t>UPPSALA LÄN</t>
        </is>
      </c>
      <c r="E404" t="inlineStr">
        <is>
          <t>UPPSALA</t>
        </is>
      </c>
      <c r="G404" t="n">
        <v>4.7</v>
      </c>
      <c r="H404" t="n">
        <v>0</v>
      </c>
      <c r="I404" t="n">
        <v>0</v>
      </c>
      <c r="J404" t="n">
        <v>0</v>
      </c>
      <c r="K404" t="n">
        <v>0</v>
      </c>
      <c r="L404" t="n">
        <v>0</v>
      </c>
      <c r="M404" t="n">
        <v>0</v>
      </c>
      <c r="N404" t="n">
        <v>0</v>
      </c>
      <c r="O404" t="n">
        <v>0</v>
      </c>
      <c r="P404" t="n">
        <v>0</v>
      </c>
      <c r="Q404" t="n">
        <v>0</v>
      </c>
      <c r="R404" s="2" t="inlineStr"/>
    </row>
    <row r="405" ht="15" customHeight="1">
      <c r="A405" t="inlineStr">
        <is>
          <t>A 61271-2020</t>
        </is>
      </c>
      <c r="B405" s="1" t="n">
        <v>44155</v>
      </c>
      <c r="C405" s="1" t="n">
        <v>45584</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62094-2020</t>
        </is>
      </c>
      <c r="B406" s="1" t="n">
        <v>44159</v>
      </c>
      <c r="C406" s="1" t="n">
        <v>45584</v>
      </c>
      <c r="D406" t="inlineStr">
        <is>
          <t>UPPSALA LÄN</t>
        </is>
      </c>
      <c r="E406" t="inlineStr">
        <is>
          <t>UPPSALA</t>
        </is>
      </c>
      <c r="F406" t="inlineStr">
        <is>
          <t>Bergvik skog öst AB</t>
        </is>
      </c>
      <c r="G406" t="n">
        <v>3.4</v>
      </c>
      <c r="H406" t="n">
        <v>0</v>
      </c>
      <c r="I406" t="n">
        <v>0</v>
      </c>
      <c r="J406" t="n">
        <v>0</v>
      </c>
      <c r="K406" t="n">
        <v>0</v>
      </c>
      <c r="L406" t="n">
        <v>0</v>
      </c>
      <c r="M406" t="n">
        <v>0</v>
      </c>
      <c r="N406" t="n">
        <v>0</v>
      </c>
      <c r="O406" t="n">
        <v>0</v>
      </c>
      <c r="P406" t="n">
        <v>0</v>
      </c>
      <c r="Q406" t="n">
        <v>0</v>
      </c>
      <c r="R406" s="2" t="inlineStr"/>
    </row>
    <row r="407" ht="15" customHeight="1">
      <c r="A407" t="inlineStr">
        <is>
          <t>A 62352-2020</t>
        </is>
      </c>
      <c r="B407" s="1" t="n">
        <v>44159</v>
      </c>
      <c r="C407" s="1" t="n">
        <v>45584</v>
      </c>
      <c r="D407" t="inlineStr">
        <is>
          <t>UPPSALA LÄN</t>
        </is>
      </c>
      <c r="E407" t="inlineStr">
        <is>
          <t>UPPSALA</t>
        </is>
      </c>
      <c r="F407" t="inlineStr">
        <is>
          <t>Allmännings- och besparingsskogar</t>
        </is>
      </c>
      <c r="G407" t="n">
        <v>12.9</v>
      </c>
      <c r="H407" t="n">
        <v>0</v>
      </c>
      <c r="I407" t="n">
        <v>0</v>
      </c>
      <c r="J407" t="n">
        <v>0</v>
      </c>
      <c r="K407" t="n">
        <v>0</v>
      </c>
      <c r="L407" t="n">
        <v>0</v>
      </c>
      <c r="M407" t="n">
        <v>0</v>
      </c>
      <c r="N407" t="n">
        <v>0</v>
      </c>
      <c r="O407" t="n">
        <v>0</v>
      </c>
      <c r="P407" t="n">
        <v>0</v>
      </c>
      <c r="Q407" t="n">
        <v>0</v>
      </c>
      <c r="R407" s="2" t="inlineStr"/>
    </row>
    <row r="408" ht="15" customHeight="1">
      <c r="A408" t="inlineStr">
        <is>
          <t>A 62504-2020</t>
        </is>
      </c>
      <c r="B408" s="1" t="n">
        <v>44160</v>
      </c>
      <c r="C408" s="1" t="n">
        <v>45584</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62729-2020</t>
        </is>
      </c>
      <c r="B409" s="1" t="n">
        <v>44161</v>
      </c>
      <c r="C409" s="1" t="n">
        <v>45584</v>
      </c>
      <c r="D409" t="inlineStr">
        <is>
          <t>UPPSALA LÄN</t>
        </is>
      </c>
      <c r="E409" t="inlineStr">
        <is>
          <t>UPPSALA</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62655-2020</t>
        </is>
      </c>
      <c r="B410" s="1" t="n">
        <v>44161</v>
      </c>
      <c r="C410" s="1" t="n">
        <v>45584</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63145-2020</t>
        </is>
      </c>
      <c r="B411" s="1" t="n">
        <v>44162</v>
      </c>
      <c r="C411" s="1" t="n">
        <v>45584</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63529-2020</t>
        </is>
      </c>
      <c r="B412" s="1" t="n">
        <v>44165</v>
      </c>
      <c r="C412" s="1" t="n">
        <v>45584</v>
      </c>
      <c r="D412" t="inlineStr">
        <is>
          <t>UPPSALA LÄN</t>
        </is>
      </c>
      <c r="E412" t="inlineStr">
        <is>
          <t>UPPSALA</t>
        </is>
      </c>
      <c r="F412" t="inlineStr">
        <is>
          <t>Övriga statliga verk och myndigheter</t>
        </is>
      </c>
      <c r="G412" t="n">
        <v>2.4</v>
      </c>
      <c r="H412" t="n">
        <v>0</v>
      </c>
      <c r="I412" t="n">
        <v>0</v>
      </c>
      <c r="J412" t="n">
        <v>0</v>
      </c>
      <c r="K412" t="n">
        <v>0</v>
      </c>
      <c r="L412" t="n">
        <v>0</v>
      </c>
      <c r="M412" t="n">
        <v>0</v>
      </c>
      <c r="N412" t="n">
        <v>0</v>
      </c>
      <c r="O412" t="n">
        <v>0</v>
      </c>
      <c r="P412" t="n">
        <v>0</v>
      </c>
      <c r="Q412" t="n">
        <v>0</v>
      </c>
      <c r="R412" s="2" t="inlineStr"/>
    </row>
    <row r="413" ht="15" customHeight="1">
      <c r="A413" t="inlineStr">
        <is>
          <t>A 63749-2020</t>
        </is>
      </c>
      <c r="B413" s="1" t="n">
        <v>44166</v>
      </c>
      <c r="C413" s="1" t="n">
        <v>45584</v>
      </c>
      <c r="D413" t="inlineStr">
        <is>
          <t>UPPSALA LÄN</t>
        </is>
      </c>
      <c r="E413" t="inlineStr">
        <is>
          <t>UPPSALA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64128-2020</t>
        </is>
      </c>
      <c r="B414" s="1" t="n">
        <v>44167</v>
      </c>
      <c r="C414" s="1" t="n">
        <v>45584</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64353-2020</t>
        </is>
      </c>
      <c r="B415" s="1" t="n">
        <v>44168</v>
      </c>
      <c r="C415" s="1" t="n">
        <v>45584</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64333-2020</t>
        </is>
      </c>
      <c r="B416" s="1" t="n">
        <v>44168</v>
      </c>
      <c r="C416" s="1" t="n">
        <v>45584</v>
      </c>
      <c r="D416" t="inlineStr">
        <is>
          <t>UPPSALA LÄN</t>
        </is>
      </c>
      <c r="E416" t="inlineStr">
        <is>
          <t>UPPSALA</t>
        </is>
      </c>
      <c r="G416" t="n">
        <v>7.1</v>
      </c>
      <c r="H416" t="n">
        <v>0</v>
      </c>
      <c r="I416" t="n">
        <v>0</v>
      </c>
      <c r="J416" t="n">
        <v>0</v>
      </c>
      <c r="K416" t="n">
        <v>0</v>
      </c>
      <c r="L416" t="n">
        <v>0</v>
      </c>
      <c r="M416" t="n">
        <v>0</v>
      </c>
      <c r="N416" t="n">
        <v>0</v>
      </c>
      <c r="O416" t="n">
        <v>0</v>
      </c>
      <c r="P416" t="n">
        <v>0</v>
      </c>
      <c r="Q416" t="n">
        <v>0</v>
      </c>
      <c r="R416" s="2" t="inlineStr"/>
    </row>
    <row r="417" ht="15" customHeight="1">
      <c r="A417" t="inlineStr">
        <is>
          <t>A 66984-2020</t>
        </is>
      </c>
      <c r="B417" s="1" t="n">
        <v>44180</v>
      </c>
      <c r="C417" s="1" t="n">
        <v>45584</v>
      </c>
      <c r="D417" t="inlineStr">
        <is>
          <t>UPPSALA LÄN</t>
        </is>
      </c>
      <c r="E417" t="inlineStr">
        <is>
          <t>UPPSALA</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265-2021</t>
        </is>
      </c>
      <c r="B418" s="1" t="n">
        <v>44200</v>
      </c>
      <c r="C418" s="1" t="n">
        <v>45584</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1020-2021</t>
        </is>
      </c>
      <c r="B419" s="1" t="n">
        <v>44207</v>
      </c>
      <c r="C419" s="1" t="n">
        <v>45584</v>
      </c>
      <c r="D419" t="inlineStr">
        <is>
          <t>UPPSALA LÄN</t>
        </is>
      </c>
      <c r="E419" t="inlineStr">
        <is>
          <t>UPPSALA</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1573-2021</t>
        </is>
      </c>
      <c r="B420" s="1" t="n">
        <v>44209</v>
      </c>
      <c r="C420" s="1" t="n">
        <v>45584</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1617-2021</t>
        </is>
      </c>
      <c r="B421" s="1" t="n">
        <v>44209</v>
      </c>
      <c r="C421" s="1" t="n">
        <v>45584</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1855-2021</t>
        </is>
      </c>
      <c r="B422" s="1" t="n">
        <v>44210</v>
      </c>
      <c r="C422" s="1" t="n">
        <v>45584</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2169-2021</t>
        </is>
      </c>
      <c r="B423" s="1" t="n">
        <v>44211</v>
      </c>
      <c r="C423" s="1" t="n">
        <v>45584</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3864-2021</t>
        </is>
      </c>
      <c r="B424" s="1" t="n">
        <v>44216</v>
      </c>
      <c r="C424" s="1" t="n">
        <v>45584</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3874-2021</t>
        </is>
      </c>
      <c r="B425" s="1" t="n">
        <v>44216</v>
      </c>
      <c r="C425" s="1" t="n">
        <v>45584</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3955-2021</t>
        </is>
      </c>
      <c r="B426" s="1" t="n">
        <v>44222</v>
      </c>
      <c r="C426" s="1" t="n">
        <v>45584</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4875-2021</t>
        </is>
      </c>
      <c r="B427" s="1" t="n">
        <v>44223</v>
      </c>
      <c r="C427" s="1" t="n">
        <v>45584</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5663-2021</t>
        </is>
      </c>
      <c r="B428" s="1" t="n">
        <v>44230</v>
      </c>
      <c r="C428" s="1" t="n">
        <v>45584</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8114-2021</t>
        </is>
      </c>
      <c r="B429" s="1" t="n">
        <v>44243</v>
      </c>
      <c r="C429" s="1" t="n">
        <v>45584</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8494-2021</t>
        </is>
      </c>
      <c r="B430" s="1" t="n">
        <v>44245</v>
      </c>
      <c r="C430" s="1" t="n">
        <v>45584</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9700-2021</t>
        </is>
      </c>
      <c r="B431" s="1" t="n">
        <v>44252</v>
      </c>
      <c r="C431" s="1" t="n">
        <v>45584</v>
      </c>
      <c r="D431" t="inlineStr">
        <is>
          <t>UPPSALA LÄN</t>
        </is>
      </c>
      <c r="E431" t="inlineStr">
        <is>
          <t>UPPSALA</t>
        </is>
      </c>
      <c r="G431" t="n">
        <v>3.3</v>
      </c>
      <c r="H431" t="n">
        <v>0</v>
      </c>
      <c r="I431" t="n">
        <v>0</v>
      </c>
      <c r="J431" t="n">
        <v>0</v>
      </c>
      <c r="K431" t="n">
        <v>0</v>
      </c>
      <c r="L431" t="n">
        <v>0</v>
      </c>
      <c r="M431" t="n">
        <v>0</v>
      </c>
      <c r="N431" t="n">
        <v>0</v>
      </c>
      <c r="O431" t="n">
        <v>0</v>
      </c>
      <c r="P431" t="n">
        <v>0</v>
      </c>
      <c r="Q431" t="n">
        <v>0</v>
      </c>
      <c r="R431" s="2" t="inlineStr"/>
    </row>
    <row r="432" ht="15" customHeight="1">
      <c r="A432" t="inlineStr">
        <is>
          <t>A 9712-2021</t>
        </is>
      </c>
      <c r="B432" s="1" t="n">
        <v>44252</v>
      </c>
      <c r="C432" s="1" t="n">
        <v>45584</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12225-2021</t>
        </is>
      </c>
      <c r="B433" s="1" t="n">
        <v>44266</v>
      </c>
      <c r="C433" s="1" t="n">
        <v>45584</v>
      </c>
      <c r="D433" t="inlineStr">
        <is>
          <t>UPPSALA LÄN</t>
        </is>
      </c>
      <c r="E433" t="inlineStr">
        <is>
          <t>UPPSALA</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12152-2021</t>
        </is>
      </c>
      <c r="B434" s="1" t="n">
        <v>44266</v>
      </c>
      <c r="C434" s="1" t="n">
        <v>45584</v>
      </c>
      <c r="D434" t="inlineStr">
        <is>
          <t>UPPSALA LÄN</t>
        </is>
      </c>
      <c r="E434" t="inlineStr">
        <is>
          <t>UPPSALA</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12172-2021</t>
        </is>
      </c>
      <c r="B435" s="1" t="n">
        <v>44266</v>
      </c>
      <c r="C435" s="1" t="n">
        <v>45584</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12194-2021</t>
        </is>
      </c>
      <c r="B436" s="1" t="n">
        <v>44266</v>
      </c>
      <c r="C436" s="1" t="n">
        <v>45584</v>
      </c>
      <c r="D436" t="inlineStr">
        <is>
          <t>UPPSALA LÄN</t>
        </is>
      </c>
      <c r="E436" t="inlineStr">
        <is>
          <t>UPPSALA</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12313-2021</t>
        </is>
      </c>
      <c r="B437" s="1" t="n">
        <v>44266</v>
      </c>
      <c r="C437" s="1" t="n">
        <v>45584</v>
      </c>
      <c r="D437" t="inlineStr">
        <is>
          <t>UPPSALA LÄN</t>
        </is>
      </c>
      <c r="E437" t="inlineStr">
        <is>
          <t>UPPSALA</t>
        </is>
      </c>
      <c r="G437" t="n">
        <v>23.6</v>
      </c>
      <c r="H437" t="n">
        <v>0</v>
      </c>
      <c r="I437" t="n">
        <v>0</v>
      </c>
      <c r="J437" t="n">
        <v>0</v>
      </c>
      <c r="K437" t="n">
        <v>0</v>
      </c>
      <c r="L437" t="n">
        <v>0</v>
      </c>
      <c r="M437" t="n">
        <v>0</v>
      </c>
      <c r="N437" t="n">
        <v>0</v>
      </c>
      <c r="O437" t="n">
        <v>0</v>
      </c>
      <c r="P437" t="n">
        <v>0</v>
      </c>
      <c r="Q437" t="n">
        <v>0</v>
      </c>
      <c r="R437" s="2" t="inlineStr"/>
    </row>
    <row r="438" ht="15" customHeight="1">
      <c r="A438" t="inlineStr">
        <is>
          <t>A 13010-2021</t>
        </is>
      </c>
      <c r="B438" s="1" t="n">
        <v>44271</v>
      </c>
      <c r="C438" s="1" t="n">
        <v>45584</v>
      </c>
      <c r="D438" t="inlineStr">
        <is>
          <t>UPPSALA LÄN</t>
        </is>
      </c>
      <c r="E438" t="inlineStr">
        <is>
          <t>UPPSALA</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13420-2021</t>
        </is>
      </c>
      <c r="B439" s="1" t="n">
        <v>44273</v>
      </c>
      <c r="C439" s="1" t="n">
        <v>45584</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14026-2021</t>
        </is>
      </c>
      <c r="B440" s="1" t="n">
        <v>44277</v>
      </c>
      <c r="C440" s="1" t="n">
        <v>45584</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14022-2021</t>
        </is>
      </c>
      <c r="B441" s="1" t="n">
        <v>44277</v>
      </c>
      <c r="C441" s="1" t="n">
        <v>45584</v>
      </c>
      <c r="D441" t="inlineStr">
        <is>
          <t>UPPSALA LÄN</t>
        </is>
      </c>
      <c r="E441" t="inlineStr">
        <is>
          <t>UPPSALA</t>
        </is>
      </c>
      <c r="G441" t="n">
        <v>11.1</v>
      </c>
      <c r="H441" t="n">
        <v>0</v>
      </c>
      <c r="I441" t="n">
        <v>0</v>
      </c>
      <c r="J441" t="n">
        <v>0</v>
      </c>
      <c r="K441" t="n">
        <v>0</v>
      </c>
      <c r="L441" t="n">
        <v>0</v>
      </c>
      <c r="M441" t="n">
        <v>0</v>
      </c>
      <c r="N441" t="n">
        <v>0</v>
      </c>
      <c r="O441" t="n">
        <v>0</v>
      </c>
      <c r="P441" t="n">
        <v>0</v>
      </c>
      <c r="Q441" t="n">
        <v>0</v>
      </c>
      <c r="R441" s="2" t="inlineStr"/>
    </row>
    <row r="442" ht="15" customHeight="1">
      <c r="A442" t="inlineStr">
        <is>
          <t>A 14341-2021</t>
        </is>
      </c>
      <c r="B442" s="1" t="n">
        <v>44279</v>
      </c>
      <c r="C442" s="1" t="n">
        <v>45584</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14941-2021</t>
        </is>
      </c>
      <c r="B443" s="1" t="n">
        <v>44281</v>
      </c>
      <c r="C443" s="1" t="n">
        <v>45584</v>
      </c>
      <c r="D443" t="inlineStr">
        <is>
          <t>UPPSALA LÄN</t>
        </is>
      </c>
      <c r="E443" t="inlineStr">
        <is>
          <t>UPPSALA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15816-2021</t>
        </is>
      </c>
      <c r="B444" s="1" t="n">
        <v>44286</v>
      </c>
      <c r="C444" s="1" t="n">
        <v>45584</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15820-2021</t>
        </is>
      </c>
      <c r="B445" s="1" t="n">
        <v>44286</v>
      </c>
      <c r="C445" s="1" t="n">
        <v>45584</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16592-2021</t>
        </is>
      </c>
      <c r="B446" s="1" t="n">
        <v>44294</v>
      </c>
      <c r="C446" s="1" t="n">
        <v>45584</v>
      </c>
      <c r="D446" t="inlineStr">
        <is>
          <t>UPPSALA LÄN</t>
        </is>
      </c>
      <c r="E446" t="inlineStr">
        <is>
          <t>UPPSALA</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16615-2021</t>
        </is>
      </c>
      <c r="B447" s="1" t="n">
        <v>44294</v>
      </c>
      <c r="C447" s="1" t="n">
        <v>45584</v>
      </c>
      <c r="D447" t="inlineStr">
        <is>
          <t>UPPSALA LÄN</t>
        </is>
      </c>
      <c r="E447" t="inlineStr">
        <is>
          <t>UPPSALA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16684-2021</t>
        </is>
      </c>
      <c r="B448" s="1" t="n">
        <v>44294</v>
      </c>
      <c r="C448" s="1" t="n">
        <v>45584</v>
      </c>
      <c r="D448" t="inlineStr">
        <is>
          <t>UPPSALA LÄN</t>
        </is>
      </c>
      <c r="E448" t="inlineStr">
        <is>
          <t>UPPSALA</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17262-2021</t>
        </is>
      </c>
      <c r="B449" s="1" t="n">
        <v>44297</v>
      </c>
      <c r="C449" s="1" t="n">
        <v>45584</v>
      </c>
      <c r="D449" t="inlineStr">
        <is>
          <t>UPPSALA LÄN</t>
        </is>
      </c>
      <c r="E449" t="inlineStr">
        <is>
          <t>UPPSALA</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17250-2021</t>
        </is>
      </c>
      <c r="B450" s="1" t="n">
        <v>44297</v>
      </c>
      <c r="C450" s="1" t="n">
        <v>45584</v>
      </c>
      <c r="D450" t="inlineStr">
        <is>
          <t>UPPSALA LÄN</t>
        </is>
      </c>
      <c r="E450" t="inlineStr">
        <is>
          <t>UPPSALA</t>
        </is>
      </c>
      <c r="G450" t="n">
        <v>3.6</v>
      </c>
      <c r="H450" t="n">
        <v>0</v>
      </c>
      <c r="I450" t="n">
        <v>0</v>
      </c>
      <c r="J450" t="n">
        <v>0</v>
      </c>
      <c r="K450" t="n">
        <v>0</v>
      </c>
      <c r="L450" t="n">
        <v>0</v>
      </c>
      <c r="M450" t="n">
        <v>0</v>
      </c>
      <c r="N450" t="n">
        <v>0</v>
      </c>
      <c r="O450" t="n">
        <v>0</v>
      </c>
      <c r="P450" t="n">
        <v>0</v>
      </c>
      <c r="Q450" t="n">
        <v>0</v>
      </c>
      <c r="R450" s="2" t="inlineStr"/>
    </row>
    <row r="451" ht="15" customHeight="1">
      <c r="A451" t="inlineStr">
        <is>
          <t>A 17536-2021</t>
        </is>
      </c>
      <c r="B451" s="1" t="n">
        <v>44299</v>
      </c>
      <c r="C451" s="1" t="n">
        <v>45584</v>
      </c>
      <c r="D451" t="inlineStr">
        <is>
          <t>UPPSALA LÄN</t>
        </is>
      </c>
      <c r="E451" t="inlineStr">
        <is>
          <t>UPPSALA</t>
        </is>
      </c>
      <c r="F451" t="inlineStr">
        <is>
          <t>Holmen skog AB</t>
        </is>
      </c>
      <c r="G451" t="n">
        <v>7.6</v>
      </c>
      <c r="H451" t="n">
        <v>0</v>
      </c>
      <c r="I451" t="n">
        <v>0</v>
      </c>
      <c r="J451" t="n">
        <v>0</v>
      </c>
      <c r="K451" t="n">
        <v>0</v>
      </c>
      <c r="L451" t="n">
        <v>0</v>
      </c>
      <c r="M451" t="n">
        <v>0</v>
      </c>
      <c r="N451" t="n">
        <v>0</v>
      </c>
      <c r="O451" t="n">
        <v>0</v>
      </c>
      <c r="P451" t="n">
        <v>0</v>
      </c>
      <c r="Q451" t="n">
        <v>0</v>
      </c>
      <c r="R451" s="2" t="inlineStr"/>
    </row>
    <row r="452" ht="15" customHeight="1">
      <c r="A452" t="inlineStr">
        <is>
          <t>A 18906-2021</t>
        </is>
      </c>
      <c r="B452" s="1" t="n">
        <v>44308</v>
      </c>
      <c r="C452" s="1" t="n">
        <v>45584</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19927-2021</t>
        </is>
      </c>
      <c r="B453" s="1" t="n">
        <v>44313</v>
      </c>
      <c r="C453" s="1" t="n">
        <v>45584</v>
      </c>
      <c r="D453" t="inlineStr">
        <is>
          <t>UPPSALA LÄN</t>
        </is>
      </c>
      <c r="E453" t="inlineStr">
        <is>
          <t>UPPSALA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19947-2021</t>
        </is>
      </c>
      <c r="B454" s="1" t="n">
        <v>44313</v>
      </c>
      <c r="C454" s="1" t="n">
        <v>45584</v>
      </c>
      <c r="D454" t="inlineStr">
        <is>
          <t>UPPSALA LÄN</t>
        </is>
      </c>
      <c r="E454" t="inlineStr">
        <is>
          <t>UPPSALA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20276-2021</t>
        </is>
      </c>
      <c r="B455" s="1" t="n">
        <v>44314</v>
      </c>
      <c r="C455" s="1" t="n">
        <v>45584</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20271-2021</t>
        </is>
      </c>
      <c r="B456" s="1" t="n">
        <v>44314</v>
      </c>
      <c r="C456" s="1" t="n">
        <v>45584</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20609-2021</t>
        </is>
      </c>
      <c r="B457" s="1" t="n">
        <v>44316</v>
      </c>
      <c r="C457" s="1" t="n">
        <v>45584</v>
      </c>
      <c r="D457" t="inlineStr">
        <is>
          <t>UPPSALA LÄN</t>
        </is>
      </c>
      <c r="E457" t="inlineStr">
        <is>
          <t>UPPSALA</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22070-2021</t>
        </is>
      </c>
      <c r="B458" s="1" t="n">
        <v>44323</v>
      </c>
      <c r="C458" s="1" t="n">
        <v>45584</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22946-2021</t>
        </is>
      </c>
      <c r="B459" s="1" t="n">
        <v>44328</v>
      </c>
      <c r="C459" s="1" t="n">
        <v>45584</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23877-2021</t>
        </is>
      </c>
      <c r="B460" s="1" t="n">
        <v>44335</v>
      </c>
      <c r="C460" s="1" t="n">
        <v>45584</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25613-2021</t>
        </is>
      </c>
      <c r="B461" s="1" t="n">
        <v>44343</v>
      </c>
      <c r="C461" s="1" t="n">
        <v>45584</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26785-2021</t>
        </is>
      </c>
      <c r="B462" s="1" t="n">
        <v>44349</v>
      </c>
      <c r="C462" s="1" t="n">
        <v>45584</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27365-2021</t>
        </is>
      </c>
      <c r="B463" s="1" t="n">
        <v>44351</v>
      </c>
      <c r="C463" s="1" t="n">
        <v>45584</v>
      </c>
      <c r="D463" t="inlineStr">
        <is>
          <t>UPPSALA LÄN</t>
        </is>
      </c>
      <c r="E463" t="inlineStr">
        <is>
          <t>UPPSALA</t>
        </is>
      </c>
      <c r="F463" t="inlineStr">
        <is>
          <t>Allmännings- och besparingsskogar</t>
        </is>
      </c>
      <c r="G463" t="n">
        <v>20.5</v>
      </c>
      <c r="H463" t="n">
        <v>0</v>
      </c>
      <c r="I463" t="n">
        <v>0</v>
      </c>
      <c r="J463" t="n">
        <v>0</v>
      </c>
      <c r="K463" t="n">
        <v>0</v>
      </c>
      <c r="L463" t="n">
        <v>0</v>
      </c>
      <c r="M463" t="n">
        <v>0</v>
      </c>
      <c r="N463" t="n">
        <v>0</v>
      </c>
      <c r="O463" t="n">
        <v>0</v>
      </c>
      <c r="P463" t="n">
        <v>0</v>
      </c>
      <c r="Q463" t="n">
        <v>0</v>
      </c>
      <c r="R463" s="2" t="inlineStr"/>
    </row>
    <row r="464" ht="15" customHeight="1">
      <c r="A464" t="inlineStr">
        <is>
          <t>A 28694-2021</t>
        </is>
      </c>
      <c r="B464" s="1" t="n">
        <v>44357</v>
      </c>
      <c r="C464" s="1" t="n">
        <v>45584</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29145-2021</t>
        </is>
      </c>
      <c r="B465" s="1" t="n">
        <v>44358</v>
      </c>
      <c r="C465" s="1" t="n">
        <v>45584</v>
      </c>
      <c r="D465" t="inlineStr">
        <is>
          <t>UPPSALA LÄN</t>
        </is>
      </c>
      <c r="E465" t="inlineStr">
        <is>
          <t>UPPSALA</t>
        </is>
      </c>
      <c r="G465" t="n">
        <v>2.4</v>
      </c>
      <c r="H465" t="n">
        <v>0</v>
      </c>
      <c r="I465" t="n">
        <v>0</v>
      </c>
      <c r="J465" t="n">
        <v>0</v>
      </c>
      <c r="K465" t="n">
        <v>0</v>
      </c>
      <c r="L465" t="n">
        <v>0</v>
      </c>
      <c r="M465" t="n">
        <v>0</v>
      </c>
      <c r="N465" t="n">
        <v>0</v>
      </c>
      <c r="O465" t="n">
        <v>0</v>
      </c>
      <c r="P465" t="n">
        <v>0</v>
      </c>
      <c r="Q465" t="n">
        <v>0</v>
      </c>
      <c r="R465" s="2" t="inlineStr"/>
    </row>
    <row r="466" ht="15" customHeight="1">
      <c r="A466" t="inlineStr">
        <is>
          <t>A 30655-2021</t>
        </is>
      </c>
      <c r="B466" s="1" t="n">
        <v>44365</v>
      </c>
      <c r="C466" s="1" t="n">
        <v>45584</v>
      </c>
      <c r="D466" t="inlineStr">
        <is>
          <t>UPPSALA LÄN</t>
        </is>
      </c>
      <c r="E466" t="inlineStr">
        <is>
          <t>UPPSALA</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30656-2021</t>
        </is>
      </c>
      <c r="B467" s="1" t="n">
        <v>44365</v>
      </c>
      <c r="C467" s="1" t="n">
        <v>45584</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31646-2021</t>
        </is>
      </c>
      <c r="B468" s="1" t="n">
        <v>44369</v>
      </c>
      <c r="C468" s="1" t="n">
        <v>45584</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31662-2021</t>
        </is>
      </c>
      <c r="B469" s="1" t="n">
        <v>44369</v>
      </c>
      <c r="C469" s="1" t="n">
        <v>45584</v>
      </c>
      <c r="D469" t="inlineStr">
        <is>
          <t>UPPSALA LÄN</t>
        </is>
      </c>
      <c r="E469" t="inlineStr">
        <is>
          <t>UPPSALA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31829-2021</t>
        </is>
      </c>
      <c r="B470" s="1" t="n">
        <v>44370</v>
      </c>
      <c r="C470" s="1" t="n">
        <v>45584</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32276-2021</t>
        </is>
      </c>
      <c r="B471" s="1" t="n">
        <v>44371</v>
      </c>
      <c r="C471" s="1" t="n">
        <v>45584</v>
      </c>
      <c r="D471" t="inlineStr">
        <is>
          <t>UPPSALA LÄN</t>
        </is>
      </c>
      <c r="E471" t="inlineStr">
        <is>
          <t>UPPSALA</t>
        </is>
      </c>
      <c r="G471" t="n">
        <v>3.7</v>
      </c>
      <c r="H471" t="n">
        <v>0</v>
      </c>
      <c r="I471" t="n">
        <v>0</v>
      </c>
      <c r="J471" t="n">
        <v>0</v>
      </c>
      <c r="K471" t="n">
        <v>0</v>
      </c>
      <c r="L471" t="n">
        <v>0</v>
      </c>
      <c r="M471" t="n">
        <v>0</v>
      </c>
      <c r="N471" t="n">
        <v>0</v>
      </c>
      <c r="O471" t="n">
        <v>0</v>
      </c>
      <c r="P471" t="n">
        <v>0</v>
      </c>
      <c r="Q471" t="n">
        <v>0</v>
      </c>
      <c r="R471" s="2" t="inlineStr"/>
    </row>
    <row r="472" ht="15" customHeight="1">
      <c r="A472" t="inlineStr">
        <is>
          <t>A 32428-2021</t>
        </is>
      </c>
      <c r="B472" s="1" t="n">
        <v>44371</v>
      </c>
      <c r="C472" s="1" t="n">
        <v>45584</v>
      </c>
      <c r="D472" t="inlineStr">
        <is>
          <t>UPPSALA LÄN</t>
        </is>
      </c>
      <c r="E472" t="inlineStr">
        <is>
          <t>UPPSALA</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32955-2021</t>
        </is>
      </c>
      <c r="B473" s="1" t="n">
        <v>44376</v>
      </c>
      <c r="C473" s="1" t="n">
        <v>45584</v>
      </c>
      <c r="D473" t="inlineStr">
        <is>
          <t>UPPSALA LÄN</t>
        </is>
      </c>
      <c r="E473" t="inlineStr">
        <is>
          <t>UPPSALA</t>
        </is>
      </c>
      <c r="F473" t="inlineStr">
        <is>
          <t>Bergvik skog öst AB</t>
        </is>
      </c>
      <c r="G473" t="n">
        <v>10</v>
      </c>
      <c r="H473" t="n">
        <v>0</v>
      </c>
      <c r="I473" t="n">
        <v>0</v>
      </c>
      <c r="J473" t="n">
        <v>0</v>
      </c>
      <c r="K473" t="n">
        <v>0</v>
      </c>
      <c r="L473" t="n">
        <v>0</v>
      </c>
      <c r="M473" t="n">
        <v>0</v>
      </c>
      <c r="N473" t="n">
        <v>0</v>
      </c>
      <c r="O473" t="n">
        <v>0</v>
      </c>
      <c r="P473" t="n">
        <v>0</v>
      </c>
      <c r="Q473" t="n">
        <v>0</v>
      </c>
      <c r="R473" s="2" t="inlineStr"/>
    </row>
    <row r="474" ht="15" customHeight="1">
      <c r="A474" t="inlineStr">
        <is>
          <t>A 33797-2021</t>
        </is>
      </c>
      <c r="B474" s="1" t="n">
        <v>44378</v>
      </c>
      <c r="C474" s="1" t="n">
        <v>45584</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33920-2021</t>
        </is>
      </c>
      <c r="B475" s="1" t="n">
        <v>44378</v>
      </c>
      <c r="C475" s="1" t="n">
        <v>45584</v>
      </c>
      <c r="D475" t="inlineStr">
        <is>
          <t>UPPSALA LÄN</t>
        </is>
      </c>
      <c r="E475" t="inlineStr">
        <is>
          <t>UPPSALA</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34020-2021</t>
        </is>
      </c>
      <c r="B476" s="1" t="n">
        <v>44379</v>
      </c>
      <c r="C476" s="1" t="n">
        <v>45584</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34039-2021</t>
        </is>
      </c>
      <c r="B477" s="1" t="n">
        <v>44379</v>
      </c>
      <c r="C477" s="1" t="n">
        <v>45584</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34043-2021</t>
        </is>
      </c>
      <c r="B478" s="1" t="n">
        <v>44379</v>
      </c>
      <c r="C478" s="1" t="n">
        <v>45584</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34265-2021</t>
        </is>
      </c>
      <c r="B479" s="1" t="n">
        <v>44379</v>
      </c>
      <c r="C479" s="1" t="n">
        <v>45584</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34249-2021</t>
        </is>
      </c>
      <c r="B480" s="1" t="n">
        <v>44379</v>
      </c>
      <c r="C480" s="1" t="n">
        <v>45584</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34243-2021</t>
        </is>
      </c>
      <c r="B481" s="1" t="n">
        <v>44379</v>
      </c>
      <c r="C481" s="1" t="n">
        <v>45584</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34263-2021</t>
        </is>
      </c>
      <c r="B482" s="1" t="n">
        <v>44379</v>
      </c>
      <c r="C482" s="1" t="n">
        <v>45584</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34838-2021</t>
        </is>
      </c>
      <c r="B483" s="1" t="n">
        <v>44383</v>
      </c>
      <c r="C483" s="1" t="n">
        <v>45584</v>
      </c>
      <c r="D483" t="inlineStr">
        <is>
          <t>UPPSALA LÄN</t>
        </is>
      </c>
      <c r="E483" t="inlineStr">
        <is>
          <t>UPPSALA</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34825-2021</t>
        </is>
      </c>
      <c r="B484" s="1" t="n">
        <v>44383</v>
      </c>
      <c r="C484" s="1" t="n">
        <v>45584</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35630-2021</t>
        </is>
      </c>
      <c r="B485" s="1" t="n">
        <v>44386</v>
      </c>
      <c r="C485" s="1" t="n">
        <v>45584</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36304-2021</t>
        </is>
      </c>
      <c r="B486" s="1" t="n">
        <v>44390</v>
      </c>
      <c r="C486" s="1" t="n">
        <v>45584</v>
      </c>
      <c r="D486" t="inlineStr">
        <is>
          <t>UPPSALA LÄN</t>
        </is>
      </c>
      <c r="E486" t="inlineStr">
        <is>
          <t>UPPSALA</t>
        </is>
      </c>
      <c r="G486" t="n">
        <v>7.4</v>
      </c>
      <c r="H486" t="n">
        <v>0</v>
      </c>
      <c r="I486" t="n">
        <v>0</v>
      </c>
      <c r="J486" t="n">
        <v>0</v>
      </c>
      <c r="K486" t="n">
        <v>0</v>
      </c>
      <c r="L486" t="n">
        <v>0</v>
      </c>
      <c r="M486" t="n">
        <v>0</v>
      </c>
      <c r="N486" t="n">
        <v>0</v>
      </c>
      <c r="O486" t="n">
        <v>0</v>
      </c>
      <c r="P486" t="n">
        <v>0</v>
      </c>
      <c r="Q486" t="n">
        <v>0</v>
      </c>
      <c r="R486" s="2" t="inlineStr"/>
    </row>
    <row r="487" ht="15" customHeight="1">
      <c r="A487" t="inlineStr">
        <is>
          <t>A 36721-2021</t>
        </is>
      </c>
      <c r="B487" s="1" t="n">
        <v>44392</v>
      </c>
      <c r="C487" s="1" t="n">
        <v>45584</v>
      </c>
      <c r="D487" t="inlineStr">
        <is>
          <t>UPPSALA LÄN</t>
        </is>
      </c>
      <c r="E487" t="inlineStr">
        <is>
          <t>UPPSALA</t>
        </is>
      </c>
      <c r="F487" t="inlineStr">
        <is>
          <t>Bergvik skog öst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36998-2021</t>
        </is>
      </c>
      <c r="B488" s="1" t="n">
        <v>44393</v>
      </c>
      <c r="C488" s="1" t="n">
        <v>45584</v>
      </c>
      <c r="D488" t="inlineStr">
        <is>
          <t>UPPSALA LÄN</t>
        </is>
      </c>
      <c r="E488" t="inlineStr">
        <is>
          <t>UPPSALA</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37162-2021</t>
        </is>
      </c>
      <c r="B489" s="1" t="n">
        <v>44395</v>
      </c>
      <c r="C489" s="1" t="n">
        <v>45584</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37763-2021</t>
        </is>
      </c>
      <c r="B490" s="1" t="n">
        <v>44400</v>
      </c>
      <c r="C490" s="1" t="n">
        <v>45584</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37819-2021</t>
        </is>
      </c>
      <c r="B491" s="1" t="n">
        <v>44403</v>
      </c>
      <c r="C491" s="1" t="n">
        <v>45584</v>
      </c>
      <c r="D491" t="inlineStr">
        <is>
          <t>UPPSALA LÄN</t>
        </is>
      </c>
      <c r="E491" t="inlineStr">
        <is>
          <t>UPPSALA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37820-2021</t>
        </is>
      </c>
      <c r="B492" s="1" t="n">
        <v>44403</v>
      </c>
      <c r="C492" s="1" t="n">
        <v>45584</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38469-2021</t>
        </is>
      </c>
      <c r="B493" s="1" t="n">
        <v>44407</v>
      </c>
      <c r="C493" s="1" t="n">
        <v>45584</v>
      </c>
      <c r="D493" t="inlineStr">
        <is>
          <t>UPPSALA LÄN</t>
        </is>
      </c>
      <c r="E493" t="inlineStr">
        <is>
          <t>UPPSALA</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38463-2021</t>
        </is>
      </c>
      <c r="B494" s="1" t="n">
        <v>44407</v>
      </c>
      <c r="C494" s="1" t="n">
        <v>45584</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40500-2021</t>
        </is>
      </c>
      <c r="B495" s="1" t="n">
        <v>44420</v>
      </c>
      <c r="C495" s="1" t="n">
        <v>45584</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40507-2021</t>
        </is>
      </c>
      <c r="B496" s="1" t="n">
        <v>44420</v>
      </c>
      <c r="C496" s="1" t="n">
        <v>45584</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42124-2021</t>
        </is>
      </c>
      <c r="B497" s="1" t="n">
        <v>44426</v>
      </c>
      <c r="C497" s="1" t="n">
        <v>45584</v>
      </c>
      <c r="D497" t="inlineStr">
        <is>
          <t>UPPSALA LÄN</t>
        </is>
      </c>
      <c r="E497" t="inlineStr">
        <is>
          <t>UPPSALA</t>
        </is>
      </c>
      <c r="G497" t="n">
        <v>6.3</v>
      </c>
      <c r="H497" t="n">
        <v>0</v>
      </c>
      <c r="I497" t="n">
        <v>0</v>
      </c>
      <c r="J497" t="n">
        <v>0</v>
      </c>
      <c r="K497" t="n">
        <v>0</v>
      </c>
      <c r="L497" t="n">
        <v>0</v>
      </c>
      <c r="M497" t="n">
        <v>0</v>
      </c>
      <c r="N497" t="n">
        <v>0</v>
      </c>
      <c r="O497" t="n">
        <v>0</v>
      </c>
      <c r="P497" t="n">
        <v>0</v>
      </c>
      <c r="Q497" t="n">
        <v>0</v>
      </c>
      <c r="R497" s="2" t="inlineStr"/>
    </row>
    <row r="498" ht="15" customHeight="1">
      <c r="A498" t="inlineStr">
        <is>
          <t>A 42294-2021</t>
        </is>
      </c>
      <c r="B498" s="1" t="n">
        <v>44427</v>
      </c>
      <c r="C498" s="1" t="n">
        <v>45584</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44315-2021</t>
        </is>
      </c>
      <c r="B499" s="1" t="n">
        <v>44435</v>
      </c>
      <c r="C499" s="1" t="n">
        <v>45584</v>
      </c>
      <c r="D499" t="inlineStr">
        <is>
          <t>UPPSALA LÄN</t>
        </is>
      </c>
      <c r="E499" t="inlineStr">
        <is>
          <t>UPPSALA</t>
        </is>
      </c>
      <c r="G499" t="n">
        <v>5.2</v>
      </c>
      <c r="H499" t="n">
        <v>0</v>
      </c>
      <c r="I499" t="n">
        <v>0</v>
      </c>
      <c r="J499" t="n">
        <v>0</v>
      </c>
      <c r="K499" t="n">
        <v>0</v>
      </c>
      <c r="L499" t="n">
        <v>0</v>
      </c>
      <c r="M499" t="n">
        <v>0</v>
      </c>
      <c r="N499" t="n">
        <v>0</v>
      </c>
      <c r="O499" t="n">
        <v>0</v>
      </c>
      <c r="P499" t="n">
        <v>0</v>
      </c>
      <c r="Q499" t="n">
        <v>0</v>
      </c>
      <c r="R499" s="2" t="inlineStr"/>
    </row>
    <row r="500" ht="15" customHeight="1">
      <c r="A500" t="inlineStr">
        <is>
          <t>A 44781-2021</t>
        </is>
      </c>
      <c r="B500" s="1" t="n">
        <v>44438</v>
      </c>
      <c r="C500" s="1" t="n">
        <v>45584</v>
      </c>
      <c r="D500" t="inlineStr">
        <is>
          <t>UPPSALA LÄN</t>
        </is>
      </c>
      <c r="E500" t="inlineStr">
        <is>
          <t>UPPSALA</t>
        </is>
      </c>
      <c r="F500" t="inlineStr">
        <is>
          <t>Sveaskog</t>
        </is>
      </c>
      <c r="G500" t="n">
        <v>0.1</v>
      </c>
      <c r="H500" t="n">
        <v>0</v>
      </c>
      <c r="I500" t="n">
        <v>0</v>
      </c>
      <c r="J500" t="n">
        <v>0</v>
      </c>
      <c r="K500" t="n">
        <v>0</v>
      </c>
      <c r="L500" t="n">
        <v>0</v>
      </c>
      <c r="M500" t="n">
        <v>0</v>
      </c>
      <c r="N500" t="n">
        <v>0</v>
      </c>
      <c r="O500" t="n">
        <v>0</v>
      </c>
      <c r="P500" t="n">
        <v>0</v>
      </c>
      <c r="Q500" t="n">
        <v>0</v>
      </c>
      <c r="R500" s="2" t="inlineStr"/>
    </row>
    <row r="501" ht="15" customHeight="1">
      <c r="A501" t="inlineStr">
        <is>
          <t>A 46097-2021</t>
        </is>
      </c>
      <c r="B501" s="1" t="n">
        <v>44442</v>
      </c>
      <c r="C501" s="1" t="n">
        <v>45584</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46099-2021</t>
        </is>
      </c>
      <c r="B502" s="1" t="n">
        <v>44442</v>
      </c>
      <c r="C502" s="1" t="n">
        <v>45584</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46553-2021</t>
        </is>
      </c>
      <c r="B503" s="1" t="n">
        <v>44445</v>
      </c>
      <c r="C503" s="1" t="n">
        <v>45584</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46920-2021</t>
        </is>
      </c>
      <c r="B504" s="1" t="n">
        <v>44446</v>
      </c>
      <c r="C504" s="1" t="n">
        <v>45584</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46916-2021</t>
        </is>
      </c>
      <c r="B505" s="1" t="n">
        <v>44446</v>
      </c>
      <c r="C505" s="1" t="n">
        <v>45584</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47367-2021</t>
        </is>
      </c>
      <c r="B506" s="1" t="n">
        <v>44447</v>
      </c>
      <c r="C506" s="1" t="n">
        <v>45584</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48918-2021</t>
        </is>
      </c>
      <c r="B507" s="1" t="n">
        <v>44453</v>
      </c>
      <c r="C507" s="1" t="n">
        <v>45584</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49274-2021</t>
        </is>
      </c>
      <c r="B508" s="1" t="n">
        <v>44454</v>
      </c>
      <c r="C508" s="1" t="n">
        <v>45584</v>
      </c>
      <c r="D508" t="inlineStr">
        <is>
          <t>UPPSALA LÄN</t>
        </is>
      </c>
      <c r="E508" t="inlineStr">
        <is>
          <t>UPPSALA</t>
        </is>
      </c>
      <c r="G508" t="n">
        <v>8.5</v>
      </c>
      <c r="H508" t="n">
        <v>0</v>
      </c>
      <c r="I508" t="n">
        <v>0</v>
      </c>
      <c r="J508" t="n">
        <v>0</v>
      </c>
      <c r="K508" t="n">
        <v>0</v>
      </c>
      <c r="L508" t="n">
        <v>0</v>
      </c>
      <c r="M508" t="n">
        <v>0</v>
      </c>
      <c r="N508" t="n">
        <v>0</v>
      </c>
      <c r="O508" t="n">
        <v>0</v>
      </c>
      <c r="P508" t="n">
        <v>0</v>
      </c>
      <c r="Q508" t="n">
        <v>0</v>
      </c>
      <c r="R508" s="2" t="inlineStr"/>
    </row>
    <row r="509" ht="15" customHeight="1">
      <c r="A509" t="inlineStr">
        <is>
          <t>A 51050-2021</t>
        </is>
      </c>
      <c r="B509" s="1" t="n">
        <v>44459</v>
      </c>
      <c r="C509" s="1" t="n">
        <v>45584</v>
      </c>
      <c r="D509" t="inlineStr">
        <is>
          <t>UPPSALA LÄN</t>
        </is>
      </c>
      <c r="E509" t="inlineStr">
        <is>
          <t>UPPSALA</t>
        </is>
      </c>
      <c r="F509" t="inlineStr">
        <is>
          <t>Övriga Aktiebolag</t>
        </is>
      </c>
      <c r="G509" t="n">
        <v>7.5</v>
      </c>
      <c r="H509" t="n">
        <v>0</v>
      </c>
      <c r="I509" t="n">
        <v>0</v>
      </c>
      <c r="J509" t="n">
        <v>0</v>
      </c>
      <c r="K509" t="n">
        <v>0</v>
      </c>
      <c r="L509" t="n">
        <v>0</v>
      </c>
      <c r="M509" t="n">
        <v>0</v>
      </c>
      <c r="N509" t="n">
        <v>0</v>
      </c>
      <c r="O509" t="n">
        <v>0</v>
      </c>
      <c r="P509" t="n">
        <v>0</v>
      </c>
      <c r="Q509" t="n">
        <v>0</v>
      </c>
      <c r="R509" s="2" t="inlineStr"/>
    </row>
    <row r="510" ht="15" customHeight="1">
      <c r="A510" t="inlineStr">
        <is>
          <t>A 51821-2021</t>
        </is>
      </c>
      <c r="B510" s="1" t="n">
        <v>44461</v>
      </c>
      <c r="C510" s="1" t="n">
        <v>45584</v>
      </c>
      <c r="D510" t="inlineStr">
        <is>
          <t>UPPSALA LÄN</t>
        </is>
      </c>
      <c r="E510" t="inlineStr">
        <is>
          <t>UPPSALA</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51396-2021</t>
        </is>
      </c>
      <c r="B511" s="1" t="n">
        <v>44461</v>
      </c>
      <c r="C511" s="1" t="n">
        <v>45584</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52083-2021</t>
        </is>
      </c>
      <c r="B512" s="1" t="n">
        <v>44463</v>
      </c>
      <c r="C512" s="1" t="n">
        <v>45584</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54168-2021</t>
        </is>
      </c>
      <c r="B513" s="1" t="n">
        <v>44470</v>
      </c>
      <c r="C513" s="1" t="n">
        <v>45584</v>
      </c>
      <c r="D513" t="inlineStr">
        <is>
          <t>UPPSALA LÄN</t>
        </is>
      </c>
      <c r="E513" t="inlineStr">
        <is>
          <t>UPPSALA</t>
        </is>
      </c>
      <c r="G513" t="n">
        <v>7.5</v>
      </c>
      <c r="H513" t="n">
        <v>0</v>
      </c>
      <c r="I513" t="n">
        <v>0</v>
      </c>
      <c r="J513" t="n">
        <v>0</v>
      </c>
      <c r="K513" t="n">
        <v>0</v>
      </c>
      <c r="L513" t="n">
        <v>0</v>
      </c>
      <c r="M513" t="n">
        <v>0</v>
      </c>
      <c r="N513" t="n">
        <v>0</v>
      </c>
      <c r="O513" t="n">
        <v>0</v>
      </c>
      <c r="P513" t="n">
        <v>0</v>
      </c>
      <c r="Q513" t="n">
        <v>0</v>
      </c>
      <c r="R513" s="2" t="inlineStr"/>
    </row>
    <row r="514" ht="15" customHeight="1">
      <c r="A514" t="inlineStr">
        <is>
          <t>A 55823-2021</t>
        </is>
      </c>
      <c r="B514" s="1" t="n">
        <v>44476</v>
      </c>
      <c r="C514" s="1" t="n">
        <v>45584</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56042-2021</t>
        </is>
      </c>
      <c r="B515" s="1" t="n">
        <v>44477</v>
      </c>
      <c r="C515" s="1" t="n">
        <v>45584</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56049-2021</t>
        </is>
      </c>
      <c r="B516" s="1" t="n">
        <v>44477</v>
      </c>
      <c r="C516" s="1" t="n">
        <v>45584</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56463-2021</t>
        </is>
      </c>
      <c r="B517" s="1" t="n">
        <v>44479</v>
      </c>
      <c r="C517" s="1" t="n">
        <v>45584</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56769-2021</t>
        </is>
      </c>
      <c r="B518" s="1" t="n">
        <v>44481</v>
      </c>
      <c r="C518" s="1" t="n">
        <v>45584</v>
      </c>
      <c r="D518" t="inlineStr">
        <is>
          <t>UPPSALA LÄN</t>
        </is>
      </c>
      <c r="E518" t="inlineStr">
        <is>
          <t>UPPSALA</t>
        </is>
      </c>
      <c r="G518" t="n">
        <v>3.8</v>
      </c>
      <c r="H518" t="n">
        <v>0</v>
      </c>
      <c r="I518" t="n">
        <v>0</v>
      </c>
      <c r="J518" t="n">
        <v>0</v>
      </c>
      <c r="K518" t="n">
        <v>0</v>
      </c>
      <c r="L518" t="n">
        <v>0</v>
      </c>
      <c r="M518" t="n">
        <v>0</v>
      </c>
      <c r="N518" t="n">
        <v>0</v>
      </c>
      <c r="O518" t="n">
        <v>0</v>
      </c>
      <c r="P518" t="n">
        <v>0</v>
      </c>
      <c r="Q518" t="n">
        <v>0</v>
      </c>
      <c r="R518" s="2" t="inlineStr"/>
    </row>
    <row r="519" ht="15" customHeight="1">
      <c r="A519" t="inlineStr">
        <is>
          <t>A 57647-2021</t>
        </is>
      </c>
      <c r="B519" s="1" t="n">
        <v>44484</v>
      </c>
      <c r="C519" s="1" t="n">
        <v>45584</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45584</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58767-2021</t>
        </is>
      </c>
      <c r="B521" s="1" t="n">
        <v>44489</v>
      </c>
      <c r="C521" s="1" t="n">
        <v>45584</v>
      </c>
      <c r="D521" t="inlineStr">
        <is>
          <t>UPPSALA LÄN</t>
        </is>
      </c>
      <c r="E521" t="inlineStr">
        <is>
          <t>UPPSALA</t>
        </is>
      </c>
      <c r="G521" t="n">
        <v>4.8</v>
      </c>
      <c r="H521" t="n">
        <v>0</v>
      </c>
      <c r="I521" t="n">
        <v>0</v>
      </c>
      <c r="J521" t="n">
        <v>0</v>
      </c>
      <c r="K521" t="n">
        <v>0</v>
      </c>
      <c r="L521" t="n">
        <v>0</v>
      </c>
      <c r="M521" t="n">
        <v>0</v>
      </c>
      <c r="N521" t="n">
        <v>0</v>
      </c>
      <c r="O521" t="n">
        <v>0</v>
      </c>
      <c r="P521" t="n">
        <v>0</v>
      </c>
      <c r="Q521" t="n">
        <v>0</v>
      </c>
      <c r="R521" s="2" t="inlineStr"/>
    </row>
    <row r="522" ht="15" customHeight="1">
      <c r="A522" t="inlineStr">
        <is>
          <t>A 58897-2021</t>
        </is>
      </c>
      <c r="B522" s="1" t="n">
        <v>44489</v>
      </c>
      <c r="C522" s="1" t="n">
        <v>45584</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59241-2021</t>
        </is>
      </c>
      <c r="B523" s="1" t="n">
        <v>44490</v>
      </c>
      <c r="C523" s="1" t="n">
        <v>45584</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59484-2021</t>
        </is>
      </c>
      <c r="B524" s="1" t="n">
        <v>44491</v>
      </c>
      <c r="C524" s="1" t="n">
        <v>45584</v>
      </c>
      <c r="D524" t="inlineStr">
        <is>
          <t>UPPSALA LÄN</t>
        </is>
      </c>
      <c r="E524" t="inlineStr">
        <is>
          <t>UPPSALA</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59500-2021</t>
        </is>
      </c>
      <c r="B525" s="1" t="n">
        <v>44491</v>
      </c>
      <c r="C525" s="1" t="n">
        <v>45584</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v>
      </c>
      <c r="C526" s="1" t="n">
        <v>45584</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45584</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60032-2021</t>
        </is>
      </c>
      <c r="B528" s="1" t="n">
        <v>44495</v>
      </c>
      <c r="C528" s="1" t="n">
        <v>45584</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61008-2021</t>
        </is>
      </c>
      <c r="B529" s="1" t="n">
        <v>44497</v>
      </c>
      <c r="C529" s="1" t="n">
        <v>45584</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60917-2021</t>
        </is>
      </c>
      <c r="B530" s="1" t="n">
        <v>44497</v>
      </c>
      <c r="C530" s="1" t="n">
        <v>45584</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60925-2021</t>
        </is>
      </c>
      <c r="B531" s="1" t="n">
        <v>44497</v>
      </c>
      <c r="C531" s="1" t="n">
        <v>45584</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61805-2021</t>
        </is>
      </c>
      <c r="B532" s="1" t="n">
        <v>44501</v>
      </c>
      <c r="C532" s="1" t="n">
        <v>45584</v>
      </c>
      <c r="D532" t="inlineStr">
        <is>
          <t>UPPSALA LÄN</t>
        </is>
      </c>
      <c r="E532" t="inlineStr">
        <is>
          <t>UPPSALA</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62471-2021</t>
        </is>
      </c>
      <c r="B533" s="1" t="n">
        <v>44503</v>
      </c>
      <c r="C533" s="1" t="n">
        <v>45584</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62865-2021</t>
        </is>
      </c>
      <c r="B534" s="1" t="n">
        <v>44504</v>
      </c>
      <c r="C534" s="1" t="n">
        <v>45584</v>
      </c>
      <c r="D534" t="inlineStr">
        <is>
          <t>UPPSALA LÄN</t>
        </is>
      </c>
      <c r="E534" t="inlineStr">
        <is>
          <t>UPPSALA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63011-2021</t>
        </is>
      </c>
      <c r="B535" s="1" t="n">
        <v>44504</v>
      </c>
      <c r="C535" s="1" t="n">
        <v>45584</v>
      </c>
      <c r="D535" t="inlineStr">
        <is>
          <t>UPPSALA LÄN</t>
        </is>
      </c>
      <c r="E535" t="inlineStr">
        <is>
          <t>UPPSALA</t>
        </is>
      </c>
      <c r="G535" t="n">
        <v>11.2</v>
      </c>
      <c r="H535" t="n">
        <v>0</v>
      </c>
      <c r="I535" t="n">
        <v>0</v>
      </c>
      <c r="J535" t="n">
        <v>0</v>
      </c>
      <c r="K535" t="n">
        <v>0</v>
      </c>
      <c r="L535" t="n">
        <v>0</v>
      </c>
      <c r="M535" t="n">
        <v>0</v>
      </c>
      <c r="N535" t="n">
        <v>0</v>
      </c>
      <c r="O535" t="n">
        <v>0</v>
      </c>
      <c r="P535" t="n">
        <v>0</v>
      </c>
      <c r="Q535" t="n">
        <v>0</v>
      </c>
      <c r="R535" s="2" t="inlineStr"/>
    </row>
    <row r="536" ht="15" customHeight="1">
      <c r="A536" t="inlineStr">
        <is>
          <t>A 63307-2021</t>
        </is>
      </c>
      <c r="B536" s="1" t="n">
        <v>44508</v>
      </c>
      <c r="C536" s="1" t="n">
        <v>45584</v>
      </c>
      <c r="D536" t="inlineStr">
        <is>
          <t>UPPSALA LÄN</t>
        </is>
      </c>
      <c r="E536" t="inlineStr">
        <is>
          <t>UPPSALA</t>
        </is>
      </c>
      <c r="F536" t="inlineStr">
        <is>
          <t>Bergvik skog öst AB</t>
        </is>
      </c>
      <c r="G536" t="n">
        <v>2.8</v>
      </c>
      <c r="H536" t="n">
        <v>0</v>
      </c>
      <c r="I536" t="n">
        <v>0</v>
      </c>
      <c r="J536" t="n">
        <v>0</v>
      </c>
      <c r="K536" t="n">
        <v>0</v>
      </c>
      <c r="L536" t="n">
        <v>0</v>
      </c>
      <c r="M536" t="n">
        <v>0</v>
      </c>
      <c r="N536" t="n">
        <v>0</v>
      </c>
      <c r="O536" t="n">
        <v>0</v>
      </c>
      <c r="P536" t="n">
        <v>0</v>
      </c>
      <c r="Q536" t="n">
        <v>0</v>
      </c>
      <c r="R536" s="2" t="inlineStr"/>
    </row>
    <row r="537" ht="15" customHeight="1">
      <c r="A537" t="inlineStr">
        <is>
          <t>A 64016-2021</t>
        </is>
      </c>
      <c r="B537" s="1" t="n">
        <v>44510</v>
      </c>
      <c r="C537" s="1" t="n">
        <v>45584</v>
      </c>
      <c r="D537" t="inlineStr">
        <is>
          <t>UPPSALA LÄN</t>
        </is>
      </c>
      <c r="E537" t="inlineStr">
        <is>
          <t>UPPSALA</t>
        </is>
      </c>
      <c r="G537" t="n">
        <v>2.1</v>
      </c>
      <c r="H537" t="n">
        <v>0</v>
      </c>
      <c r="I537" t="n">
        <v>0</v>
      </c>
      <c r="J537" t="n">
        <v>0</v>
      </c>
      <c r="K537" t="n">
        <v>0</v>
      </c>
      <c r="L537" t="n">
        <v>0</v>
      </c>
      <c r="M537" t="n">
        <v>0</v>
      </c>
      <c r="N537" t="n">
        <v>0</v>
      </c>
      <c r="O537" t="n">
        <v>0</v>
      </c>
      <c r="P537" t="n">
        <v>0</v>
      </c>
      <c r="Q537" t="n">
        <v>0</v>
      </c>
      <c r="R537" s="2" t="inlineStr"/>
    </row>
    <row r="538" ht="15" customHeight="1">
      <c r="A538" t="inlineStr">
        <is>
          <t>A 64857-2021</t>
        </is>
      </c>
      <c r="B538" s="1" t="n">
        <v>44512</v>
      </c>
      <c r="C538" s="1" t="n">
        <v>45584</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64856-2021</t>
        </is>
      </c>
      <c r="B539" s="1" t="n">
        <v>44512</v>
      </c>
      <c r="C539" s="1" t="n">
        <v>45584</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64858-2021</t>
        </is>
      </c>
      <c r="B540" s="1" t="n">
        <v>44512</v>
      </c>
      <c r="C540" s="1" t="n">
        <v>45584</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64855-2021</t>
        </is>
      </c>
      <c r="B541" s="1" t="n">
        <v>44512</v>
      </c>
      <c r="C541" s="1" t="n">
        <v>45584</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65132-2021</t>
        </is>
      </c>
      <c r="B542" s="1" t="n">
        <v>44515</v>
      </c>
      <c r="C542" s="1" t="n">
        <v>45584</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45584</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65695-2021</t>
        </is>
      </c>
      <c r="B544" s="1" t="n">
        <v>44516</v>
      </c>
      <c r="C544" s="1" t="n">
        <v>45584</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65809-2021</t>
        </is>
      </c>
      <c r="B545" s="1" t="n">
        <v>44517</v>
      </c>
      <c r="C545" s="1" t="n">
        <v>45584</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65811-2021</t>
        </is>
      </c>
      <c r="B546" s="1" t="n">
        <v>44517</v>
      </c>
      <c r="C546" s="1" t="n">
        <v>45584</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65964-2021</t>
        </is>
      </c>
      <c r="B547" s="1" t="n">
        <v>44517</v>
      </c>
      <c r="C547" s="1" t="n">
        <v>45584</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66239-2021</t>
        </is>
      </c>
      <c r="B548" s="1" t="n">
        <v>44518</v>
      </c>
      <c r="C548" s="1" t="n">
        <v>45584</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66690-2021</t>
        </is>
      </c>
      <c r="B549" s="1" t="n">
        <v>44519</v>
      </c>
      <c r="C549" s="1" t="n">
        <v>45584</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66686-2021</t>
        </is>
      </c>
      <c r="B550" s="1" t="n">
        <v>44519</v>
      </c>
      <c r="C550" s="1" t="n">
        <v>45584</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66794-2021</t>
        </is>
      </c>
      <c r="B551" s="1" t="n">
        <v>44522</v>
      </c>
      <c r="C551" s="1" t="n">
        <v>45584</v>
      </c>
      <c r="D551" t="inlineStr">
        <is>
          <t>UPPSALA LÄN</t>
        </is>
      </c>
      <c r="E551" t="inlineStr">
        <is>
          <t>UPPSALA</t>
        </is>
      </c>
      <c r="G551" t="n">
        <v>4.9</v>
      </c>
      <c r="H551" t="n">
        <v>0</v>
      </c>
      <c r="I551" t="n">
        <v>0</v>
      </c>
      <c r="J551" t="n">
        <v>0</v>
      </c>
      <c r="K551" t="n">
        <v>0</v>
      </c>
      <c r="L551" t="n">
        <v>0</v>
      </c>
      <c r="M551" t="n">
        <v>0</v>
      </c>
      <c r="N551" t="n">
        <v>0</v>
      </c>
      <c r="O551" t="n">
        <v>0</v>
      </c>
      <c r="P551" t="n">
        <v>0</v>
      </c>
      <c r="Q551" t="n">
        <v>0</v>
      </c>
      <c r="R551" s="2" t="inlineStr"/>
    </row>
    <row r="552" ht="15" customHeight="1">
      <c r="A552" t="inlineStr">
        <is>
          <t>A 66927-2021</t>
        </is>
      </c>
      <c r="B552" s="1" t="n">
        <v>44522</v>
      </c>
      <c r="C552" s="1" t="n">
        <v>45584</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66983-2021</t>
        </is>
      </c>
      <c r="B553" s="1" t="n">
        <v>44522</v>
      </c>
      <c r="C553" s="1" t="n">
        <v>45584</v>
      </c>
      <c r="D553" t="inlineStr">
        <is>
          <t>UPPSALA LÄN</t>
        </is>
      </c>
      <c r="E553" t="inlineStr">
        <is>
          <t>UPPSALA</t>
        </is>
      </c>
      <c r="G553" t="n">
        <v>2.5</v>
      </c>
      <c r="H553" t="n">
        <v>0</v>
      </c>
      <c r="I553" t="n">
        <v>0</v>
      </c>
      <c r="J553" t="n">
        <v>0</v>
      </c>
      <c r="K553" t="n">
        <v>0</v>
      </c>
      <c r="L553" t="n">
        <v>0</v>
      </c>
      <c r="M553" t="n">
        <v>0</v>
      </c>
      <c r="N553" t="n">
        <v>0</v>
      </c>
      <c r="O553" t="n">
        <v>0</v>
      </c>
      <c r="P553" t="n">
        <v>0</v>
      </c>
      <c r="Q553" t="n">
        <v>0</v>
      </c>
      <c r="R553" s="2" t="inlineStr"/>
    </row>
    <row r="554" ht="15" customHeight="1">
      <c r="A554" t="inlineStr">
        <is>
          <t>A 67991-2021</t>
        </is>
      </c>
      <c r="B554" s="1" t="n">
        <v>44525</v>
      </c>
      <c r="C554" s="1" t="n">
        <v>45584</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68696-2021</t>
        </is>
      </c>
      <c r="B555" s="1" t="n">
        <v>44526</v>
      </c>
      <c r="C555" s="1" t="n">
        <v>45584</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45584</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68296-2021</t>
        </is>
      </c>
      <c r="B557" s="1" t="n">
        <v>44526</v>
      </c>
      <c r="C557" s="1" t="n">
        <v>45584</v>
      </c>
      <c r="D557" t="inlineStr">
        <is>
          <t>UPPSALA LÄN</t>
        </is>
      </c>
      <c r="E557" t="inlineStr">
        <is>
          <t>UPPSALA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69067-2021</t>
        </is>
      </c>
      <c r="B558" s="1" t="n">
        <v>44530</v>
      </c>
      <c r="C558" s="1" t="n">
        <v>45584</v>
      </c>
      <c r="D558" t="inlineStr">
        <is>
          <t>UPPSALA LÄN</t>
        </is>
      </c>
      <c r="E558" t="inlineStr">
        <is>
          <t>UPPSALA</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69432-2021</t>
        </is>
      </c>
      <c r="B559" s="1" t="n">
        <v>44531</v>
      </c>
      <c r="C559" s="1" t="n">
        <v>45584</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69214-2021</t>
        </is>
      </c>
      <c r="B560" s="1" t="n">
        <v>44531</v>
      </c>
      <c r="C560" s="1" t="n">
        <v>45584</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69397-2021</t>
        </is>
      </c>
      <c r="B561" s="1" t="n">
        <v>44531</v>
      </c>
      <c r="C561" s="1" t="n">
        <v>45584</v>
      </c>
      <c r="D561" t="inlineStr">
        <is>
          <t>UPPSALA LÄN</t>
        </is>
      </c>
      <c r="E561" t="inlineStr">
        <is>
          <t>UPPSALA</t>
        </is>
      </c>
      <c r="F561" t="inlineStr">
        <is>
          <t>Bergvik skog öst AB</t>
        </is>
      </c>
      <c r="G561" t="n">
        <v>3.3</v>
      </c>
      <c r="H561" t="n">
        <v>0</v>
      </c>
      <c r="I561" t="n">
        <v>0</v>
      </c>
      <c r="J561" t="n">
        <v>0</v>
      </c>
      <c r="K561" t="n">
        <v>0</v>
      </c>
      <c r="L561" t="n">
        <v>0</v>
      </c>
      <c r="M561" t="n">
        <v>0</v>
      </c>
      <c r="N561" t="n">
        <v>0</v>
      </c>
      <c r="O561" t="n">
        <v>0</v>
      </c>
      <c r="P561" t="n">
        <v>0</v>
      </c>
      <c r="Q561" t="n">
        <v>0</v>
      </c>
      <c r="R561" s="2" t="inlineStr"/>
    </row>
    <row r="562" ht="15" customHeight="1">
      <c r="A562" t="inlineStr">
        <is>
          <t>A 69436-2021</t>
        </is>
      </c>
      <c r="B562" s="1" t="n">
        <v>44531</v>
      </c>
      <c r="C562" s="1" t="n">
        <v>45584</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69439-2021</t>
        </is>
      </c>
      <c r="B563" s="1" t="n">
        <v>44531</v>
      </c>
      <c r="C563" s="1" t="n">
        <v>45584</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69711-2021</t>
        </is>
      </c>
      <c r="B564" s="1" t="n">
        <v>44532</v>
      </c>
      <c r="C564" s="1" t="n">
        <v>45584</v>
      </c>
      <c r="D564" t="inlineStr">
        <is>
          <t>UPPSALA LÄN</t>
        </is>
      </c>
      <c r="E564" t="inlineStr">
        <is>
          <t>UPPSALA</t>
        </is>
      </c>
      <c r="G564" t="n">
        <v>10.2</v>
      </c>
      <c r="H564" t="n">
        <v>0</v>
      </c>
      <c r="I564" t="n">
        <v>0</v>
      </c>
      <c r="J564" t="n">
        <v>0</v>
      </c>
      <c r="K564" t="n">
        <v>0</v>
      </c>
      <c r="L564" t="n">
        <v>0</v>
      </c>
      <c r="M564" t="n">
        <v>0</v>
      </c>
      <c r="N564" t="n">
        <v>0</v>
      </c>
      <c r="O564" t="n">
        <v>0</v>
      </c>
      <c r="P564" t="n">
        <v>0</v>
      </c>
      <c r="Q564" t="n">
        <v>0</v>
      </c>
      <c r="R564" s="2" t="inlineStr"/>
    </row>
    <row r="565" ht="15" customHeight="1">
      <c r="A565" t="inlineStr">
        <is>
          <t>A 69595-2021</t>
        </is>
      </c>
      <c r="B565" s="1" t="n">
        <v>44532</v>
      </c>
      <c r="C565" s="1" t="n">
        <v>45584</v>
      </c>
      <c r="D565" t="inlineStr">
        <is>
          <t>UPPSALA LÄN</t>
        </is>
      </c>
      <c r="E565" t="inlineStr">
        <is>
          <t>UPPSALA</t>
        </is>
      </c>
      <c r="G565" t="n">
        <v>3.9</v>
      </c>
      <c r="H565" t="n">
        <v>0</v>
      </c>
      <c r="I565" t="n">
        <v>0</v>
      </c>
      <c r="J565" t="n">
        <v>0</v>
      </c>
      <c r="K565" t="n">
        <v>0</v>
      </c>
      <c r="L565" t="n">
        <v>0</v>
      </c>
      <c r="M565" t="n">
        <v>0</v>
      </c>
      <c r="N565" t="n">
        <v>0</v>
      </c>
      <c r="O565" t="n">
        <v>0</v>
      </c>
      <c r="P565" t="n">
        <v>0</v>
      </c>
      <c r="Q565" t="n">
        <v>0</v>
      </c>
      <c r="R565" s="2" t="inlineStr"/>
    </row>
    <row r="566" ht="15" customHeight="1">
      <c r="A566" t="inlineStr">
        <is>
          <t>A 69698-2021</t>
        </is>
      </c>
      <c r="B566" s="1" t="n">
        <v>44532</v>
      </c>
      <c r="C566" s="1" t="n">
        <v>45584</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69691-2021</t>
        </is>
      </c>
      <c r="B567" s="1" t="n">
        <v>44532</v>
      </c>
      <c r="C567" s="1" t="n">
        <v>45584</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70032-2021</t>
        </is>
      </c>
      <c r="B568" s="1" t="n">
        <v>44533</v>
      </c>
      <c r="C568" s="1" t="n">
        <v>45584</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70031-2021</t>
        </is>
      </c>
      <c r="B569" s="1" t="n">
        <v>44533</v>
      </c>
      <c r="C569" s="1" t="n">
        <v>45584</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70359-2021</t>
        </is>
      </c>
      <c r="B570" s="1" t="n">
        <v>44535</v>
      </c>
      <c r="C570" s="1" t="n">
        <v>45584</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70228-2021</t>
        </is>
      </c>
      <c r="B571" s="1" t="n">
        <v>44535</v>
      </c>
      <c r="C571" s="1" t="n">
        <v>45584</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70996-2021</t>
        </is>
      </c>
      <c r="B572" s="1" t="n">
        <v>44538</v>
      </c>
      <c r="C572" s="1" t="n">
        <v>45584</v>
      </c>
      <c r="D572" t="inlineStr">
        <is>
          <t>UPPSALA LÄN</t>
        </is>
      </c>
      <c r="E572" t="inlineStr">
        <is>
          <t>UPPSALA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71563-2021</t>
        </is>
      </c>
      <c r="B573" s="1" t="n">
        <v>44540</v>
      </c>
      <c r="C573" s="1" t="n">
        <v>45584</v>
      </c>
      <c r="D573" t="inlineStr">
        <is>
          <t>UPPSALA LÄN</t>
        </is>
      </c>
      <c r="E573" t="inlineStr">
        <is>
          <t>UPPSALA</t>
        </is>
      </c>
      <c r="F573" t="inlineStr">
        <is>
          <t>Allmännings- och besparingsskogar</t>
        </is>
      </c>
      <c r="G573" t="n">
        <v>7.7</v>
      </c>
      <c r="H573" t="n">
        <v>0</v>
      </c>
      <c r="I573" t="n">
        <v>0</v>
      </c>
      <c r="J573" t="n">
        <v>0</v>
      </c>
      <c r="K573" t="n">
        <v>0</v>
      </c>
      <c r="L573" t="n">
        <v>0</v>
      </c>
      <c r="M573" t="n">
        <v>0</v>
      </c>
      <c r="N573" t="n">
        <v>0</v>
      </c>
      <c r="O573" t="n">
        <v>0</v>
      </c>
      <c r="P573" t="n">
        <v>0</v>
      </c>
      <c r="Q573" t="n">
        <v>0</v>
      </c>
      <c r="R573" s="2" t="inlineStr"/>
    </row>
    <row r="574" ht="15" customHeight="1">
      <c r="A574" t="inlineStr">
        <is>
          <t>A 71675-2021</t>
        </is>
      </c>
      <c r="B574" s="1" t="n">
        <v>44543</v>
      </c>
      <c r="C574" s="1" t="n">
        <v>45584</v>
      </c>
      <c r="D574" t="inlineStr">
        <is>
          <t>UPPSALA LÄN</t>
        </is>
      </c>
      <c r="E574" t="inlineStr">
        <is>
          <t>UPPSALA</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71643-2021</t>
        </is>
      </c>
      <c r="B575" s="1" t="n">
        <v>44543</v>
      </c>
      <c r="C575" s="1" t="n">
        <v>45584</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71671-2021</t>
        </is>
      </c>
      <c r="B576" s="1" t="n">
        <v>44543</v>
      </c>
      <c r="C576" s="1" t="n">
        <v>45584</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72225-2021</t>
        </is>
      </c>
      <c r="B577" s="1" t="n">
        <v>44544</v>
      </c>
      <c r="C577" s="1" t="n">
        <v>45584</v>
      </c>
      <c r="D577" t="inlineStr">
        <is>
          <t>UPPSALA LÄN</t>
        </is>
      </c>
      <c r="E577" t="inlineStr">
        <is>
          <t>UPPSALA</t>
        </is>
      </c>
      <c r="G577" t="n">
        <v>6.2</v>
      </c>
      <c r="H577" t="n">
        <v>0</v>
      </c>
      <c r="I577" t="n">
        <v>0</v>
      </c>
      <c r="J577" t="n">
        <v>0</v>
      </c>
      <c r="K577" t="n">
        <v>0</v>
      </c>
      <c r="L577" t="n">
        <v>0</v>
      </c>
      <c r="M577" t="n">
        <v>0</v>
      </c>
      <c r="N577" t="n">
        <v>0</v>
      </c>
      <c r="O577" t="n">
        <v>0</v>
      </c>
      <c r="P577" t="n">
        <v>0</v>
      </c>
      <c r="Q577" t="n">
        <v>0</v>
      </c>
      <c r="R577" s="2" t="inlineStr"/>
    </row>
    <row r="578" ht="15" customHeight="1">
      <c r="A578" t="inlineStr">
        <is>
          <t>A 72224-2021</t>
        </is>
      </c>
      <c r="B578" s="1" t="n">
        <v>44544</v>
      </c>
      <c r="C578" s="1" t="n">
        <v>45584</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72973-2021</t>
        </is>
      </c>
      <c r="B579" s="1" t="n">
        <v>44548</v>
      </c>
      <c r="C579" s="1" t="n">
        <v>45584</v>
      </c>
      <c r="D579" t="inlineStr">
        <is>
          <t>UPPSALA LÄN</t>
        </is>
      </c>
      <c r="E579" t="inlineStr">
        <is>
          <t>UPPSALA</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73326-2021</t>
        </is>
      </c>
      <c r="B580" s="1" t="n">
        <v>44548</v>
      </c>
      <c r="C580" s="1" t="n">
        <v>45584</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73044-2021</t>
        </is>
      </c>
      <c r="B581" s="1" t="n">
        <v>44550</v>
      </c>
      <c r="C581" s="1" t="n">
        <v>45584</v>
      </c>
      <c r="D581" t="inlineStr">
        <is>
          <t>UPPSALA LÄN</t>
        </is>
      </c>
      <c r="E581" t="inlineStr">
        <is>
          <t>UPPSALA</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73468-2021</t>
        </is>
      </c>
      <c r="B582" s="1" t="n">
        <v>44551</v>
      </c>
      <c r="C582" s="1" t="n">
        <v>45584</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73518-2021</t>
        </is>
      </c>
      <c r="B583" s="1" t="n">
        <v>44551</v>
      </c>
      <c r="C583" s="1" t="n">
        <v>45584</v>
      </c>
      <c r="D583" t="inlineStr">
        <is>
          <t>UPPSALA LÄN</t>
        </is>
      </c>
      <c r="E583" t="inlineStr">
        <is>
          <t>UPPSALA</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73531-2021</t>
        </is>
      </c>
      <c r="B584" s="1" t="n">
        <v>44551</v>
      </c>
      <c r="C584" s="1" t="n">
        <v>45584</v>
      </c>
      <c r="D584" t="inlineStr">
        <is>
          <t>UPPSALA LÄN</t>
        </is>
      </c>
      <c r="E584" t="inlineStr">
        <is>
          <t>UPPSALA</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45584</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74023-2021</t>
        </is>
      </c>
      <c r="B586" s="1" t="n">
        <v>44553</v>
      </c>
      <c r="C586" s="1" t="n">
        <v>45584</v>
      </c>
      <c r="D586" t="inlineStr">
        <is>
          <t>UPPSALA LÄN</t>
        </is>
      </c>
      <c r="E586" t="inlineStr">
        <is>
          <t>UPPSALA</t>
        </is>
      </c>
      <c r="G586" t="n">
        <v>5.4</v>
      </c>
      <c r="H586" t="n">
        <v>0</v>
      </c>
      <c r="I586" t="n">
        <v>0</v>
      </c>
      <c r="J586" t="n">
        <v>0</v>
      </c>
      <c r="K586" t="n">
        <v>0</v>
      </c>
      <c r="L586" t="n">
        <v>0</v>
      </c>
      <c r="M586" t="n">
        <v>0</v>
      </c>
      <c r="N586" t="n">
        <v>0</v>
      </c>
      <c r="O586" t="n">
        <v>0</v>
      </c>
      <c r="P586" t="n">
        <v>0</v>
      </c>
      <c r="Q586" t="n">
        <v>0</v>
      </c>
      <c r="R586" s="2" t="inlineStr"/>
    </row>
    <row r="587" ht="15" customHeight="1">
      <c r="A587" t="inlineStr">
        <is>
          <t>A 74493-2021</t>
        </is>
      </c>
      <c r="B587" s="1" t="n">
        <v>44560</v>
      </c>
      <c r="C587" s="1" t="n">
        <v>45584</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74495-2021</t>
        </is>
      </c>
      <c r="B588" s="1" t="n">
        <v>44560</v>
      </c>
      <c r="C588" s="1" t="n">
        <v>45584</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612-2022</t>
        </is>
      </c>
      <c r="B589" s="1" t="n">
        <v>44567</v>
      </c>
      <c r="C589" s="1" t="n">
        <v>45584</v>
      </c>
      <c r="D589" t="inlineStr">
        <is>
          <t>UPPSALA LÄN</t>
        </is>
      </c>
      <c r="E589" t="inlineStr">
        <is>
          <t>UPPSALA</t>
        </is>
      </c>
      <c r="F589" t="inlineStr">
        <is>
          <t>Holmen skog AB</t>
        </is>
      </c>
      <c r="G589" t="n">
        <v>6.6</v>
      </c>
      <c r="H589" t="n">
        <v>0</v>
      </c>
      <c r="I589" t="n">
        <v>0</v>
      </c>
      <c r="J589" t="n">
        <v>0</v>
      </c>
      <c r="K589" t="n">
        <v>0</v>
      </c>
      <c r="L589" t="n">
        <v>0</v>
      </c>
      <c r="M589" t="n">
        <v>0</v>
      </c>
      <c r="N589" t="n">
        <v>0</v>
      </c>
      <c r="O589" t="n">
        <v>0</v>
      </c>
      <c r="P589" t="n">
        <v>0</v>
      </c>
      <c r="Q589" t="n">
        <v>0</v>
      </c>
      <c r="R589" s="2" t="inlineStr"/>
    </row>
    <row r="590" ht="15" customHeight="1">
      <c r="A590" t="inlineStr">
        <is>
          <t>A 733-2022</t>
        </is>
      </c>
      <c r="B590" s="1" t="n">
        <v>44568</v>
      </c>
      <c r="C590" s="1" t="n">
        <v>45584</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v>
      </c>
      <c r="C591" s="1" t="n">
        <v>45584</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750-2022</t>
        </is>
      </c>
      <c r="B592" s="1" t="n">
        <v>44569</v>
      </c>
      <c r="C592" s="1" t="n">
        <v>45584</v>
      </c>
      <c r="D592" t="inlineStr">
        <is>
          <t>UPPSALA LÄN</t>
        </is>
      </c>
      <c r="E592" t="inlineStr">
        <is>
          <t>UPPSALA</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759-2022</t>
        </is>
      </c>
      <c r="B593" s="1" t="n">
        <v>44569</v>
      </c>
      <c r="C593" s="1" t="n">
        <v>45584</v>
      </c>
      <c r="D593" t="inlineStr">
        <is>
          <t>UPPSALA LÄN</t>
        </is>
      </c>
      <c r="E593" t="inlineStr">
        <is>
          <t>UPPSALA</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758-2022</t>
        </is>
      </c>
      <c r="B594" s="1" t="n">
        <v>44569</v>
      </c>
      <c r="C594" s="1" t="n">
        <v>45584</v>
      </c>
      <c r="D594" t="inlineStr">
        <is>
          <t>UPPSALA LÄN</t>
        </is>
      </c>
      <c r="E594" t="inlineStr">
        <is>
          <t>UPPSALA</t>
        </is>
      </c>
      <c r="F594" t="inlineStr">
        <is>
          <t>Holmen skog AB</t>
        </is>
      </c>
      <c r="G594" t="n">
        <v>5.2</v>
      </c>
      <c r="H594" t="n">
        <v>0</v>
      </c>
      <c r="I594" t="n">
        <v>0</v>
      </c>
      <c r="J594" t="n">
        <v>0</v>
      </c>
      <c r="K594" t="n">
        <v>0</v>
      </c>
      <c r="L594" t="n">
        <v>0</v>
      </c>
      <c r="M594" t="n">
        <v>0</v>
      </c>
      <c r="N594" t="n">
        <v>0</v>
      </c>
      <c r="O594" t="n">
        <v>0</v>
      </c>
      <c r="P594" t="n">
        <v>0</v>
      </c>
      <c r="Q594" t="n">
        <v>0</v>
      </c>
      <c r="R594" s="2" t="inlineStr"/>
    </row>
    <row r="595" ht="15" customHeight="1">
      <c r="A595" t="inlineStr">
        <is>
          <t>A 917-2022</t>
        </is>
      </c>
      <c r="B595" s="1" t="n">
        <v>44571</v>
      </c>
      <c r="C595" s="1" t="n">
        <v>45584</v>
      </c>
      <c r="D595" t="inlineStr">
        <is>
          <t>UPPSALA LÄN</t>
        </is>
      </c>
      <c r="E595" t="inlineStr">
        <is>
          <t>UPPSALA</t>
        </is>
      </c>
      <c r="F595" t="inlineStr">
        <is>
          <t>Bergvik skog öst AB</t>
        </is>
      </c>
      <c r="G595" t="n">
        <v>4.1</v>
      </c>
      <c r="H595" t="n">
        <v>0</v>
      </c>
      <c r="I595" t="n">
        <v>0</v>
      </c>
      <c r="J595" t="n">
        <v>0</v>
      </c>
      <c r="K595" t="n">
        <v>0</v>
      </c>
      <c r="L595" t="n">
        <v>0</v>
      </c>
      <c r="M595" t="n">
        <v>0</v>
      </c>
      <c r="N595" t="n">
        <v>0</v>
      </c>
      <c r="O595" t="n">
        <v>0</v>
      </c>
      <c r="P595" t="n">
        <v>0</v>
      </c>
      <c r="Q595" t="n">
        <v>0</v>
      </c>
      <c r="R595" s="2" t="inlineStr"/>
    </row>
    <row r="596" ht="15" customHeight="1">
      <c r="A596" t="inlineStr">
        <is>
          <t>A 874-2022</t>
        </is>
      </c>
      <c r="B596" s="1" t="n">
        <v>44571</v>
      </c>
      <c r="C596" s="1" t="n">
        <v>45584</v>
      </c>
      <c r="D596" t="inlineStr">
        <is>
          <t>UPPSALA LÄN</t>
        </is>
      </c>
      <c r="E596" t="inlineStr">
        <is>
          <t>UPPSALA</t>
        </is>
      </c>
      <c r="G596" t="n">
        <v>7.2</v>
      </c>
      <c r="H596" t="n">
        <v>0</v>
      </c>
      <c r="I596" t="n">
        <v>0</v>
      </c>
      <c r="J596" t="n">
        <v>0</v>
      </c>
      <c r="K596" t="n">
        <v>0</v>
      </c>
      <c r="L596" t="n">
        <v>0</v>
      </c>
      <c r="M596" t="n">
        <v>0</v>
      </c>
      <c r="N596" t="n">
        <v>0</v>
      </c>
      <c r="O596" t="n">
        <v>0</v>
      </c>
      <c r="P596" t="n">
        <v>0</v>
      </c>
      <c r="Q596" t="n">
        <v>0</v>
      </c>
      <c r="R596" s="2" t="inlineStr"/>
    </row>
    <row r="597" ht="15" customHeight="1">
      <c r="A597" t="inlineStr">
        <is>
          <t>A 1037-2022</t>
        </is>
      </c>
      <c r="B597" s="1" t="n">
        <v>44571</v>
      </c>
      <c r="C597" s="1" t="n">
        <v>45584</v>
      </c>
      <c r="D597" t="inlineStr">
        <is>
          <t>UPPSALA LÄN</t>
        </is>
      </c>
      <c r="E597" t="inlineStr">
        <is>
          <t>UPPSALA</t>
        </is>
      </c>
      <c r="F597" t="inlineStr">
        <is>
          <t>Holmen skog AB</t>
        </is>
      </c>
      <c r="G597" t="n">
        <v>2.7</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v>
      </c>
      <c r="C598" s="1" t="n">
        <v>45584</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1298-2022</t>
        </is>
      </c>
      <c r="B599" s="1" t="n">
        <v>44572</v>
      </c>
      <c r="C599" s="1" t="n">
        <v>45584</v>
      </c>
      <c r="D599" t="inlineStr">
        <is>
          <t>UPPSALA LÄN</t>
        </is>
      </c>
      <c r="E599" t="inlineStr">
        <is>
          <t>UPPSALA</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1731-2022</t>
        </is>
      </c>
      <c r="B600" s="1" t="n">
        <v>44574</v>
      </c>
      <c r="C600" s="1" t="n">
        <v>45584</v>
      </c>
      <c r="D600" t="inlineStr">
        <is>
          <t>UPPSALA LÄN</t>
        </is>
      </c>
      <c r="E600" t="inlineStr">
        <is>
          <t>UPPSALA</t>
        </is>
      </c>
      <c r="G600" t="n">
        <v>10.1</v>
      </c>
      <c r="H600" t="n">
        <v>0</v>
      </c>
      <c r="I600" t="n">
        <v>0</v>
      </c>
      <c r="J600" t="n">
        <v>0</v>
      </c>
      <c r="K600" t="n">
        <v>0</v>
      </c>
      <c r="L600" t="n">
        <v>0</v>
      </c>
      <c r="M600" t="n">
        <v>0</v>
      </c>
      <c r="N600" t="n">
        <v>0</v>
      </c>
      <c r="O600" t="n">
        <v>0</v>
      </c>
      <c r="P600" t="n">
        <v>0</v>
      </c>
      <c r="Q600" t="n">
        <v>0</v>
      </c>
      <c r="R600" s="2" t="inlineStr"/>
    </row>
    <row r="601" ht="15" customHeight="1">
      <c r="A601" t="inlineStr">
        <is>
          <t>A 1963-2022</t>
        </is>
      </c>
      <c r="B601" s="1" t="n">
        <v>44575</v>
      </c>
      <c r="C601" s="1" t="n">
        <v>45584</v>
      </c>
      <c r="D601" t="inlineStr">
        <is>
          <t>UPPSALA LÄN</t>
        </is>
      </c>
      <c r="E601" t="inlineStr">
        <is>
          <t>UPPSALA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1975-2022</t>
        </is>
      </c>
      <c r="B602" s="1" t="n">
        <v>44575</v>
      </c>
      <c r="C602" s="1" t="n">
        <v>45584</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1936-2022</t>
        </is>
      </c>
      <c r="B603" s="1" t="n">
        <v>44575</v>
      </c>
      <c r="C603" s="1" t="n">
        <v>45584</v>
      </c>
      <c r="D603" t="inlineStr">
        <is>
          <t>UPPSALA LÄN</t>
        </is>
      </c>
      <c r="E603" t="inlineStr">
        <is>
          <t>UPPSALA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1978-2022</t>
        </is>
      </c>
      <c r="B604" s="1" t="n">
        <v>44575</v>
      </c>
      <c r="C604" s="1" t="n">
        <v>45584</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2017-2022</t>
        </is>
      </c>
      <c r="B605" s="1" t="n">
        <v>44575</v>
      </c>
      <c r="C605" s="1" t="n">
        <v>45584</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2228-2022</t>
        </is>
      </c>
      <c r="B606" s="1" t="n">
        <v>44578</v>
      </c>
      <c r="C606" s="1" t="n">
        <v>45584</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2927-2022</t>
        </is>
      </c>
      <c r="B607" s="1" t="n">
        <v>44581</v>
      </c>
      <c r="C607" s="1" t="n">
        <v>45584</v>
      </c>
      <c r="D607" t="inlineStr">
        <is>
          <t>UPPSALA LÄN</t>
        </is>
      </c>
      <c r="E607" t="inlineStr">
        <is>
          <t>UPPSALA</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3259-2022</t>
        </is>
      </c>
      <c r="B608" s="1" t="n">
        <v>44583</v>
      </c>
      <c r="C608" s="1" t="n">
        <v>45584</v>
      </c>
      <c r="D608" t="inlineStr">
        <is>
          <t>UPPSALA LÄN</t>
        </is>
      </c>
      <c r="E608" t="inlineStr">
        <is>
          <t>UPPSALA</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3261-2022</t>
        </is>
      </c>
      <c r="B609" s="1" t="n">
        <v>44583</v>
      </c>
      <c r="C609" s="1" t="n">
        <v>45584</v>
      </c>
      <c r="D609" t="inlineStr">
        <is>
          <t>UPPSALA LÄN</t>
        </is>
      </c>
      <c r="E609" t="inlineStr">
        <is>
          <t>UPPSALA</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3252-2022</t>
        </is>
      </c>
      <c r="B610" s="1" t="n">
        <v>44583</v>
      </c>
      <c r="C610" s="1" t="n">
        <v>45584</v>
      </c>
      <c r="D610" t="inlineStr">
        <is>
          <t>UPPSALA LÄN</t>
        </is>
      </c>
      <c r="E610" t="inlineStr">
        <is>
          <t>UPPSALA</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3258-2022</t>
        </is>
      </c>
      <c r="B611" s="1" t="n">
        <v>44583</v>
      </c>
      <c r="C611" s="1" t="n">
        <v>45584</v>
      </c>
      <c r="D611" t="inlineStr">
        <is>
          <t>UPPSALA LÄN</t>
        </is>
      </c>
      <c r="E611" t="inlineStr">
        <is>
          <t>UPPSALA</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3262-2022</t>
        </is>
      </c>
      <c r="B612" s="1" t="n">
        <v>44583</v>
      </c>
      <c r="C612" s="1" t="n">
        <v>45584</v>
      </c>
      <c r="D612" t="inlineStr">
        <is>
          <t>UPPSALA LÄN</t>
        </is>
      </c>
      <c r="E612" t="inlineStr">
        <is>
          <t>UPPSALA</t>
        </is>
      </c>
      <c r="F612" t="inlineStr">
        <is>
          <t>Holmen skog AB</t>
        </is>
      </c>
      <c r="G612" t="n">
        <v>5.4</v>
      </c>
      <c r="H612" t="n">
        <v>0</v>
      </c>
      <c r="I612" t="n">
        <v>0</v>
      </c>
      <c r="J612" t="n">
        <v>0</v>
      </c>
      <c r="K612" t="n">
        <v>0</v>
      </c>
      <c r="L612" t="n">
        <v>0</v>
      </c>
      <c r="M612" t="n">
        <v>0</v>
      </c>
      <c r="N612" t="n">
        <v>0</v>
      </c>
      <c r="O612" t="n">
        <v>0</v>
      </c>
      <c r="P612" t="n">
        <v>0</v>
      </c>
      <c r="Q612" t="n">
        <v>0</v>
      </c>
      <c r="R612" s="2" t="inlineStr"/>
    </row>
    <row r="613" ht="15" customHeight="1">
      <c r="A613" t="inlineStr">
        <is>
          <t>A 3255-2022</t>
        </is>
      </c>
      <c r="B613" s="1" t="n">
        <v>44583</v>
      </c>
      <c r="C613" s="1" t="n">
        <v>45584</v>
      </c>
      <c r="D613" t="inlineStr">
        <is>
          <t>UPPSALA LÄN</t>
        </is>
      </c>
      <c r="E613" t="inlineStr">
        <is>
          <t>UPPSALA</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3260-2022</t>
        </is>
      </c>
      <c r="B614" s="1" t="n">
        <v>44583</v>
      </c>
      <c r="C614" s="1" t="n">
        <v>45584</v>
      </c>
      <c r="D614" t="inlineStr">
        <is>
          <t>UPPSALA LÄN</t>
        </is>
      </c>
      <c r="E614" t="inlineStr">
        <is>
          <t>UPPSALA</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3284-2022</t>
        </is>
      </c>
      <c r="B615" s="1" t="n">
        <v>44584</v>
      </c>
      <c r="C615" s="1" t="n">
        <v>45584</v>
      </c>
      <c r="D615" t="inlineStr">
        <is>
          <t>UPPSALA LÄN</t>
        </is>
      </c>
      <c r="E615" t="inlineStr">
        <is>
          <t>UPPSALA</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3287-2022</t>
        </is>
      </c>
      <c r="B616" s="1" t="n">
        <v>44584</v>
      </c>
      <c r="C616" s="1" t="n">
        <v>45584</v>
      </c>
      <c r="D616" t="inlineStr">
        <is>
          <t>UPPSALA LÄN</t>
        </is>
      </c>
      <c r="E616" t="inlineStr">
        <is>
          <t>UPPSALA</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4059-2022</t>
        </is>
      </c>
      <c r="B617" s="1" t="n">
        <v>44588</v>
      </c>
      <c r="C617" s="1" t="n">
        <v>45584</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4312-2022</t>
        </is>
      </c>
      <c r="B618" s="1" t="n">
        <v>44588</v>
      </c>
      <c r="C618" s="1" t="n">
        <v>45584</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4444-2022</t>
        </is>
      </c>
      <c r="B619" s="1" t="n">
        <v>44589</v>
      </c>
      <c r="C619" s="1" t="n">
        <v>45584</v>
      </c>
      <c r="D619" t="inlineStr">
        <is>
          <t>UPPSALA LÄN</t>
        </is>
      </c>
      <c r="E619" t="inlineStr">
        <is>
          <t>UPPSALA</t>
        </is>
      </c>
      <c r="G619" t="n">
        <v>3.2</v>
      </c>
      <c r="H619" t="n">
        <v>0</v>
      </c>
      <c r="I619" t="n">
        <v>0</v>
      </c>
      <c r="J619" t="n">
        <v>0</v>
      </c>
      <c r="K619" t="n">
        <v>0</v>
      </c>
      <c r="L619" t="n">
        <v>0</v>
      </c>
      <c r="M619" t="n">
        <v>0</v>
      </c>
      <c r="N619" t="n">
        <v>0</v>
      </c>
      <c r="O619" t="n">
        <v>0</v>
      </c>
      <c r="P619" t="n">
        <v>0</v>
      </c>
      <c r="Q619" t="n">
        <v>0</v>
      </c>
      <c r="R619" s="2" t="inlineStr"/>
    </row>
    <row r="620" ht="15" customHeight="1">
      <c r="A620" t="inlineStr">
        <is>
          <t>A 4929-2022</t>
        </is>
      </c>
      <c r="B620" s="1" t="n">
        <v>44593</v>
      </c>
      <c r="C620" s="1" t="n">
        <v>45584</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5027-2022</t>
        </is>
      </c>
      <c r="B621" s="1" t="n">
        <v>44593</v>
      </c>
      <c r="C621" s="1" t="n">
        <v>45584</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5081-2022</t>
        </is>
      </c>
      <c r="B622" s="1" t="n">
        <v>44593</v>
      </c>
      <c r="C622" s="1" t="n">
        <v>45584</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5007-2022</t>
        </is>
      </c>
      <c r="B623" s="1" t="n">
        <v>44593</v>
      </c>
      <c r="C623" s="1" t="n">
        <v>45584</v>
      </c>
      <c r="D623" t="inlineStr">
        <is>
          <t>UPPSALA LÄN</t>
        </is>
      </c>
      <c r="E623" t="inlineStr">
        <is>
          <t>UPPSALA</t>
        </is>
      </c>
      <c r="F623" t="inlineStr">
        <is>
          <t>BillerudKorsnäs AB</t>
        </is>
      </c>
      <c r="G623" t="n">
        <v>3.6</v>
      </c>
      <c r="H623" t="n">
        <v>0</v>
      </c>
      <c r="I623" t="n">
        <v>0</v>
      </c>
      <c r="J623" t="n">
        <v>0</v>
      </c>
      <c r="K623" t="n">
        <v>0</v>
      </c>
      <c r="L623" t="n">
        <v>0</v>
      </c>
      <c r="M623" t="n">
        <v>0</v>
      </c>
      <c r="N623" t="n">
        <v>0</v>
      </c>
      <c r="O623" t="n">
        <v>0</v>
      </c>
      <c r="P623" t="n">
        <v>0</v>
      </c>
      <c r="Q623" t="n">
        <v>0</v>
      </c>
      <c r="R623" s="2" t="inlineStr"/>
    </row>
    <row r="624" ht="15" customHeight="1">
      <c r="A624" t="inlineStr">
        <is>
          <t>A 5006-2022</t>
        </is>
      </c>
      <c r="B624" s="1" t="n">
        <v>44593</v>
      </c>
      <c r="C624" s="1" t="n">
        <v>45584</v>
      </c>
      <c r="D624" t="inlineStr">
        <is>
          <t>UPPSALA LÄN</t>
        </is>
      </c>
      <c r="E624" t="inlineStr">
        <is>
          <t>UPPSALA</t>
        </is>
      </c>
      <c r="F624" t="inlineStr">
        <is>
          <t>BillerudKorsnäs AB</t>
        </is>
      </c>
      <c r="G624" t="n">
        <v>1.4</v>
      </c>
      <c r="H624" t="n">
        <v>0</v>
      </c>
      <c r="I624" t="n">
        <v>0</v>
      </c>
      <c r="J624" t="n">
        <v>0</v>
      </c>
      <c r="K624" t="n">
        <v>0</v>
      </c>
      <c r="L624" t="n">
        <v>0</v>
      </c>
      <c r="M624" t="n">
        <v>0</v>
      </c>
      <c r="N624" t="n">
        <v>0</v>
      </c>
      <c r="O624" t="n">
        <v>0</v>
      </c>
      <c r="P624" t="n">
        <v>0</v>
      </c>
      <c r="Q624" t="n">
        <v>0</v>
      </c>
      <c r="R624" s="2" t="inlineStr"/>
    </row>
    <row r="625" ht="15" customHeight="1">
      <c r="A625" t="inlineStr">
        <is>
          <t>A 5028-2022</t>
        </is>
      </c>
      <c r="B625" s="1" t="n">
        <v>44593</v>
      </c>
      <c r="C625" s="1" t="n">
        <v>45584</v>
      </c>
      <c r="D625" t="inlineStr">
        <is>
          <t>UPPSALA LÄN</t>
        </is>
      </c>
      <c r="E625" t="inlineStr">
        <is>
          <t>UPPSALA</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5309-2022</t>
        </is>
      </c>
      <c r="B626" s="1" t="n">
        <v>44594</v>
      </c>
      <c r="C626" s="1" t="n">
        <v>45584</v>
      </c>
      <c r="D626" t="inlineStr">
        <is>
          <t>UPPSALA LÄN</t>
        </is>
      </c>
      <c r="E626" t="inlineStr">
        <is>
          <t>UPPSALA</t>
        </is>
      </c>
      <c r="G626" t="n">
        <v>4.8</v>
      </c>
      <c r="H626" t="n">
        <v>0</v>
      </c>
      <c r="I626" t="n">
        <v>0</v>
      </c>
      <c r="J626" t="n">
        <v>0</v>
      </c>
      <c r="K626" t="n">
        <v>0</v>
      </c>
      <c r="L626" t="n">
        <v>0</v>
      </c>
      <c r="M626" t="n">
        <v>0</v>
      </c>
      <c r="N626" t="n">
        <v>0</v>
      </c>
      <c r="O626" t="n">
        <v>0</v>
      </c>
      <c r="P626" t="n">
        <v>0</v>
      </c>
      <c r="Q626" t="n">
        <v>0</v>
      </c>
      <c r="R626" s="2" t="inlineStr"/>
    </row>
    <row r="627" ht="15" customHeight="1">
      <c r="A627" t="inlineStr">
        <is>
          <t>A 5189-2022</t>
        </is>
      </c>
      <c r="B627" s="1" t="n">
        <v>44594</v>
      </c>
      <c r="C627" s="1" t="n">
        <v>45584</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45584</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5989-2022</t>
        </is>
      </c>
      <c r="B629" s="1" t="n">
        <v>44599</v>
      </c>
      <c r="C629" s="1" t="n">
        <v>45584</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6009-2022</t>
        </is>
      </c>
      <c r="B630" s="1" t="n">
        <v>44599</v>
      </c>
      <c r="C630" s="1" t="n">
        <v>45584</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5996-2022</t>
        </is>
      </c>
      <c r="B631" s="1" t="n">
        <v>44599</v>
      </c>
      <c r="C631" s="1" t="n">
        <v>45584</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6339-2022</t>
        </is>
      </c>
      <c r="B632" s="1" t="n">
        <v>44600</v>
      </c>
      <c r="C632" s="1" t="n">
        <v>45584</v>
      </c>
      <c r="D632" t="inlineStr">
        <is>
          <t>UPPSALA LÄN</t>
        </is>
      </c>
      <c r="E632" t="inlineStr">
        <is>
          <t>UPPSALA</t>
        </is>
      </c>
      <c r="G632" t="n">
        <v>18.7</v>
      </c>
      <c r="H632" t="n">
        <v>0</v>
      </c>
      <c r="I632" t="n">
        <v>0</v>
      </c>
      <c r="J632" t="n">
        <v>0</v>
      </c>
      <c r="K632" t="n">
        <v>0</v>
      </c>
      <c r="L632" t="n">
        <v>0</v>
      </c>
      <c r="M632" t="n">
        <v>0</v>
      </c>
      <c r="N632" t="n">
        <v>0</v>
      </c>
      <c r="O632" t="n">
        <v>0</v>
      </c>
      <c r="P632" t="n">
        <v>0</v>
      </c>
      <c r="Q632" t="n">
        <v>0</v>
      </c>
      <c r="R632" s="2" t="inlineStr"/>
    </row>
    <row r="633" ht="15" customHeight="1">
      <c r="A633" t="inlineStr">
        <is>
          <t>A 6408-2022</t>
        </is>
      </c>
      <c r="B633" s="1" t="n">
        <v>44600</v>
      </c>
      <c r="C633" s="1" t="n">
        <v>45584</v>
      </c>
      <c r="D633" t="inlineStr">
        <is>
          <t>UPPSALA LÄN</t>
        </is>
      </c>
      <c r="E633" t="inlineStr">
        <is>
          <t>UPPSALA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6717-2022</t>
        </is>
      </c>
      <c r="B634" s="1" t="n">
        <v>44602</v>
      </c>
      <c r="C634" s="1" t="n">
        <v>45584</v>
      </c>
      <c r="D634" t="inlineStr">
        <is>
          <t>UPPSALA LÄN</t>
        </is>
      </c>
      <c r="E634" t="inlineStr">
        <is>
          <t>UPPSALA</t>
        </is>
      </c>
      <c r="F634" t="inlineStr">
        <is>
          <t>Övriga Aktiebolag</t>
        </is>
      </c>
      <c r="G634" t="n">
        <v>6.7</v>
      </c>
      <c r="H634" t="n">
        <v>0</v>
      </c>
      <c r="I634" t="n">
        <v>0</v>
      </c>
      <c r="J634" t="n">
        <v>0</v>
      </c>
      <c r="K634" t="n">
        <v>0</v>
      </c>
      <c r="L634" t="n">
        <v>0</v>
      </c>
      <c r="M634" t="n">
        <v>0</v>
      </c>
      <c r="N634" t="n">
        <v>0</v>
      </c>
      <c r="O634" t="n">
        <v>0</v>
      </c>
      <c r="P634" t="n">
        <v>0</v>
      </c>
      <c r="Q634" t="n">
        <v>0</v>
      </c>
      <c r="R634" s="2" t="inlineStr"/>
    </row>
    <row r="635" ht="15" customHeight="1">
      <c r="A635" t="inlineStr">
        <is>
          <t>A 6853-2022</t>
        </is>
      </c>
      <c r="B635" s="1" t="n">
        <v>44602</v>
      </c>
      <c r="C635" s="1" t="n">
        <v>45584</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6863-2022</t>
        </is>
      </c>
      <c r="B636" s="1" t="n">
        <v>44602</v>
      </c>
      <c r="C636" s="1" t="n">
        <v>45584</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6850-2022</t>
        </is>
      </c>
      <c r="B637" s="1" t="n">
        <v>44602</v>
      </c>
      <c r="C637" s="1" t="n">
        <v>45584</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6851-2022</t>
        </is>
      </c>
      <c r="B638" s="1" t="n">
        <v>44602</v>
      </c>
      <c r="C638" s="1" t="n">
        <v>45584</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6855-2022</t>
        </is>
      </c>
      <c r="B639" s="1" t="n">
        <v>44602</v>
      </c>
      <c r="C639" s="1" t="n">
        <v>45584</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6860-2022</t>
        </is>
      </c>
      <c r="B640" s="1" t="n">
        <v>44602</v>
      </c>
      <c r="C640" s="1" t="n">
        <v>45584</v>
      </c>
      <c r="D640" t="inlineStr">
        <is>
          <t>UPPSALA LÄN</t>
        </is>
      </c>
      <c r="E640" t="inlineStr">
        <is>
          <t>UPPSALA</t>
        </is>
      </c>
      <c r="G640" t="n">
        <v>14.8</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45584</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7040-2022</t>
        </is>
      </c>
      <c r="B642" s="1" t="n">
        <v>44603</v>
      </c>
      <c r="C642" s="1" t="n">
        <v>45584</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7124-2022</t>
        </is>
      </c>
      <c r="B643" s="1" t="n">
        <v>44603</v>
      </c>
      <c r="C643" s="1" t="n">
        <v>45584</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7409-2022</t>
        </is>
      </c>
      <c r="B644" s="1" t="n">
        <v>44606</v>
      </c>
      <c r="C644" s="1" t="n">
        <v>45584</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7899-2022</t>
        </is>
      </c>
      <c r="B645" s="1" t="n">
        <v>44608</v>
      </c>
      <c r="C645" s="1" t="n">
        <v>45584</v>
      </c>
      <c r="D645" t="inlineStr">
        <is>
          <t>UPPSALA LÄN</t>
        </is>
      </c>
      <c r="E645" t="inlineStr">
        <is>
          <t>UPPSALA</t>
        </is>
      </c>
      <c r="F645" t="inlineStr">
        <is>
          <t>Övriga Aktiebolag</t>
        </is>
      </c>
      <c r="G645" t="n">
        <v>7.1</v>
      </c>
      <c r="H645" t="n">
        <v>0</v>
      </c>
      <c r="I645" t="n">
        <v>0</v>
      </c>
      <c r="J645" t="n">
        <v>0</v>
      </c>
      <c r="K645" t="n">
        <v>0</v>
      </c>
      <c r="L645" t="n">
        <v>0</v>
      </c>
      <c r="M645" t="n">
        <v>0</v>
      </c>
      <c r="N645" t="n">
        <v>0</v>
      </c>
      <c r="O645" t="n">
        <v>0</v>
      </c>
      <c r="P645" t="n">
        <v>0</v>
      </c>
      <c r="Q645" t="n">
        <v>0</v>
      </c>
      <c r="R645" s="2" t="inlineStr"/>
    </row>
    <row r="646" ht="15" customHeight="1">
      <c r="A646" t="inlineStr">
        <is>
          <t>A 8090-2022</t>
        </is>
      </c>
      <c r="B646" s="1" t="n">
        <v>44608</v>
      </c>
      <c r="C646" s="1" t="n">
        <v>45584</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45584</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8007-2022</t>
        </is>
      </c>
      <c r="B648" s="1" t="n">
        <v>44609</v>
      </c>
      <c r="C648" s="1" t="n">
        <v>45584</v>
      </c>
      <c r="D648" t="inlineStr">
        <is>
          <t>UPPSALA LÄN</t>
        </is>
      </c>
      <c r="E648" t="inlineStr">
        <is>
          <t>UPPSALA</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v>
      </c>
      <c r="C649" s="1" t="n">
        <v>45584</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8139-2022</t>
        </is>
      </c>
      <c r="B650" s="1" t="n">
        <v>44609</v>
      </c>
      <c r="C650" s="1" t="n">
        <v>45584</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8404-2022</t>
        </is>
      </c>
      <c r="B651" s="1" t="n">
        <v>44610</v>
      </c>
      <c r="C651" s="1" t="n">
        <v>45584</v>
      </c>
      <c r="D651" t="inlineStr">
        <is>
          <t>UPPSALA LÄN</t>
        </is>
      </c>
      <c r="E651" t="inlineStr">
        <is>
          <t>UPPSALA</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8475-2022</t>
        </is>
      </c>
      <c r="B652" s="1" t="n">
        <v>44610</v>
      </c>
      <c r="C652" s="1" t="n">
        <v>45584</v>
      </c>
      <c r="D652" t="inlineStr">
        <is>
          <t>UPPSALA LÄN</t>
        </is>
      </c>
      <c r="E652" t="inlineStr">
        <is>
          <t>UPPSALA</t>
        </is>
      </c>
      <c r="F652" t="inlineStr">
        <is>
          <t>Allmännings- och besparingsskogar</t>
        </is>
      </c>
      <c r="G652" t="n">
        <v>32.7</v>
      </c>
      <c r="H652" t="n">
        <v>0</v>
      </c>
      <c r="I652" t="n">
        <v>0</v>
      </c>
      <c r="J652" t="n">
        <v>0</v>
      </c>
      <c r="K652" t="n">
        <v>0</v>
      </c>
      <c r="L652" t="n">
        <v>0</v>
      </c>
      <c r="M652" t="n">
        <v>0</v>
      </c>
      <c r="N652" t="n">
        <v>0</v>
      </c>
      <c r="O652" t="n">
        <v>0</v>
      </c>
      <c r="P652" t="n">
        <v>0</v>
      </c>
      <c r="Q652" t="n">
        <v>0</v>
      </c>
      <c r="R652" s="2" t="inlineStr"/>
    </row>
    <row r="653" ht="15" customHeight="1">
      <c r="A653" t="inlineStr">
        <is>
          <t>A 8465-2022</t>
        </is>
      </c>
      <c r="B653" s="1" t="n">
        <v>44610</v>
      </c>
      <c r="C653" s="1" t="n">
        <v>45584</v>
      </c>
      <c r="D653" t="inlineStr">
        <is>
          <t>UPPSALA LÄN</t>
        </is>
      </c>
      <c r="E653" t="inlineStr">
        <is>
          <t>UPPSALA</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45584</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8877-2022</t>
        </is>
      </c>
      <c r="B655" s="1" t="n">
        <v>44614</v>
      </c>
      <c r="C655" s="1" t="n">
        <v>45584</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v>
      </c>
      <c r="C656" s="1" t="n">
        <v>45584</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9206-2022</t>
        </is>
      </c>
      <c r="B657" s="1" t="n">
        <v>44616</v>
      </c>
      <c r="C657" s="1" t="n">
        <v>45584</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9242-2022</t>
        </is>
      </c>
      <c r="B658" s="1" t="n">
        <v>44616</v>
      </c>
      <c r="C658" s="1" t="n">
        <v>45584</v>
      </c>
      <c r="D658" t="inlineStr">
        <is>
          <t>UPPSALA LÄN</t>
        </is>
      </c>
      <c r="E658" t="inlineStr">
        <is>
          <t>UPPSALA</t>
        </is>
      </c>
      <c r="F658" t="inlineStr">
        <is>
          <t>Övriga Aktiebolag</t>
        </is>
      </c>
      <c r="G658" t="n">
        <v>5.9</v>
      </c>
      <c r="H658" t="n">
        <v>0</v>
      </c>
      <c r="I658" t="n">
        <v>0</v>
      </c>
      <c r="J658" t="n">
        <v>0</v>
      </c>
      <c r="K658" t="n">
        <v>0</v>
      </c>
      <c r="L658" t="n">
        <v>0</v>
      </c>
      <c r="M658" t="n">
        <v>0</v>
      </c>
      <c r="N658" t="n">
        <v>0</v>
      </c>
      <c r="O658" t="n">
        <v>0</v>
      </c>
      <c r="P658" t="n">
        <v>0</v>
      </c>
      <c r="Q658" t="n">
        <v>0</v>
      </c>
      <c r="R658" s="2" t="inlineStr"/>
    </row>
    <row r="659" ht="15" customHeight="1">
      <c r="A659" t="inlineStr">
        <is>
          <t>A 9592-2022</t>
        </is>
      </c>
      <c r="B659" s="1" t="n">
        <v>44617</v>
      </c>
      <c r="C659" s="1" t="n">
        <v>45584</v>
      </c>
      <c r="D659" t="inlineStr">
        <is>
          <t>UPPSALA LÄN</t>
        </is>
      </c>
      <c r="E659" t="inlineStr">
        <is>
          <t>UPPSALA</t>
        </is>
      </c>
      <c r="G659" t="n">
        <v>7.5</v>
      </c>
      <c r="H659" t="n">
        <v>0</v>
      </c>
      <c r="I659" t="n">
        <v>0</v>
      </c>
      <c r="J659" t="n">
        <v>0</v>
      </c>
      <c r="K659" t="n">
        <v>0</v>
      </c>
      <c r="L659" t="n">
        <v>0</v>
      </c>
      <c r="M659" t="n">
        <v>0</v>
      </c>
      <c r="N659" t="n">
        <v>0</v>
      </c>
      <c r="O659" t="n">
        <v>0</v>
      </c>
      <c r="P659" t="n">
        <v>0</v>
      </c>
      <c r="Q659" t="n">
        <v>0</v>
      </c>
      <c r="R659" s="2" t="inlineStr"/>
    </row>
    <row r="660" ht="15" customHeight="1">
      <c r="A660" t="inlineStr">
        <is>
          <t>A 10411-2022</t>
        </is>
      </c>
      <c r="B660" s="1" t="n">
        <v>44623</v>
      </c>
      <c r="C660" s="1" t="n">
        <v>45584</v>
      </c>
      <c r="D660" t="inlineStr">
        <is>
          <t>UPPSALA LÄN</t>
        </is>
      </c>
      <c r="E660" t="inlineStr">
        <is>
          <t>UPPSALA</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10383-2022</t>
        </is>
      </c>
      <c r="B661" s="1" t="n">
        <v>44623</v>
      </c>
      <c r="C661" s="1" t="n">
        <v>45584</v>
      </c>
      <c r="D661" t="inlineStr">
        <is>
          <t>UPPSALA LÄN</t>
        </is>
      </c>
      <c r="E661" t="inlineStr">
        <is>
          <t>UPPSALA</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v>
      </c>
      <c r="C662" s="1" t="n">
        <v>45584</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10464-2022</t>
        </is>
      </c>
      <c r="B663" s="1" t="n">
        <v>44623</v>
      </c>
      <c r="C663" s="1" t="n">
        <v>45584</v>
      </c>
      <c r="D663" t="inlineStr">
        <is>
          <t>UPPSALA LÄN</t>
        </is>
      </c>
      <c r="E663" t="inlineStr">
        <is>
          <t>UPPSALA</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10565-2022</t>
        </is>
      </c>
      <c r="B664" s="1" t="n">
        <v>44624</v>
      </c>
      <c r="C664" s="1" t="n">
        <v>45584</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10674-2022</t>
        </is>
      </c>
      <c r="B665" s="1" t="n">
        <v>44624</v>
      </c>
      <c r="C665" s="1" t="n">
        <v>45584</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11162-2022</t>
        </is>
      </c>
      <c r="B666" s="1" t="n">
        <v>44629</v>
      </c>
      <c r="C666" s="1" t="n">
        <v>45584</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45584</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11787-2022</t>
        </is>
      </c>
      <c r="B668" s="1" t="n">
        <v>44634</v>
      </c>
      <c r="C668" s="1" t="n">
        <v>45584</v>
      </c>
      <c r="D668" t="inlineStr">
        <is>
          <t>UPPSALA LÄN</t>
        </is>
      </c>
      <c r="E668" t="inlineStr">
        <is>
          <t>UPPSALA</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11693-2022</t>
        </is>
      </c>
      <c r="B669" s="1" t="n">
        <v>44634</v>
      </c>
      <c r="C669" s="1" t="n">
        <v>45584</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12221-2022</t>
        </is>
      </c>
      <c r="B670" s="1" t="n">
        <v>44637</v>
      </c>
      <c r="C670" s="1" t="n">
        <v>45584</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12293-2022</t>
        </is>
      </c>
      <c r="B671" s="1" t="n">
        <v>44637</v>
      </c>
      <c r="C671" s="1" t="n">
        <v>45584</v>
      </c>
      <c r="D671" t="inlineStr">
        <is>
          <t>UPPSALA LÄN</t>
        </is>
      </c>
      <c r="E671" t="inlineStr">
        <is>
          <t>UPPSALA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13009-2022</t>
        </is>
      </c>
      <c r="B672" s="1" t="n">
        <v>44643</v>
      </c>
      <c r="C672" s="1" t="n">
        <v>45584</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13134-2022</t>
        </is>
      </c>
      <c r="B673" s="1" t="n">
        <v>44644</v>
      </c>
      <c r="C673" s="1" t="n">
        <v>45584</v>
      </c>
      <c r="D673" t="inlineStr">
        <is>
          <t>UPPSALA LÄN</t>
        </is>
      </c>
      <c r="E673" t="inlineStr">
        <is>
          <t>UPPSALA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13128-2022</t>
        </is>
      </c>
      <c r="B674" s="1" t="n">
        <v>44644</v>
      </c>
      <c r="C674" s="1" t="n">
        <v>45584</v>
      </c>
      <c r="D674" t="inlineStr">
        <is>
          <t>UPPSALA LÄN</t>
        </is>
      </c>
      <c r="E674" t="inlineStr">
        <is>
          <t>UPPSALA</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13386-2022</t>
        </is>
      </c>
      <c r="B675" s="1" t="n">
        <v>44645</v>
      </c>
      <c r="C675" s="1" t="n">
        <v>45584</v>
      </c>
      <c r="D675" t="inlineStr">
        <is>
          <t>UPPSALA LÄN</t>
        </is>
      </c>
      <c r="E675" t="inlineStr">
        <is>
          <t>UPPSALA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13343-2022</t>
        </is>
      </c>
      <c r="B676" s="1" t="n">
        <v>44645</v>
      </c>
      <c r="C676" s="1" t="n">
        <v>45584</v>
      </c>
      <c r="D676" t="inlineStr">
        <is>
          <t>UPPSALA LÄN</t>
        </is>
      </c>
      <c r="E676" t="inlineStr">
        <is>
          <t>UPPSALA</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13892-2022</t>
        </is>
      </c>
      <c r="B677" s="1" t="n">
        <v>44649</v>
      </c>
      <c r="C677" s="1" t="n">
        <v>45584</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13901-2022</t>
        </is>
      </c>
      <c r="B678" s="1" t="n">
        <v>44649</v>
      </c>
      <c r="C678" s="1" t="n">
        <v>45584</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14337-2022</t>
        </is>
      </c>
      <c r="B679" s="1" t="n">
        <v>44652</v>
      </c>
      <c r="C679" s="1" t="n">
        <v>45584</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14355-2022</t>
        </is>
      </c>
      <c r="B680" s="1" t="n">
        <v>44652</v>
      </c>
      <c r="C680" s="1" t="n">
        <v>45584</v>
      </c>
      <c r="D680" t="inlineStr">
        <is>
          <t>UPPSALA LÄN</t>
        </is>
      </c>
      <c r="E680" t="inlineStr">
        <is>
          <t>UPPSALA</t>
        </is>
      </c>
      <c r="F680" t="inlineStr">
        <is>
          <t>Bergvik skog öst AB</t>
        </is>
      </c>
      <c r="G680" t="n">
        <v>7.8</v>
      </c>
      <c r="H680" t="n">
        <v>0</v>
      </c>
      <c r="I680" t="n">
        <v>0</v>
      </c>
      <c r="J680" t="n">
        <v>0</v>
      </c>
      <c r="K680" t="n">
        <v>0</v>
      </c>
      <c r="L680" t="n">
        <v>0</v>
      </c>
      <c r="M680" t="n">
        <v>0</v>
      </c>
      <c r="N680" t="n">
        <v>0</v>
      </c>
      <c r="O680" t="n">
        <v>0</v>
      </c>
      <c r="P680" t="n">
        <v>0</v>
      </c>
      <c r="Q680" t="n">
        <v>0</v>
      </c>
      <c r="R680" s="2" t="inlineStr"/>
    </row>
    <row r="681" ht="15" customHeight="1">
      <c r="A681" t="inlineStr">
        <is>
          <t>A 14340-2022</t>
        </is>
      </c>
      <c r="B681" s="1" t="n">
        <v>44652</v>
      </c>
      <c r="C681" s="1" t="n">
        <v>45584</v>
      </c>
      <c r="D681" t="inlineStr">
        <is>
          <t>UPPSALA LÄN</t>
        </is>
      </c>
      <c r="E681" t="inlineStr">
        <is>
          <t>UPPSALA</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14622-2022</t>
        </is>
      </c>
      <c r="B682" s="1" t="n">
        <v>44655</v>
      </c>
      <c r="C682" s="1" t="n">
        <v>45584</v>
      </c>
      <c r="D682" t="inlineStr">
        <is>
          <t>UPPSALA LÄN</t>
        </is>
      </c>
      <c r="E682" t="inlineStr">
        <is>
          <t>UPPSALA</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15436-2022</t>
        </is>
      </c>
      <c r="B683" s="1" t="n">
        <v>44659</v>
      </c>
      <c r="C683" s="1" t="n">
        <v>45584</v>
      </c>
      <c r="D683" t="inlineStr">
        <is>
          <t>UPPSALA LÄN</t>
        </is>
      </c>
      <c r="E683" t="inlineStr">
        <is>
          <t>UPPSALA</t>
        </is>
      </c>
      <c r="G683" t="n">
        <v>14.4</v>
      </c>
      <c r="H683" t="n">
        <v>0</v>
      </c>
      <c r="I683" t="n">
        <v>0</v>
      </c>
      <c r="J683" t="n">
        <v>0</v>
      </c>
      <c r="K683" t="n">
        <v>0</v>
      </c>
      <c r="L683" t="n">
        <v>0</v>
      </c>
      <c r="M683" t="n">
        <v>0</v>
      </c>
      <c r="N683" t="n">
        <v>0</v>
      </c>
      <c r="O683" t="n">
        <v>0</v>
      </c>
      <c r="P683" t="n">
        <v>0</v>
      </c>
      <c r="Q683" t="n">
        <v>0</v>
      </c>
      <c r="R683" s="2" t="inlineStr"/>
    </row>
    <row r="684" ht="15" customHeight="1">
      <c r="A684" t="inlineStr">
        <is>
          <t>A 15377-2022</t>
        </is>
      </c>
      <c r="B684" s="1" t="n">
        <v>44659</v>
      </c>
      <c r="C684" s="1" t="n">
        <v>45584</v>
      </c>
      <c r="D684" t="inlineStr">
        <is>
          <t>UPPSALA LÄN</t>
        </is>
      </c>
      <c r="E684" t="inlineStr">
        <is>
          <t>UPPSALA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15310-2022</t>
        </is>
      </c>
      <c r="B685" s="1" t="n">
        <v>44659</v>
      </c>
      <c r="C685" s="1" t="n">
        <v>45584</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15297-2022</t>
        </is>
      </c>
      <c r="B686" s="1" t="n">
        <v>44659</v>
      </c>
      <c r="C686" s="1" t="n">
        <v>45584</v>
      </c>
      <c r="D686" t="inlineStr">
        <is>
          <t>UPPSALA LÄN</t>
        </is>
      </c>
      <c r="E686" t="inlineStr">
        <is>
          <t>UPPSALA</t>
        </is>
      </c>
      <c r="F686" t="inlineStr">
        <is>
          <t>Övriga Aktiebolag</t>
        </is>
      </c>
      <c r="G686" t="n">
        <v>6.6</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45584</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15735-2022</t>
        </is>
      </c>
      <c r="B688" s="1" t="n">
        <v>44663</v>
      </c>
      <c r="C688" s="1" t="n">
        <v>45584</v>
      </c>
      <c r="D688" t="inlineStr">
        <is>
          <t>UPPSALA LÄN</t>
        </is>
      </c>
      <c r="E688" t="inlineStr">
        <is>
          <t>UPPSALA</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16126-2022</t>
        </is>
      </c>
      <c r="B689" s="1" t="n">
        <v>44665</v>
      </c>
      <c r="C689" s="1" t="n">
        <v>45584</v>
      </c>
      <c r="D689" t="inlineStr">
        <is>
          <t>UPPSALA LÄN</t>
        </is>
      </c>
      <c r="E689" t="inlineStr">
        <is>
          <t>UPPSALA</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16804-2022</t>
        </is>
      </c>
      <c r="B690" s="1" t="n">
        <v>44673</v>
      </c>
      <c r="C690" s="1" t="n">
        <v>45584</v>
      </c>
      <c r="D690" t="inlineStr">
        <is>
          <t>UPPSALA LÄN</t>
        </is>
      </c>
      <c r="E690" t="inlineStr">
        <is>
          <t>UPPSALA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16828-2022</t>
        </is>
      </c>
      <c r="B691" s="1" t="n">
        <v>44673</v>
      </c>
      <c r="C691" s="1" t="n">
        <v>45584</v>
      </c>
      <c r="D691" t="inlineStr">
        <is>
          <t>UPPSALA LÄN</t>
        </is>
      </c>
      <c r="E691" t="inlineStr">
        <is>
          <t>UPPSALA</t>
        </is>
      </c>
      <c r="F691" t="inlineStr">
        <is>
          <t>Bergvik skog öst AB</t>
        </is>
      </c>
      <c r="G691" t="n">
        <v>4.1</v>
      </c>
      <c r="H691" t="n">
        <v>0</v>
      </c>
      <c r="I691" t="n">
        <v>0</v>
      </c>
      <c r="J691" t="n">
        <v>0</v>
      </c>
      <c r="K691" t="n">
        <v>0</v>
      </c>
      <c r="L691" t="n">
        <v>0</v>
      </c>
      <c r="M691" t="n">
        <v>0</v>
      </c>
      <c r="N691" t="n">
        <v>0</v>
      </c>
      <c r="O691" t="n">
        <v>0</v>
      </c>
      <c r="P691" t="n">
        <v>0</v>
      </c>
      <c r="Q691" t="n">
        <v>0</v>
      </c>
      <c r="R691" s="2" t="inlineStr"/>
    </row>
    <row r="692" ht="15" customHeight="1">
      <c r="A692" t="inlineStr">
        <is>
          <t>A 16827-2022</t>
        </is>
      </c>
      <c r="B692" s="1" t="n">
        <v>44673</v>
      </c>
      <c r="C692" s="1" t="n">
        <v>45584</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16831-2022</t>
        </is>
      </c>
      <c r="B693" s="1" t="n">
        <v>44673</v>
      </c>
      <c r="C693" s="1" t="n">
        <v>45584</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16826-2022</t>
        </is>
      </c>
      <c r="B694" s="1" t="n">
        <v>44673</v>
      </c>
      <c r="C694" s="1" t="n">
        <v>45584</v>
      </c>
      <c r="D694" t="inlineStr">
        <is>
          <t>UPPSALA LÄN</t>
        </is>
      </c>
      <c r="E694" t="inlineStr">
        <is>
          <t>UPPSALA</t>
        </is>
      </c>
      <c r="F694" t="inlineStr">
        <is>
          <t>Bergvik skog öst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16761-2022</t>
        </is>
      </c>
      <c r="B695" s="1" t="n">
        <v>44673</v>
      </c>
      <c r="C695" s="1" t="n">
        <v>45584</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16942-2022</t>
        </is>
      </c>
      <c r="B696" s="1" t="n">
        <v>44676</v>
      </c>
      <c r="C696" s="1" t="n">
        <v>45584</v>
      </c>
      <c r="D696" t="inlineStr">
        <is>
          <t>UPPSALA LÄN</t>
        </is>
      </c>
      <c r="E696" t="inlineStr">
        <is>
          <t>UPPSALA</t>
        </is>
      </c>
      <c r="F696" t="inlineStr">
        <is>
          <t>Bergvik skog öst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16892-2022</t>
        </is>
      </c>
      <c r="B697" s="1" t="n">
        <v>44676</v>
      </c>
      <c r="C697" s="1" t="n">
        <v>45584</v>
      </c>
      <c r="D697" t="inlineStr">
        <is>
          <t>UPPSALA LÄN</t>
        </is>
      </c>
      <c r="E697" t="inlineStr">
        <is>
          <t>UPPSALA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16978-2022</t>
        </is>
      </c>
      <c r="B698" s="1" t="n">
        <v>44676</v>
      </c>
      <c r="C698" s="1" t="n">
        <v>45584</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16898-2022</t>
        </is>
      </c>
      <c r="B699" s="1" t="n">
        <v>44676</v>
      </c>
      <c r="C699" s="1" t="n">
        <v>45584</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17232-2022</t>
        </is>
      </c>
      <c r="B700" s="1" t="n">
        <v>44678</v>
      </c>
      <c r="C700" s="1" t="n">
        <v>45584</v>
      </c>
      <c r="D700" t="inlineStr">
        <is>
          <t>UPPSALA LÄN</t>
        </is>
      </c>
      <c r="E700" t="inlineStr">
        <is>
          <t>UPPSALA</t>
        </is>
      </c>
      <c r="F700" t="inlineStr">
        <is>
          <t>Övriga Aktiebolag</t>
        </is>
      </c>
      <c r="G700" t="n">
        <v>7.4</v>
      </c>
      <c r="H700" t="n">
        <v>0</v>
      </c>
      <c r="I700" t="n">
        <v>0</v>
      </c>
      <c r="J700" t="n">
        <v>0</v>
      </c>
      <c r="K700" t="n">
        <v>0</v>
      </c>
      <c r="L700" t="n">
        <v>0</v>
      </c>
      <c r="M700" t="n">
        <v>0</v>
      </c>
      <c r="N700" t="n">
        <v>0</v>
      </c>
      <c r="O700" t="n">
        <v>0</v>
      </c>
      <c r="P700" t="n">
        <v>0</v>
      </c>
      <c r="Q700" t="n">
        <v>0</v>
      </c>
      <c r="R700" s="2" t="inlineStr"/>
    </row>
    <row r="701" ht="15" customHeight="1">
      <c r="A701" t="inlineStr">
        <is>
          <t>A 17562-2022</t>
        </is>
      </c>
      <c r="B701" s="1" t="n">
        <v>44679</v>
      </c>
      <c r="C701" s="1" t="n">
        <v>45584</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v>
      </c>
      <c r="C702" s="1" t="n">
        <v>45584</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17981-2022</t>
        </is>
      </c>
      <c r="B703" s="1" t="n">
        <v>44683</v>
      </c>
      <c r="C703" s="1" t="n">
        <v>45584</v>
      </c>
      <c r="D703" t="inlineStr">
        <is>
          <t>UPPSALA LÄN</t>
        </is>
      </c>
      <c r="E703" t="inlineStr">
        <is>
          <t>UPPSALA</t>
        </is>
      </c>
      <c r="F703" t="inlineStr">
        <is>
          <t>Bergvik skog öst AB</t>
        </is>
      </c>
      <c r="G703" t="n">
        <v>6.7</v>
      </c>
      <c r="H703" t="n">
        <v>0</v>
      </c>
      <c r="I703" t="n">
        <v>0</v>
      </c>
      <c r="J703" t="n">
        <v>0</v>
      </c>
      <c r="K703" t="n">
        <v>0</v>
      </c>
      <c r="L703" t="n">
        <v>0</v>
      </c>
      <c r="M703" t="n">
        <v>0</v>
      </c>
      <c r="N703" t="n">
        <v>0</v>
      </c>
      <c r="O703" t="n">
        <v>0</v>
      </c>
      <c r="P703" t="n">
        <v>0</v>
      </c>
      <c r="Q703" t="n">
        <v>0</v>
      </c>
      <c r="R703" s="2" t="inlineStr"/>
    </row>
    <row r="704" ht="15" customHeight="1">
      <c r="A704" t="inlineStr">
        <is>
          <t>A 18330-2022</t>
        </is>
      </c>
      <c r="B704" s="1" t="n">
        <v>44685</v>
      </c>
      <c r="C704" s="1" t="n">
        <v>45584</v>
      </c>
      <c r="D704" t="inlineStr">
        <is>
          <t>UPPSALA LÄN</t>
        </is>
      </c>
      <c r="E704" t="inlineStr">
        <is>
          <t>UPPSALA</t>
        </is>
      </c>
      <c r="F704" t="inlineStr">
        <is>
          <t>Bergvik skog öst AB</t>
        </is>
      </c>
      <c r="G704" t="n">
        <v>0.4</v>
      </c>
      <c r="H704" t="n">
        <v>0</v>
      </c>
      <c r="I704" t="n">
        <v>0</v>
      </c>
      <c r="J704" t="n">
        <v>0</v>
      </c>
      <c r="K704" t="n">
        <v>0</v>
      </c>
      <c r="L704" t="n">
        <v>0</v>
      </c>
      <c r="M704" t="n">
        <v>0</v>
      </c>
      <c r="N704" t="n">
        <v>0</v>
      </c>
      <c r="O704" t="n">
        <v>0</v>
      </c>
      <c r="P704" t="n">
        <v>0</v>
      </c>
      <c r="Q704" t="n">
        <v>0</v>
      </c>
      <c r="R704" s="2" t="inlineStr"/>
    </row>
    <row r="705" ht="15" customHeight="1">
      <c r="A705" t="inlineStr">
        <is>
          <t>A 18521-2022</t>
        </is>
      </c>
      <c r="B705" s="1" t="n">
        <v>44686</v>
      </c>
      <c r="C705" s="1" t="n">
        <v>45584</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18583-2022</t>
        </is>
      </c>
      <c r="B706" s="1" t="n">
        <v>44687</v>
      </c>
      <c r="C706" s="1" t="n">
        <v>45584</v>
      </c>
      <c r="D706" t="inlineStr">
        <is>
          <t>UPPSALA LÄN</t>
        </is>
      </c>
      <c r="E706" t="inlineStr">
        <is>
          <t>UPPSALA</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18960-2022</t>
        </is>
      </c>
      <c r="B707" s="1" t="n">
        <v>44690</v>
      </c>
      <c r="C707" s="1" t="n">
        <v>45584</v>
      </c>
      <c r="D707" t="inlineStr">
        <is>
          <t>UPPSALA LÄN</t>
        </is>
      </c>
      <c r="E707" t="inlineStr">
        <is>
          <t>UPPSALA</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19034-2022</t>
        </is>
      </c>
      <c r="B708" s="1" t="n">
        <v>44691</v>
      </c>
      <c r="C708" s="1" t="n">
        <v>45584</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19240-2022</t>
        </is>
      </c>
      <c r="B709" s="1" t="n">
        <v>44692</v>
      </c>
      <c r="C709" s="1" t="n">
        <v>45584</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19375-2022</t>
        </is>
      </c>
      <c r="B710" s="1" t="n">
        <v>44692</v>
      </c>
      <c r="C710" s="1" t="n">
        <v>45584</v>
      </c>
      <c r="D710" t="inlineStr">
        <is>
          <t>UPPSALA LÄN</t>
        </is>
      </c>
      <c r="E710" t="inlineStr">
        <is>
          <t>UPPSALA</t>
        </is>
      </c>
      <c r="F710" t="inlineStr">
        <is>
          <t>Bergvik skog öst AB</t>
        </is>
      </c>
      <c r="G710" t="n">
        <v>5</v>
      </c>
      <c r="H710" t="n">
        <v>0</v>
      </c>
      <c r="I710" t="n">
        <v>0</v>
      </c>
      <c r="J710" t="n">
        <v>0</v>
      </c>
      <c r="K710" t="n">
        <v>0</v>
      </c>
      <c r="L710" t="n">
        <v>0</v>
      </c>
      <c r="M710" t="n">
        <v>0</v>
      </c>
      <c r="N710" t="n">
        <v>0</v>
      </c>
      <c r="O710" t="n">
        <v>0</v>
      </c>
      <c r="P710" t="n">
        <v>0</v>
      </c>
      <c r="Q710" t="n">
        <v>0</v>
      </c>
      <c r="R710" s="2" t="inlineStr"/>
    </row>
    <row r="711" ht="15" customHeight="1">
      <c r="A711" t="inlineStr">
        <is>
          <t>A 19380-2022</t>
        </is>
      </c>
      <c r="B711" s="1" t="n">
        <v>44692</v>
      </c>
      <c r="C711" s="1" t="n">
        <v>45584</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v>
      </c>
      <c r="C712" s="1" t="n">
        <v>45584</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v>
      </c>
      <c r="C713" s="1" t="n">
        <v>45584</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20497-2022</t>
        </is>
      </c>
      <c r="B714" s="1" t="n">
        <v>44699</v>
      </c>
      <c r="C714" s="1" t="n">
        <v>45584</v>
      </c>
      <c r="D714" t="inlineStr">
        <is>
          <t>UPPSALA LÄN</t>
        </is>
      </c>
      <c r="E714" t="inlineStr">
        <is>
          <t>UPPSALA</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20770-2022</t>
        </is>
      </c>
      <c r="B715" s="1" t="n">
        <v>44700</v>
      </c>
      <c r="C715" s="1" t="n">
        <v>45584</v>
      </c>
      <c r="D715" t="inlineStr">
        <is>
          <t>UPPSALA LÄN</t>
        </is>
      </c>
      <c r="E715" t="inlineStr">
        <is>
          <t>UPPSALA</t>
        </is>
      </c>
      <c r="G715" t="n">
        <v>3.7</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45584</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20938-2022</t>
        </is>
      </c>
      <c r="B717" s="1" t="n">
        <v>44701</v>
      </c>
      <c r="C717" s="1" t="n">
        <v>45584</v>
      </c>
      <c r="D717" t="inlineStr">
        <is>
          <t>UPPSALA LÄN</t>
        </is>
      </c>
      <c r="E717" t="inlineStr">
        <is>
          <t>UPPSALA</t>
        </is>
      </c>
      <c r="F717" t="inlineStr">
        <is>
          <t>Bergvik skog öst AB</t>
        </is>
      </c>
      <c r="G717" t="n">
        <v>7.2</v>
      </c>
      <c r="H717" t="n">
        <v>0</v>
      </c>
      <c r="I717" t="n">
        <v>0</v>
      </c>
      <c r="J717" t="n">
        <v>0</v>
      </c>
      <c r="K717" t="n">
        <v>0</v>
      </c>
      <c r="L717" t="n">
        <v>0</v>
      </c>
      <c r="M717" t="n">
        <v>0</v>
      </c>
      <c r="N717" t="n">
        <v>0</v>
      </c>
      <c r="O717" t="n">
        <v>0</v>
      </c>
      <c r="P717" t="n">
        <v>0</v>
      </c>
      <c r="Q717" t="n">
        <v>0</v>
      </c>
      <c r="R717" s="2" t="inlineStr"/>
    </row>
    <row r="718" ht="15" customHeight="1">
      <c r="A718" t="inlineStr">
        <is>
          <t>A 20936-2022</t>
        </is>
      </c>
      <c r="B718" s="1" t="n">
        <v>44701</v>
      </c>
      <c r="C718" s="1" t="n">
        <v>45584</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20980-2022</t>
        </is>
      </c>
      <c r="B719" s="1" t="n">
        <v>44702</v>
      </c>
      <c r="C719" s="1" t="n">
        <v>45584</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21181-2022</t>
        </is>
      </c>
      <c r="B720" s="1" t="n">
        <v>44704</v>
      </c>
      <c r="C720" s="1" t="n">
        <v>45584</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21228-2022</t>
        </is>
      </c>
      <c r="B721" s="1" t="n">
        <v>44704</v>
      </c>
      <c r="C721" s="1" t="n">
        <v>45584</v>
      </c>
      <c r="D721" t="inlineStr">
        <is>
          <t>UPPSALA LÄN</t>
        </is>
      </c>
      <c r="E721" t="inlineStr">
        <is>
          <t>UPPSALA</t>
        </is>
      </c>
      <c r="G721" t="n">
        <v>0.2</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v>
      </c>
      <c r="C722" s="1" t="n">
        <v>45584</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v>
      </c>
      <c r="C723" s="1" t="n">
        <v>45584</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21394-2022</t>
        </is>
      </c>
      <c r="B724" s="1" t="n">
        <v>44705</v>
      </c>
      <c r="C724" s="1" t="n">
        <v>45584</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22021-2022</t>
        </is>
      </c>
      <c r="B725" s="1" t="n">
        <v>44711</v>
      </c>
      <c r="C725" s="1" t="n">
        <v>45584</v>
      </c>
      <c r="D725" t="inlineStr">
        <is>
          <t>UPPSALA LÄN</t>
        </is>
      </c>
      <c r="E725" t="inlineStr">
        <is>
          <t>UPPSALA</t>
        </is>
      </c>
      <c r="F725" t="inlineStr">
        <is>
          <t>Allmännings- och besparingsskogar</t>
        </is>
      </c>
      <c r="G725" t="n">
        <v>2.1</v>
      </c>
      <c r="H725" t="n">
        <v>0</v>
      </c>
      <c r="I725" t="n">
        <v>0</v>
      </c>
      <c r="J725" t="n">
        <v>0</v>
      </c>
      <c r="K725" t="n">
        <v>0</v>
      </c>
      <c r="L725" t="n">
        <v>0</v>
      </c>
      <c r="M725" t="n">
        <v>0</v>
      </c>
      <c r="N725" t="n">
        <v>0</v>
      </c>
      <c r="O725" t="n">
        <v>0</v>
      </c>
      <c r="P725" t="n">
        <v>0</v>
      </c>
      <c r="Q725" t="n">
        <v>0</v>
      </c>
      <c r="R725" s="2" t="inlineStr"/>
    </row>
    <row r="726" ht="15" customHeight="1">
      <c r="A726" t="inlineStr">
        <is>
          <t>A 22390-2022</t>
        </is>
      </c>
      <c r="B726" s="1" t="n">
        <v>44713</v>
      </c>
      <c r="C726" s="1" t="n">
        <v>45584</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22429-2022</t>
        </is>
      </c>
      <c r="B727" s="1" t="n">
        <v>44713</v>
      </c>
      <c r="C727" s="1" t="n">
        <v>45584</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22645-2022</t>
        </is>
      </c>
      <c r="B728" s="1" t="n">
        <v>44714</v>
      </c>
      <c r="C728" s="1" t="n">
        <v>45584</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23324-2022</t>
        </is>
      </c>
      <c r="B729" s="1" t="n">
        <v>44720</v>
      </c>
      <c r="C729" s="1" t="n">
        <v>45584</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23289-2022</t>
        </is>
      </c>
      <c r="B730" s="1" t="n">
        <v>44720</v>
      </c>
      <c r="C730" s="1" t="n">
        <v>45584</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23761-2022</t>
        </is>
      </c>
      <c r="B731" s="1" t="n">
        <v>44722</v>
      </c>
      <c r="C731" s="1" t="n">
        <v>45584</v>
      </c>
      <c r="D731" t="inlineStr">
        <is>
          <t>UPPSALA LÄN</t>
        </is>
      </c>
      <c r="E731" t="inlineStr">
        <is>
          <t>UPPSALA</t>
        </is>
      </c>
      <c r="F731" t="inlineStr">
        <is>
          <t>Bergvik skog öst AB</t>
        </is>
      </c>
      <c r="G731" t="n">
        <v>7.3</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v>
      </c>
      <c r="C732" s="1" t="n">
        <v>45584</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23717-2022</t>
        </is>
      </c>
      <c r="B733" s="1" t="n">
        <v>44722</v>
      </c>
      <c r="C733" s="1" t="n">
        <v>45584</v>
      </c>
      <c r="D733" t="inlineStr">
        <is>
          <t>UPPSALA LÄN</t>
        </is>
      </c>
      <c r="E733" t="inlineStr">
        <is>
          <t>UPPSALA</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23730-2022</t>
        </is>
      </c>
      <c r="B734" s="1" t="n">
        <v>44722</v>
      </c>
      <c r="C734" s="1" t="n">
        <v>45584</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24420-2022</t>
        </is>
      </c>
      <c r="B735" s="1" t="n">
        <v>44726</v>
      </c>
      <c r="C735" s="1" t="n">
        <v>45584</v>
      </c>
      <c r="D735" t="inlineStr">
        <is>
          <t>UPPSALA LÄN</t>
        </is>
      </c>
      <c r="E735" t="inlineStr">
        <is>
          <t>UPPSALA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24401-2022</t>
        </is>
      </c>
      <c r="B736" s="1" t="n">
        <v>44726</v>
      </c>
      <c r="C736" s="1" t="n">
        <v>45584</v>
      </c>
      <c r="D736" t="inlineStr">
        <is>
          <t>UPPSALA LÄN</t>
        </is>
      </c>
      <c r="E736" t="inlineStr">
        <is>
          <t>UPPSALA</t>
        </is>
      </c>
      <c r="F736" t="inlineStr">
        <is>
          <t>Bergvik skog öst AB</t>
        </is>
      </c>
      <c r="G736" t="n">
        <v>4.8</v>
      </c>
      <c r="H736" t="n">
        <v>0</v>
      </c>
      <c r="I736" t="n">
        <v>0</v>
      </c>
      <c r="J736" t="n">
        <v>0</v>
      </c>
      <c r="K736" t="n">
        <v>0</v>
      </c>
      <c r="L736" t="n">
        <v>0</v>
      </c>
      <c r="M736" t="n">
        <v>0</v>
      </c>
      <c r="N736" t="n">
        <v>0</v>
      </c>
      <c r="O736" t="n">
        <v>0</v>
      </c>
      <c r="P736" t="n">
        <v>0</v>
      </c>
      <c r="Q736" t="n">
        <v>0</v>
      </c>
      <c r="R736" s="2" t="inlineStr"/>
    </row>
    <row r="737" ht="15" customHeight="1">
      <c r="A737" t="inlineStr">
        <is>
          <t>A 24409-2022</t>
        </is>
      </c>
      <c r="B737" s="1" t="n">
        <v>44726</v>
      </c>
      <c r="C737" s="1" t="n">
        <v>45584</v>
      </c>
      <c r="D737" t="inlineStr">
        <is>
          <t>UPPSALA LÄN</t>
        </is>
      </c>
      <c r="E737" t="inlineStr">
        <is>
          <t>UPPSALA</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25178-2022</t>
        </is>
      </c>
      <c r="B738" s="1" t="n">
        <v>44729</v>
      </c>
      <c r="C738" s="1" t="n">
        <v>45584</v>
      </c>
      <c r="D738" t="inlineStr">
        <is>
          <t>UPPSALA LÄN</t>
        </is>
      </c>
      <c r="E738" t="inlineStr">
        <is>
          <t>UPPSALA</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25120-2022</t>
        </is>
      </c>
      <c r="B739" s="1" t="n">
        <v>44729</v>
      </c>
      <c r="C739" s="1" t="n">
        <v>45584</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25759-2022</t>
        </is>
      </c>
      <c r="B740" s="1" t="n">
        <v>44733</v>
      </c>
      <c r="C740" s="1" t="n">
        <v>45584</v>
      </c>
      <c r="D740" t="inlineStr">
        <is>
          <t>UPPSALA LÄN</t>
        </is>
      </c>
      <c r="E740" t="inlineStr">
        <is>
          <t>UPPSALA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25809-2022</t>
        </is>
      </c>
      <c r="B741" s="1" t="n">
        <v>44733</v>
      </c>
      <c r="C741" s="1" t="n">
        <v>45584</v>
      </c>
      <c r="D741" t="inlineStr">
        <is>
          <t>UPPSALA LÄN</t>
        </is>
      </c>
      <c r="E741" t="inlineStr">
        <is>
          <t>UPPSALA</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v>
      </c>
      <c r="C742" s="1" t="n">
        <v>45584</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45584</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26609-2022</t>
        </is>
      </c>
      <c r="B744" s="1" t="n">
        <v>44739</v>
      </c>
      <c r="C744" s="1" t="n">
        <v>45584</v>
      </c>
      <c r="D744" t="inlineStr">
        <is>
          <t>UPPSALA LÄN</t>
        </is>
      </c>
      <c r="E744" t="inlineStr">
        <is>
          <t>UPPSALA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26958-2022</t>
        </is>
      </c>
      <c r="B745" s="1" t="n">
        <v>44740</v>
      </c>
      <c r="C745" s="1" t="n">
        <v>45584</v>
      </c>
      <c r="D745" t="inlineStr">
        <is>
          <t>UPPSALA LÄN</t>
        </is>
      </c>
      <c r="E745" t="inlineStr">
        <is>
          <t>UPPSALA</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v>
      </c>
      <c r="C746" s="1" t="n">
        <v>45584</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27372-2022</t>
        </is>
      </c>
      <c r="B747" s="1" t="n">
        <v>44742</v>
      </c>
      <c r="C747" s="1" t="n">
        <v>45584</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27369-2022</t>
        </is>
      </c>
      <c r="B748" s="1" t="n">
        <v>44742</v>
      </c>
      <c r="C748" s="1" t="n">
        <v>45584</v>
      </c>
      <c r="D748" t="inlineStr">
        <is>
          <t>UPPSALA LÄN</t>
        </is>
      </c>
      <c r="E748" t="inlineStr">
        <is>
          <t>UPPSALA</t>
        </is>
      </c>
      <c r="G748" t="n">
        <v>4.5</v>
      </c>
      <c r="H748" t="n">
        <v>0</v>
      </c>
      <c r="I748" t="n">
        <v>0</v>
      </c>
      <c r="J748" t="n">
        <v>0</v>
      </c>
      <c r="K748" t="n">
        <v>0</v>
      </c>
      <c r="L748" t="n">
        <v>0</v>
      </c>
      <c r="M748" t="n">
        <v>0</v>
      </c>
      <c r="N748" t="n">
        <v>0</v>
      </c>
      <c r="O748" t="n">
        <v>0</v>
      </c>
      <c r="P748" t="n">
        <v>0</v>
      </c>
      <c r="Q748" t="n">
        <v>0</v>
      </c>
      <c r="R748" s="2" t="inlineStr"/>
    </row>
    <row r="749" ht="15" customHeight="1">
      <c r="A749" t="inlineStr">
        <is>
          <t>A 27390-2022</t>
        </is>
      </c>
      <c r="B749" s="1" t="n">
        <v>44742</v>
      </c>
      <c r="C749" s="1" t="n">
        <v>45584</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27397-2022</t>
        </is>
      </c>
      <c r="B750" s="1" t="n">
        <v>44742</v>
      </c>
      <c r="C750" s="1" t="n">
        <v>45584</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27546-2022</t>
        </is>
      </c>
      <c r="B751" s="1" t="n">
        <v>44742</v>
      </c>
      <c r="C751" s="1" t="n">
        <v>45584</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45584</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45584</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27762-2022</t>
        </is>
      </c>
      <c r="B754" s="1" t="n">
        <v>44743</v>
      </c>
      <c r="C754" s="1" t="n">
        <v>45584</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29277-2022</t>
        </is>
      </c>
      <c r="B755" s="1" t="n">
        <v>44750</v>
      </c>
      <c r="C755" s="1" t="n">
        <v>45584</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29134-2022</t>
        </is>
      </c>
      <c r="B756" s="1" t="n">
        <v>44750</v>
      </c>
      <c r="C756" s="1" t="n">
        <v>45584</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29986-2022</t>
        </is>
      </c>
      <c r="B757" s="1" t="n">
        <v>44756</v>
      </c>
      <c r="C757" s="1" t="n">
        <v>45584</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29991-2022</t>
        </is>
      </c>
      <c r="B758" s="1" t="n">
        <v>44756</v>
      </c>
      <c r="C758" s="1" t="n">
        <v>45584</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30052-2022</t>
        </is>
      </c>
      <c r="B759" s="1" t="n">
        <v>44757</v>
      </c>
      <c r="C759" s="1" t="n">
        <v>45584</v>
      </c>
      <c r="D759" t="inlineStr">
        <is>
          <t>UPPSALA LÄN</t>
        </is>
      </c>
      <c r="E759" t="inlineStr">
        <is>
          <t>UPPSALA</t>
        </is>
      </c>
      <c r="F759" t="inlineStr">
        <is>
          <t>Bergvik skog öst AB</t>
        </is>
      </c>
      <c r="G759" t="n">
        <v>9.6</v>
      </c>
      <c r="H759" t="n">
        <v>0</v>
      </c>
      <c r="I759" t="n">
        <v>0</v>
      </c>
      <c r="J759" t="n">
        <v>0</v>
      </c>
      <c r="K759" t="n">
        <v>0</v>
      </c>
      <c r="L759" t="n">
        <v>0</v>
      </c>
      <c r="M759" t="n">
        <v>0</v>
      </c>
      <c r="N759" t="n">
        <v>0</v>
      </c>
      <c r="O759" t="n">
        <v>0</v>
      </c>
      <c r="P759" t="n">
        <v>0</v>
      </c>
      <c r="Q759" t="n">
        <v>0</v>
      </c>
      <c r="R759" s="2" t="inlineStr"/>
    </row>
    <row r="760" ht="15" customHeight="1">
      <c r="A760" t="inlineStr">
        <is>
          <t>A 30580-2022</t>
        </is>
      </c>
      <c r="B760" s="1" t="n">
        <v>44762</v>
      </c>
      <c r="C760" s="1" t="n">
        <v>45584</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30783-2022</t>
        </is>
      </c>
      <c r="B761" s="1" t="n">
        <v>44764</v>
      </c>
      <c r="C761" s="1" t="n">
        <v>45584</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30775-2022</t>
        </is>
      </c>
      <c r="B762" s="1" t="n">
        <v>44764</v>
      </c>
      <c r="C762" s="1" t="n">
        <v>45584</v>
      </c>
      <c r="D762" t="inlineStr">
        <is>
          <t>UPPSALA LÄN</t>
        </is>
      </c>
      <c r="E762" t="inlineStr">
        <is>
          <t>UPPSALA</t>
        </is>
      </c>
      <c r="F762" t="inlineStr">
        <is>
          <t>Bergvik skog öst AB</t>
        </is>
      </c>
      <c r="G762" t="n">
        <v>4.5</v>
      </c>
      <c r="H762" t="n">
        <v>0</v>
      </c>
      <c r="I762" t="n">
        <v>0</v>
      </c>
      <c r="J762" t="n">
        <v>0</v>
      </c>
      <c r="K762" t="n">
        <v>0</v>
      </c>
      <c r="L762" t="n">
        <v>0</v>
      </c>
      <c r="M762" t="n">
        <v>0</v>
      </c>
      <c r="N762" t="n">
        <v>0</v>
      </c>
      <c r="O762" t="n">
        <v>0</v>
      </c>
      <c r="P762" t="n">
        <v>0</v>
      </c>
      <c r="Q762" t="n">
        <v>0</v>
      </c>
      <c r="R762" s="2" t="inlineStr"/>
    </row>
    <row r="763" ht="15" customHeight="1">
      <c r="A763" t="inlineStr">
        <is>
          <t>A 31113-2022</t>
        </is>
      </c>
      <c r="B763" s="1" t="n">
        <v>44769</v>
      </c>
      <c r="C763" s="1" t="n">
        <v>45584</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31263-2022</t>
        </is>
      </c>
      <c r="B764" s="1" t="n">
        <v>44771</v>
      </c>
      <c r="C764" s="1" t="n">
        <v>45584</v>
      </c>
      <c r="D764" t="inlineStr">
        <is>
          <t>UPPSALA LÄN</t>
        </is>
      </c>
      <c r="E764" t="inlineStr">
        <is>
          <t>UPPSALA</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31261-2022</t>
        </is>
      </c>
      <c r="B765" s="1" t="n">
        <v>44771</v>
      </c>
      <c r="C765" s="1" t="n">
        <v>45584</v>
      </c>
      <c r="D765" t="inlineStr">
        <is>
          <t>UPPSALA LÄN</t>
        </is>
      </c>
      <c r="E765" t="inlineStr">
        <is>
          <t>UPPSALA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31249-2022</t>
        </is>
      </c>
      <c r="B766" s="1" t="n">
        <v>44771</v>
      </c>
      <c r="C766" s="1" t="n">
        <v>45584</v>
      </c>
      <c r="D766" t="inlineStr">
        <is>
          <t>UPPSALA LÄN</t>
        </is>
      </c>
      <c r="E766" t="inlineStr">
        <is>
          <t>UPPSALA</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31253-2022</t>
        </is>
      </c>
      <c r="B767" s="1" t="n">
        <v>44771</v>
      </c>
      <c r="C767" s="1" t="n">
        <v>45584</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32954-2022</t>
        </is>
      </c>
      <c r="B768" s="1" t="n">
        <v>44784</v>
      </c>
      <c r="C768" s="1" t="n">
        <v>45584</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45584</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33283-2022</t>
        </is>
      </c>
      <c r="B770" s="1" t="n">
        <v>44788</v>
      </c>
      <c r="C770" s="1" t="n">
        <v>45584</v>
      </c>
      <c r="D770" t="inlineStr">
        <is>
          <t>UPPSALA LÄN</t>
        </is>
      </c>
      <c r="E770" t="inlineStr">
        <is>
          <t>UPPSALA</t>
        </is>
      </c>
      <c r="G770" t="n">
        <v>20.2</v>
      </c>
      <c r="H770" t="n">
        <v>0</v>
      </c>
      <c r="I770" t="n">
        <v>0</v>
      </c>
      <c r="J770" t="n">
        <v>0</v>
      </c>
      <c r="K770" t="n">
        <v>0</v>
      </c>
      <c r="L770" t="n">
        <v>0</v>
      </c>
      <c r="M770" t="n">
        <v>0</v>
      </c>
      <c r="N770" t="n">
        <v>0</v>
      </c>
      <c r="O770" t="n">
        <v>0</v>
      </c>
      <c r="P770" t="n">
        <v>0</v>
      </c>
      <c r="Q770" t="n">
        <v>0</v>
      </c>
      <c r="R770" s="2" t="inlineStr"/>
    </row>
    <row r="771" ht="15" customHeight="1">
      <c r="A771" t="inlineStr">
        <is>
          <t>A 34061-2022</t>
        </is>
      </c>
      <c r="B771" s="1" t="n">
        <v>44791</v>
      </c>
      <c r="C771" s="1" t="n">
        <v>45584</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34770-2022</t>
        </is>
      </c>
      <c r="B772" s="1" t="n">
        <v>44795</v>
      </c>
      <c r="C772" s="1" t="n">
        <v>45584</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35212-2022</t>
        </is>
      </c>
      <c r="B773" s="1" t="n">
        <v>44797</v>
      </c>
      <c r="C773" s="1" t="n">
        <v>45584</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35411-2022</t>
        </is>
      </c>
      <c r="B774" s="1" t="n">
        <v>44798</v>
      </c>
      <c r="C774" s="1" t="n">
        <v>45584</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35539-2022</t>
        </is>
      </c>
      <c r="B775" s="1" t="n">
        <v>44799</v>
      </c>
      <c r="C775" s="1" t="n">
        <v>45584</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35544-2022</t>
        </is>
      </c>
      <c r="B776" s="1" t="n">
        <v>44799</v>
      </c>
      <c r="C776" s="1" t="n">
        <v>45584</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35542-2022</t>
        </is>
      </c>
      <c r="B777" s="1" t="n">
        <v>44799</v>
      </c>
      <c r="C777" s="1" t="n">
        <v>45584</v>
      </c>
      <c r="D777" t="inlineStr">
        <is>
          <t>UPPSALA LÄN</t>
        </is>
      </c>
      <c r="E777" t="inlineStr">
        <is>
          <t>UPPSALA</t>
        </is>
      </c>
      <c r="G777" t="n">
        <v>3.2</v>
      </c>
      <c r="H777" t="n">
        <v>0</v>
      </c>
      <c r="I777" t="n">
        <v>0</v>
      </c>
      <c r="J777" t="n">
        <v>0</v>
      </c>
      <c r="K777" t="n">
        <v>0</v>
      </c>
      <c r="L777" t="n">
        <v>0</v>
      </c>
      <c r="M777" t="n">
        <v>0</v>
      </c>
      <c r="N777" t="n">
        <v>0</v>
      </c>
      <c r="O777" t="n">
        <v>0</v>
      </c>
      <c r="P777" t="n">
        <v>0</v>
      </c>
      <c r="Q777" t="n">
        <v>0</v>
      </c>
      <c r="R777" s="2" t="inlineStr"/>
    </row>
    <row r="778" ht="15" customHeight="1">
      <c r="A778" t="inlineStr">
        <is>
          <t>A 37187-2022</t>
        </is>
      </c>
      <c r="B778" s="1" t="n">
        <v>44806</v>
      </c>
      <c r="C778" s="1" t="n">
        <v>45584</v>
      </c>
      <c r="D778" t="inlineStr">
        <is>
          <t>UPPSALA LÄN</t>
        </is>
      </c>
      <c r="E778" t="inlineStr">
        <is>
          <t>UPPSALA</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37316-2022</t>
        </is>
      </c>
      <c r="B779" s="1" t="n">
        <v>44806</v>
      </c>
      <c r="C779" s="1" t="n">
        <v>45584</v>
      </c>
      <c r="D779" t="inlineStr">
        <is>
          <t>UPPSALA LÄN</t>
        </is>
      </c>
      <c r="E779" t="inlineStr">
        <is>
          <t>UPPSALA</t>
        </is>
      </c>
      <c r="G779" t="n">
        <v>10.6</v>
      </c>
      <c r="H779" t="n">
        <v>0</v>
      </c>
      <c r="I779" t="n">
        <v>0</v>
      </c>
      <c r="J779" t="n">
        <v>0</v>
      </c>
      <c r="K779" t="n">
        <v>0</v>
      </c>
      <c r="L779" t="n">
        <v>0</v>
      </c>
      <c r="M779" t="n">
        <v>0</v>
      </c>
      <c r="N779" t="n">
        <v>0</v>
      </c>
      <c r="O779" t="n">
        <v>0</v>
      </c>
      <c r="P779" t="n">
        <v>0</v>
      </c>
      <c r="Q779" t="n">
        <v>0</v>
      </c>
      <c r="R779" s="2" t="inlineStr"/>
    </row>
    <row r="780" ht="15" customHeight="1">
      <c r="A780" t="inlineStr">
        <is>
          <t>A 37188-2022</t>
        </is>
      </c>
      <c r="B780" s="1" t="n">
        <v>44806</v>
      </c>
      <c r="C780" s="1" t="n">
        <v>45584</v>
      </c>
      <c r="D780" t="inlineStr">
        <is>
          <t>UPPSALA LÄN</t>
        </is>
      </c>
      <c r="E780" t="inlineStr">
        <is>
          <t>UPPSALA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37588-2022</t>
        </is>
      </c>
      <c r="B781" s="1" t="n">
        <v>44810</v>
      </c>
      <c r="C781" s="1" t="n">
        <v>45584</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37761-2022</t>
        </is>
      </c>
      <c r="B782" s="1" t="n">
        <v>44810</v>
      </c>
      <c r="C782" s="1" t="n">
        <v>45584</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37670-2022</t>
        </is>
      </c>
      <c r="B783" s="1" t="n">
        <v>44810</v>
      </c>
      <c r="C783" s="1" t="n">
        <v>45584</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38078-2022</t>
        </is>
      </c>
      <c r="B784" s="1" t="n">
        <v>44811</v>
      </c>
      <c r="C784" s="1" t="n">
        <v>45584</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38524-2022</t>
        </is>
      </c>
      <c r="B785" s="1" t="n">
        <v>44813</v>
      </c>
      <c r="C785" s="1" t="n">
        <v>45584</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45584</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38892-2022</t>
        </is>
      </c>
      <c r="B787" s="1" t="n">
        <v>44816</v>
      </c>
      <c r="C787" s="1" t="n">
        <v>45584</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38909-2022</t>
        </is>
      </c>
      <c r="B788" s="1" t="n">
        <v>44816</v>
      </c>
      <c r="C788" s="1" t="n">
        <v>45584</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45584</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39144-2022</t>
        </is>
      </c>
      <c r="B790" s="1" t="n">
        <v>44816</v>
      </c>
      <c r="C790" s="1" t="n">
        <v>45584</v>
      </c>
      <c r="D790" t="inlineStr">
        <is>
          <t>UPPSALA LÄN</t>
        </is>
      </c>
      <c r="E790" t="inlineStr">
        <is>
          <t>UPPSALA</t>
        </is>
      </c>
      <c r="G790" t="n">
        <v>8.4</v>
      </c>
      <c r="H790" t="n">
        <v>0</v>
      </c>
      <c r="I790" t="n">
        <v>0</v>
      </c>
      <c r="J790" t="n">
        <v>0</v>
      </c>
      <c r="K790" t="n">
        <v>0</v>
      </c>
      <c r="L790" t="n">
        <v>0</v>
      </c>
      <c r="M790" t="n">
        <v>0</v>
      </c>
      <c r="N790" t="n">
        <v>0</v>
      </c>
      <c r="O790" t="n">
        <v>0</v>
      </c>
      <c r="P790" t="n">
        <v>0</v>
      </c>
      <c r="Q790" t="n">
        <v>0</v>
      </c>
      <c r="R790" s="2" t="inlineStr"/>
    </row>
    <row r="791" ht="15" customHeight="1">
      <c r="A791" t="inlineStr">
        <is>
          <t>A 39454-2022</t>
        </is>
      </c>
      <c r="B791" s="1" t="n">
        <v>44817</v>
      </c>
      <c r="C791" s="1" t="n">
        <v>45584</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39608-2022</t>
        </is>
      </c>
      <c r="B792" s="1" t="n">
        <v>44817</v>
      </c>
      <c r="C792" s="1" t="n">
        <v>45584</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39599-2022</t>
        </is>
      </c>
      <c r="B793" s="1" t="n">
        <v>44817</v>
      </c>
      <c r="C793" s="1" t="n">
        <v>45584</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39795-2022</t>
        </is>
      </c>
      <c r="B794" s="1" t="n">
        <v>44819</v>
      </c>
      <c r="C794" s="1" t="n">
        <v>45584</v>
      </c>
      <c r="D794" t="inlineStr">
        <is>
          <t>UPPSALA LÄN</t>
        </is>
      </c>
      <c r="E794" t="inlineStr">
        <is>
          <t>UPPSALA</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39915-2022</t>
        </is>
      </c>
      <c r="B795" s="1" t="n">
        <v>44819</v>
      </c>
      <c r="C795" s="1" t="n">
        <v>45584</v>
      </c>
      <c r="D795" t="inlineStr">
        <is>
          <t>UPPSALA LÄN</t>
        </is>
      </c>
      <c r="E795" t="inlineStr">
        <is>
          <t>UPPSALA</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v>
      </c>
      <c r="C796" s="1" t="n">
        <v>45584</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40100-2022</t>
        </is>
      </c>
      <c r="B797" s="1" t="n">
        <v>44820</v>
      </c>
      <c r="C797" s="1" t="n">
        <v>45584</v>
      </c>
      <c r="D797" t="inlineStr">
        <is>
          <t>UPPSALA LÄN</t>
        </is>
      </c>
      <c r="E797" t="inlineStr">
        <is>
          <t>UPPSALA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42622-2022</t>
        </is>
      </c>
      <c r="B798" s="1" t="n">
        <v>44831</v>
      </c>
      <c r="C798" s="1" t="n">
        <v>45584</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42772-2022</t>
        </is>
      </c>
      <c r="B799" s="1" t="n">
        <v>44832</v>
      </c>
      <c r="C799" s="1" t="n">
        <v>45584</v>
      </c>
      <c r="D799" t="inlineStr">
        <is>
          <t>UPPSALA LÄN</t>
        </is>
      </c>
      <c r="E799" t="inlineStr">
        <is>
          <t>UPPSALA</t>
        </is>
      </c>
      <c r="G799" t="n">
        <v>17.7</v>
      </c>
      <c r="H799" t="n">
        <v>0</v>
      </c>
      <c r="I799" t="n">
        <v>0</v>
      </c>
      <c r="J799" t="n">
        <v>0</v>
      </c>
      <c r="K799" t="n">
        <v>0</v>
      </c>
      <c r="L799" t="n">
        <v>0</v>
      </c>
      <c r="M799" t="n">
        <v>0</v>
      </c>
      <c r="N799" t="n">
        <v>0</v>
      </c>
      <c r="O799" t="n">
        <v>0</v>
      </c>
      <c r="P799" t="n">
        <v>0</v>
      </c>
      <c r="Q799" t="n">
        <v>0</v>
      </c>
      <c r="R799" s="2" t="inlineStr"/>
    </row>
    <row r="800" ht="15" customHeight="1">
      <c r="A800" t="inlineStr">
        <is>
          <t>A 43032-2022</t>
        </is>
      </c>
      <c r="B800" s="1" t="n">
        <v>44832</v>
      </c>
      <c r="C800" s="1" t="n">
        <v>45584</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43850-2022</t>
        </is>
      </c>
      <c r="B801" s="1" t="n">
        <v>44838</v>
      </c>
      <c r="C801" s="1" t="n">
        <v>45584</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44265-2022</t>
        </is>
      </c>
      <c r="B802" s="1" t="n">
        <v>44839</v>
      </c>
      <c r="C802" s="1" t="n">
        <v>45584</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44817-2022</t>
        </is>
      </c>
      <c r="B803" s="1" t="n">
        <v>44841</v>
      </c>
      <c r="C803" s="1" t="n">
        <v>45584</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45195-2022</t>
        </is>
      </c>
      <c r="B804" s="1" t="n">
        <v>44844</v>
      </c>
      <c r="C804" s="1" t="n">
        <v>45584</v>
      </c>
      <c r="D804" t="inlineStr">
        <is>
          <t>UPPSALA LÄN</t>
        </is>
      </c>
      <c r="E804" t="inlineStr">
        <is>
          <t>UPPSALA</t>
        </is>
      </c>
      <c r="G804" t="n">
        <v>3.3</v>
      </c>
      <c r="H804" t="n">
        <v>0</v>
      </c>
      <c r="I804" t="n">
        <v>0</v>
      </c>
      <c r="J804" t="n">
        <v>0</v>
      </c>
      <c r="K804" t="n">
        <v>0</v>
      </c>
      <c r="L804" t="n">
        <v>0</v>
      </c>
      <c r="M804" t="n">
        <v>0</v>
      </c>
      <c r="N804" t="n">
        <v>0</v>
      </c>
      <c r="O804" t="n">
        <v>0</v>
      </c>
      <c r="P804" t="n">
        <v>0</v>
      </c>
      <c r="Q804" t="n">
        <v>0</v>
      </c>
      <c r="R804" s="2" t="inlineStr"/>
    </row>
    <row r="805" ht="15" customHeight="1">
      <c r="A805" t="inlineStr">
        <is>
          <t>A 45780-2022</t>
        </is>
      </c>
      <c r="B805" s="1" t="n">
        <v>44846</v>
      </c>
      <c r="C805" s="1" t="n">
        <v>45584</v>
      </c>
      <c r="D805" t="inlineStr">
        <is>
          <t>UPPSALA LÄN</t>
        </is>
      </c>
      <c r="E805" t="inlineStr">
        <is>
          <t>UPPSALA</t>
        </is>
      </c>
      <c r="G805" t="n">
        <v>5.8</v>
      </c>
      <c r="H805" t="n">
        <v>0</v>
      </c>
      <c r="I805" t="n">
        <v>0</v>
      </c>
      <c r="J805" t="n">
        <v>0</v>
      </c>
      <c r="K805" t="n">
        <v>0</v>
      </c>
      <c r="L805" t="n">
        <v>0</v>
      </c>
      <c r="M805" t="n">
        <v>0</v>
      </c>
      <c r="N805" t="n">
        <v>0</v>
      </c>
      <c r="O805" t="n">
        <v>0</v>
      </c>
      <c r="P805" t="n">
        <v>0</v>
      </c>
      <c r="Q805" t="n">
        <v>0</v>
      </c>
      <c r="R805" s="2" t="inlineStr"/>
    </row>
    <row r="806" ht="15" customHeight="1">
      <c r="A806" t="inlineStr">
        <is>
          <t>A 45849-2022</t>
        </is>
      </c>
      <c r="B806" s="1" t="n">
        <v>44846</v>
      </c>
      <c r="C806" s="1" t="n">
        <v>45584</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46077-2022</t>
        </is>
      </c>
      <c r="B807" s="1" t="n">
        <v>44847</v>
      </c>
      <c r="C807" s="1" t="n">
        <v>45584</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45584</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v>
      </c>
      <c r="C809" s="1" t="n">
        <v>45584</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45584</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46805-2022</t>
        </is>
      </c>
      <c r="B811" s="1" t="n">
        <v>44847</v>
      </c>
      <c r="C811" s="1" t="n">
        <v>45584</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46807-2022</t>
        </is>
      </c>
      <c r="B812" s="1" t="n">
        <v>44848</v>
      </c>
      <c r="C812" s="1" t="n">
        <v>45584</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46635-2022</t>
        </is>
      </c>
      <c r="B813" s="1" t="n">
        <v>44849</v>
      </c>
      <c r="C813" s="1" t="n">
        <v>45584</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47413-2022</t>
        </is>
      </c>
      <c r="B814" s="1" t="n">
        <v>44853</v>
      </c>
      <c r="C814" s="1" t="n">
        <v>45584</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48686-2022</t>
        </is>
      </c>
      <c r="B815" s="1" t="n">
        <v>44859</v>
      </c>
      <c r="C815" s="1" t="n">
        <v>45584</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48588-2022</t>
        </is>
      </c>
      <c r="B816" s="1" t="n">
        <v>44859</v>
      </c>
      <c r="C816" s="1" t="n">
        <v>45584</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48692-2022</t>
        </is>
      </c>
      <c r="B817" s="1" t="n">
        <v>44859</v>
      </c>
      <c r="C817" s="1" t="n">
        <v>45584</v>
      </c>
      <c r="D817" t="inlineStr">
        <is>
          <t>UPPSALA LÄN</t>
        </is>
      </c>
      <c r="E817" t="inlineStr">
        <is>
          <t>UPPSALA</t>
        </is>
      </c>
      <c r="G817" t="n">
        <v>3.1</v>
      </c>
      <c r="H817" t="n">
        <v>0</v>
      </c>
      <c r="I817" t="n">
        <v>0</v>
      </c>
      <c r="J817" t="n">
        <v>0</v>
      </c>
      <c r="K817" t="n">
        <v>0</v>
      </c>
      <c r="L817" t="n">
        <v>0</v>
      </c>
      <c r="M817" t="n">
        <v>0</v>
      </c>
      <c r="N817" t="n">
        <v>0</v>
      </c>
      <c r="O817" t="n">
        <v>0</v>
      </c>
      <c r="P817" t="n">
        <v>0</v>
      </c>
      <c r="Q817" t="n">
        <v>0</v>
      </c>
      <c r="R817" s="2" t="inlineStr"/>
    </row>
    <row r="818" ht="15" customHeight="1">
      <c r="A818" t="inlineStr">
        <is>
          <t>A 48688-2022</t>
        </is>
      </c>
      <c r="B818" s="1" t="n">
        <v>44859</v>
      </c>
      <c r="C818" s="1" t="n">
        <v>45584</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50006-2022</t>
        </is>
      </c>
      <c r="B819" s="1" t="n">
        <v>44865</v>
      </c>
      <c r="C819" s="1" t="n">
        <v>45584</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50092-2022</t>
        </is>
      </c>
      <c r="B820" s="1" t="n">
        <v>44865</v>
      </c>
      <c r="C820" s="1" t="n">
        <v>45584</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45584</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51661-2022</t>
        </is>
      </c>
      <c r="B822" s="1" t="n">
        <v>44872</v>
      </c>
      <c r="C822" s="1" t="n">
        <v>45584</v>
      </c>
      <c r="D822" t="inlineStr">
        <is>
          <t>UPPSALA LÄN</t>
        </is>
      </c>
      <c r="E822" t="inlineStr">
        <is>
          <t>UPPSALA</t>
        </is>
      </c>
      <c r="G822" t="n">
        <v>8.9</v>
      </c>
      <c r="H822" t="n">
        <v>0</v>
      </c>
      <c r="I822" t="n">
        <v>0</v>
      </c>
      <c r="J822" t="n">
        <v>0</v>
      </c>
      <c r="K822" t="n">
        <v>0</v>
      </c>
      <c r="L822" t="n">
        <v>0</v>
      </c>
      <c r="M822" t="n">
        <v>0</v>
      </c>
      <c r="N822" t="n">
        <v>0</v>
      </c>
      <c r="O822" t="n">
        <v>0</v>
      </c>
      <c r="P822" t="n">
        <v>0</v>
      </c>
      <c r="Q822" t="n">
        <v>0</v>
      </c>
      <c r="R822" s="2" t="inlineStr"/>
    </row>
    <row r="823" ht="15" customHeight="1">
      <c r="A823" t="inlineStr">
        <is>
          <t>A 51899-2022</t>
        </is>
      </c>
      <c r="B823" s="1" t="n">
        <v>44872</v>
      </c>
      <c r="C823" s="1" t="n">
        <v>45584</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54715-2022</t>
        </is>
      </c>
      <c r="B824" s="1" t="n">
        <v>44883</v>
      </c>
      <c r="C824" s="1" t="n">
        <v>45584</v>
      </c>
      <c r="D824" t="inlineStr">
        <is>
          <t>UPPSALA LÄN</t>
        </is>
      </c>
      <c r="E824" t="inlineStr">
        <is>
          <t>UPPSALA</t>
        </is>
      </c>
      <c r="F824" t="inlineStr">
        <is>
          <t>Övriga Aktiebolag</t>
        </is>
      </c>
      <c r="G824" t="n">
        <v>9.5</v>
      </c>
      <c r="H824" t="n">
        <v>0</v>
      </c>
      <c r="I824" t="n">
        <v>0</v>
      </c>
      <c r="J824" t="n">
        <v>0</v>
      </c>
      <c r="K824" t="n">
        <v>0</v>
      </c>
      <c r="L824" t="n">
        <v>0</v>
      </c>
      <c r="M824" t="n">
        <v>0</v>
      </c>
      <c r="N824" t="n">
        <v>0</v>
      </c>
      <c r="O824" t="n">
        <v>0</v>
      </c>
      <c r="P824" t="n">
        <v>0</v>
      </c>
      <c r="Q824" t="n">
        <v>0</v>
      </c>
      <c r="R824" s="2" t="inlineStr"/>
    </row>
    <row r="825" ht="15" customHeight="1">
      <c r="A825" t="inlineStr">
        <is>
          <t>A 54732-2022</t>
        </is>
      </c>
      <c r="B825" s="1" t="n">
        <v>44883</v>
      </c>
      <c r="C825" s="1" t="n">
        <v>45584</v>
      </c>
      <c r="D825" t="inlineStr">
        <is>
          <t>UPPSALA LÄN</t>
        </is>
      </c>
      <c r="E825" t="inlineStr">
        <is>
          <t>UPPSALA</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54813-2022</t>
        </is>
      </c>
      <c r="B826" s="1" t="n">
        <v>44883</v>
      </c>
      <c r="C826" s="1" t="n">
        <v>45584</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55021-2022</t>
        </is>
      </c>
      <c r="B827" s="1" t="n">
        <v>44886</v>
      </c>
      <c r="C827" s="1" t="n">
        <v>45584</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55040-2022</t>
        </is>
      </c>
      <c r="B828" s="1" t="n">
        <v>44886</v>
      </c>
      <c r="C828" s="1" t="n">
        <v>45584</v>
      </c>
      <c r="D828" t="inlineStr">
        <is>
          <t>UPPSALA LÄN</t>
        </is>
      </c>
      <c r="E828" t="inlineStr">
        <is>
          <t>UPPSALA</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55073-2022</t>
        </is>
      </c>
      <c r="B829" s="1" t="n">
        <v>44886</v>
      </c>
      <c r="C829" s="1" t="n">
        <v>45584</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v>
      </c>
      <c r="C830" s="1" t="n">
        <v>45584</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55401-2022</t>
        </is>
      </c>
      <c r="B831" s="1" t="n">
        <v>44887</v>
      </c>
      <c r="C831" s="1" t="n">
        <v>45584</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55862-2022</t>
        </is>
      </c>
      <c r="B832" s="1" t="n">
        <v>44888</v>
      </c>
      <c r="C832" s="1" t="n">
        <v>45584</v>
      </c>
      <c r="D832" t="inlineStr">
        <is>
          <t>UPPSALA LÄN</t>
        </is>
      </c>
      <c r="E832" t="inlineStr">
        <is>
          <t>UPPSALA</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56679-2022</t>
        </is>
      </c>
      <c r="B833" s="1" t="n">
        <v>44893</v>
      </c>
      <c r="C833" s="1" t="n">
        <v>45584</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56889-2022</t>
        </is>
      </c>
      <c r="B834" s="1" t="n">
        <v>44894</v>
      </c>
      <c r="C834" s="1" t="n">
        <v>45584</v>
      </c>
      <c r="D834" t="inlineStr">
        <is>
          <t>UPPSALA LÄN</t>
        </is>
      </c>
      <c r="E834" t="inlineStr">
        <is>
          <t>UPPSALA</t>
        </is>
      </c>
      <c r="F834" t="inlineStr">
        <is>
          <t>Övriga Aktiebolag</t>
        </is>
      </c>
      <c r="G834" t="n">
        <v>21.6</v>
      </c>
      <c r="H834" t="n">
        <v>0</v>
      </c>
      <c r="I834" t="n">
        <v>0</v>
      </c>
      <c r="J834" t="n">
        <v>0</v>
      </c>
      <c r="K834" t="n">
        <v>0</v>
      </c>
      <c r="L834" t="n">
        <v>0</v>
      </c>
      <c r="M834" t="n">
        <v>0</v>
      </c>
      <c r="N834" t="n">
        <v>0</v>
      </c>
      <c r="O834" t="n">
        <v>0</v>
      </c>
      <c r="P834" t="n">
        <v>0</v>
      </c>
      <c r="Q834" t="n">
        <v>0</v>
      </c>
      <c r="R834" s="2" t="inlineStr"/>
    </row>
    <row r="835" ht="15" customHeight="1">
      <c r="A835" t="inlineStr">
        <is>
          <t>A 56795-2022</t>
        </is>
      </c>
      <c r="B835" s="1" t="n">
        <v>44894</v>
      </c>
      <c r="C835" s="1" t="n">
        <v>45584</v>
      </c>
      <c r="D835" t="inlineStr">
        <is>
          <t>UPPSALA LÄN</t>
        </is>
      </c>
      <c r="E835" t="inlineStr">
        <is>
          <t>UPPSALA</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56779-2022</t>
        </is>
      </c>
      <c r="B836" s="1" t="n">
        <v>44894</v>
      </c>
      <c r="C836" s="1" t="n">
        <v>45584</v>
      </c>
      <c r="D836" t="inlineStr">
        <is>
          <t>UPPSALA LÄN</t>
        </is>
      </c>
      <c r="E836" t="inlineStr">
        <is>
          <t>UPPSALA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57495-2022</t>
        </is>
      </c>
      <c r="B837" s="1" t="n">
        <v>44896</v>
      </c>
      <c r="C837" s="1" t="n">
        <v>45584</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57714-2022</t>
        </is>
      </c>
      <c r="B838" s="1" t="n">
        <v>44897</v>
      </c>
      <c r="C838" s="1" t="n">
        <v>45584</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57809-2022</t>
        </is>
      </c>
      <c r="B839" s="1" t="n">
        <v>44897</v>
      </c>
      <c r="C839" s="1" t="n">
        <v>45584</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58023-2022</t>
        </is>
      </c>
      <c r="B840" s="1" t="n">
        <v>44900</v>
      </c>
      <c r="C840" s="1" t="n">
        <v>45584</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58096-2022</t>
        </is>
      </c>
      <c r="B841" s="1" t="n">
        <v>44900</v>
      </c>
      <c r="C841" s="1" t="n">
        <v>45584</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58243-2022</t>
        </is>
      </c>
      <c r="B842" s="1" t="n">
        <v>44901</v>
      </c>
      <c r="C842" s="1" t="n">
        <v>45584</v>
      </c>
      <c r="D842" t="inlineStr">
        <is>
          <t>UPPSALA LÄN</t>
        </is>
      </c>
      <c r="E842" t="inlineStr">
        <is>
          <t>UPPSALA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59133-2022</t>
        </is>
      </c>
      <c r="B843" s="1" t="n">
        <v>44904</v>
      </c>
      <c r="C843" s="1" t="n">
        <v>45584</v>
      </c>
      <c r="D843" t="inlineStr">
        <is>
          <t>UPPSALA LÄN</t>
        </is>
      </c>
      <c r="E843" t="inlineStr">
        <is>
          <t>UPPSALA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59730-2022</t>
        </is>
      </c>
      <c r="B844" s="1" t="n">
        <v>44908</v>
      </c>
      <c r="C844" s="1" t="n">
        <v>45584</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v>
      </c>
      <c r="C845" s="1" t="n">
        <v>45584</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59727-2022</t>
        </is>
      </c>
      <c r="B846" s="1" t="n">
        <v>44908</v>
      </c>
      <c r="C846" s="1" t="n">
        <v>45584</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60056-2022</t>
        </is>
      </c>
      <c r="B847" s="1" t="n">
        <v>44909</v>
      </c>
      <c r="C847" s="1" t="n">
        <v>45584</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60055-2022</t>
        </is>
      </c>
      <c r="B848" s="1" t="n">
        <v>44909</v>
      </c>
      <c r="C848" s="1" t="n">
        <v>45584</v>
      </c>
      <c r="D848" t="inlineStr">
        <is>
          <t>UPPSALA LÄN</t>
        </is>
      </c>
      <c r="E848" t="inlineStr">
        <is>
          <t>UPPSALA</t>
        </is>
      </c>
      <c r="G848" t="n">
        <v>11.4</v>
      </c>
      <c r="H848" t="n">
        <v>0</v>
      </c>
      <c r="I848" t="n">
        <v>0</v>
      </c>
      <c r="J848" t="n">
        <v>0</v>
      </c>
      <c r="K848" t="n">
        <v>0</v>
      </c>
      <c r="L848" t="n">
        <v>0</v>
      </c>
      <c r="M848" t="n">
        <v>0</v>
      </c>
      <c r="N848" t="n">
        <v>0</v>
      </c>
      <c r="O848" t="n">
        <v>0</v>
      </c>
      <c r="P848" t="n">
        <v>0</v>
      </c>
      <c r="Q848" t="n">
        <v>0</v>
      </c>
      <c r="R848" s="2" t="inlineStr"/>
    </row>
    <row r="849" ht="15" customHeight="1">
      <c r="A849" t="inlineStr">
        <is>
          <t>A 60047-2022</t>
        </is>
      </c>
      <c r="B849" s="1" t="n">
        <v>44909</v>
      </c>
      <c r="C849" s="1" t="n">
        <v>45584</v>
      </c>
      <c r="D849" t="inlineStr">
        <is>
          <t>UPPSALA LÄN</t>
        </is>
      </c>
      <c r="E849" t="inlineStr">
        <is>
          <t>UPPSALA</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60702-2022</t>
        </is>
      </c>
      <c r="B850" s="1" t="n">
        <v>44912</v>
      </c>
      <c r="C850" s="1" t="n">
        <v>45584</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45584</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60984-2022</t>
        </is>
      </c>
      <c r="B852" s="1" t="n">
        <v>44914</v>
      </c>
      <c r="C852" s="1" t="n">
        <v>45584</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60986-2022</t>
        </is>
      </c>
      <c r="B853" s="1" t="n">
        <v>44914</v>
      </c>
      <c r="C853" s="1" t="n">
        <v>45584</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60988-2022</t>
        </is>
      </c>
      <c r="B854" s="1" t="n">
        <v>44914</v>
      </c>
      <c r="C854" s="1" t="n">
        <v>45584</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61526-2022</t>
        </is>
      </c>
      <c r="B855" s="1" t="n">
        <v>44916</v>
      </c>
      <c r="C855" s="1" t="n">
        <v>45584</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61578-2022</t>
        </is>
      </c>
      <c r="B856" s="1" t="n">
        <v>44916</v>
      </c>
      <c r="C856" s="1" t="n">
        <v>45584</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62311-2022</t>
        </is>
      </c>
      <c r="B857" s="1" t="n">
        <v>44916</v>
      </c>
      <c r="C857" s="1" t="n">
        <v>45584</v>
      </c>
      <c r="D857" t="inlineStr">
        <is>
          <t>UPPSALA LÄN</t>
        </is>
      </c>
      <c r="E857" t="inlineStr">
        <is>
          <t>UPPSALA</t>
        </is>
      </c>
      <c r="G857" t="n">
        <v>7.6</v>
      </c>
      <c r="H857" t="n">
        <v>0</v>
      </c>
      <c r="I857" t="n">
        <v>0</v>
      </c>
      <c r="J857" t="n">
        <v>0</v>
      </c>
      <c r="K857" t="n">
        <v>0</v>
      </c>
      <c r="L857" t="n">
        <v>0</v>
      </c>
      <c r="M857" t="n">
        <v>0</v>
      </c>
      <c r="N857" t="n">
        <v>0</v>
      </c>
      <c r="O857" t="n">
        <v>0</v>
      </c>
      <c r="P857" t="n">
        <v>0</v>
      </c>
      <c r="Q857" t="n">
        <v>0</v>
      </c>
      <c r="R857" s="2" t="inlineStr"/>
    </row>
    <row r="858" ht="15" customHeight="1">
      <c r="A858" t="inlineStr">
        <is>
          <t>A 111-2023</t>
        </is>
      </c>
      <c r="B858" s="1" t="n">
        <v>44928</v>
      </c>
      <c r="C858" s="1" t="n">
        <v>45584</v>
      </c>
      <c r="D858" t="inlineStr">
        <is>
          <t>UPPSALA LÄN</t>
        </is>
      </c>
      <c r="E858" t="inlineStr">
        <is>
          <t>UPPSALA</t>
        </is>
      </c>
      <c r="F858" t="inlineStr">
        <is>
          <t>Kommuner</t>
        </is>
      </c>
      <c r="G858" t="n">
        <v>4.8</v>
      </c>
      <c r="H858" t="n">
        <v>0</v>
      </c>
      <c r="I858" t="n">
        <v>0</v>
      </c>
      <c r="J858" t="n">
        <v>0</v>
      </c>
      <c r="K858" t="n">
        <v>0</v>
      </c>
      <c r="L858" t="n">
        <v>0</v>
      </c>
      <c r="M858" t="n">
        <v>0</v>
      </c>
      <c r="N858" t="n">
        <v>0</v>
      </c>
      <c r="O858" t="n">
        <v>0</v>
      </c>
      <c r="P858" t="n">
        <v>0</v>
      </c>
      <c r="Q858" t="n">
        <v>0</v>
      </c>
      <c r="R858" s="2" t="inlineStr"/>
    </row>
    <row r="859" ht="15" customHeight="1">
      <c r="A859" t="inlineStr">
        <is>
          <t>A 179-2023</t>
        </is>
      </c>
      <c r="B859" s="1" t="n">
        <v>44928</v>
      </c>
      <c r="C859" s="1" t="n">
        <v>45584</v>
      </c>
      <c r="D859" t="inlineStr">
        <is>
          <t>UPPSALA LÄN</t>
        </is>
      </c>
      <c r="E859" t="inlineStr">
        <is>
          <t>UPPSALA</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367-2023</t>
        </is>
      </c>
      <c r="B860" s="1" t="n">
        <v>44929</v>
      </c>
      <c r="C860" s="1" t="n">
        <v>45584</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554-2023</t>
        </is>
      </c>
      <c r="B861" s="1" t="n">
        <v>44930</v>
      </c>
      <c r="C861" s="1" t="n">
        <v>45584</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686-2023</t>
        </is>
      </c>
      <c r="B862" s="1" t="n">
        <v>44930</v>
      </c>
      <c r="C862" s="1" t="n">
        <v>45584</v>
      </c>
      <c r="D862" t="inlineStr">
        <is>
          <t>UPPSALA LÄN</t>
        </is>
      </c>
      <c r="E862" t="inlineStr">
        <is>
          <t>UPPSALA</t>
        </is>
      </c>
      <c r="F862" t="inlineStr">
        <is>
          <t>Bergvik skog öst AB</t>
        </is>
      </c>
      <c r="G862" t="n">
        <v>4.6</v>
      </c>
      <c r="H862" t="n">
        <v>0</v>
      </c>
      <c r="I862" t="n">
        <v>0</v>
      </c>
      <c r="J862" t="n">
        <v>0</v>
      </c>
      <c r="K862" t="n">
        <v>0</v>
      </c>
      <c r="L862" t="n">
        <v>0</v>
      </c>
      <c r="M862" t="n">
        <v>0</v>
      </c>
      <c r="N862" t="n">
        <v>0</v>
      </c>
      <c r="O862" t="n">
        <v>0</v>
      </c>
      <c r="P862" t="n">
        <v>0</v>
      </c>
      <c r="Q862" t="n">
        <v>0</v>
      </c>
      <c r="R862" s="2" t="inlineStr"/>
    </row>
    <row r="863" ht="15" customHeight="1">
      <c r="A863" t="inlineStr">
        <is>
          <t>A 1032-2023</t>
        </is>
      </c>
      <c r="B863" s="1" t="n">
        <v>44935</v>
      </c>
      <c r="C863" s="1" t="n">
        <v>45584</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1357-2023</t>
        </is>
      </c>
      <c r="B864" s="1" t="n">
        <v>44936</v>
      </c>
      <c r="C864" s="1" t="n">
        <v>45584</v>
      </c>
      <c r="D864" t="inlineStr">
        <is>
          <t>UPPSALA LÄN</t>
        </is>
      </c>
      <c r="E864" t="inlineStr">
        <is>
          <t>UPPSALA</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2186-2023</t>
        </is>
      </c>
      <c r="B865" s="1" t="n">
        <v>44942</v>
      </c>
      <c r="C865" s="1" t="n">
        <v>45584</v>
      </c>
      <c r="D865" t="inlineStr">
        <is>
          <t>UPPSALA LÄN</t>
        </is>
      </c>
      <c r="E865" t="inlineStr">
        <is>
          <t>UPPSALA</t>
        </is>
      </c>
      <c r="F865" t="inlineStr">
        <is>
          <t>Bergvik skog öst AB</t>
        </is>
      </c>
      <c r="G865" t="n">
        <v>2.5</v>
      </c>
      <c r="H865" t="n">
        <v>0</v>
      </c>
      <c r="I865" t="n">
        <v>0</v>
      </c>
      <c r="J865" t="n">
        <v>0</v>
      </c>
      <c r="K865" t="n">
        <v>0</v>
      </c>
      <c r="L865" t="n">
        <v>0</v>
      </c>
      <c r="M865" t="n">
        <v>0</v>
      </c>
      <c r="N865" t="n">
        <v>0</v>
      </c>
      <c r="O865" t="n">
        <v>0</v>
      </c>
      <c r="P865" t="n">
        <v>0</v>
      </c>
      <c r="Q865" t="n">
        <v>0</v>
      </c>
      <c r="R865" s="2" t="inlineStr"/>
    </row>
    <row r="866" ht="15" customHeight="1">
      <c r="A866" t="inlineStr">
        <is>
          <t>A 2622-2023</t>
        </is>
      </c>
      <c r="B866" s="1" t="n">
        <v>44944</v>
      </c>
      <c r="C866" s="1" t="n">
        <v>45584</v>
      </c>
      <c r="D866" t="inlineStr">
        <is>
          <t>UPPSALA LÄN</t>
        </is>
      </c>
      <c r="E866" t="inlineStr">
        <is>
          <t>UPPSALA</t>
        </is>
      </c>
      <c r="F866" t="inlineStr">
        <is>
          <t>Kommuner</t>
        </is>
      </c>
      <c r="G866" t="n">
        <v>1.3</v>
      </c>
      <c r="H866" t="n">
        <v>0</v>
      </c>
      <c r="I866" t="n">
        <v>0</v>
      </c>
      <c r="J866" t="n">
        <v>0</v>
      </c>
      <c r="K866" t="n">
        <v>0</v>
      </c>
      <c r="L866" t="n">
        <v>0</v>
      </c>
      <c r="M866" t="n">
        <v>0</v>
      </c>
      <c r="N866" t="n">
        <v>0</v>
      </c>
      <c r="O866" t="n">
        <v>0</v>
      </c>
      <c r="P866" t="n">
        <v>0</v>
      </c>
      <c r="Q866" t="n">
        <v>0</v>
      </c>
      <c r="R866" s="2" t="inlineStr"/>
    </row>
    <row r="867" ht="15" customHeight="1">
      <c r="A867" t="inlineStr">
        <is>
          <t>A 2624-2023</t>
        </is>
      </c>
      <c r="B867" s="1" t="n">
        <v>44944</v>
      </c>
      <c r="C867" s="1" t="n">
        <v>45584</v>
      </c>
      <c r="D867" t="inlineStr">
        <is>
          <t>UPPSALA LÄN</t>
        </is>
      </c>
      <c r="E867" t="inlineStr">
        <is>
          <t>UPPSALA</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5362-2023</t>
        </is>
      </c>
      <c r="B868" s="1" t="n">
        <v>44944</v>
      </c>
      <c r="C868" s="1" t="n">
        <v>45584</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3214-2023</t>
        </is>
      </c>
      <c r="B869" s="1" t="n">
        <v>44944</v>
      </c>
      <c r="C869" s="1" t="n">
        <v>45584</v>
      </c>
      <c r="D869" t="inlineStr">
        <is>
          <t>UPPSALA LÄN</t>
        </is>
      </c>
      <c r="E869" t="inlineStr">
        <is>
          <t>UPPSALA</t>
        </is>
      </c>
      <c r="G869" t="n">
        <v>4.1</v>
      </c>
      <c r="H869" t="n">
        <v>0</v>
      </c>
      <c r="I869" t="n">
        <v>0</v>
      </c>
      <c r="J869" t="n">
        <v>0</v>
      </c>
      <c r="K869" t="n">
        <v>0</v>
      </c>
      <c r="L869" t="n">
        <v>0</v>
      </c>
      <c r="M869" t="n">
        <v>0</v>
      </c>
      <c r="N869" t="n">
        <v>0</v>
      </c>
      <c r="O869" t="n">
        <v>0</v>
      </c>
      <c r="P869" t="n">
        <v>0</v>
      </c>
      <c r="Q869" t="n">
        <v>0</v>
      </c>
      <c r="R869" s="2" t="inlineStr"/>
    </row>
    <row r="870" ht="15" customHeight="1">
      <c r="A870" t="inlineStr">
        <is>
          <t>A 5374-2023</t>
        </is>
      </c>
      <c r="B870" s="1" t="n">
        <v>44944</v>
      </c>
      <c r="C870" s="1" t="n">
        <v>45584</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2942-2023</t>
        </is>
      </c>
      <c r="B871" s="1" t="n">
        <v>44945</v>
      </c>
      <c r="C871" s="1" t="n">
        <v>45584</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3040-2023</t>
        </is>
      </c>
      <c r="B872" s="1" t="n">
        <v>44946</v>
      </c>
      <c r="C872" s="1" t="n">
        <v>45584</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3089-2023</t>
        </is>
      </c>
      <c r="B873" s="1" t="n">
        <v>44946</v>
      </c>
      <c r="C873" s="1" t="n">
        <v>45584</v>
      </c>
      <c r="D873" t="inlineStr">
        <is>
          <t>UPPSALA LÄN</t>
        </is>
      </c>
      <c r="E873" t="inlineStr">
        <is>
          <t>UPPSALA</t>
        </is>
      </c>
      <c r="G873" t="n">
        <v>3.7</v>
      </c>
      <c r="H873" t="n">
        <v>0</v>
      </c>
      <c r="I873" t="n">
        <v>0</v>
      </c>
      <c r="J873" t="n">
        <v>0</v>
      </c>
      <c r="K873" t="n">
        <v>0</v>
      </c>
      <c r="L873" t="n">
        <v>0</v>
      </c>
      <c r="M873" t="n">
        <v>0</v>
      </c>
      <c r="N873" t="n">
        <v>0</v>
      </c>
      <c r="O873" t="n">
        <v>0</v>
      </c>
      <c r="P873" t="n">
        <v>0</v>
      </c>
      <c r="Q873" t="n">
        <v>0</v>
      </c>
      <c r="R873" s="2" t="inlineStr"/>
    </row>
    <row r="874" ht="15" customHeight="1">
      <c r="A874" t="inlineStr">
        <is>
          <t>A 3086-2023</t>
        </is>
      </c>
      <c r="B874" s="1" t="n">
        <v>44946</v>
      </c>
      <c r="C874" s="1" t="n">
        <v>45584</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3092-2023</t>
        </is>
      </c>
      <c r="B875" s="1" t="n">
        <v>44946</v>
      </c>
      <c r="C875" s="1" t="n">
        <v>45584</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3343-2023</t>
        </is>
      </c>
      <c r="B876" s="1" t="n">
        <v>44949</v>
      </c>
      <c r="C876" s="1" t="n">
        <v>45584</v>
      </c>
      <c r="D876" t="inlineStr">
        <is>
          <t>UPPSALA LÄN</t>
        </is>
      </c>
      <c r="E876" t="inlineStr">
        <is>
          <t>UPPSALA</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3353-2023</t>
        </is>
      </c>
      <c r="B877" s="1" t="n">
        <v>44949</v>
      </c>
      <c r="C877" s="1" t="n">
        <v>45584</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3661-2023</t>
        </is>
      </c>
      <c r="B878" s="1" t="n">
        <v>44950</v>
      </c>
      <c r="C878" s="1" t="n">
        <v>45584</v>
      </c>
      <c r="D878" t="inlineStr">
        <is>
          <t>UPPSALA LÄN</t>
        </is>
      </c>
      <c r="E878" t="inlineStr">
        <is>
          <t>UPPSALA</t>
        </is>
      </c>
      <c r="F878" t="inlineStr">
        <is>
          <t>Allmännings- och besparingsskogar</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3940-2023</t>
        </is>
      </c>
      <c r="B879" s="1" t="n">
        <v>44952</v>
      </c>
      <c r="C879" s="1" t="n">
        <v>45584</v>
      </c>
      <c r="D879" t="inlineStr">
        <is>
          <t>UPPSALA LÄN</t>
        </is>
      </c>
      <c r="E879" t="inlineStr">
        <is>
          <t>UPPSALA</t>
        </is>
      </c>
      <c r="F879" t="inlineStr">
        <is>
          <t>Bergvik skog öst AB</t>
        </is>
      </c>
      <c r="G879" t="n">
        <v>20.6</v>
      </c>
      <c r="H879" t="n">
        <v>0</v>
      </c>
      <c r="I879" t="n">
        <v>0</v>
      </c>
      <c r="J879" t="n">
        <v>0</v>
      </c>
      <c r="K879" t="n">
        <v>0</v>
      </c>
      <c r="L879" t="n">
        <v>0</v>
      </c>
      <c r="M879" t="n">
        <v>0</v>
      </c>
      <c r="N879" t="n">
        <v>0</v>
      </c>
      <c r="O879" t="n">
        <v>0</v>
      </c>
      <c r="P879" t="n">
        <v>0</v>
      </c>
      <c r="Q879" t="n">
        <v>0</v>
      </c>
      <c r="R879" s="2" t="inlineStr"/>
    </row>
    <row r="880" ht="15" customHeight="1">
      <c r="A880" t="inlineStr">
        <is>
          <t>A 3939-2023</t>
        </is>
      </c>
      <c r="B880" s="1" t="n">
        <v>44952</v>
      </c>
      <c r="C880" s="1" t="n">
        <v>45584</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5254-2023</t>
        </is>
      </c>
      <c r="B881" s="1" t="n">
        <v>44959</v>
      </c>
      <c r="C881" s="1" t="n">
        <v>45584</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5258-2023</t>
        </is>
      </c>
      <c r="B882" s="1" t="n">
        <v>44959</v>
      </c>
      <c r="C882" s="1" t="n">
        <v>45584</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5247-2023</t>
        </is>
      </c>
      <c r="B883" s="1" t="n">
        <v>44959</v>
      </c>
      <c r="C883" s="1" t="n">
        <v>45584</v>
      </c>
      <c r="D883" t="inlineStr">
        <is>
          <t>UPPSALA LÄN</t>
        </is>
      </c>
      <c r="E883" t="inlineStr">
        <is>
          <t>UPPSALA</t>
        </is>
      </c>
      <c r="G883" t="n">
        <v>11.1</v>
      </c>
      <c r="H883" t="n">
        <v>0</v>
      </c>
      <c r="I883" t="n">
        <v>0</v>
      </c>
      <c r="J883" t="n">
        <v>0</v>
      </c>
      <c r="K883" t="n">
        <v>0</v>
      </c>
      <c r="L883" t="n">
        <v>0</v>
      </c>
      <c r="M883" t="n">
        <v>0</v>
      </c>
      <c r="N883" t="n">
        <v>0</v>
      </c>
      <c r="O883" t="n">
        <v>0</v>
      </c>
      <c r="P883" t="n">
        <v>0</v>
      </c>
      <c r="Q883" t="n">
        <v>0</v>
      </c>
      <c r="R883" s="2" t="inlineStr"/>
    </row>
    <row r="884" ht="15" customHeight="1">
      <c r="A884" t="inlineStr">
        <is>
          <t>A 5678-2023</t>
        </is>
      </c>
      <c r="B884" s="1" t="n">
        <v>44960</v>
      </c>
      <c r="C884" s="1" t="n">
        <v>45584</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5682-2023</t>
        </is>
      </c>
      <c r="B885" s="1" t="n">
        <v>44960</v>
      </c>
      <c r="C885" s="1" t="n">
        <v>45584</v>
      </c>
      <c r="D885" t="inlineStr">
        <is>
          <t>UPPSALA LÄN</t>
        </is>
      </c>
      <c r="E885" t="inlineStr">
        <is>
          <t>UPPSALA</t>
        </is>
      </c>
      <c r="F885" t="inlineStr">
        <is>
          <t>Allmännings- och besparingsskogar</t>
        </is>
      </c>
      <c r="G885" t="n">
        <v>14.2</v>
      </c>
      <c r="H885" t="n">
        <v>0</v>
      </c>
      <c r="I885" t="n">
        <v>0</v>
      </c>
      <c r="J885" t="n">
        <v>0</v>
      </c>
      <c r="K885" t="n">
        <v>0</v>
      </c>
      <c r="L885" t="n">
        <v>0</v>
      </c>
      <c r="M885" t="n">
        <v>0</v>
      </c>
      <c r="N885" t="n">
        <v>0</v>
      </c>
      <c r="O885" t="n">
        <v>0</v>
      </c>
      <c r="P885" t="n">
        <v>0</v>
      </c>
      <c r="Q885" t="n">
        <v>0</v>
      </c>
      <c r="R885" s="2" t="inlineStr"/>
    </row>
    <row r="886" ht="15" customHeight="1">
      <c r="A886" t="inlineStr">
        <is>
          <t>A 5663-2023</t>
        </is>
      </c>
      <c r="B886" s="1" t="n">
        <v>44960</v>
      </c>
      <c r="C886" s="1" t="n">
        <v>45584</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5669-2023</t>
        </is>
      </c>
      <c r="B887" s="1" t="n">
        <v>44960</v>
      </c>
      <c r="C887" s="1" t="n">
        <v>45584</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5675-2023</t>
        </is>
      </c>
      <c r="B888" s="1" t="n">
        <v>44960</v>
      </c>
      <c r="C888" s="1" t="n">
        <v>45584</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6213-2023</t>
        </is>
      </c>
      <c r="B889" s="1" t="n">
        <v>44964</v>
      </c>
      <c r="C889" s="1" t="n">
        <v>45584</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v>
      </c>
      <c r="C890" s="1" t="n">
        <v>45584</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6215-2023</t>
        </is>
      </c>
      <c r="B891" s="1" t="n">
        <v>44964</v>
      </c>
      <c r="C891" s="1" t="n">
        <v>45584</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45584</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45584</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45584</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6749-2023</t>
        </is>
      </c>
      <c r="B895" s="1" t="n">
        <v>44966</v>
      </c>
      <c r="C895" s="1" t="n">
        <v>45584</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6930-2023</t>
        </is>
      </c>
      <c r="B896" s="1" t="n">
        <v>44967</v>
      </c>
      <c r="C896" s="1" t="n">
        <v>45584</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7000-2023</t>
        </is>
      </c>
      <c r="B897" s="1" t="n">
        <v>44967</v>
      </c>
      <c r="C897" s="1" t="n">
        <v>45584</v>
      </c>
      <c r="D897" t="inlineStr">
        <is>
          <t>UPPSALA LÄN</t>
        </is>
      </c>
      <c r="E897" t="inlineStr">
        <is>
          <t>UPPSALA</t>
        </is>
      </c>
      <c r="G897" t="n">
        <v>7.1</v>
      </c>
      <c r="H897" t="n">
        <v>0</v>
      </c>
      <c r="I897" t="n">
        <v>0</v>
      </c>
      <c r="J897" t="n">
        <v>0</v>
      </c>
      <c r="K897" t="n">
        <v>0</v>
      </c>
      <c r="L897" t="n">
        <v>0</v>
      </c>
      <c r="M897" t="n">
        <v>0</v>
      </c>
      <c r="N897" t="n">
        <v>0</v>
      </c>
      <c r="O897" t="n">
        <v>0</v>
      </c>
      <c r="P897" t="n">
        <v>0</v>
      </c>
      <c r="Q897" t="n">
        <v>0</v>
      </c>
      <c r="R897" s="2" t="inlineStr"/>
    </row>
    <row r="898" ht="15" customHeight="1">
      <c r="A898" t="inlineStr">
        <is>
          <t>A 6999-2023</t>
        </is>
      </c>
      <c r="B898" s="1" t="n">
        <v>44967</v>
      </c>
      <c r="C898" s="1" t="n">
        <v>45584</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6997-2023</t>
        </is>
      </c>
      <c r="B899" s="1" t="n">
        <v>44967</v>
      </c>
      <c r="C899" s="1" t="n">
        <v>45584</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7001-2023</t>
        </is>
      </c>
      <c r="B900" s="1" t="n">
        <v>44967</v>
      </c>
      <c r="C900" s="1" t="n">
        <v>45584</v>
      </c>
      <c r="D900" t="inlineStr">
        <is>
          <t>UPPSALA LÄN</t>
        </is>
      </c>
      <c r="E900" t="inlineStr">
        <is>
          <t>UPPSALA</t>
        </is>
      </c>
      <c r="G900" t="n">
        <v>4.3</v>
      </c>
      <c r="H900" t="n">
        <v>0</v>
      </c>
      <c r="I900" t="n">
        <v>0</v>
      </c>
      <c r="J900" t="n">
        <v>0</v>
      </c>
      <c r="K900" t="n">
        <v>0</v>
      </c>
      <c r="L900" t="n">
        <v>0</v>
      </c>
      <c r="M900" t="n">
        <v>0</v>
      </c>
      <c r="N900" t="n">
        <v>0</v>
      </c>
      <c r="O900" t="n">
        <v>0</v>
      </c>
      <c r="P900" t="n">
        <v>0</v>
      </c>
      <c r="Q900" t="n">
        <v>0</v>
      </c>
      <c r="R900" s="2" t="inlineStr"/>
    </row>
    <row r="901" ht="15" customHeight="1">
      <c r="A901" t="inlineStr">
        <is>
          <t>A 7002-2023</t>
        </is>
      </c>
      <c r="B901" s="1" t="n">
        <v>44967</v>
      </c>
      <c r="C901" s="1" t="n">
        <v>45584</v>
      </c>
      <c r="D901" t="inlineStr">
        <is>
          <t>UPPSALA LÄN</t>
        </is>
      </c>
      <c r="E901" t="inlineStr">
        <is>
          <t>UPPSALA</t>
        </is>
      </c>
      <c r="G901" t="n">
        <v>5</v>
      </c>
      <c r="H901" t="n">
        <v>0</v>
      </c>
      <c r="I901" t="n">
        <v>0</v>
      </c>
      <c r="J901" t="n">
        <v>0</v>
      </c>
      <c r="K901" t="n">
        <v>0</v>
      </c>
      <c r="L901" t="n">
        <v>0</v>
      </c>
      <c r="M901" t="n">
        <v>0</v>
      </c>
      <c r="N901" t="n">
        <v>0</v>
      </c>
      <c r="O901" t="n">
        <v>0</v>
      </c>
      <c r="P901" t="n">
        <v>0</v>
      </c>
      <c r="Q901" t="n">
        <v>0</v>
      </c>
      <c r="R901" s="2" t="inlineStr"/>
    </row>
    <row r="902" ht="15" customHeight="1">
      <c r="A902" t="inlineStr">
        <is>
          <t>A 7611-2023</t>
        </is>
      </c>
      <c r="B902" s="1" t="n">
        <v>44967</v>
      </c>
      <c r="C902" s="1" t="n">
        <v>45584</v>
      </c>
      <c r="D902" t="inlineStr">
        <is>
          <t>UPPSALA LÄN</t>
        </is>
      </c>
      <c r="E902" t="inlineStr">
        <is>
          <t>UPPSALA</t>
        </is>
      </c>
      <c r="G902" t="n">
        <v>3.5</v>
      </c>
      <c r="H902" t="n">
        <v>0</v>
      </c>
      <c r="I902" t="n">
        <v>0</v>
      </c>
      <c r="J902" t="n">
        <v>0</v>
      </c>
      <c r="K902" t="n">
        <v>0</v>
      </c>
      <c r="L902" t="n">
        <v>0</v>
      </c>
      <c r="M902" t="n">
        <v>0</v>
      </c>
      <c r="N902" t="n">
        <v>0</v>
      </c>
      <c r="O902" t="n">
        <v>0</v>
      </c>
      <c r="P902" t="n">
        <v>0</v>
      </c>
      <c r="Q902" t="n">
        <v>0</v>
      </c>
      <c r="R902" s="2" t="inlineStr"/>
    </row>
    <row r="903" ht="15" customHeight="1">
      <c r="A903" t="inlineStr">
        <is>
          <t>A 7607-2023</t>
        </is>
      </c>
      <c r="B903" s="1" t="n">
        <v>44967</v>
      </c>
      <c r="C903" s="1" t="n">
        <v>45584</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7058-2023</t>
        </is>
      </c>
      <c r="B904" s="1" t="n">
        <v>44969</v>
      </c>
      <c r="C904" s="1" t="n">
        <v>45584</v>
      </c>
      <c r="D904" t="inlineStr">
        <is>
          <t>UPPSALA LÄN</t>
        </is>
      </c>
      <c r="E904" t="inlineStr">
        <is>
          <t>UPPSALA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7084-2023</t>
        </is>
      </c>
      <c r="B905" s="1" t="n">
        <v>44970</v>
      </c>
      <c r="C905" s="1" t="n">
        <v>45584</v>
      </c>
      <c r="D905" t="inlineStr">
        <is>
          <t>UPPSALA LÄN</t>
        </is>
      </c>
      <c r="E905" t="inlineStr">
        <is>
          <t>UPPSALA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8384-2023</t>
        </is>
      </c>
      <c r="B906" s="1" t="n">
        <v>44971</v>
      </c>
      <c r="C906" s="1" t="n">
        <v>45584</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8286-2023</t>
        </is>
      </c>
      <c r="B907" s="1" t="n">
        <v>44971</v>
      </c>
      <c r="C907" s="1" t="n">
        <v>45584</v>
      </c>
      <c r="D907" t="inlineStr">
        <is>
          <t>UPPSALA LÄN</t>
        </is>
      </c>
      <c r="E907" t="inlineStr">
        <is>
          <t>UPPSALA</t>
        </is>
      </c>
      <c r="G907" t="n">
        <v>9</v>
      </c>
      <c r="H907" t="n">
        <v>0</v>
      </c>
      <c r="I907" t="n">
        <v>0</v>
      </c>
      <c r="J907" t="n">
        <v>0</v>
      </c>
      <c r="K907" t="n">
        <v>0</v>
      </c>
      <c r="L907" t="n">
        <v>0</v>
      </c>
      <c r="M907" t="n">
        <v>0</v>
      </c>
      <c r="N907" t="n">
        <v>0</v>
      </c>
      <c r="O907" t="n">
        <v>0</v>
      </c>
      <c r="P907" t="n">
        <v>0</v>
      </c>
      <c r="Q907" t="n">
        <v>0</v>
      </c>
      <c r="R907" s="2" t="inlineStr"/>
    </row>
    <row r="908" ht="15" customHeight="1">
      <c r="A908" t="inlineStr">
        <is>
          <t>A 7577-2023</t>
        </is>
      </c>
      <c r="B908" s="1" t="n">
        <v>44972</v>
      </c>
      <c r="C908" s="1" t="n">
        <v>45584</v>
      </c>
      <c r="D908" t="inlineStr">
        <is>
          <t>UPPSALA LÄN</t>
        </is>
      </c>
      <c r="E908" t="inlineStr">
        <is>
          <t>UPPSALA</t>
        </is>
      </c>
      <c r="G908" t="n">
        <v>5.5</v>
      </c>
      <c r="H908" t="n">
        <v>0</v>
      </c>
      <c r="I908" t="n">
        <v>0</v>
      </c>
      <c r="J908" t="n">
        <v>0</v>
      </c>
      <c r="K908" t="n">
        <v>0</v>
      </c>
      <c r="L908" t="n">
        <v>0</v>
      </c>
      <c r="M908" t="n">
        <v>0</v>
      </c>
      <c r="N908" t="n">
        <v>0</v>
      </c>
      <c r="O908" t="n">
        <v>0</v>
      </c>
      <c r="P908" t="n">
        <v>0</v>
      </c>
      <c r="Q908" t="n">
        <v>0</v>
      </c>
      <c r="R908" s="2" t="inlineStr"/>
    </row>
    <row r="909" ht="15" customHeight="1">
      <c r="A909" t="inlineStr">
        <is>
          <t>A 7663-2023</t>
        </is>
      </c>
      <c r="B909" s="1" t="n">
        <v>44972</v>
      </c>
      <c r="C909" s="1" t="n">
        <v>45584</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7894-2023</t>
        </is>
      </c>
      <c r="B910" s="1" t="n">
        <v>44973</v>
      </c>
      <c r="C910" s="1" t="n">
        <v>45584</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8162-2023</t>
        </is>
      </c>
      <c r="B911" s="1" t="n">
        <v>44974</v>
      </c>
      <c r="C911" s="1" t="n">
        <v>45584</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8473-2023</t>
        </is>
      </c>
      <c r="B912" s="1" t="n">
        <v>44977</v>
      </c>
      <c r="C912" s="1" t="n">
        <v>45584</v>
      </c>
      <c r="D912" t="inlineStr">
        <is>
          <t>UPPSALA LÄN</t>
        </is>
      </c>
      <c r="E912" t="inlineStr">
        <is>
          <t>UPPSALA</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9426-2023</t>
        </is>
      </c>
      <c r="B913" s="1" t="n">
        <v>44977</v>
      </c>
      <c r="C913" s="1" t="n">
        <v>45584</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9398-2023</t>
        </is>
      </c>
      <c r="B914" s="1" t="n">
        <v>44977</v>
      </c>
      <c r="C914" s="1" t="n">
        <v>45584</v>
      </c>
      <c r="D914" t="inlineStr">
        <is>
          <t>UPPSALA LÄN</t>
        </is>
      </c>
      <c r="E914" t="inlineStr">
        <is>
          <t>UPPSALA</t>
        </is>
      </c>
      <c r="G914" t="n">
        <v>5.1</v>
      </c>
      <c r="H914" t="n">
        <v>0</v>
      </c>
      <c r="I914" t="n">
        <v>0</v>
      </c>
      <c r="J914" t="n">
        <v>0</v>
      </c>
      <c r="K914" t="n">
        <v>0</v>
      </c>
      <c r="L914" t="n">
        <v>0</v>
      </c>
      <c r="M914" t="n">
        <v>0</v>
      </c>
      <c r="N914" t="n">
        <v>0</v>
      </c>
      <c r="O914" t="n">
        <v>0</v>
      </c>
      <c r="P914" t="n">
        <v>0</v>
      </c>
      <c r="Q914" t="n">
        <v>0</v>
      </c>
      <c r="R914" s="2" t="inlineStr"/>
    </row>
    <row r="915" ht="15" customHeight="1">
      <c r="A915" t="inlineStr">
        <is>
          <t>A 9295-2023</t>
        </is>
      </c>
      <c r="B915" s="1" t="n">
        <v>44980</v>
      </c>
      <c r="C915" s="1" t="n">
        <v>45584</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9261-2023</t>
        </is>
      </c>
      <c r="B916" s="1" t="n">
        <v>44980</v>
      </c>
      <c r="C916" s="1" t="n">
        <v>45584</v>
      </c>
      <c r="D916" t="inlineStr">
        <is>
          <t>UPPSALA LÄN</t>
        </is>
      </c>
      <c r="E916" t="inlineStr">
        <is>
          <t>UPPSALA</t>
        </is>
      </c>
      <c r="G916" t="n">
        <v>5.3</v>
      </c>
      <c r="H916" t="n">
        <v>0</v>
      </c>
      <c r="I916" t="n">
        <v>0</v>
      </c>
      <c r="J916" t="n">
        <v>0</v>
      </c>
      <c r="K916" t="n">
        <v>0</v>
      </c>
      <c r="L916" t="n">
        <v>0</v>
      </c>
      <c r="M916" t="n">
        <v>0</v>
      </c>
      <c r="N916" t="n">
        <v>0</v>
      </c>
      <c r="O916" t="n">
        <v>0</v>
      </c>
      <c r="P916" t="n">
        <v>0</v>
      </c>
      <c r="Q916" t="n">
        <v>0</v>
      </c>
      <c r="R916" s="2" t="inlineStr"/>
    </row>
    <row r="917" ht="15" customHeight="1">
      <c r="A917" t="inlineStr">
        <is>
          <t>A 9291-2023</t>
        </is>
      </c>
      <c r="B917" s="1" t="n">
        <v>44980</v>
      </c>
      <c r="C917" s="1" t="n">
        <v>45584</v>
      </c>
      <c r="D917" t="inlineStr">
        <is>
          <t>UPPSALA LÄN</t>
        </is>
      </c>
      <c r="E917" t="inlineStr">
        <is>
          <t>UPPSALA</t>
        </is>
      </c>
      <c r="G917" t="n">
        <v>12.9</v>
      </c>
      <c r="H917" t="n">
        <v>0</v>
      </c>
      <c r="I917" t="n">
        <v>0</v>
      </c>
      <c r="J917" t="n">
        <v>0</v>
      </c>
      <c r="K917" t="n">
        <v>0</v>
      </c>
      <c r="L917" t="n">
        <v>0</v>
      </c>
      <c r="M917" t="n">
        <v>0</v>
      </c>
      <c r="N917" t="n">
        <v>0</v>
      </c>
      <c r="O917" t="n">
        <v>0</v>
      </c>
      <c r="P917" t="n">
        <v>0</v>
      </c>
      <c r="Q917" t="n">
        <v>0</v>
      </c>
      <c r="R917" s="2" t="inlineStr"/>
    </row>
    <row r="918" ht="15" customHeight="1">
      <c r="A918" t="inlineStr">
        <is>
          <t>A 9313-2023</t>
        </is>
      </c>
      <c r="B918" s="1" t="n">
        <v>44980</v>
      </c>
      <c r="C918" s="1" t="n">
        <v>45584</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9817-2023</t>
        </is>
      </c>
      <c r="B919" s="1" t="n">
        <v>44984</v>
      </c>
      <c r="C919" s="1" t="n">
        <v>45584</v>
      </c>
      <c r="D919" t="inlineStr">
        <is>
          <t>UPPSALA LÄN</t>
        </is>
      </c>
      <c r="E919" t="inlineStr">
        <is>
          <t>UPPSALA</t>
        </is>
      </c>
      <c r="F919" t="inlineStr">
        <is>
          <t>Kyrkan</t>
        </is>
      </c>
      <c r="G919" t="n">
        <v>5.3</v>
      </c>
      <c r="H919" t="n">
        <v>0</v>
      </c>
      <c r="I919" t="n">
        <v>0</v>
      </c>
      <c r="J919" t="n">
        <v>0</v>
      </c>
      <c r="K919" t="n">
        <v>0</v>
      </c>
      <c r="L919" t="n">
        <v>0</v>
      </c>
      <c r="M919" t="n">
        <v>0</v>
      </c>
      <c r="N919" t="n">
        <v>0</v>
      </c>
      <c r="O919" t="n">
        <v>0</v>
      </c>
      <c r="P919" t="n">
        <v>0</v>
      </c>
      <c r="Q919" t="n">
        <v>0</v>
      </c>
      <c r="R919" s="2" t="inlineStr"/>
    </row>
    <row r="920" ht="15" customHeight="1">
      <c r="A920" t="inlineStr">
        <is>
          <t>A 9814-2023</t>
        </is>
      </c>
      <c r="B920" s="1" t="n">
        <v>44984</v>
      </c>
      <c r="C920" s="1" t="n">
        <v>45584</v>
      </c>
      <c r="D920" t="inlineStr">
        <is>
          <t>UPPSALA LÄN</t>
        </is>
      </c>
      <c r="E920" t="inlineStr">
        <is>
          <t>UPPSALA</t>
        </is>
      </c>
      <c r="F920" t="inlineStr">
        <is>
          <t>Kyrkan</t>
        </is>
      </c>
      <c r="G920" t="n">
        <v>5</v>
      </c>
      <c r="H920" t="n">
        <v>0</v>
      </c>
      <c r="I920" t="n">
        <v>0</v>
      </c>
      <c r="J920" t="n">
        <v>0</v>
      </c>
      <c r="K920" t="n">
        <v>0</v>
      </c>
      <c r="L920" t="n">
        <v>0</v>
      </c>
      <c r="M920" t="n">
        <v>0</v>
      </c>
      <c r="N920" t="n">
        <v>0</v>
      </c>
      <c r="O920" t="n">
        <v>0</v>
      </c>
      <c r="P920" t="n">
        <v>0</v>
      </c>
      <c r="Q920" t="n">
        <v>0</v>
      </c>
      <c r="R920" s="2" t="inlineStr"/>
    </row>
    <row r="921" ht="15" customHeight="1">
      <c r="A921" t="inlineStr">
        <is>
          <t>A 9811-2023</t>
        </is>
      </c>
      <c r="B921" s="1" t="n">
        <v>44984</v>
      </c>
      <c r="C921" s="1" t="n">
        <v>45584</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9820-2023</t>
        </is>
      </c>
      <c r="B922" s="1" t="n">
        <v>44984</v>
      </c>
      <c r="C922" s="1" t="n">
        <v>45584</v>
      </c>
      <c r="D922" t="inlineStr">
        <is>
          <t>UPPSALA LÄN</t>
        </is>
      </c>
      <c r="E922" t="inlineStr">
        <is>
          <t>UPPSALA</t>
        </is>
      </c>
      <c r="F922" t="inlineStr">
        <is>
          <t>Kyrkan</t>
        </is>
      </c>
      <c r="G922" t="n">
        <v>2</v>
      </c>
      <c r="H922" t="n">
        <v>0</v>
      </c>
      <c r="I922" t="n">
        <v>0</v>
      </c>
      <c r="J922" t="n">
        <v>0</v>
      </c>
      <c r="K922" t="n">
        <v>0</v>
      </c>
      <c r="L922" t="n">
        <v>0</v>
      </c>
      <c r="M922" t="n">
        <v>0</v>
      </c>
      <c r="N922" t="n">
        <v>0</v>
      </c>
      <c r="O922" t="n">
        <v>0</v>
      </c>
      <c r="P922" t="n">
        <v>0</v>
      </c>
      <c r="Q922" t="n">
        <v>0</v>
      </c>
      <c r="R922" s="2" t="inlineStr"/>
    </row>
    <row r="923" ht="15" customHeight="1">
      <c r="A923" t="inlineStr">
        <is>
          <t>A 10005-2023</t>
        </is>
      </c>
      <c r="B923" s="1" t="n">
        <v>44985</v>
      </c>
      <c r="C923" s="1" t="n">
        <v>45584</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10669-2023</t>
        </is>
      </c>
      <c r="B924" s="1" t="n">
        <v>44988</v>
      </c>
      <c r="C924" s="1" t="n">
        <v>45584</v>
      </c>
      <c r="D924" t="inlineStr">
        <is>
          <t>UPPSALA LÄN</t>
        </is>
      </c>
      <c r="E924" t="inlineStr">
        <is>
          <t>UPPSALA</t>
        </is>
      </c>
      <c r="G924" t="n">
        <v>4.9</v>
      </c>
      <c r="H924" t="n">
        <v>0</v>
      </c>
      <c r="I924" t="n">
        <v>0</v>
      </c>
      <c r="J924" t="n">
        <v>0</v>
      </c>
      <c r="K924" t="n">
        <v>0</v>
      </c>
      <c r="L924" t="n">
        <v>0</v>
      </c>
      <c r="M924" t="n">
        <v>0</v>
      </c>
      <c r="N924" t="n">
        <v>0</v>
      </c>
      <c r="O924" t="n">
        <v>0</v>
      </c>
      <c r="P924" t="n">
        <v>0</v>
      </c>
      <c r="Q924" t="n">
        <v>0</v>
      </c>
      <c r="R924" s="2" t="inlineStr"/>
    </row>
    <row r="925" ht="15" customHeight="1">
      <c r="A925" t="inlineStr">
        <is>
          <t>A 11484-2023</t>
        </is>
      </c>
      <c r="B925" s="1" t="n">
        <v>44991</v>
      </c>
      <c r="C925" s="1" t="n">
        <v>45584</v>
      </c>
      <c r="D925" t="inlineStr">
        <is>
          <t>UPPSALA LÄN</t>
        </is>
      </c>
      <c r="E925" t="inlineStr">
        <is>
          <t>UPPSALA</t>
        </is>
      </c>
      <c r="G925" t="n">
        <v>10.3</v>
      </c>
      <c r="H925" t="n">
        <v>0</v>
      </c>
      <c r="I925" t="n">
        <v>0</v>
      </c>
      <c r="J925" t="n">
        <v>0</v>
      </c>
      <c r="K925" t="n">
        <v>0</v>
      </c>
      <c r="L925" t="n">
        <v>0</v>
      </c>
      <c r="M925" t="n">
        <v>0</v>
      </c>
      <c r="N925" t="n">
        <v>0</v>
      </c>
      <c r="O925" t="n">
        <v>0</v>
      </c>
      <c r="P925" t="n">
        <v>0</v>
      </c>
      <c r="Q925" t="n">
        <v>0</v>
      </c>
      <c r="R925" s="2" t="inlineStr"/>
    </row>
    <row r="926" ht="15" customHeight="1">
      <c r="A926" t="inlineStr">
        <is>
          <t>A 11739-2023</t>
        </is>
      </c>
      <c r="B926" s="1" t="n">
        <v>44993</v>
      </c>
      <c r="C926" s="1" t="n">
        <v>45584</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11744-2023</t>
        </is>
      </c>
      <c r="B927" s="1" t="n">
        <v>44993</v>
      </c>
      <c r="C927" s="1" t="n">
        <v>45584</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11568-2023</t>
        </is>
      </c>
      <c r="B928" s="1" t="n">
        <v>44994</v>
      </c>
      <c r="C928" s="1" t="n">
        <v>45584</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12158-2023</t>
        </is>
      </c>
      <c r="B929" s="1" t="n">
        <v>44998</v>
      </c>
      <c r="C929" s="1" t="n">
        <v>45584</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12604-2023</t>
        </is>
      </c>
      <c r="B930" s="1" t="n">
        <v>45000</v>
      </c>
      <c r="C930" s="1" t="n">
        <v>45584</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12603-2023</t>
        </is>
      </c>
      <c r="B931" s="1" t="n">
        <v>45000</v>
      </c>
      <c r="C931" s="1" t="n">
        <v>45584</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12602-2023</t>
        </is>
      </c>
      <c r="B932" s="1" t="n">
        <v>45000</v>
      </c>
      <c r="C932" s="1" t="n">
        <v>45584</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12703-2023</t>
        </is>
      </c>
      <c r="B933" s="1" t="n">
        <v>45000</v>
      </c>
      <c r="C933" s="1" t="n">
        <v>45584</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12606-2023</t>
        </is>
      </c>
      <c r="B934" s="1" t="n">
        <v>45000</v>
      </c>
      <c r="C934" s="1" t="n">
        <v>45584</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13526-2023</t>
        </is>
      </c>
      <c r="B935" s="1" t="n">
        <v>45006</v>
      </c>
      <c r="C935" s="1" t="n">
        <v>45584</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14253-2023</t>
        </is>
      </c>
      <c r="B936" s="1" t="n">
        <v>45009</v>
      </c>
      <c r="C936" s="1" t="n">
        <v>45584</v>
      </c>
      <c r="D936" t="inlineStr">
        <is>
          <t>UPPSALA LÄN</t>
        </is>
      </c>
      <c r="E936" t="inlineStr">
        <is>
          <t>UPPSALA</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14784-2023</t>
        </is>
      </c>
      <c r="B937" s="1" t="n">
        <v>45014</v>
      </c>
      <c r="C937" s="1" t="n">
        <v>45584</v>
      </c>
      <c r="D937" t="inlineStr">
        <is>
          <t>UPPSALA LÄN</t>
        </is>
      </c>
      <c r="E937" t="inlineStr">
        <is>
          <t>UPPSALA</t>
        </is>
      </c>
      <c r="G937" t="n">
        <v>4.7</v>
      </c>
      <c r="H937" t="n">
        <v>0</v>
      </c>
      <c r="I937" t="n">
        <v>0</v>
      </c>
      <c r="J937" t="n">
        <v>0</v>
      </c>
      <c r="K937" t="n">
        <v>0</v>
      </c>
      <c r="L937" t="n">
        <v>0</v>
      </c>
      <c r="M937" t="n">
        <v>0</v>
      </c>
      <c r="N937" t="n">
        <v>0</v>
      </c>
      <c r="O937" t="n">
        <v>0</v>
      </c>
      <c r="P937" t="n">
        <v>0</v>
      </c>
      <c r="Q937" t="n">
        <v>0</v>
      </c>
      <c r="R937" s="2" t="inlineStr"/>
    </row>
    <row r="938" ht="15" customHeight="1">
      <c r="A938" t="inlineStr">
        <is>
          <t>A 14988-2023</t>
        </is>
      </c>
      <c r="B938" s="1" t="n">
        <v>45015</v>
      </c>
      <c r="C938" s="1" t="n">
        <v>45584</v>
      </c>
      <c r="D938" t="inlineStr">
        <is>
          <t>UPPSALA LÄN</t>
        </is>
      </c>
      <c r="E938" t="inlineStr">
        <is>
          <t>UPPSALA</t>
        </is>
      </c>
      <c r="G938" t="n">
        <v>4.2</v>
      </c>
      <c r="H938" t="n">
        <v>0</v>
      </c>
      <c r="I938" t="n">
        <v>0</v>
      </c>
      <c r="J938" t="n">
        <v>0</v>
      </c>
      <c r="K938" t="n">
        <v>0</v>
      </c>
      <c r="L938" t="n">
        <v>0</v>
      </c>
      <c r="M938" t="n">
        <v>0</v>
      </c>
      <c r="N938" t="n">
        <v>0</v>
      </c>
      <c r="O938" t="n">
        <v>0</v>
      </c>
      <c r="P938" t="n">
        <v>0</v>
      </c>
      <c r="Q938" t="n">
        <v>0</v>
      </c>
      <c r="R938" s="2" t="inlineStr"/>
    </row>
    <row r="939" ht="15" customHeight="1">
      <c r="A939" t="inlineStr">
        <is>
          <t>A 15547-2023</t>
        </is>
      </c>
      <c r="B939" s="1" t="n">
        <v>45020</v>
      </c>
      <c r="C939" s="1" t="n">
        <v>45584</v>
      </c>
      <c r="D939" t="inlineStr">
        <is>
          <t>UPPSALA LÄN</t>
        </is>
      </c>
      <c r="E939" t="inlineStr">
        <is>
          <t>UPPSALA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15551-2023</t>
        </is>
      </c>
      <c r="B940" s="1" t="n">
        <v>45020</v>
      </c>
      <c r="C940" s="1" t="n">
        <v>45584</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15629-2023</t>
        </is>
      </c>
      <c r="B941" s="1" t="n">
        <v>45021</v>
      </c>
      <c r="C941" s="1" t="n">
        <v>45584</v>
      </c>
      <c r="D941" t="inlineStr">
        <is>
          <t>UPPSALA LÄN</t>
        </is>
      </c>
      <c r="E941" t="inlineStr">
        <is>
          <t>UPPSALA</t>
        </is>
      </c>
      <c r="F941" t="inlineStr">
        <is>
          <t>Övriga Aktiebolag</t>
        </is>
      </c>
      <c r="G941" t="n">
        <v>7</v>
      </c>
      <c r="H941" t="n">
        <v>0</v>
      </c>
      <c r="I941" t="n">
        <v>0</v>
      </c>
      <c r="J941" t="n">
        <v>0</v>
      </c>
      <c r="K941" t="n">
        <v>0</v>
      </c>
      <c r="L941" t="n">
        <v>0</v>
      </c>
      <c r="M941" t="n">
        <v>0</v>
      </c>
      <c r="N941" t="n">
        <v>0</v>
      </c>
      <c r="O941" t="n">
        <v>0</v>
      </c>
      <c r="P941" t="n">
        <v>0</v>
      </c>
      <c r="Q941" t="n">
        <v>0</v>
      </c>
      <c r="R941" s="2" t="inlineStr"/>
    </row>
    <row r="942" ht="15" customHeight="1">
      <c r="A942" t="inlineStr">
        <is>
          <t>A 16346-2023</t>
        </is>
      </c>
      <c r="B942" s="1" t="n">
        <v>45028</v>
      </c>
      <c r="C942" s="1" t="n">
        <v>45584</v>
      </c>
      <c r="D942" t="inlineStr">
        <is>
          <t>UPPSALA LÄN</t>
        </is>
      </c>
      <c r="E942" t="inlineStr">
        <is>
          <t>UPPSALA</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16811-2023</t>
        </is>
      </c>
      <c r="B943" s="1" t="n">
        <v>45033</v>
      </c>
      <c r="C943" s="1" t="n">
        <v>45584</v>
      </c>
      <c r="D943" t="inlineStr">
        <is>
          <t>UPPSALA LÄN</t>
        </is>
      </c>
      <c r="E943" t="inlineStr">
        <is>
          <t>UPPSALA</t>
        </is>
      </c>
      <c r="G943" t="n">
        <v>10.1</v>
      </c>
      <c r="H943" t="n">
        <v>0</v>
      </c>
      <c r="I943" t="n">
        <v>0</v>
      </c>
      <c r="J943" t="n">
        <v>0</v>
      </c>
      <c r="K943" t="n">
        <v>0</v>
      </c>
      <c r="L943" t="n">
        <v>0</v>
      </c>
      <c r="M943" t="n">
        <v>0</v>
      </c>
      <c r="N943" t="n">
        <v>0</v>
      </c>
      <c r="O943" t="n">
        <v>0</v>
      </c>
      <c r="P943" t="n">
        <v>0</v>
      </c>
      <c r="Q943" t="n">
        <v>0</v>
      </c>
      <c r="R943" s="2" t="inlineStr"/>
    </row>
    <row r="944" ht="15" customHeight="1">
      <c r="A944" t="inlineStr">
        <is>
          <t>A 17229-2023</t>
        </is>
      </c>
      <c r="B944" s="1" t="n">
        <v>45035</v>
      </c>
      <c r="C944" s="1" t="n">
        <v>45584</v>
      </c>
      <c r="D944" t="inlineStr">
        <is>
          <t>UPPSALA LÄN</t>
        </is>
      </c>
      <c r="E944" t="inlineStr">
        <is>
          <t>UPPSALA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17280-2023</t>
        </is>
      </c>
      <c r="B945" s="1" t="n">
        <v>45035</v>
      </c>
      <c r="C945" s="1" t="n">
        <v>45584</v>
      </c>
      <c r="D945" t="inlineStr">
        <is>
          <t>UPPSALA LÄN</t>
        </is>
      </c>
      <c r="E945" t="inlineStr">
        <is>
          <t>UPPSALA</t>
        </is>
      </c>
      <c r="G945" t="n">
        <v>5.6</v>
      </c>
      <c r="H945" t="n">
        <v>0</v>
      </c>
      <c r="I945" t="n">
        <v>0</v>
      </c>
      <c r="J945" t="n">
        <v>0</v>
      </c>
      <c r="K945" t="n">
        <v>0</v>
      </c>
      <c r="L945" t="n">
        <v>0</v>
      </c>
      <c r="M945" t="n">
        <v>0</v>
      </c>
      <c r="N945" t="n">
        <v>0</v>
      </c>
      <c r="O945" t="n">
        <v>0</v>
      </c>
      <c r="P945" t="n">
        <v>0</v>
      </c>
      <c r="Q945" t="n">
        <v>0</v>
      </c>
      <c r="R945" s="2" t="inlineStr"/>
    </row>
    <row r="946" ht="15" customHeight="1">
      <c r="A946" t="inlineStr">
        <is>
          <t>A 17481-2023</t>
        </is>
      </c>
      <c r="B946" s="1" t="n">
        <v>45036</v>
      </c>
      <c r="C946" s="1" t="n">
        <v>45584</v>
      </c>
      <c r="D946" t="inlineStr">
        <is>
          <t>UPPSALA LÄN</t>
        </is>
      </c>
      <c r="E946" t="inlineStr">
        <is>
          <t>UPPSALA</t>
        </is>
      </c>
      <c r="G946" t="n">
        <v>1.9</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45584</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17938-2023</t>
        </is>
      </c>
      <c r="B948" s="1" t="n">
        <v>45040</v>
      </c>
      <c r="C948" s="1" t="n">
        <v>45584</v>
      </c>
      <c r="D948" t="inlineStr">
        <is>
          <t>UPPSALA LÄN</t>
        </is>
      </c>
      <c r="E948" t="inlineStr">
        <is>
          <t>UPPSALA</t>
        </is>
      </c>
      <c r="G948" t="n">
        <v>2.9</v>
      </c>
      <c r="H948" t="n">
        <v>0</v>
      </c>
      <c r="I948" t="n">
        <v>0</v>
      </c>
      <c r="J948" t="n">
        <v>0</v>
      </c>
      <c r="K948" t="n">
        <v>0</v>
      </c>
      <c r="L948" t="n">
        <v>0</v>
      </c>
      <c r="M948" t="n">
        <v>0</v>
      </c>
      <c r="N948" t="n">
        <v>0</v>
      </c>
      <c r="O948" t="n">
        <v>0</v>
      </c>
      <c r="P948" t="n">
        <v>0</v>
      </c>
      <c r="Q948" t="n">
        <v>0</v>
      </c>
      <c r="R948" s="2" t="inlineStr"/>
    </row>
    <row r="949" ht="15" customHeight="1">
      <c r="A949" t="inlineStr">
        <is>
          <t>A 18277-2023</t>
        </is>
      </c>
      <c r="B949" s="1" t="n">
        <v>45041</v>
      </c>
      <c r="C949" s="1" t="n">
        <v>45584</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18275-2023</t>
        </is>
      </c>
      <c r="B950" s="1" t="n">
        <v>45041</v>
      </c>
      <c r="C950" s="1" t="n">
        <v>45584</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18278-2023</t>
        </is>
      </c>
      <c r="B951" s="1" t="n">
        <v>45041</v>
      </c>
      <c r="C951" s="1" t="n">
        <v>45584</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18276-2023</t>
        </is>
      </c>
      <c r="B952" s="1" t="n">
        <v>45041</v>
      </c>
      <c r="C952" s="1" t="n">
        <v>45584</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18443-2023</t>
        </is>
      </c>
      <c r="B953" s="1" t="n">
        <v>45042</v>
      </c>
      <c r="C953" s="1" t="n">
        <v>45584</v>
      </c>
      <c r="D953" t="inlineStr">
        <is>
          <t>UPPSALA LÄN</t>
        </is>
      </c>
      <c r="E953" t="inlineStr">
        <is>
          <t>UPPSALA</t>
        </is>
      </c>
      <c r="G953" t="n">
        <v>0.4</v>
      </c>
      <c r="H953" t="n">
        <v>0</v>
      </c>
      <c r="I953" t="n">
        <v>0</v>
      </c>
      <c r="J953" t="n">
        <v>0</v>
      </c>
      <c r="K953" t="n">
        <v>0</v>
      </c>
      <c r="L953" t="n">
        <v>0</v>
      </c>
      <c r="M953" t="n">
        <v>0</v>
      </c>
      <c r="N953" t="n">
        <v>0</v>
      </c>
      <c r="O953" t="n">
        <v>0</v>
      </c>
      <c r="P953" t="n">
        <v>0</v>
      </c>
      <c r="Q953" t="n">
        <v>0</v>
      </c>
      <c r="R953" s="2" t="inlineStr"/>
    </row>
    <row r="954" ht="15" customHeight="1">
      <c r="A954" t="inlineStr">
        <is>
          <t>A 18496-2023</t>
        </is>
      </c>
      <c r="B954" s="1" t="n">
        <v>45042</v>
      </c>
      <c r="C954" s="1" t="n">
        <v>45584</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18507-2023</t>
        </is>
      </c>
      <c r="B955" s="1" t="n">
        <v>45042</v>
      </c>
      <c r="C955" s="1" t="n">
        <v>45584</v>
      </c>
      <c r="D955" t="inlineStr">
        <is>
          <t>UPPSALA LÄN</t>
        </is>
      </c>
      <c r="E955" t="inlineStr">
        <is>
          <t>UPPSALA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18472-2023</t>
        </is>
      </c>
      <c r="B956" s="1" t="n">
        <v>45042</v>
      </c>
      <c r="C956" s="1" t="n">
        <v>45584</v>
      </c>
      <c r="D956" t="inlineStr">
        <is>
          <t>UPPSALA LÄN</t>
        </is>
      </c>
      <c r="E956" t="inlineStr">
        <is>
          <t>UPPSALA</t>
        </is>
      </c>
      <c r="F956" t="inlineStr">
        <is>
          <t>Övriga Aktiebolag</t>
        </is>
      </c>
      <c r="G956" t="n">
        <v>3</v>
      </c>
      <c r="H956" t="n">
        <v>0</v>
      </c>
      <c r="I956" t="n">
        <v>0</v>
      </c>
      <c r="J956" t="n">
        <v>0</v>
      </c>
      <c r="K956" t="n">
        <v>0</v>
      </c>
      <c r="L956" t="n">
        <v>0</v>
      </c>
      <c r="M956" t="n">
        <v>0</v>
      </c>
      <c r="N956" t="n">
        <v>0</v>
      </c>
      <c r="O956" t="n">
        <v>0</v>
      </c>
      <c r="P956" t="n">
        <v>0</v>
      </c>
      <c r="Q956" t="n">
        <v>0</v>
      </c>
      <c r="R956" s="2" t="inlineStr"/>
    </row>
    <row r="957" ht="15" customHeight="1">
      <c r="A957" t="inlineStr">
        <is>
          <t>A 18710-2023</t>
        </is>
      </c>
      <c r="B957" s="1" t="n">
        <v>45043</v>
      </c>
      <c r="C957" s="1" t="n">
        <v>45584</v>
      </c>
      <c r="D957" t="inlineStr">
        <is>
          <t>UPPSALA LÄN</t>
        </is>
      </c>
      <c r="E957" t="inlineStr">
        <is>
          <t>UPPSALA</t>
        </is>
      </c>
      <c r="G957" t="n">
        <v>3.3</v>
      </c>
      <c r="H957" t="n">
        <v>0</v>
      </c>
      <c r="I957" t="n">
        <v>0</v>
      </c>
      <c r="J957" t="n">
        <v>0</v>
      </c>
      <c r="K957" t="n">
        <v>0</v>
      </c>
      <c r="L957" t="n">
        <v>0</v>
      </c>
      <c r="M957" t="n">
        <v>0</v>
      </c>
      <c r="N957" t="n">
        <v>0</v>
      </c>
      <c r="O957" t="n">
        <v>0</v>
      </c>
      <c r="P957" t="n">
        <v>0</v>
      </c>
      <c r="Q957" t="n">
        <v>0</v>
      </c>
      <c r="R957" s="2" t="inlineStr"/>
    </row>
    <row r="958" ht="15" customHeight="1">
      <c r="A958" t="inlineStr">
        <is>
          <t>A 19017-2023</t>
        </is>
      </c>
      <c r="B958" s="1" t="n">
        <v>45047</v>
      </c>
      <c r="C958" s="1" t="n">
        <v>45584</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19135-2023</t>
        </is>
      </c>
      <c r="B959" s="1" t="n">
        <v>45048</v>
      </c>
      <c r="C959" s="1" t="n">
        <v>45584</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19139-2023</t>
        </is>
      </c>
      <c r="B960" s="1" t="n">
        <v>45048</v>
      </c>
      <c r="C960" s="1" t="n">
        <v>45584</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19279-2023</t>
        </is>
      </c>
      <c r="B961" s="1" t="n">
        <v>45049</v>
      </c>
      <c r="C961" s="1" t="n">
        <v>45584</v>
      </c>
      <c r="D961" t="inlineStr">
        <is>
          <t>UPPSALA LÄN</t>
        </is>
      </c>
      <c r="E961" t="inlineStr">
        <is>
          <t>UPPSALA</t>
        </is>
      </c>
      <c r="G961" t="n">
        <v>5.8</v>
      </c>
      <c r="H961" t="n">
        <v>0</v>
      </c>
      <c r="I961" t="n">
        <v>0</v>
      </c>
      <c r="J961" t="n">
        <v>0</v>
      </c>
      <c r="K961" t="n">
        <v>0</v>
      </c>
      <c r="L961" t="n">
        <v>0</v>
      </c>
      <c r="M961" t="n">
        <v>0</v>
      </c>
      <c r="N961" t="n">
        <v>0</v>
      </c>
      <c r="O961" t="n">
        <v>0</v>
      </c>
      <c r="P961" t="n">
        <v>0</v>
      </c>
      <c r="Q961" t="n">
        <v>0</v>
      </c>
      <c r="R961" s="2" t="inlineStr"/>
    </row>
    <row r="962" ht="15" customHeight="1">
      <c r="A962" t="inlineStr">
        <is>
          <t>A 19269-2023</t>
        </is>
      </c>
      <c r="B962" s="1" t="n">
        <v>45049</v>
      </c>
      <c r="C962" s="1" t="n">
        <v>45584</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19314-2023</t>
        </is>
      </c>
      <c r="B963" s="1" t="n">
        <v>45049</v>
      </c>
      <c r="C963" s="1" t="n">
        <v>45584</v>
      </c>
      <c r="D963" t="inlineStr">
        <is>
          <t>UPPSALA LÄN</t>
        </is>
      </c>
      <c r="E963" t="inlineStr">
        <is>
          <t>UPPSALA</t>
        </is>
      </c>
      <c r="G963" t="n">
        <v>9</v>
      </c>
      <c r="H963" t="n">
        <v>0</v>
      </c>
      <c r="I963" t="n">
        <v>0</v>
      </c>
      <c r="J963" t="n">
        <v>0</v>
      </c>
      <c r="K963" t="n">
        <v>0</v>
      </c>
      <c r="L963" t="n">
        <v>0</v>
      </c>
      <c r="M963" t="n">
        <v>0</v>
      </c>
      <c r="N963" t="n">
        <v>0</v>
      </c>
      <c r="O963" t="n">
        <v>0</v>
      </c>
      <c r="P963" t="n">
        <v>0</v>
      </c>
      <c r="Q963" t="n">
        <v>0</v>
      </c>
      <c r="R963" s="2" t="inlineStr"/>
    </row>
    <row r="964" ht="15" customHeight="1">
      <c r="A964" t="inlineStr">
        <is>
          <t>A 19320-2023</t>
        </is>
      </c>
      <c r="B964" s="1" t="n">
        <v>45049</v>
      </c>
      <c r="C964" s="1" t="n">
        <v>45584</v>
      </c>
      <c r="D964" t="inlineStr">
        <is>
          <t>UPPSALA LÄN</t>
        </is>
      </c>
      <c r="E964" t="inlineStr">
        <is>
          <t>UPPSALA</t>
        </is>
      </c>
      <c r="G964" t="n">
        <v>17.5</v>
      </c>
      <c r="H964" t="n">
        <v>0</v>
      </c>
      <c r="I964" t="n">
        <v>0</v>
      </c>
      <c r="J964" t="n">
        <v>0</v>
      </c>
      <c r="K964" t="n">
        <v>0</v>
      </c>
      <c r="L964" t="n">
        <v>0</v>
      </c>
      <c r="M964" t="n">
        <v>0</v>
      </c>
      <c r="N964" t="n">
        <v>0</v>
      </c>
      <c r="O964" t="n">
        <v>0</v>
      </c>
      <c r="P964" t="n">
        <v>0</v>
      </c>
      <c r="Q964" t="n">
        <v>0</v>
      </c>
      <c r="R964" s="2" t="inlineStr"/>
    </row>
    <row r="965" ht="15" customHeight="1">
      <c r="A965" t="inlineStr">
        <is>
          <t>A 19339-2023</t>
        </is>
      </c>
      <c r="B965" s="1" t="n">
        <v>45049</v>
      </c>
      <c r="C965" s="1" t="n">
        <v>45584</v>
      </c>
      <c r="D965" t="inlineStr">
        <is>
          <t>UPPSALA LÄN</t>
        </is>
      </c>
      <c r="E965" t="inlineStr">
        <is>
          <t>UPPSALA</t>
        </is>
      </c>
      <c r="G965" t="n">
        <v>6.9</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v>
      </c>
      <c r="C966" s="1" t="n">
        <v>45584</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19411-2023</t>
        </is>
      </c>
      <c r="B967" s="1" t="n">
        <v>45049</v>
      </c>
      <c r="C967" s="1" t="n">
        <v>45584</v>
      </c>
      <c r="D967" t="inlineStr">
        <is>
          <t>UPPSALA LÄN</t>
        </is>
      </c>
      <c r="E967" t="inlineStr">
        <is>
          <t>UPPSALA</t>
        </is>
      </c>
      <c r="G967" t="n">
        <v>12.6</v>
      </c>
      <c r="H967" t="n">
        <v>0</v>
      </c>
      <c r="I967" t="n">
        <v>0</v>
      </c>
      <c r="J967" t="n">
        <v>0</v>
      </c>
      <c r="K967" t="n">
        <v>0</v>
      </c>
      <c r="L967" t="n">
        <v>0</v>
      </c>
      <c r="M967" t="n">
        <v>0</v>
      </c>
      <c r="N967" t="n">
        <v>0</v>
      </c>
      <c r="O967" t="n">
        <v>0</v>
      </c>
      <c r="P967" t="n">
        <v>0</v>
      </c>
      <c r="Q967" t="n">
        <v>0</v>
      </c>
      <c r="R967" s="2" t="inlineStr"/>
    </row>
    <row r="968" ht="15" customHeight="1">
      <c r="A968" t="inlineStr">
        <is>
          <t>A 19272-2023</t>
        </is>
      </c>
      <c r="B968" s="1" t="n">
        <v>45049</v>
      </c>
      <c r="C968" s="1" t="n">
        <v>45584</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19276-2023</t>
        </is>
      </c>
      <c r="B969" s="1" t="n">
        <v>45049</v>
      </c>
      <c r="C969" s="1" t="n">
        <v>45584</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19317-2023</t>
        </is>
      </c>
      <c r="B970" s="1" t="n">
        <v>45049</v>
      </c>
      <c r="C970" s="1" t="n">
        <v>45584</v>
      </c>
      <c r="D970" t="inlineStr">
        <is>
          <t>UPPSALA LÄN</t>
        </is>
      </c>
      <c r="E970" t="inlineStr">
        <is>
          <t>UPPSALA</t>
        </is>
      </c>
      <c r="G970" t="n">
        <v>15.4</v>
      </c>
      <c r="H970" t="n">
        <v>0</v>
      </c>
      <c r="I970" t="n">
        <v>0</v>
      </c>
      <c r="J970" t="n">
        <v>0</v>
      </c>
      <c r="K970" t="n">
        <v>0</v>
      </c>
      <c r="L970" t="n">
        <v>0</v>
      </c>
      <c r="M970" t="n">
        <v>0</v>
      </c>
      <c r="N970" t="n">
        <v>0</v>
      </c>
      <c r="O970" t="n">
        <v>0</v>
      </c>
      <c r="P970" t="n">
        <v>0</v>
      </c>
      <c r="Q970" t="n">
        <v>0</v>
      </c>
      <c r="R970" s="2" t="inlineStr"/>
    </row>
    <row r="971" ht="15" customHeight="1">
      <c r="A971" t="inlineStr">
        <is>
          <t>A 19409-2023</t>
        </is>
      </c>
      <c r="B971" s="1" t="n">
        <v>45049</v>
      </c>
      <c r="C971" s="1" t="n">
        <v>45584</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19455-2023</t>
        </is>
      </c>
      <c r="B972" s="1" t="n">
        <v>45050</v>
      </c>
      <c r="C972" s="1" t="n">
        <v>45584</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19515-2023</t>
        </is>
      </c>
      <c r="B973" s="1" t="n">
        <v>45050</v>
      </c>
      <c r="C973" s="1" t="n">
        <v>45584</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19447-2023</t>
        </is>
      </c>
      <c r="B974" s="1" t="n">
        <v>45050</v>
      </c>
      <c r="C974" s="1" t="n">
        <v>45584</v>
      </c>
      <c r="D974" t="inlineStr">
        <is>
          <t>UPPSALA LÄN</t>
        </is>
      </c>
      <c r="E974" t="inlineStr">
        <is>
          <t>UPPSALA</t>
        </is>
      </c>
      <c r="G974" t="n">
        <v>2.3</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v>
      </c>
      <c r="C975" s="1" t="n">
        <v>45584</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19516-2023</t>
        </is>
      </c>
      <c r="B976" s="1" t="n">
        <v>45050</v>
      </c>
      <c r="C976" s="1" t="n">
        <v>45584</v>
      </c>
      <c r="D976" t="inlineStr">
        <is>
          <t>UPPSALA LÄN</t>
        </is>
      </c>
      <c r="E976" t="inlineStr">
        <is>
          <t>UPPSALA</t>
        </is>
      </c>
      <c r="G976" t="n">
        <v>4.5</v>
      </c>
      <c r="H976" t="n">
        <v>0</v>
      </c>
      <c r="I976" t="n">
        <v>0</v>
      </c>
      <c r="J976" t="n">
        <v>0</v>
      </c>
      <c r="K976" t="n">
        <v>0</v>
      </c>
      <c r="L976" t="n">
        <v>0</v>
      </c>
      <c r="M976" t="n">
        <v>0</v>
      </c>
      <c r="N976" t="n">
        <v>0</v>
      </c>
      <c r="O976" t="n">
        <v>0</v>
      </c>
      <c r="P976" t="n">
        <v>0</v>
      </c>
      <c r="Q976" t="n">
        <v>0</v>
      </c>
      <c r="R976" s="2" t="inlineStr"/>
    </row>
    <row r="977" ht="15" customHeight="1">
      <c r="A977" t="inlineStr">
        <is>
          <t>A 19920-2023</t>
        </is>
      </c>
      <c r="B977" s="1" t="n">
        <v>45054</v>
      </c>
      <c r="C977" s="1" t="n">
        <v>45584</v>
      </c>
      <c r="D977" t="inlineStr">
        <is>
          <t>UPPSALA LÄN</t>
        </is>
      </c>
      <c r="E977" t="inlineStr">
        <is>
          <t>UPPSALA</t>
        </is>
      </c>
      <c r="G977" t="n">
        <v>5.6</v>
      </c>
      <c r="H977" t="n">
        <v>0</v>
      </c>
      <c r="I977" t="n">
        <v>0</v>
      </c>
      <c r="J977" t="n">
        <v>0</v>
      </c>
      <c r="K977" t="n">
        <v>0</v>
      </c>
      <c r="L977" t="n">
        <v>0</v>
      </c>
      <c r="M977" t="n">
        <v>0</v>
      </c>
      <c r="N977" t="n">
        <v>0</v>
      </c>
      <c r="O977" t="n">
        <v>0</v>
      </c>
      <c r="P977" t="n">
        <v>0</v>
      </c>
      <c r="Q977" t="n">
        <v>0</v>
      </c>
      <c r="R977" s="2" t="inlineStr"/>
    </row>
    <row r="978" ht="15" customHeight="1">
      <c r="A978" t="inlineStr">
        <is>
          <t>A 20087-2023</t>
        </is>
      </c>
      <c r="B978" s="1" t="n">
        <v>45055</v>
      </c>
      <c r="C978" s="1" t="n">
        <v>45584</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20102-2023</t>
        </is>
      </c>
      <c r="B979" s="1" t="n">
        <v>45055</v>
      </c>
      <c r="C979" s="1" t="n">
        <v>45584</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20105-2023</t>
        </is>
      </c>
      <c r="B980" s="1" t="n">
        <v>45055</v>
      </c>
      <c r="C980" s="1" t="n">
        <v>45584</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20206-2023</t>
        </is>
      </c>
      <c r="B981" s="1" t="n">
        <v>45055</v>
      </c>
      <c r="C981" s="1" t="n">
        <v>45584</v>
      </c>
      <c r="D981" t="inlineStr">
        <is>
          <t>UPPSALA LÄN</t>
        </is>
      </c>
      <c r="E981" t="inlineStr">
        <is>
          <t>UPPSALA</t>
        </is>
      </c>
      <c r="G981" t="n">
        <v>5.7</v>
      </c>
      <c r="H981" t="n">
        <v>0</v>
      </c>
      <c r="I981" t="n">
        <v>0</v>
      </c>
      <c r="J981" t="n">
        <v>0</v>
      </c>
      <c r="K981" t="n">
        <v>0</v>
      </c>
      <c r="L981" t="n">
        <v>0</v>
      </c>
      <c r="M981" t="n">
        <v>0</v>
      </c>
      <c r="N981" t="n">
        <v>0</v>
      </c>
      <c r="O981" t="n">
        <v>0</v>
      </c>
      <c r="P981" t="n">
        <v>0</v>
      </c>
      <c r="Q981" t="n">
        <v>0</v>
      </c>
      <c r="R981" s="2" t="inlineStr"/>
    </row>
    <row r="982" ht="15" customHeight="1">
      <c r="A982" t="inlineStr">
        <is>
          <t>A 20438-2023</t>
        </is>
      </c>
      <c r="B982" s="1" t="n">
        <v>45056</v>
      </c>
      <c r="C982" s="1" t="n">
        <v>45584</v>
      </c>
      <c r="D982" t="inlineStr">
        <is>
          <t>UPPSALA LÄN</t>
        </is>
      </c>
      <c r="E982" t="inlineStr">
        <is>
          <t>UPPSALA</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20440-2023</t>
        </is>
      </c>
      <c r="B983" s="1" t="n">
        <v>45056</v>
      </c>
      <c r="C983" s="1" t="n">
        <v>45584</v>
      </c>
      <c r="D983" t="inlineStr">
        <is>
          <t>UPPSALA LÄN</t>
        </is>
      </c>
      <c r="E983" t="inlineStr">
        <is>
          <t>UPPSALA</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20437-2023</t>
        </is>
      </c>
      <c r="B984" s="1" t="n">
        <v>45056</v>
      </c>
      <c r="C984" s="1" t="n">
        <v>45584</v>
      </c>
      <c r="D984" t="inlineStr">
        <is>
          <t>UPPSALA LÄN</t>
        </is>
      </c>
      <c r="E984" t="inlineStr">
        <is>
          <t>UPPSALA</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20550-2023</t>
        </is>
      </c>
      <c r="B985" s="1" t="n">
        <v>45057</v>
      </c>
      <c r="C985" s="1" t="n">
        <v>45584</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20670-2023</t>
        </is>
      </c>
      <c r="B986" s="1" t="n">
        <v>45058</v>
      </c>
      <c r="C986" s="1" t="n">
        <v>45584</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20692-2023</t>
        </is>
      </c>
      <c r="B987" s="1" t="n">
        <v>45058</v>
      </c>
      <c r="C987" s="1" t="n">
        <v>45584</v>
      </c>
      <c r="D987" t="inlineStr">
        <is>
          <t>UPPSALA LÄN</t>
        </is>
      </c>
      <c r="E987" t="inlineStr">
        <is>
          <t>UPPSALA</t>
        </is>
      </c>
      <c r="G987" t="n">
        <v>7.9</v>
      </c>
      <c r="H987" t="n">
        <v>0</v>
      </c>
      <c r="I987" t="n">
        <v>0</v>
      </c>
      <c r="J987" t="n">
        <v>0</v>
      </c>
      <c r="K987" t="n">
        <v>0</v>
      </c>
      <c r="L987" t="n">
        <v>0</v>
      </c>
      <c r="M987" t="n">
        <v>0</v>
      </c>
      <c r="N987" t="n">
        <v>0</v>
      </c>
      <c r="O987" t="n">
        <v>0</v>
      </c>
      <c r="P987" t="n">
        <v>0</v>
      </c>
      <c r="Q987" t="n">
        <v>0</v>
      </c>
      <c r="R987" s="2" t="inlineStr"/>
    </row>
    <row r="988" ht="15" customHeight="1">
      <c r="A988" t="inlineStr">
        <is>
          <t>A 20667-2023</t>
        </is>
      </c>
      <c r="B988" s="1" t="n">
        <v>45058</v>
      </c>
      <c r="C988" s="1" t="n">
        <v>45584</v>
      </c>
      <c r="D988" t="inlineStr">
        <is>
          <t>UPPSALA LÄN</t>
        </is>
      </c>
      <c r="E988" t="inlineStr">
        <is>
          <t>UPPSALA</t>
        </is>
      </c>
      <c r="G988" t="n">
        <v>6.8</v>
      </c>
      <c r="H988" t="n">
        <v>0</v>
      </c>
      <c r="I988" t="n">
        <v>0</v>
      </c>
      <c r="J988" t="n">
        <v>0</v>
      </c>
      <c r="K988" t="n">
        <v>0</v>
      </c>
      <c r="L988" t="n">
        <v>0</v>
      </c>
      <c r="M988" t="n">
        <v>0</v>
      </c>
      <c r="N988" t="n">
        <v>0</v>
      </c>
      <c r="O988" t="n">
        <v>0</v>
      </c>
      <c r="P988" t="n">
        <v>0</v>
      </c>
      <c r="Q988" t="n">
        <v>0</v>
      </c>
      <c r="R988" s="2" t="inlineStr"/>
    </row>
    <row r="989" ht="15" customHeight="1">
      <c r="A989" t="inlineStr">
        <is>
          <t>A 20708-2023</t>
        </is>
      </c>
      <c r="B989" s="1" t="n">
        <v>45058</v>
      </c>
      <c r="C989" s="1" t="n">
        <v>45584</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20669-2023</t>
        </is>
      </c>
      <c r="B990" s="1" t="n">
        <v>45058</v>
      </c>
      <c r="C990" s="1" t="n">
        <v>45584</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20786-2023</t>
        </is>
      </c>
      <c r="B991" s="1" t="n">
        <v>45058</v>
      </c>
      <c r="C991" s="1" t="n">
        <v>45584</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20900-2023</t>
        </is>
      </c>
      <c r="B992" s="1" t="n">
        <v>45060</v>
      </c>
      <c r="C992" s="1" t="n">
        <v>45584</v>
      </c>
      <c r="D992" t="inlineStr">
        <is>
          <t>UPPSALA LÄN</t>
        </is>
      </c>
      <c r="E992" t="inlineStr">
        <is>
          <t>UPPSALA</t>
        </is>
      </c>
      <c r="G992" t="n">
        <v>3.2</v>
      </c>
      <c r="H992" t="n">
        <v>0</v>
      </c>
      <c r="I992" t="n">
        <v>0</v>
      </c>
      <c r="J992" t="n">
        <v>0</v>
      </c>
      <c r="K992" t="n">
        <v>0</v>
      </c>
      <c r="L992" t="n">
        <v>0</v>
      </c>
      <c r="M992" t="n">
        <v>0</v>
      </c>
      <c r="N992" t="n">
        <v>0</v>
      </c>
      <c r="O992" t="n">
        <v>0</v>
      </c>
      <c r="P992" t="n">
        <v>0</v>
      </c>
      <c r="Q992" t="n">
        <v>0</v>
      </c>
      <c r="R992" s="2" t="inlineStr"/>
    </row>
    <row r="993" ht="15" customHeight="1">
      <c r="A993" t="inlineStr">
        <is>
          <t>A 21052-2023</t>
        </is>
      </c>
      <c r="B993" s="1" t="n">
        <v>45061</v>
      </c>
      <c r="C993" s="1" t="n">
        <v>45584</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21416-2023</t>
        </is>
      </c>
      <c r="B994" s="1" t="n">
        <v>45063</v>
      </c>
      <c r="C994" s="1" t="n">
        <v>45584</v>
      </c>
      <c r="D994" t="inlineStr">
        <is>
          <t>UPPSALA LÄN</t>
        </is>
      </c>
      <c r="E994" t="inlineStr">
        <is>
          <t>UPPSALA</t>
        </is>
      </c>
      <c r="G994" t="n">
        <v>13.9</v>
      </c>
      <c r="H994" t="n">
        <v>0</v>
      </c>
      <c r="I994" t="n">
        <v>0</v>
      </c>
      <c r="J994" t="n">
        <v>0</v>
      </c>
      <c r="K994" t="n">
        <v>0</v>
      </c>
      <c r="L994" t="n">
        <v>0</v>
      </c>
      <c r="M994" t="n">
        <v>0</v>
      </c>
      <c r="N994" t="n">
        <v>0</v>
      </c>
      <c r="O994" t="n">
        <v>0</v>
      </c>
      <c r="P994" t="n">
        <v>0</v>
      </c>
      <c r="Q994" t="n">
        <v>0</v>
      </c>
      <c r="R994" s="2" t="inlineStr"/>
    </row>
    <row r="995" ht="15" customHeight="1">
      <c r="A995" t="inlineStr">
        <is>
          <t>A 21424-2023</t>
        </is>
      </c>
      <c r="B995" s="1" t="n">
        <v>45063</v>
      </c>
      <c r="C995" s="1" t="n">
        <v>45584</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21727-2023</t>
        </is>
      </c>
      <c r="B996" s="1" t="n">
        <v>45065</v>
      </c>
      <c r="C996" s="1" t="n">
        <v>45584</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21935-2023</t>
        </is>
      </c>
      <c r="B997" s="1" t="n">
        <v>45068</v>
      </c>
      <c r="C997" s="1" t="n">
        <v>45584</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22450-2023</t>
        </is>
      </c>
      <c r="B998" s="1" t="n">
        <v>45070</v>
      </c>
      <c r="C998" s="1" t="n">
        <v>45584</v>
      </c>
      <c r="D998" t="inlineStr">
        <is>
          <t>UPPSALA LÄN</t>
        </is>
      </c>
      <c r="E998" t="inlineStr">
        <is>
          <t>UPPSALA</t>
        </is>
      </c>
      <c r="F998" t="inlineStr">
        <is>
          <t>Allmännings- och besparingsskogar</t>
        </is>
      </c>
      <c r="G998" t="n">
        <v>10</v>
      </c>
      <c r="H998" t="n">
        <v>0</v>
      </c>
      <c r="I998" t="n">
        <v>0</v>
      </c>
      <c r="J998" t="n">
        <v>0</v>
      </c>
      <c r="K998" t="n">
        <v>0</v>
      </c>
      <c r="L998" t="n">
        <v>0</v>
      </c>
      <c r="M998" t="n">
        <v>0</v>
      </c>
      <c r="N998" t="n">
        <v>0</v>
      </c>
      <c r="O998" t="n">
        <v>0</v>
      </c>
      <c r="P998" t="n">
        <v>0</v>
      </c>
      <c r="Q998" t="n">
        <v>0</v>
      </c>
      <c r="R998" s="2" t="inlineStr"/>
    </row>
    <row r="999" ht="15" customHeight="1">
      <c r="A999" t="inlineStr">
        <is>
          <t>A 23159-2023</t>
        </is>
      </c>
      <c r="B999" s="1" t="n">
        <v>45075</v>
      </c>
      <c r="C999" s="1" t="n">
        <v>45584</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23157-2023</t>
        </is>
      </c>
      <c r="B1000" s="1" t="n">
        <v>45075</v>
      </c>
      <c r="C1000" s="1" t="n">
        <v>45584</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23929-2023</t>
        </is>
      </c>
      <c r="B1001" s="1" t="n">
        <v>45078</v>
      </c>
      <c r="C1001" s="1" t="n">
        <v>45584</v>
      </c>
      <c r="D1001" t="inlineStr">
        <is>
          <t>UPPSALA LÄN</t>
        </is>
      </c>
      <c r="E1001" t="inlineStr">
        <is>
          <t>UPPSALA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24012-2023</t>
        </is>
      </c>
      <c r="B1002" s="1" t="n">
        <v>45078</v>
      </c>
      <c r="C1002" s="1" t="n">
        <v>45584</v>
      </c>
      <c r="D1002" t="inlineStr">
        <is>
          <t>UPPSALA LÄN</t>
        </is>
      </c>
      <c r="E1002" t="inlineStr">
        <is>
          <t>UPPSALA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24016-2023</t>
        </is>
      </c>
      <c r="B1003" s="1" t="n">
        <v>45078</v>
      </c>
      <c r="C1003" s="1" t="n">
        <v>45584</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24009-2023</t>
        </is>
      </c>
      <c r="B1004" s="1" t="n">
        <v>45078</v>
      </c>
      <c r="C1004" s="1" t="n">
        <v>45584</v>
      </c>
      <c r="D1004" t="inlineStr">
        <is>
          <t>UPPSALA LÄN</t>
        </is>
      </c>
      <c r="E1004" t="inlineStr">
        <is>
          <t>UPPSALA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24174-2023</t>
        </is>
      </c>
      <c r="B1005" s="1" t="n">
        <v>45079</v>
      </c>
      <c r="C1005" s="1" t="n">
        <v>45584</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24670-2023</t>
        </is>
      </c>
      <c r="B1006" s="1" t="n">
        <v>45084</v>
      </c>
      <c r="C1006" s="1" t="n">
        <v>45584</v>
      </c>
      <c r="D1006" t="inlineStr">
        <is>
          <t>UPPSALA LÄN</t>
        </is>
      </c>
      <c r="E1006" t="inlineStr">
        <is>
          <t>UPPSALA</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25264-2023</t>
        </is>
      </c>
      <c r="B1007" s="1" t="n">
        <v>45086</v>
      </c>
      <c r="C1007" s="1" t="n">
        <v>45584</v>
      </c>
      <c r="D1007" t="inlineStr">
        <is>
          <t>UPPSALA LÄN</t>
        </is>
      </c>
      <c r="E1007" t="inlineStr">
        <is>
          <t>UPPSALA</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25280-2023</t>
        </is>
      </c>
      <c r="B1008" s="1" t="n">
        <v>45086</v>
      </c>
      <c r="C1008" s="1" t="n">
        <v>45584</v>
      </c>
      <c r="D1008" t="inlineStr">
        <is>
          <t>UPPSALA LÄN</t>
        </is>
      </c>
      <c r="E1008" t="inlineStr">
        <is>
          <t>UPPSALA</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25380-2023</t>
        </is>
      </c>
      <c r="B1009" s="1" t="n">
        <v>45089</v>
      </c>
      <c r="C1009" s="1" t="n">
        <v>45584</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25381-2023</t>
        </is>
      </c>
      <c r="B1010" s="1" t="n">
        <v>45089</v>
      </c>
      <c r="C1010" s="1" t="n">
        <v>45584</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25446-2023</t>
        </is>
      </c>
      <c r="B1011" s="1" t="n">
        <v>45089</v>
      </c>
      <c r="C1011" s="1" t="n">
        <v>45584</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25462-2023</t>
        </is>
      </c>
      <c r="B1012" s="1" t="n">
        <v>45089</v>
      </c>
      <c r="C1012" s="1" t="n">
        <v>45584</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25939-2023</t>
        </is>
      </c>
      <c r="B1013" s="1" t="n">
        <v>45090</v>
      </c>
      <c r="C1013" s="1" t="n">
        <v>45584</v>
      </c>
      <c r="D1013" t="inlineStr">
        <is>
          <t>UPPSALA LÄN</t>
        </is>
      </c>
      <c r="E1013" t="inlineStr">
        <is>
          <t>UPPSALA</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26208-2023</t>
        </is>
      </c>
      <c r="B1014" s="1" t="n">
        <v>45091</v>
      </c>
      <c r="C1014" s="1" t="n">
        <v>45584</v>
      </c>
      <c r="D1014" t="inlineStr">
        <is>
          <t>UPPSALA LÄN</t>
        </is>
      </c>
      <c r="E1014" t="inlineStr">
        <is>
          <t>UPPSALA</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26298-2023</t>
        </is>
      </c>
      <c r="B1015" s="1" t="n">
        <v>45091</v>
      </c>
      <c r="C1015" s="1" t="n">
        <v>45584</v>
      </c>
      <c r="D1015" t="inlineStr">
        <is>
          <t>UPPSALA LÄN</t>
        </is>
      </c>
      <c r="E1015" t="inlineStr">
        <is>
          <t>UPPSALA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v>
      </c>
      <c r="C1016" s="1" t="n">
        <v>45584</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26081-2023</t>
        </is>
      </c>
      <c r="B1017" s="1" t="n">
        <v>45091</v>
      </c>
      <c r="C1017" s="1" t="n">
        <v>45584</v>
      </c>
      <c r="D1017" t="inlineStr">
        <is>
          <t>UPPSALA LÄN</t>
        </is>
      </c>
      <c r="E1017" t="inlineStr">
        <is>
          <t>UPPSALA</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26143-2023</t>
        </is>
      </c>
      <c r="B1018" s="1" t="n">
        <v>45091</v>
      </c>
      <c r="C1018" s="1" t="n">
        <v>45584</v>
      </c>
      <c r="D1018" t="inlineStr">
        <is>
          <t>UPPSALA LÄN</t>
        </is>
      </c>
      <c r="E1018" t="inlineStr">
        <is>
          <t>UPPSALA</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26134-2023</t>
        </is>
      </c>
      <c r="B1019" s="1" t="n">
        <v>45091</v>
      </c>
      <c r="C1019" s="1" t="n">
        <v>45584</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26759-2023</t>
        </is>
      </c>
      <c r="B1020" s="1" t="n">
        <v>45093</v>
      </c>
      <c r="C1020" s="1" t="n">
        <v>45584</v>
      </c>
      <c r="D1020" t="inlineStr">
        <is>
          <t>UPPSALA LÄN</t>
        </is>
      </c>
      <c r="E1020" t="inlineStr">
        <is>
          <t>UPPSALA</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26762-2023</t>
        </is>
      </c>
      <c r="B1021" s="1" t="n">
        <v>45093</v>
      </c>
      <c r="C1021" s="1" t="n">
        <v>45584</v>
      </c>
      <c r="D1021" t="inlineStr">
        <is>
          <t>UPPSALA LÄN</t>
        </is>
      </c>
      <c r="E1021" t="inlineStr">
        <is>
          <t>UPPSALA</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27128-2023</t>
        </is>
      </c>
      <c r="B1022" s="1" t="n">
        <v>45096</v>
      </c>
      <c r="C1022" s="1" t="n">
        <v>45584</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27068-2023</t>
        </is>
      </c>
      <c r="B1023" s="1" t="n">
        <v>45096</v>
      </c>
      <c r="C1023" s="1" t="n">
        <v>45584</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45584</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27123-2023</t>
        </is>
      </c>
      <c r="B1025" s="1" t="n">
        <v>45096</v>
      </c>
      <c r="C1025" s="1" t="n">
        <v>45584</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27126-2023</t>
        </is>
      </c>
      <c r="B1026" s="1" t="n">
        <v>45096</v>
      </c>
      <c r="C1026" s="1" t="n">
        <v>45584</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27104-2023</t>
        </is>
      </c>
      <c r="B1027" s="1" t="n">
        <v>45096</v>
      </c>
      <c r="C1027" s="1" t="n">
        <v>45584</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27121-2023</t>
        </is>
      </c>
      <c r="B1028" s="1" t="n">
        <v>45096</v>
      </c>
      <c r="C1028" s="1" t="n">
        <v>45584</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27125-2023</t>
        </is>
      </c>
      <c r="B1029" s="1" t="n">
        <v>45096</v>
      </c>
      <c r="C1029" s="1" t="n">
        <v>45584</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27254-2023</t>
        </is>
      </c>
      <c r="B1030" s="1" t="n">
        <v>45096</v>
      </c>
      <c r="C1030" s="1" t="n">
        <v>45584</v>
      </c>
      <c r="D1030" t="inlineStr">
        <is>
          <t>UPPSALA LÄN</t>
        </is>
      </c>
      <c r="E1030" t="inlineStr">
        <is>
          <t>UPPSALA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27467-2023</t>
        </is>
      </c>
      <c r="B1031" s="1" t="n">
        <v>45097</v>
      </c>
      <c r="C1031" s="1" t="n">
        <v>45584</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27617-2023</t>
        </is>
      </c>
      <c r="B1032" s="1" t="n">
        <v>45097</v>
      </c>
      <c r="C1032" s="1" t="n">
        <v>45584</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27622-2023</t>
        </is>
      </c>
      <c r="B1033" s="1" t="n">
        <v>45097</v>
      </c>
      <c r="C1033" s="1" t="n">
        <v>45584</v>
      </c>
      <c r="D1033" t="inlineStr">
        <is>
          <t>UPPSALA LÄN</t>
        </is>
      </c>
      <c r="E1033" t="inlineStr">
        <is>
          <t>UPPSALA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27599-2023</t>
        </is>
      </c>
      <c r="B1034" s="1" t="n">
        <v>45097</v>
      </c>
      <c r="C1034" s="1" t="n">
        <v>45584</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27620-2023</t>
        </is>
      </c>
      <c r="B1035" s="1" t="n">
        <v>45097</v>
      </c>
      <c r="C1035" s="1" t="n">
        <v>45584</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27912-2023</t>
        </is>
      </c>
      <c r="B1036" s="1" t="n">
        <v>45098</v>
      </c>
      <c r="C1036" s="1" t="n">
        <v>45584</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27903-2023</t>
        </is>
      </c>
      <c r="B1037" s="1" t="n">
        <v>45098</v>
      </c>
      <c r="C1037" s="1" t="n">
        <v>45584</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27930-2023</t>
        </is>
      </c>
      <c r="B1038" s="1" t="n">
        <v>45098</v>
      </c>
      <c r="C1038" s="1" t="n">
        <v>45584</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28186-2023</t>
        </is>
      </c>
      <c r="B1039" s="1" t="n">
        <v>45099</v>
      </c>
      <c r="C1039" s="1" t="n">
        <v>45584</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28577-2023</t>
        </is>
      </c>
      <c r="B1040" s="1" t="n">
        <v>45103</v>
      </c>
      <c r="C1040" s="1" t="n">
        <v>45584</v>
      </c>
      <c r="D1040" t="inlineStr">
        <is>
          <t>UPPSALA LÄN</t>
        </is>
      </c>
      <c r="E1040" t="inlineStr">
        <is>
          <t>UPPSALA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28701-2023</t>
        </is>
      </c>
      <c r="B1041" s="1" t="n">
        <v>45103</v>
      </c>
      <c r="C1041" s="1" t="n">
        <v>45584</v>
      </c>
      <c r="D1041" t="inlineStr">
        <is>
          <t>UPPSALA LÄN</t>
        </is>
      </c>
      <c r="E1041" t="inlineStr">
        <is>
          <t>UPPSALA</t>
        </is>
      </c>
      <c r="G1041" t="n">
        <v>12.4</v>
      </c>
      <c r="H1041" t="n">
        <v>0</v>
      </c>
      <c r="I1041" t="n">
        <v>0</v>
      </c>
      <c r="J1041" t="n">
        <v>0</v>
      </c>
      <c r="K1041" t="n">
        <v>0</v>
      </c>
      <c r="L1041" t="n">
        <v>0</v>
      </c>
      <c r="M1041" t="n">
        <v>0</v>
      </c>
      <c r="N1041" t="n">
        <v>0</v>
      </c>
      <c r="O1041" t="n">
        <v>0</v>
      </c>
      <c r="P1041" t="n">
        <v>0</v>
      </c>
      <c r="Q1041" t="n">
        <v>0</v>
      </c>
      <c r="R1041" s="2" t="inlineStr"/>
    </row>
    <row r="1042" ht="15" customHeight="1">
      <c r="A1042" t="inlineStr">
        <is>
          <t>A 29019-2023</t>
        </is>
      </c>
      <c r="B1042" s="1" t="n">
        <v>45104</v>
      </c>
      <c r="C1042" s="1" t="n">
        <v>45584</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31599-2023</t>
        </is>
      </c>
      <c r="B1043" s="1" t="n">
        <v>45105</v>
      </c>
      <c r="C1043" s="1" t="n">
        <v>45584</v>
      </c>
      <c r="D1043" t="inlineStr">
        <is>
          <t>UPPSALA LÄN</t>
        </is>
      </c>
      <c r="E1043" t="inlineStr">
        <is>
          <t>UPPSALA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29282-2023</t>
        </is>
      </c>
      <c r="B1044" s="1" t="n">
        <v>45105</v>
      </c>
      <c r="C1044" s="1" t="n">
        <v>45584</v>
      </c>
      <c r="D1044" t="inlineStr">
        <is>
          <t>UPPSALA LÄN</t>
        </is>
      </c>
      <c r="E1044" t="inlineStr">
        <is>
          <t>UPPSALA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31630-2023</t>
        </is>
      </c>
      <c r="B1045" s="1" t="n">
        <v>45105</v>
      </c>
      <c r="C1045" s="1" t="n">
        <v>45584</v>
      </c>
      <c r="D1045" t="inlineStr">
        <is>
          <t>UPPSALA LÄN</t>
        </is>
      </c>
      <c r="E1045" t="inlineStr">
        <is>
          <t>UPPSALA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29579-2023</t>
        </is>
      </c>
      <c r="B1046" s="1" t="n">
        <v>45106</v>
      </c>
      <c r="C1046" s="1" t="n">
        <v>45584</v>
      </c>
      <c r="D1046" t="inlineStr">
        <is>
          <t>UPPSALA LÄN</t>
        </is>
      </c>
      <c r="E1046" t="inlineStr">
        <is>
          <t>UPPSALA</t>
        </is>
      </c>
      <c r="F1046" t="inlineStr">
        <is>
          <t>Kyrkan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v>
      </c>
      <c r="C1047" s="1" t="n">
        <v>45584</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29901-2023</t>
        </is>
      </c>
      <c r="B1048" s="1" t="n">
        <v>45107</v>
      </c>
      <c r="C1048" s="1" t="n">
        <v>45584</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29868-2023</t>
        </is>
      </c>
      <c r="B1049" s="1" t="n">
        <v>45107</v>
      </c>
      <c r="C1049" s="1" t="n">
        <v>45584</v>
      </c>
      <c r="D1049" t="inlineStr">
        <is>
          <t>UPPSALA LÄN</t>
        </is>
      </c>
      <c r="E1049" t="inlineStr">
        <is>
          <t>UPPSALA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29799-2023</t>
        </is>
      </c>
      <c r="B1050" s="1" t="n">
        <v>45107</v>
      </c>
      <c r="C1050" s="1" t="n">
        <v>45584</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29808-2023</t>
        </is>
      </c>
      <c r="B1051" s="1" t="n">
        <v>45107</v>
      </c>
      <c r="C1051" s="1" t="n">
        <v>45584</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29902-2023</t>
        </is>
      </c>
      <c r="B1052" s="1" t="n">
        <v>45107</v>
      </c>
      <c r="C1052" s="1" t="n">
        <v>45584</v>
      </c>
      <c r="D1052" t="inlineStr">
        <is>
          <t>UPPSALA LÄN</t>
        </is>
      </c>
      <c r="E1052" t="inlineStr">
        <is>
          <t>UPPSALA</t>
        </is>
      </c>
      <c r="F1052" t="inlineStr">
        <is>
          <t>Kyrkan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29926-2023</t>
        </is>
      </c>
      <c r="B1053" s="1" t="n">
        <v>45107</v>
      </c>
      <c r="C1053" s="1" t="n">
        <v>45584</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29927-2023</t>
        </is>
      </c>
      <c r="B1054" s="1" t="n">
        <v>45107</v>
      </c>
      <c r="C1054" s="1" t="n">
        <v>45584</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32428-2023</t>
        </is>
      </c>
      <c r="B1055" s="1" t="n">
        <v>45110</v>
      </c>
      <c r="C1055" s="1" t="n">
        <v>45584</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30629-2023</t>
        </is>
      </c>
      <c r="B1056" s="1" t="n">
        <v>45112</v>
      </c>
      <c r="C1056" s="1" t="n">
        <v>45584</v>
      </c>
      <c r="D1056" t="inlineStr">
        <is>
          <t>UPPSALA LÄN</t>
        </is>
      </c>
      <c r="E1056" t="inlineStr">
        <is>
          <t>UPPSALA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32689-2023</t>
        </is>
      </c>
      <c r="B1057" s="1" t="n">
        <v>45112</v>
      </c>
      <c r="C1057" s="1" t="n">
        <v>45584</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31157-2023</t>
        </is>
      </c>
      <c r="B1058" s="1" t="n">
        <v>45113</v>
      </c>
      <c r="C1058" s="1" t="n">
        <v>45584</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31161-2023</t>
        </is>
      </c>
      <c r="B1059" s="1" t="n">
        <v>45113</v>
      </c>
      <c r="C1059" s="1" t="n">
        <v>45584</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33689-2023</t>
        </is>
      </c>
      <c r="B1060" s="1" t="n">
        <v>45119</v>
      </c>
      <c r="C1060" s="1" t="n">
        <v>45584</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32413-2023</t>
        </is>
      </c>
      <c r="B1061" s="1" t="n">
        <v>45120</v>
      </c>
      <c r="C1061" s="1" t="n">
        <v>45584</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32640-2023</t>
        </is>
      </c>
      <c r="B1062" s="1" t="n">
        <v>45121</v>
      </c>
      <c r="C1062" s="1" t="n">
        <v>45584</v>
      </c>
      <c r="D1062" t="inlineStr">
        <is>
          <t>UPPSALA LÄN</t>
        </is>
      </c>
      <c r="E1062" t="inlineStr">
        <is>
          <t>UPPSALA</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32674-2023</t>
        </is>
      </c>
      <c r="B1063" s="1" t="n">
        <v>45121</v>
      </c>
      <c r="C1063" s="1" t="n">
        <v>45584</v>
      </c>
      <c r="D1063" t="inlineStr">
        <is>
          <t>UPPSALA LÄN</t>
        </is>
      </c>
      <c r="E1063" t="inlineStr">
        <is>
          <t>UPPSALA</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32688-2023</t>
        </is>
      </c>
      <c r="B1064" s="1" t="n">
        <v>45121</v>
      </c>
      <c r="C1064" s="1" t="n">
        <v>45584</v>
      </c>
      <c r="D1064" t="inlineStr">
        <is>
          <t>UPPSALA LÄN</t>
        </is>
      </c>
      <c r="E1064" t="inlineStr">
        <is>
          <t>UPPSALA</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33191-2023</t>
        </is>
      </c>
      <c r="B1065" s="1" t="n">
        <v>45127</v>
      </c>
      <c r="C1065" s="1" t="n">
        <v>45584</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33189-2023</t>
        </is>
      </c>
      <c r="B1066" s="1" t="n">
        <v>45127</v>
      </c>
      <c r="C1066" s="1" t="n">
        <v>45584</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34282-2023</t>
        </is>
      </c>
      <c r="B1067" s="1" t="n">
        <v>45128</v>
      </c>
      <c r="C1067" s="1" t="n">
        <v>45584</v>
      </c>
      <c r="D1067" t="inlineStr">
        <is>
          <t>UPPSALA LÄN</t>
        </is>
      </c>
      <c r="E1067" t="inlineStr">
        <is>
          <t>UPPSALA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33562-2023</t>
        </is>
      </c>
      <c r="B1068" s="1" t="n">
        <v>45131</v>
      </c>
      <c r="C1068" s="1" t="n">
        <v>45584</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33700-2023</t>
        </is>
      </c>
      <c r="B1069" s="1" t="n">
        <v>45132</v>
      </c>
      <c r="C1069" s="1" t="n">
        <v>45584</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34509-2023</t>
        </is>
      </c>
      <c r="B1070" s="1" t="n">
        <v>45133</v>
      </c>
      <c r="C1070" s="1" t="n">
        <v>45584</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33941-2023</t>
        </is>
      </c>
      <c r="B1071" s="1" t="n">
        <v>45134</v>
      </c>
      <c r="C1071" s="1" t="n">
        <v>45584</v>
      </c>
      <c r="D1071" t="inlineStr">
        <is>
          <t>UPPSALA LÄN</t>
        </is>
      </c>
      <c r="E1071" t="inlineStr">
        <is>
          <t>UPPSALA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33982-2023</t>
        </is>
      </c>
      <c r="B1072" s="1" t="n">
        <v>45134</v>
      </c>
      <c r="C1072" s="1" t="n">
        <v>45584</v>
      </c>
      <c r="D1072" t="inlineStr">
        <is>
          <t>UPPSALA LÄN</t>
        </is>
      </c>
      <c r="E1072" t="inlineStr">
        <is>
          <t>UPPSALA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35142-2023</t>
        </is>
      </c>
      <c r="B1073" s="1" t="n">
        <v>45145</v>
      </c>
      <c r="C1073" s="1" t="n">
        <v>45584</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35471-2023</t>
        </is>
      </c>
      <c r="B1074" s="1" t="n">
        <v>45146</v>
      </c>
      <c r="C1074" s="1" t="n">
        <v>45584</v>
      </c>
      <c r="D1074" t="inlineStr">
        <is>
          <t>UPPSALA LÄN</t>
        </is>
      </c>
      <c r="E1074" t="inlineStr">
        <is>
          <t>UPPSALA</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35472-2023</t>
        </is>
      </c>
      <c r="B1075" s="1" t="n">
        <v>45146</v>
      </c>
      <c r="C1075" s="1" t="n">
        <v>45584</v>
      </c>
      <c r="D1075" t="inlineStr">
        <is>
          <t>UPPSALA LÄN</t>
        </is>
      </c>
      <c r="E1075" t="inlineStr">
        <is>
          <t>UPPSALA</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35473-2023</t>
        </is>
      </c>
      <c r="B1076" s="1" t="n">
        <v>45146</v>
      </c>
      <c r="C1076" s="1" t="n">
        <v>45584</v>
      </c>
      <c r="D1076" t="inlineStr">
        <is>
          <t>UPPSALA LÄN</t>
        </is>
      </c>
      <c r="E1076" t="inlineStr">
        <is>
          <t>UPPSALA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35549-2023</t>
        </is>
      </c>
      <c r="B1077" s="1" t="n">
        <v>45147</v>
      </c>
      <c r="C1077" s="1" t="n">
        <v>45584</v>
      </c>
      <c r="D1077" t="inlineStr">
        <is>
          <t>UPPSALA LÄN</t>
        </is>
      </c>
      <c r="E1077" t="inlineStr">
        <is>
          <t>UPPSALA</t>
        </is>
      </c>
      <c r="F1077" t="inlineStr">
        <is>
          <t>Allmännings- och besparingsskogar</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35902-2023</t>
        </is>
      </c>
      <c r="B1078" s="1" t="n">
        <v>45148</v>
      </c>
      <c r="C1078" s="1" t="n">
        <v>45584</v>
      </c>
      <c r="D1078" t="inlineStr">
        <is>
          <t>UPPSALA LÄN</t>
        </is>
      </c>
      <c r="E1078" t="inlineStr">
        <is>
          <t>UPPSALA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35906-2023</t>
        </is>
      </c>
      <c r="B1079" s="1" t="n">
        <v>45148</v>
      </c>
      <c r="C1079" s="1" t="n">
        <v>45584</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35914-2023</t>
        </is>
      </c>
      <c r="B1080" s="1" t="n">
        <v>45148</v>
      </c>
      <c r="C1080" s="1" t="n">
        <v>45584</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35922-2023</t>
        </is>
      </c>
      <c r="B1081" s="1" t="n">
        <v>45148</v>
      </c>
      <c r="C1081" s="1" t="n">
        <v>45584</v>
      </c>
      <c r="D1081" t="inlineStr">
        <is>
          <t>UPPSALA LÄN</t>
        </is>
      </c>
      <c r="E1081" t="inlineStr">
        <is>
          <t>UPPSALA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35916-2023</t>
        </is>
      </c>
      <c r="B1082" s="1" t="n">
        <v>45148</v>
      </c>
      <c r="C1082" s="1" t="n">
        <v>45584</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36028-2023</t>
        </is>
      </c>
      <c r="B1083" s="1" t="n">
        <v>45149</v>
      </c>
      <c r="C1083" s="1" t="n">
        <v>45584</v>
      </c>
      <c r="D1083" t="inlineStr">
        <is>
          <t>UPPSALA LÄN</t>
        </is>
      </c>
      <c r="E1083" t="inlineStr">
        <is>
          <t>UPPSALA</t>
        </is>
      </c>
      <c r="F1083" t="inlineStr">
        <is>
          <t>Allmännings- och besparingsskogar</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36123-2023</t>
        </is>
      </c>
      <c r="B1084" s="1" t="n">
        <v>45149</v>
      </c>
      <c r="C1084" s="1" t="n">
        <v>45584</v>
      </c>
      <c r="D1084" t="inlineStr">
        <is>
          <t>UPPSALA LÄN</t>
        </is>
      </c>
      <c r="E1084" t="inlineStr">
        <is>
          <t>UPPSALA</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36159-2023</t>
        </is>
      </c>
      <c r="B1085" s="1" t="n">
        <v>45149</v>
      </c>
      <c r="C1085" s="1" t="n">
        <v>45584</v>
      </c>
      <c r="D1085" t="inlineStr">
        <is>
          <t>UPPSALA LÄN</t>
        </is>
      </c>
      <c r="E1085" t="inlineStr">
        <is>
          <t>UPPSALA</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36388-2023</t>
        </is>
      </c>
      <c r="B1086" s="1" t="n">
        <v>45152</v>
      </c>
      <c r="C1086" s="1" t="n">
        <v>45584</v>
      </c>
      <c r="D1086" t="inlineStr">
        <is>
          <t>UPPSALA LÄN</t>
        </is>
      </c>
      <c r="E1086" t="inlineStr">
        <is>
          <t>UPPSALA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36392-2023</t>
        </is>
      </c>
      <c r="B1087" s="1" t="n">
        <v>45152</v>
      </c>
      <c r="C1087" s="1" t="n">
        <v>45584</v>
      </c>
      <c r="D1087" t="inlineStr">
        <is>
          <t>UPPSALA LÄN</t>
        </is>
      </c>
      <c r="E1087" t="inlineStr">
        <is>
          <t>UPPSALA</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36479-2023</t>
        </is>
      </c>
      <c r="B1088" s="1" t="n">
        <v>45152</v>
      </c>
      <c r="C1088" s="1" t="n">
        <v>45584</v>
      </c>
      <c r="D1088" t="inlineStr">
        <is>
          <t>UPPSALA LÄN</t>
        </is>
      </c>
      <c r="E1088" t="inlineStr">
        <is>
          <t>UPPSALA</t>
        </is>
      </c>
      <c r="F1088" t="inlineStr">
        <is>
          <t>Allmännings- och besparingsskogar</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36478-2023</t>
        </is>
      </c>
      <c r="B1089" s="1" t="n">
        <v>45152</v>
      </c>
      <c r="C1089" s="1" t="n">
        <v>45584</v>
      </c>
      <c r="D1089" t="inlineStr">
        <is>
          <t>UPPSALA LÄN</t>
        </is>
      </c>
      <c r="E1089" t="inlineStr">
        <is>
          <t>UPPSALA</t>
        </is>
      </c>
      <c r="F1089" t="inlineStr">
        <is>
          <t>Allmännings- och besparingsskogar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36438-2023</t>
        </is>
      </c>
      <c r="B1090" s="1" t="n">
        <v>45152</v>
      </c>
      <c r="C1090" s="1" t="n">
        <v>45584</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36738-2023</t>
        </is>
      </c>
      <c r="B1091" s="1" t="n">
        <v>45153</v>
      </c>
      <c r="C1091" s="1" t="n">
        <v>45584</v>
      </c>
      <c r="D1091" t="inlineStr">
        <is>
          <t>UPPSALA LÄN</t>
        </is>
      </c>
      <c r="E1091" t="inlineStr">
        <is>
          <t>UPPSALA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36739-2023</t>
        </is>
      </c>
      <c r="B1092" s="1" t="n">
        <v>45153</v>
      </c>
      <c r="C1092" s="1" t="n">
        <v>45584</v>
      </c>
      <c r="D1092" t="inlineStr">
        <is>
          <t>UPPSALA LÄN</t>
        </is>
      </c>
      <c r="E1092" t="inlineStr">
        <is>
          <t>UPPSALA</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36781-2023</t>
        </is>
      </c>
      <c r="B1093" s="1" t="n">
        <v>45154</v>
      </c>
      <c r="C1093" s="1" t="n">
        <v>45584</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36782-2023</t>
        </is>
      </c>
      <c r="B1094" s="1" t="n">
        <v>45154</v>
      </c>
      <c r="C1094" s="1" t="n">
        <v>45584</v>
      </c>
      <c r="D1094" t="inlineStr">
        <is>
          <t>UPPSALA LÄN</t>
        </is>
      </c>
      <c r="E1094" t="inlineStr">
        <is>
          <t>UPPSALA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36860-2023</t>
        </is>
      </c>
      <c r="B1095" s="1" t="n">
        <v>45154</v>
      </c>
      <c r="C1095" s="1" t="n">
        <v>45584</v>
      </c>
      <c r="D1095" t="inlineStr">
        <is>
          <t>UPPSALA LÄN</t>
        </is>
      </c>
      <c r="E1095" t="inlineStr">
        <is>
          <t>UPPSALA</t>
        </is>
      </c>
      <c r="F1095" t="inlineStr">
        <is>
          <t>Allmännings- och besparingsskogar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37626-2023</t>
        </is>
      </c>
      <c r="B1096" s="1" t="n">
        <v>45159</v>
      </c>
      <c r="C1096" s="1" t="n">
        <v>45584</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37618-2023</t>
        </is>
      </c>
      <c r="B1097" s="1" t="n">
        <v>45159</v>
      </c>
      <c r="C1097" s="1" t="n">
        <v>45584</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38016-2023</t>
        </is>
      </c>
      <c r="B1098" s="1" t="n">
        <v>45160</v>
      </c>
      <c r="C1098" s="1" t="n">
        <v>45584</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38190-2023</t>
        </is>
      </c>
      <c r="B1099" s="1" t="n">
        <v>45161</v>
      </c>
      <c r="C1099" s="1" t="n">
        <v>45584</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38493-2023</t>
        </is>
      </c>
      <c r="B1100" s="1" t="n">
        <v>45162</v>
      </c>
      <c r="C1100" s="1" t="n">
        <v>45584</v>
      </c>
      <c r="D1100" t="inlineStr">
        <is>
          <t>UPPSALA LÄN</t>
        </is>
      </c>
      <c r="E1100" t="inlineStr">
        <is>
          <t>UPPSALA</t>
        </is>
      </c>
      <c r="F1100" t="inlineStr">
        <is>
          <t>Allmännings- och besparingsskogar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38644-2023</t>
        </is>
      </c>
      <c r="B1101" s="1" t="n">
        <v>45162</v>
      </c>
      <c r="C1101" s="1" t="n">
        <v>45584</v>
      </c>
      <c r="D1101" t="inlineStr">
        <is>
          <t>UPPSALA LÄN</t>
        </is>
      </c>
      <c r="E1101" t="inlineStr">
        <is>
          <t>UPPSALA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38645-2023</t>
        </is>
      </c>
      <c r="B1102" s="1" t="n">
        <v>45162</v>
      </c>
      <c r="C1102" s="1" t="n">
        <v>45584</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38664-2023</t>
        </is>
      </c>
      <c r="B1103" s="1" t="n">
        <v>45162</v>
      </c>
      <c r="C1103" s="1" t="n">
        <v>45584</v>
      </c>
      <c r="D1103" t="inlineStr">
        <is>
          <t>UPPSALA LÄN</t>
        </is>
      </c>
      <c r="E1103" t="inlineStr">
        <is>
          <t>UPPSALA</t>
        </is>
      </c>
      <c r="F1103" t="inlineStr">
        <is>
          <t>Bergvik skog öst AB</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38663-2023</t>
        </is>
      </c>
      <c r="B1104" s="1" t="n">
        <v>45162</v>
      </c>
      <c r="C1104" s="1" t="n">
        <v>45584</v>
      </c>
      <c r="D1104" t="inlineStr">
        <is>
          <t>UPPSALA LÄN</t>
        </is>
      </c>
      <c r="E1104" t="inlineStr">
        <is>
          <t>UPPSALA</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38665-2023</t>
        </is>
      </c>
      <c r="B1105" s="1" t="n">
        <v>45162</v>
      </c>
      <c r="C1105" s="1" t="n">
        <v>45584</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38661-2023</t>
        </is>
      </c>
      <c r="B1106" s="1" t="n">
        <v>45162</v>
      </c>
      <c r="C1106" s="1" t="n">
        <v>45584</v>
      </c>
      <c r="D1106" t="inlineStr">
        <is>
          <t>UPPSALA LÄN</t>
        </is>
      </c>
      <c r="E1106" t="inlineStr">
        <is>
          <t>UPPSALA</t>
        </is>
      </c>
      <c r="F1106" t="inlineStr">
        <is>
          <t>Bergvik skog öst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38643-2023</t>
        </is>
      </c>
      <c r="B1107" s="1" t="n">
        <v>45162</v>
      </c>
      <c r="C1107" s="1" t="n">
        <v>45584</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38934-2023</t>
        </is>
      </c>
      <c r="B1108" s="1" t="n">
        <v>45163</v>
      </c>
      <c r="C1108" s="1" t="n">
        <v>45584</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39108-2023</t>
        </is>
      </c>
      <c r="B1109" s="1" t="n">
        <v>45164</v>
      </c>
      <c r="C1109" s="1" t="n">
        <v>45584</v>
      </c>
      <c r="D1109" t="inlineStr">
        <is>
          <t>UPPSALA LÄN</t>
        </is>
      </c>
      <c r="E1109" t="inlineStr">
        <is>
          <t>UPPSALA</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39107-2023</t>
        </is>
      </c>
      <c r="B1110" s="1" t="n">
        <v>45164</v>
      </c>
      <c r="C1110" s="1" t="n">
        <v>45584</v>
      </c>
      <c r="D1110" t="inlineStr">
        <is>
          <t>UPPSALA LÄN</t>
        </is>
      </c>
      <c r="E1110" t="inlineStr">
        <is>
          <t>UPPSALA</t>
        </is>
      </c>
      <c r="F1110" t="inlineStr">
        <is>
          <t>Bergvik skog öst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39548-2023</t>
        </is>
      </c>
      <c r="B1111" s="1" t="n">
        <v>45167</v>
      </c>
      <c r="C1111" s="1" t="n">
        <v>45584</v>
      </c>
      <c r="D1111" t="inlineStr">
        <is>
          <t>UPPSALA LÄN</t>
        </is>
      </c>
      <c r="E1111" t="inlineStr">
        <is>
          <t>UPPSALA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39592-2023</t>
        </is>
      </c>
      <c r="B1112" s="1" t="n">
        <v>45167</v>
      </c>
      <c r="C1112" s="1" t="n">
        <v>45584</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39739-2023</t>
        </is>
      </c>
      <c r="B1113" s="1" t="n">
        <v>45167</v>
      </c>
      <c r="C1113" s="1" t="n">
        <v>45584</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39926-2023</t>
        </is>
      </c>
      <c r="B1114" s="1" t="n">
        <v>45168</v>
      </c>
      <c r="C1114" s="1" t="n">
        <v>45584</v>
      </c>
      <c r="D1114" t="inlineStr">
        <is>
          <t>UPPSALA LÄN</t>
        </is>
      </c>
      <c r="E1114" t="inlineStr">
        <is>
          <t>UPPSALA</t>
        </is>
      </c>
      <c r="F1114" t="inlineStr">
        <is>
          <t>Holmen skog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39918-2023</t>
        </is>
      </c>
      <c r="B1115" s="1" t="n">
        <v>45168</v>
      </c>
      <c r="C1115" s="1" t="n">
        <v>45584</v>
      </c>
      <c r="D1115" t="inlineStr">
        <is>
          <t>UPPSALA LÄN</t>
        </is>
      </c>
      <c r="E1115" t="inlineStr">
        <is>
          <t>UPPSALA</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40369-2023</t>
        </is>
      </c>
      <c r="B1116" s="1" t="n">
        <v>45169</v>
      </c>
      <c r="C1116" s="1" t="n">
        <v>45584</v>
      </c>
      <c r="D1116" t="inlineStr">
        <is>
          <t>UPPSALA LÄN</t>
        </is>
      </c>
      <c r="E1116" t="inlineStr">
        <is>
          <t>UPPSALA</t>
        </is>
      </c>
      <c r="F1116" t="inlineStr">
        <is>
          <t>Allmännings- och besparingsskogar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40312-2023</t>
        </is>
      </c>
      <c r="B1117" s="1" t="n">
        <v>45169</v>
      </c>
      <c r="C1117" s="1" t="n">
        <v>45584</v>
      </c>
      <c r="D1117" t="inlineStr">
        <is>
          <t>UPPSALA LÄN</t>
        </is>
      </c>
      <c r="E1117" t="inlineStr">
        <is>
          <t>UPPSALA</t>
        </is>
      </c>
      <c r="F1117" t="inlineStr">
        <is>
          <t>Kommuner</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40124-2023</t>
        </is>
      </c>
      <c r="B1118" s="1" t="n">
        <v>45169</v>
      </c>
      <c r="C1118" s="1" t="n">
        <v>45584</v>
      </c>
      <c r="D1118" t="inlineStr">
        <is>
          <t>UPPSALA LÄN</t>
        </is>
      </c>
      <c r="E1118" t="inlineStr">
        <is>
          <t>UPPSALA</t>
        </is>
      </c>
      <c r="F1118" t="inlineStr">
        <is>
          <t>Allmännings- och besparingsskogar</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40325-2023</t>
        </is>
      </c>
      <c r="B1119" s="1" t="n">
        <v>45169</v>
      </c>
      <c r="C1119" s="1" t="n">
        <v>45584</v>
      </c>
      <c r="D1119" t="inlineStr">
        <is>
          <t>UPPSALA LÄN</t>
        </is>
      </c>
      <c r="E1119" t="inlineStr">
        <is>
          <t>UPPSALA</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40872-2023</t>
        </is>
      </c>
      <c r="B1120" s="1" t="n">
        <v>45173</v>
      </c>
      <c r="C1120" s="1" t="n">
        <v>45584</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41002-2023</t>
        </is>
      </c>
      <c r="B1121" s="1" t="n">
        <v>45173</v>
      </c>
      <c r="C1121" s="1" t="n">
        <v>45584</v>
      </c>
      <c r="D1121" t="inlineStr">
        <is>
          <t>UPPSALA LÄN</t>
        </is>
      </c>
      <c r="E1121" t="inlineStr">
        <is>
          <t>UPPSALA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41349-2023</t>
        </is>
      </c>
      <c r="B1122" s="1" t="n">
        <v>45174</v>
      </c>
      <c r="C1122" s="1" t="n">
        <v>45584</v>
      </c>
      <c r="D1122" t="inlineStr">
        <is>
          <t>UPPSALA LÄN</t>
        </is>
      </c>
      <c r="E1122" t="inlineStr">
        <is>
          <t>UPPSALA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41346-2023</t>
        </is>
      </c>
      <c r="B1123" s="1" t="n">
        <v>45174</v>
      </c>
      <c r="C1123" s="1" t="n">
        <v>45584</v>
      </c>
      <c r="D1123" t="inlineStr">
        <is>
          <t>UPPSALA LÄN</t>
        </is>
      </c>
      <c r="E1123" t="inlineStr">
        <is>
          <t>UPPSALA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41506-2023</t>
        </is>
      </c>
      <c r="B1124" s="1" t="n">
        <v>45175</v>
      </c>
      <c r="C1124" s="1" t="n">
        <v>45584</v>
      </c>
      <c r="D1124" t="inlineStr">
        <is>
          <t>UPPSALA LÄN</t>
        </is>
      </c>
      <c r="E1124" t="inlineStr">
        <is>
          <t>UPPSALA</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41541-2023</t>
        </is>
      </c>
      <c r="B1125" s="1" t="n">
        <v>45175</v>
      </c>
      <c r="C1125" s="1" t="n">
        <v>45584</v>
      </c>
      <c r="D1125" t="inlineStr">
        <is>
          <t>UPPSALA LÄN</t>
        </is>
      </c>
      <c r="E1125" t="inlineStr">
        <is>
          <t>UPPSALA</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41545-2023</t>
        </is>
      </c>
      <c r="B1126" s="1" t="n">
        <v>45175</v>
      </c>
      <c r="C1126" s="1" t="n">
        <v>45584</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41422-2023</t>
        </is>
      </c>
      <c r="B1127" s="1" t="n">
        <v>45175</v>
      </c>
      <c r="C1127" s="1" t="n">
        <v>45584</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41538-2023</t>
        </is>
      </c>
      <c r="B1128" s="1" t="n">
        <v>45175</v>
      </c>
      <c r="C1128" s="1" t="n">
        <v>45584</v>
      </c>
      <c r="D1128" t="inlineStr">
        <is>
          <t>UPPSALA LÄN</t>
        </is>
      </c>
      <c r="E1128" t="inlineStr">
        <is>
          <t>UPPSALA</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42283-2023</t>
        </is>
      </c>
      <c r="B1129" s="1" t="n">
        <v>45175</v>
      </c>
      <c r="C1129" s="1" t="n">
        <v>45584</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41669-2023</t>
        </is>
      </c>
      <c r="B1130" s="1" t="n">
        <v>45176</v>
      </c>
      <c r="C1130" s="1" t="n">
        <v>45584</v>
      </c>
      <c r="D1130" t="inlineStr">
        <is>
          <t>UPPSALA LÄN</t>
        </is>
      </c>
      <c r="E1130" t="inlineStr">
        <is>
          <t>UPPSALA</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41802-2023</t>
        </is>
      </c>
      <c r="B1131" s="1" t="n">
        <v>45176</v>
      </c>
      <c r="C1131" s="1" t="n">
        <v>45584</v>
      </c>
      <c r="D1131" t="inlineStr">
        <is>
          <t>UPPSALA LÄN</t>
        </is>
      </c>
      <c r="E1131" t="inlineStr">
        <is>
          <t>UPPSALA</t>
        </is>
      </c>
      <c r="G1131" t="n">
        <v>23.9</v>
      </c>
      <c r="H1131" t="n">
        <v>0</v>
      </c>
      <c r="I1131" t="n">
        <v>0</v>
      </c>
      <c r="J1131" t="n">
        <v>0</v>
      </c>
      <c r="K1131" t="n">
        <v>0</v>
      </c>
      <c r="L1131" t="n">
        <v>0</v>
      </c>
      <c r="M1131" t="n">
        <v>0</v>
      </c>
      <c r="N1131" t="n">
        <v>0</v>
      </c>
      <c r="O1131" t="n">
        <v>0</v>
      </c>
      <c r="P1131" t="n">
        <v>0</v>
      </c>
      <c r="Q1131" t="n">
        <v>0</v>
      </c>
      <c r="R1131" s="2" t="inlineStr"/>
    </row>
    <row r="1132" ht="15" customHeight="1">
      <c r="A1132" t="inlineStr">
        <is>
          <t>A 41816-2023</t>
        </is>
      </c>
      <c r="B1132" s="1" t="n">
        <v>45176</v>
      </c>
      <c r="C1132" s="1" t="n">
        <v>45584</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41950-2023</t>
        </is>
      </c>
      <c r="B1133" s="1" t="n">
        <v>45177</v>
      </c>
      <c r="C1133" s="1" t="n">
        <v>45584</v>
      </c>
      <c r="D1133" t="inlineStr">
        <is>
          <t>UPPSALA LÄN</t>
        </is>
      </c>
      <c r="E1133" t="inlineStr">
        <is>
          <t>UPPSALA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42134-2023</t>
        </is>
      </c>
      <c r="B1134" s="1" t="n">
        <v>45177</v>
      </c>
      <c r="C1134" s="1" t="n">
        <v>45584</v>
      </c>
      <c r="D1134" t="inlineStr">
        <is>
          <t>UPPSALA LÄN</t>
        </is>
      </c>
      <c r="E1134" t="inlineStr">
        <is>
          <t>UPPSALA</t>
        </is>
      </c>
      <c r="F1134" t="inlineStr">
        <is>
          <t>Allmännings- och besparingsskogar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42063-2023</t>
        </is>
      </c>
      <c r="B1135" s="1" t="n">
        <v>45177</v>
      </c>
      <c r="C1135" s="1" t="n">
        <v>45584</v>
      </c>
      <c r="D1135" t="inlineStr">
        <is>
          <t>UPPSALA LÄN</t>
        </is>
      </c>
      <c r="E1135" t="inlineStr">
        <is>
          <t>UPPSALA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v>
      </c>
      <c r="C1136" s="1" t="n">
        <v>45584</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42273-2023</t>
        </is>
      </c>
      <c r="B1137" s="1" t="n">
        <v>45180</v>
      </c>
      <c r="C1137" s="1" t="n">
        <v>45584</v>
      </c>
      <c r="D1137" t="inlineStr">
        <is>
          <t>UPPSALA LÄN</t>
        </is>
      </c>
      <c r="E1137" t="inlineStr">
        <is>
          <t>UPPSALA</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42436-2023</t>
        </is>
      </c>
      <c r="B1138" s="1" t="n">
        <v>45180</v>
      </c>
      <c r="C1138" s="1" t="n">
        <v>45584</v>
      </c>
      <c r="D1138" t="inlineStr">
        <is>
          <t>UPPSALA LÄN</t>
        </is>
      </c>
      <c r="E1138" t="inlineStr">
        <is>
          <t>UPPSALA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42282-2023</t>
        </is>
      </c>
      <c r="B1139" s="1" t="n">
        <v>45180</v>
      </c>
      <c r="C1139" s="1" t="n">
        <v>45584</v>
      </c>
      <c r="D1139" t="inlineStr">
        <is>
          <t>UPPSALA LÄN</t>
        </is>
      </c>
      <c r="E1139" t="inlineStr">
        <is>
          <t>UPPSALA</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42274-2023</t>
        </is>
      </c>
      <c r="B1140" s="1" t="n">
        <v>45180</v>
      </c>
      <c r="C1140" s="1" t="n">
        <v>45584</v>
      </c>
      <c r="D1140" t="inlineStr">
        <is>
          <t>UPPSALA LÄN</t>
        </is>
      </c>
      <c r="E1140" t="inlineStr">
        <is>
          <t>UPPSALA</t>
        </is>
      </c>
      <c r="F1140" t="inlineStr">
        <is>
          <t>Bergvik skog öst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42285-2023</t>
        </is>
      </c>
      <c r="B1141" s="1" t="n">
        <v>45180</v>
      </c>
      <c r="C1141" s="1" t="n">
        <v>45584</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42376-2023</t>
        </is>
      </c>
      <c r="B1142" s="1" t="n">
        <v>45180</v>
      </c>
      <c r="C1142" s="1" t="n">
        <v>45584</v>
      </c>
      <c r="D1142" t="inlineStr">
        <is>
          <t>UPPSALA LÄN</t>
        </is>
      </c>
      <c r="E1142" t="inlineStr">
        <is>
          <t>UPPSALA</t>
        </is>
      </c>
      <c r="F1142" t="inlineStr">
        <is>
          <t>Bergvik skog öst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42495-2023</t>
        </is>
      </c>
      <c r="B1143" s="1" t="n">
        <v>45180</v>
      </c>
      <c r="C1143" s="1" t="n">
        <v>45584</v>
      </c>
      <c r="D1143" t="inlineStr">
        <is>
          <t>UPPSALA LÄN</t>
        </is>
      </c>
      <c r="E1143" t="inlineStr">
        <is>
          <t>UPPSALA</t>
        </is>
      </c>
      <c r="F1143" t="inlineStr">
        <is>
          <t>Allmännings- och besparingsskogar</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42379-2023</t>
        </is>
      </c>
      <c r="B1144" s="1" t="n">
        <v>45180</v>
      </c>
      <c r="C1144" s="1" t="n">
        <v>45584</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42528-2023</t>
        </is>
      </c>
      <c r="B1145" s="1" t="n">
        <v>45181</v>
      </c>
      <c r="C1145" s="1" t="n">
        <v>45584</v>
      </c>
      <c r="D1145" t="inlineStr">
        <is>
          <t>UPPSALA LÄN</t>
        </is>
      </c>
      <c r="E1145" t="inlineStr">
        <is>
          <t>UPPSALA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42630-2023</t>
        </is>
      </c>
      <c r="B1146" s="1" t="n">
        <v>45181</v>
      </c>
      <c r="C1146" s="1" t="n">
        <v>45584</v>
      </c>
      <c r="D1146" t="inlineStr">
        <is>
          <t>UPPSALA LÄN</t>
        </is>
      </c>
      <c r="E1146" t="inlineStr">
        <is>
          <t>UPPSALA</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42681-2023</t>
        </is>
      </c>
      <c r="B1147" s="1" t="n">
        <v>45181</v>
      </c>
      <c r="C1147" s="1" t="n">
        <v>45584</v>
      </c>
      <c r="D1147" t="inlineStr">
        <is>
          <t>UPPSALA LÄN</t>
        </is>
      </c>
      <c r="E1147" t="inlineStr">
        <is>
          <t>UPPSALA</t>
        </is>
      </c>
      <c r="F1147" t="inlineStr">
        <is>
          <t>Bergvik skog öst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42543-2023</t>
        </is>
      </c>
      <c r="B1148" s="1" t="n">
        <v>45181</v>
      </c>
      <c r="C1148" s="1" t="n">
        <v>45584</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42730-2023</t>
        </is>
      </c>
      <c r="B1149" s="1" t="n">
        <v>45181</v>
      </c>
      <c r="C1149" s="1" t="n">
        <v>45584</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42734-2023</t>
        </is>
      </c>
      <c r="B1150" s="1" t="n">
        <v>45181</v>
      </c>
      <c r="C1150" s="1" t="n">
        <v>45584</v>
      </c>
      <c r="D1150" t="inlineStr">
        <is>
          <t>UPPSALA LÄN</t>
        </is>
      </c>
      <c r="E1150" t="inlineStr">
        <is>
          <t>UPPSALA</t>
        </is>
      </c>
      <c r="F1150" t="inlineStr">
        <is>
          <t>Bergvik skog öst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42682-2023</t>
        </is>
      </c>
      <c r="B1151" s="1" t="n">
        <v>45181</v>
      </c>
      <c r="C1151" s="1" t="n">
        <v>45584</v>
      </c>
      <c r="D1151" t="inlineStr">
        <is>
          <t>UPPSALA LÄN</t>
        </is>
      </c>
      <c r="E1151" t="inlineStr">
        <is>
          <t>UPPSALA</t>
        </is>
      </c>
      <c r="F1151" t="inlineStr">
        <is>
          <t>Bergvik skog öst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42722-2023</t>
        </is>
      </c>
      <c r="B1152" s="1" t="n">
        <v>45181</v>
      </c>
      <c r="C1152" s="1" t="n">
        <v>45584</v>
      </c>
      <c r="D1152" t="inlineStr">
        <is>
          <t>UPPSALA LÄN</t>
        </is>
      </c>
      <c r="E1152" t="inlineStr">
        <is>
          <t>UPPSALA</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42756-2023</t>
        </is>
      </c>
      <c r="B1153" s="1" t="n">
        <v>45181</v>
      </c>
      <c r="C1153" s="1" t="n">
        <v>45584</v>
      </c>
      <c r="D1153" t="inlineStr">
        <is>
          <t>UPPSALA LÄN</t>
        </is>
      </c>
      <c r="E1153" t="inlineStr">
        <is>
          <t>UPPSALA</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42971-2023</t>
        </is>
      </c>
      <c r="B1154" s="1" t="n">
        <v>45182</v>
      </c>
      <c r="C1154" s="1" t="n">
        <v>45584</v>
      </c>
      <c r="D1154" t="inlineStr">
        <is>
          <t>UPPSALA LÄN</t>
        </is>
      </c>
      <c r="E1154" t="inlineStr">
        <is>
          <t>UPPSALA</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43026-2023</t>
        </is>
      </c>
      <c r="B1155" s="1" t="n">
        <v>45182</v>
      </c>
      <c r="C1155" s="1" t="n">
        <v>45584</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42963-2023</t>
        </is>
      </c>
      <c r="B1156" s="1" t="n">
        <v>45182</v>
      </c>
      <c r="C1156" s="1" t="n">
        <v>45584</v>
      </c>
      <c r="D1156" t="inlineStr">
        <is>
          <t>UPPSALA LÄN</t>
        </is>
      </c>
      <c r="E1156" t="inlineStr">
        <is>
          <t>UPPSALA</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42967-2023</t>
        </is>
      </c>
      <c r="B1157" s="1" t="n">
        <v>45182</v>
      </c>
      <c r="C1157" s="1" t="n">
        <v>45584</v>
      </c>
      <c r="D1157" t="inlineStr">
        <is>
          <t>UPPSALA LÄN</t>
        </is>
      </c>
      <c r="E1157" t="inlineStr">
        <is>
          <t>UPPSALA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43031-2023</t>
        </is>
      </c>
      <c r="B1158" s="1" t="n">
        <v>45182</v>
      </c>
      <c r="C1158" s="1" t="n">
        <v>45584</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43035-2023</t>
        </is>
      </c>
      <c r="B1159" s="1" t="n">
        <v>45182</v>
      </c>
      <c r="C1159" s="1" t="n">
        <v>45584</v>
      </c>
      <c r="D1159" t="inlineStr">
        <is>
          <t>UPPSALA LÄN</t>
        </is>
      </c>
      <c r="E1159" t="inlineStr">
        <is>
          <t>UPPSALA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43049-2023</t>
        </is>
      </c>
      <c r="B1160" s="1" t="n">
        <v>45182</v>
      </c>
      <c r="C1160" s="1" t="n">
        <v>45584</v>
      </c>
      <c r="D1160" t="inlineStr">
        <is>
          <t>UPPSALA LÄN</t>
        </is>
      </c>
      <c r="E1160" t="inlineStr">
        <is>
          <t>UPPSALA</t>
        </is>
      </c>
      <c r="F1160" t="inlineStr">
        <is>
          <t>Allmännings- och besparingsskogar</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42974-2023</t>
        </is>
      </c>
      <c r="B1161" s="1" t="n">
        <v>45182</v>
      </c>
      <c r="C1161" s="1" t="n">
        <v>45584</v>
      </c>
      <c r="D1161" t="inlineStr">
        <is>
          <t>UPPSALA LÄN</t>
        </is>
      </c>
      <c r="E1161" t="inlineStr">
        <is>
          <t>UPPSALA</t>
        </is>
      </c>
      <c r="F1161" t="inlineStr">
        <is>
          <t>Sveaskog</t>
        </is>
      </c>
      <c r="G1161" t="n">
        <v>3.7</v>
      </c>
      <c r="H1161" t="n">
        <v>0</v>
      </c>
      <c r="I1161" t="n">
        <v>0</v>
      </c>
      <c r="J1161" t="n">
        <v>0</v>
      </c>
      <c r="K1161" t="n">
        <v>0</v>
      </c>
      <c r="L1161" t="n">
        <v>0</v>
      </c>
      <c r="M1161" t="n">
        <v>0</v>
      </c>
      <c r="N1161" t="n">
        <v>0</v>
      </c>
      <c r="O1161" t="n">
        <v>0</v>
      </c>
      <c r="P1161" t="n">
        <v>0</v>
      </c>
      <c r="Q1161" t="n">
        <v>0</v>
      </c>
      <c r="R1161" s="2" t="inlineStr"/>
      <c r="U1161">
        <f>HYPERLINK("https://klasma.github.io/Logging_0380/knärot/A 42974-2023 karta knärot.png", "A 42974-2023")</f>
        <v/>
      </c>
      <c r="V1161">
        <f>HYPERLINK("https://klasma.github.io/Logging_0380/klagomål/A 42974-2023 FSC-klagomål.docx", "A 42974-2023")</f>
        <v/>
      </c>
      <c r="W1161">
        <f>HYPERLINK("https://klasma.github.io/Logging_0380/klagomålsmail/A 42974-2023 FSC-klagomål mail.docx", "A 42974-2023")</f>
        <v/>
      </c>
      <c r="X1161">
        <f>HYPERLINK("https://klasma.github.io/Logging_0380/tillsyn/A 42974-2023 tillsynsbegäran.docx", "A 42974-2023")</f>
        <v/>
      </c>
      <c r="Y1161">
        <f>HYPERLINK("https://klasma.github.io/Logging_0380/tillsynsmail/A 42974-2023 tillsynsbegäran mail.docx", "A 42974-2023")</f>
        <v/>
      </c>
    </row>
    <row r="1162" ht="15" customHeight="1">
      <c r="A1162" t="inlineStr">
        <is>
          <t>A 42978-2023</t>
        </is>
      </c>
      <c r="B1162" s="1" t="n">
        <v>45182</v>
      </c>
      <c r="C1162" s="1" t="n">
        <v>45584</v>
      </c>
      <c r="D1162" t="inlineStr">
        <is>
          <t>UPPSALA LÄN</t>
        </is>
      </c>
      <c r="E1162" t="inlineStr">
        <is>
          <t>UPPSALA</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43029-2023</t>
        </is>
      </c>
      <c r="B1163" s="1" t="n">
        <v>45182</v>
      </c>
      <c r="C1163" s="1" t="n">
        <v>45584</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43818-2023</t>
        </is>
      </c>
      <c r="B1164" s="1" t="n">
        <v>45182</v>
      </c>
      <c r="C1164" s="1" t="n">
        <v>45584</v>
      </c>
      <c r="D1164" t="inlineStr">
        <is>
          <t>UPPSALA LÄN</t>
        </is>
      </c>
      <c r="E1164" t="inlineStr">
        <is>
          <t>UPPSALA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43795-2023</t>
        </is>
      </c>
      <c r="B1165" s="1" t="n">
        <v>45182</v>
      </c>
      <c r="C1165" s="1" t="n">
        <v>45584</v>
      </c>
      <c r="D1165" t="inlineStr">
        <is>
          <t>UPPSALA LÄN</t>
        </is>
      </c>
      <c r="E1165" t="inlineStr">
        <is>
          <t>UPPSALA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43316-2023</t>
        </is>
      </c>
      <c r="B1166" s="1" t="n">
        <v>45183</v>
      </c>
      <c r="C1166" s="1" t="n">
        <v>45584</v>
      </c>
      <c r="D1166" t="inlineStr">
        <is>
          <t>UPPSALA LÄN</t>
        </is>
      </c>
      <c r="E1166" t="inlineStr">
        <is>
          <t>UPPSALA</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43944-2023</t>
        </is>
      </c>
      <c r="B1167" s="1" t="n">
        <v>45187</v>
      </c>
      <c r="C1167" s="1" t="n">
        <v>45584</v>
      </c>
      <c r="D1167" t="inlineStr">
        <is>
          <t>UPPSALA LÄN</t>
        </is>
      </c>
      <c r="E1167" t="inlineStr">
        <is>
          <t>UPPSALA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43775-2023</t>
        </is>
      </c>
      <c r="B1168" s="1" t="n">
        <v>45187</v>
      </c>
      <c r="C1168" s="1" t="n">
        <v>45584</v>
      </c>
      <c r="D1168" t="inlineStr">
        <is>
          <t>UPPSALA LÄN</t>
        </is>
      </c>
      <c r="E1168" t="inlineStr">
        <is>
          <t>UPPSALA</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43779-2023</t>
        </is>
      </c>
      <c r="B1169" s="1" t="n">
        <v>45187</v>
      </c>
      <c r="C1169" s="1" t="n">
        <v>45584</v>
      </c>
      <c r="D1169" t="inlineStr">
        <is>
          <t>UPPSALA LÄN</t>
        </is>
      </c>
      <c r="E1169" t="inlineStr">
        <is>
          <t>UPPSALA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43776-2023</t>
        </is>
      </c>
      <c r="B1170" s="1" t="n">
        <v>45187</v>
      </c>
      <c r="C1170" s="1" t="n">
        <v>45584</v>
      </c>
      <c r="D1170" t="inlineStr">
        <is>
          <t>UPPSALA LÄN</t>
        </is>
      </c>
      <c r="E1170" t="inlineStr">
        <is>
          <t>UPPSALA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45584</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43778-2023</t>
        </is>
      </c>
      <c r="B1172" s="1" t="n">
        <v>45187</v>
      </c>
      <c r="C1172" s="1" t="n">
        <v>45584</v>
      </c>
      <c r="D1172" t="inlineStr">
        <is>
          <t>UPPSALA LÄN</t>
        </is>
      </c>
      <c r="E1172" t="inlineStr">
        <is>
          <t>UPPSALA</t>
        </is>
      </c>
      <c r="F1172" t="inlineStr">
        <is>
          <t>Bergvik skog öst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44875-2023</t>
        </is>
      </c>
      <c r="B1173" s="1" t="n">
        <v>45187</v>
      </c>
      <c r="C1173" s="1" t="n">
        <v>45584</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44080-2023</t>
        </is>
      </c>
      <c r="B1174" s="1" t="n">
        <v>45188</v>
      </c>
      <c r="C1174" s="1" t="n">
        <v>45584</v>
      </c>
      <c r="D1174" t="inlineStr">
        <is>
          <t>UPPSALA LÄN</t>
        </is>
      </c>
      <c r="E1174" t="inlineStr">
        <is>
          <t>UPPSALA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44115-2023</t>
        </is>
      </c>
      <c r="B1175" s="1" t="n">
        <v>45188</v>
      </c>
      <c r="C1175" s="1" t="n">
        <v>45584</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44232-2023</t>
        </is>
      </c>
      <c r="B1176" s="1" t="n">
        <v>45188</v>
      </c>
      <c r="C1176" s="1" t="n">
        <v>45584</v>
      </c>
      <c r="D1176" t="inlineStr">
        <is>
          <t>UPPSALA LÄN</t>
        </is>
      </c>
      <c r="E1176" t="inlineStr">
        <is>
          <t>UPPSALA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44105-2023</t>
        </is>
      </c>
      <c r="B1177" s="1" t="n">
        <v>45188</v>
      </c>
      <c r="C1177" s="1" t="n">
        <v>45584</v>
      </c>
      <c r="D1177" t="inlineStr">
        <is>
          <t>UPPSALA LÄN</t>
        </is>
      </c>
      <c r="E1177" t="inlineStr">
        <is>
          <t>UPPSALA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44333-2023</t>
        </is>
      </c>
      <c r="B1178" s="1" t="n">
        <v>45188</v>
      </c>
      <c r="C1178" s="1" t="n">
        <v>45584</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44337-2023</t>
        </is>
      </c>
      <c r="B1179" s="1" t="n">
        <v>45188</v>
      </c>
      <c r="C1179" s="1" t="n">
        <v>45584</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44257-2023</t>
        </is>
      </c>
      <c r="B1180" s="1" t="n">
        <v>45188</v>
      </c>
      <c r="C1180" s="1" t="n">
        <v>45584</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44815-2023</t>
        </is>
      </c>
      <c r="B1181" s="1" t="n">
        <v>45190</v>
      </c>
      <c r="C1181" s="1" t="n">
        <v>45584</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44830-2023</t>
        </is>
      </c>
      <c r="B1182" s="1" t="n">
        <v>45190</v>
      </c>
      <c r="C1182" s="1" t="n">
        <v>45584</v>
      </c>
      <c r="D1182" t="inlineStr">
        <is>
          <t>UPPSALA LÄN</t>
        </is>
      </c>
      <c r="E1182" t="inlineStr">
        <is>
          <t>UPPSALA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44785-2023</t>
        </is>
      </c>
      <c r="B1183" s="1" t="n">
        <v>45190</v>
      </c>
      <c r="C1183" s="1" t="n">
        <v>45584</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45244-2023</t>
        </is>
      </c>
      <c r="B1184" s="1" t="n">
        <v>45191</v>
      </c>
      <c r="C1184" s="1" t="n">
        <v>45584</v>
      </c>
      <c r="D1184" t="inlineStr">
        <is>
          <t>UPPSALA LÄN</t>
        </is>
      </c>
      <c r="E1184" t="inlineStr">
        <is>
          <t>UPPSALA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45223-2023</t>
        </is>
      </c>
      <c r="B1185" s="1" t="n">
        <v>45191</v>
      </c>
      <c r="C1185" s="1" t="n">
        <v>45584</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45489-2023</t>
        </is>
      </c>
      <c r="B1186" s="1" t="n">
        <v>45194</v>
      </c>
      <c r="C1186" s="1" t="n">
        <v>45584</v>
      </c>
      <c r="D1186" t="inlineStr">
        <is>
          <t>UPPSALA LÄN</t>
        </is>
      </c>
      <c r="E1186" t="inlineStr">
        <is>
          <t>UPPSALA</t>
        </is>
      </c>
      <c r="F1186" t="inlineStr">
        <is>
          <t>Allmännings- och besparingsskogar</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45575-2023</t>
        </is>
      </c>
      <c r="B1187" s="1" t="n">
        <v>45194</v>
      </c>
      <c r="C1187" s="1" t="n">
        <v>45584</v>
      </c>
      <c r="D1187" t="inlineStr">
        <is>
          <t>UPPSALA LÄN</t>
        </is>
      </c>
      <c r="E1187" t="inlineStr">
        <is>
          <t>UPPSALA</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45578-2023</t>
        </is>
      </c>
      <c r="B1188" s="1" t="n">
        <v>45194</v>
      </c>
      <c r="C1188" s="1" t="n">
        <v>45584</v>
      </c>
      <c r="D1188" t="inlineStr">
        <is>
          <t>UPPSALA LÄN</t>
        </is>
      </c>
      <c r="E1188" t="inlineStr">
        <is>
          <t>UPPSALA</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45592-2023</t>
        </is>
      </c>
      <c r="B1189" s="1" t="n">
        <v>45194</v>
      </c>
      <c r="C1189" s="1" t="n">
        <v>45584</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45662-2023</t>
        </is>
      </c>
      <c r="B1190" s="1" t="n">
        <v>45194</v>
      </c>
      <c r="C1190" s="1" t="n">
        <v>45584</v>
      </c>
      <c r="D1190" t="inlineStr">
        <is>
          <t>UPPSALA LÄN</t>
        </is>
      </c>
      <c r="E1190" t="inlineStr">
        <is>
          <t>UPPSALA</t>
        </is>
      </c>
      <c r="F1190" t="inlineStr">
        <is>
          <t>Bergvik skog öst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45661-2023</t>
        </is>
      </c>
      <c r="B1191" s="1" t="n">
        <v>45194</v>
      </c>
      <c r="C1191" s="1" t="n">
        <v>45584</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45892-2023</t>
        </is>
      </c>
      <c r="B1192" s="1" t="n">
        <v>45195</v>
      </c>
      <c r="C1192" s="1" t="n">
        <v>45584</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45885-2023</t>
        </is>
      </c>
      <c r="B1193" s="1" t="n">
        <v>45195</v>
      </c>
      <c r="C1193" s="1" t="n">
        <v>45584</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46335-2023</t>
        </is>
      </c>
      <c r="B1194" s="1" t="n">
        <v>45197</v>
      </c>
      <c r="C1194" s="1" t="n">
        <v>45584</v>
      </c>
      <c r="D1194" t="inlineStr">
        <is>
          <t>UPPSALA LÄN</t>
        </is>
      </c>
      <c r="E1194" t="inlineStr">
        <is>
          <t>UPPSALA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46869-2023</t>
        </is>
      </c>
      <c r="B1195" s="1" t="n">
        <v>45200</v>
      </c>
      <c r="C1195" s="1" t="n">
        <v>45584</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46995-2023</t>
        </is>
      </c>
      <c r="B1196" s="1" t="n">
        <v>45201</v>
      </c>
      <c r="C1196" s="1" t="n">
        <v>45584</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47083-2023</t>
        </is>
      </c>
      <c r="B1197" s="1" t="n">
        <v>45201</v>
      </c>
      <c r="C1197" s="1" t="n">
        <v>45584</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47221-2023</t>
        </is>
      </c>
      <c r="B1198" s="1" t="n">
        <v>45202</v>
      </c>
      <c r="C1198" s="1" t="n">
        <v>45584</v>
      </c>
      <c r="D1198" t="inlineStr">
        <is>
          <t>UPPSALA LÄN</t>
        </is>
      </c>
      <c r="E1198" t="inlineStr">
        <is>
          <t>UPPSALA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47314-2023</t>
        </is>
      </c>
      <c r="B1199" s="1" t="n">
        <v>45202</v>
      </c>
      <c r="C1199" s="1" t="n">
        <v>45584</v>
      </c>
      <c r="D1199" t="inlineStr">
        <is>
          <t>UPPSALA LÄN</t>
        </is>
      </c>
      <c r="E1199" t="inlineStr">
        <is>
          <t>UPPSALA</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47287-2023</t>
        </is>
      </c>
      <c r="B1200" s="1" t="n">
        <v>45202</v>
      </c>
      <c r="C1200" s="1" t="n">
        <v>45584</v>
      </c>
      <c r="D1200" t="inlineStr">
        <is>
          <t>UPPSALA LÄN</t>
        </is>
      </c>
      <c r="E1200" t="inlineStr">
        <is>
          <t>UPPSALA</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47316-2023</t>
        </is>
      </c>
      <c r="B1201" s="1" t="n">
        <v>45202</v>
      </c>
      <c r="C1201" s="1" t="n">
        <v>45584</v>
      </c>
      <c r="D1201" t="inlineStr">
        <is>
          <t>UPPSALA LÄN</t>
        </is>
      </c>
      <c r="E1201" t="inlineStr">
        <is>
          <t>UPPSALA</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47618-2023</t>
        </is>
      </c>
      <c r="B1202" s="1" t="n">
        <v>45203</v>
      </c>
      <c r="C1202" s="1" t="n">
        <v>45584</v>
      </c>
      <c r="D1202" t="inlineStr">
        <is>
          <t>UPPSALA LÄN</t>
        </is>
      </c>
      <c r="E1202" t="inlineStr">
        <is>
          <t>UPPSALA</t>
        </is>
      </c>
      <c r="F1202" t="inlineStr">
        <is>
          <t>Bergvik skog öst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48562-2023</t>
        </is>
      </c>
      <c r="B1203" s="1" t="n">
        <v>45208</v>
      </c>
      <c r="C1203" s="1" t="n">
        <v>45584</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48564-2023</t>
        </is>
      </c>
      <c r="B1204" s="1" t="n">
        <v>45208</v>
      </c>
      <c r="C1204" s="1" t="n">
        <v>45584</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48571-2023</t>
        </is>
      </c>
      <c r="B1205" s="1" t="n">
        <v>45208</v>
      </c>
      <c r="C1205" s="1" t="n">
        <v>45584</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48584-2023</t>
        </is>
      </c>
      <c r="B1206" s="1" t="n">
        <v>45208</v>
      </c>
      <c r="C1206" s="1" t="n">
        <v>45584</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49189-2023</t>
        </is>
      </c>
      <c r="B1207" s="1" t="n">
        <v>45210</v>
      </c>
      <c r="C1207" s="1" t="n">
        <v>45584</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49201-2023</t>
        </is>
      </c>
      <c r="B1208" s="1" t="n">
        <v>45210</v>
      </c>
      <c r="C1208" s="1" t="n">
        <v>45584</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v>
      </c>
      <c r="C1209" s="1" t="n">
        <v>45584</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49996-2023</t>
        </is>
      </c>
      <c r="B1210" s="1" t="n">
        <v>45215</v>
      </c>
      <c r="C1210" s="1" t="n">
        <v>45584</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50118-2023</t>
        </is>
      </c>
      <c r="B1211" s="1" t="n">
        <v>45215</v>
      </c>
      <c r="C1211" s="1" t="n">
        <v>45584</v>
      </c>
      <c r="D1211" t="inlineStr">
        <is>
          <t>UPPSALA LÄN</t>
        </is>
      </c>
      <c r="E1211" t="inlineStr">
        <is>
          <t>UPPSALA</t>
        </is>
      </c>
      <c r="G1211" t="n">
        <v>12.7</v>
      </c>
      <c r="H1211" t="n">
        <v>0</v>
      </c>
      <c r="I1211" t="n">
        <v>0</v>
      </c>
      <c r="J1211" t="n">
        <v>0</v>
      </c>
      <c r="K1211" t="n">
        <v>0</v>
      </c>
      <c r="L1211" t="n">
        <v>0</v>
      </c>
      <c r="M1211" t="n">
        <v>0</v>
      </c>
      <c r="N1211" t="n">
        <v>0</v>
      </c>
      <c r="O1211" t="n">
        <v>0</v>
      </c>
      <c r="P1211" t="n">
        <v>0</v>
      </c>
      <c r="Q1211" t="n">
        <v>0</v>
      </c>
      <c r="R1211" s="2" t="inlineStr"/>
    </row>
    <row r="1212" ht="15" customHeight="1">
      <c r="A1212" t="inlineStr">
        <is>
          <t>A 51843-2023</t>
        </is>
      </c>
      <c r="B1212" s="1" t="n">
        <v>45215</v>
      </c>
      <c r="C1212" s="1" t="n">
        <v>45584</v>
      </c>
      <c r="D1212" t="inlineStr">
        <is>
          <t>UPPSALA LÄN</t>
        </is>
      </c>
      <c r="E1212" t="inlineStr">
        <is>
          <t>UPPSALA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50267-2023</t>
        </is>
      </c>
      <c r="B1213" s="1" t="n">
        <v>45216</v>
      </c>
      <c r="C1213" s="1" t="n">
        <v>45584</v>
      </c>
      <c r="D1213" t="inlineStr">
        <is>
          <t>UPPSALA LÄN</t>
        </is>
      </c>
      <c r="E1213" t="inlineStr">
        <is>
          <t>UPPSALA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50473-2023</t>
        </is>
      </c>
      <c r="B1214" s="1" t="n">
        <v>45216</v>
      </c>
      <c r="C1214" s="1" t="n">
        <v>45584</v>
      </c>
      <c r="D1214" t="inlineStr">
        <is>
          <t>UPPSALA LÄN</t>
        </is>
      </c>
      <c r="E1214" t="inlineStr">
        <is>
          <t>UPPSALA</t>
        </is>
      </c>
      <c r="F1214" t="inlineStr">
        <is>
          <t>Allmännings- och besparingsskogar</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50395-2023</t>
        </is>
      </c>
      <c r="B1215" s="1" t="n">
        <v>45216</v>
      </c>
      <c r="C1215" s="1" t="n">
        <v>45584</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51016-2023</t>
        </is>
      </c>
      <c r="B1216" s="1" t="n">
        <v>45218</v>
      </c>
      <c r="C1216" s="1" t="n">
        <v>45584</v>
      </c>
      <c r="D1216" t="inlineStr">
        <is>
          <t>UPPSALA LÄN</t>
        </is>
      </c>
      <c r="E1216" t="inlineStr">
        <is>
          <t>UPPSALA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51006-2023</t>
        </is>
      </c>
      <c r="B1217" s="1" t="n">
        <v>45218</v>
      </c>
      <c r="C1217" s="1" t="n">
        <v>45584</v>
      </c>
      <c r="D1217" t="inlineStr">
        <is>
          <t>UPPSALA LÄN</t>
        </is>
      </c>
      <c r="E1217" t="inlineStr">
        <is>
          <t>UPPSALA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51542-2023</t>
        </is>
      </c>
      <c r="B1218" s="1" t="n">
        <v>45222</v>
      </c>
      <c r="C1218" s="1" t="n">
        <v>45584</v>
      </c>
      <c r="D1218" t="inlineStr">
        <is>
          <t>UPPSALA LÄN</t>
        </is>
      </c>
      <c r="E1218" t="inlineStr">
        <is>
          <t>UPPSALA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51734-2023</t>
        </is>
      </c>
      <c r="B1219" s="1" t="n">
        <v>45222</v>
      </c>
      <c r="C1219" s="1" t="n">
        <v>45584</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51731-2023</t>
        </is>
      </c>
      <c r="B1220" s="1" t="n">
        <v>45222</v>
      </c>
      <c r="C1220" s="1" t="n">
        <v>45584</v>
      </c>
      <c r="D1220" t="inlineStr">
        <is>
          <t>UPPSALA LÄN</t>
        </is>
      </c>
      <c r="E1220" t="inlineStr">
        <is>
          <t>UPPSALA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51576-2023</t>
        </is>
      </c>
      <c r="B1221" s="1" t="n">
        <v>45222</v>
      </c>
      <c r="C1221" s="1" t="n">
        <v>45584</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51697-2023</t>
        </is>
      </c>
      <c r="B1222" s="1" t="n">
        <v>45222</v>
      </c>
      <c r="C1222" s="1" t="n">
        <v>45584</v>
      </c>
      <c r="D1222" t="inlineStr">
        <is>
          <t>UPPSALA LÄN</t>
        </is>
      </c>
      <c r="E1222" t="inlineStr">
        <is>
          <t>UPPSALA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51935-2023</t>
        </is>
      </c>
      <c r="B1223" s="1" t="n">
        <v>45223</v>
      </c>
      <c r="C1223" s="1" t="n">
        <v>45584</v>
      </c>
      <c r="D1223" t="inlineStr">
        <is>
          <t>UPPSALA LÄN</t>
        </is>
      </c>
      <c r="E1223" t="inlineStr">
        <is>
          <t>UPPSALA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52273-2023</t>
        </is>
      </c>
      <c r="B1224" s="1" t="n">
        <v>45224</v>
      </c>
      <c r="C1224" s="1" t="n">
        <v>45584</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52492-2023</t>
        </is>
      </c>
      <c r="B1225" s="1" t="n">
        <v>45225</v>
      </c>
      <c r="C1225" s="1" t="n">
        <v>45584</v>
      </c>
      <c r="D1225" t="inlineStr">
        <is>
          <t>UPPSALA LÄN</t>
        </is>
      </c>
      <c r="E1225" t="inlineStr">
        <is>
          <t>UPPSALA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52503-2023</t>
        </is>
      </c>
      <c r="B1226" s="1" t="n">
        <v>45225</v>
      </c>
      <c r="C1226" s="1" t="n">
        <v>45584</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52518-2023</t>
        </is>
      </c>
      <c r="B1227" s="1" t="n">
        <v>45225</v>
      </c>
      <c r="C1227" s="1" t="n">
        <v>45584</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53893-2023</t>
        </is>
      </c>
      <c r="B1228" s="1" t="n">
        <v>45231</v>
      </c>
      <c r="C1228" s="1" t="n">
        <v>45584</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53919-2023</t>
        </is>
      </c>
      <c r="B1229" s="1" t="n">
        <v>45231</v>
      </c>
      <c r="C1229" s="1" t="n">
        <v>45584</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53982-2023</t>
        </is>
      </c>
      <c r="B1230" s="1" t="n">
        <v>45231</v>
      </c>
      <c r="C1230" s="1" t="n">
        <v>45584</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53882-2023</t>
        </is>
      </c>
      <c r="B1231" s="1" t="n">
        <v>45231</v>
      </c>
      <c r="C1231" s="1" t="n">
        <v>45584</v>
      </c>
      <c r="D1231" t="inlineStr">
        <is>
          <t>UPPSALA LÄN</t>
        </is>
      </c>
      <c r="E1231" t="inlineStr">
        <is>
          <t>UPPSALA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53900-2023</t>
        </is>
      </c>
      <c r="B1232" s="1" t="n">
        <v>45231</v>
      </c>
      <c r="C1232" s="1" t="n">
        <v>45584</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53963-2023</t>
        </is>
      </c>
      <c r="B1233" s="1" t="n">
        <v>45231</v>
      </c>
      <c r="C1233" s="1" t="n">
        <v>45584</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53967-2023</t>
        </is>
      </c>
      <c r="B1234" s="1" t="n">
        <v>45231</v>
      </c>
      <c r="C1234" s="1" t="n">
        <v>45584</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53803-2023</t>
        </is>
      </c>
      <c r="B1235" s="1" t="n">
        <v>45231</v>
      </c>
      <c r="C1235" s="1" t="n">
        <v>45584</v>
      </c>
      <c r="D1235" t="inlineStr">
        <is>
          <t>UPPSALA LÄN</t>
        </is>
      </c>
      <c r="E1235" t="inlineStr">
        <is>
          <t>UPPSALA</t>
        </is>
      </c>
      <c r="G1235" t="n">
        <v>17.6</v>
      </c>
      <c r="H1235" t="n">
        <v>0</v>
      </c>
      <c r="I1235" t="n">
        <v>0</v>
      </c>
      <c r="J1235" t="n">
        <v>0</v>
      </c>
      <c r="K1235" t="n">
        <v>0</v>
      </c>
      <c r="L1235" t="n">
        <v>0</v>
      </c>
      <c r="M1235" t="n">
        <v>0</v>
      </c>
      <c r="N1235" t="n">
        <v>0</v>
      </c>
      <c r="O1235" t="n">
        <v>0</v>
      </c>
      <c r="P1235" t="n">
        <v>0</v>
      </c>
      <c r="Q1235" t="n">
        <v>0</v>
      </c>
      <c r="R1235" s="2" t="inlineStr"/>
    </row>
    <row r="1236" ht="15" customHeight="1">
      <c r="A1236" t="inlineStr">
        <is>
          <t>A 53906-2023</t>
        </is>
      </c>
      <c r="B1236" s="1" t="n">
        <v>45231</v>
      </c>
      <c r="C1236" s="1" t="n">
        <v>45584</v>
      </c>
      <c r="D1236" t="inlineStr">
        <is>
          <t>UPPSALA LÄN</t>
        </is>
      </c>
      <c r="E1236" t="inlineStr">
        <is>
          <t>UPPSALA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54231-2023</t>
        </is>
      </c>
      <c r="B1237" s="1" t="n">
        <v>45232</v>
      </c>
      <c r="C1237" s="1" t="n">
        <v>45584</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55529-2023</t>
        </is>
      </c>
      <c r="B1238" s="1" t="n">
        <v>45232</v>
      </c>
      <c r="C1238" s="1" t="n">
        <v>45584</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54375-2023</t>
        </is>
      </c>
      <c r="B1239" s="1" t="n">
        <v>45233</v>
      </c>
      <c r="C1239" s="1" t="n">
        <v>45584</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54474-2023</t>
        </is>
      </c>
      <c r="B1240" s="1" t="n">
        <v>45233</v>
      </c>
      <c r="C1240" s="1" t="n">
        <v>45584</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54461-2023</t>
        </is>
      </c>
      <c r="B1241" s="1" t="n">
        <v>45233</v>
      </c>
      <c r="C1241" s="1" t="n">
        <v>45584</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54808-2023</t>
        </is>
      </c>
      <c r="B1242" s="1" t="n">
        <v>45236</v>
      </c>
      <c r="C1242" s="1" t="n">
        <v>45584</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54704-2023</t>
        </is>
      </c>
      <c r="B1243" s="1" t="n">
        <v>45236</v>
      </c>
      <c r="C1243" s="1" t="n">
        <v>45584</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54783-2023</t>
        </is>
      </c>
      <c r="B1244" s="1" t="n">
        <v>45236</v>
      </c>
      <c r="C1244" s="1" t="n">
        <v>45584</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55598-2023</t>
        </is>
      </c>
      <c r="B1245" s="1" t="n">
        <v>45238</v>
      </c>
      <c r="C1245" s="1" t="n">
        <v>45584</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56084-2023</t>
        </is>
      </c>
      <c r="B1246" s="1" t="n">
        <v>45240</v>
      </c>
      <c r="C1246" s="1" t="n">
        <v>45584</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56082-2023</t>
        </is>
      </c>
      <c r="B1247" s="1" t="n">
        <v>45240</v>
      </c>
      <c r="C1247" s="1" t="n">
        <v>45584</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56105-2023</t>
        </is>
      </c>
      <c r="B1248" s="1" t="n">
        <v>45240</v>
      </c>
      <c r="C1248" s="1" t="n">
        <v>45584</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56077-2023</t>
        </is>
      </c>
      <c r="B1249" s="1" t="n">
        <v>45240</v>
      </c>
      <c r="C1249" s="1" t="n">
        <v>45584</v>
      </c>
      <c r="D1249" t="inlineStr">
        <is>
          <t>UPPSALA LÄN</t>
        </is>
      </c>
      <c r="E1249" t="inlineStr">
        <is>
          <t>UPPSALA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56278-2023</t>
        </is>
      </c>
      <c r="B1250" s="1" t="n">
        <v>45241</v>
      </c>
      <c r="C1250" s="1" t="n">
        <v>45584</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56642-2023</t>
        </is>
      </c>
      <c r="B1251" s="1" t="n">
        <v>45243</v>
      </c>
      <c r="C1251" s="1" t="n">
        <v>45584</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56852-2023</t>
        </is>
      </c>
      <c r="B1252" s="1" t="n">
        <v>45244</v>
      </c>
      <c r="C1252" s="1" t="n">
        <v>45584</v>
      </c>
      <c r="D1252" t="inlineStr">
        <is>
          <t>UPPSALA LÄN</t>
        </is>
      </c>
      <c r="E1252" t="inlineStr">
        <is>
          <t>UPPSALA</t>
        </is>
      </c>
      <c r="F1252" t="inlineStr">
        <is>
          <t>Holmen skog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56872-2023</t>
        </is>
      </c>
      <c r="B1253" s="1" t="n">
        <v>45244</v>
      </c>
      <c r="C1253" s="1" t="n">
        <v>45584</v>
      </c>
      <c r="D1253" t="inlineStr">
        <is>
          <t>UPPSALA LÄN</t>
        </is>
      </c>
      <c r="E1253" t="inlineStr">
        <is>
          <t>UPPSALA</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57186-2023</t>
        </is>
      </c>
      <c r="B1254" s="1" t="n">
        <v>45245</v>
      </c>
      <c r="C1254" s="1" t="n">
        <v>45584</v>
      </c>
      <c r="D1254" t="inlineStr">
        <is>
          <t>UPPSALA LÄN</t>
        </is>
      </c>
      <c r="E1254" t="inlineStr">
        <is>
          <t>UPPSALA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57182-2023</t>
        </is>
      </c>
      <c r="B1255" s="1" t="n">
        <v>45245</v>
      </c>
      <c r="C1255" s="1" t="n">
        <v>45584</v>
      </c>
      <c r="D1255" t="inlineStr">
        <is>
          <t>UPPSALA LÄN</t>
        </is>
      </c>
      <c r="E1255" t="inlineStr">
        <is>
          <t>UPPSALA</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59240-2023</t>
        </is>
      </c>
      <c r="B1256" s="1" t="n">
        <v>45253</v>
      </c>
      <c r="C1256" s="1" t="n">
        <v>45584</v>
      </c>
      <c r="D1256" t="inlineStr">
        <is>
          <t>UPPSALA LÄN</t>
        </is>
      </c>
      <c r="E1256" t="inlineStr">
        <is>
          <t>UPPSALA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59511-2023</t>
        </is>
      </c>
      <c r="B1257" s="1" t="n">
        <v>45254</v>
      </c>
      <c r="C1257" s="1" t="n">
        <v>45584</v>
      </c>
      <c r="D1257" t="inlineStr">
        <is>
          <t>UPPSALA LÄN</t>
        </is>
      </c>
      <c r="E1257" t="inlineStr">
        <is>
          <t>UPPSALA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59521-2023</t>
        </is>
      </c>
      <c r="B1258" s="1" t="n">
        <v>45254</v>
      </c>
      <c r="C1258" s="1" t="n">
        <v>45584</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59564-2023</t>
        </is>
      </c>
      <c r="B1259" s="1" t="n">
        <v>45254</v>
      </c>
      <c r="C1259" s="1" t="n">
        <v>45584</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59570-2023</t>
        </is>
      </c>
      <c r="B1260" s="1" t="n">
        <v>45254</v>
      </c>
      <c r="C1260" s="1" t="n">
        <v>45584</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59585-2023</t>
        </is>
      </c>
      <c r="B1261" s="1" t="n">
        <v>45254</v>
      </c>
      <c r="C1261" s="1" t="n">
        <v>45584</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59489-2023</t>
        </is>
      </c>
      <c r="B1262" s="1" t="n">
        <v>45254</v>
      </c>
      <c r="C1262" s="1" t="n">
        <v>45584</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59856-2023</t>
        </is>
      </c>
      <c r="B1263" s="1" t="n">
        <v>45257</v>
      </c>
      <c r="C1263" s="1" t="n">
        <v>45584</v>
      </c>
      <c r="D1263" t="inlineStr">
        <is>
          <t>UPPSALA LÄN</t>
        </is>
      </c>
      <c r="E1263" t="inlineStr">
        <is>
          <t>UPPSALA</t>
        </is>
      </c>
      <c r="F1263" t="inlineStr">
        <is>
          <t>Allmännings- och besparingsskogar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59810-2023</t>
        </is>
      </c>
      <c r="B1264" s="1" t="n">
        <v>45257</v>
      </c>
      <c r="C1264" s="1" t="n">
        <v>45584</v>
      </c>
      <c r="D1264" t="inlineStr">
        <is>
          <t>UPPSALA LÄN</t>
        </is>
      </c>
      <c r="E1264" t="inlineStr">
        <is>
          <t>UPPSALA</t>
        </is>
      </c>
      <c r="F1264" t="inlineStr">
        <is>
          <t>Allmännings- och besparingsskogar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60444-2023</t>
        </is>
      </c>
      <c r="B1265" s="1" t="n">
        <v>45259</v>
      </c>
      <c r="C1265" s="1" t="n">
        <v>45584</v>
      </c>
      <c r="D1265" t="inlineStr">
        <is>
          <t>UPPSALA LÄN</t>
        </is>
      </c>
      <c r="E1265" t="inlineStr">
        <is>
          <t>UPPSALA</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60447-2023</t>
        </is>
      </c>
      <c r="B1266" s="1" t="n">
        <v>45259</v>
      </c>
      <c r="C1266" s="1" t="n">
        <v>45584</v>
      </c>
      <c r="D1266" t="inlineStr">
        <is>
          <t>UPPSALA LÄN</t>
        </is>
      </c>
      <c r="E1266" t="inlineStr">
        <is>
          <t>UPPSALA</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60714-2023</t>
        </is>
      </c>
      <c r="B1267" s="1" t="n">
        <v>45259</v>
      </c>
      <c r="C1267" s="1" t="n">
        <v>45584</v>
      </c>
      <c r="D1267" t="inlineStr">
        <is>
          <t>UPPSALA LÄN</t>
        </is>
      </c>
      <c r="E1267" t="inlineStr">
        <is>
          <t>UPPSALA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60814-2023</t>
        </is>
      </c>
      <c r="B1268" s="1" t="n">
        <v>45259</v>
      </c>
      <c r="C1268" s="1" t="n">
        <v>45584</v>
      </c>
      <c r="D1268" t="inlineStr">
        <is>
          <t>UPPSALA LÄN</t>
        </is>
      </c>
      <c r="E1268" t="inlineStr">
        <is>
          <t>UPPSALA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60781-2023</t>
        </is>
      </c>
      <c r="B1269" s="1" t="n">
        <v>45259</v>
      </c>
      <c r="C1269" s="1" t="n">
        <v>45584</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61067-2023</t>
        </is>
      </c>
      <c r="B1270" s="1" t="n">
        <v>45259</v>
      </c>
      <c r="C1270" s="1" t="n">
        <v>45584</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60707-2023</t>
        </is>
      </c>
      <c r="B1271" s="1" t="n">
        <v>45260</v>
      </c>
      <c r="C1271" s="1" t="n">
        <v>45584</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61947-2023</t>
        </is>
      </c>
      <c r="B1272" s="1" t="n">
        <v>45266</v>
      </c>
      <c r="C1272" s="1" t="n">
        <v>45584</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62287-2023</t>
        </is>
      </c>
      <c r="B1273" s="1" t="n">
        <v>45267</v>
      </c>
      <c r="C1273" s="1" t="n">
        <v>45584</v>
      </c>
      <c r="D1273" t="inlineStr">
        <is>
          <t>UPPSALA LÄN</t>
        </is>
      </c>
      <c r="E1273" t="inlineStr">
        <is>
          <t>UPPSALA</t>
        </is>
      </c>
      <c r="F1273" t="inlineStr">
        <is>
          <t>Allmännings- och besparingsskogar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62627-2023</t>
        </is>
      </c>
      <c r="B1274" s="1" t="n">
        <v>45268</v>
      </c>
      <c r="C1274" s="1" t="n">
        <v>45584</v>
      </c>
      <c r="D1274" t="inlineStr">
        <is>
          <t>UPPSALA LÄN</t>
        </is>
      </c>
      <c r="E1274" t="inlineStr">
        <is>
          <t>UPPSALA</t>
        </is>
      </c>
      <c r="G1274" t="n">
        <v>7.6</v>
      </c>
      <c r="H1274" t="n">
        <v>0</v>
      </c>
      <c r="I1274" t="n">
        <v>0</v>
      </c>
      <c r="J1274" t="n">
        <v>0</v>
      </c>
      <c r="K1274" t="n">
        <v>0</v>
      </c>
      <c r="L1274" t="n">
        <v>0</v>
      </c>
      <c r="M1274" t="n">
        <v>0</v>
      </c>
      <c r="N1274" t="n">
        <v>0</v>
      </c>
      <c r="O1274" t="n">
        <v>0</v>
      </c>
      <c r="P1274" t="n">
        <v>0</v>
      </c>
      <c r="Q1274" t="n">
        <v>0</v>
      </c>
      <c r="R1274" s="2" t="inlineStr"/>
      <c r="U1274">
        <f>HYPERLINK("https://klasma.github.io/Logging_0380/knärot/A 62627-2023 karta knärot.png", "A 62627-2023")</f>
        <v/>
      </c>
      <c r="V1274">
        <f>HYPERLINK("https://klasma.github.io/Logging_0380/klagomål/A 62627-2023 FSC-klagomål.docx", "A 62627-2023")</f>
        <v/>
      </c>
      <c r="W1274">
        <f>HYPERLINK("https://klasma.github.io/Logging_0380/klagomålsmail/A 62627-2023 FSC-klagomål mail.docx", "A 62627-2023")</f>
        <v/>
      </c>
      <c r="X1274">
        <f>HYPERLINK("https://klasma.github.io/Logging_0380/tillsyn/A 62627-2023 tillsynsbegäran.docx", "A 62627-2023")</f>
        <v/>
      </c>
      <c r="Y1274">
        <f>HYPERLINK("https://klasma.github.io/Logging_0380/tillsynsmail/A 62627-2023 tillsynsbegäran mail.docx", "A 62627-2023")</f>
        <v/>
      </c>
    </row>
    <row r="1275" ht="15" customHeight="1">
      <c r="A1275" t="inlineStr">
        <is>
          <t>A 62636-2023</t>
        </is>
      </c>
      <c r="B1275" s="1" t="n">
        <v>45268</v>
      </c>
      <c r="C1275" s="1" t="n">
        <v>45584</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62691-2023</t>
        </is>
      </c>
      <c r="B1276" s="1" t="n">
        <v>45268</v>
      </c>
      <c r="C1276" s="1" t="n">
        <v>45584</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62694-2023</t>
        </is>
      </c>
      <c r="B1277" s="1" t="n">
        <v>45268</v>
      </c>
      <c r="C1277" s="1" t="n">
        <v>45584</v>
      </c>
      <c r="D1277" t="inlineStr">
        <is>
          <t>UPPSALA LÄN</t>
        </is>
      </c>
      <c r="E1277" t="inlineStr">
        <is>
          <t>UPPSALA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62714-2023</t>
        </is>
      </c>
      <c r="B1278" s="1" t="n">
        <v>45271</v>
      </c>
      <c r="C1278" s="1" t="n">
        <v>45584</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63163-2023</t>
        </is>
      </c>
      <c r="B1279" s="1" t="n">
        <v>45273</v>
      </c>
      <c r="C1279" s="1" t="n">
        <v>45584</v>
      </c>
      <c r="D1279" t="inlineStr">
        <is>
          <t>UPPSALA LÄN</t>
        </is>
      </c>
      <c r="E1279" t="inlineStr">
        <is>
          <t>UPPSALA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63578-2023</t>
        </is>
      </c>
      <c r="B1280" s="1" t="n">
        <v>45275</v>
      </c>
      <c r="C1280" s="1" t="n">
        <v>45584</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63579-2023</t>
        </is>
      </c>
      <c r="B1281" s="1" t="n">
        <v>45275</v>
      </c>
      <c r="C1281" s="1" t="n">
        <v>45584</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63576-2023</t>
        </is>
      </c>
      <c r="B1282" s="1" t="n">
        <v>45275</v>
      </c>
      <c r="C1282" s="1" t="n">
        <v>45584</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63588-2023</t>
        </is>
      </c>
      <c r="B1283" s="1" t="n">
        <v>45275</v>
      </c>
      <c r="C1283" s="1" t="n">
        <v>45584</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63698-2023</t>
        </is>
      </c>
      <c r="B1284" s="1" t="n">
        <v>45275</v>
      </c>
      <c r="C1284" s="1" t="n">
        <v>45584</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64079-2023</t>
        </is>
      </c>
      <c r="B1285" s="1" t="n">
        <v>45279</v>
      </c>
      <c r="C1285" s="1" t="n">
        <v>45584</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64806-2023</t>
        </is>
      </c>
      <c r="B1286" s="1" t="n">
        <v>45282</v>
      </c>
      <c r="C1286" s="1" t="n">
        <v>45584</v>
      </c>
      <c r="D1286" t="inlineStr">
        <is>
          <t>UPPSALA LÄN</t>
        </is>
      </c>
      <c r="E1286" t="inlineStr">
        <is>
          <t>UPPSALA</t>
        </is>
      </c>
      <c r="F1286" t="inlineStr">
        <is>
          <t>Kyrkan</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64880-2023</t>
        </is>
      </c>
      <c r="B1287" s="1" t="n">
        <v>45282</v>
      </c>
      <c r="C1287" s="1" t="n">
        <v>45584</v>
      </c>
      <c r="D1287" t="inlineStr">
        <is>
          <t>UPPSALA LÄN</t>
        </is>
      </c>
      <c r="E1287" t="inlineStr">
        <is>
          <t>UPPSALA</t>
        </is>
      </c>
      <c r="F1287" t="inlineStr">
        <is>
          <t>Kommuner</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65149-2023</t>
        </is>
      </c>
      <c r="B1288" s="1" t="n">
        <v>45288</v>
      </c>
      <c r="C1288" s="1" t="n">
        <v>45584</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45-2024</t>
        </is>
      </c>
      <c r="B1289" s="1" t="n">
        <v>45293</v>
      </c>
      <c r="C1289" s="1" t="n">
        <v>45584</v>
      </c>
      <c r="D1289" t="inlineStr">
        <is>
          <t>UPPSALA LÄN</t>
        </is>
      </c>
      <c r="E1289" t="inlineStr">
        <is>
          <t>UPPSALA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43-2024</t>
        </is>
      </c>
      <c r="B1290" s="1" t="n">
        <v>45293</v>
      </c>
      <c r="C1290" s="1" t="n">
        <v>45584</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v>
      </c>
      <c r="C1291" s="1" t="n">
        <v>45584</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341-2024</t>
        </is>
      </c>
      <c r="B1292" s="1" t="n">
        <v>45295</v>
      </c>
      <c r="C1292" s="1" t="n">
        <v>45584</v>
      </c>
      <c r="D1292" t="inlineStr">
        <is>
          <t>UPPSALA LÄN</t>
        </is>
      </c>
      <c r="E1292" t="inlineStr">
        <is>
          <t>UPPSALA</t>
        </is>
      </c>
      <c r="F1292" t="inlineStr">
        <is>
          <t>Allmännings- och besparingsskogar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358-2024</t>
        </is>
      </c>
      <c r="B1293" s="1" t="n">
        <v>45295</v>
      </c>
      <c r="C1293" s="1" t="n">
        <v>45584</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446-2024</t>
        </is>
      </c>
      <c r="B1294" s="1" t="n">
        <v>45296</v>
      </c>
      <c r="C1294" s="1" t="n">
        <v>45584</v>
      </c>
      <c r="D1294" t="inlineStr">
        <is>
          <t>UPPSALA LÄN</t>
        </is>
      </c>
      <c r="E1294" t="inlineStr">
        <is>
          <t>UPPSALA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449-2024</t>
        </is>
      </c>
      <c r="B1295" s="1" t="n">
        <v>45296</v>
      </c>
      <c r="C1295" s="1" t="n">
        <v>45584</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c r="U1295">
        <f>HYPERLINK("https://klasma.github.io/Logging_0380/knärot/A 449-2024 karta knärot.png", "A 449-2024")</f>
        <v/>
      </c>
      <c r="V1295">
        <f>HYPERLINK("https://klasma.github.io/Logging_0380/klagomål/A 449-2024 FSC-klagomål.docx", "A 449-2024")</f>
        <v/>
      </c>
      <c r="W1295">
        <f>HYPERLINK("https://klasma.github.io/Logging_0380/klagomålsmail/A 449-2024 FSC-klagomål mail.docx", "A 449-2024")</f>
        <v/>
      </c>
      <c r="X1295">
        <f>HYPERLINK("https://klasma.github.io/Logging_0380/tillsyn/A 449-2024 tillsynsbegäran.docx", "A 449-2024")</f>
        <v/>
      </c>
      <c r="Y1295">
        <f>HYPERLINK("https://klasma.github.io/Logging_0380/tillsynsmail/A 449-2024 tillsynsbegäran mail.docx", "A 449-2024")</f>
        <v/>
      </c>
    </row>
    <row r="1296" ht="15" customHeight="1">
      <c r="A1296" t="inlineStr">
        <is>
          <t>A 600-2024</t>
        </is>
      </c>
      <c r="B1296" s="1" t="n">
        <v>45299</v>
      </c>
      <c r="C1296" s="1" t="n">
        <v>45584</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787-2024</t>
        </is>
      </c>
      <c r="B1297" s="1" t="n">
        <v>45300</v>
      </c>
      <c r="C1297" s="1" t="n">
        <v>45584</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784-2024</t>
        </is>
      </c>
      <c r="B1298" s="1" t="n">
        <v>45300</v>
      </c>
      <c r="C1298" s="1" t="n">
        <v>45584</v>
      </c>
      <c r="D1298" t="inlineStr">
        <is>
          <t>UPPSALA LÄN</t>
        </is>
      </c>
      <c r="E1298" t="inlineStr">
        <is>
          <t>UPPSALA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781-2024</t>
        </is>
      </c>
      <c r="B1299" s="1" t="n">
        <v>45300</v>
      </c>
      <c r="C1299" s="1" t="n">
        <v>45584</v>
      </c>
      <c r="D1299" t="inlineStr">
        <is>
          <t>UPPSALA LÄN</t>
        </is>
      </c>
      <c r="E1299" t="inlineStr">
        <is>
          <t>UPPSALA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1825-2024</t>
        </is>
      </c>
      <c r="B1300" s="1" t="n">
        <v>45307</v>
      </c>
      <c r="C1300" s="1" t="n">
        <v>45584</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1806-2024</t>
        </is>
      </c>
      <c r="B1301" s="1" t="n">
        <v>45307</v>
      </c>
      <c r="C1301" s="1" t="n">
        <v>45584</v>
      </c>
      <c r="D1301" t="inlineStr">
        <is>
          <t>UPPSALA LÄN</t>
        </is>
      </c>
      <c r="E1301" t="inlineStr">
        <is>
          <t>UPPSALA</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1838-2024</t>
        </is>
      </c>
      <c r="B1302" s="1" t="n">
        <v>45307</v>
      </c>
      <c r="C1302" s="1" t="n">
        <v>45584</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1994-2024</t>
        </is>
      </c>
      <c r="B1303" s="1" t="n">
        <v>45308</v>
      </c>
      <c r="C1303" s="1" t="n">
        <v>45584</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2294-2024</t>
        </is>
      </c>
      <c r="B1304" s="1" t="n">
        <v>45310</v>
      </c>
      <c r="C1304" s="1" t="n">
        <v>45584</v>
      </c>
      <c r="D1304" t="inlineStr">
        <is>
          <t>UPPSALA LÄN</t>
        </is>
      </c>
      <c r="E1304" t="inlineStr">
        <is>
          <t>UPPSALA</t>
        </is>
      </c>
      <c r="F1304" t="inlineStr">
        <is>
          <t>Allmännings- och besparingsskogar</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2327-2024</t>
        </is>
      </c>
      <c r="B1305" s="1" t="n">
        <v>45310</v>
      </c>
      <c r="C1305" s="1" t="n">
        <v>45584</v>
      </c>
      <c r="D1305" t="inlineStr">
        <is>
          <t>UPPSALA LÄN</t>
        </is>
      </c>
      <c r="E1305" t="inlineStr">
        <is>
          <t>UPPSALA</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2339-2024</t>
        </is>
      </c>
      <c r="B1306" s="1" t="n">
        <v>45310</v>
      </c>
      <c r="C1306" s="1" t="n">
        <v>45584</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2357-2024</t>
        </is>
      </c>
      <c r="B1307" s="1" t="n">
        <v>45310</v>
      </c>
      <c r="C1307" s="1" t="n">
        <v>45584</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2740-2024</t>
        </is>
      </c>
      <c r="B1308" s="1" t="n">
        <v>45314</v>
      </c>
      <c r="C1308" s="1" t="n">
        <v>45584</v>
      </c>
      <c r="D1308" t="inlineStr">
        <is>
          <t>UPPSALA LÄN</t>
        </is>
      </c>
      <c r="E1308" t="inlineStr">
        <is>
          <t>UPPSALA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2735-2024</t>
        </is>
      </c>
      <c r="B1309" s="1" t="n">
        <v>45314</v>
      </c>
      <c r="C1309" s="1" t="n">
        <v>45584</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2769-2024</t>
        </is>
      </c>
      <c r="B1310" s="1" t="n">
        <v>45314</v>
      </c>
      <c r="C1310" s="1" t="n">
        <v>45584</v>
      </c>
      <c r="D1310" t="inlineStr">
        <is>
          <t>UPPSALA LÄN</t>
        </is>
      </c>
      <c r="E1310" t="inlineStr">
        <is>
          <t>UPPSALA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2785-2024</t>
        </is>
      </c>
      <c r="B1311" s="1" t="n">
        <v>45314</v>
      </c>
      <c r="C1311" s="1" t="n">
        <v>45584</v>
      </c>
      <c r="D1311" t="inlineStr">
        <is>
          <t>UPPSALA LÄN</t>
        </is>
      </c>
      <c r="E1311" t="inlineStr">
        <is>
          <t>UPPSALA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3175-2024</t>
        </is>
      </c>
      <c r="B1312" s="1" t="n">
        <v>45316</v>
      </c>
      <c r="C1312" s="1" t="n">
        <v>45584</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3183-2024</t>
        </is>
      </c>
      <c r="B1313" s="1" t="n">
        <v>45316</v>
      </c>
      <c r="C1313" s="1" t="n">
        <v>45584</v>
      </c>
      <c r="D1313" t="inlineStr">
        <is>
          <t>UPPSALA LÄN</t>
        </is>
      </c>
      <c r="E1313" t="inlineStr">
        <is>
          <t>UPPSALA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3261-2024</t>
        </is>
      </c>
      <c r="B1314" s="1" t="n">
        <v>45317</v>
      </c>
      <c r="C1314" s="1" t="n">
        <v>45584</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3260-2024</t>
        </is>
      </c>
      <c r="B1315" s="1" t="n">
        <v>45317</v>
      </c>
      <c r="C1315" s="1" t="n">
        <v>45584</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3813-2024</t>
        </is>
      </c>
      <c r="B1316" s="1" t="n">
        <v>45321</v>
      </c>
      <c r="C1316" s="1" t="n">
        <v>45584</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4065-2024</t>
        </is>
      </c>
      <c r="B1317" s="1" t="n">
        <v>45323</v>
      </c>
      <c r="C1317" s="1" t="n">
        <v>45584</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4216-2024</t>
        </is>
      </c>
      <c r="B1318" s="1" t="n">
        <v>45324</v>
      </c>
      <c r="C1318" s="1" t="n">
        <v>45584</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4412-2024</t>
        </is>
      </c>
      <c r="B1319" s="1" t="n">
        <v>45327</v>
      </c>
      <c r="C1319" s="1" t="n">
        <v>45584</v>
      </c>
      <c r="D1319" t="inlineStr">
        <is>
          <t>UPPSALA LÄN</t>
        </is>
      </c>
      <c r="E1319" t="inlineStr">
        <is>
          <t>UPPSALA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4425-2024</t>
        </is>
      </c>
      <c r="B1320" s="1" t="n">
        <v>45327</v>
      </c>
      <c r="C1320" s="1" t="n">
        <v>45584</v>
      </c>
      <c r="D1320" t="inlineStr">
        <is>
          <t>UPPSALA LÄN</t>
        </is>
      </c>
      <c r="E1320" t="inlineStr">
        <is>
          <t>UPPSALA</t>
        </is>
      </c>
      <c r="F1320" t="inlineStr">
        <is>
          <t>Allmännings- och besparingsskogar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4461-2024</t>
        </is>
      </c>
      <c r="B1321" s="1" t="n">
        <v>45327</v>
      </c>
      <c r="C1321" s="1" t="n">
        <v>45584</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4503-2024</t>
        </is>
      </c>
      <c r="B1322" s="1" t="n">
        <v>45327</v>
      </c>
      <c r="C1322" s="1" t="n">
        <v>45584</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4509-2024</t>
        </is>
      </c>
      <c r="B1323" s="1" t="n">
        <v>45327</v>
      </c>
      <c r="C1323" s="1" t="n">
        <v>45584</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4980-2024</t>
        </is>
      </c>
      <c r="B1324" s="1" t="n">
        <v>45329</v>
      </c>
      <c r="C1324" s="1" t="n">
        <v>45584</v>
      </c>
      <c r="D1324" t="inlineStr">
        <is>
          <t>UPPSALA LÄN</t>
        </is>
      </c>
      <c r="E1324" t="inlineStr">
        <is>
          <t>UPPSALA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5475-2024</t>
        </is>
      </c>
      <c r="B1325" s="1" t="n">
        <v>45333</v>
      </c>
      <c r="C1325" s="1" t="n">
        <v>45584</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5848-2024</t>
        </is>
      </c>
      <c r="B1326" s="1" t="n">
        <v>45335</v>
      </c>
      <c r="C1326" s="1" t="n">
        <v>45584</v>
      </c>
      <c r="D1326" t="inlineStr">
        <is>
          <t>UPPSALA LÄN</t>
        </is>
      </c>
      <c r="E1326" t="inlineStr">
        <is>
          <t>UPPSALA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5899-2024</t>
        </is>
      </c>
      <c r="B1327" s="1" t="n">
        <v>45335</v>
      </c>
      <c r="C1327" s="1" t="n">
        <v>45584</v>
      </c>
      <c r="D1327" t="inlineStr">
        <is>
          <t>UPPSALA LÄN</t>
        </is>
      </c>
      <c r="E1327" t="inlineStr">
        <is>
          <t>UPPSALA</t>
        </is>
      </c>
      <c r="F1327" t="inlineStr">
        <is>
          <t>Allmännings- och besparingsskogar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5876-2024</t>
        </is>
      </c>
      <c r="B1328" s="1" t="n">
        <v>45335</v>
      </c>
      <c r="C1328" s="1" t="n">
        <v>45584</v>
      </c>
      <c r="D1328" t="inlineStr">
        <is>
          <t>UPPSALA LÄN</t>
        </is>
      </c>
      <c r="E1328" t="inlineStr">
        <is>
          <t>UPPSALA</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5896-2024</t>
        </is>
      </c>
      <c r="B1329" s="1" t="n">
        <v>45335</v>
      </c>
      <c r="C1329" s="1" t="n">
        <v>45584</v>
      </c>
      <c r="D1329" t="inlineStr">
        <is>
          <t>UPPSALA LÄN</t>
        </is>
      </c>
      <c r="E1329" t="inlineStr">
        <is>
          <t>UPPSALA</t>
        </is>
      </c>
      <c r="F1329" t="inlineStr">
        <is>
          <t>Allmännings- och besparingsskogar</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5974-2024</t>
        </is>
      </c>
      <c r="B1330" s="1" t="n">
        <v>45336</v>
      </c>
      <c r="C1330" s="1" t="n">
        <v>45584</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5975-2024</t>
        </is>
      </c>
      <c r="B1331" s="1" t="n">
        <v>45336</v>
      </c>
      <c r="C1331" s="1" t="n">
        <v>45584</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6024-2024</t>
        </is>
      </c>
      <c r="B1332" s="1" t="n">
        <v>45336</v>
      </c>
      <c r="C1332" s="1" t="n">
        <v>45584</v>
      </c>
      <c r="D1332" t="inlineStr">
        <is>
          <t>UPPSALA LÄN</t>
        </is>
      </c>
      <c r="E1332" t="inlineStr">
        <is>
          <t>UPPSALA</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6199-2024</t>
        </is>
      </c>
      <c r="B1333" s="1" t="n">
        <v>45337</v>
      </c>
      <c r="C1333" s="1" t="n">
        <v>45584</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6211-2024</t>
        </is>
      </c>
      <c r="B1334" s="1" t="n">
        <v>45337</v>
      </c>
      <c r="C1334" s="1" t="n">
        <v>45584</v>
      </c>
      <c r="D1334" t="inlineStr">
        <is>
          <t>UPPSALA LÄN</t>
        </is>
      </c>
      <c r="E1334" t="inlineStr">
        <is>
          <t>UPPSALA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6098-2024</t>
        </is>
      </c>
      <c r="B1335" s="1" t="n">
        <v>45337</v>
      </c>
      <c r="C1335" s="1" t="n">
        <v>45584</v>
      </c>
      <c r="D1335" t="inlineStr">
        <is>
          <t>UPPSALA LÄN</t>
        </is>
      </c>
      <c r="E1335" t="inlineStr">
        <is>
          <t>UPPSALA</t>
        </is>
      </c>
      <c r="F1335" t="inlineStr">
        <is>
          <t>Övriga Aktiebolag</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6363-2024</t>
        </is>
      </c>
      <c r="B1336" s="1" t="n">
        <v>45338</v>
      </c>
      <c r="C1336" s="1" t="n">
        <v>45584</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6501-2024</t>
        </is>
      </c>
      <c r="B1337" s="1" t="n">
        <v>45339</v>
      </c>
      <c r="C1337" s="1" t="n">
        <v>45584</v>
      </c>
      <c r="D1337" t="inlineStr">
        <is>
          <t>UPPSALA LÄN</t>
        </is>
      </c>
      <c r="E1337" t="inlineStr">
        <is>
          <t>UPPSALA</t>
        </is>
      </c>
      <c r="F1337" t="inlineStr">
        <is>
          <t>Bergvik skog öst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6506-2024</t>
        </is>
      </c>
      <c r="B1338" s="1" t="n">
        <v>45339</v>
      </c>
      <c r="C1338" s="1" t="n">
        <v>45584</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6505-2024</t>
        </is>
      </c>
      <c r="B1339" s="1" t="n">
        <v>45339</v>
      </c>
      <c r="C1339" s="1" t="n">
        <v>45584</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6500-2024</t>
        </is>
      </c>
      <c r="B1340" s="1" t="n">
        <v>45339</v>
      </c>
      <c r="C1340" s="1" t="n">
        <v>45584</v>
      </c>
      <c r="D1340" t="inlineStr">
        <is>
          <t>UPPSALA LÄN</t>
        </is>
      </c>
      <c r="E1340" t="inlineStr">
        <is>
          <t>UPPSALA</t>
        </is>
      </c>
      <c r="F1340" t="inlineStr">
        <is>
          <t>Bergvik skog öst AB</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6504-2024</t>
        </is>
      </c>
      <c r="B1341" s="1" t="n">
        <v>45339</v>
      </c>
      <c r="C1341" s="1" t="n">
        <v>45584</v>
      </c>
      <c r="D1341" t="inlineStr">
        <is>
          <t>UPPSALA LÄN</t>
        </is>
      </c>
      <c r="E1341" t="inlineStr">
        <is>
          <t>UPPSALA</t>
        </is>
      </c>
      <c r="F1341" t="inlineStr">
        <is>
          <t>Bergvik skog öst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6503-2024</t>
        </is>
      </c>
      <c r="B1342" s="1" t="n">
        <v>45339</v>
      </c>
      <c r="C1342" s="1" t="n">
        <v>45584</v>
      </c>
      <c r="D1342" t="inlineStr">
        <is>
          <t>UPPSALA LÄN</t>
        </is>
      </c>
      <c r="E1342" t="inlineStr">
        <is>
          <t>UPPSALA</t>
        </is>
      </c>
      <c r="F1342" t="inlineStr">
        <is>
          <t>Bergvik skog öst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6507-2024</t>
        </is>
      </c>
      <c r="B1343" s="1" t="n">
        <v>45339</v>
      </c>
      <c r="C1343" s="1" t="n">
        <v>45584</v>
      </c>
      <c r="D1343" t="inlineStr">
        <is>
          <t>UPPSALA LÄN</t>
        </is>
      </c>
      <c r="E1343" t="inlineStr">
        <is>
          <t>UPPSALA</t>
        </is>
      </c>
      <c r="F1343" t="inlineStr">
        <is>
          <t>Bergvik skog öst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6628-2024</t>
        </is>
      </c>
      <c r="B1344" s="1" t="n">
        <v>45341</v>
      </c>
      <c r="C1344" s="1" t="n">
        <v>45584</v>
      </c>
      <c r="D1344" t="inlineStr">
        <is>
          <t>UPPSALA LÄN</t>
        </is>
      </c>
      <c r="E1344" t="inlineStr">
        <is>
          <t>UPPSALA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6630-2024</t>
        </is>
      </c>
      <c r="B1345" s="1" t="n">
        <v>45341</v>
      </c>
      <c r="C1345" s="1" t="n">
        <v>45584</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6650-2024</t>
        </is>
      </c>
      <c r="B1346" s="1" t="n">
        <v>45341</v>
      </c>
      <c r="C1346" s="1" t="n">
        <v>45584</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6676-2024</t>
        </is>
      </c>
      <c r="B1347" s="1" t="n">
        <v>45341</v>
      </c>
      <c r="C1347" s="1" t="n">
        <v>45584</v>
      </c>
      <c r="D1347" t="inlineStr">
        <is>
          <t>UPPSALA LÄN</t>
        </is>
      </c>
      <c r="E1347" t="inlineStr">
        <is>
          <t>UPPSALA</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6609-2024</t>
        </is>
      </c>
      <c r="B1348" s="1" t="n">
        <v>45341</v>
      </c>
      <c r="C1348" s="1" t="n">
        <v>45584</v>
      </c>
      <c r="D1348" t="inlineStr">
        <is>
          <t>UPPSALA LÄN</t>
        </is>
      </c>
      <c r="E1348" t="inlineStr">
        <is>
          <t>UPPSALA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6679-2024</t>
        </is>
      </c>
      <c r="B1349" s="1" t="n">
        <v>45341</v>
      </c>
      <c r="C1349" s="1" t="n">
        <v>45584</v>
      </c>
      <c r="D1349" t="inlineStr">
        <is>
          <t>UPPSALA LÄN</t>
        </is>
      </c>
      <c r="E1349" t="inlineStr">
        <is>
          <t>UPPSALA</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6677-2024</t>
        </is>
      </c>
      <c r="B1350" s="1" t="n">
        <v>45341</v>
      </c>
      <c r="C1350" s="1" t="n">
        <v>45584</v>
      </c>
      <c r="D1350" t="inlineStr">
        <is>
          <t>UPPSALA LÄN</t>
        </is>
      </c>
      <c r="E1350" t="inlineStr">
        <is>
          <t>UPPSALA</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6678-2024</t>
        </is>
      </c>
      <c r="B1351" s="1" t="n">
        <v>45341</v>
      </c>
      <c r="C1351" s="1" t="n">
        <v>45584</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6966-2024</t>
        </is>
      </c>
      <c r="B1352" s="1" t="n">
        <v>45343</v>
      </c>
      <c r="C1352" s="1" t="n">
        <v>45584</v>
      </c>
      <c r="D1352" t="inlineStr">
        <is>
          <t>UPPSALA LÄN</t>
        </is>
      </c>
      <c r="E1352" t="inlineStr">
        <is>
          <t>UPPSALA</t>
        </is>
      </c>
      <c r="F1352" t="inlineStr">
        <is>
          <t>Holmen skog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7253-2024</t>
        </is>
      </c>
      <c r="B1353" s="1" t="n">
        <v>45344</v>
      </c>
      <c r="C1353" s="1" t="n">
        <v>45584</v>
      </c>
      <c r="D1353" t="inlineStr">
        <is>
          <t>UPPSALA LÄN</t>
        </is>
      </c>
      <c r="E1353" t="inlineStr">
        <is>
          <t>UPPSALA</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7158-2024</t>
        </is>
      </c>
      <c r="B1354" s="1" t="n">
        <v>45344</v>
      </c>
      <c r="C1354" s="1" t="n">
        <v>45584</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7175-2024</t>
        </is>
      </c>
      <c r="B1355" s="1" t="n">
        <v>45344</v>
      </c>
      <c r="C1355" s="1" t="n">
        <v>45584</v>
      </c>
      <c r="D1355" t="inlineStr">
        <is>
          <t>UPPSALA LÄN</t>
        </is>
      </c>
      <c r="E1355" t="inlineStr">
        <is>
          <t>UPPSALA</t>
        </is>
      </c>
      <c r="F1355" t="inlineStr">
        <is>
          <t>Kyrkan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7275-2024</t>
        </is>
      </c>
      <c r="B1356" s="1" t="n">
        <v>45344</v>
      </c>
      <c r="C1356" s="1" t="n">
        <v>45584</v>
      </c>
      <c r="D1356" t="inlineStr">
        <is>
          <t>UPPSALA LÄN</t>
        </is>
      </c>
      <c r="E1356" t="inlineStr">
        <is>
          <t>UPPSALA</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7226-2024</t>
        </is>
      </c>
      <c r="B1357" s="1" t="n">
        <v>45344</v>
      </c>
      <c r="C1357" s="1" t="n">
        <v>45584</v>
      </c>
      <c r="D1357" t="inlineStr">
        <is>
          <t>UPPSALA LÄN</t>
        </is>
      </c>
      <c r="E1357" t="inlineStr">
        <is>
          <t>UPPSALA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7274-2024</t>
        </is>
      </c>
      <c r="B1358" s="1" t="n">
        <v>45344</v>
      </c>
      <c r="C1358" s="1" t="n">
        <v>45584</v>
      </c>
      <c r="D1358" t="inlineStr">
        <is>
          <t>UPPSALA LÄN</t>
        </is>
      </c>
      <c r="E1358" t="inlineStr">
        <is>
          <t>UPPSALA</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7278-2024</t>
        </is>
      </c>
      <c r="B1359" s="1" t="n">
        <v>45344</v>
      </c>
      <c r="C1359" s="1" t="n">
        <v>45584</v>
      </c>
      <c r="D1359" t="inlineStr">
        <is>
          <t>UPPSALA LÄN</t>
        </is>
      </c>
      <c r="E1359" t="inlineStr">
        <is>
          <t>UPPSALA</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7276-2024</t>
        </is>
      </c>
      <c r="B1360" s="1" t="n">
        <v>45344</v>
      </c>
      <c r="C1360" s="1" t="n">
        <v>45584</v>
      </c>
      <c r="D1360" t="inlineStr">
        <is>
          <t>UPPSALA LÄN</t>
        </is>
      </c>
      <c r="E1360" t="inlineStr">
        <is>
          <t>UPPSALA</t>
        </is>
      </c>
      <c r="F1360" t="inlineStr">
        <is>
          <t>Bergvik skog öst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7389-2024</t>
        </is>
      </c>
      <c r="B1361" s="1" t="n">
        <v>45345</v>
      </c>
      <c r="C1361" s="1" t="n">
        <v>45584</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7390-2024</t>
        </is>
      </c>
      <c r="B1362" s="1" t="n">
        <v>45345</v>
      </c>
      <c r="C1362" s="1" t="n">
        <v>45584</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7400-2024</t>
        </is>
      </c>
      <c r="B1363" s="1" t="n">
        <v>45345</v>
      </c>
      <c r="C1363" s="1" t="n">
        <v>45584</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7388-2024</t>
        </is>
      </c>
      <c r="B1364" s="1" t="n">
        <v>45345</v>
      </c>
      <c r="C1364" s="1" t="n">
        <v>45584</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7407-2024</t>
        </is>
      </c>
      <c r="B1365" s="1" t="n">
        <v>45345</v>
      </c>
      <c r="C1365" s="1" t="n">
        <v>45584</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7403-2024</t>
        </is>
      </c>
      <c r="B1366" s="1" t="n">
        <v>45345</v>
      </c>
      <c r="C1366" s="1" t="n">
        <v>45584</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7649-2024</t>
        </is>
      </c>
      <c r="B1367" s="1" t="n">
        <v>45348</v>
      </c>
      <c r="C1367" s="1" t="n">
        <v>45584</v>
      </c>
      <c r="D1367" t="inlineStr">
        <is>
          <t>UPPSALA LÄN</t>
        </is>
      </c>
      <c r="E1367" t="inlineStr">
        <is>
          <t>UPPSALA</t>
        </is>
      </c>
      <c r="F1367" t="inlineStr">
        <is>
          <t>Kyrkan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7654-2024</t>
        </is>
      </c>
      <c r="B1368" s="1" t="n">
        <v>45348</v>
      </c>
      <c r="C1368" s="1" t="n">
        <v>45584</v>
      </c>
      <c r="D1368" t="inlineStr">
        <is>
          <t>UPPSALA LÄN</t>
        </is>
      </c>
      <c r="E1368" t="inlineStr">
        <is>
          <t>UPPSALA</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7732-2024</t>
        </is>
      </c>
      <c r="B1369" s="1" t="n">
        <v>45349</v>
      </c>
      <c r="C1369" s="1" t="n">
        <v>45584</v>
      </c>
      <c r="D1369" t="inlineStr">
        <is>
          <t>UPPSALA LÄN</t>
        </is>
      </c>
      <c r="E1369" t="inlineStr">
        <is>
          <t>UPPSALA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7727-2024</t>
        </is>
      </c>
      <c r="B1370" s="1" t="n">
        <v>45349</v>
      </c>
      <c r="C1370" s="1" t="n">
        <v>45584</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7750-2024</t>
        </is>
      </c>
      <c r="B1371" s="1" t="n">
        <v>45349</v>
      </c>
      <c r="C1371" s="1" t="n">
        <v>45584</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7974-2024</t>
        </is>
      </c>
      <c r="B1372" s="1" t="n">
        <v>45350</v>
      </c>
      <c r="C1372" s="1" t="n">
        <v>45584</v>
      </c>
      <c r="D1372" t="inlineStr">
        <is>
          <t>UPPSALA LÄN</t>
        </is>
      </c>
      <c r="E1372" t="inlineStr">
        <is>
          <t>UPPSALA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8132-2024</t>
        </is>
      </c>
      <c r="B1373" s="1" t="n">
        <v>45351</v>
      </c>
      <c r="C1373" s="1" t="n">
        <v>45584</v>
      </c>
      <c r="D1373" t="inlineStr">
        <is>
          <t>UPPSALA LÄN</t>
        </is>
      </c>
      <c r="E1373" t="inlineStr">
        <is>
          <t>UPPSALA</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8109-2024</t>
        </is>
      </c>
      <c r="B1374" s="1" t="n">
        <v>45351</v>
      </c>
      <c r="C1374" s="1" t="n">
        <v>45584</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8672-2024</t>
        </is>
      </c>
      <c r="B1375" s="1" t="n">
        <v>45352</v>
      </c>
      <c r="C1375" s="1" t="n">
        <v>45584</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8338-2024</t>
        </is>
      </c>
      <c r="B1376" s="1" t="n">
        <v>45352</v>
      </c>
      <c r="C1376" s="1" t="n">
        <v>45584</v>
      </c>
      <c r="D1376" t="inlineStr">
        <is>
          <t>UPPSALA LÄN</t>
        </is>
      </c>
      <c r="E1376" t="inlineStr">
        <is>
          <t>UPPSALA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9235-2024</t>
        </is>
      </c>
      <c r="B1377" s="1" t="n">
        <v>45357</v>
      </c>
      <c r="C1377" s="1" t="n">
        <v>45584</v>
      </c>
      <c r="D1377" t="inlineStr">
        <is>
          <t>UPPSALA LÄN</t>
        </is>
      </c>
      <c r="E1377" t="inlineStr">
        <is>
          <t>UPPSALA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9201-2024</t>
        </is>
      </c>
      <c r="B1378" s="1" t="n">
        <v>45358</v>
      </c>
      <c r="C1378" s="1" t="n">
        <v>45584</v>
      </c>
      <c r="D1378" t="inlineStr">
        <is>
          <t>UPPSALA LÄN</t>
        </is>
      </c>
      <c r="E1378" t="inlineStr">
        <is>
          <t>UPPSALA</t>
        </is>
      </c>
      <c r="F1378" t="inlineStr">
        <is>
          <t>Allmännings- och besparingsskogar</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9195-2024</t>
        </is>
      </c>
      <c r="B1379" s="1" t="n">
        <v>45358</v>
      </c>
      <c r="C1379" s="1" t="n">
        <v>45584</v>
      </c>
      <c r="D1379" t="inlineStr">
        <is>
          <t>UPPSALA LÄN</t>
        </is>
      </c>
      <c r="E1379" t="inlineStr">
        <is>
          <t>UPPSALA</t>
        </is>
      </c>
      <c r="F1379" t="inlineStr">
        <is>
          <t>Allmännings- och besparingsskogar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9255-2024</t>
        </is>
      </c>
      <c r="B1380" s="1" t="n">
        <v>45358</v>
      </c>
      <c r="C1380" s="1" t="n">
        <v>45584</v>
      </c>
      <c r="D1380" t="inlineStr">
        <is>
          <t>UPPSALA LÄN</t>
        </is>
      </c>
      <c r="E1380" t="inlineStr">
        <is>
          <t>UPPSALA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9428-2024</t>
        </is>
      </c>
      <c r="B1381" s="1" t="n">
        <v>45359</v>
      </c>
      <c r="C1381" s="1" t="n">
        <v>45584</v>
      </c>
      <c r="D1381" t="inlineStr">
        <is>
          <t>UPPSALA LÄN</t>
        </is>
      </c>
      <c r="E1381" t="inlineStr">
        <is>
          <t>UPPSALA</t>
        </is>
      </c>
      <c r="F1381" t="inlineStr">
        <is>
          <t>Bergvik skog öst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9453-2024</t>
        </is>
      </c>
      <c r="B1382" s="1" t="n">
        <v>45359</v>
      </c>
      <c r="C1382" s="1" t="n">
        <v>45584</v>
      </c>
      <c r="D1382" t="inlineStr">
        <is>
          <t>UPPSALA LÄN</t>
        </is>
      </c>
      <c r="E1382" t="inlineStr">
        <is>
          <t>UPPSALA</t>
        </is>
      </c>
      <c r="F1382" t="inlineStr">
        <is>
          <t>Bergvik skog öst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9608-2024</t>
        </is>
      </c>
      <c r="B1383" s="1" t="n">
        <v>45361</v>
      </c>
      <c r="C1383" s="1" t="n">
        <v>45584</v>
      </c>
      <c r="D1383" t="inlineStr">
        <is>
          <t>UPPSALA LÄN</t>
        </is>
      </c>
      <c r="E1383" t="inlineStr">
        <is>
          <t>UPPSALA</t>
        </is>
      </c>
      <c r="F1383" t="inlineStr">
        <is>
          <t>Bergvik skog öst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9609-2024</t>
        </is>
      </c>
      <c r="B1384" s="1" t="n">
        <v>45361</v>
      </c>
      <c r="C1384" s="1" t="n">
        <v>45584</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9610-2024</t>
        </is>
      </c>
      <c r="B1385" s="1" t="n">
        <v>45361</v>
      </c>
      <c r="C1385" s="1" t="n">
        <v>45584</v>
      </c>
      <c r="D1385" t="inlineStr">
        <is>
          <t>UPPSALA LÄN</t>
        </is>
      </c>
      <c r="E1385" t="inlineStr">
        <is>
          <t>UPPSALA</t>
        </is>
      </c>
      <c r="F1385" t="inlineStr">
        <is>
          <t>Bergvik skog öst AB</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9625-2024</t>
        </is>
      </c>
      <c r="B1386" s="1" t="n">
        <v>45361</v>
      </c>
      <c r="C1386" s="1" t="n">
        <v>45584</v>
      </c>
      <c r="D1386" t="inlineStr">
        <is>
          <t>UPPSALA LÄN</t>
        </is>
      </c>
      <c r="E1386" t="inlineStr">
        <is>
          <t>UPPSALA</t>
        </is>
      </c>
      <c r="F1386" t="inlineStr">
        <is>
          <t>Bergvik skog öst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9611-2024</t>
        </is>
      </c>
      <c r="B1387" s="1" t="n">
        <v>45361</v>
      </c>
      <c r="C1387" s="1" t="n">
        <v>45584</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9735-2024</t>
        </is>
      </c>
      <c r="B1388" s="1" t="n">
        <v>45362</v>
      </c>
      <c r="C1388" s="1" t="n">
        <v>45584</v>
      </c>
      <c r="D1388" t="inlineStr">
        <is>
          <t>UPPSALA LÄN</t>
        </is>
      </c>
      <c r="E1388" t="inlineStr">
        <is>
          <t>UPPSALA</t>
        </is>
      </c>
      <c r="F1388" t="inlineStr">
        <is>
          <t>Bergvik skog öst AB</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9675-2024</t>
        </is>
      </c>
      <c r="B1389" s="1" t="n">
        <v>45362</v>
      </c>
      <c r="C1389" s="1" t="n">
        <v>45584</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9914-2024</t>
        </is>
      </c>
      <c r="B1390" s="1" t="n">
        <v>45363</v>
      </c>
      <c r="C1390" s="1" t="n">
        <v>45584</v>
      </c>
      <c r="D1390" t="inlineStr">
        <is>
          <t>UPPSALA LÄN</t>
        </is>
      </c>
      <c r="E1390" t="inlineStr">
        <is>
          <t>UPPSALA</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9917-2024</t>
        </is>
      </c>
      <c r="B1391" s="1" t="n">
        <v>45363</v>
      </c>
      <c r="C1391" s="1" t="n">
        <v>45584</v>
      </c>
      <c r="D1391" t="inlineStr">
        <is>
          <t>UPPSALA LÄN</t>
        </is>
      </c>
      <c r="E1391" t="inlineStr">
        <is>
          <t>UPPSALA</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10086-2024</t>
        </is>
      </c>
      <c r="B1392" s="1" t="n">
        <v>45364</v>
      </c>
      <c r="C1392" s="1" t="n">
        <v>45584</v>
      </c>
      <c r="D1392" t="inlineStr">
        <is>
          <t>UPPSALA LÄN</t>
        </is>
      </c>
      <c r="E1392" t="inlineStr">
        <is>
          <t>UPPSALA</t>
        </is>
      </c>
      <c r="F1392" t="inlineStr">
        <is>
          <t>Bergvik skog öst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10146-2024</t>
        </is>
      </c>
      <c r="B1393" s="1" t="n">
        <v>45364</v>
      </c>
      <c r="C1393" s="1" t="n">
        <v>45584</v>
      </c>
      <c r="D1393" t="inlineStr">
        <is>
          <t>UPPSALA LÄN</t>
        </is>
      </c>
      <c r="E1393" t="inlineStr">
        <is>
          <t>UPPSALA</t>
        </is>
      </c>
      <c r="F1393" t="inlineStr">
        <is>
          <t>Bergvik skog öst AB</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10477-2024</t>
        </is>
      </c>
      <c r="B1394" s="1" t="n">
        <v>45366</v>
      </c>
      <c r="C1394" s="1" t="n">
        <v>45584</v>
      </c>
      <c r="D1394" t="inlineStr">
        <is>
          <t>UPPSALA LÄN</t>
        </is>
      </c>
      <c r="E1394" t="inlineStr">
        <is>
          <t>UPPSALA</t>
        </is>
      </c>
      <c r="F1394" t="inlineStr">
        <is>
          <t>Holmen skog AB</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10474-2024</t>
        </is>
      </c>
      <c r="B1395" s="1" t="n">
        <v>45366</v>
      </c>
      <c r="C1395" s="1" t="n">
        <v>45584</v>
      </c>
      <c r="D1395" t="inlineStr">
        <is>
          <t>UPPSALA LÄN</t>
        </is>
      </c>
      <c r="E1395" t="inlineStr">
        <is>
          <t>UPPSALA</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10650-2024</t>
        </is>
      </c>
      <c r="B1396" s="1" t="n">
        <v>45368</v>
      </c>
      <c r="C1396" s="1" t="n">
        <v>45584</v>
      </c>
      <c r="D1396" t="inlineStr">
        <is>
          <t>UPPSALA LÄN</t>
        </is>
      </c>
      <c r="E1396" t="inlineStr">
        <is>
          <t>UPPSALA</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10651-2024</t>
        </is>
      </c>
      <c r="B1397" s="1" t="n">
        <v>45368</v>
      </c>
      <c r="C1397" s="1" t="n">
        <v>45584</v>
      </c>
      <c r="D1397" t="inlineStr">
        <is>
          <t>UPPSALA LÄN</t>
        </is>
      </c>
      <c r="E1397" t="inlineStr">
        <is>
          <t>UPPSALA</t>
        </is>
      </c>
      <c r="F1397" t="inlineStr">
        <is>
          <t>Bergvik skog öst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10653-2024</t>
        </is>
      </c>
      <c r="B1398" s="1" t="n">
        <v>45368</v>
      </c>
      <c r="C1398" s="1" t="n">
        <v>45584</v>
      </c>
      <c r="D1398" t="inlineStr">
        <is>
          <t>UPPSALA LÄN</t>
        </is>
      </c>
      <c r="E1398" t="inlineStr">
        <is>
          <t>UPPSALA</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10652-2024</t>
        </is>
      </c>
      <c r="B1399" s="1" t="n">
        <v>45368</v>
      </c>
      <c r="C1399" s="1" t="n">
        <v>45584</v>
      </c>
      <c r="D1399" t="inlineStr">
        <is>
          <t>UPPSALA LÄN</t>
        </is>
      </c>
      <c r="E1399" t="inlineStr">
        <is>
          <t>UPPSALA</t>
        </is>
      </c>
      <c r="F1399" t="inlineStr">
        <is>
          <t>Bergvik skog öst AB</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10827-2024</t>
        </is>
      </c>
      <c r="B1400" s="1" t="n">
        <v>45369</v>
      </c>
      <c r="C1400" s="1" t="n">
        <v>45584</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10782-2024</t>
        </is>
      </c>
      <c r="B1401" s="1" t="n">
        <v>45369</v>
      </c>
      <c r="C1401" s="1" t="n">
        <v>45584</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11169-2024</t>
        </is>
      </c>
      <c r="B1402" s="1" t="n">
        <v>45371</v>
      </c>
      <c r="C1402" s="1" t="n">
        <v>45584</v>
      </c>
      <c r="D1402" t="inlineStr">
        <is>
          <t>UPPSALA LÄN</t>
        </is>
      </c>
      <c r="E1402" t="inlineStr">
        <is>
          <t>UPPSALA</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11173-2024</t>
        </is>
      </c>
      <c r="B1403" s="1" t="n">
        <v>45371</v>
      </c>
      <c r="C1403" s="1" t="n">
        <v>45584</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11159-2024</t>
        </is>
      </c>
      <c r="B1404" s="1" t="n">
        <v>45371</v>
      </c>
      <c r="C1404" s="1" t="n">
        <v>45584</v>
      </c>
      <c r="D1404" t="inlineStr">
        <is>
          <t>UPPSALA LÄN</t>
        </is>
      </c>
      <c r="E1404" t="inlineStr">
        <is>
          <t>UPPSALA</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11191-2024</t>
        </is>
      </c>
      <c r="B1405" s="1" t="n">
        <v>45371</v>
      </c>
      <c r="C1405" s="1" t="n">
        <v>45584</v>
      </c>
      <c r="D1405" t="inlineStr">
        <is>
          <t>UPPSALA LÄN</t>
        </is>
      </c>
      <c r="E1405" t="inlineStr">
        <is>
          <t>UPPSALA</t>
        </is>
      </c>
      <c r="F1405" t="inlineStr">
        <is>
          <t>Allmännings- och besparingsskogar</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11166-2024</t>
        </is>
      </c>
      <c r="B1406" s="1" t="n">
        <v>45371</v>
      </c>
      <c r="C1406" s="1" t="n">
        <v>45584</v>
      </c>
      <c r="D1406" t="inlineStr">
        <is>
          <t>UPPSALA LÄN</t>
        </is>
      </c>
      <c r="E1406" t="inlineStr">
        <is>
          <t>UPPSALA</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11201-2024</t>
        </is>
      </c>
      <c r="B1407" s="1" t="n">
        <v>45371</v>
      </c>
      <c r="C1407" s="1" t="n">
        <v>45584</v>
      </c>
      <c r="D1407" t="inlineStr">
        <is>
          <t>UPPSALA LÄN</t>
        </is>
      </c>
      <c r="E1407" t="inlineStr">
        <is>
          <t>UPPSALA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11277-2024</t>
        </is>
      </c>
      <c r="B1408" s="1" t="n">
        <v>45371</v>
      </c>
      <c r="C1408" s="1" t="n">
        <v>45584</v>
      </c>
      <c r="D1408" t="inlineStr">
        <is>
          <t>UPPSALA LÄN</t>
        </is>
      </c>
      <c r="E1408" t="inlineStr">
        <is>
          <t>UPPSALA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11289-2024</t>
        </is>
      </c>
      <c r="B1409" s="1" t="n">
        <v>45371</v>
      </c>
      <c r="C1409" s="1" t="n">
        <v>45584</v>
      </c>
      <c r="D1409" t="inlineStr">
        <is>
          <t>UPPSALA LÄN</t>
        </is>
      </c>
      <c r="E1409" t="inlineStr">
        <is>
          <t>UPPSALA</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11200-2024</t>
        </is>
      </c>
      <c r="B1410" s="1" t="n">
        <v>45371</v>
      </c>
      <c r="C1410" s="1" t="n">
        <v>45584</v>
      </c>
      <c r="D1410" t="inlineStr">
        <is>
          <t>UPPSALA LÄN</t>
        </is>
      </c>
      <c r="E1410" t="inlineStr">
        <is>
          <t>UPPSALA</t>
        </is>
      </c>
      <c r="F1410" t="inlineStr">
        <is>
          <t>Allmännings- och besparingsskogar</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11260-2024</t>
        </is>
      </c>
      <c r="B1411" s="1" t="n">
        <v>45371</v>
      </c>
      <c r="C1411" s="1" t="n">
        <v>45584</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11457-2024</t>
        </is>
      </c>
      <c r="B1412" s="1" t="n">
        <v>45372</v>
      </c>
      <c r="C1412" s="1" t="n">
        <v>45584</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11677-2024</t>
        </is>
      </c>
      <c r="B1413" s="1" t="n">
        <v>45373</v>
      </c>
      <c r="C1413" s="1" t="n">
        <v>45584</v>
      </c>
      <c r="D1413" t="inlineStr">
        <is>
          <t>UPPSALA LÄN</t>
        </is>
      </c>
      <c r="E1413" t="inlineStr">
        <is>
          <t>UPPSALA</t>
        </is>
      </c>
      <c r="F1413" t="inlineStr">
        <is>
          <t>Holmen skog AB</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11719-2024</t>
        </is>
      </c>
      <c r="B1414" s="1" t="n">
        <v>45373</v>
      </c>
      <c r="C1414" s="1" t="n">
        <v>45584</v>
      </c>
      <c r="D1414" t="inlineStr">
        <is>
          <t>UPPSALA LÄN</t>
        </is>
      </c>
      <c r="E1414" t="inlineStr">
        <is>
          <t>UPPSALA</t>
        </is>
      </c>
      <c r="F1414" t="inlineStr">
        <is>
          <t>Holmen skog AB</t>
        </is>
      </c>
      <c r="G1414" t="n">
        <v>18.3</v>
      </c>
      <c r="H1414" t="n">
        <v>0</v>
      </c>
      <c r="I1414" t="n">
        <v>0</v>
      </c>
      <c r="J1414" t="n">
        <v>0</v>
      </c>
      <c r="K1414" t="n">
        <v>0</v>
      </c>
      <c r="L1414" t="n">
        <v>0</v>
      </c>
      <c r="M1414" t="n">
        <v>0</v>
      </c>
      <c r="N1414" t="n">
        <v>0</v>
      </c>
      <c r="O1414" t="n">
        <v>0</v>
      </c>
      <c r="P1414" t="n">
        <v>0</v>
      </c>
      <c r="Q1414" t="n">
        <v>0</v>
      </c>
      <c r="R1414" s="2" t="inlineStr"/>
    </row>
    <row r="1415" ht="15" customHeight="1">
      <c r="A1415" t="inlineStr">
        <is>
          <t>A 12345-2024</t>
        </is>
      </c>
      <c r="B1415" s="1" t="n">
        <v>45378</v>
      </c>
      <c r="C1415" s="1" t="n">
        <v>45584</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12346-2024</t>
        </is>
      </c>
      <c r="B1416" s="1" t="n">
        <v>45378</v>
      </c>
      <c r="C1416" s="1" t="n">
        <v>45584</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12347-2024</t>
        </is>
      </c>
      <c r="B1417" s="1" t="n">
        <v>45378</v>
      </c>
      <c r="C1417" s="1" t="n">
        <v>45584</v>
      </c>
      <c r="D1417" t="inlineStr">
        <is>
          <t>UPPSALA LÄN</t>
        </is>
      </c>
      <c r="E1417" t="inlineStr">
        <is>
          <t>UPPSALA</t>
        </is>
      </c>
      <c r="F1417" t="inlineStr">
        <is>
          <t>Bergvik skog öst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12507-2024</t>
        </is>
      </c>
      <c r="B1418" s="1" t="n">
        <v>45379</v>
      </c>
      <c r="C1418" s="1" t="n">
        <v>45584</v>
      </c>
      <c r="D1418" t="inlineStr">
        <is>
          <t>UPPSALA LÄN</t>
        </is>
      </c>
      <c r="E1418" t="inlineStr">
        <is>
          <t>UPPSALA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13100-2024</t>
        </is>
      </c>
      <c r="B1419" s="1" t="n">
        <v>45385</v>
      </c>
      <c r="C1419" s="1" t="n">
        <v>45584</v>
      </c>
      <c r="D1419" t="inlineStr">
        <is>
          <t>UPPSALA LÄN</t>
        </is>
      </c>
      <c r="E1419" t="inlineStr">
        <is>
          <t>UPPSALA</t>
        </is>
      </c>
      <c r="F1419" t="inlineStr">
        <is>
          <t>Holmen skog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13305-2024</t>
        </is>
      </c>
      <c r="B1420" s="1" t="n">
        <v>45386</v>
      </c>
      <c r="C1420" s="1" t="n">
        <v>45584</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13303-2024</t>
        </is>
      </c>
      <c r="B1421" s="1" t="n">
        <v>45386</v>
      </c>
      <c r="C1421" s="1" t="n">
        <v>45584</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13302-2024</t>
        </is>
      </c>
      <c r="B1422" s="1" t="n">
        <v>45386</v>
      </c>
      <c r="C1422" s="1" t="n">
        <v>45584</v>
      </c>
      <c r="D1422" t="inlineStr">
        <is>
          <t>UPPSALA LÄN</t>
        </is>
      </c>
      <c r="E1422" t="inlineStr">
        <is>
          <t>UPPSALA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13379-2024</t>
        </is>
      </c>
      <c r="B1423" s="1" t="n">
        <v>45387</v>
      </c>
      <c r="C1423" s="1" t="n">
        <v>45584</v>
      </c>
      <c r="D1423" t="inlineStr">
        <is>
          <t>UPPSALA LÄN</t>
        </is>
      </c>
      <c r="E1423" t="inlineStr">
        <is>
          <t>UPPSALA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13644-2024</t>
        </is>
      </c>
      <c r="B1424" s="1" t="n">
        <v>45390</v>
      </c>
      <c r="C1424" s="1" t="n">
        <v>45584</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13799-2024</t>
        </is>
      </c>
      <c r="B1425" s="1" t="n">
        <v>45391</v>
      </c>
      <c r="C1425" s="1" t="n">
        <v>45584</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14533-2024</t>
        </is>
      </c>
      <c r="B1426" s="1" t="n">
        <v>45394</v>
      </c>
      <c r="C1426" s="1" t="n">
        <v>45584</v>
      </c>
      <c r="D1426" t="inlineStr">
        <is>
          <t>UPPSALA LÄN</t>
        </is>
      </c>
      <c r="E1426" t="inlineStr">
        <is>
          <t>UPPSALA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14401-2024</t>
        </is>
      </c>
      <c r="B1427" s="1" t="n">
        <v>45394</v>
      </c>
      <c r="C1427" s="1" t="n">
        <v>45584</v>
      </c>
      <c r="D1427" t="inlineStr">
        <is>
          <t>UPPSALA LÄN</t>
        </is>
      </c>
      <c r="E1427" t="inlineStr">
        <is>
          <t>UPPSALA</t>
        </is>
      </c>
      <c r="F1427" t="inlineStr">
        <is>
          <t>Övriga statliga verk och myndigheter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14528-2024</t>
        </is>
      </c>
      <c r="B1428" s="1" t="n">
        <v>45394</v>
      </c>
      <c r="C1428" s="1" t="n">
        <v>45584</v>
      </c>
      <c r="D1428" t="inlineStr">
        <is>
          <t>UPPSALA LÄN</t>
        </is>
      </c>
      <c r="E1428" t="inlineStr">
        <is>
          <t>UPPSALA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14404-2024</t>
        </is>
      </c>
      <c r="B1429" s="1" t="n">
        <v>45394</v>
      </c>
      <c r="C1429" s="1" t="n">
        <v>45584</v>
      </c>
      <c r="D1429" t="inlineStr">
        <is>
          <t>UPPSALA LÄN</t>
        </is>
      </c>
      <c r="E1429" t="inlineStr">
        <is>
          <t>UPPSALA</t>
        </is>
      </c>
      <c r="F1429" t="inlineStr">
        <is>
          <t>Övriga statliga verk och myndigheter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14523-2024</t>
        </is>
      </c>
      <c r="B1430" s="1" t="n">
        <v>45394</v>
      </c>
      <c r="C1430" s="1" t="n">
        <v>45584</v>
      </c>
      <c r="D1430" t="inlineStr">
        <is>
          <t>UPPSALA LÄN</t>
        </is>
      </c>
      <c r="E1430" t="inlineStr">
        <is>
          <t>UPPSALA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14643-2024</t>
        </is>
      </c>
      <c r="B1431" s="1" t="n">
        <v>45397</v>
      </c>
      <c r="C1431" s="1" t="n">
        <v>45584</v>
      </c>
      <c r="D1431" t="inlineStr">
        <is>
          <t>UPPSALA LÄN</t>
        </is>
      </c>
      <c r="E1431" t="inlineStr">
        <is>
          <t>UPPSALA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14672-2024</t>
        </is>
      </c>
      <c r="B1432" s="1" t="n">
        <v>45397</v>
      </c>
      <c r="C1432" s="1" t="n">
        <v>45584</v>
      </c>
      <c r="D1432" t="inlineStr">
        <is>
          <t>UPPSALA LÄN</t>
        </is>
      </c>
      <c r="E1432" t="inlineStr">
        <is>
          <t>UPPSALA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15254-2024</t>
        </is>
      </c>
      <c r="B1433" s="1" t="n">
        <v>45400</v>
      </c>
      <c r="C1433" s="1" t="n">
        <v>45584</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15255-2024</t>
        </is>
      </c>
      <c r="B1434" s="1" t="n">
        <v>45400</v>
      </c>
      <c r="C1434" s="1" t="n">
        <v>45584</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15544-2024</t>
        </is>
      </c>
      <c r="B1435" s="1" t="n">
        <v>45401</v>
      </c>
      <c r="C1435" s="1" t="n">
        <v>45584</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16434-2024</t>
        </is>
      </c>
      <c r="B1436" s="1" t="n">
        <v>45407</v>
      </c>
      <c r="C1436" s="1" t="n">
        <v>45584</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16324-2024</t>
        </is>
      </c>
      <c r="B1437" s="1" t="n">
        <v>45407</v>
      </c>
      <c r="C1437" s="1" t="n">
        <v>45584</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17146-2024</t>
        </is>
      </c>
      <c r="B1438" s="1" t="n">
        <v>45412</v>
      </c>
      <c r="C1438" s="1" t="n">
        <v>45584</v>
      </c>
      <c r="D1438" t="inlineStr">
        <is>
          <t>UPPSALA LÄN</t>
        </is>
      </c>
      <c r="E1438" t="inlineStr">
        <is>
          <t>UPPSALA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17287-2024</t>
        </is>
      </c>
      <c r="B1439" s="1" t="n">
        <v>45414</v>
      </c>
      <c r="C1439" s="1" t="n">
        <v>45584</v>
      </c>
      <c r="D1439" t="inlineStr">
        <is>
          <t>UPPSALA LÄN</t>
        </is>
      </c>
      <c r="E1439" t="inlineStr">
        <is>
          <t>UPPSALA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17761-2024</t>
        </is>
      </c>
      <c r="B1440" s="1" t="n">
        <v>45418</v>
      </c>
      <c r="C1440" s="1" t="n">
        <v>45584</v>
      </c>
      <c r="D1440" t="inlineStr">
        <is>
          <t>UPPSALA LÄN</t>
        </is>
      </c>
      <c r="E1440" t="inlineStr">
        <is>
          <t>UPPSALA</t>
        </is>
      </c>
      <c r="F1440" t="inlineStr">
        <is>
          <t>Holmen skog AB</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18069-2024</t>
        </is>
      </c>
      <c r="B1441" s="1" t="n">
        <v>45420</v>
      </c>
      <c r="C1441" s="1" t="n">
        <v>45584</v>
      </c>
      <c r="D1441" t="inlineStr">
        <is>
          <t>UPPSALA LÄN</t>
        </is>
      </c>
      <c r="E1441" t="inlineStr">
        <is>
          <t>UPPSALA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18354-2024</t>
        </is>
      </c>
      <c r="B1442" s="1" t="n">
        <v>45422</v>
      </c>
      <c r="C1442" s="1" t="n">
        <v>45584</v>
      </c>
      <c r="D1442" t="inlineStr">
        <is>
          <t>UPPSALA LÄN</t>
        </is>
      </c>
      <c r="E1442" t="inlineStr">
        <is>
          <t>UPPSALA</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18607-2024</t>
        </is>
      </c>
      <c r="B1443" s="1" t="n">
        <v>45426</v>
      </c>
      <c r="C1443" s="1" t="n">
        <v>45584</v>
      </c>
      <c r="D1443" t="inlineStr">
        <is>
          <t>UPPSALA LÄN</t>
        </is>
      </c>
      <c r="E1443" t="inlineStr">
        <is>
          <t>UPPSALA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18677-2024</t>
        </is>
      </c>
      <c r="B1444" s="1" t="n">
        <v>45426</v>
      </c>
      <c r="C1444" s="1" t="n">
        <v>45584</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18667-2024</t>
        </is>
      </c>
      <c r="B1445" s="1" t="n">
        <v>45426</v>
      </c>
      <c r="C1445" s="1" t="n">
        <v>45584</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18670-2024</t>
        </is>
      </c>
      <c r="B1446" s="1" t="n">
        <v>45426</v>
      </c>
      <c r="C1446" s="1" t="n">
        <v>45584</v>
      </c>
      <c r="D1446" t="inlineStr">
        <is>
          <t>UPPSALA LÄN</t>
        </is>
      </c>
      <c r="E1446" t="inlineStr">
        <is>
          <t>UPPSALA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45584</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18808-2024</t>
        </is>
      </c>
      <c r="B1448" s="1" t="n">
        <v>45426</v>
      </c>
      <c r="C1448" s="1" t="n">
        <v>45584</v>
      </c>
      <c r="D1448" t="inlineStr">
        <is>
          <t>UPPSALA LÄN</t>
        </is>
      </c>
      <c r="E1448" t="inlineStr">
        <is>
          <t>UPPSALA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18668-2024</t>
        </is>
      </c>
      <c r="B1449" s="1" t="n">
        <v>45426</v>
      </c>
      <c r="C1449" s="1" t="n">
        <v>45584</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19164-2024</t>
        </is>
      </c>
      <c r="B1450" s="1" t="n">
        <v>45428</v>
      </c>
      <c r="C1450" s="1" t="n">
        <v>45584</v>
      </c>
      <c r="D1450" t="inlineStr">
        <is>
          <t>UPPSALA LÄN</t>
        </is>
      </c>
      <c r="E1450" t="inlineStr">
        <is>
          <t>UPPSALA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19126-2024</t>
        </is>
      </c>
      <c r="B1451" s="1" t="n">
        <v>45428</v>
      </c>
      <c r="C1451" s="1" t="n">
        <v>45584</v>
      </c>
      <c r="D1451" t="inlineStr">
        <is>
          <t>UPPSALA LÄN</t>
        </is>
      </c>
      <c r="E1451" t="inlineStr">
        <is>
          <t>UPPSALA</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19414-2024</t>
        </is>
      </c>
      <c r="B1452" s="1" t="n">
        <v>45429</v>
      </c>
      <c r="C1452" s="1" t="n">
        <v>45584</v>
      </c>
      <c r="D1452" t="inlineStr">
        <is>
          <t>UPPSALA LÄN</t>
        </is>
      </c>
      <c r="E1452" t="inlineStr">
        <is>
          <t>UPPSALA</t>
        </is>
      </c>
      <c r="F1452" t="inlineStr">
        <is>
          <t>Kyrkan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19539-2024</t>
        </is>
      </c>
      <c r="B1453" s="1" t="n">
        <v>45429</v>
      </c>
      <c r="C1453" s="1" t="n">
        <v>45584</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20466-2024</t>
        </is>
      </c>
      <c r="B1454" s="1" t="n">
        <v>45435</v>
      </c>
      <c r="C1454" s="1" t="n">
        <v>45584</v>
      </c>
      <c r="D1454" t="inlineStr">
        <is>
          <t>UPPSALA LÄN</t>
        </is>
      </c>
      <c r="E1454" t="inlineStr">
        <is>
          <t>UPPSALA</t>
        </is>
      </c>
      <c r="F1454" t="inlineStr">
        <is>
          <t>Holmen skog AB</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20297-2024</t>
        </is>
      </c>
      <c r="B1455" s="1" t="n">
        <v>45435</v>
      </c>
      <c r="C1455" s="1" t="n">
        <v>45584</v>
      </c>
      <c r="D1455" t="inlineStr">
        <is>
          <t>UPPSALA LÄN</t>
        </is>
      </c>
      <c r="E1455" t="inlineStr">
        <is>
          <t>UPPSALA</t>
        </is>
      </c>
      <c r="F1455" t="inlineStr">
        <is>
          <t>Kyrkan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20301-2024</t>
        </is>
      </c>
      <c r="B1456" s="1" t="n">
        <v>45435</v>
      </c>
      <c r="C1456" s="1" t="n">
        <v>45584</v>
      </c>
      <c r="D1456" t="inlineStr">
        <is>
          <t>UPPSALA LÄN</t>
        </is>
      </c>
      <c r="E1456" t="inlineStr">
        <is>
          <t>UPPSALA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20375-2024</t>
        </is>
      </c>
      <c r="B1457" s="1" t="n">
        <v>45435</v>
      </c>
      <c r="C1457" s="1" t="n">
        <v>45584</v>
      </c>
      <c r="D1457" t="inlineStr">
        <is>
          <t>UPPSALA LÄN</t>
        </is>
      </c>
      <c r="E1457" t="inlineStr">
        <is>
          <t>UPPSALA</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20459-2024</t>
        </is>
      </c>
      <c r="B1458" s="1" t="n">
        <v>45435</v>
      </c>
      <c r="C1458" s="1" t="n">
        <v>45584</v>
      </c>
      <c r="D1458" t="inlineStr">
        <is>
          <t>UPPSALA LÄN</t>
        </is>
      </c>
      <c r="E1458" t="inlineStr">
        <is>
          <t>UPPSALA</t>
        </is>
      </c>
      <c r="F1458" t="inlineStr">
        <is>
          <t>Kyrkan</t>
        </is>
      </c>
      <c r="G1458" t="n">
        <v>15.8</v>
      </c>
      <c r="H1458" t="n">
        <v>0</v>
      </c>
      <c r="I1458" t="n">
        <v>0</v>
      </c>
      <c r="J1458" t="n">
        <v>0</v>
      </c>
      <c r="K1458" t="n">
        <v>0</v>
      </c>
      <c r="L1458" t="n">
        <v>0</v>
      </c>
      <c r="M1458" t="n">
        <v>0</v>
      </c>
      <c r="N1458" t="n">
        <v>0</v>
      </c>
      <c r="O1458" t="n">
        <v>0</v>
      </c>
      <c r="P1458" t="n">
        <v>0</v>
      </c>
      <c r="Q1458" t="n">
        <v>0</v>
      </c>
      <c r="R1458" s="2" t="inlineStr"/>
    </row>
    <row r="1459" ht="15" customHeight="1">
      <c r="A1459" t="inlineStr">
        <is>
          <t>A 20458-2024</t>
        </is>
      </c>
      <c r="B1459" s="1" t="n">
        <v>45435</v>
      </c>
      <c r="C1459" s="1" t="n">
        <v>45584</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20711-2024</t>
        </is>
      </c>
      <c r="B1460" s="1" t="n">
        <v>45436</v>
      </c>
      <c r="C1460" s="1" t="n">
        <v>45584</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20851-2024</t>
        </is>
      </c>
      <c r="B1461" s="1" t="n">
        <v>45439</v>
      </c>
      <c r="C1461" s="1" t="n">
        <v>45584</v>
      </c>
      <c r="D1461" t="inlineStr">
        <is>
          <t>UPPSALA LÄN</t>
        </is>
      </c>
      <c r="E1461" t="inlineStr">
        <is>
          <t>UPPSALA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21015-2024</t>
        </is>
      </c>
      <c r="B1462" s="1" t="n">
        <v>45439</v>
      </c>
      <c r="C1462" s="1" t="n">
        <v>45584</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20903-2024</t>
        </is>
      </c>
      <c r="B1463" s="1" t="n">
        <v>45439</v>
      </c>
      <c r="C1463" s="1" t="n">
        <v>45584</v>
      </c>
      <c r="D1463" t="inlineStr">
        <is>
          <t>UPPSALA LÄN</t>
        </is>
      </c>
      <c r="E1463" t="inlineStr">
        <is>
          <t>UPPSALA</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21182-2024</t>
        </is>
      </c>
      <c r="B1464" s="1" t="n">
        <v>45440</v>
      </c>
      <c r="C1464" s="1" t="n">
        <v>45584</v>
      </c>
      <c r="D1464" t="inlineStr">
        <is>
          <t>UPPSALA LÄN</t>
        </is>
      </c>
      <c r="E1464" t="inlineStr">
        <is>
          <t>UPPSALA</t>
        </is>
      </c>
      <c r="F1464" t="inlineStr">
        <is>
          <t>Holmen skog AB</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21310-2024</t>
        </is>
      </c>
      <c r="B1465" s="1" t="n">
        <v>45440</v>
      </c>
      <c r="C1465" s="1" t="n">
        <v>45584</v>
      </c>
      <c r="D1465" t="inlineStr">
        <is>
          <t>UPPSALA LÄN</t>
        </is>
      </c>
      <c r="E1465" t="inlineStr">
        <is>
          <t>UPPSALA</t>
        </is>
      </c>
      <c r="F1465" t="inlineStr">
        <is>
          <t>Holmen skog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21526-2024</t>
        </is>
      </c>
      <c r="B1466" s="1" t="n">
        <v>45441</v>
      </c>
      <c r="C1466" s="1" t="n">
        <v>45584</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21555-2024</t>
        </is>
      </c>
      <c r="B1467" s="1" t="n">
        <v>45441</v>
      </c>
      <c r="C1467" s="1" t="n">
        <v>45584</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21657-2024</t>
        </is>
      </c>
      <c r="B1468" s="1" t="n">
        <v>45442</v>
      </c>
      <c r="C1468" s="1" t="n">
        <v>45584</v>
      </c>
      <c r="D1468" t="inlineStr">
        <is>
          <t>UPPSALA LÄN</t>
        </is>
      </c>
      <c r="E1468" t="inlineStr">
        <is>
          <t>UPPSALA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21786-2024</t>
        </is>
      </c>
      <c r="B1469" s="1" t="n">
        <v>45442</v>
      </c>
      <c r="C1469" s="1" t="n">
        <v>45584</v>
      </c>
      <c r="D1469" t="inlineStr">
        <is>
          <t>UPPSALA LÄN</t>
        </is>
      </c>
      <c r="E1469" t="inlineStr">
        <is>
          <t>UPPSALA</t>
        </is>
      </c>
      <c r="F1469" t="inlineStr">
        <is>
          <t>Allmännings- och besparingsskogar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21641-2024</t>
        </is>
      </c>
      <c r="B1470" s="1" t="n">
        <v>45442</v>
      </c>
      <c r="C1470" s="1" t="n">
        <v>45584</v>
      </c>
      <c r="D1470" t="inlineStr">
        <is>
          <t>UPPSALA LÄN</t>
        </is>
      </c>
      <c r="E1470" t="inlineStr">
        <is>
          <t>UPPSALA</t>
        </is>
      </c>
      <c r="F1470" t="inlineStr">
        <is>
          <t>Kyrkan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21859-2024</t>
        </is>
      </c>
      <c r="B1471" s="1" t="n">
        <v>45443</v>
      </c>
      <c r="C1471" s="1" t="n">
        <v>45584</v>
      </c>
      <c r="D1471" t="inlineStr">
        <is>
          <t>UPPSALA LÄN</t>
        </is>
      </c>
      <c r="E1471" t="inlineStr">
        <is>
          <t>UPPSALA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22431-2024</t>
        </is>
      </c>
      <c r="B1472" s="1" t="n">
        <v>45446</v>
      </c>
      <c r="C1472" s="1" t="n">
        <v>45584</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22437-2024</t>
        </is>
      </c>
      <c r="B1473" s="1" t="n">
        <v>45446</v>
      </c>
      <c r="C1473" s="1" t="n">
        <v>45584</v>
      </c>
      <c r="D1473" t="inlineStr">
        <is>
          <t>UPPSALA LÄN</t>
        </is>
      </c>
      <c r="E1473" t="inlineStr">
        <is>
          <t>UPPSALA</t>
        </is>
      </c>
      <c r="F1473" t="inlineStr">
        <is>
          <t>Bergvik skog öst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22433-2024</t>
        </is>
      </c>
      <c r="B1474" s="1" t="n">
        <v>45446</v>
      </c>
      <c r="C1474" s="1" t="n">
        <v>45584</v>
      </c>
      <c r="D1474" t="inlineStr">
        <is>
          <t>UPPSALA LÄN</t>
        </is>
      </c>
      <c r="E1474" t="inlineStr">
        <is>
          <t>UPPSALA</t>
        </is>
      </c>
      <c r="F1474" t="inlineStr">
        <is>
          <t>Bergvik skog öst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22432-2024</t>
        </is>
      </c>
      <c r="B1475" s="1" t="n">
        <v>45446</v>
      </c>
      <c r="C1475" s="1" t="n">
        <v>45584</v>
      </c>
      <c r="D1475" t="inlineStr">
        <is>
          <t>UPPSALA LÄN</t>
        </is>
      </c>
      <c r="E1475" t="inlineStr">
        <is>
          <t>UPPSALA</t>
        </is>
      </c>
      <c r="F1475" t="inlineStr">
        <is>
          <t>Bergvik skog öst AB</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22900-2024</t>
        </is>
      </c>
      <c r="B1476" s="1" t="n">
        <v>45448</v>
      </c>
      <c r="C1476" s="1" t="n">
        <v>45584</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23291-2024</t>
        </is>
      </c>
      <c r="B1477" s="1" t="n">
        <v>45453</v>
      </c>
      <c r="C1477" s="1" t="n">
        <v>45584</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23494-2024</t>
        </is>
      </c>
      <c r="B1478" s="1" t="n">
        <v>45453</v>
      </c>
      <c r="C1478" s="1" t="n">
        <v>45584</v>
      </c>
      <c r="D1478" t="inlineStr">
        <is>
          <t>UPPSALA LÄN</t>
        </is>
      </c>
      <c r="E1478" t="inlineStr">
        <is>
          <t>UPPSALA</t>
        </is>
      </c>
      <c r="F1478" t="inlineStr">
        <is>
          <t>Kyrkan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24098-2024</t>
        </is>
      </c>
      <c r="B1479" s="1" t="n">
        <v>45456</v>
      </c>
      <c r="C1479" s="1" t="n">
        <v>45584</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24091-2024</t>
        </is>
      </c>
      <c r="B1480" s="1" t="n">
        <v>45456</v>
      </c>
      <c r="C1480" s="1" t="n">
        <v>45584</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24787-2024</t>
        </is>
      </c>
      <c r="B1481" s="1" t="n">
        <v>45460</v>
      </c>
      <c r="C1481" s="1" t="n">
        <v>45584</v>
      </c>
      <c r="D1481" t="inlineStr">
        <is>
          <t>UPPSALA LÄN</t>
        </is>
      </c>
      <c r="E1481" t="inlineStr">
        <is>
          <t>UPPSALA</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25539-2024</t>
        </is>
      </c>
      <c r="B1482" s="1" t="n">
        <v>45463</v>
      </c>
      <c r="C1482" s="1" t="n">
        <v>45584</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25537-2024</t>
        </is>
      </c>
      <c r="B1483" s="1" t="n">
        <v>45463</v>
      </c>
      <c r="C1483" s="1" t="n">
        <v>45584</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25536-2024</t>
        </is>
      </c>
      <c r="B1484" s="1" t="n">
        <v>45463</v>
      </c>
      <c r="C1484" s="1" t="n">
        <v>45584</v>
      </c>
      <c r="D1484" t="inlineStr">
        <is>
          <t>UPPSALA LÄN</t>
        </is>
      </c>
      <c r="E1484" t="inlineStr">
        <is>
          <t>UPPSALA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25487-2024</t>
        </is>
      </c>
      <c r="B1485" s="1" t="n">
        <v>45463</v>
      </c>
      <c r="C1485" s="1" t="n">
        <v>45584</v>
      </c>
      <c r="D1485" t="inlineStr">
        <is>
          <t>UPPSALA LÄN</t>
        </is>
      </c>
      <c r="E1485" t="inlineStr">
        <is>
          <t>UPPSALA</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25403-2024</t>
        </is>
      </c>
      <c r="B1486" s="1" t="n">
        <v>45463</v>
      </c>
      <c r="C1486" s="1" t="n">
        <v>45584</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25490-2024</t>
        </is>
      </c>
      <c r="B1487" s="1" t="n">
        <v>45463</v>
      </c>
      <c r="C1487" s="1" t="n">
        <v>45584</v>
      </c>
      <c r="D1487" t="inlineStr">
        <is>
          <t>UPPSALA LÄN</t>
        </is>
      </c>
      <c r="E1487" t="inlineStr">
        <is>
          <t>UPPSALA</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26099-2024</t>
        </is>
      </c>
      <c r="B1488" s="1" t="n">
        <v>45468</v>
      </c>
      <c r="C1488" s="1" t="n">
        <v>45584</v>
      </c>
      <c r="D1488" t="inlineStr">
        <is>
          <t>UPPSALA LÄN</t>
        </is>
      </c>
      <c r="E1488" t="inlineStr">
        <is>
          <t>UPPSALA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27476-2024</t>
        </is>
      </c>
      <c r="B1489" s="1" t="n">
        <v>45474</v>
      </c>
      <c r="C1489" s="1" t="n">
        <v>45584</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27473-2024</t>
        </is>
      </c>
      <c r="B1490" s="1" t="n">
        <v>45474</v>
      </c>
      <c r="C1490" s="1" t="n">
        <v>45584</v>
      </c>
      <c r="D1490" t="inlineStr">
        <is>
          <t>UPPSALA LÄN</t>
        </is>
      </c>
      <c r="E1490" t="inlineStr">
        <is>
          <t>UPPSALA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27442-2024</t>
        </is>
      </c>
      <c r="B1491" s="1" t="n">
        <v>45474</v>
      </c>
      <c r="C1491" s="1" t="n">
        <v>45584</v>
      </c>
      <c r="D1491" t="inlineStr">
        <is>
          <t>UPPSALA LÄN</t>
        </is>
      </c>
      <c r="E1491" t="inlineStr">
        <is>
          <t>UPPSALA</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27474-2024</t>
        </is>
      </c>
      <c r="B1492" s="1" t="n">
        <v>45474</v>
      </c>
      <c r="C1492" s="1" t="n">
        <v>45584</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27498-2024</t>
        </is>
      </c>
      <c r="B1493" s="1" t="n">
        <v>45474</v>
      </c>
      <c r="C1493" s="1" t="n">
        <v>45584</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27857-2024</t>
        </is>
      </c>
      <c r="B1494" s="1" t="n">
        <v>45475</v>
      </c>
      <c r="C1494" s="1" t="n">
        <v>45584</v>
      </c>
      <c r="D1494" t="inlineStr">
        <is>
          <t>UPPSALA LÄN</t>
        </is>
      </c>
      <c r="E1494" t="inlineStr">
        <is>
          <t>UPPSALA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27994-2024</t>
        </is>
      </c>
      <c r="B1495" s="1" t="n">
        <v>45476</v>
      </c>
      <c r="C1495" s="1" t="n">
        <v>45584</v>
      </c>
      <c r="D1495" t="inlineStr">
        <is>
          <t>UPPSALA LÄN</t>
        </is>
      </c>
      <c r="E1495" t="inlineStr">
        <is>
          <t>UPPSALA</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27981-2024</t>
        </is>
      </c>
      <c r="B1496" s="1" t="n">
        <v>45476</v>
      </c>
      <c r="C1496" s="1" t="n">
        <v>45584</v>
      </c>
      <c r="D1496" t="inlineStr">
        <is>
          <t>UPPSALA LÄN</t>
        </is>
      </c>
      <c r="E1496" t="inlineStr">
        <is>
          <t>UPPSALA</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27973-2024</t>
        </is>
      </c>
      <c r="B1497" s="1" t="n">
        <v>45476</v>
      </c>
      <c r="C1497" s="1" t="n">
        <v>45584</v>
      </c>
      <c r="D1497" t="inlineStr">
        <is>
          <t>UPPSALA LÄN</t>
        </is>
      </c>
      <c r="E1497" t="inlineStr">
        <is>
          <t>UPPSALA</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28453-2024</t>
        </is>
      </c>
      <c r="B1498" s="1" t="n">
        <v>45477</v>
      </c>
      <c r="C1498" s="1" t="n">
        <v>45584</v>
      </c>
      <c r="D1498" t="inlineStr">
        <is>
          <t>UPPSALA LÄN</t>
        </is>
      </c>
      <c r="E1498" t="inlineStr">
        <is>
          <t>UPPSALA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28825-2024</t>
        </is>
      </c>
      <c r="B1499" s="1" t="n">
        <v>45478</v>
      </c>
      <c r="C1499" s="1" t="n">
        <v>45584</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28782-2024</t>
        </is>
      </c>
      <c r="B1500" s="1" t="n">
        <v>45478</v>
      </c>
      <c r="C1500" s="1" t="n">
        <v>45584</v>
      </c>
      <c r="D1500" t="inlineStr">
        <is>
          <t>UPPSALA LÄN</t>
        </is>
      </c>
      <c r="E1500" t="inlineStr">
        <is>
          <t>UPPSALA</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29081-2024</t>
        </is>
      </c>
      <c r="B1501" s="1" t="n">
        <v>45481</v>
      </c>
      <c r="C1501" s="1" t="n">
        <v>45584</v>
      </c>
      <c r="D1501" t="inlineStr">
        <is>
          <t>UPPSALA LÄN</t>
        </is>
      </c>
      <c r="E1501" t="inlineStr">
        <is>
          <t>UPPSALA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29082-2024</t>
        </is>
      </c>
      <c r="B1502" s="1" t="n">
        <v>45481</v>
      </c>
      <c r="C1502" s="1" t="n">
        <v>45584</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29164-2024</t>
        </is>
      </c>
      <c r="B1503" s="1" t="n">
        <v>45482</v>
      </c>
      <c r="C1503" s="1" t="n">
        <v>45584</v>
      </c>
      <c r="D1503" t="inlineStr">
        <is>
          <t>UPPSALA LÄN</t>
        </is>
      </c>
      <c r="E1503" t="inlineStr">
        <is>
          <t>UPPSALA</t>
        </is>
      </c>
      <c r="F1503" t="inlineStr">
        <is>
          <t>Allmännings- och besparingsskogar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30079-2024</t>
        </is>
      </c>
      <c r="B1504" s="1" t="n">
        <v>45489</v>
      </c>
      <c r="C1504" s="1" t="n">
        <v>45584</v>
      </c>
      <c r="D1504" t="inlineStr">
        <is>
          <t>UPPSALA LÄN</t>
        </is>
      </c>
      <c r="E1504" t="inlineStr">
        <is>
          <t>UPPSALA</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45584</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31717-2024</t>
        </is>
      </c>
      <c r="B1506" s="1" t="n">
        <v>45509</v>
      </c>
      <c r="C1506" s="1" t="n">
        <v>45584</v>
      </c>
      <c r="D1506" t="inlineStr">
        <is>
          <t>UPPSALA LÄN</t>
        </is>
      </c>
      <c r="E1506" t="inlineStr">
        <is>
          <t>UPPSALA</t>
        </is>
      </c>
      <c r="F1506" t="inlineStr">
        <is>
          <t>Bergvik skog öst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32119-2024</t>
        </is>
      </c>
      <c r="B1507" s="1" t="n">
        <v>45511</v>
      </c>
      <c r="C1507" s="1" t="n">
        <v>45584</v>
      </c>
      <c r="D1507" t="inlineStr">
        <is>
          <t>UPPSALA LÄN</t>
        </is>
      </c>
      <c r="E1507" t="inlineStr">
        <is>
          <t>UPPSALA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32127-2024</t>
        </is>
      </c>
      <c r="B1508" s="1" t="n">
        <v>45511</v>
      </c>
      <c r="C1508" s="1" t="n">
        <v>45584</v>
      </c>
      <c r="D1508" t="inlineStr">
        <is>
          <t>UPPSALA LÄN</t>
        </is>
      </c>
      <c r="E1508" t="inlineStr">
        <is>
          <t>UPPSALA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32106-2024</t>
        </is>
      </c>
      <c r="B1509" s="1" t="n">
        <v>45511</v>
      </c>
      <c r="C1509" s="1" t="n">
        <v>45584</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32117-2024</t>
        </is>
      </c>
      <c r="B1510" s="1" t="n">
        <v>45511</v>
      </c>
      <c r="C1510" s="1" t="n">
        <v>45584</v>
      </c>
      <c r="D1510" t="inlineStr">
        <is>
          <t>UPPSALA LÄN</t>
        </is>
      </c>
      <c r="E1510" t="inlineStr">
        <is>
          <t>UPPSALA</t>
        </is>
      </c>
      <c r="F1510" t="inlineStr">
        <is>
          <t>Allmännings- och besparingsskogar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32554-2024</t>
        </is>
      </c>
      <c r="B1511" s="1" t="n">
        <v>45513</v>
      </c>
      <c r="C1511" s="1" t="n">
        <v>45584</v>
      </c>
      <c r="D1511" t="inlineStr">
        <is>
          <t>UPPSALA LÄN</t>
        </is>
      </c>
      <c r="E1511" t="inlineStr">
        <is>
          <t>UPPSALA</t>
        </is>
      </c>
      <c r="F1511" t="inlineStr">
        <is>
          <t>Bergvik skog öst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32553-2024</t>
        </is>
      </c>
      <c r="B1512" s="1" t="n">
        <v>45513</v>
      </c>
      <c r="C1512" s="1" t="n">
        <v>45584</v>
      </c>
      <c r="D1512" t="inlineStr">
        <is>
          <t>UPPSALA LÄN</t>
        </is>
      </c>
      <c r="E1512" t="inlineStr">
        <is>
          <t>UPPSALA</t>
        </is>
      </c>
      <c r="F1512" t="inlineStr">
        <is>
          <t>Bergvik skog öst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45584</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33667-2024</t>
        </is>
      </c>
      <c r="B1514" s="1" t="n">
        <v>45520</v>
      </c>
      <c r="C1514" s="1" t="n">
        <v>45584</v>
      </c>
      <c r="D1514" t="inlineStr">
        <is>
          <t>UPPSALA LÄN</t>
        </is>
      </c>
      <c r="E1514" t="inlineStr">
        <is>
          <t>UPPSALA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33816-2024</t>
        </is>
      </c>
      <c r="B1515" s="1" t="n">
        <v>45520</v>
      </c>
      <c r="C1515" s="1" t="n">
        <v>45584</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33939-2024</t>
        </is>
      </c>
      <c r="B1516" s="1" t="n">
        <v>45523</v>
      </c>
      <c r="C1516" s="1" t="n">
        <v>45584</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34147-2024</t>
        </is>
      </c>
      <c r="B1517" s="1" t="n">
        <v>45524</v>
      </c>
      <c r="C1517" s="1" t="n">
        <v>45584</v>
      </c>
      <c r="D1517" t="inlineStr">
        <is>
          <t>UPPSALA LÄN</t>
        </is>
      </c>
      <c r="E1517" t="inlineStr">
        <is>
          <t>UPPSALA</t>
        </is>
      </c>
      <c r="F1517" t="inlineStr">
        <is>
          <t>Allmännings- och besparingsskogar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34114-2024</t>
        </is>
      </c>
      <c r="B1518" s="1" t="n">
        <v>45524</v>
      </c>
      <c r="C1518" s="1" t="n">
        <v>45584</v>
      </c>
      <c r="D1518" t="inlineStr">
        <is>
          <t>UPPSALA LÄN</t>
        </is>
      </c>
      <c r="E1518" t="inlineStr">
        <is>
          <t>UPPSALA</t>
        </is>
      </c>
      <c r="F1518" t="inlineStr">
        <is>
          <t>Allmännings- och besparingsskogar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34520-2024</t>
        </is>
      </c>
      <c r="B1519" s="1" t="n">
        <v>45525</v>
      </c>
      <c r="C1519" s="1" t="n">
        <v>45584</v>
      </c>
      <c r="D1519" t="inlineStr">
        <is>
          <t>UPPSALA LÄN</t>
        </is>
      </c>
      <c r="E1519" t="inlineStr">
        <is>
          <t>UPPSALA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34656-2024</t>
        </is>
      </c>
      <c r="B1520" s="1" t="n">
        <v>45526</v>
      </c>
      <c r="C1520" s="1" t="n">
        <v>45584</v>
      </c>
      <c r="D1520" t="inlineStr">
        <is>
          <t>UPPSALA LÄN</t>
        </is>
      </c>
      <c r="E1520" t="inlineStr">
        <is>
          <t>UPPSALA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34623-2024</t>
        </is>
      </c>
      <c r="B1521" s="1" t="n">
        <v>45526</v>
      </c>
      <c r="C1521" s="1" t="n">
        <v>45584</v>
      </c>
      <c r="D1521" t="inlineStr">
        <is>
          <t>UPPSALA LÄN</t>
        </is>
      </c>
      <c r="E1521" t="inlineStr">
        <is>
          <t>UPPSALA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35830-2024</t>
        </is>
      </c>
      <c r="B1522" s="1" t="n">
        <v>45532</v>
      </c>
      <c r="C1522" s="1" t="n">
        <v>45584</v>
      </c>
      <c r="D1522" t="inlineStr">
        <is>
          <t>UPPSALA LÄN</t>
        </is>
      </c>
      <c r="E1522" t="inlineStr">
        <is>
          <t>UPPSALA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36015-2024</t>
        </is>
      </c>
      <c r="B1523" s="1" t="n">
        <v>45533</v>
      </c>
      <c r="C1523" s="1" t="n">
        <v>45584</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36029-2024</t>
        </is>
      </c>
      <c r="B1524" s="1" t="n">
        <v>45533</v>
      </c>
      <c r="C1524" s="1" t="n">
        <v>45584</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36041-2024</t>
        </is>
      </c>
      <c r="B1525" s="1" t="n">
        <v>45533</v>
      </c>
      <c r="C1525" s="1" t="n">
        <v>45584</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37032-2024</t>
        </is>
      </c>
      <c r="B1526" s="1" t="n">
        <v>45539</v>
      </c>
      <c r="C1526" s="1" t="n">
        <v>45584</v>
      </c>
      <c r="D1526" t="inlineStr">
        <is>
          <t>UPPSALA LÄN</t>
        </is>
      </c>
      <c r="E1526" t="inlineStr">
        <is>
          <t>UPPSALA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37033-2024</t>
        </is>
      </c>
      <c r="B1527" s="1" t="n">
        <v>45539</v>
      </c>
      <c r="C1527" s="1" t="n">
        <v>45584</v>
      </c>
      <c r="D1527" t="inlineStr">
        <is>
          <t>UPPSALA LÄN</t>
        </is>
      </c>
      <c r="E1527" t="inlineStr">
        <is>
          <t>UPPSALA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37307-2024</t>
        </is>
      </c>
      <c r="B1528" s="1" t="n">
        <v>45540</v>
      </c>
      <c r="C1528" s="1" t="n">
        <v>45584</v>
      </c>
      <c r="D1528" t="inlineStr">
        <is>
          <t>UPPSALA LÄN</t>
        </is>
      </c>
      <c r="E1528" t="inlineStr">
        <is>
          <t>UPPSALA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45584</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37666-2024</t>
        </is>
      </c>
      <c r="B1530" s="1" t="n">
        <v>45541</v>
      </c>
      <c r="C1530" s="1" t="n">
        <v>45584</v>
      </c>
      <c r="D1530" t="inlineStr">
        <is>
          <t>UPPSALA LÄN</t>
        </is>
      </c>
      <c r="E1530" t="inlineStr">
        <is>
          <t>UPPSALA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37579-2024</t>
        </is>
      </c>
      <c r="B1531" s="1" t="n">
        <v>45541</v>
      </c>
      <c r="C1531" s="1" t="n">
        <v>45584</v>
      </c>
      <c r="D1531" t="inlineStr">
        <is>
          <t>UPPSALA LÄN</t>
        </is>
      </c>
      <c r="E1531" t="inlineStr">
        <is>
          <t>UPPSALA</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37671-2024</t>
        </is>
      </c>
      <c r="B1532" s="1" t="n">
        <v>45541</v>
      </c>
      <c r="C1532" s="1" t="n">
        <v>45584</v>
      </c>
      <c r="D1532" t="inlineStr">
        <is>
          <t>UPPSALA LÄN</t>
        </is>
      </c>
      <c r="E1532" t="inlineStr">
        <is>
          <t>UPPSALA</t>
        </is>
      </c>
      <c r="F1532" t="inlineStr">
        <is>
          <t>Övriga Aktiebolag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38119-2024</t>
        </is>
      </c>
      <c r="B1533" s="1" t="n">
        <v>45545</v>
      </c>
      <c r="C1533" s="1" t="n">
        <v>45584</v>
      </c>
      <c r="D1533" t="inlineStr">
        <is>
          <t>UPPSALA LÄN</t>
        </is>
      </c>
      <c r="E1533" t="inlineStr">
        <is>
          <t>UPPSALA</t>
        </is>
      </c>
      <c r="F1533" t="inlineStr">
        <is>
          <t>Övriga Aktiebolag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38958-2024</t>
        </is>
      </c>
      <c r="B1534" s="1" t="n">
        <v>45548</v>
      </c>
      <c r="C1534" s="1" t="n">
        <v>45584</v>
      </c>
      <c r="D1534" t="inlineStr">
        <is>
          <t>UPPSALA LÄN</t>
        </is>
      </c>
      <c r="E1534" t="inlineStr">
        <is>
          <t>UPPSALA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39007-2024</t>
        </is>
      </c>
      <c r="B1535" s="1" t="n">
        <v>45548</v>
      </c>
      <c r="C1535" s="1" t="n">
        <v>45584</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39359-2024</t>
        </is>
      </c>
      <c r="B1536" s="1" t="n">
        <v>45551</v>
      </c>
      <c r="C1536" s="1" t="n">
        <v>45584</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39818-2024</t>
        </is>
      </c>
      <c r="B1537" s="1" t="n">
        <v>45552</v>
      </c>
      <c r="C1537" s="1" t="n">
        <v>45584</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39812-2024</t>
        </is>
      </c>
      <c r="B1538" s="1" t="n">
        <v>45552</v>
      </c>
      <c r="C1538" s="1" t="n">
        <v>45584</v>
      </c>
      <c r="D1538" t="inlineStr">
        <is>
          <t>UPPSALA LÄN</t>
        </is>
      </c>
      <c r="E1538" t="inlineStr">
        <is>
          <t>UPPSALA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39926-2024</t>
        </is>
      </c>
      <c r="B1539" s="1" t="n">
        <v>45553</v>
      </c>
      <c r="C1539" s="1" t="n">
        <v>45584</v>
      </c>
      <c r="D1539" t="inlineStr">
        <is>
          <t>UPPSALA LÄN</t>
        </is>
      </c>
      <c r="E1539" t="inlineStr">
        <is>
          <t>UPPSALA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40111-2024</t>
        </is>
      </c>
      <c r="B1540" s="1" t="n">
        <v>45554</v>
      </c>
      <c r="C1540" s="1" t="n">
        <v>45584</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40326-2024</t>
        </is>
      </c>
      <c r="B1541" s="1" t="n">
        <v>45554</v>
      </c>
      <c r="C1541" s="1" t="n">
        <v>45584</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40491-2024</t>
        </is>
      </c>
      <c r="B1542" s="1" t="n">
        <v>45555</v>
      </c>
      <c r="C1542" s="1" t="n">
        <v>45584</v>
      </c>
      <c r="D1542" t="inlineStr">
        <is>
          <t>UPPSALA LÄN</t>
        </is>
      </c>
      <c r="E1542" t="inlineStr">
        <is>
          <t>UPPSALA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40503-2024</t>
        </is>
      </c>
      <c r="B1543" s="1" t="n">
        <v>45555</v>
      </c>
      <c r="C1543" s="1" t="n">
        <v>45584</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40753-2024</t>
        </is>
      </c>
      <c r="B1544" s="1" t="n">
        <v>45558</v>
      </c>
      <c r="C1544" s="1" t="n">
        <v>45584</v>
      </c>
      <c r="D1544" t="inlineStr">
        <is>
          <t>UPPSALA LÄN</t>
        </is>
      </c>
      <c r="E1544" t="inlineStr">
        <is>
          <t>UPPSALA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40701-2024</t>
        </is>
      </c>
      <c r="B1545" s="1" t="n">
        <v>45558</v>
      </c>
      <c r="C1545" s="1" t="n">
        <v>45584</v>
      </c>
      <c r="D1545" t="inlineStr">
        <is>
          <t>UPPSALA LÄN</t>
        </is>
      </c>
      <c r="E1545" t="inlineStr">
        <is>
          <t>UPPSALA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42259-2024</t>
        </is>
      </c>
      <c r="B1546" s="1" t="n">
        <v>45562</v>
      </c>
      <c r="C1546" s="1" t="n">
        <v>45584</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42146-2024</t>
        </is>
      </c>
      <c r="B1547" s="1" t="n">
        <v>45562</v>
      </c>
      <c r="C1547" s="1" t="n">
        <v>45584</v>
      </c>
      <c r="D1547" t="inlineStr">
        <is>
          <t>UPPSALA LÄN</t>
        </is>
      </c>
      <c r="E1547" t="inlineStr">
        <is>
          <t>UPPSALA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42143-2024</t>
        </is>
      </c>
      <c r="B1548" s="1" t="n">
        <v>45562</v>
      </c>
      <c r="C1548" s="1" t="n">
        <v>45584</v>
      </c>
      <c r="D1548" t="inlineStr">
        <is>
          <t>UPPSALA LÄN</t>
        </is>
      </c>
      <c r="E1548" t="inlineStr">
        <is>
          <t>UPPSALA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45584</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43361-2024</t>
        </is>
      </c>
      <c r="B1550" s="1" t="n">
        <v>45568</v>
      </c>
      <c r="C1550" s="1" t="n">
        <v>45584</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43960-2024</t>
        </is>
      </c>
      <c r="B1551" s="1" t="n">
        <v>45572</v>
      </c>
      <c r="C1551" s="1" t="n">
        <v>45584</v>
      </c>
      <c r="D1551" t="inlineStr">
        <is>
          <t>UPPSALA LÄN</t>
        </is>
      </c>
      <c r="E1551" t="inlineStr">
        <is>
          <t>UPPSALA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43959-2024</t>
        </is>
      </c>
      <c r="B1552" s="1" t="n">
        <v>45572</v>
      </c>
      <c r="C1552" s="1" t="n">
        <v>45584</v>
      </c>
      <c r="D1552" t="inlineStr">
        <is>
          <t>UPPSALA LÄN</t>
        </is>
      </c>
      <c r="E1552" t="inlineStr">
        <is>
          <t>UPPSALA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43951-2024</t>
        </is>
      </c>
      <c r="B1553" s="1" t="n">
        <v>45572</v>
      </c>
      <c r="C1553" s="1" t="n">
        <v>45584</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44560-2024</t>
        </is>
      </c>
      <c r="B1554" s="1" t="n">
        <v>45574</v>
      </c>
      <c r="C1554" s="1" t="n">
        <v>45584</v>
      </c>
      <c r="D1554" t="inlineStr">
        <is>
          <t>UPPSALA LÄN</t>
        </is>
      </c>
      <c r="E1554" t="inlineStr">
        <is>
          <t>UPPSALA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44550-2024</t>
        </is>
      </c>
      <c r="B1555" s="1" t="n">
        <v>45574</v>
      </c>
      <c r="C1555" s="1" t="n">
        <v>45584</v>
      </c>
      <c r="D1555" t="inlineStr">
        <is>
          <t>UPPSALA LÄN</t>
        </is>
      </c>
      <c r="E1555" t="inlineStr">
        <is>
          <t>UPPSALA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44563-2024</t>
        </is>
      </c>
      <c r="B1556" s="1" t="n">
        <v>45574</v>
      </c>
      <c r="C1556" s="1" t="n">
        <v>45584</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45584</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44847-2024</t>
        </is>
      </c>
      <c r="B1558" s="1" t="n">
        <v>45574</v>
      </c>
      <c r="C1558" s="1" t="n">
        <v>45584</v>
      </c>
      <c r="D1558" t="inlineStr">
        <is>
          <t>UPPSALA LÄN</t>
        </is>
      </c>
      <c r="E1558" t="inlineStr">
        <is>
          <t>UPPSALA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44946-2024</t>
        </is>
      </c>
      <c r="B1559" s="1" t="n">
        <v>45575</v>
      </c>
      <c r="C1559" s="1" t="n">
        <v>45584</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45878-2024</t>
        </is>
      </c>
      <c r="B1560" s="1" t="n">
        <v>45580</v>
      </c>
      <c r="C1560" s="1" t="n">
        <v>45584</v>
      </c>
      <c r="D1560" t="inlineStr">
        <is>
          <t>UPPSALA LÄN</t>
        </is>
      </c>
      <c r="E1560" t="inlineStr">
        <is>
          <t>UPPSALA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46700-2024</t>
        </is>
      </c>
      <c r="B1561" s="1" t="n">
        <v>45583</v>
      </c>
      <c r="C1561" s="1" t="n">
        <v>45584</v>
      </c>
      <c r="D1561" t="inlineStr">
        <is>
          <t>UPPSALA LÄN</t>
        </is>
      </c>
      <c r="E1561" t="inlineStr">
        <is>
          <t>UPPSALA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46730-2024</t>
        </is>
      </c>
      <c r="B1562" s="1" t="n">
        <v>45583</v>
      </c>
      <c r="C1562" s="1" t="n">
        <v>45584</v>
      </c>
      <c r="D1562" t="inlineStr">
        <is>
          <t>UPPSALA LÄN</t>
        </is>
      </c>
      <c r="E1562" t="inlineStr">
        <is>
          <t>UPPSALA</t>
        </is>
      </c>
      <c r="F1562" t="inlineStr">
        <is>
          <t>Sveaskog</t>
        </is>
      </c>
      <c r="G1562" t="n">
        <v>6.5</v>
      </c>
      <c r="H1562" t="n">
        <v>0</v>
      </c>
      <c r="I1562" t="n">
        <v>0</v>
      </c>
      <c r="J1562" t="n">
        <v>0</v>
      </c>
      <c r="K1562" t="n">
        <v>0</v>
      </c>
      <c r="L1562" t="n">
        <v>0</v>
      </c>
      <c r="M1562" t="n">
        <v>0</v>
      </c>
      <c r="N1562" t="n">
        <v>0</v>
      </c>
      <c r="O1562" t="n">
        <v>0</v>
      </c>
      <c r="P1562" t="n">
        <v>0</v>
      </c>
      <c r="Q1562" t="n">
        <v>0</v>
      </c>
      <c r="R1562" s="2" t="inlineStr"/>
      <c r="U1562">
        <f>HYPERLINK("https://klasma.github.io/Logging_0380/knärot/A 46730-2024 karta knärot.png", "A 46730-2024")</f>
        <v/>
      </c>
      <c r="V1562">
        <f>HYPERLINK("https://klasma.github.io/Logging_0380/klagomål/A 46730-2024 FSC-klagomål.docx", "A 46730-2024")</f>
        <v/>
      </c>
      <c r="W1562">
        <f>HYPERLINK("https://klasma.github.io/Logging_0380/klagomålsmail/A 46730-2024 FSC-klagomål mail.docx", "A 46730-2024")</f>
        <v/>
      </c>
      <c r="X1562">
        <f>HYPERLINK("https://klasma.github.io/Logging_0380/tillsyn/A 46730-2024 tillsynsbegäran.docx", "A 46730-2024")</f>
        <v/>
      </c>
      <c r="Y1562">
        <f>HYPERLINK("https://klasma.github.io/Logging_0380/tillsynsmail/A 46730-2024 tillsynsbegäran mail.docx", "A 46730-2024")</f>
        <v/>
      </c>
    </row>
    <row r="1563" ht="15" customHeight="1">
      <c r="A1563" t="inlineStr">
        <is>
          <t>A 46745-2024</t>
        </is>
      </c>
      <c r="B1563" s="1" t="n">
        <v>45583</v>
      </c>
      <c r="C1563" s="1" t="n">
        <v>45584</v>
      </c>
      <c r="D1563" t="inlineStr">
        <is>
          <t>UPPSALA LÄN</t>
        </is>
      </c>
      <c r="E1563" t="inlineStr">
        <is>
          <t>UPPSALA</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45584</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46791-2024</t>
        </is>
      </c>
      <c r="B1565" s="1" t="n">
        <v>45583</v>
      </c>
      <c r="C1565" s="1" t="n">
        <v>45584</v>
      </c>
      <c r="D1565" t="inlineStr">
        <is>
          <t>UPPSALA LÄN</t>
        </is>
      </c>
      <c r="E1565" t="inlineStr">
        <is>
          <t>UPPSALA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46821-2024</t>
        </is>
      </c>
      <c r="B1566" s="1" t="n">
        <v>45583</v>
      </c>
      <c r="C1566" s="1" t="n">
        <v>45584</v>
      </c>
      <c r="D1566" t="inlineStr">
        <is>
          <t>UPPSALA LÄN</t>
        </is>
      </c>
      <c r="E1566" t="inlineStr">
        <is>
          <t>UPPSALA</t>
        </is>
      </c>
      <c r="F1566" t="inlineStr">
        <is>
          <t>Holmen skog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45584</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46748-2024</t>
        </is>
      </c>
      <c r="B1568" s="1" t="n">
        <v>45583</v>
      </c>
      <c r="C1568" s="1" t="n">
        <v>45584</v>
      </c>
      <c r="D1568" t="inlineStr">
        <is>
          <t>UPPSALA LÄN</t>
        </is>
      </c>
      <c r="E1568" t="inlineStr">
        <is>
          <t>UPPSALA</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45584</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45584</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c r="A1571" t="inlineStr">
        <is>
          <t>A 46751-2024</t>
        </is>
      </c>
      <c r="B1571" s="1" t="n">
        <v>45583</v>
      </c>
      <c r="C1571" s="1" t="n">
        <v>45584</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2024-10-19T12:19:15Z</dcterms:created>
  <dcterms:modified xmlns:dcterms="http://purl.org/dc/terms/" xmlns:xsi="http://www.w3.org/2001/XMLSchema-instance" xsi:type="dcterms:W3CDTF">2024-10-19T12:19:17Z</dcterms:modified>
</cp:coreProperties>
</file>