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45933</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45933</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45933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45933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38085-2025</t>
        </is>
      </c>
      <c r="B10" s="1" t="n">
        <v>45882</v>
      </c>
      <c r="C10" s="1" t="n">
        <v>45933</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11833-2025</t>
        </is>
      </c>
      <c r="B11" s="1" t="n">
        <v>45728</v>
      </c>
      <c r="C11" s="1" t="n">
        <v>45933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43970-2025</t>
        </is>
      </c>
      <c r="B12" s="1" t="n">
        <v>45915</v>
      </c>
      <c r="C12" s="1" t="n">
        <v>45933</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45933</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25143-2023</t>
        </is>
      </c>
      <c r="B14" s="1" t="n">
        <v>45086</v>
      </c>
      <c r="C14" s="1" t="n">
        <v>45933</v>
      </c>
      <c r="D14" t="inlineStr">
        <is>
          <t>UPPSALA LÄN</t>
        </is>
      </c>
      <c r="E14" t="inlineStr">
        <is>
          <t>UPPSALA</t>
        </is>
      </c>
      <c r="G14" t="n">
        <v>15.9</v>
      </c>
      <c r="H14" t="n">
        <v>5</v>
      </c>
      <c r="I14" t="n">
        <v>4</v>
      </c>
      <c r="J14" t="n">
        <v>2</v>
      </c>
      <c r="K14" t="n">
        <v>0</v>
      </c>
      <c r="L14" t="n">
        <v>0</v>
      </c>
      <c r="M14" t="n">
        <v>0</v>
      </c>
      <c r="N14" t="n">
        <v>0</v>
      </c>
      <c r="O14" t="n">
        <v>2</v>
      </c>
      <c r="P14" t="n">
        <v>0</v>
      </c>
      <c r="Q14" t="n">
        <v>11</v>
      </c>
      <c r="R14" s="2" t="inlineStr">
        <is>
          <t>Grönhjon
Ullticka
Bronshjon
Fällmossa
Granbarkgnagare
Guldlockmossa
Grönsiska
Kungsfågel
Åkergroda
Vanlig groda
Revlummer</t>
        </is>
      </c>
      <c r="S14">
        <f>HYPERLINK("https://klasma.github.io/Logging_0380/artfynd/A 25143-2023 artfynd.xlsx", "A 25143-2023")</f>
        <v/>
      </c>
      <c r="T14">
        <f>HYPERLINK("https://klasma.github.io/Logging_0380/kartor/A 25143-2023 karta.png", "A 25143-2023")</f>
        <v/>
      </c>
      <c r="U14">
        <f>HYPERLINK("https://klasma.github.io/Logging_0380/knärot/A 25143-2023 karta knärot.png", "A 25143-2023")</f>
        <v/>
      </c>
      <c r="V14">
        <f>HYPERLINK("https://klasma.github.io/Logging_0380/klagomål/A 25143-2023 FSC-klagomål.docx", "A 25143-2023")</f>
        <v/>
      </c>
      <c r="W14">
        <f>HYPERLINK("https://klasma.github.io/Logging_0380/klagomålsmail/A 25143-2023 FSC-klagomål mail.docx", "A 25143-2023")</f>
        <v/>
      </c>
      <c r="X14">
        <f>HYPERLINK("https://klasma.github.io/Logging_0380/tillsyn/A 25143-2023 tillsynsbegäran.docx", "A 25143-2023")</f>
        <v/>
      </c>
      <c r="Y14">
        <f>HYPERLINK("https://klasma.github.io/Logging_0380/tillsynsmail/A 25143-2023 tillsynsbegäran mail.docx", "A 25143-2023")</f>
        <v/>
      </c>
      <c r="Z14">
        <f>HYPERLINK("https://klasma.github.io/Logging_0380/fåglar/A 25143-2023 prioriterade fågelarter.docx", "A 25143-2023")</f>
        <v/>
      </c>
    </row>
    <row r="15" ht="15" customHeight="1">
      <c r="A15" t="inlineStr">
        <is>
          <t>A 3929-2021</t>
        </is>
      </c>
      <c r="B15" s="1" t="n">
        <v>44222</v>
      </c>
      <c r="C15" s="1" t="n">
        <v>45933</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47453-2023</t>
        </is>
      </c>
      <c r="B16" s="1" t="n">
        <v>45202</v>
      </c>
      <c r="C16" s="1" t="n">
        <v>45933</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45933</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25604-2025</t>
        </is>
      </c>
      <c r="B18" s="1" t="n">
        <v>45803.55260416667</v>
      </c>
      <c r="C18" s="1" t="n">
        <v>45933</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25609-2025</t>
        </is>
      </c>
      <c r="B19" s="1" t="n">
        <v>45803.55737268519</v>
      </c>
      <c r="C19" s="1" t="n">
        <v>45933</v>
      </c>
      <c r="D19" t="inlineStr">
        <is>
          <t>UPPSALA LÄN</t>
        </is>
      </c>
      <c r="E19" t="inlineStr">
        <is>
          <t>UPPSALA</t>
        </is>
      </c>
      <c r="F19" t="inlineStr">
        <is>
          <t>Holmen skog AB</t>
        </is>
      </c>
      <c r="G19" t="n">
        <v>4.5</v>
      </c>
      <c r="H19" t="n">
        <v>4</v>
      </c>
      <c r="I19" t="n">
        <v>5</v>
      </c>
      <c r="J19" t="n">
        <v>2</v>
      </c>
      <c r="K19" t="n">
        <v>2</v>
      </c>
      <c r="L19" t="n">
        <v>0</v>
      </c>
      <c r="M19" t="n">
        <v>0</v>
      </c>
      <c r="N19" t="n">
        <v>0</v>
      </c>
      <c r="O19" t="n">
        <v>4</v>
      </c>
      <c r="P19" t="n">
        <v>2</v>
      </c>
      <c r="Q19" t="n">
        <v>11</v>
      </c>
      <c r="R19" s="2" t="inlineStr">
        <is>
          <t>Knärot
Laxporing
Spillkråka
Vedtrappmossa
Bronshjon
Grönpyrola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2021-2022</t>
        </is>
      </c>
      <c r="B20" s="1" t="n">
        <v>44575</v>
      </c>
      <c r="C20" s="1" t="n">
        <v>45933</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17846-2025</t>
        </is>
      </c>
      <c r="B21" s="1" t="n">
        <v>45758</v>
      </c>
      <c r="C21" s="1" t="n">
        <v>45933</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46162-2023</t>
        </is>
      </c>
      <c r="B22" s="1" t="n">
        <v>45196</v>
      </c>
      <c r="C22" s="1" t="n">
        <v>45933</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28450-2021</t>
        </is>
      </c>
      <c r="B23" s="1" t="n">
        <v>44356</v>
      </c>
      <c r="C23" s="1" t="n">
        <v>45933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66979-2020</t>
        </is>
      </c>
      <c r="B24" s="1" t="n">
        <v>44180</v>
      </c>
      <c r="C24" s="1" t="n">
        <v>45933</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45933</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45933</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45933</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45933</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45933</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33636-2025</t>
        </is>
      </c>
      <c r="B30" s="1" t="n">
        <v>45841.64539351852</v>
      </c>
      <c r="C30" s="1" t="n">
        <v>45933</v>
      </c>
      <c r="D30" t="inlineStr">
        <is>
          <t>UPPSALA LÄN</t>
        </is>
      </c>
      <c r="E30" t="inlineStr">
        <is>
          <t>UPPSALA</t>
        </is>
      </c>
      <c r="F30" t="inlineStr">
        <is>
          <t>Holmen skog AB</t>
        </is>
      </c>
      <c r="G30" t="n">
        <v>13.3</v>
      </c>
      <c r="H30" t="n">
        <v>0</v>
      </c>
      <c r="I30" t="n">
        <v>4</v>
      </c>
      <c r="J30" t="n">
        <v>2</v>
      </c>
      <c r="K30" t="n">
        <v>0</v>
      </c>
      <c r="L30" t="n">
        <v>0</v>
      </c>
      <c r="M30" t="n">
        <v>0</v>
      </c>
      <c r="N30" t="n">
        <v>0</v>
      </c>
      <c r="O30" t="n">
        <v>2</v>
      </c>
      <c r="P30" t="n">
        <v>0</v>
      </c>
      <c r="Q30" t="n">
        <v>6</v>
      </c>
      <c r="R30" s="2" t="inlineStr">
        <is>
          <t>Lunglav
Rödbrun blekspik
Blåsfliksmossa
Brun nållav
Fällmossa
Skarp dropptaggsvamp</t>
        </is>
      </c>
      <c r="S30">
        <f>HYPERLINK("https://klasma.github.io/Logging_0380/artfynd/A 33636-2025 artfynd.xlsx", "A 33636-2025")</f>
        <v/>
      </c>
      <c r="T30">
        <f>HYPERLINK("https://klasma.github.io/Logging_0380/kartor/A 33636-2025 karta.png", "A 33636-2025")</f>
        <v/>
      </c>
      <c r="V30">
        <f>HYPERLINK("https://klasma.github.io/Logging_0380/klagomål/A 33636-2025 FSC-klagomål.docx", "A 33636-2025")</f>
        <v/>
      </c>
      <c r="W30">
        <f>HYPERLINK("https://klasma.github.io/Logging_0380/klagomålsmail/A 33636-2025 FSC-klagomål mail.docx", "A 33636-2025")</f>
        <v/>
      </c>
      <c r="X30">
        <f>HYPERLINK("https://klasma.github.io/Logging_0380/tillsyn/A 33636-2025 tillsynsbegäran.docx", "A 33636-2025")</f>
        <v/>
      </c>
      <c r="Y30">
        <f>HYPERLINK("https://klasma.github.io/Logging_0380/tillsynsmail/A 33636-2025 tillsynsbegäran mail.docx", "A 33636-2025")</f>
        <v/>
      </c>
    </row>
    <row r="31" ht="15" customHeight="1">
      <c r="A31" t="inlineStr">
        <is>
          <t>A 33707-2025</t>
        </is>
      </c>
      <c r="B31" s="1" t="n">
        <v>45841.80690972223</v>
      </c>
      <c r="C31" s="1" t="n">
        <v>45933</v>
      </c>
      <c r="D31" t="inlineStr">
        <is>
          <t>UPPSALA LÄN</t>
        </is>
      </c>
      <c r="E31" t="inlineStr">
        <is>
          <t>UPPSALA</t>
        </is>
      </c>
      <c r="F31" t="inlineStr">
        <is>
          <t>Holmen skog AB</t>
        </is>
      </c>
      <c r="G31" t="n">
        <v>7.9</v>
      </c>
      <c r="H31" t="n">
        <v>4</v>
      </c>
      <c r="I31" t="n">
        <v>2</v>
      </c>
      <c r="J31" t="n">
        <v>2</v>
      </c>
      <c r="K31" t="n">
        <v>0</v>
      </c>
      <c r="L31" t="n">
        <v>0</v>
      </c>
      <c r="M31" t="n">
        <v>0</v>
      </c>
      <c r="N31" t="n">
        <v>0</v>
      </c>
      <c r="O31" t="n">
        <v>2</v>
      </c>
      <c r="P31" t="n">
        <v>0</v>
      </c>
      <c r="Q31" t="n">
        <v>6</v>
      </c>
      <c r="R31" s="2" t="inlineStr">
        <is>
          <t>Buskskvätta
Gulsparv
Brandticka
Fjällig taggsvamp s.str.
Tjäder
Revlummer</t>
        </is>
      </c>
      <c r="S31">
        <f>HYPERLINK("https://klasma.github.io/Logging_0380/artfynd/A 33707-2025 artfynd.xlsx", "A 33707-2025")</f>
        <v/>
      </c>
      <c r="T31">
        <f>HYPERLINK("https://klasma.github.io/Logging_0380/kartor/A 33707-2025 karta.png", "A 33707-2025")</f>
        <v/>
      </c>
      <c r="V31">
        <f>HYPERLINK("https://klasma.github.io/Logging_0380/klagomål/A 33707-2025 FSC-klagomål.docx", "A 33707-2025")</f>
        <v/>
      </c>
      <c r="W31">
        <f>HYPERLINK("https://klasma.github.io/Logging_0380/klagomålsmail/A 33707-2025 FSC-klagomål mail.docx", "A 33707-2025")</f>
        <v/>
      </c>
      <c r="X31">
        <f>HYPERLINK("https://klasma.github.io/Logging_0380/tillsyn/A 33707-2025 tillsynsbegäran.docx", "A 33707-2025")</f>
        <v/>
      </c>
      <c r="Y31">
        <f>HYPERLINK("https://klasma.github.io/Logging_0380/tillsynsmail/A 33707-2025 tillsynsbegäran mail.docx", "A 33707-2025")</f>
        <v/>
      </c>
      <c r="Z31">
        <f>HYPERLINK("https://klasma.github.io/Logging_0380/fåglar/A 33707-2025 prioriterade fågelarter.docx", "A 33707-2025")</f>
        <v/>
      </c>
    </row>
    <row r="32" ht="15" customHeight="1">
      <c r="A32" t="inlineStr">
        <is>
          <t>A 69711-2021</t>
        </is>
      </c>
      <c r="B32" s="1" t="n">
        <v>44532</v>
      </c>
      <c r="C32" s="1" t="n">
        <v>45933</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25651-2025</t>
        </is>
      </c>
      <c r="B33" s="1" t="n">
        <v>45803.61035879629</v>
      </c>
      <c r="C33" s="1" t="n">
        <v>45933</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61388-2021</t>
        </is>
      </c>
      <c r="B34" s="1" t="n">
        <v>44500</v>
      </c>
      <c r="C34" s="1" t="n">
        <v>45933</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45933</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1725-2022</t>
        </is>
      </c>
      <c r="B36" s="1" t="n">
        <v>44574</v>
      </c>
      <c r="C36" s="1" t="n">
        <v>45933</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21809-2024</t>
        </is>
      </c>
      <c r="B37" s="1" t="n">
        <v>45442</v>
      </c>
      <c r="C37" s="1" t="n">
        <v>45933</v>
      </c>
      <c r="D37" t="inlineStr">
        <is>
          <t>UPPSALA LÄN</t>
        </is>
      </c>
      <c r="E37" t="inlineStr">
        <is>
          <t>UPPSALA</t>
        </is>
      </c>
      <c r="F37" t="inlineStr">
        <is>
          <t>Övriga statliga verk och myndigheter</t>
        </is>
      </c>
      <c r="G37" t="n">
        <v>6.6</v>
      </c>
      <c r="H37" t="n">
        <v>3</v>
      </c>
      <c r="I37" t="n">
        <v>1</v>
      </c>
      <c r="J37" t="n">
        <v>2</v>
      </c>
      <c r="K37" t="n">
        <v>0</v>
      </c>
      <c r="L37" t="n">
        <v>0</v>
      </c>
      <c r="M37" t="n">
        <v>0</v>
      </c>
      <c r="N37" t="n">
        <v>0</v>
      </c>
      <c r="O37" t="n">
        <v>2</v>
      </c>
      <c r="P37" t="n">
        <v>0</v>
      </c>
      <c r="Q37" t="n">
        <v>5</v>
      </c>
      <c r="R37" s="2" t="inlineStr">
        <is>
          <t>Igelkott
Nordfladdermus
Vågbandad barkbock
Dvärgpipistrell
Blåsippa</t>
        </is>
      </c>
      <c r="S37">
        <f>HYPERLINK("https://klasma.github.io/Logging_0380/artfynd/A 21809-2024 artfynd.xlsx", "A 21809-2024")</f>
        <v/>
      </c>
      <c r="T37">
        <f>HYPERLINK("https://klasma.github.io/Logging_0380/kartor/A 21809-2024 karta.png", "A 21809-2024")</f>
        <v/>
      </c>
      <c r="V37">
        <f>HYPERLINK("https://klasma.github.io/Logging_0380/klagomål/A 21809-2024 FSC-klagomål.docx", "A 21809-2024")</f>
        <v/>
      </c>
      <c r="W37">
        <f>HYPERLINK("https://klasma.github.io/Logging_0380/klagomålsmail/A 21809-2024 FSC-klagomål mail.docx", "A 21809-2024")</f>
        <v/>
      </c>
      <c r="X37">
        <f>HYPERLINK("https://klasma.github.io/Logging_0380/tillsyn/A 21809-2024 tillsynsbegäran.docx", "A 21809-2024")</f>
        <v/>
      </c>
      <c r="Y37">
        <f>HYPERLINK("https://klasma.github.io/Logging_0380/tillsynsmail/A 21809-2024 tillsynsbegäran mail.docx", "A 21809-2024")</f>
        <v/>
      </c>
    </row>
    <row r="38" ht="15" customHeight="1">
      <c r="A38" t="inlineStr">
        <is>
          <t>A 27389-2021</t>
        </is>
      </c>
      <c r="B38" s="1" t="n">
        <v>44351</v>
      </c>
      <c r="C38" s="1" t="n">
        <v>45933</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45933</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45933</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45933</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45933</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45933</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42583-2025</t>
        </is>
      </c>
      <c r="B44" s="1" t="n">
        <v>45905.62641203704</v>
      </c>
      <c r="C44" s="1" t="n">
        <v>45933</v>
      </c>
      <c r="D44" t="inlineStr">
        <is>
          <t>UPPSALA LÄN</t>
        </is>
      </c>
      <c r="E44" t="inlineStr">
        <is>
          <t>UPPSALA</t>
        </is>
      </c>
      <c r="F44" t="inlineStr">
        <is>
          <t>Kyrkan</t>
        </is>
      </c>
      <c r="G44" t="n">
        <v>2.3</v>
      </c>
      <c r="H44" t="n">
        <v>0</v>
      </c>
      <c r="I44" t="n">
        <v>4</v>
      </c>
      <c r="J44" t="n">
        <v>0</v>
      </c>
      <c r="K44" t="n">
        <v>0</v>
      </c>
      <c r="L44" t="n">
        <v>0</v>
      </c>
      <c r="M44" t="n">
        <v>0</v>
      </c>
      <c r="N44" t="n">
        <v>0</v>
      </c>
      <c r="O44" t="n">
        <v>0</v>
      </c>
      <c r="P44" t="n">
        <v>0</v>
      </c>
      <c r="Q44" t="n">
        <v>4</v>
      </c>
      <c r="R44" s="2" t="inlineStr">
        <is>
          <t>Dropptaggsvamp
Fjällig taggsvamp s.str.
Svavelriska
Trådticka</t>
        </is>
      </c>
      <c r="S44">
        <f>HYPERLINK("https://klasma.github.io/Logging_0380/artfynd/A 42583-2025 artfynd.xlsx", "A 42583-2025")</f>
        <v/>
      </c>
      <c r="T44">
        <f>HYPERLINK("https://klasma.github.io/Logging_0380/kartor/A 42583-2025 karta.png", "A 42583-2025")</f>
        <v/>
      </c>
      <c r="V44">
        <f>HYPERLINK("https://klasma.github.io/Logging_0380/klagomål/A 42583-2025 FSC-klagomål.docx", "A 42583-2025")</f>
        <v/>
      </c>
      <c r="W44">
        <f>HYPERLINK("https://klasma.github.io/Logging_0380/klagomålsmail/A 42583-2025 FSC-klagomål mail.docx", "A 42583-2025")</f>
        <v/>
      </c>
      <c r="X44">
        <f>HYPERLINK("https://klasma.github.io/Logging_0380/tillsyn/A 42583-2025 tillsynsbegäran.docx", "A 42583-2025")</f>
        <v/>
      </c>
      <c r="Y44">
        <f>HYPERLINK("https://klasma.github.io/Logging_0380/tillsynsmail/A 42583-2025 tillsynsbegäran mail.docx", "A 42583-2025")</f>
        <v/>
      </c>
    </row>
    <row r="45" ht="15" customHeight="1">
      <c r="A45" t="inlineStr">
        <is>
          <t>A 42581-2025</t>
        </is>
      </c>
      <c r="B45" s="1" t="n">
        <v>45905.62541666667</v>
      </c>
      <c r="C45" s="1" t="n">
        <v>45933</v>
      </c>
      <c r="D45" t="inlineStr">
        <is>
          <t>UPPSALA LÄN</t>
        </is>
      </c>
      <c r="E45" t="inlineStr">
        <is>
          <t>UPPSALA</t>
        </is>
      </c>
      <c r="F45" t="inlineStr">
        <is>
          <t>Kyrkan</t>
        </is>
      </c>
      <c r="G45" t="n">
        <v>2.3</v>
      </c>
      <c r="H45" t="n">
        <v>0</v>
      </c>
      <c r="I45" t="n">
        <v>4</v>
      </c>
      <c r="J45" t="n">
        <v>0</v>
      </c>
      <c r="K45" t="n">
        <v>0</v>
      </c>
      <c r="L45" t="n">
        <v>0</v>
      </c>
      <c r="M45" t="n">
        <v>0</v>
      </c>
      <c r="N45" t="n">
        <v>0</v>
      </c>
      <c r="O45" t="n">
        <v>0</v>
      </c>
      <c r="P45" t="n">
        <v>0</v>
      </c>
      <c r="Q45" t="n">
        <v>4</v>
      </c>
      <c r="R45" s="2" t="inlineStr">
        <is>
          <t>Dropptaggsvamp
Fjällig taggsvamp s.str.
Svavelriska
Trådticka</t>
        </is>
      </c>
      <c r="S45">
        <f>HYPERLINK("https://klasma.github.io/Logging_0380/artfynd/A 42581-2025 artfynd.xlsx", "A 42581-2025")</f>
        <v/>
      </c>
      <c r="T45">
        <f>HYPERLINK("https://klasma.github.io/Logging_0380/kartor/A 42581-2025 karta.png", "A 42581-2025")</f>
        <v/>
      </c>
      <c r="V45">
        <f>HYPERLINK("https://klasma.github.io/Logging_0380/klagomål/A 42581-2025 FSC-klagomål.docx", "A 42581-2025")</f>
        <v/>
      </c>
      <c r="W45">
        <f>HYPERLINK("https://klasma.github.io/Logging_0380/klagomålsmail/A 42581-2025 FSC-klagomål mail.docx", "A 42581-2025")</f>
        <v/>
      </c>
      <c r="X45">
        <f>HYPERLINK("https://klasma.github.io/Logging_0380/tillsyn/A 42581-2025 tillsynsbegäran.docx", "A 42581-2025")</f>
        <v/>
      </c>
      <c r="Y45">
        <f>HYPERLINK("https://klasma.github.io/Logging_0380/tillsynsmail/A 42581-2025 tillsynsbegäran mail.docx", "A 42581-2025")</f>
        <v/>
      </c>
    </row>
    <row r="46" ht="15" customHeight="1">
      <c r="A46" t="inlineStr">
        <is>
          <t>A 26758-2022</t>
        </is>
      </c>
      <c r="B46" s="1" t="n">
        <v>44740</v>
      </c>
      <c r="C46" s="1" t="n">
        <v>45933</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8323-2023</t>
        </is>
      </c>
      <c r="B47" s="1" t="n">
        <v>44974</v>
      </c>
      <c r="C47" s="1" t="n">
        <v>45933</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15297-2022</t>
        </is>
      </c>
      <c r="B48" s="1" t="n">
        <v>44659</v>
      </c>
      <c r="C48" s="1" t="n">
        <v>45933</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11217-2024</t>
        </is>
      </c>
      <c r="B49" s="1" t="n">
        <v>45371</v>
      </c>
      <c r="C49" s="1" t="n">
        <v>45933</v>
      </c>
      <c r="D49" t="inlineStr">
        <is>
          <t>UPPSALA LÄN</t>
        </is>
      </c>
      <c r="E49" t="inlineStr">
        <is>
          <t>UPPSALA</t>
        </is>
      </c>
      <c r="F49" t="inlineStr">
        <is>
          <t>Kommuner</t>
        </is>
      </c>
      <c r="G49" t="n">
        <v>1.5</v>
      </c>
      <c r="H49" t="n">
        <v>1</v>
      </c>
      <c r="I49" t="n">
        <v>4</v>
      </c>
      <c r="J49" t="n">
        <v>0</v>
      </c>
      <c r="K49" t="n">
        <v>0</v>
      </c>
      <c r="L49" t="n">
        <v>0</v>
      </c>
      <c r="M49" t="n">
        <v>0</v>
      </c>
      <c r="N49" t="n">
        <v>0</v>
      </c>
      <c r="O49" t="n">
        <v>0</v>
      </c>
      <c r="P49" t="n">
        <v>0</v>
      </c>
      <c r="Q49" t="n">
        <v>4</v>
      </c>
      <c r="R49" s="2" t="inlineStr">
        <is>
          <t>Fällmossa
Grön sköldmossa
Lönnlav
Stor aspticka</t>
        </is>
      </c>
      <c r="S49">
        <f>HYPERLINK("https://klasma.github.io/Logging_0380/artfynd/A 11217-2024 artfynd.xlsx", "A 11217-2024")</f>
        <v/>
      </c>
      <c r="T49">
        <f>HYPERLINK("https://klasma.github.io/Logging_0380/kartor/A 11217-2024 karta.png", "A 11217-2024")</f>
        <v/>
      </c>
      <c r="V49">
        <f>HYPERLINK("https://klasma.github.io/Logging_0380/klagomål/A 11217-2024 FSC-klagomål.docx", "A 11217-2024")</f>
        <v/>
      </c>
      <c r="W49">
        <f>HYPERLINK("https://klasma.github.io/Logging_0380/klagomålsmail/A 11217-2024 FSC-klagomål mail.docx", "A 11217-2024")</f>
        <v/>
      </c>
      <c r="X49">
        <f>HYPERLINK("https://klasma.github.io/Logging_0380/tillsyn/A 11217-2024 tillsynsbegäran.docx", "A 11217-2024")</f>
        <v/>
      </c>
      <c r="Y49">
        <f>HYPERLINK("https://klasma.github.io/Logging_0380/tillsynsmail/A 11217-2024 tillsynsbegäran mail.docx", "A 11217-2024")</f>
        <v/>
      </c>
    </row>
    <row r="50" ht="15" customHeight="1">
      <c r="A50" t="inlineStr">
        <is>
          <t>A 34147-2022</t>
        </is>
      </c>
      <c r="B50" s="1" t="n">
        <v>44791</v>
      </c>
      <c r="C50" s="1" t="n">
        <v>45933</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25608-2025</t>
        </is>
      </c>
      <c r="B51" s="1" t="n">
        <v>45803.55535879629</v>
      </c>
      <c r="C51" s="1" t="n">
        <v>45933</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30716-2025</t>
        </is>
      </c>
      <c r="B52" s="1" t="n">
        <v>45831.55982638889</v>
      </c>
      <c r="C52" s="1" t="n">
        <v>45933</v>
      </c>
      <c r="D52" t="inlineStr">
        <is>
          <t>UPPSALA LÄN</t>
        </is>
      </c>
      <c r="E52" t="inlineStr">
        <is>
          <t>UPPSALA</t>
        </is>
      </c>
      <c r="G52" t="n">
        <v>2.3</v>
      </c>
      <c r="H52" t="n">
        <v>2</v>
      </c>
      <c r="I52" t="n">
        <v>1</v>
      </c>
      <c r="J52" t="n">
        <v>1</v>
      </c>
      <c r="K52" t="n">
        <v>1</v>
      </c>
      <c r="L52" t="n">
        <v>0</v>
      </c>
      <c r="M52" t="n">
        <v>0</v>
      </c>
      <c r="N52" t="n">
        <v>0</v>
      </c>
      <c r="O52" t="n">
        <v>2</v>
      </c>
      <c r="P52" t="n">
        <v>1</v>
      </c>
      <c r="Q52" t="n">
        <v>3</v>
      </c>
      <c r="R52" s="2" t="inlineStr">
        <is>
          <t>Knärot
Talltita
Skinnlav</t>
        </is>
      </c>
      <c r="S52">
        <f>HYPERLINK("https://klasma.github.io/Logging_0380/artfynd/A 30716-2025 artfynd.xlsx", "A 30716-2025")</f>
        <v/>
      </c>
      <c r="T52">
        <f>HYPERLINK("https://klasma.github.io/Logging_0380/kartor/A 30716-2025 karta.png", "A 30716-2025")</f>
        <v/>
      </c>
      <c r="U52">
        <f>HYPERLINK("https://klasma.github.io/Logging_0380/knärot/A 30716-2025 karta knärot.png", "A 30716-2025")</f>
        <v/>
      </c>
      <c r="V52">
        <f>HYPERLINK("https://klasma.github.io/Logging_0380/klagomål/A 30716-2025 FSC-klagomål.docx", "A 30716-2025")</f>
        <v/>
      </c>
      <c r="W52">
        <f>HYPERLINK("https://klasma.github.io/Logging_0380/klagomålsmail/A 30716-2025 FSC-klagomål mail.docx", "A 30716-2025")</f>
        <v/>
      </c>
      <c r="X52">
        <f>HYPERLINK("https://klasma.github.io/Logging_0380/tillsyn/A 30716-2025 tillsynsbegäran.docx", "A 30716-2025")</f>
        <v/>
      </c>
      <c r="Y52">
        <f>HYPERLINK("https://klasma.github.io/Logging_0380/tillsynsmail/A 30716-2025 tillsynsbegäran mail.docx", "A 30716-2025")</f>
        <v/>
      </c>
      <c r="Z52">
        <f>HYPERLINK("https://klasma.github.io/Logging_0380/fåglar/A 30716-2025 prioriterade fågelarter.docx", "A 30716-2025")</f>
        <v/>
      </c>
    </row>
    <row r="53" ht="15" customHeight="1">
      <c r="A53" t="inlineStr">
        <is>
          <t>A 18079-2022</t>
        </is>
      </c>
      <c r="B53" s="1" t="n">
        <v>44684</v>
      </c>
      <c r="C53" s="1" t="n">
        <v>45933</v>
      </c>
      <c r="D53" t="inlineStr">
        <is>
          <t>UPPSALA LÄN</t>
        </is>
      </c>
      <c r="E53" t="inlineStr">
        <is>
          <t>UPPSALA</t>
        </is>
      </c>
      <c r="G53" t="n">
        <v>2</v>
      </c>
      <c r="H53" t="n">
        <v>0</v>
      </c>
      <c r="I53" t="n">
        <v>2</v>
      </c>
      <c r="J53" t="n">
        <v>0</v>
      </c>
      <c r="K53" t="n">
        <v>1</v>
      </c>
      <c r="L53" t="n">
        <v>0</v>
      </c>
      <c r="M53" t="n">
        <v>0</v>
      </c>
      <c r="N53" t="n">
        <v>0</v>
      </c>
      <c r="O53" t="n">
        <v>1</v>
      </c>
      <c r="P53" t="n">
        <v>1</v>
      </c>
      <c r="Q53" t="n">
        <v>3</v>
      </c>
      <c r="R53" s="2" t="inlineStr">
        <is>
          <t>Aspfjädermossa
Dvärgtufs
Skinnlav</t>
        </is>
      </c>
      <c r="S53">
        <f>HYPERLINK("https://klasma.github.io/Logging_0380/artfynd/A 18079-2022 artfynd.xlsx", "A 18079-2022")</f>
        <v/>
      </c>
      <c r="T53">
        <f>HYPERLINK("https://klasma.github.io/Logging_0380/kartor/A 18079-2022 karta.png", "A 18079-2022")</f>
        <v/>
      </c>
      <c r="V53">
        <f>HYPERLINK("https://klasma.github.io/Logging_0380/klagomål/A 18079-2022 FSC-klagomål.docx", "A 18079-2022")</f>
        <v/>
      </c>
      <c r="W53">
        <f>HYPERLINK("https://klasma.github.io/Logging_0380/klagomålsmail/A 18079-2022 FSC-klagomål mail.docx", "A 18079-2022")</f>
        <v/>
      </c>
      <c r="X53">
        <f>HYPERLINK("https://klasma.github.io/Logging_0380/tillsyn/A 18079-2022 tillsynsbegäran.docx", "A 18079-2022")</f>
        <v/>
      </c>
      <c r="Y53">
        <f>HYPERLINK("https://klasma.github.io/Logging_0380/tillsynsmail/A 18079-2022 tillsynsbegäran mail.docx", "A 18079-2022")</f>
        <v/>
      </c>
    </row>
    <row r="54" ht="15" customHeight="1">
      <c r="A54" t="inlineStr">
        <is>
          <t>A 43278-2025</t>
        </is>
      </c>
      <c r="B54" s="1" t="n">
        <v>45910.59415509259</v>
      </c>
      <c r="C54" s="1" t="n">
        <v>45933</v>
      </c>
      <c r="D54" t="inlineStr">
        <is>
          <t>UPPSALA LÄN</t>
        </is>
      </c>
      <c r="E54" t="inlineStr">
        <is>
          <t>UPPSALA</t>
        </is>
      </c>
      <c r="F54" t="inlineStr">
        <is>
          <t>Kyrkan</t>
        </is>
      </c>
      <c r="G54" t="n">
        <v>2.4</v>
      </c>
      <c r="H54" t="n">
        <v>0</v>
      </c>
      <c r="I54" t="n">
        <v>2</v>
      </c>
      <c r="J54" t="n">
        <v>1</v>
      </c>
      <c r="K54" t="n">
        <v>0</v>
      </c>
      <c r="L54" t="n">
        <v>0</v>
      </c>
      <c r="M54" t="n">
        <v>0</v>
      </c>
      <c r="N54" t="n">
        <v>0</v>
      </c>
      <c r="O54" t="n">
        <v>1</v>
      </c>
      <c r="P54" t="n">
        <v>0</v>
      </c>
      <c r="Q54" t="n">
        <v>3</v>
      </c>
      <c r="R54" s="2" t="inlineStr">
        <is>
          <t>Vedtrappmossa
Svavelriska
Trådticka</t>
        </is>
      </c>
      <c r="S54">
        <f>HYPERLINK("https://klasma.github.io/Logging_0380/artfynd/A 43278-2025 artfynd.xlsx", "A 43278-2025")</f>
        <v/>
      </c>
      <c r="T54">
        <f>HYPERLINK("https://klasma.github.io/Logging_0380/kartor/A 43278-2025 karta.png", "A 43278-2025")</f>
        <v/>
      </c>
      <c r="V54">
        <f>HYPERLINK("https://klasma.github.io/Logging_0380/klagomål/A 43278-2025 FSC-klagomål.docx", "A 43278-2025")</f>
        <v/>
      </c>
      <c r="W54">
        <f>HYPERLINK("https://klasma.github.io/Logging_0380/klagomålsmail/A 43278-2025 FSC-klagomål mail.docx", "A 43278-2025")</f>
        <v/>
      </c>
      <c r="X54">
        <f>HYPERLINK("https://klasma.github.io/Logging_0380/tillsyn/A 43278-2025 tillsynsbegäran.docx", "A 43278-2025")</f>
        <v/>
      </c>
      <c r="Y54">
        <f>HYPERLINK("https://klasma.github.io/Logging_0380/tillsynsmail/A 43278-2025 tillsynsbegäran mail.docx", "A 43278-2025")</f>
        <v/>
      </c>
    </row>
    <row r="55" ht="15" customHeight="1">
      <c r="A55" t="inlineStr">
        <is>
          <t>A 43280-2025</t>
        </is>
      </c>
      <c r="B55" s="1" t="n">
        <v>45910.59475694445</v>
      </c>
      <c r="C55" s="1" t="n">
        <v>45933</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43280-2025 artfynd.xlsx", "A 43280-2025")</f>
        <v/>
      </c>
      <c r="T55">
        <f>HYPERLINK("https://klasma.github.io/Logging_0380/kartor/A 43280-2025 karta.png", "A 43280-2025")</f>
        <v/>
      </c>
      <c r="V55">
        <f>HYPERLINK("https://klasma.github.io/Logging_0380/klagomål/A 43280-2025 FSC-klagomål.docx", "A 43280-2025")</f>
        <v/>
      </c>
      <c r="W55">
        <f>HYPERLINK("https://klasma.github.io/Logging_0380/klagomålsmail/A 43280-2025 FSC-klagomål mail.docx", "A 43280-2025")</f>
        <v/>
      </c>
      <c r="X55">
        <f>HYPERLINK("https://klasma.github.io/Logging_0380/tillsyn/A 43280-2025 tillsynsbegäran.docx", "A 43280-2025")</f>
        <v/>
      </c>
      <c r="Y55">
        <f>HYPERLINK("https://klasma.github.io/Logging_0380/tillsynsmail/A 43280-2025 tillsynsbegäran mail.docx", "A 43280-2025")</f>
        <v/>
      </c>
    </row>
    <row r="56" ht="15" customHeight="1">
      <c r="A56" t="inlineStr">
        <is>
          <t>A 60038-2021</t>
        </is>
      </c>
      <c r="B56" s="1" t="n">
        <v>44495</v>
      </c>
      <c r="C56" s="1" t="n">
        <v>45933</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36471-2022</t>
        </is>
      </c>
      <c r="B57" s="1" t="n">
        <v>44804</v>
      </c>
      <c r="C57" s="1" t="n">
        <v>45933</v>
      </c>
      <c r="D57" t="inlineStr">
        <is>
          <t>UPPSALA LÄN</t>
        </is>
      </c>
      <c r="E57" t="inlineStr">
        <is>
          <t>UPPSALA</t>
        </is>
      </c>
      <c r="G57" t="n">
        <v>4.2</v>
      </c>
      <c r="H57" t="n">
        <v>0</v>
      </c>
      <c r="I57" t="n">
        <v>3</v>
      </c>
      <c r="J57" t="n">
        <v>0</v>
      </c>
      <c r="K57" t="n">
        <v>0</v>
      </c>
      <c r="L57" t="n">
        <v>0</v>
      </c>
      <c r="M57" t="n">
        <v>0</v>
      </c>
      <c r="N57" t="n">
        <v>0</v>
      </c>
      <c r="O57" t="n">
        <v>0</v>
      </c>
      <c r="P57" t="n">
        <v>0</v>
      </c>
      <c r="Q57" t="n">
        <v>3</v>
      </c>
      <c r="R57" s="2" t="inlineStr">
        <is>
          <t>Bronshjon
Spindelbock
Stor aspticka</t>
        </is>
      </c>
      <c r="S57">
        <f>HYPERLINK("https://klasma.github.io/Logging_0380/artfynd/A 36471-2022 artfynd.xlsx", "A 36471-2022")</f>
        <v/>
      </c>
      <c r="T57">
        <f>HYPERLINK("https://klasma.github.io/Logging_0380/kartor/A 36471-2022 karta.png", "A 36471-2022")</f>
        <v/>
      </c>
      <c r="V57">
        <f>HYPERLINK("https://klasma.github.io/Logging_0380/klagomål/A 36471-2022 FSC-klagomål.docx", "A 36471-2022")</f>
        <v/>
      </c>
      <c r="W57">
        <f>HYPERLINK("https://klasma.github.io/Logging_0380/klagomålsmail/A 36471-2022 FSC-klagomål mail.docx", "A 36471-2022")</f>
        <v/>
      </c>
      <c r="X57">
        <f>HYPERLINK("https://klasma.github.io/Logging_0380/tillsyn/A 36471-2022 tillsynsbegäran.docx", "A 36471-2022")</f>
        <v/>
      </c>
      <c r="Y57">
        <f>HYPERLINK("https://klasma.github.io/Logging_0380/tillsynsmail/A 36471-2022 tillsynsbegäran mail.docx", "A 36471-2022")</f>
        <v/>
      </c>
    </row>
    <row r="58" ht="15" customHeight="1">
      <c r="A58" t="inlineStr">
        <is>
          <t>A 25943-2023</t>
        </is>
      </c>
      <c r="B58" s="1" t="n">
        <v>45090</v>
      </c>
      <c r="C58" s="1" t="n">
        <v>45933</v>
      </c>
      <c r="D58" t="inlineStr">
        <is>
          <t>UPPSALA LÄN</t>
        </is>
      </c>
      <c r="E58" t="inlineStr">
        <is>
          <t>UPPSALA</t>
        </is>
      </c>
      <c r="F58" t="inlineStr">
        <is>
          <t>Holmen skog AB</t>
        </is>
      </c>
      <c r="G58" t="n">
        <v>2.7</v>
      </c>
      <c r="H58" t="n">
        <v>1</v>
      </c>
      <c r="I58" t="n">
        <v>1</v>
      </c>
      <c r="J58" t="n">
        <v>2</v>
      </c>
      <c r="K58" t="n">
        <v>0</v>
      </c>
      <c r="L58" t="n">
        <v>0</v>
      </c>
      <c r="M58" t="n">
        <v>0</v>
      </c>
      <c r="N58" t="n">
        <v>0</v>
      </c>
      <c r="O58" t="n">
        <v>2</v>
      </c>
      <c r="P58" t="n">
        <v>0</v>
      </c>
      <c r="Q58" t="n">
        <v>3</v>
      </c>
      <c r="R58" s="2" t="inlineStr">
        <is>
          <t>Mindre hackspett
Vedtrappmossa
Vedticka</t>
        </is>
      </c>
      <c r="S58">
        <f>HYPERLINK("https://klasma.github.io/Logging_0380/artfynd/A 25943-2023 artfynd.xlsx", "A 25943-2023")</f>
        <v/>
      </c>
      <c r="T58">
        <f>HYPERLINK("https://klasma.github.io/Logging_0380/kartor/A 25943-2023 karta.png", "A 25943-2023")</f>
        <v/>
      </c>
      <c r="V58">
        <f>HYPERLINK("https://klasma.github.io/Logging_0380/klagomål/A 25943-2023 FSC-klagomål.docx", "A 25943-2023")</f>
        <v/>
      </c>
      <c r="W58">
        <f>HYPERLINK("https://klasma.github.io/Logging_0380/klagomålsmail/A 25943-2023 FSC-klagomål mail.docx", "A 25943-2023")</f>
        <v/>
      </c>
      <c r="X58">
        <f>HYPERLINK("https://klasma.github.io/Logging_0380/tillsyn/A 25943-2023 tillsynsbegäran.docx", "A 25943-2023")</f>
        <v/>
      </c>
      <c r="Y58">
        <f>HYPERLINK("https://klasma.github.io/Logging_0380/tillsynsmail/A 25943-2023 tillsynsbegäran mail.docx", "A 25943-2023")</f>
        <v/>
      </c>
      <c r="Z58">
        <f>HYPERLINK("https://klasma.github.io/Logging_0380/fåglar/A 25943-2023 prioriterade fågelarter.docx", "A 25943-2023")</f>
        <v/>
      </c>
    </row>
    <row r="59" ht="15" customHeight="1">
      <c r="A59" t="inlineStr">
        <is>
          <t>A 17277-2023</t>
        </is>
      </c>
      <c r="B59" s="1" t="n">
        <v>45035.44672453704</v>
      </c>
      <c r="C59" s="1" t="n">
        <v>45933</v>
      </c>
      <c r="D59" t="inlineStr">
        <is>
          <t>UPPSALA LÄN</t>
        </is>
      </c>
      <c r="E59" t="inlineStr">
        <is>
          <t>UPPSALA</t>
        </is>
      </c>
      <c r="F59" t="inlineStr">
        <is>
          <t>Övriga Aktiebolag</t>
        </is>
      </c>
      <c r="G59" t="n">
        <v>6.1</v>
      </c>
      <c r="H59" t="n">
        <v>2</v>
      </c>
      <c r="I59" t="n">
        <v>0</v>
      </c>
      <c r="J59" t="n">
        <v>1</v>
      </c>
      <c r="K59" t="n">
        <v>0</v>
      </c>
      <c r="L59" t="n">
        <v>0</v>
      </c>
      <c r="M59" t="n">
        <v>0</v>
      </c>
      <c r="N59" t="n">
        <v>0</v>
      </c>
      <c r="O59" t="n">
        <v>1</v>
      </c>
      <c r="P59" t="n">
        <v>0</v>
      </c>
      <c r="Q59" t="n">
        <v>2</v>
      </c>
      <c r="R59" s="2" t="inlineStr">
        <is>
          <t>Slaguggla
Trana</t>
        </is>
      </c>
      <c r="S59">
        <f>HYPERLINK("https://klasma.github.io/Logging_0380/artfynd/A 17277-2023 artfynd.xlsx", "A 17277-2023")</f>
        <v/>
      </c>
      <c r="T59">
        <f>HYPERLINK("https://klasma.github.io/Logging_0380/kartor/A 17277-2023 karta.png", "A 17277-2023")</f>
        <v/>
      </c>
      <c r="V59">
        <f>HYPERLINK("https://klasma.github.io/Logging_0380/klagomål/A 17277-2023 FSC-klagomål.docx", "A 17277-2023")</f>
        <v/>
      </c>
      <c r="W59">
        <f>HYPERLINK("https://klasma.github.io/Logging_0380/klagomålsmail/A 17277-2023 FSC-klagomål mail.docx", "A 17277-2023")</f>
        <v/>
      </c>
      <c r="X59">
        <f>HYPERLINK("https://klasma.github.io/Logging_0380/tillsyn/A 17277-2023 tillsynsbegäran.docx", "A 17277-2023")</f>
        <v/>
      </c>
      <c r="Y59">
        <f>HYPERLINK("https://klasma.github.io/Logging_0380/tillsynsmail/A 17277-2023 tillsynsbegäran mail.docx", "A 17277-2023")</f>
        <v/>
      </c>
      <c r="Z59">
        <f>HYPERLINK("https://klasma.github.io/Logging_0380/fåglar/A 17277-2023 prioriterade fågelarter.docx", "A 17277-2023")</f>
        <v/>
      </c>
    </row>
    <row r="60" ht="15" customHeight="1">
      <c r="A60" t="inlineStr">
        <is>
          <t>A 25660-2025</t>
        </is>
      </c>
      <c r="B60" s="1" t="n">
        <v>45803.61554398148</v>
      </c>
      <c r="C60" s="1" t="n">
        <v>45933</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45933</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51749-2023</t>
        </is>
      </c>
      <c r="B62" s="1" t="n">
        <v>45222</v>
      </c>
      <c r="C62" s="1" t="n">
        <v>45933</v>
      </c>
      <c r="D62" t="inlineStr">
        <is>
          <t>UPPSALA LÄN</t>
        </is>
      </c>
      <c r="E62" t="inlineStr">
        <is>
          <t>UPPSALA</t>
        </is>
      </c>
      <c r="G62" t="n">
        <v>3.6</v>
      </c>
      <c r="H62" t="n">
        <v>1</v>
      </c>
      <c r="I62" t="n">
        <v>0</v>
      </c>
      <c r="J62" t="n">
        <v>1</v>
      </c>
      <c r="K62" t="n">
        <v>0</v>
      </c>
      <c r="L62" t="n">
        <v>0</v>
      </c>
      <c r="M62" t="n">
        <v>0</v>
      </c>
      <c r="N62" t="n">
        <v>0</v>
      </c>
      <c r="O62" t="n">
        <v>1</v>
      </c>
      <c r="P62" t="n">
        <v>0</v>
      </c>
      <c r="Q62" t="n">
        <v>2</v>
      </c>
      <c r="R62" s="2" t="inlineStr">
        <is>
          <t>Säfferot
Gullviva</t>
        </is>
      </c>
      <c r="S62">
        <f>HYPERLINK("https://klasma.github.io/Logging_0380/artfynd/A 51749-2023 artfynd.xlsx", "A 51749-2023")</f>
        <v/>
      </c>
      <c r="T62">
        <f>HYPERLINK("https://klasma.github.io/Logging_0380/kartor/A 51749-2023 karta.png", "A 51749-2023")</f>
        <v/>
      </c>
      <c r="V62">
        <f>HYPERLINK("https://klasma.github.io/Logging_0380/klagomål/A 51749-2023 FSC-klagomål.docx", "A 51749-2023")</f>
        <v/>
      </c>
      <c r="W62">
        <f>HYPERLINK("https://klasma.github.io/Logging_0380/klagomålsmail/A 51749-2023 FSC-klagomål mail.docx", "A 51749-2023")</f>
        <v/>
      </c>
      <c r="X62">
        <f>HYPERLINK("https://klasma.github.io/Logging_0380/tillsyn/A 51749-2023 tillsynsbegäran.docx", "A 51749-2023")</f>
        <v/>
      </c>
      <c r="Y62">
        <f>HYPERLINK("https://klasma.github.io/Logging_0380/tillsynsmail/A 51749-2023 tillsynsbegäran mail.docx", "A 51749-2023")</f>
        <v/>
      </c>
    </row>
    <row r="63" ht="15" customHeight="1">
      <c r="A63" t="inlineStr">
        <is>
          <t>A 58906-2021</t>
        </is>
      </c>
      <c r="B63" s="1" t="n">
        <v>44489</v>
      </c>
      <c r="C63" s="1" t="n">
        <v>45933</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33708-2025</t>
        </is>
      </c>
      <c r="B64" s="1" t="n">
        <v>45841.81555555556</v>
      </c>
      <c r="C64" s="1" t="n">
        <v>45933</v>
      </c>
      <c r="D64" t="inlineStr">
        <is>
          <t>UPPSALA LÄN</t>
        </is>
      </c>
      <c r="E64" t="inlineStr">
        <is>
          <t>UPPSALA</t>
        </is>
      </c>
      <c r="F64" t="inlineStr">
        <is>
          <t>Holmen skog AB</t>
        </is>
      </c>
      <c r="G64" t="n">
        <v>2</v>
      </c>
      <c r="H64" t="n">
        <v>0</v>
      </c>
      <c r="I64" t="n">
        <v>1</v>
      </c>
      <c r="J64" t="n">
        <v>0</v>
      </c>
      <c r="K64" t="n">
        <v>0</v>
      </c>
      <c r="L64" t="n">
        <v>0</v>
      </c>
      <c r="M64" t="n">
        <v>1</v>
      </c>
      <c r="N64" t="n">
        <v>0</v>
      </c>
      <c r="O64" t="n">
        <v>1</v>
      </c>
      <c r="P64" t="n">
        <v>1</v>
      </c>
      <c r="Q64" t="n">
        <v>2</v>
      </c>
      <c r="R64" s="2" t="inlineStr">
        <is>
          <t>Skogsalm
Svavelriska</t>
        </is>
      </c>
      <c r="S64">
        <f>HYPERLINK("https://klasma.github.io/Logging_0380/artfynd/A 33708-2025 artfynd.xlsx", "A 33708-2025")</f>
        <v/>
      </c>
      <c r="T64">
        <f>HYPERLINK("https://klasma.github.io/Logging_0380/kartor/A 33708-2025 karta.png", "A 33708-2025")</f>
        <v/>
      </c>
      <c r="V64">
        <f>HYPERLINK("https://klasma.github.io/Logging_0380/klagomål/A 33708-2025 FSC-klagomål.docx", "A 33708-2025")</f>
        <v/>
      </c>
      <c r="W64">
        <f>HYPERLINK("https://klasma.github.io/Logging_0380/klagomålsmail/A 33708-2025 FSC-klagomål mail.docx", "A 33708-2025")</f>
        <v/>
      </c>
      <c r="X64">
        <f>HYPERLINK("https://klasma.github.io/Logging_0380/tillsyn/A 33708-2025 tillsynsbegäran.docx", "A 33708-2025")</f>
        <v/>
      </c>
      <c r="Y64">
        <f>HYPERLINK("https://klasma.github.io/Logging_0380/tillsynsmail/A 33708-2025 tillsynsbegäran mail.docx", "A 33708-2025")</f>
        <v/>
      </c>
    </row>
    <row r="65" ht="15" customHeight="1">
      <c r="A65" t="inlineStr">
        <is>
          <t>A 44675-2023</t>
        </is>
      </c>
      <c r="B65" s="1" t="n">
        <v>45189</v>
      </c>
      <c r="C65" s="1" t="n">
        <v>45933</v>
      </c>
      <c r="D65" t="inlineStr">
        <is>
          <t>UPPSALA LÄN</t>
        </is>
      </c>
      <c r="E65" t="inlineStr">
        <is>
          <t>UPPSALA</t>
        </is>
      </c>
      <c r="G65" t="n">
        <v>7.1</v>
      </c>
      <c r="H65" t="n">
        <v>2</v>
      </c>
      <c r="I65" t="n">
        <v>0</v>
      </c>
      <c r="J65" t="n">
        <v>1</v>
      </c>
      <c r="K65" t="n">
        <v>1</v>
      </c>
      <c r="L65" t="n">
        <v>0</v>
      </c>
      <c r="M65" t="n">
        <v>0</v>
      </c>
      <c r="N65" t="n">
        <v>0</v>
      </c>
      <c r="O65" t="n">
        <v>2</v>
      </c>
      <c r="P65" t="n">
        <v>1</v>
      </c>
      <c r="Q65" t="n">
        <v>2</v>
      </c>
      <c r="R65" s="2" t="inlineStr">
        <is>
          <t>Knärot
Talltita</t>
        </is>
      </c>
      <c r="S65">
        <f>HYPERLINK("https://klasma.github.io/Logging_0380/artfynd/A 44675-2023 artfynd.xlsx", "A 44675-2023")</f>
        <v/>
      </c>
      <c r="T65">
        <f>HYPERLINK("https://klasma.github.io/Logging_0380/kartor/A 44675-2023 karta.png", "A 44675-2023")</f>
        <v/>
      </c>
      <c r="U65">
        <f>HYPERLINK("https://klasma.github.io/Logging_0380/knärot/A 44675-2023 karta knärot.png", "A 44675-2023")</f>
        <v/>
      </c>
      <c r="V65">
        <f>HYPERLINK("https://klasma.github.io/Logging_0380/klagomål/A 44675-2023 FSC-klagomål.docx", "A 44675-2023")</f>
        <v/>
      </c>
      <c r="W65">
        <f>HYPERLINK("https://klasma.github.io/Logging_0380/klagomålsmail/A 44675-2023 FSC-klagomål mail.docx", "A 44675-2023")</f>
        <v/>
      </c>
      <c r="X65">
        <f>HYPERLINK("https://klasma.github.io/Logging_0380/tillsyn/A 44675-2023 tillsynsbegäran.docx", "A 44675-2023")</f>
        <v/>
      </c>
      <c r="Y65">
        <f>HYPERLINK("https://klasma.github.io/Logging_0380/tillsynsmail/A 44675-2023 tillsynsbegäran mail.docx", "A 44675-2023")</f>
        <v/>
      </c>
      <c r="Z65">
        <f>HYPERLINK("https://klasma.github.io/Logging_0380/fåglar/A 44675-2023 prioriterade fågelarter.docx", "A 44675-2023")</f>
        <v/>
      </c>
    </row>
    <row r="66" ht="15" customHeight="1">
      <c r="A66" t="inlineStr">
        <is>
          <t>A 18425-2025</t>
        </is>
      </c>
      <c r="B66" s="1" t="n">
        <v>45762.62260416667</v>
      </c>
      <c r="C66" s="1" t="n">
        <v>45933</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41921-2025</t>
        </is>
      </c>
      <c r="B67" s="1" t="n">
        <v>45903</v>
      </c>
      <c r="C67" s="1" t="n">
        <v>45933</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45627-2025</t>
        </is>
      </c>
      <c r="B68" s="1" t="n">
        <v>45922.80255787037</v>
      </c>
      <c r="C68" s="1" t="n">
        <v>45933</v>
      </c>
      <c r="D68" t="inlineStr">
        <is>
          <t>UPPSALA LÄN</t>
        </is>
      </c>
      <c r="E68" t="inlineStr">
        <is>
          <t>UPPSALA</t>
        </is>
      </c>
      <c r="G68" t="n">
        <v>4</v>
      </c>
      <c r="H68" t="n">
        <v>2</v>
      </c>
      <c r="I68" t="n">
        <v>0</v>
      </c>
      <c r="J68" t="n">
        <v>2</v>
      </c>
      <c r="K68" t="n">
        <v>0</v>
      </c>
      <c r="L68" t="n">
        <v>0</v>
      </c>
      <c r="M68" t="n">
        <v>0</v>
      </c>
      <c r="N68" t="n">
        <v>0</v>
      </c>
      <c r="O68" t="n">
        <v>2</v>
      </c>
      <c r="P68" t="n">
        <v>0</v>
      </c>
      <c r="Q68" t="n">
        <v>2</v>
      </c>
      <c r="R68" s="2" t="inlineStr">
        <is>
          <t>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39933-2023</t>
        </is>
      </c>
      <c r="B69" s="1" t="n">
        <v>45168.50667824074</v>
      </c>
      <c r="C69" s="1" t="n">
        <v>45933</v>
      </c>
      <c r="D69" t="inlineStr">
        <is>
          <t>UPPSALA LÄN</t>
        </is>
      </c>
      <c r="E69" t="inlineStr">
        <is>
          <t>UPPSALA</t>
        </is>
      </c>
      <c r="F69" t="inlineStr">
        <is>
          <t>Holmen skog AB</t>
        </is>
      </c>
      <c r="G69" t="n">
        <v>6.3</v>
      </c>
      <c r="H69" t="n">
        <v>2</v>
      </c>
      <c r="I69" t="n">
        <v>0</v>
      </c>
      <c r="J69" t="n">
        <v>2</v>
      </c>
      <c r="K69" t="n">
        <v>0</v>
      </c>
      <c r="L69" t="n">
        <v>0</v>
      </c>
      <c r="M69" t="n">
        <v>0</v>
      </c>
      <c r="N69" t="n">
        <v>0</v>
      </c>
      <c r="O69" t="n">
        <v>2</v>
      </c>
      <c r="P69" t="n">
        <v>0</v>
      </c>
      <c r="Q69" t="n">
        <v>2</v>
      </c>
      <c r="R69" s="2" t="inlineStr">
        <is>
          <t>Entita
Spillkråka</t>
        </is>
      </c>
      <c r="S69">
        <f>HYPERLINK("https://klasma.github.io/Logging_0380/artfynd/A 39933-2023 artfynd.xlsx", "A 39933-2023")</f>
        <v/>
      </c>
      <c r="T69">
        <f>HYPERLINK("https://klasma.github.io/Logging_0380/kartor/A 39933-2023 karta.png", "A 39933-2023")</f>
        <v/>
      </c>
      <c r="V69">
        <f>HYPERLINK("https://klasma.github.io/Logging_0380/klagomål/A 39933-2023 FSC-klagomål.docx", "A 39933-2023")</f>
        <v/>
      </c>
      <c r="W69">
        <f>HYPERLINK("https://klasma.github.io/Logging_0380/klagomålsmail/A 39933-2023 FSC-klagomål mail.docx", "A 39933-2023")</f>
        <v/>
      </c>
      <c r="X69">
        <f>HYPERLINK("https://klasma.github.io/Logging_0380/tillsyn/A 39933-2023 tillsynsbegäran.docx", "A 39933-2023")</f>
        <v/>
      </c>
      <c r="Y69">
        <f>HYPERLINK("https://klasma.github.io/Logging_0380/tillsynsmail/A 39933-2023 tillsynsbegäran mail.docx", "A 39933-2023")</f>
        <v/>
      </c>
      <c r="Z69">
        <f>HYPERLINK("https://klasma.github.io/Logging_0380/fåglar/A 39933-2023 prioriterade fågelarter.docx", "A 39933-2023")</f>
        <v/>
      </c>
    </row>
    <row r="70" ht="15" customHeight="1">
      <c r="A70" t="inlineStr">
        <is>
          <t>A 88-2024</t>
        </is>
      </c>
      <c r="B70" s="1" t="n">
        <v>45293</v>
      </c>
      <c r="C70" s="1" t="n">
        <v>45933</v>
      </c>
      <c r="D70" t="inlineStr">
        <is>
          <t>UPPSALA LÄN</t>
        </is>
      </c>
      <c r="E70" t="inlineStr">
        <is>
          <t>UPPSALA</t>
        </is>
      </c>
      <c r="G70" t="n">
        <v>2.1</v>
      </c>
      <c r="H70" t="n">
        <v>0</v>
      </c>
      <c r="I70" t="n">
        <v>0</v>
      </c>
      <c r="J70" t="n">
        <v>1</v>
      </c>
      <c r="K70" t="n">
        <v>0</v>
      </c>
      <c r="L70" t="n">
        <v>1</v>
      </c>
      <c r="M70" t="n">
        <v>0</v>
      </c>
      <c r="N70" t="n">
        <v>0</v>
      </c>
      <c r="O70" t="n">
        <v>2</v>
      </c>
      <c r="P70" t="n">
        <v>1</v>
      </c>
      <c r="Q70" t="n">
        <v>2</v>
      </c>
      <c r="R70" s="2" t="inlineStr">
        <is>
          <t>Ask
Gullklöver</t>
        </is>
      </c>
      <c r="S70">
        <f>HYPERLINK("https://klasma.github.io/Logging_0380/artfynd/A 88-2024 artfynd.xlsx", "A 88-2024")</f>
        <v/>
      </c>
      <c r="T70">
        <f>HYPERLINK("https://klasma.github.io/Logging_0380/kartor/A 88-2024 karta.png", "A 88-2024")</f>
        <v/>
      </c>
      <c r="V70">
        <f>HYPERLINK("https://klasma.github.io/Logging_0380/klagomål/A 88-2024 FSC-klagomål.docx", "A 88-2024")</f>
        <v/>
      </c>
      <c r="W70">
        <f>HYPERLINK("https://klasma.github.io/Logging_0380/klagomålsmail/A 88-2024 FSC-klagomål mail.docx", "A 88-2024")</f>
        <v/>
      </c>
      <c r="X70">
        <f>HYPERLINK("https://klasma.github.io/Logging_0380/tillsyn/A 88-2024 tillsynsbegäran.docx", "A 88-2024")</f>
        <v/>
      </c>
      <c r="Y70">
        <f>HYPERLINK("https://klasma.github.io/Logging_0380/tillsynsmail/A 88-2024 tillsynsbegäran mail.docx", "A 88-2024")</f>
        <v/>
      </c>
    </row>
    <row r="71" ht="15" customHeight="1">
      <c r="A71" t="inlineStr">
        <is>
          <t>A 6998-2023</t>
        </is>
      </c>
      <c r="B71" s="1" t="n">
        <v>44967</v>
      </c>
      <c r="C71" s="1" t="n">
        <v>45933</v>
      </c>
      <c r="D71" t="inlineStr">
        <is>
          <t>UPPSALA LÄN</t>
        </is>
      </c>
      <c r="E71" t="inlineStr">
        <is>
          <t>UPPSALA</t>
        </is>
      </c>
      <c r="G71" t="n">
        <v>8.4</v>
      </c>
      <c r="H71" t="n">
        <v>2</v>
      </c>
      <c r="I71" t="n">
        <v>0</v>
      </c>
      <c r="J71" t="n">
        <v>0</v>
      </c>
      <c r="K71" t="n">
        <v>0</v>
      </c>
      <c r="L71" t="n">
        <v>0</v>
      </c>
      <c r="M71" t="n">
        <v>0</v>
      </c>
      <c r="N71" t="n">
        <v>0</v>
      </c>
      <c r="O71" t="n">
        <v>0</v>
      </c>
      <c r="P71" t="n">
        <v>0</v>
      </c>
      <c r="Q71" t="n">
        <v>2</v>
      </c>
      <c r="R71" s="2" t="inlineStr">
        <is>
          <t>Nattviol
Blåsippa</t>
        </is>
      </c>
      <c r="S71">
        <f>HYPERLINK("https://klasma.github.io/Logging_0380/artfynd/A 6998-2023 artfynd.xlsx", "A 6998-2023")</f>
        <v/>
      </c>
      <c r="T71">
        <f>HYPERLINK("https://klasma.github.io/Logging_0380/kartor/A 6998-2023 karta.png", "A 6998-2023")</f>
        <v/>
      </c>
      <c r="V71">
        <f>HYPERLINK("https://klasma.github.io/Logging_0380/klagomål/A 6998-2023 FSC-klagomål.docx", "A 6998-2023")</f>
        <v/>
      </c>
      <c r="W71">
        <f>HYPERLINK("https://klasma.github.io/Logging_0380/klagomålsmail/A 6998-2023 FSC-klagomål mail.docx", "A 6998-2023")</f>
        <v/>
      </c>
      <c r="X71">
        <f>HYPERLINK("https://klasma.github.io/Logging_0380/tillsyn/A 6998-2023 tillsynsbegäran.docx", "A 6998-2023")</f>
        <v/>
      </c>
      <c r="Y71">
        <f>HYPERLINK("https://klasma.github.io/Logging_0380/tillsynsmail/A 6998-2023 tillsynsbegäran mail.docx", "A 6998-2023")</f>
        <v/>
      </c>
    </row>
    <row r="72" ht="15" customHeight="1">
      <c r="A72" t="inlineStr">
        <is>
          <t>A 5755-2025</t>
        </is>
      </c>
      <c r="B72" s="1" t="n">
        <v>45694.55559027778</v>
      </c>
      <c r="C72" s="1" t="n">
        <v>45933</v>
      </c>
      <c r="D72" t="inlineStr">
        <is>
          <t>UPPSALA LÄN</t>
        </is>
      </c>
      <c r="E72" t="inlineStr">
        <is>
          <t>UPPSALA</t>
        </is>
      </c>
      <c r="G72" t="n">
        <v>1.3</v>
      </c>
      <c r="H72" t="n">
        <v>0</v>
      </c>
      <c r="I72" t="n">
        <v>2</v>
      </c>
      <c r="J72" t="n">
        <v>0</v>
      </c>
      <c r="K72" t="n">
        <v>0</v>
      </c>
      <c r="L72" t="n">
        <v>0</v>
      </c>
      <c r="M72" t="n">
        <v>0</v>
      </c>
      <c r="N72" t="n">
        <v>0</v>
      </c>
      <c r="O72" t="n">
        <v>0</v>
      </c>
      <c r="P72" t="n">
        <v>0</v>
      </c>
      <c r="Q72" t="n">
        <v>2</v>
      </c>
      <c r="R72" s="2" t="inlineStr">
        <is>
          <t>Fällmossa
Hasselticka</t>
        </is>
      </c>
      <c r="S72">
        <f>HYPERLINK("https://klasma.github.io/Logging_0380/artfynd/A 5755-2025 artfynd.xlsx", "A 5755-2025")</f>
        <v/>
      </c>
      <c r="T72">
        <f>HYPERLINK("https://klasma.github.io/Logging_0380/kartor/A 5755-2025 karta.png", "A 5755-2025")</f>
        <v/>
      </c>
      <c r="V72">
        <f>HYPERLINK("https://klasma.github.io/Logging_0380/klagomål/A 5755-2025 FSC-klagomål.docx", "A 5755-2025")</f>
        <v/>
      </c>
      <c r="W72">
        <f>HYPERLINK("https://klasma.github.io/Logging_0380/klagomålsmail/A 5755-2025 FSC-klagomål mail.docx", "A 5755-2025")</f>
        <v/>
      </c>
      <c r="X72">
        <f>HYPERLINK("https://klasma.github.io/Logging_0380/tillsyn/A 5755-2025 tillsynsbegäran.docx", "A 5755-2025")</f>
        <v/>
      </c>
      <c r="Y72">
        <f>HYPERLINK("https://klasma.github.io/Logging_0380/tillsynsmail/A 5755-2025 tillsynsbegäran mail.docx", "A 5755-2025")</f>
        <v/>
      </c>
    </row>
    <row r="73" ht="15" customHeight="1">
      <c r="A73" t="inlineStr">
        <is>
          <t>A 8865-2022</t>
        </is>
      </c>
      <c r="B73" s="1" t="n">
        <v>44614</v>
      </c>
      <c r="C73" s="1" t="n">
        <v>45933</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45933</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45933</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60055-2022</t>
        </is>
      </c>
      <c r="B76" s="1" t="n">
        <v>44909</v>
      </c>
      <c r="C76" s="1" t="n">
        <v>45933</v>
      </c>
      <c r="D76" t="inlineStr">
        <is>
          <t>UPPSALA LÄN</t>
        </is>
      </c>
      <c r="E76" t="inlineStr">
        <is>
          <t>UPPSALA</t>
        </is>
      </c>
      <c r="G76" t="n">
        <v>11.4</v>
      </c>
      <c r="H76" t="n">
        <v>1</v>
      </c>
      <c r="I76" t="n">
        <v>0</v>
      </c>
      <c r="J76" t="n">
        <v>0</v>
      </c>
      <c r="K76" t="n">
        <v>0</v>
      </c>
      <c r="L76" t="n">
        <v>0</v>
      </c>
      <c r="M76" t="n">
        <v>0</v>
      </c>
      <c r="N76" t="n">
        <v>0</v>
      </c>
      <c r="O76" t="n">
        <v>0</v>
      </c>
      <c r="P76" t="n">
        <v>0</v>
      </c>
      <c r="Q76" t="n">
        <v>1</v>
      </c>
      <c r="R76" s="2" t="inlineStr">
        <is>
          <t>Tjäder</t>
        </is>
      </c>
      <c r="S76">
        <f>HYPERLINK("https://klasma.github.io/Logging_0380/artfynd/A 60055-2022 artfynd.xlsx", "A 60055-2022")</f>
        <v/>
      </c>
      <c r="T76">
        <f>HYPERLINK("https://klasma.github.io/Logging_0380/kartor/A 60055-2022 karta.png", "A 60055-2022")</f>
        <v/>
      </c>
      <c r="V76">
        <f>HYPERLINK("https://klasma.github.io/Logging_0380/klagomål/A 60055-2022 FSC-klagomål.docx", "A 60055-2022")</f>
        <v/>
      </c>
      <c r="W76">
        <f>HYPERLINK("https://klasma.github.io/Logging_0380/klagomålsmail/A 60055-2022 FSC-klagomål mail.docx", "A 60055-2022")</f>
        <v/>
      </c>
      <c r="X76">
        <f>HYPERLINK("https://klasma.github.io/Logging_0380/tillsyn/A 60055-2022 tillsynsbegäran.docx", "A 60055-2022")</f>
        <v/>
      </c>
      <c r="Y76">
        <f>HYPERLINK("https://klasma.github.io/Logging_0380/tillsynsmail/A 60055-2022 tillsynsbegäran mail.docx", "A 60055-2022")</f>
        <v/>
      </c>
      <c r="Z76">
        <f>HYPERLINK("https://klasma.github.io/Logging_0380/fåglar/A 60055-2022 prioriterade fågelarter.docx", "A 60055-2022")</f>
        <v/>
      </c>
    </row>
    <row r="77" ht="15" customHeight="1">
      <c r="A77" t="inlineStr">
        <is>
          <t>A 58050-2021</t>
        </is>
      </c>
      <c r="B77" s="1" t="n">
        <v>44487</v>
      </c>
      <c r="C77" s="1" t="n">
        <v>45933</v>
      </c>
      <c r="D77" t="inlineStr">
        <is>
          <t>UPPSALA LÄN</t>
        </is>
      </c>
      <c r="E77" t="inlineStr">
        <is>
          <t>UPPSALA</t>
        </is>
      </c>
      <c r="G77" t="n">
        <v>4.4</v>
      </c>
      <c r="H77" t="n">
        <v>0</v>
      </c>
      <c r="I77" t="n">
        <v>0</v>
      </c>
      <c r="J77" t="n">
        <v>1</v>
      </c>
      <c r="K77" t="n">
        <v>0</v>
      </c>
      <c r="L77" t="n">
        <v>0</v>
      </c>
      <c r="M77" t="n">
        <v>0</v>
      </c>
      <c r="N77" t="n">
        <v>0</v>
      </c>
      <c r="O77" t="n">
        <v>1</v>
      </c>
      <c r="P77" t="n">
        <v>0</v>
      </c>
      <c r="Q77" t="n">
        <v>1</v>
      </c>
      <c r="R77" s="2" t="inlineStr">
        <is>
          <t>Ullticka</t>
        </is>
      </c>
      <c r="S77">
        <f>HYPERLINK("https://klasma.github.io/Logging_0380/artfynd/A 58050-2021 artfynd.xlsx", "A 58050-2021")</f>
        <v/>
      </c>
      <c r="T77">
        <f>HYPERLINK("https://klasma.github.io/Logging_0380/kartor/A 58050-2021 karta.png", "A 58050-2021")</f>
        <v/>
      </c>
      <c r="V77">
        <f>HYPERLINK("https://klasma.github.io/Logging_0380/klagomål/A 58050-2021 FSC-klagomål.docx", "A 58050-2021")</f>
        <v/>
      </c>
      <c r="W77">
        <f>HYPERLINK("https://klasma.github.io/Logging_0380/klagomålsmail/A 58050-2021 FSC-klagomål mail.docx", "A 58050-2021")</f>
        <v/>
      </c>
      <c r="X77">
        <f>HYPERLINK("https://klasma.github.io/Logging_0380/tillsyn/A 58050-2021 tillsynsbegäran.docx", "A 58050-2021")</f>
        <v/>
      </c>
      <c r="Y77">
        <f>HYPERLINK("https://klasma.github.io/Logging_0380/tillsynsmail/A 58050-2021 tillsynsbegäran mail.docx", "A 58050-2021")</f>
        <v/>
      </c>
    </row>
    <row r="78" ht="15" customHeight="1">
      <c r="A78" t="inlineStr">
        <is>
          <t>A 63172-2023</t>
        </is>
      </c>
      <c r="B78" s="1" t="n">
        <v>45273</v>
      </c>
      <c r="C78" s="1" t="n">
        <v>45933</v>
      </c>
      <c r="D78" t="inlineStr">
        <is>
          <t>UPPSALA LÄN</t>
        </is>
      </c>
      <c r="E78" t="inlineStr">
        <is>
          <t>UPPSALA</t>
        </is>
      </c>
      <c r="G78" t="n">
        <v>1.8</v>
      </c>
      <c r="H78" t="n">
        <v>0</v>
      </c>
      <c r="I78" t="n">
        <v>1</v>
      </c>
      <c r="J78" t="n">
        <v>0</v>
      </c>
      <c r="K78" t="n">
        <v>0</v>
      </c>
      <c r="L78" t="n">
        <v>0</v>
      </c>
      <c r="M78" t="n">
        <v>0</v>
      </c>
      <c r="N78" t="n">
        <v>0</v>
      </c>
      <c r="O78" t="n">
        <v>0</v>
      </c>
      <c r="P78" t="n">
        <v>0</v>
      </c>
      <c r="Q78" t="n">
        <v>1</v>
      </c>
      <c r="R78" s="2" t="inlineStr">
        <is>
          <t>Ögonpyrola</t>
        </is>
      </c>
      <c r="S78">
        <f>HYPERLINK("https://klasma.github.io/Logging_0380/artfynd/A 63172-2023 artfynd.xlsx", "A 63172-2023")</f>
        <v/>
      </c>
      <c r="T78">
        <f>HYPERLINK("https://klasma.github.io/Logging_0380/kartor/A 63172-2023 karta.png", "A 63172-2023")</f>
        <v/>
      </c>
      <c r="V78">
        <f>HYPERLINK("https://klasma.github.io/Logging_0380/klagomål/A 63172-2023 FSC-klagomål.docx", "A 63172-2023")</f>
        <v/>
      </c>
      <c r="W78">
        <f>HYPERLINK("https://klasma.github.io/Logging_0380/klagomålsmail/A 63172-2023 FSC-klagomål mail.docx", "A 63172-2023")</f>
        <v/>
      </c>
      <c r="X78">
        <f>HYPERLINK("https://klasma.github.io/Logging_0380/tillsyn/A 63172-2023 tillsynsbegäran.docx", "A 63172-2023")</f>
        <v/>
      </c>
      <c r="Y78">
        <f>HYPERLINK("https://klasma.github.io/Logging_0380/tillsynsmail/A 63172-2023 tillsynsbegäran mail.docx", "A 63172-2023")</f>
        <v/>
      </c>
    </row>
    <row r="79" ht="15" customHeight="1">
      <c r="A79" t="inlineStr">
        <is>
          <t>A 27848-2023</t>
        </is>
      </c>
      <c r="B79" s="1" t="n">
        <v>45098</v>
      </c>
      <c r="C79" s="1" t="n">
        <v>45933</v>
      </c>
      <c r="D79" t="inlineStr">
        <is>
          <t>UPPSALA LÄN</t>
        </is>
      </c>
      <c r="E79" t="inlineStr">
        <is>
          <t>UPPSALA</t>
        </is>
      </c>
      <c r="G79" t="n">
        <v>14.3</v>
      </c>
      <c r="H79" t="n">
        <v>0</v>
      </c>
      <c r="I79" t="n">
        <v>1</v>
      </c>
      <c r="J79" t="n">
        <v>0</v>
      </c>
      <c r="K79" t="n">
        <v>0</v>
      </c>
      <c r="L79" t="n">
        <v>0</v>
      </c>
      <c r="M79" t="n">
        <v>0</v>
      </c>
      <c r="N79" t="n">
        <v>0</v>
      </c>
      <c r="O79" t="n">
        <v>0</v>
      </c>
      <c r="P79" t="n">
        <v>0</v>
      </c>
      <c r="Q79" t="n">
        <v>1</v>
      </c>
      <c r="R79" s="2" t="inlineStr">
        <is>
          <t>Blåmossa</t>
        </is>
      </c>
      <c r="S79">
        <f>HYPERLINK("https://klasma.github.io/Logging_0380/artfynd/A 27848-2023 artfynd.xlsx", "A 27848-2023")</f>
        <v/>
      </c>
      <c r="T79">
        <f>HYPERLINK("https://klasma.github.io/Logging_0380/kartor/A 27848-2023 karta.png", "A 27848-2023")</f>
        <v/>
      </c>
      <c r="V79">
        <f>HYPERLINK("https://klasma.github.io/Logging_0380/klagomål/A 27848-2023 FSC-klagomål.docx", "A 27848-2023")</f>
        <v/>
      </c>
      <c r="W79">
        <f>HYPERLINK("https://klasma.github.io/Logging_0380/klagomålsmail/A 27848-2023 FSC-klagomål mail.docx", "A 27848-2023")</f>
        <v/>
      </c>
      <c r="X79">
        <f>HYPERLINK("https://klasma.github.io/Logging_0380/tillsyn/A 27848-2023 tillsynsbegäran.docx", "A 27848-2023")</f>
        <v/>
      </c>
      <c r="Y79">
        <f>HYPERLINK("https://klasma.github.io/Logging_0380/tillsynsmail/A 27848-2023 tillsynsbegäran mail.docx", "A 27848-2023")</f>
        <v/>
      </c>
    </row>
    <row r="80" ht="15" customHeight="1">
      <c r="A80" t="inlineStr">
        <is>
          <t>A 26923-2025</t>
        </is>
      </c>
      <c r="B80" s="1" t="n">
        <v>45811.38710648148</v>
      </c>
      <c r="C80" s="1" t="n">
        <v>45933</v>
      </c>
      <c r="D80" t="inlineStr">
        <is>
          <t>UPPSALA LÄN</t>
        </is>
      </c>
      <c r="E80" t="inlineStr">
        <is>
          <t>UPPSALA</t>
        </is>
      </c>
      <c r="F80" t="inlineStr">
        <is>
          <t>Kyrkan</t>
        </is>
      </c>
      <c r="G80" t="n">
        <v>9.800000000000001</v>
      </c>
      <c r="H80" t="n">
        <v>1</v>
      </c>
      <c r="I80" t="n">
        <v>0</v>
      </c>
      <c r="J80" t="n">
        <v>0</v>
      </c>
      <c r="K80" t="n">
        <v>0</v>
      </c>
      <c r="L80" t="n">
        <v>0</v>
      </c>
      <c r="M80" t="n">
        <v>0</v>
      </c>
      <c r="N80" t="n">
        <v>0</v>
      </c>
      <c r="O80" t="n">
        <v>0</v>
      </c>
      <c r="P80" t="n">
        <v>0</v>
      </c>
      <c r="Q80" t="n">
        <v>1</v>
      </c>
      <c r="R80" s="2" t="inlineStr">
        <is>
          <t>Fläcknycklar</t>
        </is>
      </c>
      <c r="S80">
        <f>HYPERLINK("https://klasma.github.io/Logging_0380/artfynd/A 26923-2025 artfynd.xlsx", "A 26923-2025")</f>
        <v/>
      </c>
      <c r="T80">
        <f>HYPERLINK("https://klasma.github.io/Logging_0380/kartor/A 26923-2025 karta.png", "A 26923-2025")</f>
        <v/>
      </c>
      <c r="V80">
        <f>HYPERLINK("https://klasma.github.io/Logging_0380/klagomål/A 26923-2025 FSC-klagomål.docx", "A 26923-2025")</f>
        <v/>
      </c>
      <c r="W80">
        <f>HYPERLINK("https://klasma.github.io/Logging_0380/klagomålsmail/A 26923-2025 FSC-klagomål mail.docx", "A 26923-2025")</f>
        <v/>
      </c>
      <c r="X80">
        <f>HYPERLINK("https://klasma.github.io/Logging_0380/tillsyn/A 26923-2025 tillsynsbegäran.docx", "A 26923-2025")</f>
        <v/>
      </c>
      <c r="Y80">
        <f>HYPERLINK("https://klasma.github.io/Logging_0380/tillsynsmail/A 26923-2025 tillsynsbegäran mail.docx", "A 26923-2025")</f>
        <v/>
      </c>
    </row>
    <row r="81" ht="15" customHeight="1">
      <c r="A81" t="inlineStr">
        <is>
          <t>A 3304-2025</t>
        </is>
      </c>
      <c r="B81" s="1" t="n">
        <v>45679</v>
      </c>
      <c r="C81" s="1" t="n">
        <v>45933</v>
      </c>
      <c r="D81" t="inlineStr">
        <is>
          <t>UPPSALA LÄN</t>
        </is>
      </c>
      <c r="E81" t="inlineStr">
        <is>
          <t>UPPSALA</t>
        </is>
      </c>
      <c r="F81" t="inlineStr">
        <is>
          <t>Övriga statliga verk och myndigheter</t>
        </is>
      </c>
      <c r="G81" t="n">
        <v>3.8</v>
      </c>
      <c r="H81" t="n">
        <v>1</v>
      </c>
      <c r="I81" t="n">
        <v>0</v>
      </c>
      <c r="J81" t="n">
        <v>0</v>
      </c>
      <c r="K81" t="n">
        <v>0</v>
      </c>
      <c r="L81" t="n">
        <v>0</v>
      </c>
      <c r="M81" t="n">
        <v>0</v>
      </c>
      <c r="N81" t="n">
        <v>0</v>
      </c>
      <c r="O81" t="n">
        <v>0</v>
      </c>
      <c r="P81" t="n">
        <v>0</v>
      </c>
      <c r="Q81" t="n">
        <v>1</v>
      </c>
      <c r="R81" s="2" t="inlineStr">
        <is>
          <t>Blåsippa</t>
        </is>
      </c>
      <c r="S81">
        <f>HYPERLINK("https://klasma.github.io/Logging_0380/artfynd/A 3304-2025 artfynd.xlsx", "A 3304-2025")</f>
        <v/>
      </c>
      <c r="T81">
        <f>HYPERLINK("https://klasma.github.io/Logging_0380/kartor/A 3304-2025 karta.png", "A 3304-2025")</f>
        <v/>
      </c>
      <c r="V81">
        <f>HYPERLINK("https://klasma.github.io/Logging_0380/klagomål/A 3304-2025 FSC-klagomål.docx", "A 3304-2025")</f>
        <v/>
      </c>
      <c r="W81">
        <f>HYPERLINK("https://klasma.github.io/Logging_0380/klagomålsmail/A 3304-2025 FSC-klagomål mail.docx", "A 3304-2025")</f>
        <v/>
      </c>
      <c r="X81">
        <f>HYPERLINK("https://klasma.github.io/Logging_0380/tillsyn/A 3304-2025 tillsynsbegäran.docx", "A 3304-2025")</f>
        <v/>
      </c>
      <c r="Y81">
        <f>HYPERLINK("https://klasma.github.io/Logging_0380/tillsynsmail/A 3304-2025 tillsynsbegäran mail.docx", "A 3304-2025")</f>
        <v/>
      </c>
    </row>
    <row r="82" ht="15" customHeight="1">
      <c r="A82" t="inlineStr">
        <is>
          <t>A 28299-2025</t>
        </is>
      </c>
      <c r="B82" s="1" t="n">
        <v>45818.60254629629</v>
      </c>
      <c r="C82" s="1" t="n">
        <v>45933</v>
      </c>
      <c r="D82" t="inlineStr">
        <is>
          <t>UPPSALA LÄN</t>
        </is>
      </c>
      <c r="E82" t="inlineStr">
        <is>
          <t>UPPSALA</t>
        </is>
      </c>
      <c r="F82" t="inlineStr">
        <is>
          <t>Holmen skog AB</t>
        </is>
      </c>
      <c r="G82" t="n">
        <v>12</v>
      </c>
      <c r="H82" t="n">
        <v>0</v>
      </c>
      <c r="I82" t="n">
        <v>0</v>
      </c>
      <c r="J82" t="n">
        <v>1</v>
      </c>
      <c r="K82" t="n">
        <v>0</v>
      </c>
      <c r="L82" t="n">
        <v>0</v>
      </c>
      <c r="M82" t="n">
        <v>0</v>
      </c>
      <c r="N82" t="n">
        <v>0</v>
      </c>
      <c r="O82" t="n">
        <v>1</v>
      </c>
      <c r="P82" t="n">
        <v>0</v>
      </c>
      <c r="Q82" t="n">
        <v>1</v>
      </c>
      <c r="R82" s="2" t="inlineStr">
        <is>
          <t>Slåtterfibbla</t>
        </is>
      </c>
      <c r="S82">
        <f>HYPERLINK("https://klasma.github.io/Logging_0380/artfynd/A 28299-2025 artfynd.xlsx", "A 28299-2025")</f>
        <v/>
      </c>
      <c r="T82">
        <f>HYPERLINK("https://klasma.github.io/Logging_0380/kartor/A 28299-2025 karta.png", "A 28299-2025")</f>
        <v/>
      </c>
      <c r="V82">
        <f>HYPERLINK("https://klasma.github.io/Logging_0380/klagomål/A 28299-2025 FSC-klagomål.docx", "A 28299-2025")</f>
        <v/>
      </c>
      <c r="W82">
        <f>HYPERLINK("https://klasma.github.io/Logging_0380/klagomålsmail/A 28299-2025 FSC-klagomål mail.docx", "A 28299-2025")</f>
        <v/>
      </c>
      <c r="X82">
        <f>HYPERLINK("https://klasma.github.io/Logging_0380/tillsyn/A 28299-2025 tillsynsbegäran.docx", "A 28299-2025")</f>
        <v/>
      </c>
      <c r="Y82">
        <f>HYPERLINK("https://klasma.github.io/Logging_0380/tillsynsmail/A 28299-2025 tillsynsbegäran mail.docx", "A 28299-2025")</f>
        <v/>
      </c>
    </row>
    <row r="83" ht="15" customHeight="1">
      <c r="A83" t="inlineStr">
        <is>
          <t>A 27824-2025</t>
        </is>
      </c>
      <c r="B83" s="1" t="n">
        <v>45817.34614583333</v>
      </c>
      <c r="C83" s="1" t="n">
        <v>45933</v>
      </c>
      <c r="D83" t="inlineStr">
        <is>
          <t>UPPSALA LÄN</t>
        </is>
      </c>
      <c r="E83" t="inlineStr">
        <is>
          <t>UPPSALA</t>
        </is>
      </c>
      <c r="F83" t="inlineStr">
        <is>
          <t>Kyrkan</t>
        </is>
      </c>
      <c r="G83" t="n">
        <v>3.3</v>
      </c>
      <c r="H83" t="n">
        <v>0</v>
      </c>
      <c r="I83" t="n">
        <v>1</v>
      </c>
      <c r="J83" t="n">
        <v>0</v>
      </c>
      <c r="K83" t="n">
        <v>0</v>
      </c>
      <c r="L83" t="n">
        <v>0</v>
      </c>
      <c r="M83" t="n">
        <v>0</v>
      </c>
      <c r="N83" t="n">
        <v>0</v>
      </c>
      <c r="O83" t="n">
        <v>0</v>
      </c>
      <c r="P83" t="n">
        <v>0</v>
      </c>
      <c r="Q83" t="n">
        <v>1</v>
      </c>
      <c r="R83" s="2" t="inlineStr">
        <is>
          <t>Sårläka</t>
        </is>
      </c>
      <c r="S83">
        <f>HYPERLINK("https://klasma.github.io/Logging_0380/artfynd/A 27824-2025 artfynd.xlsx", "A 27824-2025")</f>
        <v/>
      </c>
      <c r="T83">
        <f>HYPERLINK("https://klasma.github.io/Logging_0380/kartor/A 27824-2025 karta.png", "A 27824-2025")</f>
        <v/>
      </c>
      <c r="V83">
        <f>HYPERLINK("https://klasma.github.io/Logging_0380/klagomål/A 27824-2025 FSC-klagomål.docx", "A 27824-2025")</f>
        <v/>
      </c>
      <c r="W83">
        <f>HYPERLINK("https://klasma.github.io/Logging_0380/klagomålsmail/A 27824-2025 FSC-klagomål mail.docx", "A 27824-2025")</f>
        <v/>
      </c>
      <c r="X83">
        <f>HYPERLINK("https://klasma.github.io/Logging_0380/tillsyn/A 27824-2025 tillsynsbegäran.docx", "A 27824-2025")</f>
        <v/>
      </c>
      <c r="Y83">
        <f>HYPERLINK("https://klasma.github.io/Logging_0380/tillsynsmail/A 27824-2025 tillsynsbegäran mail.docx", "A 27824-2025")</f>
        <v/>
      </c>
    </row>
    <row r="84" ht="15" customHeight="1">
      <c r="A84" t="inlineStr">
        <is>
          <t>A 28056-2025</t>
        </is>
      </c>
      <c r="B84" s="1" t="n">
        <v>45817</v>
      </c>
      <c r="C84" s="1" t="n">
        <v>45933</v>
      </c>
      <c r="D84" t="inlineStr">
        <is>
          <t>UPPSALA LÄN</t>
        </is>
      </c>
      <c r="E84" t="inlineStr">
        <is>
          <t>UPPSALA</t>
        </is>
      </c>
      <c r="G84" t="n">
        <v>19.3</v>
      </c>
      <c r="H84" t="n">
        <v>1</v>
      </c>
      <c r="I84" t="n">
        <v>0</v>
      </c>
      <c r="J84" t="n">
        <v>0</v>
      </c>
      <c r="K84" t="n">
        <v>1</v>
      </c>
      <c r="L84" t="n">
        <v>0</v>
      </c>
      <c r="M84" t="n">
        <v>0</v>
      </c>
      <c r="N84" t="n">
        <v>0</v>
      </c>
      <c r="O84" t="n">
        <v>1</v>
      </c>
      <c r="P84" t="n">
        <v>1</v>
      </c>
      <c r="Q84" t="n">
        <v>1</v>
      </c>
      <c r="R84" s="2" t="inlineStr">
        <is>
          <t>Knärot</t>
        </is>
      </c>
      <c r="S84">
        <f>HYPERLINK("https://klasma.github.io/Logging_0380/artfynd/A 28056-2025 artfynd.xlsx", "A 28056-2025")</f>
        <v/>
      </c>
      <c r="T84">
        <f>HYPERLINK("https://klasma.github.io/Logging_0380/kartor/A 28056-2025 karta.png", "A 28056-2025")</f>
        <v/>
      </c>
      <c r="U84">
        <f>HYPERLINK("https://klasma.github.io/Logging_0380/knärot/A 28056-2025 karta knärot.png", "A 28056-2025")</f>
        <v/>
      </c>
      <c r="V84">
        <f>HYPERLINK("https://klasma.github.io/Logging_0380/klagomål/A 28056-2025 FSC-klagomål.docx", "A 28056-2025")</f>
        <v/>
      </c>
      <c r="W84">
        <f>HYPERLINK("https://klasma.github.io/Logging_0380/klagomålsmail/A 28056-2025 FSC-klagomål mail.docx", "A 28056-2025")</f>
        <v/>
      </c>
      <c r="X84">
        <f>HYPERLINK("https://klasma.github.io/Logging_0380/tillsyn/A 28056-2025 tillsynsbegäran.docx", "A 28056-2025")</f>
        <v/>
      </c>
      <c r="Y84">
        <f>HYPERLINK("https://klasma.github.io/Logging_0380/tillsynsmail/A 28056-2025 tillsynsbegäran mail.docx", "A 28056-2025")</f>
        <v/>
      </c>
    </row>
    <row r="85" ht="15" customHeight="1">
      <c r="A85" t="inlineStr">
        <is>
          <t>A 29906-2023</t>
        </is>
      </c>
      <c r="B85" s="1" t="n">
        <v>45107</v>
      </c>
      <c r="C85" s="1" t="n">
        <v>45933</v>
      </c>
      <c r="D85" t="inlineStr">
        <is>
          <t>UPPSALA LÄN</t>
        </is>
      </c>
      <c r="E85" t="inlineStr">
        <is>
          <t>UPPSALA</t>
        </is>
      </c>
      <c r="F85" t="inlineStr">
        <is>
          <t>Kyrkan</t>
        </is>
      </c>
      <c r="G85" t="n">
        <v>0.5</v>
      </c>
      <c r="H85" t="n">
        <v>0</v>
      </c>
      <c r="I85" t="n">
        <v>1</v>
      </c>
      <c r="J85" t="n">
        <v>0</v>
      </c>
      <c r="K85" t="n">
        <v>0</v>
      </c>
      <c r="L85" t="n">
        <v>0</v>
      </c>
      <c r="M85" t="n">
        <v>0</v>
      </c>
      <c r="N85" t="n">
        <v>0</v>
      </c>
      <c r="O85" t="n">
        <v>0</v>
      </c>
      <c r="P85" t="n">
        <v>0</v>
      </c>
      <c r="Q85" t="n">
        <v>1</v>
      </c>
      <c r="R85" s="2" t="inlineStr">
        <is>
          <t>Sotriska</t>
        </is>
      </c>
      <c r="S85">
        <f>HYPERLINK("https://klasma.github.io/Logging_0380/artfynd/A 29906-2023 artfynd.xlsx", "A 29906-2023")</f>
        <v/>
      </c>
      <c r="T85">
        <f>HYPERLINK("https://klasma.github.io/Logging_0380/kartor/A 29906-2023 karta.png", "A 29906-2023")</f>
        <v/>
      </c>
      <c r="V85">
        <f>HYPERLINK("https://klasma.github.io/Logging_0380/klagomål/A 29906-2023 FSC-klagomål.docx", "A 29906-2023")</f>
        <v/>
      </c>
      <c r="W85">
        <f>HYPERLINK("https://klasma.github.io/Logging_0380/klagomålsmail/A 29906-2023 FSC-klagomål mail.docx", "A 29906-2023")</f>
        <v/>
      </c>
      <c r="X85">
        <f>HYPERLINK("https://klasma.github.io/Logging_0380/tillsyn/A 29906-2023 tillsynsbegäran.docx", "A 29906-2023")</f>
        <v/>
      </c>
      <c r="Y85">
        <f>HYPERLINK("https://klasma.github.io/Logging_0380/tillsynsmail/A 29906-2023 tillsynsbegäran mail.docx", "A 29906-2023")</f>
        <v/>
      </c>
    </row>
    <row r="86" ht="15" customHeight="1">
      <c r="A86" t="inlineStr">
        <is>
          <t>A 39741-2023</t>
        </is>
      </c>
      <c r="B86" s="1" t="n">
        <v>45167</v>
      </c>
      <c r="C86" s="1" t="n">
        <v>45933</v>
      </c>
      <c r="D86" t="inlineStr">
        <is>
          <t>UPPSALA LÄN</t>
        </is>
      </c>
      <c r="E86" t="inlineStr">
        <is>
          <t>UPPSALA</t>
        </is>
      </c>
      <c r="G86" t="n">
        <v>5.6</v>
      </c>
      <c r="H86" t="n">
        <v>1</v>
      </c>
      <c r="I86" t="n">
        <v>0</v>
      </c>
      <c r="J86" t="n">
        <v>1</v>
      </c>
      <c r="K86" t="n">
        <v>0</v>
      </c>
      <c r="L86" t="n">
        <v>0</v>
      </c>
      <c r="M86" t="n">
        <v>0</v>
      </c>
      <c r="N86" t="n">
        <v>0</v>
      </c>
      <c r="O86" t="n">
        <v>1</v>
      </c>
      <c r="P86" t="n">
        <v>0</v>
      </c>
      <c r="Q86" t="n">
        <v>1</v>
      </c>
      <c r="R86" s="2" t="inlineStr">
        <is>
          <t>Entita</t>
        </is>
      </c>
      <c r="S86">
        <f>HYPERLINK("https://klasma.github.io/Logging_0380/artfynd/A 39741-2023 artfynd.xlsx", "A 39741-2023")</f>
        <v/>
      </c>
      <c r="T86">
        <f>HYPERLINK("https://klasma.github.io/Logging_0380/kartor/A 39741-2023 karta.png", "A 39741-2023")</f>
        <v/>
      </c>
      <c r="V86">
        <f>HYPERLINK("https://klasma.github.io/Logging_0380/klagomål/A 39741-2023 FSC-klagomål.docx", "A 39741-2023")</f>
        <v/>
      </c>
      <c r="W86">
        <f>HYPERLINK("https://klasma.github.io/Logging_0380/klagomålsmail/A 39741-2023 FSC-klagomål mail.docx", "A 39741-2023")</f>
        <v/>
      </c>
      <c r="X86">
        <f>HYPERLINK("https://klasma.github.io/Logging_0380/tillsyn/A 39741-2023 tillsynsbegäran.docx", "A 39741-2023")</f>
        <v/>
      </c>
      <c r="Y86">
        <f>HYPERLINK("https://klasma.github.io/Logging_0380/tillsynsmail/A 39741-2023 tillsynsbegäran mail.docx", "A 39741-2023")</f>
        <v/>
      </c>
      <c r="Z86">
        <f>HYPERLINK("https://klasma.github.io/Logging_0380/fåglar/A 39741-2023 prioriterade fågelarter.docx", "A 39741-2023")</f>
        <v/>
      </c>
    </row>
    <row r="87" ht="15" customHeight="1">
      <c r="A87" t="inlineStr">
        <is>
          <t>A 13526-2025</t>
        </is>
      </c>
      <c r="B87" s="1" t="n">
        <v>45736.49902777778</v>
      </c>
      <c r="C87" s="1" t="n">
        <v>45933</v>
      </c>
      <c r="D87" t="inlineStr">
        <is>
          <t>UPPSALA LÄN</t>
        </is>
      </c>
      <c r="E87" t="inlineStr">
        <is>
          <t>UPPSALA</t>
        </is>
      </c>
      <c r="F87" t="inlineStr">
        <is>
          <t>Allmännings- och besparingsskogar</t>
        </is>
      </c>
      <c r="G87" t="n">
        <v>3</v>
      </c>
      <c r="H87" t="n">
        <v>0</v>
      </c>
      <c r="I87" t="n">
        <v>0</v>
      </c>
      <c r="J87" t="n">
        <v>1</v>
      </c>
      <c r="K87" t="n">
        <v>0</v>
      </c>
      <c r="L87" t="n">
        <v>0</v>
      </c>
      <c r="M87" t="n">
        <v>0</v>
      </c>
      <c r="N87" t="n">
        <v>0</v>
      </c>
      <c r="O87" t="n">
        <v>1</v>
      </c>
      <c r="P87" t="n">
        <v>0</v>
      </c>
      <c r="Q87" t="n">
        <v>1</v>
      </c>
      <c r="R87" s="2" t="inlineStr">
        <is>
          <t>Vedtrappmossa</t>
        </is>
      </c>
      <c r="S87">
        <f>HYPERLINK("https://klasma.github.io/Logging_0380/artfynd/A 13526-2025 artfynd.xlsx", "A 13526-2025")</f>
        <v/>
      </c>
      <c r="T87">
        <f>HYPERLINK("https://klasma.github.io/Logging_0380/kartor/A 13526-2025 karta.png", "A 13526-2025")</f>
        <v/>
      </c>
      <c r="V87">
        <f>HYPERLINK("https://klasma.github.io/Logging_0380/klagomål/A 13526-2025 FSC-klagomål.docx", "A 13526-2025")</f>
        <v/>
      </c>
      <c r="W87">
        <f>HYPERLINK("https://klasma.github.io/Logging_0380/klagomålsmail/A 13526-2025 FSC-klagomål mail.docx", "A 13526-2025")</f>
        <v/>
      </c>
      <c r="X87">
        <f>HYPERLINK("https://klasma.github.io/Logging_0380/tillsyn/A 13526-2025 tillsynsbegäran.docx", "A 13526-2025")</f>
        <v/>
      </c>
      <c r="Y87">
        <f>HYPERLINK("https://klasma.github.io/Logging_0380/tillsynsmail/A 13526-2025 tillsynsbegäran mail.docx", "A 13526-2025")</f>
        <v/>
      </c>
    </row>
    <row r="88" ht="15" customHeight="1">
      <c r="A88" t="inlineStr">
        <is>
          <t>A 29664-2025</t>
        </is>
      </c>
      <c r="B88" s="1" t="n">
        <v>45825.49060185185</v>
      </c>
      <c r="C88" s="1" t="n">
        <v>45933</v>
      </c>
      <c r="D88" t="inlineStr">
        <is>
          <t>UPPSALA LÄN</t>
        </is>
      </c>
      <c r="E88" t="inlineStr">
        <is>
          <t>UPPSALA</t>
        </is>
      </c>
      <c r="F88" t="inlineStr">
        <is>
          <t>Holmen skog AB</t>
        </is>
      </c>
      <c r="G88" t="n">
        <v>16.8</v>
      </c>
      <c r="H88" t="n">
        <v>0</v>
      </c>
      <c r="I88" t="n">
        <v>1</v>
      </c>
      <c r="J88" t="n">
        <v>0</v>
      </c>
      <c r="K88" t="n">
        <v>0</v>
      </c>
      <c r="L88" t="n">
        <v>0</v>
      </c>
      <c r="M88" t="n">
        <v>0</v>
      </c>
      <c r="N88" t="n">
        <v>0</v>
      </c>
      <c r="O88" t="n">
        <v>0</v>
      </c>
      <c r="P88" t="n">
        <v>0</v>
      </c>
      <c r="Q88" t="n">
        <v>1</v>
      </c>
      <c r="R88" s="2" t="inlineStr">
        <is>
          <t>Fjällig taggsvamp s.str.</t>
        </is>
      </c>
      <c r="S88">
        <f>HYPERLINK("https://klasma.github.io/Logging_0380/artfynd/A 29664-2025 artfynd.xlsx", "A 29664-2025")</f>
        <v/>
      </c>
      <c r="T88">
        <f>HYPERLINK("https://klasma.github.io/Logging_0380/kartor/A 29664-2025 karta.png", "A 29664-2025")</f>
        <v/>
      </c>
      <c r="V88">
        <f>HYPERLINK("https://klasma.github.io/Logging_0380/klagomål/A 29664-2025 FSC-klagomål.docx", "A 29664-2025")</f>
        <v/>
      </c>
      <c r="W88">
        <f>HYPERLINK("https://klasma.github.io/Logging_0380/klagomålsmail/A 29664-2025 FSC-klagomål mail.docx", "A 29664-2025")</f>
        <v/>
      </c>
      <c r="X88">
        <f>HYPERLINK("https://klasma.github.io/Logging_0380/tillsyn/A 29664-2025 tillsynsbegäran.docx", "A 29664-2025")</f>
        <v/>
      </c>
      <c r="Y88">
        <f>HYPERLINK("https://klasma.github.io/Logging_0380/tillsynsmail/A 29664-2025 tillsynsbegäran mail.docx", "A 29664-2025")</f>
        <v/>
      </c>
    </row>
    <row r="89" ht="15" customHeight="1">
      <c r="A89" t="inlineStr">
        <is>
          <t>A 16761-2022</t>
        </is>
      </c>
      <c r="B89" s="1" t="n">
        <v>44673.47858796296</v>
      </c>
      <c r="C89" s="1" t="n">
        <v>45933</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5750-2023</t>
        </is>
      </c>
      <c r="B90" s="1" t="n">
        <v>44963</v>
      </c>
      <c r="C90" s="1" t="n">
        <v>45933</v>
      </c>
      <c r="D90" t="inlineStr">
        <is>
          <t>UPPSALA LÄN</t>
        </is>
      </c>
      <c r="E90" t="inlineStr">
        <is>
          <t>UPPSALA</t>
        </is>
      </c>
      <c r="G90" t="n">
        <v>13.8</v>
      </c>
      <c r="H90" t="n">
        <v>0</v>
      </c>
      <c r="I90" t="n">
        <v>0</v>
      </c>
      <c r="J90" t="n">
        <v>0</v>
      </c>
      <c r="K90" t="n">
        <v>1</v>
      </c>
      <c r="L90" t="n">
        <v>0</v>
      </c>
      <c r="M90" t="n">
        <v>0</v>
      </c>
      <c r="N90" t="n">
        <v>0</v>
      </c>
      <c r="O90" t="n">
        <v>1</v>
      </c>
      <c r="P90" t="n">
        <v>1</v>
      </c>
      <c r="Q90" t="n">
        <v>1</v>
      </c>
      <c r="R90" s="2" t="inlineStr">
        <is>
          <t>Raggbock</t>
        </is>
      </c>
      <c r="S90">
        <f>HYPERLINK("https://klasma.github.io/Logging_0380/artfynd/A 5750-2023 artfynd.xlsx", "A 5750-2023")</f>
        <v/>
      </c>
      <c r="T90">
        <f>HYPERLINK("https://klasma.github.io/Logging_0380/kartor/A 5750-2023 karta.png", "A 5750-2023")</f>
        <v/>
      </c>
      <c r="V90">
        <f>HYPERLINK("https://klasma.github.io/Logging_0380/klagomål/A 5750-2023 FSC-klagomål.docx", "A 5750-2023")</f>
        <v/>
      </c>
      <c r="W90">
        <f>HYPERLINK("https://klasma.github.io/Logging_0380/klagomålsmail/A 5750-2023 FSC-klagomål mail.docx", "A 5750-2023")</f>
        <v/>
      </c>
      <c r="X90">
        <f>HYPERLINK("https://klasma.github.io/Logging_0380/tillsyn/A 5750-2023 tillsynsbegäran.docx", "A 5750-2023")</f>
        <v/>
      </c>
      <c r="Y90">
        <f>HYPERLINK("https://klasma.github.io/Logging_0380/tillsynsmail/A 5750-2023 tillsynsbegäran mail.docx", "A 5750-2023")</f>
        <v/>
      </c>
    </row>
    <row r="91" ht="15" customHeight="1">
      <c r="A91" t="inlineStr">
        <is>
          <t>A 25729-2024</t>
        </is>
      </c>
      <c r="B91" s="1" t="n">
        <v>45464</v>
      </c>
      <c r="C91" s="1" t="n">
        <v>45933</v>
      </c>
      <c r="D91" t="inlineStr">
        <is>
          <t>UPPSALA LÄN</t>
        </is>
      </c>
      <c r="E91" t="inlineStr">
        <is>
          <t>UPPSALA</t>
        </is>
      </c>
      <c r="G91" t="n">
        <v>22.3</v>
      </c>
      <c r="H91" t="n">
        <v>0</v>
      </c>
      <c r="I91" t="n">
        <v>0</v>
      </c>
      <c r="J91" t="n">
        <v>1</v>
      </c>
      <c r="K91" t="n">
        <v>0</v>
      </c>
      <c r="L91" t="n">
        <v>0</v>
      </c>
      <c r="M91" t="n">
        <v>0</v>
      </c>
      <c r="N91" t="n">
        <v>0</v>
      </c>
      <c r="O91" t="n">
        <v>1</v>
      </c>
      <c r="P91" t="n">
        <v>0</v>
      </c>
      <c r="Q91" t="n">
        <v>1</v>
      </c>
      <c r="R91" s="2" t="inlineStr">
        <is>
          <t>Ullticka</t>
        </is>
      </c>
      <c r="S91">
        <f>HYPERLINK("https://klasma.github.io/Logging_0380/artfynd/A 25729-2024 artfynd.xlsx", "A 25729-2024")</f>
        <v/>
      </c>
      <c r="T91">
        <f>HYPERLINK("https://klasma.github.io/Logging_0380/kartor/A 25729-2024 karta.png", "A 25729-2024")</f>
        <v/>
      </c>
      <c r="V91">
        <f>HYPERLINK("https://klasma.github.io/Logging_0380/klagomål/A 25729-2024 FSC-klagomål.docx", "A 25729-2024")</f>
        <v/>
      </c>
      <c r="W91">
        <f>HYPERLINK("https://klasma.github.io/Logging_0380/klagomålsmail/A 25729-2024 FSC-klagomål mail.docx", "A 25729-2024")</f>
        <v/>
      </c>
      <c r="X91">
        <f>HYPERLINK("https://klasma.github.io/Logging_0380/tillsyn/A 25729-2024 tillsynsbegäran.docx", "A 25729-2024")</f>
        <v/>
      </c>
      <c r="Y91">
        <f>HYPERLINK("https://klasma.github.io/Logging_0380/tillsynsmail/A 25729-2024 tillsynsbegäran mail.docx", "A 25729-2024")</f>
        <v/>
      </c>
    </row>
    <row r="92" ht="15" customHeight="1">
      <c r="A92" t="inlineStr">
        <is>
          <t>A 57793-2022</t>
        </is>
      </c>
      <c r="B92" s="1" t="n">
        <v>44897</v>
      </c>
      <c r="C92" s="1" t="n">
        <v>45933</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13363-2022</t>
        </is>
      </c>
      <c r="B93" s="1" t="n">
        <v>44645</v>
      </c>
      <c r="C93" s="1" t="n">
        <v>45933</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35260-2025</t>
        </is>
      </c>
      <c r="B94" s="1" t="n">
        <v>45853.76976851852</v>
      </c>
      <c r="C94" s="1" t="n">
        <v>45933</v>
      </c>
      <c r="D94" t="inlineStr">
        <is>
          <t>UPPSALA LÄN</t>
        </is>
      </c>
      <c r="E94" t="inlineStr">
        <is>
          <t>UPPSALA</t>
        </is>
      </c>
      <c r="G94" t="n">
        <v>7.3</v>
      </c>
      <c r="H94" t="n">
        <v>0</v>
      </c>
      <c r="I94" t="n">
        <v>1</v>
      </c>
      <c r="J94" t="n">
        <v>0</v>
      </c>
      <c r="K94" t="n">
        <v>0</v>
      </c>
      <c r="L94" t="n">
        <v>0</v>
      </c>
      <c r="M94" t="n">
        <v>0</v>
      </c>
      <c r="N94" t="n">
        <v>0</v>
      </c>
      <c r="O94" t="n">
        <v>0</v>
      </c>
      <c r="P94" t="n">
        <v>0</v>
      </c>
      <c r="Q94" t="n">
        <v>1</v>
      </c>
      <c r="R94" s="2" t="inlineStr">
        <is>
          <t>Svavelriska</t>
        </is>
      </c>
      <c r="S94">
        <f>HYPERLINK("https://klasma.github.io/Logging_0380/artfynd/A 35260-2025 artfynd.xlsx", "A 35260-2025")</f>
        <v/>
      </c>
      <c r="T94">
        <f>HYPERLINK("https://klasma.github.io/Logging_0380/kartor/A 35260-2025 karta.png", "A 35260-2025")</f>
        <v/>
      </c>
      <c r="V94">
        <f>HYPERLINK("https://klasma.github.io/Logging_0380/klagomål/A 35260-2025 FSC-klagomål.docx", "A 35260-2025")</f>
        <v/>
      </c>
      <c r="W94">
        <f>HYPERLINK("https://klasma.github.io/Logging_0380/klagomålsmail/A 35260-2025 FSC-klagomål mail.docx", "A 35260-2025")</f>
        <v/>
      </c>
      <c r="X94">
        <f>HYPERLINK("https://klasma.github.io/Logging_0380/tillsyn/A 35260-2025 tillsynsbegäran.docx", "A 35260-2025")</f>
        <v/>
      </c>
      <c r="Y94">
        <f>HYPERLINK("https://klasma.github.io/Logging_0380/tillsynsmail/A 35260-2025 tillsynsbegäran mail.docx", "A 35260-2025")</f>
        <v/>
      </c>
    </row>
    <row r="95" ht="15" customHeight="1">
      <c r="A95" t="inlineStr">
        <is>
          <t>A 9206-2024</t>
        </is>
      </c>
      <c r="B95" s="1" t="n">
        <v>45358</v>
      </c>
      <c r="C95" s="1" t="n">
        <v>45933</v>
      </c>
      <c r="D95" t="inlineStr">
        <is>
          <t>UPPSALA LÄN</t>
        </is>
      </c>
      <c r="E95" t="inlineStr">
        <is>
          <t>UPPSALA</t>
        </is>
      </c>
      <c r="F95" t="inlineStr">
        <is>
          <t>Allmännings- och besparingsskogar</t>
        </is>
      </c>
      <c r="G95" t="n">
        <v>22.2</v>
      </c>
      <c r="H95" t="n">
        <v>1</v>
      </c>
      <c r="I95" t="n">
        <v>0</v>
      </c>
      <c r="J95" t="n">
        <v>0</v>
      </c>
      <c r="K95" t="n">
        <v>1</v>
      </c>
      <c r="L95" t="n">
        <v>0</v>
      </c>
      <c r="M95" t="n">
        <v>0</v>
      </c>
      <c r="N95" t="n">
        <v>0</v>
      </c>
      <c r="O95" t="n">
        <v>1</v>
      </c>
      <c r="P95" t="n">
        <v>1</v>
      </c>
      <c r="Q95" t="n">
        <v>1</v>
      </c>
      <c r="R95" s="2" t="inlineStr">
        <is>
          <t>Knärot</t>
        </is>
      </c>
      <c r="S95">
        <f>HYPERLINK("https://klasma.github.io/Logging_0380/artfynd/A 9206-2024 artfynd.xlsx", "A 9206-2024")</f>
        <v/>
      </c>
      <c r="T95">
        <f>HYPERLINK("https://klasma.github.io/Logging_0380/kartor/A 9206-2024 karta.png", "A 9206-2024")</f>
        <v/>
      </c>
      <c r="U95">
        <f>HYPERLINK("https://klasma.github.io/Logging_0380/knärot/A 9206-2024 karta knärot.png", "A 9206-2024")</f>
        <v/>
      </c>
      <c r="V95">
        <f>HYPERLINK("https://klasma.github.io/Logging_0380/klagomål/A 9206-2024 FSC-klagomål.docx", "A 9206-2024")</f>
        <v/>
      </c>
      <c r="W95">
        <f>HYPERLINK("https://klasma.github.io/Logging_0380/klagomålsmail/A 9206-2024 FSC-klagomål mail.docx", "A 9206-2024")</f>
        <v/>
      </c>
      <c r="X95">
        <f>HYPERLINK("https://klasma.github.io/Logging_0380/tillsyn/A 9206-2024 tillsynsbegäran.docx", "A 9206-2024")</f>
        <v/>
      </c>
      <c r="Y95">
        <f>HYPERLINK("https://klasma.github.io/Logging_0380/tillsynsmail/A 9206-2024 tillsynsbegäran mail.docx", "A 9206-2024")</f>
        <v/>
      </c>
    </row>
    <row r="96" ht="15" customHeight="1">
      <c r="A96" t="inlineStr">
        <is>
          <t>A 40568-2025</t>
        </is>
      </c>
      <c r="B96" s="1" t="n">
        <v>45896.47487268518</v>
      </c>
      <c r="C96" s="1" t="n">
        <v>45933</v>
      </c>
      <c r="D96" t="inlineStr">
        <is>
          <t>UPPSALA LÄN</t>
        </is>
      </c>
      <c r="E96" t="inlineStr">
        <is>
          <t>UPPSALA</t>
        </is>
      </c>
      <c r="F96" t="inlineStr">
        <is>
          <t>Kyrkan</t>
        </is>
      </c>
      <c r="G96" t="n">
        <v>2.1</v>
      </c>
      <c r="H96" t="n">
        <v>0</v>
      </c>
      <c r="I96" t="n">
        <v>1</v>
      </c>
      <c r="J96" t="n">
        <v>0</v>
      </c>
      <c r="K96" t="n">
        <v>0</v>
      </c>
      <c r="L96" t="n">
        <v>0</v>
      </c>
      <c r="M96" t="n">
        <v>0</v>
      </c>
      <c r="N96" t="n">
        <v>0</v>
      </c>
      <c r="O96" t="n">
        <v>0</v>
      </c>
      <c r="P96" t="n">
        <v>0</v>
      </c>
      <c r="Q96" t="n">
        <v>1</v>
      </c>
      <c r="R96" s="2" t="inlineStr">
        <is>
          <t>Rödgul trumpetsvamp</t>
        </is>
      </c>
      <c r="S96">
        <f>HYPERLINK("https://klasma.github.io/Logging_0380/artfynd/A 40568-2025 artfynd.xlsx", "A 40568-2025")</f>
        <v/>
      </c>
      <c r="T96">
        <f>HYPERLINK("https://klasma.github.io/Logging_0380/kartor/A 40568-2025 karta.png", "A 40568-2025")</f>
        <v/>
      </c>
      <c r="V96">
        <f>HYPERLINK("https://klasma.github.io/Logging_0380/klagomål/A 40568-2025 FSC-klagomål.docx", "A 40568-2025")</f>
        <v/>
      </c>
      <c r="W96">
        <f>HYPERLINK("https://klasma.github.io/Logging_0380/klagomålsmail/A 40568-2025 FSC-klagomål mail.docx", "A 40568-2025")</f>
        <v/>
      </c>
      <c r="X96">
        <f>HYPERLINK("https://klasma.github.io/Logging_0380/tillsyn/A 40568-2025 tillsynsbegäran.docx", "A 40568-2025")</f>
        <v/>
      </c>
      <c r="Y96">
        <f>HYPERLINK("https://klasma.github.io/Logging_0380/tillsynsmail/A 40568-2025 tillsynsbegäran mail.docx", "A 40568-2025")</f>
        <v/>
      </c>
    </row>
    <row r="97" ht="15" customHeight="1">
      <c r="A97" t="inlineStr">
        <is>
          <t>A 41606-2025</t>
        </is>
      </c>
      <c r="B97" s="1" t="n">
        <v>45901.66702546296</v>
      </c>
      <c r="C97" s="1" t="n">
        <v>45933</v>
      </c>
      <c r="D97" t="inlineStr">
        <is>
          <t>UPPSALA LÄN</t>
        </is>
      </c>
      <c r="E97" t="inlineStr">
        <is>
          <t>UPPSALA</t>
        </is>
      </c>
      <c r="G97" t="n">
        <v>5.1</v>
      </c>
      <c r="H97" t="n">
        <v>0</v>
      </c>
      <c r="I97" t="n">
        <v>1</v>
      </c>
      <c r="J97" t="n">
        <v>0</v>
      </c>
      <c r="K97" t="n">
        <v>0</v>
      </c>
      <c r="L97" t="n">
        <v>0</v>
      </c>
      <c r="M97" t="n">
        <v>0</v>
      </c>
      <c r="N97" t="n">
        <v>0</v>
      </c>
      <c r="O97" t="n">
        <v>0</v>
      </c>
      <c r="P97" t="n">
        <v>0</v>
      </c>
      <c r="Q97" t="n">
        <v>1</v>
      </c>
      <c r="R97" s="2" t="inlineStr">
        <is>
          <t>Granbräken</t>
        </is>
      </c>
      <c r="S97">
        <f>HYPERLINK("https://klasma.github.io/Logging_0380/artfynd/A 41606-2025 artfynd.xlsx", "A 41606-2025")</f>
        <v/>
      </c>
      <c r="T97">
        <f>HYPERLINK("https://klasma.github.io/Logging_0380/kartor/A 41606-2025 karta.png", "A 41606-2025")</f>
        <v/>
      </c>
      <c r="V97">
        <f>HYPERLINK("https://klasma.github.io/Logging_0380/klagomål/A 41606-2025 FSC-klagomål.docx", "A 41606-2025")</f>
        <v/>
      </c>
      <c r="W97">
        <f>HYPERLINK("https://klasma.github.io/Logging_0380/klagomålsmail/A 41606-2025 FSC-klagomål mail.docx", "A 41606-2025")</f>
        <v/>
      </c>
      <c r="X97">
        <f>HYPERLINK("https://klasma.github.io/Logging_0380/tillsyn/A 41606-2025 tillsynsbegäran.docx", "A 41606-2025")</f>
        <v/>
      </c>
      <c r="Y97">
        <f>HYPERLINK("https://klasma.github.io/Logging_0380/tillsynsmail/A 41606-2025 tillsynsbegäran mail.docx", "A 41606-2025")</f>
        <v/>
      </c>
    </row>
    <row r="98" ht="15" customHeight="1">
      <c r="A98" t="inlineStr">
        <is>
          <t>A 5009-2023</t>
        </is>
      </c>
      <c r="B98" s="1" t="n">
        <v>44958</v>
      </c>
      <c r="C98" s="1" t="n">
        <v>45933</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36842-2025</t>
        </is>
      </c>
      <c r="B99" s="1" t="n">
        <v>45874</v>
      </c>
      <c r="C99" s="1" t="n">
        <v>45933</v>
      </c>
      <c r="D99" t="inlineStr">
        <is>
          <t>UPPSALA LÄN</t>
        </is>
      </c>
      <c r="E99" t="inlineStr">
        <is>
          <t>UPPSALA</t>
        </is>
      </c>
      <c r="G99" t="n">
        <v>9.9</v>
      </c>
      <c r="H99" t="n">
        <v>0</v>
      </c>
      <c r="I99" t="n">
        <v>1</v>
      </c>
      <c r="J99" t="n">
        <v>0</v>
      </c>
      <c r="K99" t="n">
        <v>0</v>
      </c>
      <c r="L99" t="n">
        <v>0</v>
      </c>
      <c r="M99" t="n">
        <v>0</v>
      </c>
      <c r="N99" t="n">
        <v>0</v>
      </c>
      <c r="O99" t="n">
        <v>0</v>
      </c>
      <c r="P99" t="n">
        <v>0</v>
      </c>
      <c r="Q99" t="n">
        <v>1</v>
      </c>
      <c r="R99" s="2" t="inlineStr">
        <is>
          <t>Vedticka</t>
        </is>
      </c>
      <c r="S99">
        <f>HYPERLINK("https://klasma.github.io/Logging_0380/artfynd/A 36842-2025 artfynd.xlsx", "A 36842-2025")</f>
        <v/>
      </c>
      <c r="T99">
        <f>HYPERLINK("https://klasma.github.io/Logging_0380/kartor/A 36842-2025 karta.png", "A 36842-2025")</f>
        <v/>
      </c>
      <c r="V99">
        <f>HYPERLINK("https://klasma.github.io/Logging_0380/klagomål/A 36842-2025 FSC-klagomål.docx", "A 36842-2025")</f>
        <v/>
      </c>
      <c r="W99">
        <f>HYPERLINK("https://klasma.github.io/Logging_0380/klagomålsmail/A 36842-2025 FSC-klagomål mail.docx", "A 36842-2025")</f>
        <v/>
      </c>
      <c r="X99">
        <f>HYPERLINK("https://klasma.github.io/Logging_0380/tillsyn/A 36842-2025 tillsynsbegäran.docx", "A 36842-2025")</f>
        <v/>
      </c>
      <c r="Y99">
        <f>HYPERLINK("https://klasma.github.io/Logging_0380/tillsynsmail/A 36842-2025 tillsynsbegäran mail.docx", "A 36842-2025")</f>
        <v/>
      </c>
    </row>
    <row r="100" ht="15" customHeight="1">
      <c r="A100" t="inlineStr">
        <is>
          <t>A 26135-2025</t>
        </is>
      </c>
      <c r="B100" s="1" t="n">
        <v>45805.41232638889</v>
      </c>
      <c r="C100" s="1" t="n">
        <v>45933</v>
      </c>
      <c r="D100" t="inlineStr">
        <is>
          <t>UPPSALA LÄN</t>
        </is>
      </c>
      <c r="E100" t="inlineStr">
        <is>
          <t>UPPSALA</t>
        </is>
      </c>
      <c r="F100" t="inlineStr">
        <is>
          <t>Holmen skog AB</t>
        </is>
      </c>
      <c r="G100" t="n">
        <v>3.1</v>
      </c>
      <c r="H100" t="n">
        <v>0</v>
      </c>
      <c r="I100" t="n">
        <v>0</v>
      </c>
      <c r="J100" t="n">
        <v>1</v>
      </c>
      <c r="K100" t="n">
        <v>0</v>
      </c>
      <c r="L100" t="n">
        <v>0</v>
      </c>
      <c r="M100" t="n">
        <v>0</v>
      </c>
      <c r="N100" t="n">
        <v>0</v>
      </c>
      <c r="O100" t="n">
        <v>1</v>
      </c>
      <c r="P100" t="n">
        <v>0</v>
      </c>
      <c r="Q100" t="n">
        <v>1</v>
      </c>
      <c r="R100" s="2" t="inlineStr">
        <is>
          <t>Vedtrappmossa</t>
        </is>
      </c>
      <c r="S100">
        <f>HYPERLINK("https://klasma.github.io/Logging_0380/artfynd/A 26135-2025 artfynd.xlsx", "A 26135-2025")</f>
        <v/>
      </c>
      <c r="T100">
        <f>HYPERLINK("https://klasma.github.io/Logging_0380/kartor/A 26135-2025 karta.png", "A 26135-2025")</f>
        <v/>
      </c>
      <c r="V100">
        <f>HYPERLINK("https://klasma.github.io/Logging_0380/klagomål/A 26135-2025 FSC-klagomål.docx", "A 26135-2025")</f>
        <v/>
      </c>
      <c r="W100">
        <f>HYPERLINK("https://klasma.github.io/Logging_0380/klagomålsmail/A 26135-2025 FSC-klagomål mail.docx", "A 26135-2025")</f>
        <v/>
      </c>
      <c r="X100">
        <f>HYPERLINK("https://klasma.github.io/Logging_0380/tillsyn/A 26135-2025 tillsynsbegäran.docx", "A 26135-2025")</f>
        <v/>
      </c>
      <c r="Y100">
        <f>HYPERLINK("https://klasma.github.io/Logging_0380/tillsynsmail/A 26135-2025 tillsynsbegäran mail.docx", "A 26135-2025")</f>
        <v/>
      </c>
    </row>
    <row r="101" ht="15" customHeight="1">
      <c r="A101" t="inlineStr">
        <is>
          <t>A 6044-2024</t>
        </is>
      </c>
      <c r="B101" s="1" t="n">
        <v>45336</v>
      </c>
      <c r="C101" s="1" t="n">
        <v>45933</v>
      </c>
      <c r="D101" t="inlineStr">
        <is>
          <t>UPPSALA LÄN</t>
        </is>
      </c>
      <c r="E101" t="inlineStr">
        <is>
          <t>UPPSALA</t>
        </is>
      </c>
      <c r="F101" t="inlineStr">
        <is>
          <t>Holmen skog AB</t>
        </is>
      </c>
      <c r="G101" t="n">
        <v>7.4</v>
      </c>
      <c r="H101" t="n">
        <v>0</v>
      </c>
      <c r="I101" t="n">
        <v>0</v>
      </c>
      <c r="J101" t="n">
        <v>1</v>
      </c>
      <c r="K101" t="n">
        <v>0</v>
      </c>
      <c r="L101" t="n">
        <v>0</v>
      </c>
      <c r="M101" t="n">
        <v>0</v>
      </c>
      <c r="N101" t="n">
        <v>0</v>
      </c>
      <c r="O101" t="n">
        <v>1</v>
      </c>
      <c r="P101" t="n">
        <v>0</v>
      </c>
      <c r="Q101" t="n">
        <v>1</v>
      </c>
      <c r="R101" s="2" t="inlineStr">
        <is>
          <t>Gul dropplav</t>
        </is>
      </c>
      <c r="S101">
        <f>HYPERLINK("https://klasma.github.io/Logging_0380/artfynd/A 6044-2024 artfynd.xlsx", "A 6044-2024")</f>
        <v/>
      </c>
      <c r="T101">
        <f>HYPERLINK("https://klasma.github.io/Logging_0380/kartor/A 6044-2024 karta.png", "A 6044-2024")</f>
        <v/>
      </c>
      <c r="V101">
        <f>HYPERLINK("https://klasma.github.io/Logging_0380/klagomål/A 6044-2024 FSC-klagomål.docx", "A 6044-2024")</f>
        <v/>
      </c>
      <c r="W101">
        <f>HYPERLINK("https://klasma.github.io/Logging_0380/klagomålsmail/A 6044-2024 FSC-klagomål mail.docx", "A 6044-2024")</f>
        <v/>
      </c>
      <c r="X101">
        <f>HYPERLINK("https://klasma.github.io/Logging_0380/tillsyn/A 6044-2024 tillsynsbegäran.docx", "A 6044-2024")</f>
        <v/>
      </c>
      <c r="Y101">
        <f>HYPERLINK("https://klasma.github.io/Logging_0380/tillsynsmail/A 6044-2024 tillsynsbegäran mail.docx", "A 6044-2024")</f>
        <v/>
      </c>
    </row>
    <row r="102" ht="15" customHeight="1">
      <c r="A102" t="inlineStr">
        <is>
          <t>A 37004-2025</t>
        </is>
      </c>
      <c r="B102" s="1" t="n">
        <v>45874.69282407407</v>
      </c>
      <c r="C102" s="1" t="n">
        <v>45933</v>
      </c>
      <c r="D102" t="inlineStr">
        <is>
          <t>UPPSALA LÄN</t>
        </is>
      </c>
      <c r="E102" t="inlineStr">
        <is>
          <t>UPPSALA</t>
        </is>
      </c>
      <c r="G102" t="n">
        <v>15.8</v>
      </c>
      <c r="H102" t="n">
        <v>1</v>
      </c>
      <c r="I102" t="n">
        <v>0</v>
      </c>
      <c r="J102" t="n">
        <v>0</v>
      </c>
      <c r="K102" t="n">
        <v>0</v>
      </c>
      <c r="L102" t="n">
        <v>0</v>
      </c>
      <c r="M102" t="n">
        <v>0</v>
      </c>
      <c r="N102" t="n">
        <v>0</v>
      </c>
      <c r="O102" t="n">
        <v>0</v>
      </c>
      <c r="P102" t="n">
        <v>0</v>
      </c>
      <c r="Q102" t="n">
        <v>1</v>
      </c>
      <c r="R102" s="2" t="inlineStr">
        <is>
          <t>Vanlig padda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row>
    <row r="103" ht="15" customHeight="1">
      <c r="A103" t="inlineStr">
        <is>
          <t>A 44601-2025</t>
        </is>
      </c>
      <c r="B103" s="1" t="n">
        <v>45917.43857638889</v>
      </c>
      <c r="C103" s="1" t="n">
        <v>45933</v>
      </c>
      <c r="D103" t="inlineStr">
        <is>
          <t>UPPSALA LÄN</t>
        </is>
      </c>
      <c r="E103" t="inlineStr">
        <is>
          <t>UPPSALA</t>
        </is>
      </c>
      <c r="G103" t="n">
        <v>5.5</v>
      </c>
      <c r="H103" t="n">
        <v>0</v>
      </c>
      <c r="I103" t="n">
        <v>0</v>
      </c>
      <c r="J103" t="n">
        <v>1</v>
      </c>
      <c r="K103" t="n">
        <v>0</v>
      </c>
      <c r="L103" t="n">
        <v>0</v>
      </c>
      <c r="M103" t="n">
        <v>0</v>
      </c>
      <c r="N103" t="n">
        <v>0</v>
      </c>
      <c r="O103" t="n">
        <v>1</v>
      </c>
      <c r="P103" t="n">
        <v>0</v>
      </c>
      <c r="Q103" t="n">
        <v>1</v>
      </c>
      <c r="R103" s="2" t="inlineStr">
        <is>
          <t>Igelkott</t>
        </is>
      </c>
      <c r="S103">
        <f>HYPERLINK("https://klasma.github.io/Logging_0380/artfynd/A 44601-2025 artfynd.xlsx", "A 44601-2025")</f>
        <v/>
      </c>
      <c r="T103">
        <f>HYPERLINK("https://klasma.github.io/Logging_0380/kartor/A 44601-2025 karta.png", "A 44601-2025")</f>
        <v/>
      </c>
      <c r="V103">
        <f>HYPERLINK("https://klasma.github.io/Logging_0380/klagomål/A 44601-2025 FSC-klagomål.docx", "A 44601-2025")</f>
        <v/>
      </c>
      <c r="W103">
        <f>HYPERLINK("https://klasma.github.io/Logging_0380/klagomålsmail/A 44601-2025 FSC-klagomål mail.docx", "A 44601-2025")</f>
        <v/>
      </c>
      <c r="X103">
        <f>HYPERLINK("https://klasma.github.io/Logging_0380/tillsyn/A 44601-2025 tillsynsbegäran.docx", "A 44601-2025")</f>
        <v/>
      </c>
      <c r="Y103">
        <f>HYPERLINK("https://klasma.github.io/Logging_0380/tillsynsmail/A 44601-2025 tillsynsbegäran mail.docx", "A 44601-2025")</f>
        <v/>
      </c>
    </row>
    <row r="104" ht="15" customHeight="1">
      <c r="A104" t="inlineStr">
        <is>
          <t>A 21657-2024</t>
        </is>
      </c>
      <c r="B104" s="1" t="n">
        <v>45442</v>
      </c>
      <c r="C104" s="1" t="n">
        <v>45933</v>
      </c>
      <c r="D104" t="inlineStr">
        <is>
          <t>UPPSALA LÄN</t>
        </is>
      </c>
      <c r="E104" t="inlineStr">
        <is>
          <t>UPPSALA</t>
        </is>
      </c>
      <c r="G104" t="n">
        <v>5.7</v>
      </c>
      <c r="H104" t="n">
        <v>1</v>
      </c>
      <c r="I104" t="n">
        <v>0</v>
      </c>
      <c r="J104" t="n">
        <v>0</v>
      </c>
      <c r="K104" t="n">
        <v>0</v>
      </c>
      <c r="L104" t="n">
        <v>0</v>
      </c>
      <c r="M104" t="n">
        <v>0</v>
      </c>
      <c r="N104" t="n">
        <v>0</v>
      </c>
      <c r="O104" t="n">
        <v>0</v>
      </c>
      <c r="P104" t="n">
        <v>0</v>
      </c>
      <c r="Q104" t="n">
        <v>1</v>
      </c>
      <c r="R104" s="2" t="inlineStr">
        <is>
          <t>Kungsfågel</t>
        </is>
      </c>
      <c r="S104">
        <f>HYPERLINK("https://klasma.github.io/Logging_0380/artfynd/A 21657-2024 artfynd.xlsx", "A 21657-2024")</f>
        <v/>
      </c>
      <c r="T104">
        <f>HYPERLINK("https://klasma.github.io/Logging_0380/kartor/A 21657-2024 karta.png", "A 21657-2024")</f>
        <v/>
      </c>
      <c r="V104">
        <f>HYPERLINK("https://klasma.github.io/Logging_0380/klagomål/A 21657-2024 FSC-klagomål.docx", "A 21657-2024")</f>
        <v/>
      </c>
      <c r="W104">
        <f>HYPERLINK("https://klasma.github.io/Logging_0380/klagomålsmail/A 21657-2024 FSC-klagomål mail.docx", "A 21657-2024")</f>
        <v/>
      </c>
      <c r="X104">
        <f>HYPERLINK("https://klasma.github.io/Logging_0380/tillsyn/A 21657-2024 tillsynsbegäran.docx", "A 21657-2024")</f>
        <v/>
      </c>
      <c r="Y104">
        <f>HYPERLINK("https://klasma.github.io/Logging_0380/tillsynsmail/A 21657-2024 tillsynsbegäran mail.docx", "A 21657-2024")</f>
        <v/>
      </c>
      <c r="Z104">
        <f>HYPERLINK("https://klasma.github.io/Logging_0380/fåglar/A 21657-2024 prioriterade fågelarter.docx", "A 21657-2024")</f>
        <v/>
      </c>
    </row>
    <row r="105" ht="15" customHeight="1">
      <c r="A105" t="inlineStr">
        <is>
          <t>A 28950-2025</t>
        </is>
      </c>
      <c r="B105" s="1" t="n">
        <v>45820.84516203704</v>
      </c>
      <c r="C105" s="1" t="n">
        <v>45933</v>
      </c>
      <c r="D105" t="inlineStr">
        <is>
          <t>UPPSALA LÄN</t>
        </is>
      </c>
      <c r="E105" t="inlineStr">
        <is>
          <t>UPPSALA</t>
        </is>
      </c>
      <c r="F105" t="inlineStr">
        <is>
          <t>Bergvik skog öst AB</t>
        </is>
      </c>
      <c r="G105" t="n">
        <v>6</v>
      </c>
      <c r="H105" t="n">
        <v>0</v>
      </c>
      <c r="I105" t="n">
        <v>0</v>
      </c>
      <c r="J105" t="n">
        <v>0</v>
      </c>
      <c r="K105" t="n">
        <v>0</v>
      </c>
      <c r="L105" t="n">
        <v>1</v>
      </c>
      <c r="M105" t="n">
        <v>0</v>
      </c>
      <c r="N105" t="n">
        <v>0</v>
      </c>
      <c r="O105" t="n">
        <v>1</v>
      </c>
      <c r="P105" t="n">
        <v>1</v>
      </c>
      <c r="Q105" t="n">
        <v>1</v>
      </c>
      <c r="R105" s="2" t="inlineStr">
        <is>
          <t>Fältgentiana</t>
        </is>
      </c>
      <c r="S105">
        <f>HYPERLINK("https://klasma.github.io/Logging_0380/artfynd/A 28950-2025 artfynd.xlsx", "A 28950-2025")</f>
        <v/>
      </c>
      <c r="T105">
        <f>HYPERLINK("https://klasma.github.io/Logging_0380/kartor/A 28950-2025 karta.png", "A 28950-2025")</f>
        <v/>
      </c>
      <c r="V105">
        <f>HYPERLINK("https://klasma.github.io/Logging_0380/klagomål/A 28950-2025 FSC-klagomål.docx", "A 28950-2025")</f>
        <v/>
      </c>
      <c r="W105">
        <f>HYPERLINK("https://klasma.github.io/Logging_0380/klagomålsmail/A 28950-2025 FSC-klagomål mail.docx", "A 28950-2025")</f>
        <v/>
      </c>
      <c r="X105">
        <f>HYPERLINK("https://klasma.github.io/Logging_0380/tillsyn/A 28950-2025 tillsynsbegäran.docx", "A 28950-2025")</f>
        <v/>
      </c>
      <c r="Y105">
        <f>HYPERLINK("https://klasma.github.io/Logging_0380/tillsynsmail/A 28950-2025 tillsynsbegäran mail.docx", "A 28950-2025")</f>
        <v/>
      </c>
    </row>
    <row r="106" ht="15" customHeight="1">
      <c r="A106" t="inlineStr">
        <is>
          <t>A 844-2025</t>
        </is>
      </c>
      <c r="B106" s="1" t="n">
        <v>45665</v>
      </c>
      <c r="C106" s="1" t="n">
        <v>45933</v>
      </c>
      <c r="D106" t="inlineStr">
        <is>
          <t>UPPSALA LÄN</t>
        </is>
      </c>
      <c r="E106" t="inlineStr">
        <is>
          <t>UPPSALA</t>
        </is>
      </c>
      <c r="G106" t="n">
        <v>2.6</v>
      </c>
      <c r="H106" t="n">
        <v>1</v>
      </c>
      <c r="I106" t="n">
        <v>0</v>
      </c>
      <c r="J106" t="n">
        <v>0</v>
      </c>
      <c r="K106" t="n">
        <v>0</v>
      </c>
      <c r="L106" t="n">
        <v>0</v>
      </c>
      <c r="M106" t="n">
        <v>0</v>
      </c>
      <c r="N106" t="n">
        <v>0</v>
      </c>
      <c r="O106" t="n">
        <v>0</v>
      </c>
      <c r="P106" t="n">
        <v>0</v>
      </c>
      <c r="Q106" t="n">
        <v>1</v>
      </c>
      <c r="R106" s="2" t="inlineStr">
        <is>
          <t>Tjäder</t>
        </is>
      </c>
      <c r="S106">
        <f>HYPERLINK("https://klasma.github.io/Logging_0380/artfynd/A 844-2025 artfynd.xlsx", "A 844-2025")</f>
        <v/>
      </c>
      <c r="T106">
        <f>HYPERLINK("https://klasma.github.io/Logging_0380/kartor/A 844-2025 karta.png", "A 844-2025")</f>
        <v/>
      </c>
      <c r="V106">
        <f>HYPERLINK("https://klasma.github.io/Logging_0380/klagomål/A 844-2025 FSC-klagomål.docx", "A 844-2025")</f>
        <v/>
      </c>
      <c r="W106">
        <f>HYPERLINK("https://klasma.github.io/Logging_0380/klagomålsmail/A 844-2025 FSC-klagomål mail.docx", "A 844-2025")</f>
        <v/>
      </c>
      <c r="X106">
        <f>HYPERLINK("https://klasma.github.io/Logging_0380/tillsyn/A 844-2025 tillsynsbegäran.docx", "A 844-2025")</f>
        <v/>
      </c>
      <c r="Y106">
        <f>HYPERLINK("https://klasma.github.io/Logging_0380/tillsynsmail/A 844-2025 tillsynsbegäran mail.docx", "A 844-2025")</f>
        <v/>
      </c>
      <c r="Z106">
        <f>HYPERLINK("https://klasma.github.io/Logging_0380/fåglar/A 844-2025 prioriterade fågelarter.docx", "A 844-2025")</f>
        <v/>
      </c>
    </row>
    <row r="107" ht="15" customHeight="1">
      <c r="A107" t="inlineStr">
        <is>
          <t>A 52849-2021</t>
        </is>
      </c>
      <c r="B107" s="1" t="n">
        <v>44467</v>
      </c>
      <c r="C107" s="1" t="n">
        <v>45933</v>
      </c>
      <c r="D107" t="inlineStr">
        <is>
          <t>UPPSALA LÄN</t>
        </is>
      </c>
      <c r="E107" t="inlineStr">
        <is>
          <t>UPPSALA</t>
        </is>
      </c>
      <c r="F107" t="inlineStr">
        <is>
          <t>Övriga Aktiebolag</t>
        </is>
      </c>
      <c r="G107" t="n">
        <v>3.3</v>
      </c>
      <c r="H107" t="n">
        <v>0</v>
      </c>
      <c r="I107" t="n">
        <v>0</v>
      </c>
      <c r="J107" t="n">
        <v>1</v>
      </c>
      <c r="K107" t="n">
        <v>0</v>
      </c>
      <c r="L107" t="n">
        <v>0</v>
      </c>
      <c r="M107" t="n">
        <v>0</v>
      </c>
      <c r="N107" t="n">
        <v>0</v>
      </c>
      <c r="O107" t="n">
        <v>1</v>
      </c>
      <c r="P107" t="n">
        <v>0</v>
      </c>
      <c r="Q107" t="n">
        <v>1</v>
      </c>
      <c r="R107" s="2" t="inlineStr">
        <is>
          <t>Skogshare</t>
        </is>
      </c>
      <c r="S107">
        <f>HYPERLINK("https://klasma.github.io/Logging_0380/artfynd/A 52849-2021 artfynd.xlsx", "A 52849-2021")</f>
        <v/>
      </c>
      <c r="T107">
        <f>HYPERLINK("https://klasma.github.io/Logging_0380/kartor/A 52849-2021 karta.png", "A 52849-2021")</f>
        <v/>
      </c>
      <c r="V107">
        <f>HYPERLINK("https://klasma.github.io/Logging_0380/klagomål/A 52849-2021 FSC-klagomål.docx", "A 52849-2021")</f>
        <v/>
      </c>
      <c r="W107">
        <f>HYPERLINK("https://klasma.github.io/Logging_0380/klagomålsmail/A 52849-2021 FSC-klagomål mail.docx", "A 52849-2021")</f>
        <v/>
      </c>
      <c r="X107">
        <f>HYPERLINK("https://klasma.github.io/Logging_0380/tillsyn/A 52849-2021 tillsynsbegäran.docx", "A 52849-2021")</f>
        <v/>
      </c>
      <c r="Y107">
        <f>HYPERLINK("https://klasma.github.io/Logging_0380/tillsynsmail/A 52849-2021 tillsynsbegäran mail.docx", "A 52849-2021")</f>
        <v/>
      </c>
    </row>
    <row r="108" ht="15" customHeight="1">
      <c r="A108" t="inlineStr">
        <is>
          <t>A 61830-2022</t>
        </is>
      </c>
      <c r="B108" s="1" t="n">
        <v>44917.59298611111</v>
      </c>
      <c r="C108" s="1" t="n">
        <v>45933</v>
      </c>
      <c r="D108" t="inlineStr">
        <is>
          <t>UPPSALA LÄN</t>
        </is>
      </c>
      <c r="E108" t="inlineStr">
        <is>
          <t>UPPSALA</t>
        </is>
      </c>
      <c r="F108" t="inlineStr">
        <is>
          <t>Holmen skog AB</t>
        </is>
      </c>
      <c r="G108" t="n">
        <v>1.1</v>
      </c>
      <c r="H108" t="n">
        <v>0</v>
      </c>
      <c r="I108" t="n">
        <v>0</v>
      </c>
      <c r="J108" t="n">
        <v>1</v>
      </c>
      <c r="K108" t="n">
        <v>0</v>
      </c>
      <c r="L108" t="n">
        <v>0</v>
      </c>
      <c r="M108" t="n">
        <v>0</v>
      </c>
      <c r="N108" t="n">
        <v>0</v>
      </c>
      <c r="O108" t="n">
        <v>1</v>
      </c>
      <c r="P108" t="n">
        <v>0</v>
      </c>
      <c r="Q108" t="n">
        <v>1</v>
      </c>
      <c r="R108" s="2" t="inlineStr">
        <is>
          <t>Rödbrun blekspik</t>
        </is>
      </c>
      <c r="S108">
        <f>HYPERLINK("https://klasma.github.io/Logging_0380/artfynd/A 61830-2022 artfynd.xlsx", "A 61830-2022")</f>
        <v/>
      </c>
      <c r="T108">
        <f>HYPERLINK("https://klasma.github.io/Logging_0380/kartor/A 61830-2022 karta.png", "A 61830-2022")</f>
        <v/>
      </c>
      <c r="V108">
        <f>HYPERLINK("https://klasma.github.io/Logging_0380/klagomål/A 61830-2022 FSC-klagomål.docx", "A 61830-2022")</f>
        <v/>
      </c>
      <c r="W108">
        <f>HYPERLINK("https://klasma.github.io/Logging_0380/klagomålsmail/A 61830-2022 FSC-klagomål mail.docx", "A 61830-2022")</f>
        <v/>
      </c>
      <c r="X108">
        <f>HYPERLINK("https://klasma.github.io/Logging_0380/tillsyn/A 61830-2022 tillsynsbegäran.docx", "A 61830-2022")</f>
        <v/>
      </c>
      <c r="Y108">
        <f>HYPERLINK("https://klasma.github.io/Logging_0380/tillsynsmail/A 61830-2022 tillsynsbegäran mail.docx", "A 61830-2022")</f>
        <v/>
      </c>
    </row>
    <row r="109" ht="15" customHeight="1">
      <c r="A109" t="inlineStr">
        <is>
          <t>A 2729-2024</t>
        </is>
      </c>
      <c r="B109" s="1" t="n">
        <v>45314.55579861111</v>
      </c>
      <c r="C109" s="1" t="n">
        <v>45933</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17484-2025</t>
        </is>
      </c>
      <c r="B110" s="1" t="n">
        <v>45757.49934027778</v>
      </c>
      <c r="C110" s="1" t="n">
        <v>45933</v>
      </c>
      <c r="D110" t="inlineStr">
        <is>
          <t>UPPSALA LÄN</t>
        </is>
      </c>
      <c r="E110" t="inlineStr">
        <is>
          <t>UPPSALA</t>
        </is>
      </c>
      <c r="G110" t="n">
        <v>13.1</v>
      </c>
      <c r="H110" t="n">
        <v>1</v>
      </c>
      <c r="I110" t="n">
        <v>0</v>
      </c>
      <c r="J110" t="n">
        <v>0</v>
      </c>
      <c r="K110" t="n">
        <v>0</v>
      </c>
      <c r="L110" t="n">
        <v>0</v>
      </c>
      <c r="M110" t="n">
        <v>0</v>
      </c>
      <c r="N110" t="n">
        <v>0</v>
      </c>
      <c r="O110" t="n">
        <v>0</v>
      </c>
      <c r="P110" t="n">
        <v>0</v>
      </c>
      <c r="Q110" t="n">
        <v>1</v>
      </c>
      <c r="R110" s="2" t="inlineStr">
        <is>
          <t>Fläcknycklar</t>
        </is>
      </c>
      <c r="S110">
        <f>HYPERLINK("https://klasma.github.io/Logging_0380/artfynd/A 17484-2025 artfynd.xlsx", "A 17484-2025")</f>
        <v/>
      </c>
      <c r="T110">
        <f>HYPERLINK("https://klasma.github.io/Logging_0380/kartor/A 17484-2025 karta.png", "A 17484-2025")</f>
        <v/>
      </c>
      <c r="V110">
        <f>HYPERLINK("https://klasma.github.io/Logging_0380/klagomål/A 17484-2025 FSC-klagomål.docx", "A 17484-2025")</f>
        <v/>
      </c>
      <c r="W110">
        <f>HYPERLINK("https://klasma.github.io/Logging_0380/klagomålsmail/A 17484-2025 FSC-klagomål mail.docx", "A 17484-2025")</f>
        <v/>
      </c>
      <c r="X110">
        <f>HYPERLINK("https://klasma.github.io/Logging_0380/tillsyn/A 17484-2025 tillsynsbegäran.docx", "A 17484-2025")</f>
        <v/>
      </c>
      <c r="Y110">
        <f>HYPERLINK("https://klasma.github.io/Logging_0380/tillsynsmail/A 17484-2025 tillsynsbegäran mail.docx", "A 17484-2025")</f>
        <v/>
      </c>
    </row>
    <row r="111" ht="15" customHeight="1">
      <c r="A111" t="inlineStr">
        <is>
          <t>A 61818-2022</t>
        </is>
      </c>
      <c r="B111" s="1" t="n">
        <v>44917</v>
      </c>
      <c r="C111" s="1" t="n">
        <v>45933</v>
      </c>
      <c r="D111" t="inlineStr">
        <is>
          <t>UPPSALA LÄN</t>
        </is>
      </c>
      <c r="E111" t="inlineStr">
        <is>
          <t>UPPSALA</t>
        </is>
      </c>
      <c r="F111" t="inlineStr">
        <is>
          <t>Holmen skog AB</t>
        </is>
      </c>
      <c r="G111" t="n">
        <v>0.8</v>
      </c>
      <c r="H111" t="n">
        <v>0</v>
      </c>
      <c r="I111" t="n">
        <v>0</v>
      </c>
      <c r="J111" t="n">
        <v>1</v>
      </c>
      <c r="K111" t="n">
        <v>0</v>
      </c>
      <c r="L111" t="n">
        <v>0</v>
      </c>
      <c r="M111" t="n">
        <v>0</v>
      </c>
      <c r="N111" t="n">
        <v>0</v>
      </c>
      <c r="O111" t="n">
        <v>1</v>
      </c>
      <c r="P111" t="n">
        <v>0</v>
      </c>
      <c r="Q111" t="n">
        <v>1</v>
      </c>
      <c r="R111" s="2" t="inlineStr">
        <is>
          <t>Blekticka</t>
        </is>
      </c>
      <c r="S111">
        <f>HYPERLINK("https://klasma.github.io/Logging_0380/artfynd/A 61818-2022 artfynd.xlsx", "A 61818-2022")</f>
        <v/>
      </c>
      <c r="T111">
        <f>HYPERLINK("https://klasma.github.io/Logging_0380/kartor/A 61818-2022 karta.png", "A 61818-2022")</f>
        <v/>
      </c>
      <c r="V111">
        <f>HYPERLINK("https://klasma.github.io/Logging_0380/klagomål/A 61818-2022 FSC-klagomål.docx", "A 61818-2022")</f>
        <v/>
      </c>
      <c r="W111">
        <f>HYPERLINK("https://klasma.github.io/Logging_0380/klagomålsmail/A 61818-2022 FSC-klagomål mail.docx", "A 61818-2022")</f>
        <v/>
      </c>
      <c r="X111">
        <f>HYPERLINK("https://klasma.github.io/Logging_0380/tillsyn/A 61818-2022 tillsynsbegäran.docx", "A 61818-2022")</f>
        <v/>
      </c>
      <c r="Y111">
        <f>HYPERLINK("https://klasma.github.io/Logging_0380/tillsynsmail/A 61818-2022 tillsynsbegäran mail.docx", "A 61818-2022")</f>
        <v/>
      </c>
    </row>
    <row r="112" ht="15" customHeight="1">
      <c r="A112" t="inlineStr">
        <is>
          <t>A 46634-2022</t>
        </is>
      </c>
      <c r="B112" s="1" t="n">
        <v>44849</v>
      </c>
      <c r="C112" s="1" t="n">
        <v>45933</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49015-2022</t>
        </is>
      </c>
      <c r="B113" s="1" t="n">
        <v>44855</v>
      </c>
      <c r="C113" s="1" t="n">
        <v>45933</v>
      </c>
      <c r="D113" t="inlineStr">
        <is>
          <t>UPPSALA LÄN</t>
        </is>
      </c>
      <c r="E113" t="inlineStr">
        <is>
          <t>UPPSALA</t>
        </is>
      </c>
      <c r="F113" t="inlineStr">
        <is>
          <t>Kommuner</t>
        </is>
      </c>
      <c r="G113" t="n">
        <v>4.5</v>
      </c>
      <c r="H113" t="n">
        <v>0</v>
      </c>
      <c r="I113" t="n">
        <v>0</v>
      </c>
      <c r="J113" t="n">
        <v>1</v>
      </c>
      <c r="K113" t="n">
        <v>0</v>
      </c>
      <c r="L113" t="n">
        <v>0</v>
      </c>
      <c r="M113" t="n">
        <v>0</v>
      </c>
      <c r="N113" t="n">
        <v>0</v>
      </c>
      <c r="O113" t="n">
        <v>1</v>
      </c>
      <c r="P113" t="n">
        <v>0</v>
      </c>
      <c r="Q113" t="n">
        <v>1</v>
      </c>
      <c r="R113" s="2" t="inlineStr">
        <is>
          <t>Harticka</t>
        </is>
      </c>
      <c r="S113">
        <f>HYPERLINK("https://klasma.github.io/Logging_0380/artfynd/A 49015-2022 artfynd.xlsx", "A 49015-2022")</f>
        <v/>
      </c>
      <c r="T113">
        <f>HYPERLINK("https://klasma.github.io/Logging_0380/kartor/A 49015-2022 karta.png", "A 49015-2022")</f>
        <v/>
      </c>
      <c r="V113">
        <f>HYPERLINK("https://klasma.github.io/Logging_0380/klagomål/A 49015-2022 FSC-klagomål.docx", "A 49015-2022")</f>
        <v/>
      </c>
      <c r="W113">
        <f>HYPERLINK("https://klasma.github.io/Logging_0380/klagomålsmail/A 49015-2022 FSC-klagomål mail.docx", "A 49015-2022")</f>
        <v/>
      </c>
      <c r="X113">
        <f>HYPERLINK("https://klasma.github.io/Logging_0380/tillsyn/A 49015-2022 tillsynsbegäran.docx", "A 49015-2022")</f>
        <v/>
      </c>
      <c r="Y113">
        <f>HYPERLINK("https://klasma.github.io/Logging_0380/tillsynsmail/A 49015-2022 tillsynsbegäran mail.docx", "A 49015-2022")</f>
        <v/>
      </c>
    </row>
    <row r="114" ht="15" customHeight="1">
      <c r="A114" t="inlineStr">
        <is>
          <t>A 29902-2023</t>
        </is>
      </c>
      <c r="B114" s="1" t="n">
        <v>45107</v>
      </c>
      <c r="C114" s="1" t="n">
        <v>45933</v>
      </c>
      <c r="D114" t="inlineStr">
        <is>
          <t>UPPSALA LÄN</t>
        </is>
      </c>
      <c r="E114" t="inlineStr">
        <is>
          <t>UPPSALA</t>
        </is>
      </c>
      <c r="F114" t="inlineStr">
        <is>
          <t>Kyrkan</t>
        </is>
      </c>
      <c r="G114" t="n">
        <v>10.6</v>
      </c>
      <c r="H114" t="n">
        <v>1</v>
      </c>
      <c r="I114" t="n">
        <v>0</v>
      </c>
      <c r="J114" t="n">
        <v>1</v>
      </c>
      <c r="K114" t="n">
        <v>0</v>
      </c>
      <c r="L114" t="n">
        <v>0</v>
      </c>
      <c r="M114" t="n">
        <v>0</v>
      </c>
      <c r="N114" t="n">
        <v>0</v>
      </c>
      <c r="O114" t="n">
        <v>1</v>
      </c>
      <c r="P114" t="n">
        <v>0</v>
      </c>
      <c r="Q114" t="n">
        <v>1</v>
      </c>
      <c r="R114" s="2" t="inlineStr">
        <is>
          <t>Järpe</t>
        </is>
      </c>
      <c r="S114">
        <f>HYPERLINK("https://klasma.github.io/Logging_0380/artfynd/A 29902-2023 artfynd.xlsx", "A 29902-2023")</f>
        <v/>
      </c>
      <c r="T114">
        <f>HYPERLINK("https://klasma.github.io/Logging_0380/kartor/A 29902-2023 karta.png", "A 29902-2023")</f>
        <v/>
      </c>
      <c r="V114">
        <f>HYPERLINK("https://klasma.github.io/Logging_0380/klagomål/A 29902-2023 FSC-klagomål.docx", "A 29902-2023")</f>
        <v/>
      </c>
      <c r="W114">
        <f>HYPERLINK("https://klasma.github.io/Logging_0380/klagomålsmail/A 29902-2023 FSC-klagomål mail.docx", "A 29902-2023")</f>
        <v/>
      </c>
      <c r="X114">
        <f>HYPERLINK("https://klasma.github.io/Logging_0380/tillsyn/A 29902-2023 tillsynsbegäran.docx", "A 29902-2023")</f>
        <v/>
      </c>
      <c r="Y114">
        <f>HYPERLINK("https://klasma.github.io/Logging_0380/tillsynsmail/A 29902-2023 tillsynsbegäran mail.docx", "A 29902-2023")</f>
        <v/>
      </c>
      <c r="Z114">
        <f>HYPERLINK("https://klasma.github.io/Logging_0380/fåglar/A 29902-2023 prioriterade fågelarter.docx", "A 29902-2023")</f>
        <v/>
      </c>
    </row>
    <row r="115" ht="15" customHeight="1">
      <c r="A115" t="inlineStr">
        <is>
          <t>A 18373-2025</t>
        </is>
      </c>
      <c r="B115" s="1" t="n">
        <v>45762.57244212963</v>
      </c>
      <c r="C115" s="1" t="n">
        <v>45933</v>
      </c>
      <c r="D115" t="inlineStr">
        <is>
          <t>UPPSALA LÄN</t>
        </is>
      </c>
      <c r="E115" t="inlineStr">
        <is>
          <t>UPPSALA</t>
        </is>
      </c>
      <c r="G115" t="n">
        <v>9.5</v>
      </c>
      <c r="H115" t="n">
        <v>0</v>
      </c>
      <c r="I115" t="n">
        <v>0</v>
      </c>
      <c r="J115" t="n">
        <v>1</v>
      </c>
      <c r="K115" t="n">
        <v>0</v>
      </c>
      <c r="L115" t="n">
        <v>0</v>
      </c>
      <c r="M115" t="n">
        <v>0</v>
      </c>
      <c r="N115" t="n">
        <v>0</v>
      </c>
      <c r="O115" t="n">
        <v>1</v>
      </c>
      <c r="P115" t="n">
        <v>0</v>
      </c>
      <c r="Q115" t="n">
        <v>1</v>
      </c>
      <c r="R115" s="2" t="inlineStr">
        <is>
          <t>Ullticka</t>
        </is>
      </c>
      <c r="S115">
        <f>HYPERLINK("https://klasma.github.io/Logging_0380/artfynd/A 18373-2025 artfynd.xlsx", "A 18373-2025")</f>
        <v/>
      </c>
      <c r="T115">
        <f>HYPERLINK("https://klasma.github.io/Logging_0380/kartor/A 18373-2025 karta.png", "A 18373-2025")</f>
        <v/>
      </c>
      <c r="V115">
        <f>HYPERLINK("https://klasma.github.io/Logging_0380/klagomål/A 18373-2025 FSC-klagomål.docx", "A 18373-2025")</f>
        <v/>
      </c>
      <c r="W115">
        <f>HYPERLINK("https://klasma.github.io/Logging_0380/klagomålsmail/A 18373-2025 FSC-klagomål mail.docx", "A 18373-2025")</f>
        <v/>
      </c>
      <c r="X115">
        <f>HYPERLINK("https://klasma.github.io/Logging_0380/tillsyn/A 18373-2025 tillsynsbegäran.docx", "A 18373-2025")</f>
        <v/>
      </c>
      <c r="Y115">
        <f>HYPERLINK("https://klasma.github.io/Logging_0380/tillsynsmail/A 18373-2025 tillsynsbegäran mail.docx", "A 18373-2025")</f>
        <v/>
      </c>
    </row>
    <row r="116" ht="15" customHeight="1">
      <c r="A116" t="inlineStr">
        <is>
          <t>A 13093-2024</t>
        </is>
      </c>
      <c r="B116" s="1" t="n">
        <v>45385</v>
      </c>
      <c r="C116" s="1" t="n">
        <v>45933</v>
      </c>
      <c r="D116" t="inlineStr">
        <is>
          <t>UPPSALA LÄN</t>
        </is>
      </c>
      <c r="E116" t="inlineStr">
        <is>
          <t>UPPSALA</t>
        </is>
      </c>
      <c r="G116" t="n">
        <v>1.1</v>
      </c>
      <c r="H116" t="n">
        <v>1</v>
      </c>
      <c r="I116" t="n">
        <v>1</v>
      </c>
      <c r="J116" t="n">
        <v>0</v>
      </c>
      <c r="K116" t="n">
        <v>0</v>
      </c>
      <c r="L116" t="n">
        <v>0</v>
      </c>
      <c r="M116" t="n">
        <v>0</v>
      </c>
      <c r="N116" t="n">
        <v>0</v>
      </c>
      <c r="O116" t="n">
        <v>0</v>
      </c>
      <c r="P116" t="n">
        <v>0</v>
      </c>
      <c r="Q116" t="n">
        <v>1</v>
      </c>
      <c r="R116" s="2" t="inlineStr">
        <is>
          <t>Skogsknipprot</t>
        </is>
      </c>
      <c r="S116">
        <f>HYPERLINK("https://klasma.github.io/Logging_0380/artfynd/A 13093-2024 artfynd.xlsx", "A 13093-2024")</f>
        <v/>
      </c>
      <c r="T116">
        <f>HYPERLINK("https://klasma.github.io/Logging_0380/kartor/A 13093-2024 karta.png", "A 13093-2024")</f>
        <v/>
      </c>
      <c r="V116">
        <f>HYPERLINK("https://klasma.github.io/Logging_0380/klagomål/A 13093-2024 FSC-klagomål.docx", "A 13093-2024")</f>
        <v/>
      </c>
      <c r="W116">
        <f>HYPERLINK("https://klasma.github.io/Logging_0380/klagomålsmail/A 13093-2024 FSC-klagomål mail.docx", "A 13093-2024")</f>
        <v/>
      </c>
      <c r="X116">
        <f>HYPERLINK("https://klasma.github.io/Logging_0380/tillsyn/A 13093-2024 tillsynsbegäran.docx", "A 13093-2024")</f>
        <v/>
      </c>
      <c r="Y116">
        <f>HYPERLINK("https://klasma.github.io/Logging_0380/tillsynsmail/A 13093-2024 tillsynsbegäran mail.docx", "A 13093-2024")</f>
        <v/>
      </c>
    </row>
    <row r="117" ht="15" customHeight="1">
      <c r="A117" t="inlineStr">
        <is>
          <t>A 5732-2025</t>
        </is>
      </c>
      <c r="B117" s="1" t="n">
        <v>45694.49650462963</v>
      </c>
      <c r="C117" s="1" t="n">
        <v>45933</v>
      </c>
      <c r="D117" t="inlineStr">
        <is>
          <t>UPPSALA LÄN</t>
        </is>
      </c>
      <c r="E117" t="inlineStr">
        <is>
          <t>UPPSALA</t>
        </is>
      </c>
      <c r="G117" t="n">
        <v>1.9</v>
      </c>
      <c r="H117" t="n">
        <v>0</v>
      </c>
      <c r="I117" t="n">
        <v>1</v>
      </c>
      <c r="J117" t="n">
        <v>0</v>
      </c>
      <c r="K117" t="n">
        <v>0</v>
      </c>
      <c r="L117" t="n">
        <v>0</v>
      </c>
      <c r="M117" t="n">
        <v>0</v>
      </c>
      <c r="N117" t="n">
        <v>0</v>
      </c>
      <c r="O117" t="n">
        <v>0</v>
      </c>
      <c r="P117" t="n">
        <v>0</v>
      </c>
      <c r="Q117" t="n">
        <v>1</v>
      </c>
      <c r="R117" s="2" t="inlineStr">
        <is>
          <t>Fällmossa</t>
        </is>
      </c>
      <c r="S117">
        <f>HYPERLINK("https://klasma.github.io/Logging_0380/artfynd/A 5732-2025 artfynd.xlsx", "A 5732-2025")</f>
        <v/>
      </c>
      <c r="T117">
        <f>HYPERLINK("https://klasma.github.io/Logging_0380/kartor/A 5732-2025 karta.png", "A 5732-2025")</f>
        <v/>
      </c>
      <c r="V117">
        <f>HYPERLINK("https://klasma.github.io/Logging_0380/klagomål/A 5732-2025 FSC-klagomål.docx", "A 5732-2025")</f>
        <v/>
      </c>
      <c r="W117">
        <f>HYPERLINK("https://klasma.github.io/Logging_0380/klagomålsmail/A 5732-2025 FSC-klagomål mail.docx", "A 5732-2025")</f>
        <v/>
      </c>
      <c r="X117">
        <f>HYPERLINK("https://klasma.github.io/Logging_0380/tillsyn/A 5732-2025 tillsynsbegäran.docx", "A 5732-2025")</f>
        <v/>
      </c>
      <c r="Y117">
        <f>HYPERLINK("https://klasma.github.io/Logging_0380/tillsynsmail/A 5732-2025 tillsynsbegäran mail.docx", "A 5732-2025")</f>
        <v/>
      </c>
    </row>
    <row r="118" ht="15" customHeight="1">
      <c r="A118" t="inlineStr">
        <is>
          <t>A 21801-2025</t>
        </is>
      </c>
      <c r="B118" s="1" t="n">
        <v>45783</v>
      </c>
      <c r="C118" s="1" t="n">
        <v>45933</v>
      </c>
      <c r="D118" t="inlineStr">
        <is>
          <t>UPPSALA LÄN</t>
        </is>
      </c>
      <c r="E118" t="inlineStr">
        <is>
          <t>UPPSALA</t>
        </is>
      </c>
      <c r="G118" t="n">
        <v>7.9</v>
      </c>
      <c r="H118" t="n">
        <v>1</v>
      </c>
      <c r="I118" t="n">
        <v>0</v>
      </c>
      <c r="J118" t="n">
        <v>0</v>
      </c>
      <c r="K118" t="n">
        <v>0</v>
      </c>
      <c r="L118" t="n">
        <v>0</v>
      </c>
      <c r="M118" t="n">
        <v>0</v>
      </c>
      <c r="N118" t="n">
        <v>0</v>
      </c>
      <c r="O118" t="n">
        <v>0</v>
      </c>
      <c r="P118" t="n">
        <v>0</v>
      </c>
      <c r="Q118" t="n">
        <v>1</v>
      </c>
      <c r="R118" s="2" t="inlineStr">
        <is>
          <t>Mattlummer</t>
        </is>
      </c>
      <c r="S118">
        <f>HYPERLINK("https://klasma.github.io/Logging_0380/artfynd/A 21801-2025 artfynd.xlsx", "A 21801-2025")</f>
        <v/>
      </c>
      <c r="T118">
        <f>HYPERLINK("https://klasma.github.io/Logging_0380/kartor/A 21801-2025 karta.png", "A 21801-2025")</f>
        <v/>
      </c>
      <c r="V118">
        <f>HYPERLINK("https://klasma.github.io/Logging_0380/klagomål/A 21801-2025 FSC-klagomål.docx", "A 21801-2025")</f>
        <v/>
      </c>
      <c r="W118">
        <f>HYPERLINK("https://klasma.github.io/Logging_0380/klagomålsmail/A 21801-2025 FSC-klagomål mail.docx", "A 21801-2025")</f>
        <v/>
      </c>
      <c r="X118">
        <f>HYPERLINK("https://klasma.github.io/Logging_0380/tillsyn/A 21801-2025 tillsynsbegäran.docx", "A 21801-2025")</f>
        <v/>
      </c>
      <c r="Y118">
        <f>HYPERLINK("https://klasma.github.io/Logging_0380/tillsynsmail/A 21801-2025 tillsynsbegäran mail.docx", "A 21801-2025")</f>
        <v/>
      </c>
    </row>
    <row r="119" ht="15" customHeight="1">
      <c r="A119" t="inlineStr">
        <is>
          <t>A 4657-2025</t>
        </is>
      </c>
      <c r="B119" s="1" t="n">
        <v>45687</v>
      </c>
      <c r="C119" s="1" t="n">
        <v>45933</v>
      </c>
      <c r="D119" t="inlineStr">
        <is>
          <t>UPPSALA LÄN</t>
        </is>
      </c>
      <c r="E119" t="inlineStr">
        <is>
          <t>UPPSALA</t>
        </is>
      </c>
      <c r="G119" t="n">
        <v>2.9</v>
      </c>
      <c r="H119" t="n">
        <v>1</v>
      </c>
      <c r="I119" t="n">
        <v>0</v>
      </c>
      <c r="J119" t="n">
        <v>1</v>
      </c>
      <c r="K119" t="n">
        <v>0</v>
      </c>
      <c r="L119" t="n">
        <v>0</v>
      </c>
      <c r="M119" t="n">
        <v>0</v>
      </c>
      <c r="N119" t="n">
        <v>0</v>
      </c>
      <c r="O119" t="n">
        <v>1</v>
      </c>
      <c r="P119" t="n">
        <v>0</v>
      </c>
      <c r="Q119" t="n">
        <v>1</v>
      </c>
      <c r="R119" s="2" t="inlineStr">
        <is>
          <t>Grönsångare</t>
        </is>
      </c>
      <c r="S119">
        <f>HYPERLINK("https://klasma.github.io/Logging_0380/artfynd/A 4657-2025 artfynd.xlsx", "A 4657-2025")</f>
        <v/>
      </c>
      <c r="T119">
        <f>HYPERLINK("https://klasma.github.io/Logging_0380/kartor/A 4657-2025 karta.png", "A 4657-2025")</f>
        <v/>
      </c>
      <c r="V119">
        <f>HYPERLINK("https://klasma.github.io/Logging_0380/klagomål/A 4657-2025 FSC-klagomål.docx", "A 4657-2025")</f>
        <v/>
      </c>
      <c r="W119">
        <f>HYPERLINK("https://klasma.github.io/Logging_0380/klagomålsmail/A 4657-2025 FSC-klagomål mail.docx", "A 4657-2025")</f>
        <v/>
      </c>
      <c r="X119">
        <f>HYPERLINK("https://klasma.github.io/Logging_0380/tillsyn/A 4657-2025 tillsynsbegäran.docx", "A 4657-2025")</f>
        <v/>
      </c>
      <c r="Y119">
        <f>HYPERLINK("https://klasma.github.io/Logging_0380/tillsynsmail/A 4657-2025 tillsynsbegäran mail.docx", "A 4657-2025")</f>
        <v/>
      </c>
      <c r="Z119">
        <f>HYPERLINK("https://klasma.github.io/Logging_0380/fåglar/A 4657-2025 prioriterade fågelarter.docx", "A 4657-2025")</f>
        <v/>
      </c>
    </row>
    <row r="120" ht="15" customHeight="1">
      <c r="A120" t="inlineStr">
        <is>
          <t>A 58288-2020</t>
        </is>
      </c>
      <c r="B120" s="1" t="n">
        <v>44144</v>
      </c>
      <c r="C120" s="1" t="n">
        <v>45933</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45933</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45933</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45933</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45933</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45933</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45933</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45933</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45933</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45933</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45933</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45933</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45933</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45933</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45933</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45933</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45933</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45933</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45933</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45933</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45933</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45933</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7124-2022</t>
        </is>
      </c>
      <c r="B142" s="1" t="n">
        <v>44603</v>
      </c>
      <c r="C142" s="1" t="n">
        <v>45933</v>
      </c>
      <c r="D142" t="inlineStr">
        <is>
          <t>UPPSALA LÄN</t>
        </is>
      </c>
      <c r="E142" t="inlineStr">
        <is>
          <t>UPPSALA</t>
        </is>
      </c>
      <c r="G142" t="n">
        <v>0.5</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45933</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45933</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45933</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45933</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45933</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45933</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45933</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45933</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45933</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45933</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45933</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45933</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45933</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45933</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45933</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45933</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45933</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45933</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45933</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45933</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45933</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45933</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60702-2020</t>
        </is>
      </c>
      <c r="B165" s="1" t="n">
        <v>44153</v>
      </c>
      <c r="C165" s="1" t="n">
        <v>45933</v>
      </c>
      <c r="D165" t="inlineStr">
        <is>
          <t>UPPSALA LÄN</t>
        </is>
      </c>
      <c r="E165" t="inlineStr">
        <is>
          <t>UPPSALA</t>
        </is>
      </c>
      <c r="F165" t="inlineStr">
        <is>
          <t>Övriga statliga verk och myndigheter</t>
        </is>
      </c>
      <c r="G165" t="n">
        <v>1.4</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45933</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45933</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45933</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45933</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45933</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45933</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45933</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45933</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64858-2021</t>
        </is>
      </c>
      <c r="B174" s="1" t="n">
        <v>44512</v>
      </c>
      <c r="C174" s="1" t="n">
        <v>45933</v>
      </c>
      <c r="D174" t="inlineStr">
        <is>
          <t>UPPSALA LÄN</t>
        </is>
      </c>
      <c r="E174" t="inlineStr">
        <is>
          <t>UPPSALA</t>
        </is>
      </c>
      <c r="G174" t="n">
        <v>1.2</v>
      </c>
      <c r="H174" t="n">
        <v>0</v>
      </c>
      <c r="I174" t="n">
        <v>0</v>
      </c>
      <c r="J174" t="n">
        <v>0</v>
      </c>
      <c r="K174" t="n">
        <v>0</v>
      </c>
      <c r="L174" t="n">
        <v>0</v>
      </c>
      <c r="M174" t="n">
        <v>0</v>
      </c>
      <c r="N174" t="n">
        <v>0</v>
      </c>
      <c r="O174" t="n">
        <v>0</v>
      </c>
      <c r="P174" t="n">
        <v>0</v>
      </c>
      <c r="Q174" t="n">
        <v>0</v>
      </c>
      <c r="R174" s="2" t="inlineStr"/>
    </row>
    <row r="175" ht="15" customHeight="1">
      <c r="A175" t="inlineStr">
        <is>
          <t>A 56463-2021</t>
        </is>
      </c>
      <c r="B175" s="1" t="n">
        <v>44479</v>
      </c>
      <c r="C175" s="1" t="n">
        <v>45933</v>
      </c>
      <c r="D175" t="inlineStr">
        <is>
          <t>UPPSALA LÄN</t>
        </is>
      </c>
      <c r="E175" t="inlineStr">
        <is>
          <t>UPPSALA</t>
        </is>
      </c>
      <c r="G175" t="n">
        <v>6.4</v>
      </c>
      <c r="H175" t="n">
        <v>0</v>
      </c>
      <c r="I175" t="n">
        <v>0</v>
      </c>
      <c r="J175" t="n">
        <v>0</v>
      </c>
      <c r="K175" t="n">
        <v>0</v>
      </c>
      <c r="L175" t="n">
        <v>0</v>
      </c>
      <c r="M175" t="n">
        <v>0</v>
      </c>
      <c r="N175" t="n">
        <v>0</v>
      </c>
      <c r="O175" t="n">
        <v>0</v>
      </c>
      <c r="P175" t="n">
        <v>0</v>
      </c>
      <c r="Q175" t="n">
        <v>0</v>
      </c>
      <c r="R175" s="2" t="inlineStr"/>
    </row>
    <row r="176" ht="15" customHeight="1">
      <c r="A176" t="inlineStr">
        <is>
          <t>A 58767-2021</t>
        </is>
      </c>
      <c r="B176" s="1" t="n">
        <v>44489</v>
      </c>
      <c r="C176" s="1" t="n">
        <v>45933</v>
      </c>
      <c r="D176" t="inlineStr">
        <is>
          <t>UPPSALA LÄN</t>
        </is>
      </c>
      <c r="E176" t="inlineStr">
        <is>
          <t>UPPSALA</t>
        </is>
      </c>
      <c r="G176" t="n">
        <v>4.8</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45933</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62504-2020</t>
        </is>
      </c>
      <c r="B178" s="1" t="n">
        <v>44160</v>
      </c>
      <c r="C178" s="1" t="n">
        <v>45933</v>
      </c>
      <c r="D178" t="inlineStr">
        <is>
          <t>UPPSALA LÄN</t>
        </is>
      </c>
      <c r="E178" t="inlineStr">
        <is>
          <t>UPPSALA</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65964-2021</t>
        </is>
      </c>
      <c r="B179" s="1" t="n">
        <v>44517</v>
      </c>
      <c r="C179" s="1" t="n">
        <v>45933</v>
      </c>
      <c r="D179" t="inlineStr">
        <is>
          <t>UPPSALA LÄN</t>
        </is>
      </c>
      <c r="E179" t="inlineStr">
        <is>
          <t>UPPSALA</t>
        </is>
      </c>
      <c r="G179" t="n">
        <v>0.7</v>
      </c>
      <c r="H179" t="n">
        <v>0</v>
      </c>
      <c r="I179" t="n">
        <v>0</v>
      </c>
      <c r="J179" t="n">
        <v>0</v>
      </c>
      <c r="K179" t="n">
        <v>0</v>
      </c>
      <c r="L179" t="n">
        <v>0</v>
      </c>
      <c r="M179" t="n">
        <v>0</v>
      </c>
      <c r="N179" t="n">
        <v>0</v>
      </c>
      <c r="O179" t="n">
        <v>0</v>
      </c>
      <c r="P179" t="n">
        <v>0</v>
      </c>
      <c r="Q179" t="n">
        <v>0</v>
      </c>
      <c r="R179" s="2" t="inlineStr"/>
    </row>
    <row r="180" ht="15" customHeight="1">
      <c r="A180" t="inlineStr">
        <is>
          <t>A 71643-2021</t>
        </is>
      </c>
      <c r="B180" s="1" t="n">
        <v>44543.34697916666</v>
      </c>
      <c r="C180" s="1" t="n">
        <v>45933</v>
      </c>
      <c r="D180" t="inlineStr">
        <is>
          <t>UPPSALA LÄN</t>
        </is>
      </c>
      <c r="E180" t="inlineStr">
        <is>
          <t>UPPSALA</t>
        </is>
      </c>
      <c r="G180" t="n">
        <v>3</v>
      </c>
      <c r="H180" t="n">
        <v>0</v>
      </c>
      <c r="I180" t="n">
        <v>0</v>
      </c>
      <c r="J180" t="n">
        <v>0</v>
      </c>
      <c r="K180" t="n">
        <v>0</v>
      </c>
      <c r="L180" t="n">
        <v>0</v>
      </c>
      <c r="M180" t="n">
        <v>0</v>
      </c>
      <c r="N180" t="n">
        <v>0</v>
      </c>
      <c r="O180" t="n">
        <v>0</v>
      </c>
      <c r="P180" t="n">
        <v>0</v>
      </c>
      <c r="Q180" t="n">
        <v>0</v>
      </c>
      <c r="R180" s="2" t="inlineStr"/>
    </row>
    <row r="181" ht="15" customHeight="1">
      <c r="A181" t="inlineStr">
        <is>
          <t>A 11693-2022</t>
        </is>
      </c>
      <c r="B181" s="1" t="n">
        <v>44634</v>
      </c>
      <c r="C181" s="1" t="n">
        <v>45933</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60032-2021</t>
        </is>
      </c>
      <c r="B182" s="1" t="n">
        <v>44495</v>
      </c>
      <c r="C182" s="1" t="n">
        <v>45933</v>
      </c>
      <c r="D182" t="inlineStr">
        <is>
          <t>UPPSALA LÄN</t>
        </is>
      </c>
      <c r="E182" t="inlineStr">
        <is>
          <t>UPPSALA</t>
        </is>
      </c>
      <c r="G182" t="n">
        <v>1.8</v>
      </c>
      <c r="H182" t="n">
        <v>0</v>
      </c>
      <c r="I182" t="n">
        <v>0</v>
      </c>
      <c r="J182" t="n">
        <v>0</v>
      </c>
      <c r="K182" t="n">
        <v>0</v>
      </c>
      <c r="L182" t="n">
        <v>0</v>
      </c>
      <c r="M182" t="n">
        <v>0</v>
      </c>
      <c r="N182" t="n">
        <v>0</v>
      </c>
      <c r="O182" t="n">
        <v>0</v>
      </c>
      <c r="P182" t="n">
        <v>0</v>
      </c>
      <c r="Q182" t="n">
        <v>0</v>
      </c>
      <c r="R182" s="2" t="inlineStr"/>
    </row>
    <row r="183" ht="15" customHeight="1">
      <c r="A183" t="inlineStr">
        <is>
          <t>A 38892-2022</t>
        </is>
      </c>
      <c r="B183" s="1" t="n">
        <v>44816</v>
      </c>
      <c r="C183" s="1" t="n">
        <v>45933</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17262-2021</t>
        </is>
      </c>
      <c r="B184" s="1" t="n">
        <v>44297</v>
      </c>
      <c r="C184" s="1" t="n">
        <v>45933</v>
      </c>
      <c r="D184" t="inlineStr">
        <is>
          <t>UPPSALA LÄN</t>
        </is>
      </c>
      <c r="E184" t="inlineStr">
        <is>
          <t>UPPSALA</t>
        </is>
      </c>
      <c r="F184" t="inlineStr">
        <is>
          <t>Allmännings- och besparingsskogar</t>
        </is>
      </c>
      <c r="G184" t="n">
        <v>1</v>
      </c>
      <c r="H184" t="n">
        <v>0</v>
      </c>
      <c r="I184" t="n">
        <v>0</v>
      </c>
      <c r="J184" t="n">
        <v>0</v>
      </c>
      <c r="K184" t="n">
        <v>0</v>
      </c>
      <c r="L184" t="n">
        <v>0</v>
      </c>
      <c r="M184" t="n">
        <v>0</v>
      </c>
      <c r="N184" t="n">
        <v>0</v>
      </c>
      <c r="O184" t="n">
        <v>0</v>
      </c>
      <c r="P184" t="n">
        <v>0</v>
      </c>
      <c r="Q184" t="n">
        <v>0</v>
      </c>
      <c r="R184" s="2" t="inlineStr"/>
    </row>
    <row r="185" ht="15" customHeight="1">
      <c r="A185" t="inlineStr">
        <is>
          <t>A 55066-2022</t>
        </is>
      </c>
      <c r="B185" s="1" t="n">
        <v>44886.58890046296</v>
      </c>
      <c r="C185" s="1" t="n">
        <v>45933</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35539-2022</t>
        </is>
      </c>
      <c r="B186" s="1" t="n">
        <v>44799.36359953704</v>
      </c>
      <c r="C186" s="1" t="n">
        <v>45933</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3259-2022</t>
        </is>
      </c>
      <c r="B187" s="1" t="n">
        <v>44583.61555555555</v>
      </c>
      <c r="C187" s="1" t="n">
        <v>45933</v>
      </c>
      <c r="D187" t="inlineStr">
        <is>
          <t>UPPSALA LÄN</t>
        </is>
      </c>
      <c r="E187" t="inlineStr">
        <is>
          <t>UPPSALA</t>
        </is>
      </c>
      <c r="F187" t="inlineStr">
        <is>
          <t>Holmen skog AB</t>
        </is>
      </c>
      <c r="G187" t="n">
        <v>2.4</v>
      </c>
      <c r="H187" t="n">
        <v>0</v>
      </c>
      <c r="I187" t="n">
        <v>0</v>
      </c>
      <c r="J187" t="n">
        <v>0</v>
      </c>
      <c r="K187" t="n">
        <v>0</v>
      </c>
      <c r="L187" t="n">
        <v>0</v>
      </c>
      <c r="M187" t="n">
        <v>0</v>
      </c>
      <c r="N187" t="n">
        <v>0</v>
      </c>
      <c r="O187" t="n">
        <v>0</v>
      </c>
      <c r="P187" t="n">
        <v>0</v>
      </c>
      <c r="Q187" t="n">
        <v>0</v>
      </c>
      <c r="R187" s="2" t="inlineStr"/>
    </row>
    <row r="188" ht="15" customHeight="1">
      <c r="A188" t="inlineStr">
        <is>
          <t>A 2017-2022</t>
        </is>
      </c>
      <c r="B188" s="1" t="n">
        <v>44575</v>
      </c>
      <c r="C188" s="1" t="n">
        <v>45933</v>
      </c>
      <c r="D188" t="inlineStr">
        <is>
          <t>UPPSALA LÄN</t>
        </is>
      </c>
      <c r="E188" t="inlineStr">
        <is>
          <t>UPPSALA</t>
        </is>
      </c>
      <c r="G188" t="n">
        <v>1.1</v>
      </c>
      <c r="H188" t="n">
        <v>0</v>
      </c>
      <c r="I188" t="n">
        <v>0</v>
      </c>
      <c r="J188" t="n">
        <v>0</v>
      </c>
      <c r="K188" t="n">
        <v>0</v>
      </c>
      <c r="L188" t="n">
        <v>0</v>
      </c>
      <c r="M188" t="n">
        <v>0</v>
      </c>
      <c r="N188" t="n">
        <v>0</v>
      </c>
      <c r="O188" t="n">
        <v>0</v>
      </c>
      <c r="P188" t="n">
        <v>0</v>
      </c>
      <c r="Q188" t="n">
        <v>0</v>
      </c>
      <c r="R188" s="2" t="inlineStr"/>
    </row>
    <row r="189" ht="15" customHeight="1">
      <c r="A189" t="inlineStr">
        <is>
          <t>A 21387-2022</t>
        </is>
      </c>
      <c r="B189" s="1" t="n">
        <v>44705.78475694444</v>
      </c>
      <c r="C189" s="1" t="n">
        <v>45933</v>
      </c>
      <c r="D189" t="inlineStr">
        <is>
          <t>UPPSALA LÄN</t>
        </is>
      </c>
      <c r="E189" t="inlineStr">
        <is>
          <t>UPPSALA</t>
        </is>
      </c>
      <c r="G189" t="n">
        <v>2.2</v>
      </c>
      <c r="H189" t="n">
        <v>0</v>
      </c>
      <c r="I189" t="n">
        <v>0</v>
      </c>
      <c r="J189" t="n">
        <v>0</v>
      </c>
      <c r="K189" t="n">
        <v>0</v>
      </c>
      <c r="L189" t="n">
        <v>0</v>
      </c>
      <c r="M189" t="n">
        <v>0</v>
      </c>
      <c r="N189" t="n">
        <v>0</v>
      </c>
      <c r="O189" t="n">
        <v>0</v>
      </c>
      <c r="P189" t="n">
        <v>0</v>
      </c>
      <c r="Q189" t="n">
        <v>0</v>
      </c>
      <c r="R189" s="2" t="inlineStr"/>
    </row>
    <row r="190" ht="15" customHeight="1">
      <c r="A190" t="inlineStr">
        <is>
          <t>A 21391-2022</t>
        </is>
      </c>
      <c r="B190" s="1" t="n">
        <v>44705.83326388889</v>
      </c>
      <c r="C190" s="1" t="n">
        <v>45933</v>
      </c>
      <c r="D190" t="inlineStr">
        <is>
          <t>UPPSALA LÄN</t>
        </is>
      </c>
      <c r="E190" t="inlineStr">
        <is>
          <t>UPPSALA</t>
        </is>
      </c>
      <c r="G190" t="n">
        <v>0.9</v>
      </c>
      <c r="H190" t="n">
        <v>0</v>
      </c>
      <c r="I190" t="n">
        <v>0</v>
      </c>
      <c r="J190" t="n">
        <v>0</v>
      </c>
      <c r="K190" t="n">
        <v>0</v>
      </c>
      <c r="L190" t="n">
        <v>0</v>
      </c>
      <c r="M190" t="n">
        <v>0</v>
      </c>
      <c r="N190" t="n">
        <v>0</v>
      </c>
      <c r="O190" t="n">
        <v>0</v>
      </c>
      <c r="P190" t="n">
        <v>0</v>
      </c>
      <c r="Q190" t="n">
        <v>0</v>
      </c>
      <c r="R190" s="2" t="inlineStr"/>
    </row>
    <row r="191" ht="15" customHeight="1">
      <c r="A191" t="inlineStr">
        <is>
          <t>A 66927-2021</t>
        </is>
      </c>
      <c r="B191" s="1" t="n">
        <v>44522.55518518519</v>
      </c>
      <c r="C191" s="1" t="n">
        <v>45933</v>
      </c>
      <c r="D191" t="inlineStr">
        <is>
          <t>UPPSALA LÄN</t>
        </is>
      </c>
      <c r="E191" t="inlineStr">
        <is>
          <t>UPPSALA</t>
        </is>
      </c>
      <c r="G191" t="n">
        <v>2.9</v>
      </c>
      <c r="H191" t="n">
        <v>0</v>
      </c>
      <c r="I191" t="n">
        <v>0</v>
      </c>
      <c r="J191" t="n">
        <v>0</v>
      </c>
      <c r="K191" t="n">
        <v>0</v>
      </c>
      <c r="L191" t="n">
        <v>0</v>
      </c>
      <c r="M191" t="n">
        <v>0</v>
      </c>
      <c r="N191" t="n">
        <v>0</v>
      </c>
      <c r="O191" t="n">
        <v>0</v>
      </c>
      <c r="P191" t="n">
        <v>0</v>
      </c>
      <c r="Q191" t="n">
        <v>0</v>
      </c>
      <c r="R191" s="2" t="inlineStr"/>
    </row>
    <row r="192" ht="15" customHeight="1">
      <c r="A192" t="inlineStr">
        <is>
          <t>A 23713-2022</t>
        </is>
      </c>
      <c r="B192" s="1" t="n">
        <v>44722.30703703704</v>
      </c>
      <c r="C192" s="1" t="n">
        <v>45933</v>
      </c>
      <c r="D192" t="inlineStr">
        <is>
          <t>UPPSALA LÄN</t>
        </is>
      </c>
      <c r="E192" t="inlineStr">
        <is>
          <t>UPPSALA</t>
        </is>
      </c>
      <c r="F192" t="inlineStr">
        <is>
          <t>Bergvik skog öst AB</t>
        </is>
      </c>
      <c r="G192" t="n">
        <v>1</v>
      </c>
      <c r="H192" t="n">
        <v>0</v>
      </c>
      <c r="I192" t="n">
        <v>0</v>
      </c>
      <c r="J192" t="n">
        <v>0</v>
      </c>
      <c r="K192" t="n">
        <v>0</v>
      </c>
      <c r="L192" t="n">
        <v>0</v>
      </c>
      <c r="M192" t="n">
        <v>0</v>
      </c>
      <c r="N192" t="n">
        <v>0</v>
      </c>
      <c r="O192" t="n">
        <v>0</v>
      </c>
      <c r="P192" t="n">
        <v>0</v>
      </c>
      <c r="Q192" t="n">
        <v>0</v>
      </c>
      <c r="R192" s="2" t="inlineStr"/>
    </row>
    <row r="193" ht="15" customHeight="1">
      <c r="A193" t="inlineStr">
        <is>
          <t>A 1936-2022</t>
        </is>
      </c>
      <c r="B193" s="1" t="n">
        <v>44575.4366087963</v>
      </c>
      <c r="C193" s="1" t="n">
        <v>45933</v>
      </c>
      <c r="D193" t="inlineStr">
        <is>
          <t>UPPSALA LÄN</t>
        </is>
      </c>
      <c r="E193" t="inlineStr">
        <is>
          <t>UPPSALA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45933</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22946-2021</t>
        </is>
      </c>
      <c r="B195" s="1" t="n">
        <v>44328.57100694445</v>
      </c>
      <c r="C195" s="1" t="n">
        <v>45933</v>
      </c>
      <c r="D195" t="inlineStr">
        <is>
          <t>UPPSALA LÄN</t>
        </is>
      </c>
      <c r="E195" t="inlineStr">
        <is>
          <t>UPPSALA</t>
        </is>
      </c>
      <c r="G195" t="n">
        <v>2.3</v>
      </c>
      <c r="H195" t="n">
        <v>0</v>
      </c>
      <c r="I195" t="n">
        <v>0</v>
      </c>
      <c r="J195" t="n">
        <v>0</v>
      </c>
      <c r="K195" t="n">
        <v>0</v>
      </c>
      <c r="L195" t="n">
        <v>0</v>
      </c>
      <c r="M195" t="n">
        <v>0</v>
      </c>
      <c r="N195" t="n">
        <v>0</v>
      </c>
      <c r="O195" t="n">
        <v>0</v>
      </c>
      <c r="P195" t="n">
        <v>0</v>
      </c>
      <c r="Q195" t="n">
        <v>0</v>
      </c>
      <c r="R195" s="2" t="inlineStr"/>
    </row>
    <row r="196" ht="15" customHeight="1">
      <c r="A196" t="inlineStr">
        <is>
          <t>A 31646-2021</t>
        </is>
      </c>
      <c r="B196" s="1" t="n">
        <v>44369</v>
      </c>
      <c r="C196" s="1" t="n">
        <v>45933</v>
      </c>
      <c r="D196" t="inlineStr">
        <is>
          <t>UPPSALA LÄN</t>
        </is>
      </c>
      <c r="E196" t="inlineStr">
        <is>
          <t>UPPSALA</t>
        </is>
      </c>
      <c r="G196" t="n">
        <v>1.7</v>
      </c>
      <c r="H196" t="n">
        <v>0</v>
      </c>
      <c r="I196" t="n">
        <v>0</v>
      </c>
      <c r="J196" t="n">
        <v>0</v>
      </c>
      <c r="K196" t="n">
        <v>0</v>
      </c>
      <c r="L196" t="n">
        <v>0</v>
      </c>
      <c r="M196" t="n">
        <v>0</v>
      </c>
      <c r="N196" t="n">
        <v>0</v>
      </c>
      <c r="O196" t="n">
        <v>0</v>
      </c>
      <c r="P196" t="n">
        <v>0</v>
      </c>
      <c r="Q196" t="n">
        <v>0</v>
      </c>
      <c r="R196" s="2" t="inlineStr"/>
    </row>
    <row r="197" ht="15" customHeight="1">
      <c r="A197" t="inlineStr">
        <is>
          <t>A 13892-2022</t>
        </is>
      </c>
      <c r="B197" s="1" t="n">
        <v>44649</v>
      </c>
      <c r="C197" s="1" t="n">
        <v>45933</v>
      </c>
      <c r="D197" t="inlineStr">
        <is>
          <t>UPPSALA LÄN</t>
        </is>
      </c>
      <c r="E197" t="inlineStr">
        <is>
          <t>UPPSALA</t>
        </is>
      </c>
      <c r="G197" t="n">
        <v>3.3</v>
      </c>
      <c r="H197" t="n">
        <v>0</v>
      </c>
      <c r="I197" t="n">
        <v>0</v>
      </c>
      <c r="J197" t="n">
        <v>0</v>
      </c>
      <c r="K197" t="n">
        <v>0</v>
      </c>
      <c r="L197" t="n">
        <v>0</v>
      </c>
      <c r="M197" t="n">
        <v>0</v>
      </c>
      <c r="N197" t="n">
        <v>0</v>
      </c>
      <c r="O197" t="n">
        <v>0</v>
      </c>
      <c r="P197" t="n">
        <v>0</v>
      </c>
      <c r="Q197" t="n">
        <v>0</v>
      </c>
      <c r="R197" s="2" t="inlineStr"/>
    </row>
    <row r="198" ht="15" customHeight="1">
      <c r="A198" t="inlineStr">
        <is>
          <t>A 20265-2022</t>
        </is>
      </c>
      <c r="B198" s="1" t="n">
        <v>44698.67151620371</v>
      </c>
      <c r="C198" s="1" t="n">
        <v>45933</v>
      </c>
      <c r="D198" t="inlineStr">
        <is>
          <t>UPPSALA LÄN</t>
        </is>
      </c>
      <c r="E198" t="inlineStr">
        <is>
          <t>UPPSALA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14022-2021</t>
        </is>
      </c>
      <c r="B199" s="1" t="n">
        <v>44277.65263888889</v>
      </c>
      <c r="C199" s="1" t="n">
        <v>45933</v>
      </c>
      <c r="D199" t="inlineStr">
        <is>
          <t>UPPSALA LÄN</t>
        </is>
      </c>
      <c r="E199" t="inlineStr">
        <is>
          <t>UPPSALA</t>
        </is>
      </c>
      <c r="G199" t="n">
        <v>11.1</v>
      </c>
      <c r="H199" t="n">
        <v>0</v>
      </c>
      <c r="I199" t="n">
        <v>0</v>
      </c>
      <c r="J199" t="n">
        <v>0</v>
      </c>
      <c r="K199" t="n">
        <v>0</v>
      </c>
      <c r="L199" t="n">
        <v>0</v>
      </c>
      <c r="M199" t="n">
        <v>0</v>
      </c>
      <c r="N199" t="n">
        <v>0</v>
      </c>
      <c r="O199" t="n">
        <v>0</v>
      </c>
      <c r="P199" t="n">
        <v>0</v>
      </c>
      <c r="Q199" t="n">
        <v>0</v>
      </c>
      <c r="R199" s="2" t="inlineStr"/>
    </row>
    <row r="200" ht="15" customHeight="1">
      <c r="A200" t="inlineStr">
        <is>
          <t>A 46293-2022</t>
        </is>
      </c>
      <c r="B200" s="1" t="n">
        <v>44847</v>
      </c>
      <c r="C200" s="1" t="n">
        <v>45933</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5996-2022</t>
        </is>
      </c>
      <c r="B201" s="1" t="n">
        <v>44599.43265046296</v>
      </c>
      <c r="C201" s="1" t="n">
        <v>45933</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45933</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45933</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45933</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34838-2021</t>
        </is>
      </c>
      <c r="B205" s="1" t="n">
        <v>44383</v>
      </c>
      <c r="C205" s="1" t="n">
        <v>45933</v>
      </c>
      <c r="D205" t="inlineStr">
        <is>
          <t>UPPSALA LÄN</t>
        </is>
      </c>
      <c r="E205" t="inlineStr">
        <is>
          <t>UPPSALA</t>
        </is>
      </c>
      <c r="F205" t="inlineStr">
        <is>
          <t>Bergvik skog öst AB</t>
        </is>
      </c>
      <c r="G205" t="n">
        <v>1</v>
      </c>
      <c r="H205" t="n">
        <v>0</v>
      </c>
      <c r="I205" t="n">
        <v>0</v>
      </c>
      <c r="J205" t="n">
        <v>0</v>
      </c>
      <c r="K205" t="n">
        <v>0</v>
      </c>
      <c r="L205" t="n">
        <v>0</v>
      </c>
      <c r="M205" t="n">
        <v>0</v>
      </c>
      <c r="N205" t="n">
        <v>0</v>
      </c>
      <c r="O205" t="n">
        <v>0</v>
      </c>
      <c r="P205" t="n">
        <v>0</v>
      </c>
      <c r="Q205" t="n">
        <v>0</v>
      </c>
      <c r="R205" s="2" t="inlineStr"/>
    </row>
    <row r="206" ht="15" customHeight="1">
      <c r="A206" t="inlineStr">
        <is>
          <t>A 46097-2021</t>
        </is>
      </c>
      <c r="B206" s="1" t="n">
        <v>44442.35195601852</v>
      </c>
      <c r="C206" s="1" t="n">
        <v>45933</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46099-2021</t>
        </is>
      </c>
      <c r="B207" s="1" t="n">
        <v>44442</v>
      </c>
      <c r="C207" s="1" t="n">
        <v>45933</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29277-2022</t>
        </is>
      </c>
      <c r="B208" s="1" t="n">
        <v>44750.678125</v>
      </c>
      <c r="C208" s="1" t="n">
        <v>45933</v>
      </c>
      <c r="D208" t="inlineStr">
        <is>
          <t>UPPSALA LÄN</t>
        </is>
      </c>
      <c r="E208" t="inlineStr">
        <is>
          <t>UPPSALA</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33920-2021</t>
        </is>
      </c>
      <c r="B209" s="1" t="n">
        <v>44378.69857638889</v>
      </c>
      <c r="C209" s="1" t="n">
        <v>45933</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50092-2022</t>
        </is>
      </c>
      <c r="B210" s="1" t="n">
        <v>44865</v>
      </c>
      <c r="C210" s="1" t="n">
        <v>45933</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51396-2021</t>
        </is>
      </c>
      <c r="B211" s="1" t="n">
        <v>44461.73350694445</v>
      </c>
      <c r="C211" s="1" t="n">
        <v>45933</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62865-2021</t>
        </is>
      </c>
      <c r="B212" s="1" t="n">
        <v>44504.59193287037</v>
      </c>
      <c r="C212" s="1" t="n">
        <v>45933</v>
      </c>
      <c r="D212" t="inlineStr">
        <is>
          <t>UPPSALA LÄN</t>
        </is>
      </c>
      <c r="E212" t="inlineStr">
        <is>
          <t>UPPSALA</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13009-2022</t>
        </is>
      </c>
      <c r="B213" s="1" t="n">
        <v>44643.51446759259</v>
      </c>
      <c r="C213" s="1" t="n">
        <v>45933</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29134-2022</t>
        </is>
      </c>
      <c r="B214" s="1" t="n">
        <v>44750.45800925926</v>
      </c>
      <c r="C214" s="1" t="n">
        <v>45933</v>
      </c>
      <c r="D214" t="inlineStr">
        <is>
          <t>UPPSALA LÄN</t>
        </is>
      </c>
      <c r="E214" t="inlineStr">
        <is>
          <t>UPPSALA</t>
        </is>
      </c>
      <c r="G214" t="n">
        <v>1.2</v>
      </c>
      <c r="H214" t="n">
        <v>0</v>
      </c>
      <c r="I214" t="n">
        <v>0</v>
      </c>
      <c r="J214" t="n">
        <v>0</v>
      </c>
      <c r="K214" t="n">
        <v>0</v>
      </c>
      <c r="L214" t="n">
        <v>0</v>
      </c>
      <c r="M214" t="n">
        <v>0</v>
      </c>
      <c r="N214" t="n">
        <v>0</v>
      </c>
      <c r="O214" t="n">
        <v>0</v>
      </c>
      <c r="P214" t="n">
        <v>0</v>
      </c>
      <c r="Q214" t="n">
        <v>0</v>
      </c>
      <c r="R214" s="2" t="inlineStr"/>
    </row>
    <row r="215" ht="15" customHeight="1">
      <c r="A215" t="inlineStr">
        <is>
          <t>A 18330-2022</t>
        </is>
      </c>
      <c r="B215" s="1" t="n">
        <v>44685.6212037037</v>
      </c>
      <c r="C215" s="1" t="n">
        <v>45933</v>
      </c>
      <c r="D215" t="inlineStr">
        <is>
          <t>UPPSALA LÄN</t>
        </is>
      </c>
      <c r="E215" t="inlineStr">
        <is>
          <t>UPPSALA</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73468-2021</t>
        </is>
      </c>
      <c r="B216" s="1" t="n">
        <v>44551.59704861111</v>
      </c>
      <c r="C216" s="1" t="n">
        <v>45933</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5081-2022</t>
        </is>
      </c>
      <c r="B217" s="1" t="n">
        <v>44593</v>
      </c>
      <c r="C217" s="1" t="n">
        <v>45933</v>
      </c>
      <c r="D217" t="inlineStr">
        <is>
          <t>UPPSALA LÄN</t>
        </is>
      </c>
      <c r="E217" t="inlineStr">
        <is>
          <t>UPPSALA</t>
        </is>
      </c>
      <c r="G217" t="n">
        <v>3</v>
      </c>
      <c r="H217" t="n">
        <v>0</v>
      </c>
      <c r="I217" t="n">
        <v>0</v>
      </c>
      <c r="J217" t="n">
        <v>0</v>
      </c>
      <c r="K217" t="n">
        <v>0</v>
      </c>
      <c r="L217" t="n">
        <v>0</v>
      </c>
      <c r="M217" t="n">
        <v>0</v>
      </c>
      <c r="N217" t="n">
        <v>0</v>
      </c>
      <c r="O217" t="n">
        <v>0</v>
      </c>
      <c r="P217" t="n">
        <v>0</v>
      </c>
      <c r="Q217" t="n">
        <v>0</v>
      </c>
      <c r="R217" s="2" t="inlineStr"/>
    </row>
    <row r="218" ht="15" customHeight="1">
      <c r="A218" t="inlineStr">
        <is>
          <t>A 45849-2022</t>
        </is>
      </c>
      <c r="B218" s="1" t="n">
        <v>44846</v>
      </c>
      <c r="C218" s="1" t="n">
        <v>45933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25745-2022</t>
        </is>
      </c>
      <c r="B219" s="1" t="n">
        <v>44733.43420138889</v>
      </c>
      <c r="C219" s="1" t="n">
        <v>45933</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22021-2022</t>
        </is>
      </c>
      <c r="B220" s="1" t="n">
        <v>44711</v>
      </c>
      <c r="C220" s="1" t="n">
        <v>45933</v>
      </c>
      <c r="D220" t="inlineStr">
        <is>
          <t>UPPSALA LÄN</t>
        </is>
      </c>
      <c r="E220" t="inlineStr">
        <is>
          <t>UPPSALA</t>
        </is>
      </c>
      <c r="F220" t="inlineStr">
        <is>
          <t>Allmännings- och besparingsskogar</t>
        </is>
      </c>
      <c r="G220" t="n">
        <v>2.1</v>
      </c>
      <c r="H220" t="n">
        <v>0</v>
      </c>
      <c r="I220" t="n">
        <v>0</v>
      </c>
      <c r="J220" t="n">
        <v>0</v>
      </c>
      <c r="K220" t="n">
        <v>0</v>
      </c>
      <c r="L220" t="n">
        <v>0</v>
      </c>
      <c r="M220" t="n">
        <v>0</v>
      </c>
      <c r="N220" t="n">
        <v>0</v>
      </c>
      <c r="O220" t="n">
        <v>0</v>
      </c>
      <c r="P220" t="n">
        <v>0</v>
      </c>
      <c r="Q220" t="n">
        <v>0</v>
      </c>
      <c r="R220" s="2" t="inlineStr"/>
    </row>
    <row r="221" ht="15" customHeight="1">
      <c r="A221" t="inlineStr">
        <is>
          <t>A 874-2022</t>
        </is>
      </c>
      <c r="B221" s="1" t="n">
        <v>44571.44563657408</v>
      </c>
      <c r="C221" s="1" t="n">
        <v>45933</v>
      </c>
      <c r="D221" t="inlineStr">
        <is>
          <t>UPPSALA LÄN</t>
        </is>
      </c>
      <c r="E221" t="inlineStr">
        <is>
          <t>UPPSALA</t>
        </is>
      </c>
      <c r="G221" t="n">
        <v>7.2</v>
      </c>
      <c r="H221" t="n">
        <v>0</v>
      </c>
      <c r="I221" t="n">
        <v>0</v>
      </c>
      <c r="J221" t="n">
        <v>0</v>
      </c>
      <c r="K221" t="n">
        <v>0</v>
      </c>
      <c r="L221" t="n">
        <v>0</v>
      </c>
      <c r="M221" t="n">
        <v>0</v>
      </c>
      <c r="N221" t="n">
        <v>0</v>
      </c>
      <c r="O221" t="n">
        <v>0</v>
      </c>
      <c r="P221" t="n">
        <v>0</v>
      </c>
      <c r="Q221" t="n">
        <v>0</v>
      </c>
      <c r="R221" s="2" t="inlineStr"/>
    </row>
    <row r="222" ht="15" customHeight="1">
      <c r="A222" t="inlineStr">
        <is>
          <t>A 56466-2020</t>
        </is>
      </c>
      <c r="B222" s="1" t="n">
        <v>44134</v>
      </c>
      <c r="C222" s="1" t="n">
        <v>45933</v>
      </c>
      <c r="D222" t="inlineStr">
        <is>
          <t>UPPSALA LÄN</t>
        </is>
      </c>
      <c r="E222" t="inlineStr">
        <is>
          <t>UPPSALA</t>
        </is>
      </c>
      <c r="F222" t="inlineStr">
        <is>
          <t>Övriga Aktiebolag</t>
        </is>
      </c>
      <c r="G222" t="n">
        <v>3.3</v>
      </c>
      <c r="H222" t="n">
        <v>0</v>
      </c>
      <c r="I222" t="n">
        <v>0</v>
      </c>
      <c r="J222" t="n">
        <v>0</v>
      </c>
      <c r="K222" t="n">
        <v>0</v>
      </c>
      <c r="L222" t="n">
        <v>0</v>
      </c>
      <c r="M222" t="n">
        <v>0</v>
      </c>
      <c r="N222" t="n">
        <v>0</v>
      </c>
      <c r="O222" t="n">
        <v>0</v>
      </c>
      <c r="P222" t="n">
        <v>0</v>
      </c>
      <c r="Q222" t="n">
        <v>0</v>
      </c>
      <c r="R222" s="2" t="inlineStr"/>
    </row>
    <row r="223" ht="15" customHeight="1">
      <c r="A223" t="inlineStr">
        <is>
          <t>A 27763-2022</t>
        </is>
      </c>
      <c r="B223" s="1" t="n">
        <v>44743</v>
      </c>
      <c r="C223" s="1" t="n">
        <v>45933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45933</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46916-2021</t>
        </is>
      </c>
      <c r="B225" s="1" t="n">
        <v>44446.47693287037</v>
      </c>
      <c r="C225" s="1" t="n">
        <v>45933</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45933</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59500-2021</t>
        </is>
      </c>
      <c r="B227" s="1" t="n">
        <v>44491.54116898148</v>
      </c>
      <c r="C227" s="1" t="n">
        <v>45933</v>
      </c>
      <c r="D227" t="inlineStr">
        <is>
          <t>UPPSALA LÄN</t>
        </is>
      </c>
      <c r="E227" t="inlineStr">
        <is>
          <t>UPPSALA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16978-2022</t>
        </is>
      </c>
      <c r="B228" s="1" t="n">
        <v>44676</v>
      </c>
      <c r="C228" s="1" t="n">
        <v>45933</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10411-2022</t>
        </is>
      </c>
      <c r="B229" s="1" t="n">
        <v>44623.4572337963</v>
      </c>
      <c r="C229" s="1" t="n">
        <v>45933</v>
      </c>
      <c r="D229" t="inlineStr">
        <is>
          <t>UPPSALA LÄN</t>
        </is>
      </c>
      <c r="E229" t="inlineStr">
        <is>
          <t>UPPSALA</t>
        </is>
      </c>
      <c r="F229" t="inlineStr">
        <is>
          <t>Övriga Aktiebolag</t>
        </is>
      </c>
      <c r="G229" t="n">
        <v>4.2</v>
      </c>
      <c r="H229" t="n">
        <v>0</v>
      </c>
      <c r="I229" t="n">
        <v>0</v>
      </c>
      <c r="J229" t="n">
        <v>0</v>
      </c>
      <c r="K229" t="n">
        <v>0</v>
      </c>
      <c r="L229" t="n">
        <v>0</v>
      </c>
      <c r="M229" t="n">
        <v>0</v>
      </c>
      <c r="N229" t="n">
        <v>0</v>
      </c>
      <c r="O229" t="n">
        <v>0</v>
      </c>
      <c r="P229" t="n">
        <v>0</v>
      </c>
      <c r="Q229" t="n">
        <v>0</v>
      </c>
      <c r="R229" s="2" t="inlineStr"/>
    </row>
    <row r="230" ht="15" customHeight="1">
      <c r="A230" t="inlineStr">
        <is>
          <t>A 54813-2022</t>
        </is>
      </c>
      <c r="B230" s="1" t="n">
        <v>44883</v>
      </c>
      <c r="C230" s="1" t="n">
        <v>45933</v>
      </c>
      <c r="D230" t="inlineStr">
        <is>
          <t>UPPSALA LÄN</t>
        </is>
      </c>
      <c r="E230" t="inlineStr">
        <is>
          <t>UPPSALA</t>
        </is>
      </c>
      <c r="G230" t="n">
        <v>1.1</v>
      </c>
      <c r="H230" t="n">
        <v>0</v>
      </c>
      <c r="I230" t="n">
        <v>0</v>
      </c>
      <c r="J230" t="n">
        <v>0</v>
      </c>
      <c r="K230" t="n">
        <v>0</v>
      </c>
      <c r="L230" t="n">
        <v>0</v>
      </c>
      <c r="M230" t="n">
        <v>0</v>
      </c>
      <c r="N230" t="n">
        <v>0</v>
      </c>
      <c r="O230" t="n">
        <v>0</v>
      </c>
      <c r="P230" t="n">
        <v>0</v>
      </c>
      <c r="Q230" t="n">
        <v>0</v>
      </c>
      <c r="R230" s="2" t="inlineStr"/>
    </row>
    <row r="231" ht="15" customHeight="1">
      <c r="A231" t="inlineStr">
        <is>
          <t>A 46635-2022</t>
        </is>
      </c>
      <c r="B231" s="1" t="n">
        <v>44849</v>
      </c>
      <c r="C231" s="1" t="n">
        <v>45933</v>
      </c>
      <c r="D231" t="inlineStr">
        <is>
          <t>UPPSALA LÄN</t>
        </is>
      </c>
      <c r="E231" t="inlineStr">
        <is>
          <t>UPPSALA</t>
        </is>
      </c>
      <c r="G231" t="n">
        <v>3.4</v>
      </c>
      <c r="H231" t="n">
        <v>0</v>
      </c>
      <c r="I231" t="n">
        <v>0</v>
      </c>
      <c r="J231" t="n">
        <v>0</v>
      </c>
      <c r="K231" t="n">
        <v>0</v>
      </c>
      <c r="L231" t="n">
        <v>0</v>
      </c>
      <c r="M231" t="n">
        <v>0</v>
      </c>
      <c r="N231" t="n">
        <v>0</v>
      </c>
      <c r="O231" t="n">
        <v>0</v>
      </c>
      <c r="P231" t="n">
        <v>0</v>
      </c>
      <c r="Q231" t="n">
        <v>0</v>
      </c>
      <c r="R231" s="2" t="inlineStr"/>
    </row>
    <row r="232" ht="15" customHeight="1">
      <c r="A232" t="inlineStr">
        <is>
          <t>A 55823-2021</t>
        </is>
      </c>
      <c r="B232" s="1" t="n">
        <v>44476.61263888889</v>
      </c>
      <c r="C232" s="1" t="n">
        <v>45933</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6989-2022</t>
        </is>
      </c>
      <c r="B233" s="1" t="n">
        <v>44603</v>
      </c>
      <c r="C233" s="1" t="n">
        <v>45933</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38190-2023</t>
        </is>
      </c>
      <c r="B234" s="1" t="n">
        <v>45161</v>
      </c>
      <c r="C234" s="1" t="n">
        <v>45933</v>
      </c>
      <c r="D234" t="inlineStr">
        <is>
          <t>UPPSALA LÄN</t>
        </is>
      </c>
      <c r="E234" t="inlineStr">
        <is>
          <t>UPPSALA</t>
        </is>
      </c>
      <c r="G234" t="n">
        <v>0.4</v>
      </c>
      <c r="H234" t="n">
        <v>0</v>
      </c>
      <c r="I234" t="n">
        <v>0</v>
      </c>
      <c r="J234" t="n">
        <v>0</v>
      </c>
      <c r="K234" t="n">
        <v>0</v>
      </c>
      <c r="L234" t="n">
        <v>0</v>
      </c>
      <c r="M234" t="n">
        <v>0</v>
      </c>
      <c r="N234" t="n">
        <v>0</v>
      </c>
      <c r="O234" t="n">
        <v>0</v>
      </c>
      <c r="P234" t="n">
        <v>0</v>
      </c>
      <c r="Q234" t="n">
        <v>0</v>
      </c>
      <c r="R234" s="2" t="inlineStr"/>
    </row>
    <row r="235" ht="15" customHeight="1">
      <c r="A235" t="inlineStr">
        <is>
          <t>A 46079-2022</t>
        </is>
      </c>
      <c r="B235" s="1" t="n">
        <v>44847.35622685185</v>
      </c>
      <c r="C235" s="1" t="n">
        <v>45933</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56889-2022</t>
        </is>
      </c>
      <c r="B236" s="1" t="n">
        <v>44894.57065972222</v>
      </c>
      <c r="C236" s="1" t="n">
        <v>45933</v>
      </c>
      <c r="D236" t="inlineStr">
        <is>
          <t>UPPSALA LÄN</t>
        </is>
      </c>
      <c r="E236" t="inlineStr">
        <is>
          <t>UPPSALA</t>
        </is>
      </c>
      <c r="F236" t="inlineStr">
        <is>
          <t>Övriga Aktiebolag</t>
        </is>
      </c>
      <c r="G236" t="n">
        <v>21.6</v>
      </c>
      <c r="H236" t="n">
        <v>0</v>
      </c>
      <c r="I236" t="n">
        <v>0</v>
      </c>
      <c r="J236" t="n">
        <v>0</v>
      </c>
      <c r="K236" t="n">
        <v>0</v>
      </c>
      <c r="L236" t="n">
        <v>0</v>
      </c>
      <c r="M236" t="n">
        <v>0</v>
      </c>
      <c r="N236" t="n">
        <v>0</v>
      </c>
      <c r="O236" t="n">
        <v>0</v>
      </c>
      <c r="P236" t="n">
        <v>0</v>
      </c>
      <c r="Q236" t="n">
        <v>0</v>
      </c>
      <c r="R236" s="2" t="inlineStr"/>
    </row>
    <row r="237" ht="15" customHeight="1">
      <c r="A237" t="inlineStr">
        <is>
          <t>A 34147-2024</t>
        </is>
      </c>
      <c r="B237" s="1" t="n">
        <v>45524</v>
      </c>
      <c r="C237" s="1" t="n">
        <v>45933</v>
      </c>
      <c r="D237" t="inlineStr">
        <is>
          <t>UPPSALA LÄN</t>
        </is>
      </c>
      <c r="E237" t="inlineStr">
        <is>
          <t>UPPSALA</t>
        </is>
      </c>
      <c r="F237" t="inlineStr">
        <is>
          <t>Allmännings- och besparingsskogar</t>
        </is>
      </c>
      <c r="G237" t="n">
        <v>0.2</v>
      </c>
      <c r="H237" t="n">
        <v>0</v>
      </c>
      <c r="I237" t="n">
        <v>0</v>
      </c>
      <c r="J237" t="n">
        <v>0</v>
      </c>
      <c r="K237" t="n">
        <v>0</v>
      </c>
      <c r="L237" t="n">
        <v>0</v>
      </c>
      <c r="M237" t="n">
        <v>0</v>
      </c>
      <c r="N237" t="n">
        <v>0</v>
      </c>
      <c r="O237" t="n">
        <v>0</v>
      </c>
      <c r="P237" t="n">
        <v>0</v>
      </c>
      <c r="Q237" t="n">
        <v>0</v>
      </c>
      <c r="R237" s="2" t="inlineStr"/>
    </row>
    <row r="238" ht="15" customHeight="1">
      <c r="A238" t="inlineStr">
        <is>
          <t>A 21394-2022</t>
        </is>
      </c>
      <c r="B238" s="1" t="n">
        <v>44705.84535879629</v>
      </c>
      <c r="C238" s="1" t="n">
        <v>45933</v>
      </c>
      <c r="D238" t="inlineStr">
        <is>
          <t>UPPSALA LÄN</t>
        </is>
      </c>
      <c r="E238" t="inlineStr">
        <is>
          <t>UPPSALA</t>
        </is>
      </c>
      <c r="G238" t="n">
        <v>0.8</v>
      </c>
      <c r="H238" t="n">
        <v>0</v>
      </c>
      <c r="I238" t="n">
        <v>0</v>
      </c>
      <c r="J238" t="n">
        <v>0</v>
      </c>
      <c r="K238" t="n">
        <v>0</v>
      </c>
      <c r="L238" t="n">
        <v>0</v>
      </c>
      <c r="M238" t="n">
        <v>0</v>
      </c>
      <c r="N238" t="n">
        <v>0</v>
      </c>
      <c r="O238" t="n">
        <v>0</v>
      </c>
      <c r="P238" t="n">
        <v>0</v>
      </c>
      <c r="Q238" t="n">
        <v>0</v>
      </c>
      <c r="R238" s="2" t="inlineStr"/>
    </row>
    <row r="239" ht="15" customHeight="1">
      <c r="A239" t="inlineStr">
        <is>
          <t>A 25120-2022</t>
        </is>
      </c>
      <c r="B239" s="1" t="n">
        <v>44729</v>
      </c>
      <c r="C239" s="1" t="n">
        <v>45933</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25674-2025</t>
        </is>
      </c>
      <c r="B240" s="1" t="n">
        <v>45803.63395833333</v>
      </c>
      <c r="C240" s="1" t="n">
        <v>45933</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11224-2022</t>
        </is>
      </c>
      <c r="B241" s="1" t="n">
        <v>44629.57741898148</v>
      </c>
      <c r="C241" s="1" t="n">
        <v>45933</v>
      </c>
      <c r="D241" t="inlineStr">
        <is>
          <t>UPPSALA LÄN</t>
        </is>
      </c>
      <c r="E241" t="inlineStr">
        <is>
          <t>UPPSALA</t>
        </is>
      </c>
      <c r="F241" t="inlineStr">
        <is>
          <t>Bergvik skog öst AB</t>
        </is>
      </c>
      <c r="G241" t="n">
        <v>1.5</v>
      </c>
      <c r="H241" t="n">
        <v>0</v>
      </c>
      <c r="I241" t="n">
        <v>0</v>
      </c>
      <c r="J241" t="n">
        <v>0</v>
      </c>
      <c r="K241" t="n">
        <v>0</v>
      </c>
      <c r="L241" t="n">
        <v>0</v>
      </c>
      <c r="M241" t="n">
        <v>0</v>
      </c>
      <c r="N241" t="n">
        <v>0</v>
      </c>
      <c r="O241" t="n">
        <v>0</v>
      </c>
      <c r="P241" t="n">
        <v>0</v>
      </c>
      <c r="Q241" t="n">
        <v>0</v>
      </c>
      <c r="R241" s="2" t="inlineStr"/>
    </row>
    <row r="242" ht="15" customHeight="1">
      <c r="A242" t="inlineStr">
        <is>
          <t>A 26099-2024</t>
        </is>
      </c>
      <c r="B242" s="1" t="n">
        <v>45468</v>
      </c>
      <c r="C242" s="1" t="n">
        <v>45933</v>
      </c>
      <c r="D242" t="inlineStr">
        <is>
          <t>UPPSALA LÄN</t>
        </is>
      </c>
      <c r="E242" t="inlineStr">
        <is>
          <t>UPPSALA</t>
        </is>
      </c>
      <c r="G242" t="n">
        <v>0.3</v>
      </c>
      <c r="H242" t="n">
        <v>0</v>
      </c>
      <c r="I242" t="n">
        <v>0</v>
      </c>
      <c r="J242" t="n">
        <v>0</v>
      </c>
      <c r="K242" t="n">
        <v>0</v>
      </c>
      <c r="L242" t="n">
        <v>0</v>
      </c>
      <c r="M242" t="n">
        <v>0</v>
      </c>
      <c r="N242" t="n">
        <v>0</v>
      </c>
      <c r="O242" t="n">
        <v>0</v>
      </c>
      <c r="P242" t="n">
        <v>0</v>
      </c>
      <c r="Q242" t="n">
        <v>0</v>
      </c>
      <c r="R242" s="2" t="inlineStr"/>
    </row>
    <row r="243" ht="15" customHeight="1">
      <c r="A243" t="inlineStr">
        <is>
          <t>A 6677-2024</t>
        </is>
      </c>
      <c r="B243" s="1" t="n">
        <v>45341</v>
      </c>
      <c r="C243" s="1" t="n">
        <v>45933</v>
      </c>
      <c r="D243" t="inlineStr">
        <is>
          <t>UPPSALA LÄN</t>
        </is>
      </c>
      <c r="E243" t="inlineStr">
        <is>
          <t>UPPSALA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17788-2023</t>
        </is>
      </c>
      <c r="B244" s="1" t="n">
        <v>45037</v>
      </c>
      <c r="C244" s="1" t="n">
        <v>45933</v>
      </c>
      <c r="D244" t="inlineStr">
        <is>
          <t>UPPSALA LÄN</t>
        </is>
      </c>
      <c r="E244" t="inlineStr">
        <is>
          <t>UPPSALA</t>
        </is>
      </c>
      <c r="F244" t="inlineStr">
        <is>
          <t>Övriga Aktiebolag</t>
        </is>
      </c>
      <c r="G244" t="n">
        <v>3.7</v>
      </c>
      <c r="H244" t="n">
        <v>0</v>
      </c>
      <c r="I244" t="n">
        <v>0</v>
      </c>
      <c r="J244" t="n">
        <v>0</v>
      </c>
      <c r="K244" t="n">
        <v>0</v>
      </c>
      <c r="L244" t="n">
        <v>0</v>
      </c>
      <c r="M244" t="n">
        <v>0</v>
      </c>
      <c r="N244" t="n">
        <v>0</v>
      </c>
      <c r="O244" t="n">
        <v>0</v>
      </c>
      <c r="P244" t="n">
        <v>0</v>
      </c>
      <c r="Q244" t="n">
        <v>0</v>
      </c>
      <c r="R244" s="2" t="inlineStr"/>
    </row>
    <row r="245" ht="15" customHeight="1">
      <c r="A245" t="inlineStr">
        <is>
          <t>A 26130-2025</t>
        </is>
      </c>
      <c r="B245" s="1" t="n">
        <v>45805.4094675926</v>
      </c>
      <c r="C245" s="1" t="n">
        <v>45933</v>
      </c>
      <c r="D245" t="inlineStr">
        <is>
          <t>UPPSALA LÄN</t>
        </is>
      </c>
      <c r="E245" t="inlineStr">
        <is>
          <t>UPPSALA</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26131-2025</t>
        </is>
      </c>
      <c r="B246" s="1" t="n">
        <v>45805.41010416667</v>
      </c>
      <c r="C246" s="1" t="n">
        <v>45933</v>
      </c>
      <c r="D246" t="inlineStr">
        <is>
          <t>UPPSALA LÄN</t>
        </is>
      </c>
      <c r="E246" t="inlineStr">
        <is>
          <t>UPPSALA</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58056-2020</t>
        </is>
      </c>
      <c r="B247" s="1" t="n">
        <v>44144</v>
      </c>
      <c r="C247" s="1" t="n">
        <v>45933</v>
      </c>
      <c r="D247" t="inlineStr">
        <is>
          <t>UPPSALA LÄN</t>
        </is>
      </c>
      <c r="E247" t="inlineStr">
        <is>
          <t>UPPSALA</t>
        </is>
      </c>
      <c r="G247" t="n">
        <v>5.5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45933</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26139-2025</t>
        </is>
      </c>
      <c r="B249" s="1" t="n">
        <v>45805.41813657407</v>
      </c>
      <c r="C249" s="1" t="n">
        <v>45933</v>
      </c>
      <c r="D249" t="inlineStr">
        <is>
          <t>UPPSALA LÄN</t>
        </is>
      </c>
      <c r="E249" t="inlineStr">
        <is>
          <t>UPPSALA</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6630-2024</t>
        </is>
      </c>
      <c r="B250" s="1" t="n">
        <v>45341.63811342593</v>
      </c>
      <c r="C250" s="1" t="n">
        <v>45933</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33941-2023</t>
        </is>
      </c>
      <c r="B251" s="1" t="n">
        <v>45134.57021990741</v>
      </c>
      <c r="C251" s="1" t="n">
        <v>45933</v>
      </c>
      <c r="D251" t="inlineStr">
        <is>
          <t>UPPSALA LÄN</t>
        </is>
      </c>
      <c r="E251" t="inlineStr">
        <is>
          <t>UPPSALA</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26155-2025</t>
        </is>
      </c>
      <c r="B252" s="1" t="n">
        <v>45805.43402777778</v>
      </c>
      <c r="C252" s="1" t="n">
        <v>45933</v>
      </c>
      <c r="D252" t="inlineStr">
        <is>
          <t>UPPSALA LÄN</t>
        </is>
      </c>
      <c r="E252" t="inlineStr">
        <is>
          <t>UPPSALA</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26141-2025</t>
        </is>
      </c>
      <c r="B253" s="1" t="n">
        <v>45805.4255787037</v>
      </c>
      <c r="C253" s="1" t="n">
        <v>45933</v>
      </c>
      <c r="D253" t="inlineStr">
        <is>
          <t>UPPSALA LÄN</t>
        </is>
      </c>
      <c r="E253" t="inlineStr">
        <is>
          <t>UPPSALA</t>
        </is>
      </c>
      <c r="F253" t="inlineStr">
        <is>
          <t>Holmen skog AB</t>
        </is>
      </c>
      <c r="G253" t="n">
        <v>1.3</v>
      </c>
      <c r="H253" t="n">
        <v>0</v>
      </c>
      <c r="I253" t="n">
        <v>0</v>
      </c>
      <c r="J253" t="n">
        <v>0</v>
      </c>
      <c r="K253" t="n">
        <v>0</v>
      </c>
      <c r="L253" t="n">
        <v>0</v>
      </c>
      <c r="M253" t="n">
        <v>0</v>
      </c>
      <c r="N253" t="n">
        <v>0</v>
      </c>
      <c r="O253" t="n">
        <v>0</v>
      </c>
      <c r="P253" t="n">
        <v>0</v>
      </c>
      <c r="Q253" t="n">
        <v>0</v>
      </c>
      <c r="R253" s="2" t="inlineStr"/>
    </row>
    <row r="254" ht="15" customHeight="1">
      <c r="A254" t="inlineStr">
        <is>
          <t>A 16615-2021</t>
        </is>
      </c>
      <c r="B254" s="1" t="n">
        <v>44294.37555555555</v>
      </c>
      <c r="C254" s="1" t="n">
        <v>45933</v>
      </c>
      <c r="D254" t="inlineStr">
        <is>
          <t>UPPSALA LÄN</t>
        </is>
      </c>
      <c r="E254" t="inlineStr">
        <is>
          <t>UPPSALA</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1032-2023</t>
        </is>
      </c>
      <c r="B255" s="1" t="n">
        <v>44935</v>
      </c>
      <c r="C255" s="1" t="n">
        <v>45933</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32127-2024</t>
        </is>
      </c>
      <c r="B256" s="1" t="n">
        <v>45511</v>
      </c>
      <c r="C256" s="1" t="n">
        <v>45933</v>
      </c>
      <c r="D256" t="inlineStr">
        <is>
          <t>UPPSALA LÄN</t>
        </is>
      </c>
      <c r="E256" t="inlineStr">
        <is>
          <t>UPPSALA</t>
        </is>
      </c>
      <c r="G256" t="n">
        <v>3.7</v>
      </c>
      <c r="H256" t="n">
        <v>0</v>
      </c>
      <c r="I256" t="n">
        <v>0</v>
      </c>
      <c r="J256" t="n">
        <v>0</v>
      </c>
      <c r="K256" t="n">
        <v>0</v>
      </c>
      <c r="L256" t="n">
        <v>0</v>
      </c>
      <c r="M256" t="n">
        <v>0</v>
      </c>
      <c r="N256" t="n">
        <v>0</v>
      </c>
      <c r="O256" t="n">
        <v>0</v>
      </c>
      <c r="P256" t="n">
        <v>0</v>
      </c>
      <c r="Q256" t="n">
        <v>0</v>
      </c>
      <c r="R256" s="2" t="inlineStr"/>
    </row>
    <row r="257" ht="15" customHeight="1">
      <c r="A257" t="inlineStr">
        <is>
          <t>A 53569-2024</t>
        </is>
      </c>
      <c r="B257" s="1" t="n">
        <v>45614.65928240741</v>
      </c>
      <c r="C257" s="1" t="n">
        <v>45933</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70031-2021</t>
        </is>
      </c>
      <c r="B258" s="1" t="n">
        <v>44533.46665509259</v>
      </c>
      <c r="C258" s="1" t="n">
        <v>45933</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15629-2023</t>
        </is>
      </c>
      <c r="B259" s="1" t="n">
        <v>45021.29524305555</v>
      </c>
      <c r="C259" s="1" t="n">
        <v>45933</v>
      </c>
      <c r="D259" t="inlineStr">
        <is>
          <t>UPPSALA LÄN</t>
        </is>
      </c>
      <c r="E259" t="inlineStr">
        <is>
          <t>UPPSALA</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26697-2025</t>
        </is>
      </c>
      <c r="B260" s="1" t="n">
        <v>45810.44339120371</v>
      </c>
      <c r="C260" s="1" t="n">
        <v>45933</v>
      </c>
      <c r="D260" t="inlineStr">
        <is>
          <t>UPPSALA LÄN</t>
        </is>
      </c>
      <c r="E260" t="inlineStr">
        <is>
          <t>UPPSALA</t>
        </is>
      </c>
      <c r="F260" t="inlineStr">
        <is>
          <t>Bergvik skog öst AB</t>
        </is>
      </c>
      <c r="G260" t="n">
        <v>2.8</v>
      </c>
      <c r="H260" t="n">
        <v>0</v>
      </c>
      <c r="I260" t="n">
        <v>0</v>
      </c>
      <c r="J260" t="n">
        <v>0</v>
      </c>
      <c r="K260" t="n">
        <v>0</v>
      </c>
      <c r="L260" t="n">
        <v>0</v>
      </c>
      <c r="M260" t="n">
        <v>0</v>
      </c>
      <c r="N260" t="n">
        <v>0</v>
      </c>
      <c r="O260" t="n">
        <v>0</v>
      </c>
      <c r="P260" t="n">
        <v>0</v>
      </c>
      <c r="Q260" t="n">
        <v>0</v>
      </c>
      <c r="R260" s="2" t="inlineStr"/>
    </row>
    <row r="261" ht="15" customHeight="1">
      <c r="A261" t="inlineStr">
        <is>
          <t>A 26739-2025</t>
        </is>
      </c>
      <c r="B261" s="1" t="n">
        <v>45809</v>
      </c>
      <c r="C261" s="1" t="n">
        <v>45933</v>
      </c>
      <c r="D261" t="inlineStr">
        <is>
          <t>UPPSALA LÄN</t>
        </is>
      </c>
      <c r="E261" t="inlineStr">
        <is>
          <t>UPPSALA</t>
        </is>
      </c>
      <c r="F261" t="inlineStr">
        <is>
          <t>Övriga Aktiebolag</t>
        </is>
      </c>
      <c r="G261" t="n">
        <v>3.6</v>
      </c>
      <c r="H261" t="n">
        <v>0</v>
      </c>
      <c r="I261" t="n">
        <v>0</v>
      </c>
      <c r="J261" t="n">
        <v>0</v>
      </c>
      <c r="K261" t="n">
        <v>0</v>
      </c>
      <c r="L261" t="n">
        <v>0</v>
      </c>
      <c r="M261" t="n">
        <v>0</v>
      </c>
      <c r="N261" t="n">
        <v>0</v>
      </c>
      <c r="O261" t="n">
        <v>0</v>
      </c>
      <c r="P261" t="n">
        <v>0</v>
      </c>
      <c r="Q261" t="n">
        <v>0</v>
      </c>
      <c r="R261" s="2" t="inlineStr"/>
    </row>
    <row r="262" ht="15" customHeight="1">
      <c r="A262" t="inlineStr">
        <is>
          <t>A 49996-2023</t>
        </is>
      </c>
      <c r="B262" s="1" t="n">
        <v>45215.44233796297</v>
      </c>
      <c r="C262" s="1" t="n">
        <v>45933</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46745-2024</t>
        </is>
      </c>
      <c r="B263" s="1" t="n">
        <v>45583</v>
      </c>
      <c r="C263" s="1" t="n">
        <v>45933</v>
      </c>
      <c r="D263" t="inlineStr">
        <is>
          <t>UPPSALA LÄN</t>
        </is>
      </c>
      <c r="E263" t="inlineStr">
        <is>
          <t>UPPSALA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46748-2024</t>
        </is>
      </c>
      <c r="B264" s="1" t="n">
        <v>45583</v>
      </c>
      <c r="C264" s="1" t="n">
        <v>45933</v>
      </c>
      <c r="D264" t="inlineStr">
        <is>
          <t>UPPSALA LÄN</t>
        </is>
      </c>
      <c r="E264" t="inlineStr">
        <is>
          <t>UPPSALA</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70228-2021</t>
        </is>
      </c>
      <c r="B265" s="1" t="n">
        <v>44535</v>
      </c>
      <c r="C265" s="1" t="n">
        <v>45933</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45933</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17481-2023</t>
        </is>
      </c>
      <c r="B267" s="1" t="n">
        <v>45036</v>
      </c>
      <c r="C267" s="1" t="n">
        <v>45933</v>
      </c>
      <c r="D267" t="inlineStr">
        <is>
          <t>UPPSALA LÄN</t>
        </is>
      </c>
      <c r="E267" t="inlineStr">
        <is>
          <t>UPPSALA</t>
        </is>
      </c>
      <c r="G267" t="n">
        <v>1.9</v>
      </c>
      <c r="H267" t="n">
        <v>0</v>
      </c>
      <c r="I267" t="n">
        <v>0</v>
      </c>
      <c r="J267" t="n">
        <v>0</v>
      </c>
      <c r="K267" t="n">
        <v>0</v>
      </c>
      <c r="L267" t="n">
        <v>0</v>
      </c>
      <c r="M267" t="n">
        <v>0</v>
      </c>
      <c r="N267" t="n">
        <v>0</v>
      </c>
      <c r="O267" t="n">
        <v>0</v>
      </c>
      <c r="P267" t="n">
        <v>0</v>
      </c>
      <c r="Q267" t="n">
        <v>0</v>
      </c>
      <c r="R267" s="2" t="inlineStr"/>
    </row>
    <row r="268" ht="15" customHeight="1">
      <c r="A268" t="inlineStr">
        <is>
          <t>A 56067-2024</t>
        </is>
      </c>
      <c r="B268" s="1" t="n">
        <v>45624</v>
      </c>
      <c r="C268" s="1" t="n">
        <v>45933</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38493-2023</t>
        </is>
      </c>
      <c r="B269" s="1" t="n">
        <v>45162</v>
      </c>
      <c r="C269" s="1" t="n">
        <v>45933</v>
      </c>
      <c r="D269" t="inlineStr">
        <is>
          <t>UPPSALA LÄN</t>
        </is>
      </c>
      <c r="E269" t="inlineStr">
        <is>
          <t>UPPSALA</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37618-2023</t>
        </is>
      </c>
      <c r="B270" s="1" t="n">
        <v>45159.44694444445</v>
      </c>
      <c r="C270" s="1" t="n">
        <v>45933</v>
      </c>
      <c r="D270" t="inlineStr">
        <is>
          <t>UPPSALA LÄN</t>
        </is>
      </c>
      <c r="E270" t="inlineStr">
        <is>
          <t>UPPSALA</t>
        </is>
      </c>
      <c r="G270" t="n">
        <v>2.6</v>
      </c>
      <c r="H270" t="n">
        <v>0</v>
      </c>
      <c r="I270" t="n">
        <v>0</v>
      </c>
      <c r="J270" t="n">
        <v>0</v>
      </c>
      <c r="K270" t="n">
        <v>0</v>
      </c>
      <c r="L270" t="n">
        <v>0</v>
      </c>
      <c r="M270" t="n">
        <v>0</v>
      </c>
      <c r="N270" t="n">
        <v>0</v>
      </c>
      <c r="O270" t="n">
        <v>0</v>
      </c>
      <c r="P270" t="n">
        <v>0</v>
      </c>
      <c r="Q270" t="n">
        <v>0</v>
      </c>
      <c r="R270" s="2" t="inlineStr"/>
    </row>
    <row r="271" ht="15" customHeight="1">
      <c r="A271" t="inlineStr">
        <is>
          <t>A 35142-2023</t>
        </is>
      </c>
      <c r="B271" s="1" t="n">
        <v>45145</v>
      </c>
      <c r="C271" s="1" t="n">
        <v>45933</v>
      </c>
      <c r="D271" t="inlineStr">
        <is>
          <t>UPPSALA LÄN</t>
        </is>
      </c>
      <c r="E271" t="inlineStr">
        <is>
          <t>UPPSALA</t>
        </is>
      </c>
      <c r="G271" t="n">
        <v>2</v>
      </c>
      <c r="H271" t="n">
        <v>0</v>
      </c>
      <c r="I271" t="n">
        <v>0</v>
      </c>
      <c r="J271" t="n">
        <v>0</v>
      </c>
      <c r="K271" t="n">
        <v>0</v>
      </c>
      <c r="L271" t="n">
        <v>0</v>
      </c>
      <c r="M271" t="n">
        <v>0</v>
      </c>
      <c r="N271" t="n">
        <v>0</v>
      </c>
      <c r="O271" t="n">
        <v>0</v>
      </c>
      <c r="P271" t="n">
        <v>0</v>
      </c>
      <c r="Q271" t="n">
        <v>0</v>
      </c>
      <c r="R271" s="2" t="inlineStr"/>
    </row>
    <row r="272" ht="15" customHeight="1">
      <c r="A272" t="inlineStr">
        <is>
          <t>A 63011-2021</t>
        </is>
      </c>
      <c r="B272" s="1" t="n">
        <v>44504</v>
      </c>
      <c r="C272" s="1" t="n">
        <v>45933</v>
      </c>
      <c r="D272" t="inlineStr">
        <is>
          <t>UPPSALA LÄN</t>
        </is>
      </c>
      <c r="E272" t="inlineStr">
        <is>
          <t>UPPSALA</t>
        </is>
      </c>
      <c r="G272" t="n">
        <v>11.2</v>
      </c>
      <c r="H272" t="n">
        <v>0</v>
      </c>
      <c r="I272" t="n">
        <v>0</v>
      </c>
      <c r="J272" t="n">
        <v>0</v>
      </c>
      <c r="K272" t="n">
        <v>0</v>
      </c>
      <c r="L272" t="n">
        <v>0</v>
      </c>
      <c r="M272" t="n">
        <v>0</v>
      </c>
      <c r="N272" t="n">
        <v>0</v>
      </c>
      <c r="O272" t="n">
        <v>0</v>
      </c>
      <c r="P272" t="n">
        <v>0</v>
      </c>
      <c r="Q272" t="n">
        <v>0</v>
      </c>
      <c r="R272" s="2" t="inlineStr"/>
    </row>
    <row r="273" ht="15" customHeight="1">
      <c r="A273" t="inlineStr">
        <is>
          <t>A 44315-2021</t>
        </is>
      </c>
      <c r="B273" s="1" t="n">
        <v>44435.38657407407</v>
      </c>
      <c r="C273" s="1" t="n">
        <v>45933</v>
      </c>
      <c r="D273" t="inlineStr">
        <is>
          <t>UPPSALA LÄN</t>
        </is>
      </c>
      <c r="E273" t="inlineStr">
        <is>
          <t>UPPSALA</t>
        </is>
      </c>
      <c r="G273" t="n">
        <v>5.2</v>
      </c>
      <c r="H273" t="n">
        <v>0</v>
      </c>
      <c r="I273" t="n">
        <v>0</v>
      </c>
      <c r="J273" t="n">
        <v>0</v>
      </c>
      <c r="K273" t="n">
        <v>0</v>
      </c>
      <c r="L273" t="n">
        <v>0</v>
      </c>
      <c r="M273" t="n">
        <v>0</v>
      </c>
      <c r="N273" t="n">
        <v>0</v>
      </c>
      <c r="O273" t="n">
        <v>0</v>
      </c>
      <c r="P273" t="n">
        <v>0</v>
      </c>
      <c r="Q273" t="n">
        <v>0</v>
      </c>
      <c r="R273" s="2" t="inlineStr"/>
    </row>
    <row r="274" ht="15" customHeight="1">
      <c r="A274" t="inlineStr">
        <is>
          <t>A 6851-2022</t>
        </is>
      </c>
      <c r="B274" s="1" t="n">
        <v>44602</v>
      </c>
      <c r="C274" s="1" t="n">
        <v>45933</v>
      </c>
      <c r="D274" t="inlineStr">
        <is>
          <t>UPPSALA LÄN</t>
        </is>
      </c>
      <c r="E274" t="inlineStr">
        <is>
          <t>UPPSALA</t>
        </is>
      </c>
      <c r="G274" t="n">
        <v>1.1</v>
      </c>
      <c r="H274" t="n">
        <v>0</v>
      </c>
      <c r="I274" t="n">
        <v>0</v>
      </c>
      <c r="J274" t="n">
        <v>0</v>
      </c>
      <c r="K274" t="n">
        <v>0</v>
      </c>
      <c r="L274" t="n">
        <v>0</v>
      </c>
      <c r="M274" t="n">
        <v>0</v>
      </c>
      <c r="N274" t="n">
        <v>0</v>
      </c>
      <c r="O274" t="n">
        <v>0</v>
      </c>
      <c r="P274" t="n">
        <v>0</v>
      </c>
      <c r="Q274" t="n">
        <v>0</v>
      </c>
      <c r="R274" s="2" t="inlineStr"/>
    </row>
    <row r="275" ht="15" customHeight="1">
      <c r="A275" t="inlineStr">
        <is>
          <t>A 15377-2022</t>
        </is>
      </c>
      <c r="B275" s="1" t="n">
        <v>44659.57912037037</v>
      </c>
      <c r="C275" s="1" t="n">
        <v>45933</v>
      </c>
      <c r="D275" t="inlineStr">
        <is>
          <t>UPPSALA LÄN</t>
        </is>
      </c>
      <c r="E275" t="inlineStr">
        <is>
          <t>UPPSALA</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34061-2022</t>
        </is>
      </c>
      <c r="B276" s="1" t="n">
        <v>44791.38336805555</v>
      </c>
      <c r="C276" s="1" t="n">
        <v>45933</v>
      </c>
      <c r="D276" t="inlineStr">
        <is>
          <t>UPPSALA LÄN</t>
        </is>
      </c>
      <c r="E276" t="inlineStr">
        <is>
          <t>UPPSALA</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47083-2023</t>
        </is>
      </c>
      <c r="B277" s="1" t="n">
        <v>45201.62318287037</v>
      </c>
      <c r="C277" s="1" t="n">
        <v>45933</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9255-2024</t>
        </is>
      </c>
      <c r="B278" s="1" t="n">
        <v>45358</v>
      </c>
      <c r="C278" s="1" t="n">
        <v>45933</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66983-2021</t>
        </is>
      </c>
      <c r="B279" s="1" t="n">
        <v>44522</v>
      </c>
      <c r="C279" s="1" t="n">
        <v>45933</v>
      </c>
      <c r="D279" t="inlineStr">
        <is>
          <t>UPPSALA LÄN</t>
        </is>
      </c>
      <c r="E279" t="inlineStr">
        <is>
          <t>UPPSALA</t>
        </is>
      </c>
      <c r="G279" t="n">
        <v>2.5</v>
      </c>
      <c r="H279" t="n">
        <v>0</v>
      </c>
      <c r="I279" t="n">
        <v>0</v>
      </c>
      <c r="J279" t="n">
        <v>0</v>
      </c>
      <c r="K279" t="n">
        <v>0</v>
      </c>
      <c r="L279" t="n">
        <v>0</v>
      </c>
      <c r="M279" t="n">
        <v>0</v>
      </c>
      <c r="N279" t="n">
        <v>0</v>
      </c>
      <c r="O279" t="n">
        <v>0</v>
      </c>
      <c r="P279" t="n">
        <v>0</v>
      </c>
      <c r="Q279" t="n">
        <v>0</v>
      </c>
      <c r="R279" s="2" t="inlineStr"/>
    </row>
    <row r="280" ht="15" customHeight="1">
      <c r="A280" t="inlineStr">
        <is>
          <t>A 9242-2022</t>
        </is>
      </c>
      <c r="B280" s="1" t="n">
        <v>44616</v>
      </c>
      <c r="C280" s="1" t="n">
        <v>45933</v>
      </c>
      <c r="D280" t="inlineStr">
        <is>
          <t>UPPSALA LÄN</t>
        </is>
      </c>
      <c r="E280" t="inlineStr">
        <is>
          <t>UPPSALA</t>
        </is>
      </c>
      <c r="F280" t="inlineStr">
        <is>
          <t>Övriga Aktiebolag</t>
        </is>
      </c>
      <c r="G280" t="n">
        <v>5.9</v>
      </c>
      <c r="H280" t="n">
        <v>0</v>
      </c>
      <c r="I280" t="n">
        <v>0</v>
      </c>
      <c r="J280" t="n">
        <v>0</v>
      </c>
      <c r="K280" t="n">
        <v>0</v>
      </c>
      <c r="L280" t="n">
        <v>0</v>
      </c>
      <c r="M280" t="n">
        <v>0</v>
      </c>
      <c r="N280" t="n">
        <v>0</v>
      </c>
      <c r="O280" t="n">
        <v>0</v>
      </c>
      <c r="P280" t="n">
        <v>0</v>
      </c>
      <c r="Q280" t="n">
        <v>0</v>
      </c>
      <c r="R280" s="2" t="inlineStr"/>
    </row>
    <row r="281" ht="15" customHeight="1">
      <c r="A281" t="inlineStr">
        <is>
          <t>A 42528-2023</t>
        </is>
      </c>
      <c r="B281" s="1" t="n">
        <v>45181.33571759259</v>
      </c>
      <c r="C281" s="1" t="n">
        <v>45933</v>
      </c>
      <c r="D281" t="inlineStr">
        <is>
          <t>UPPSALA LÄN</t>
        </is>
      </c>
      <c r="E281" t="inlineStr">
        <is>
          <t>UPPSALA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26738-2025</t>
        </is>
      </c>
      <c r="B282" s="1" t="n">
        <v>45809</v>
      </c>
      <c r="C282" s="1" t="n">
        <v>45933</v>
      </c>
      <c r="D282" t="inlineStr">
        <is>
          <t>UPPSALA LÄN</t>
        </is>
      </c>
      <c r="E282" t="inlineStr">
        <is>
          <t>UPPSALA</t>
        </is>
      </c>
      <c r="F282" t="inlineStr">
        <is>
          <t>Övriga Aktiebolag</t>
        </is>
      </c>
      <c r="G282" t="n">
        <v>2.2</v>
      </c>
      <c r="H282" t="n">
        <v>0</v>
      </c>
      <c r="I282" t="n">
        <v>0</v>
      </c>
      <c r="J282" t="n">
        <v>0</v>
      </c>
      <c r="K282" t="n">
        <v>0</v>
      </c>
      <c r="L282" t="n">
        <v>0</v>
      </c>
      <c r="M282" t="n">
        <v>0</v>
      </c>
      <c r="N282" t="n">
        <v>0</v>
      </c>
      <c r="O282" t="n">
        <v>0</v>
      </c>
      <c r="P282" t="n">
        <v>0</v>
      </c>
      <c r="Q282" t="n">
        <v>0</v>
      </c>
      <c r="R282" s="2" t="inlineStr"/>
    </row>
    <row r="283" ht="15" customHeight="1">
      <c r="A283" t="inlineStr">
        <is>
          <t>A 65659-2021</t>
        </is>
      </c>
      <c r="B283" s="1" t="n">
        <v>44516</v>
      </c>
      <c r="C283" s="1" t="n">
        <v>45933</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26740-2025</t>
        </is>
      </c>
      <c r="B284" s="1" t="n">
        <v>45809</v>
      </c>
      <c r="C284" s="1" t="n">
        <v>45933</v>
      </c>
      <c r="D284" t="inlineStr">
        <is>
          <t>UPPSALA LÄN</t>
        </is>
      </c>
      <c r="E284" t="inlineStr">
        <is>
          <t>UPPSALA</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23494-2024</t>
        </is>
      </c>
      <c r="B285" s="1" t="n">
        <v>45453.69339120371</v>
      </c>
      <c r="C285" s="1" t="n">
        <v>45933</v>
      </c>
      <c r="D285" t="inlineStr">
        <is>
          <t>UPPSALA LÄN</t>
        </is>
      </c>
      <c r="E285" t="inlineStr">
        <is>
          <t>UPPSALA</t>
        </is>
      </c>
      <c r="F285" t="inlineStr">
        <is>
          <t>Kyrkan</t>
        </is>
      </c>
      <c r="G285" t="n">
        <v>0.8</v>
      </c>
      <c r="H285" t="n">
        <v>0</v>
      </c>
      <c r="I285" t="n">
        <v>0</v>
      </c>
      <c r="J285" t="n">
        <v>0</v>
      </c>
      <c r="K285" t="n">
        <v>0</v>
      </c>
      <c r="L285" t="n">
        <v>0</v>
      </c>
      <c r="M285" t="n">
        <v>0</v>
      </c>
      <c r="N285" t="n">
        <v>0</v>
      </c>
      <c r="O285" t="n">
        <v>0</v>
      </c>
      <c r="P285" t="n">
        <v>0</v>
      </c>
      <c r="Q285" t="n">
        <v>0</v>
      </c>
      <c r="R285" s="2" t="inlineStr"/>
    </row>
    <row r="286" ht="15" customHeight="1">
      <c r="A286" t="inlineStr">
        <is>
          <t>A 26696-2025</t>
        </is>
      </c>
      <c r="B286" s="1" t="n">
        <v>45810.44299768518</v>
      </c>
      <c r="C286" s="1" t="n">
        <v>45933</v>
      </c>
      <c r="D286" t="inlineStr">
        <is>
          <t>UPPSALA LÄN</t>
        </is>
      </c>
      <c r="E286" t="inlineStr">
        <is>
          <t>UPPSALA</t>
        </is>
      </c>
      <c r="F286" t="inlineStr">
        <is>
          <t>Bergvik skog öst AB</t>
        </is>
      </c>
      <c r="G286" t="n">
        <v>7.1</v>
      </c>
      <c r="H286" t="n">
        <v>0</v>
      </c>
      <c r="I286" t="n">
        <v>0</v>
      </c>
      <c r="J286" t="n">
        <v>0</v>
      </c>
      <c r="K286" t="n">
        <v>0</v>
      </c>
      <c r="L286" t="n">
        <v>0</v>
      </c>
      <c r="M286" t="n">
        <v>0</v>
      </c>
      <c r="N286" t="n">
        <v>0</v>
      </c>
      <c r="O286" t="n">
        <v>0</v>
      </c>
      <c r="P286" t="n">
        <v>0</v>
      </c>
      <c r="Q286" t="n">
        <v>0</v>
      </c>
      <c r="R286" s="2" t="inlineStr"/>
    </row>
    <row r="287" ht="15" customHeight="1">
      <c r="A287" t="inlineStr">
        <is>
          <t>A 26713-2025</t>
        </is>
      </c>
      <c r="B287" s="1" t="n">
        <v>45809</v>
      </c>
      <c r="C287" s="1" t="n">
        <v>45933</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9398-2023</t>
        </is>
      </c>
      <c r="B288" s="1" t="n">
        <v>44977</v>
      </c>
      <c r="C288" s="1" t="n">
        <v>45933</v>
      </c>
      <c r="D288" t="inlineStr">
        <is>
          <t>UPPSALA LÄN</t>
        </is>
      </c>
      <c r="E288" t="inlineStr">
        <is>
          <t>UPPSALA</t>
        </is>
      </c>
      <c r="G288" t="n">
        <v>5.1</v>
      </c>
      <c r="H288" t="n">
        <v>0</v>
      </c>
      <c r="I288" t="n">
        <v>0</v>
      </c>
      <c r="J288" t="n">
        <v>0</v>
      </c>
      <c r="K288" t="n">
        <v>0</v>
      </c>
      <c r="L288" t="n">
        <v>0</v>
      </c>
      <c r="M288" t="n">
        <v>0</v>
      </c>
      <c r="N288" t="n">
        <v>0</v>
      </c>
      <c r="O288" t="n">
        <v>0</v>
      </c>
      <c r="P288" t="n">
        <v>0</v>
      </c>
      <c r="Q288" t="n">
        <v>0</v>
      </c>
      <c r="R288" s="2" t="inlineStr"/>
    </row>
    <row r="289" ht="15" customHeight="1">
      <c r="A289" t="inlineStr">
        <is>
          <t>A 27265-2025</t>
        </is>
      </c>
      <c r="B289" s="1" t="n">
        <v>45812.48032407407</v>
      </c>
      <c r="C289" s="1" t="n">
        <v>45933</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10464-2022</t>
        </is>
      </c>
      <c r="B290" s="1" t="n">
        <v>44623</v>
      </c>
      <c r="C290" s="1" t="n">
        <v>45933</v>
      </c>
      <c r="D290" t="inlineStr">
        <is>
          <t>UPPSALA LÄN</t>
        </is>
      </c>
      <c r="E290" t="inlineStr">
        <is>
          <t>UPPSALA</t>
        </is>
      </c>
      <c r="F290" t="inlineStr">
        <is>
          <t>Övriga Aktiebolag</t>
        </is>
      </c>
      <c r="G290" t="n">
        <v>0.7</v>
      </c>
      <c r="H290" t="n">
        <v>0</v>
      </c>
      <c r="I290" t="n">
        <v>0</v>
      </c>
      <c r="J290" t="n">
        <v>0</v>
      </c>
      <c r="K290" t="n">
        <v>0</v>
      </c>
      <c r="L290" t="n">
        <v>0</v>
      </c>
      <c r="M290" t="n">
        <v>0</v>
      </c>
      <c r="N290" t="n">
        <v>0</v>
      </c>
      <c r="O290" t="n">
        <v>0</v>
      </c>
      <c r="P290" t="n">
        <v>0</v>
      </c>
      <c r="Q290" t="n">
        <v>0</v>
      </c>
      <c r="R290" s="2" t="inlineStr"/>
    </row>
    <row r="291" ht="15" customHeight="1">
      <c r="A291" t="inlineStr">
        <is>
          <t>A 30580-2022</t>
        </is>
      </c>
      <c r="B291" s="1" t="n">
        <v>44762</v>
      </c>
      <c r="C291" s="1" t="n">
        <v>45933</v>
      </c>
      <c r="D291" t="inlineStr">
        <is>
          <t>UPPSALA LÄN</t>
        </is>
      </c>
      <c r="E291" t="inlineStr">
        <is>
          <t>UPPSALA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35411-2022</t>
        </is>
      </c>
      <c r="B292" s="1" t="n">
        <v>44798</v>
      </c>
      <c r="C292" s="1" t="n">
        <v>45933</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42063-2023</t>
        </is>
      </c>
      <c r="B293" s="1" t="n">
        <v>45177.56940972222</v>
      </c>
      <c r="C293" s="1" t="n">
        <v>45933</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58058-2020</t>
        </is>
      </c>
      <c r="B294" s="1" t="n">
        <v>44144</v>
      </c>
      <c r="C294" s="1" t="n">
        <v>45933</v>
      </c>
      <c r="D294" t="inlineStr">
        <is>
          <t>UPPSALA LÄN</t>
        </is>
      </c>
      <c r="E294" t="inlineStr">
        <is>
          <t>UPPSALA</t>
        </is>
      </c>
      <c r="G294" t="n">
        <v>4.4</v>
      </c>
      <c r="H294" t="n">
        <v>0</v>
      </c>
      <c r="I294" t="n">
        <v>0</v>
      </c>
      <c r="J294" t="n">
        <v>0</v>
      </c>
      <c r="K294" t="n">
        <v>0</v>
      </c>
      <c r="L294" t="n">
        <v>0</v>
      </c>
      <c r="M294" t="n">
        <v>0</v>
      </c>
      <c r="N294" t="n">
        <v>0</v>
      </c>
      <c r="O294" t="n">
        <v>0</v>
      </c>
      <c r="P294" t="n">
        <v>0</v>
      </c>
      <c r="Q294" t="n">
        <v>0</v>
      </c>
      <c r="R294" s="2" t="inlineStr"/>
    </row>
    <row r="295" ht="15" customHeight="1">
      <c r="A295" t="inlineStr">
        <is>
          <t>A 55953-2020</t>
        </is>
      </c>
      <c r="B295" s="1" t="n">
        <v>44131</v>
      </c>
      <c r="C295" s="1" t="n">
        <v>45933</v>
      </c>
      <c r="D295" t="inlineStr">
        <is>
          <t>UPPSALA LÄN</t>
        </is>
      </c>
      <c r="E295" t="inlineStr">
        <is>
          <t>UPPSALA</t>
        </is>
      </c>
      <c r="F295" t="inlineStr">
        <is>
          <t>Allmännings- och besparingsskogar</t>
        </is>
      </c>
      <c r="G295" t="n">
        <v>74.40000000000001</v>
      </c>
      <c r="H295" t="n">
        <v>0</v>
      </c>
      <c r="I295" t="n">
        <v>0</v>
      </c>
      <c r="J295" t="n">
        <v>0</v>
      </c>
      <c r="K295" t="n">
        <v>0</v>
      </c>
      <c r="L295" t="n">
        <v>0</v>
      </c>
      <c r="M295" t="n">
        <v>0</v>
      </c>
      <c r="N295" t="n">
        <v>0</v>
      </c>
      <c r="O295" t="n">
        <v>0</v>
      </c>
      <c r="P295" t="n">
        <v>0</v>
      </c>
      <c r="Q295" t="n">
        <v>0</v>
      </c>
      <c r="R295" s="2" t="inlineStr"/>
    </row>
    <row r="296" ht="15" customHeight="1">
      <c r="A296" t="inlineStr">
        <is>
          <t>A 13602-2025</t>
        </is>
      </c>
      <c r="B296" s="1" t="n">
        <v>45736.60863425926</v>
      </c>
      <c r="C296" s="1" t="n">
        <v>45933</v>
      </c>
      <c r="D296" t="inlineStr">
        <is>
          <t>UPPSALA LÄN</t>
        </is>
      </c>
      <c r="E296" t="inlineStr">
        <is>
          <t>UPPSALA</t>
        </is>
      </c>
      <c r="F296" t="inlineStr">
        <is>
          <t>Allmännings- och besparingsskogar</t>
        </is>
      </c>
      <c r="G296" t="n">
        <v>9.5</v>
      </c>
      <c r="H296" t="n">
        <v>0</v>
      </c>
      <c r="I296" t="n">
        <v>0</v>
      </c>
      <c r="J296" t="n">
        <v>0</v>
      </c>
      <c r="K296" t="n">
        <v>0</v>
      </c>
      <c r="L296" t="n">
        <v>0</v>
      </c>
      <c r="M296" t="n">
        <v>0</v>
      </c>
      <c r="N296" t="n">
        <v>0</v>
      </c>
      <c r="O296" t="n">
        <v>0</v>
      </c>
      <c r="P296" t="n">
        <v>0</v>
      </c>
      <c r="Q296" t="n">
        <v>0</v>
      </c>
      <c r="R296" s="2" t="inlineStr"/>
    </row>
    <row r="297" ht="15" customHeight="1">
      <c r="A297" t="inlineStr">
        <is>
          <t>A 10674-2022</t>
        </is>
      </c>
      <c r="B297" s="1" t="n">
        <v>44624.64538194444</v>
      </c>
      <c r="C297" s="1" t="n">
        <v>45933</v>
      </c>
      <c r="D297" t="inlineStr">
        <is>
          <t>UPPSALA LÄN</t>
        </is>
      </c>
      <c r="E297" t="inlineStr">
        <is>
          <t>UPPSALA</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10489-2025</t>
        </is>
      </c>
      <c r="B298" s="1" t="n">
        <v>45721.34715277778</v>
      </c>
      <c r="C298" s="1" t="n">
        <v>45933</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27917-2025</t>
        </is>
      </c>
      <c r="B299" s="1" t="n">
        <v>45814</v>
      </c>
      <c r="C299" s="1" t="n">
        <v>45933</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27706-2025</t>
        </is>
      </c>
      <c r="B300" s="1" t="n">
        <v>45813</v>
      </c>
      <c r="C300" s="1" t="n">
        <v>45933</v>
      </c>
      <c r="D300" t="inlineStr">
        <is>
          <t>UPPSALA LÄN</t>
        </is>
      </c>
      <c r="E300" t="inlineStr">
        <is>
          <t>UPPSALA</t>
        </is>
      </c>
      <c r="G300" t="n">
        <v>0.8</v>
      </c>
      <c r="H300" t="n">
        <v>0</v>
      </c>
      <c r="I300" t="n">
        <v>0</v>
      </c>
      <c r="J300" t="n">
        <v>0</v>
      </c>
      <c r="K300" t="n">
        <v>0</v>
      </c>
      <c r="L300" t="n">
        <v>0</v>
      </c>
      <c r="M300" t="n">
        <v>0</v>
      </c>
      <c r="N300" t="n">
        <v>0</v>
      </c>
      <c r="O300" t="n">
        <v>0</v>
      </c>
      <c r="P300" t="n">
        <v>0</v>
      </c>
      <c r="Q300" t="n">
        <v>0</v>
      </c>
      <c r="R300" s="2" t="inlineStr"/>
    </row>
    <row r="301" ht="15" customHeight="1">
      <c r="A301" t="inlineStr">
        <is>
          <t>A 27538-2025</t>
        </is>
      </c>
      <c r="B301" s="1" t="n">
        <v>45813.46034722222</v>
      </c>
      <c r="C301" s="1" t="n">
        <v>45933</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19513-2023</t>
        </is>
      </c>
      <c r="B302" s="1" t="n">
        <v>45050.49392361111</v>
      </c>
      <c r="C302" s="1" t="n">
        <v>45933</v>
      </c>
      <c r="D302" t="inlineStr">
        <is>
          <t>UPPSALA LÄN</t>
        </is>
      </c>
      <c r="E302" t="inlineStr">
        <is>
          <t>UPPSALA</t>
        </is>
      </c>
      <c r="G302" t="n">
        <v>6.6</v>
      </c>
      <c r="H302" t="n">
        <v>0</v>
      </c>
      <c r="I302" t="n">
        <v>0</v>
      </c>
      <c r="J302" t="n">
        <v>0</v>
      </c>
      <c r="K302" t="n">
        <v>0</v>
      </c>
      <c r="L302" t="n">
        <v>0</v>
      </c>
      <c r="M302" t="n">
        <v>0</v>
      </c>
      <c r="N302" t="n">
        <v>0</v>
      </c>
      <c r="O302" t="n">
        <v>0</v>
      </c>
      <c r="P302" t="n">
        <v>0</v>
      </c>
      <c r="Q302" t="n">
        <v>0</v>
      </c>
      <c r="R302" s="2" t="inlineStr"/>
    </row>
    <row r="303" ht="15" customHeight="1">
      <c r="A303" t="inlineStr">
        <is>
          <t>A 28275-2025</t>
        </is>
      </c>
      <c r="B303" s="1" t="n">
        <v>45818.57910879629</v>
      </c>
      <c r="C303" s="1" t="n">
        <v>45933</v>
      </c>
      <c r="D303" t="inlineStr">
        <is>
          <t>UPPSALA LÄN</t>
        </is>
      </c>
      <c r="E303" t="inlineStr">
        <is>
          <t>UPPSALA</t>
        </is>
      </c>
      <c r="F303" t="inlineStr">
        <is>
          <t>Holmen skog AB</t>
        </is>
      </c>
      <c r="G303" t="n">
        <v>6.5</v>
      </c>
      <c r="H303" t="n">
        <v>0</v>
      </c>
      <c r="I303" t="n">
        <v>0</v>
      </c>
      <c r="J303" t="n">
        <v>0</v>
      </c>
      <c r="K303" t="n">
        <v>0</v>
      </c>
      <c r="L303" t="n">
        <v>0</v>
      </c>
      <c r="M303" t="n">
        <v>0</v>
      </c>
      <c r="N303" t="n">
        <v>0</v>
      </c>
      <c r="O303" t="n">
        <v>0</v>
      </c>
      <c r="P303" t="n">
        <v>0</v>
      </c>
      <c r="Q303" t="n">
        <v>0</v>
      </c>
      <c r="R303" s="2" t="inlineStr"/>
    </row>
    <row r="304" ht="15" customHeight="1">
      <c r="A304" t="inlineStr">
        <is>
          <t>A 54924-2024</t>
        </is>
      </c>
      <c r="B304" s="1" t="n">
        <v>45618.71140046296</v>
      </c>
      <c r="C304" s="1" t="n">
        <v>45933</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12293-2022</t>
        </is>
      </c>
      <c r="B305" s="1" t="n">
        <v>44637.56178240741</v>
      </c>
      <c r="C305" s="1" t="n">
        <v>45933</v>
      </c>
      <c r="D305" t="inlineStr">
        <is>
          <t>UPPSALA LÄN</t>
        </is>
      </c>
      <c r="E305" t="inlineStr">
        <is>
          <t>UPPSALA</t>
        </is>
      </c>
      <c r="F305" t="inlineStr">
        <is>
          <t>Kommuner</t>
        </is>
      </c>
      <c r="G305" t="n">
        <v>0.8</v>
      </c>
      <c r="H305" t="n">
        <v>0</v>
      </c>
      <c r="I305" t="n">
        <v>0</v>
      </c>
      <c r="J305" t="n">
        <v>0</v>
      </c>
      <c r="K305" t="n">
        <v>0</v>
      </c>
      <c r="L305" t="n">
        <v>0</v>
      </c>
      <c r="M305" t="n">
        <v>0</v>
      </c>
      <c r="N305" t="n">
        <v>0</v>
      </c>
      <c r="O305" t="n">
        <v>0</v>
      </c>
      <c r="P305" t="n">
        <v>0</v>
      </c>
      <c r="Q305" t="n">
        <v>0</v>
      </c>
      <c r="R305" s="2" t="inlineStr"/>
    </row>
    <row r="306" ht="15" customHeight="1">
      <c r="A306" t="inlineStr">
        <is>
          <t>A 18781-2025</t>
        </is>
      </c>
      <c r="B306" s="1" t="n">
        <v>45763</v>
      </c>
      <c r="C306" s="1" t="n">
        <v>45933</v>
      </c>
      <c r="D306" t="inlineStr">
        <is>
          <t>UPPSALA LÄN</t>
        </is>
      </c>
      <c r="E306" t="inlineStr">
        <is>
          <t>UPPSALA</t>
        </is>
      </c>
      <c r="G306" t="n">
        <v>0.8</v>
      </c>
      <c r="H306" t="n">
        <v>0</v>
      </c>
      <c r="I306" t="n">
        <v>0</v>
      </c>
      <c r="J306" t="n">
        <v>0</v>
      </c>
      <c r="K306" t="n">
        <v>0</v>
      </c>
      <c r="L306" t="n">
        <v>0</v>
      </c>
      <c r="M306" t="n">
        <v>0</v>
      </c>
      <c r="N306" t="n">
        <v>0</v>
      </c>
      <c r="O306" t="n">
        <v>0</v>
      </c>
      <c r="P306" t="n">
        <v>0</v>
      </c>
      <c r="Q306" t="n">
        <v>0</v>
      </c>
      <c r="R306" s="2" t="inlineStr"/>
    </row>
    <row r="307" ht="15" customHeight="1">
      <c r="A307" t="inlineStr">
        <is>
          <t>A 23291-2024</t>
        </is>
      </c>
      <c r="B307" s="1" t="n">
        <v>45453</v>
      </c>
      <c r="C307" s="1" t="n">
        <v>45933</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43855-2023</t>
        </is>
      </c>
      <c r="B308" s="1" t="n">
        <v>45187.61136574074</v>
      </c>
      <c r="C308" s="1" t="n">
        <v>45933</v>
      </c>
      <c r="D308" t="inlineStr">
        <is>
          <t>UPPSALA LÄN</t>
        </is>
      </c>
      <c r="E308" t="inlineStr">
        <is>
          <t>UPPSALA</t>
        </is>
      </c>
      <c r="F308" t="inlineStr">
        <is>
          <t>Bergvik skog öst AB</t>
        </is>
      </c>
      <c r="G308" t="n">
        <v>2</v>
      </c>
      <c r="H308" t="n">
        <v>0</v>
      </c>
      <c r="I308" t="n">
        <v>0</v>
      </c>
      <c r="J308" t="n">
        <v>0</v>
      </c>
      <c r="K308" t="n">
        <v>0</v>
      </c>
      <c r="L308" t="n">
        <v>0</v>
      </c>
      <c r="M308" t="n">
        <v>0</v>
      </c>
      <c r="N308" t="n">
        <v>0</v>
      </c>
      <c r="O308" t="n">
        <v>0</v>
      </c>
      <c r="P308" t="n">
        <v>0</v>
      </c>
      <c r="Q308" t="n">
        <v>0</v>
      </c>
      <c r="R308" s="2" t="inlineStr"/>
    </row>
    <row r="309" ht="15" customHeight="1">
      <c r="A309" t="inlineStr">
        <is>
          <t>A 28121-2025</t>
        </is>
      </c>
      <c r="B309" s="1" t="n">
        <v>45817</v>
      </c>
      <c r="C309" s="1" t="n">
        <v>45933</v>
      </c>
      <c r="D309" t="inlineStr">
        <is>
          <t>UPPSALA LÄN</t>
        </is>
      </c>
      <c r="E309" t="inlineStr">
        <is>
          <t>UPPSALA</t>
        </is>
      </c>
      <c r="G309" t="n">
        <v>5.6</v>
      </c>
      <c r="H309" t="n">
        <v>0</v>
      </c>
      <c r="I309" t="n">
        <v>0</v>
      </c>
      <c r="J309" t="n">
        <v>0</v>
      </c>
      <c r="K309" t="n">
        <v>0</v>
      </c>
      <c r="L309" t="n">
        <v>0</v>
      </c>
      <c r="M309" t="n">
        <v>0</v>
      </c>
      <c r="N309" t="n">
        <v>0</v>
      </c>
      <c r="O309" t="n">
        <v>0</v>
      </c>
      <c r="P309" t="n">
        <v>0</v>
      </c>
      <c r="Q309" t="n">
        <v>0</v>
      </c>
      <c r="R309" s="2" t="inlineStr"/>
    </row>
    <row r="310" ht="15" customHeight="1">
      <c r="A310" t="inlineStr">
        <is>
          <t>A 60735-2024</t>
        </is>
      </c>
      <c r="B310" s="1" t="n">
        <v>45644</v>
      </c>
      <c r="C310" s="1" t="n">
        <v>45933</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58070-2020</t>
        </is>
      </c>
      <c r="B311" s="1" t="n">
        <v>44140</v>
      </c>
      <c r="C311" s="1" t="n">
        <v>45933</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34114-2024</t>
        </is>
      </c>
      <c r="B312" s="1" t="n">
        <v>45524</v>
      </c>
      <c r="C312" s="1" t="n">
        <v>45933</v>
      </c>
      <c r="D312" t="inlineStr">
        <is>
          <t>UPPSALA LÄN</t>
        </is>
      </c>
      <c r="E312" t="inlineStr">
        <is>
          <t>UPPSALA</t>
        </is>
      </c>
      <c r="F312" t="inlineStr">
        <is>
          <t>Allmännings- och besparingsskogar</t>
        </is>
      </c>
      <c r="G312" t="n">
        <v>1.3</v>
      </c>
      <c r="H312" t="n">
        <v>0</v>
      </c>
      <c r="I312" t="n">
        <v>0</v>
      </c>
      <c r="J312" t="n">
        <v>0</v>
      </c>
      <c r="K312" t="n">
        <v>0</v>
      </c>
      <c r="L312" t="n">
        <v>0</v>
      </c>
      <c r="M312" t="n">
        <v>0</v>
      </c>
      <c r="N312" t="n">
        <v>0</v>
      </c>
      <c r="O312" t="n">
        <v>0</v>
      </c>
      <c r="P312" t="n">
        <v>0</v>
      </c>
      <c r="Q312" t="n">
        <v>0</v>
      </c>
      <c r="R312" s="2" t="inlineStr"/>
    </row>
    <row r="313" ht="15" customHeight="1">
      <c r="A313" t="inlineStr">
        <is>
          <t>A 49931-2020</t>
        </is>
      </c>
      <c r="B313" s="1" t="n">
        <v>44109</v>
      </c>
      <c r="C313" s="1" t="n">
        <v>45933</v>
      </c>
      <c r="D313" t="inlineStr">
        <is>
          <t>UPPSALA LÄN</t>
        </is>
      </c>
      <c r="E313" t="inlineStr">
        <is>
          <t>UPPSALA</t>
        </is>
      </c>
      <c r="G313" t="n">
        <v>3.4</v>
      </c>
      <c r="H313" t="n">
        <v>0</v>
      </c>
      <c r="I313" t="n">
        <v>0</v>
      </c>
      <c r="J313" t="n">
        <v>0</v>
      </c>
      <c r="K313" t="n">
        <v>0</v>
      </c>
      <c r="L313" t="n">
        <v>0</v>
      </c>
      <c r="M313" t="n">
        <v>0</v>
      </c>
      <c r="N313" t="n">
        <v>0</v>
      </c>
      <c r="O313" t="n">
        <v>0</v>
      </c>
      <c r="P313" t="n">
        <v>0</v>
      </c>
      <c r="Q313" t="n">
        <v>0</v>
      </c>
      <c r="R313" s="2" t="inlineStr"/>
    </row>
    <row r="314" ht="15" customHeight="1">
      <c r="A314" t="inlineStr">
        <is>
          <t>A 37626-2023</t>
        </is>
      </c>
      <c r="B314" s="1" t="n">
        <v>45159.45748842593</v>
      </c>
      <c r="C314" s="1" t="n">
        <v>45933</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7611-2023</t>
        </is>
      </c>
      <c r="B315" s="1" t="n">
        <v>44967</v>
      </c>
      <c r="C315" s="1" t="n">
        <v>45933</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11173-2024</t>
        </is>
      </c>
      <c r="B316" s="1" t="n">
        <v>45371.50738425926</v>
      </c>
      <c r="C316" s="1" t="n">
        <v>45933</v>
      </c>
      <c r="D316" t="inlineStr">
        <is>
          <t>UPPSALA LÄN</t>
        </is>
      </c>
      <c r="E316" t="inlineStr">
        <is>
          <t>UPPSALA</t>
        </is>
      </c>
      <c r="F316" t="inlineStr">
        <is>
          <t>Bergvik skog öst AB</t>
        </is>
      </c>
      <c r="G316" t="n">
        <v>0.9</v>
      </c>
      <c r="H316" t="n">
        <v>0</v>
      </c>
      <c r="I316" t="n">
        <v>0</v>
      </c>
      <c r="J316" t="n">
        <v>0</v>
      </c>
      <c r="K316" t="n">
        <v>0</v>
      </c>
      <c r="L316" t="n">
        <v>0</v>
      </c>
      <c r="M316" t="n">
        <v>0</v>
      </c>
      <c r="N316" t="n">
        <v>0</v>
      </c>
      <c r="O316" t="n">
        <v>0</v>
      </c>
      <c r="P316" t="n">
        <v>0</v>
      </c>
      <c r="Q316" t="n">
        <v>0</v>
      </c>
      <c r="R316" s="2" t="inlineStr"/>
    </row>
    <row r="317" ht="15" customHeight="1">
      <c r="A317" t="inlineStr">
        <is>
          <t>A 28871-2025</t>
        </is>
      </c>
      <c r="B317" s="1" t="n">
        <v>45820</v>
      </c>
      <c r="C317" s="1" t="n">
        <v>45933</v>
      </c>
      <c r="D317" t="inlineStr">
        <is>
          <t>UPPSALA LÄN</t>
        </is>
      </c>
      <c r="E317" t="inlineStr">
        <is>
          <t>UPPSALA</t>
        </is>
      </c>
      <c r="G317" t="n">
        <v>6.5</v>
      </c>
      <c r="H317" t="n">
        <v>0</v>
      </c>
      <c r="I317" t="n">
        <v>0</v>
      </c>
      <c r="J317" t="n">
        <v>0</v>
      </c>
      <c r="K317" t="n">
        <v>0</v>
      </c>
      <c r="L317" t="n">
        <v>0</v>
      </c>
      <c r="M317" t="n">
        <v>0</v>
      </c>
      <c r="N317" t="n">
        <v>0</v>
      </c>
      <c r="O317" t="n">
        <v>0</v>
      </c>
      <c r="P317" t="n">
        <v>0</v>
      </c>
      <c r="Q317" t="n">
        <v>0</v>
      </c>
      <c r="R317" s="2" t="inlineStr"/>
    </row>
    <row r="318" ht="15" customHeight="1">
      <c r="A318" t="inlineStr">
        <is>
          <t>A 28878-2025</t>
        </is>
      </c>
      <c r="B318" s="1" t="n">
        <v>45820</v>
      </c>
      <c r="C318" s="1" t="n">
        <v>45933</v>
      </c>
      <c r="D318" t="inlineStr">
        <is>
          <t>UPPSALA LÄN</t>
        </is>
      </c>
      <c r="E318" t="inlineStr">
        <is>
          <t>UPPSALA</t>
        </is>
      </c>
      <c r="G318" t="n">
        <v>5.5</v>
      </c>
      <c r="H318" t="n">
        <v>0</v>
      </c>
      <c r="I318" t="n">
        <v>0</v>
      </c>
      <c r="J318" t="n">
        <v>0</v>
      </c>
      <c r="K318" t="n">
        <v>0</v>
      </c>
      <c r="L318" t="n">
        <v>0</v>
      </c>
      <c r="M318" t="n">
        <v>0</v>
      </c>
      <c r="N318" t="n">
        <v>0</v>
      </c>
      <c r="O318" t="n">
        <v>0</v>
      </c>
      <c r="P318" t="n">
        <v>0</v>
      </c>
      <c r="Q318" t="n">
        <v>0</v>
      </c>
      <c r="R318" s="2" t="inlineStr"/>
    </row>
    <row r="319" ht="15" customHeight="1">
      <c r="A319" t="inlineStr">
        <is>
          <t>A 60056-2022</t>
        </is>
      </c>
      <c r="B319" s="1" t="n">
        <v>44909</v>
      </c>
      <c r="C319" s="1" t="n">
        <v>45933</v>
      </c>
      <c r="D319" t="inlineStr">
        <is>
          <t>UPPSALA LÄN</t>
        </is>
      </c>
      <c r="E319" t="inlineStr">
        <is>
          <t>UPPSALA</t>
        </is>
      </c>
      <c r="G319" t="n">
        <v>1.2</v>
      </c>
      <c r="H319" t="n">
        <v>0</v>
      </c>
      <c r="I319" t="n">
        <v>0</v>
      </c>
      <c r="J319" t="n">
        <v>0</v>
      </c>
      <c r="K319" t="n">
        <v>0</v>
      </c>
      <c r="L319" t="n">
        <v>0</v>
      </c>
      <c r="M319" t="n">
        <v>0</v>
      </c>
      <c r="N319" t="n">
        <v>0</v>
      </c>
      <c r="O319" t="n">
        <v>0</v>
      </c>
      <c r="P319" t="n">
        <v>0</v>
      </c>
      <c r="Q319" t="n">
        <v>0</v>
      </c>
      <c r="R319" s="2" t="inlineStr"/>
    </row>
    <row r="320" ht="15" customHeight="1">
      <c r="A320" t="inlineStr">
        <is>
          <t>A 27922-2025</t>
        </is>
      </c>
      <c r="B320" s="1" t="n">
        <v>45817</v>
      </c>
      <c r="C320" s="1" t="n">
        <v>45933</v>
      </c>
      <c r="D320" t="inlineStr">
        <is>
          <t>UPPSALA LÄN</t>
        </is>
      </c>
      <c r="E320" t="inlineStr">
        <is>
          <t>UPPSALA</t>
        </is>
      </c>
      <c r="F320" t="inlineStr">
        <is>
          <t>Övriga Aktiebolag</t>
        </is>
      </c>
      <c r="G320" t="n">
        <v>0.1</v>
      </c>
      <c r="H320" t="n">
        <v>0</v>
      </c>
      <c r="I320" t="n">
        <v>0</v>
      </c>
      <c r="J320" t="n">
        <v>0</v>
      </c>
      <c r="K320" t="n">
        <v>0</v>
      </c>
      <c r="L320" t="n">
        <v>0</v>
      </c>
      <c r="M320" t="n">
        <v>0</v>
      </c>
      <c r="N320" t="n">
        <v>0</v>
      </c>
      <c r="O320" t="n">
        <v>0</v>
      </c>
      <c r="P320" t="n">
        <v>0</v>
      </c>
      <c r="Q320" t="n">
        <v>0</v>
      </c>
      <c r="R320" s="2" t="inlineStr"/>
    </row>
    <row r="321" ht="15" customHeight="1">
      <c r="A321" t="inlineStr">
        <is>
          <t>A 5989-2022</t>
        </is>
      </c>
      <c r="B321" s="1" t="n">
        <v>44599.42277777778</v>
      </c>
      <c r="C321" s="1" t="n">
        <v>45933</v>
      </c>
      <c r="D321" t="inlineStr">
        <is>
          <t>UPPSALA LÄN</t>
        </is>
      </c>
      <c r="E321" t="inlineStr">
        <is>
          <t>UPPSALA</t>
        </is>
      </c>
      <c r="G321" t="n">
        <v>2.8</v>
      </c>
      <c r="H321" t="n">
        <v>0</v>
      </c>
      <c r="I321" t="n">
        <v>0</v>
      </c>
      <c r="J321" t="n">
        <v>0</v>
      </c>
      <c r="K321" t="n">
        <v>0</v>
      </c>
      <c r="L321" t="n">
        <v>0</v>
      </c>
      <c r="M321" t="n">
        <v>0</v>
      </c>
      <c r="N321" t="n">
        <v>0</v>
      </c>
      <c r="O321" t="n">
        <v>0</v>
      </c>
      <c r="P321" t="n">
        <v>0</v>
      </c>
      <c r="Q321" t="n">
        <v>0</v>
      </c>
      <c r="R321" s="2" t="inlineStr"/>
    </row>
    <row r="322" ht="15" customHeight="1">
      <c r="A322" t="inlineStr">
        <is>
          <t>A 5006-2022</t>
        </is>
      </c>
      <c r="B322" s="1" t="n">
        <v>44593</v>
      </c>
      <c r="C322" s="1" t="n">
        <v>45933</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5007-2022</t>
        </is>
      </c>
      <c r="B323" s="1" t="n">
        <v>44593.61355324074</v>
      </c>
      <c r="C323" s="1" t="n">
        <v>45933</v>
      </c>
      <c r="D323" t="inlineStr">
        <is>
          <t>UPPSALA LÄN</t>
        </is>
      </c>
      <c r="E323" t="inlineStr">
        <is>
          <t>UPPSALA</t>
        </is>
      </c>
      <c r="F323" t="inlineStr">
        <is>
          <t>BillerudKorsnäs AB</t>
        </is>
      </c>
      <c r="G323" t="n">
        <v>3.6</v>
      </c>
      <c r="H323" t="n">
        <v>0</v>
      </c>
      <c r="I323" t="n">
        <v>0</v>
      </c>
      <c r="J323" t="n">
        <v>0</v>
      </c>
      <c r="K323" t="n">
        <v>0</v>
      </c>
      <c r="L323" t="n">
        <v>0</v>
      </c>
      <c r="M323" t="n">
        <v>0</v>
      </c>
      <c r="N323" t="n">
        <v>0</v>
      </c>
      <c r="O323" t="n">
        <v>0</v>
      </c>
      <c r="P323" t="n">
        <v>0</v>
      </c>
      <c r="Q323" t="n">
        <v>0</v>
      </c>
      <c r="R323" s="2" t="inlineStr"/>
    </row>
    <row r="324" ht="15" customHeight="1">
      <c r="A324" t="inlineStr">
        <is>
          <t>A 60445-2024</t>
        </is>
      </c>
      <c r="B324" s="1" t="n">
        <v>45643</v>
      </c>
      <c r="C324" s="1" t="n">
        <v>45933</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17232-2022</t>
        </is>
      </c>
      <c r="B325" s="1" t="n">
        <v>44678.3315625</v>
      </c>
      <c r="C325" s="1" t="n">
        <v>45933</v>
      </c>
      <c r="D325" t="inlineStr">
        <is>
          <t>UPPSALA LÄN</t>
        </is>
      </c>
      <c r="E325" t="inlineStr">
        <is>
          <t>UPPSALA</t>
        </is>
      </c>
      <c r="F325" t="inlineStr">
        <is>
          <t>Övriga Aktiebolag</t>
        </is>
      </c>
      <c r="G325" t="n">
        <v>7.4</v>
      </c>
      <c r="H325" t="n">
        <v>0</v>
      </c>
      <c r="I325" t="n">
        <v>0</v>
      </c>
      <c r="J325" t="n">
        <v>0</v>
      </c>
      <c r="K325" t="n">
        <v>0</v>
      </c>
      <c r="L325" t="n">
        <v>0</v>
      </c>
      <c r="M325" t="n">
        <v>0</v>
      </c>
      <c r="N325" t="n">
        <v>0</v>
      </c>
      <c r="O325" t="n">
        <v>0</v>
      </c>
      <c r="P325" t="n">
        <v>0</v>
      </c>
      <c r="Q325" t="n">
        <v>0</v>
      </c>
      <c r="R325" s="2" t="inlineStr"/>
    </row>
    <row r="326" ht="15" customHeight="1">
      <c r="A326" t="inlineStr">
        <is>
          <t>A 8404-2022</t>
        </is>
      </c>
      <c r="B326" s="1" t="n">
        <v>44610</v>
      </c>
      <c r="C326" s="1" t="n">
        <v>45933</v>
      </c>
      <c r="D326" t="inlineStr">
        <is>
          <t>UPPSALA LÄN</t>
        </is>
      </c>
      <c r="E326" t="inlineStr">
        <is>
          <t>UPPSALA</t>
        </is>
      </c>
      <c r="F326" t="inlineStr">
        <is>
          <t>Allmännings- och besparingsskogar</t>
        </is>
      </c>
      <c r="G326" t="n">
        <v>5.4</v>
      </c>
      <c r="H326" t="n">
        <v>0</v>
      </c>
      <c r="I326" t="n">
        <v>0</v>
      </c>
      <c r="J326" t="n">
        <v>0</v>
      </c>
      <c r="K326" t="n">
        <v>0</v>
      </c>
      <c r="L326" t="n">
        <v>0</v>
      </c>
      <c r="M326" t="n">
        <v>0</v>
      </c>
      <c r="N326" t="n">
        <v>0</v>
      </c>
      <c r="O326" t="n">
        <v>0</v>
      </c>
      <c r="P326" t="n">
        <v>0</v>
      </c>
      <c r="Q326" t="n">
        <v>0</v>
      </c>
      <c r="R326" s="2" t="inlineStr"/>
    </row>
    <row r="327" ht="15" customHeight="1">
      <c r="A327" t="inlineStr">
        <is>
          <t>A 53921-2024</t>
        </is>
      </c>
      <c r="B327" s="1" t="n">
        <v>45615</v>
      </c>
      <c r="C327" s="1" t="n">
        <v>45933</v>
      </c>
      <c r="D327" t="inlineStr">
        <is>
          <t>UPPSALA LÄN</t>
        </is>
      </c>
      <c r="E327" t="inlineStr">
        <is>
          <t>UPPSALA</t>
        </is>
      </c>
      <c r="G327" t="n">
        <v>8.1</v>
      </c>
      <c r="H327" t="n">
        <v>0</v>
      </c>
      <c r="I327" t="n">
        <v>0</v>
      </c>
      <c r="J327" t="n">
        <v>0</v>
      </c>
      <c r="K327" t="n">
        <v>0</v>
      </c>
      <c r="L327" t="n">
        <v>0</v>
      </c>
      <c r="M327" t="n">
        <v>0</v>
      </c>
      <c r="N327" t="n">
        <v>0</v>
      </c>
      <c r="O327" t="n">
        <v>0</v>
      </c>
      <c r="P327" t="n">
        <v>0</v>
      </c>
      <c r="Q327" t="n">
        <v>0</v>
      </c>
      <c r="R327" s="2" t="inlineStr"/>
    </row>
    <row r="328" ht="15" customHeight="1">
      <c r="A328" t="inlineStr">
        <is>
          <t>A 11103-2025</t>
        </is>
      </c>
      <c r="B328" s="1" t="n">
        <v>45723</v>
      </c>
      <c r="C328" s="1" t="n">
        <v>45933</v>
      </c>
      <c r="D328" t="inlineStr">
        <is>
          <t>UPPSALA LÄN</t>
        </is>
      </c>
      <c r="E328" t="inlineStr">
        <is>
          <t>UPPSALA</t>
        </is>
      </c>
      <c r="G328" t="n">
        <v>7.9</v>
      </c>
      <c r="H328" t="n">
        <v>0</v>
      </c>
      <c r="I328" t="n">
        <v>0</v>
      </c>
      <c r="J328" t="n">
        <v>0</v>
      </c>
      <c r="K328" t="n">
        <v>0</v>
      </c>
      <c r="L328" t="n">
        <v>0</v>
      </c>
      <c r="M328" t="n">
        <v>0</v>
      </c>
      <c r="N328" t="n">
        <v>0</v>
      </c>
      <c r="O328" t="n">
        <v>0</v>
      </c>
      <c r="P328" t="n">
        <v>0</v>
      </c>
      <c r="Q328" t="n">
        <v>0</v>
      </c>
      <c r="R328" s="2" t="inlineStr"/>
    </row>
    <row r="329" ht="15" customHeight="1">
      <c r="A329" t="inlineStr">
        <is>
          <t>A 7276-2024</t>
        </is>
      </c>
      <c r="B329" s="1" t="n">
        <v>45344</v>
      </c>
      <c r="C329" s="1" t="n">
        <v>45933</v>
      </c>
      <c r="D329" t="inlineStr">
        <is>
          <t>UPPSALA LÄN</t>
        </is>
      </c>
      <c r="E329" t="inlineStr">
        <is>
          <t>UPPSALA</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3040-2023</t>
        </is>
      </c>
      <c r="B330" s="1" t="n">
        <v>44946</v>
      </c>
      <c r="C330" s="1" t="n">
        <v>45933</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18607-2024</t>
        </is>
      </c>
      <c r="B331" s="1" t="n">
        <v>45425.94947916667</v>
      </c>
      <c r="C331" s="1" t="n">
        <v>45933</v>
      </c>
      <c r="D331" t="inlineStr">
        <is>
          <t>UPPSALA LÄN</t>
        </is>
      </c>
      <c r="E331" t="inlineStr">
        <is>
          <t>UPPSALA</t>
        </is>
      </c>
      <c r="G331" t="n">
        <v>4.3</v>
      </c>
      <c r="H331" t="n">
        <v>0</v>
      </c>
      <c r="I331" t="n">
        <v>0</v>
      </c>
      <c r="J331" t="n">
        <v>0</v>
      </c>
      <c r="K331" t="n">
        <v>0</v>
      </c>
      <c r="L331" t="n">
        <v>0</v>
      </c>
      <c r="M331" t="n">
        <v>0</v>
      </c>
      <c r="N331" t="n">
        <v>0</v>
      </c>
      <c r="O331" t="n">
        <v>0</v>
      </c>
      <c r="P331" t="n">
        <v>0</v>
      </c>
      <c r="Q331" t="n">
        <v>0</v>
      </c>
      <c r="R331" s="2" t="inlineStr"/>
    </row>
    <row r="332" ht="15" customHeight="1">
      <c r="A332" t="inlineStr">
        <is>
          <t>A 48571-2023</t>
        </is>
      </c>
      <c r="B332" s="1" t="n">
        <v>45208.46130787037</v>
      </c>
      <c r="C332" s="1" t="n">
        <v>45933</v>
      </c>
      <c r="D332" t="inlineStr">
        <is>
          <t>UPPSALA LÄN</t>
        </is>
      </c>
      <c r="E332" t="inlineStr">
        <is>
          <t>UPPSALA</t>
        </is>
      </c>
      <c r="G332" t="n">
        <v>1.8</v>
      </c>
      <c r="H332" t="n">
        <v>0</v>
      </c>
      <c r="I332" t="n">
        <v>0</v>
      </c>
      <c r="J332" t="n">
        <v>0</v>
      </c>
      <c r="K332" t="n">
        <v>0</v>
      </c>
      <c r="L332" t="n">
        <v>0</v>
      </c>
      <c r="M332" t="n">
        <v>0</v>
      </c>
      <c r="N332" t="n">
        <v>0</v>
      </c>
      <c r="O332" t="n">
        <v>0</v>
      </c>
      <c r="P332" t="n">
        <v>0</v>
      </c>
      <c r="Q332" t="n">
        <v>0</v>
      </c>
      <c r="R332" s="2" t="inlineStr"/>
    </row>
    <row r="333" ht="15" customHeight="1">
      <c r="A333" t="inlineStr">
        <is>
          <t>A 59562-2024</t>
        </is>
      </c>
      <c r="B333" s="1" t="n">
        <v>45638</v>
      </c>
      <c r="C333" s="1" t="n">
        <v>45933</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28876-2025</t>
        </is>
      </c>
      <c r="B334" s="1" t="n">
        <v>45820</v>
      </c>
      <c r="C334" s="1" t="n">
        <v>45933</v>
      </c>
      <c r="D334" t="inlineStr">
        <is>
          <t>UPPSALA LÄN</t>
        </is>
      </c>
      <c r="E334" t="inlineStr">
        <is>
          <t>UPPSALA</t>
        </is>
      </c>
      <c r="G334" t="n">
        <v>4</v>
      </c>
      <c r="H334" t="n">
        <v>0</v>
      </c>
      <c r="I334" t="n">
        <v>0</v>
      </c>
      <c r="J334" t="n">
        <v>0</v>
      </c>
      <c r="K334" t="n">
        <v>0</v>
      </c>
      <c r="L334" t="n">
        <v>0</v>
      </c>
      <c r="M334" t="n">
        <v>0</v>
      </c>
      <c r="N334" t="n">
        <v>0</v>
      </c>
      <c r="O334" t="n">
        <v>0</v>
      </c>
      <c r="P334" t="n">
        <v>0</v>
      </c>
      <c r="Q334" t="n">
        <v>0</v>
      </c>
      <c r="R334" s="2" t="inlineStr"/>
    </row>
    <row r="335" ht="15" customHeight="1">
      <c r="A335" t="inlineStr">
        <is>
          <t>A 668-2025</t>
        </is>
      </c>
      <c r="B335" s="1" t="n">
        <v>45664</v>
      </c>
      <c r="C335" s="1" t="n">
        <v>45933</v>
      </c>
      <c r="D335" t="inlineStr">
        <is>
          <t>UPPSALA LÄN</t>
        </is>
      </c>
      <c r="E335" t="inlineStr">
        <is>
          <t>UPPSALA</t>
        </is>
      </c>
      <c r="F335" t="inlineStr">
        <is>
          <t>Bergvik skog öst AB</t>
        </is>
      </c>
      <c r="G335" t="n">
        <v>4.7</v>
      </c>
      <c r="H335" t="n">
        <v>0</v>
      </c>
      <c r="I335" t="n">
        <v>0</v>
      </c>
      <c r="J335" t="n">
        <v>0</v>
      </c>
      <c r="K335" t="n">
        <v>0</v>
      </c>
      <c r="L335" t="n">
        <v>0</v>
      </c>
      <c r="M335" t="n">
        <v>0</v>
      </c>
      <c r="N335" t="n">
        <v>0</v>
      </c>
      <c r="O335" t="n">
        <v>0</v>
      </c>
      <c r="P335" t="n">
        <v>0</v>
      </c>
      <c r="Q335" t="n">
        <v>0</v>
      </c>
      <c r="R335" s="2" t="inlineStr"/>
    </row>
    <row r="336" ht="15" customHeight="1">
      <c r="A336" t="inlineStr">
        <is>
          <t>A 45592-2023</t>
        </is>
      </c>
      <c r="B336" s="1" t="n">
        <v>45194.63479166666</v>
      </c>
      <c r="C336" s="1" t="n">
        <v>45933</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48588-2022</t>
        </is>
      </c>
      <c r="B337" s="1" t="n">
        <v>44859.36896990741</v>
      </c>
      <c r="C337" s="1" t="n">
        <v>45933</v>
      </c>
      <c r="D337" t="inlineStr">
        <is>
          <t>UPPSALA LÄN</t>
        </is>
      </c>
      <c r="E337" t="inlineStr">
        <is>
          <t>UPPSALA</t>
        </is>
      </c>
      <c r="G337" t="n">
        <v>2</v>
      </c>
      <c r="H337" t="n">
        <v>0</v>
      </c>
      <c r="I337" t="n">
        <v>0</v>
      </c>
      <c r="J337" t="n">
        <v>0</v>
      </c>
      <c r="K337" t="n">
        <v>0</v>
      </c>
      <c r="L337" t="n">
        <v>0</v>
      </c>
      <c r="M337" t="n">
        <v>0</v>
      </c>
      <c r="N337" t="n">
        <v>0</v>
      </c>
      <c r="O337" t="n">
        <v>0</v>
      </c>
      <c r="P337" t="n">
        <v>0</v>
      </c>
      <c r="Q337" t="n">
        <v>0</v>
      </c>
      <c r="R337" s="2" t="inlineStr"/>
    </row>
    <row r="338" ht="15" customHeight="1">
      <c r="A338" t="inlineStr">
        <is>
          <t>A 22996-2021</t>
        </is>
      </c>
      <c r="B338" s="1" t="n">
        <v>44328</v>
      </c>
      <c r="C338" s="1" t="n">
        <v>45933</v>
      </c>
      <c r="D338" t="inlineStr">
        <is>
          <t>UPPSALA LÄN</t>
        </is>
      </c>
      <c r="E338" t="inlineStr">
        <is>
          <t>UPPSALA</t>
        </is>
      </c>
      <c r="F338" t="inlineStr">
        <is>
          <t>Bergvik skog öst AB</t>
        </is>
      </c>
      <c r="G338" t="n">
        <v>3.1</v>
      </c>
      <c r="H338" t="n">
        <v>0</v>
      </c>
      <c r="I338" t="n">
        <v>0</v>
      </c>
      <c r="J338" t="n">
        <v>0</v>
      </c>
      <c r="K338" t="n">
        <v>0</v>
      </c>
      <c r="L338" t="n">
        <v>0</v>
      </c>
      <c r="M338" t="n">
        <v>0</v>
      </c>
      <c r="N338" t="n">
        <v>0</v>
      </c>
      <c r="O338" t="n">
        <v>0</v>
      </c>
      <c r="P338" t="n">
        <v>0</v>
      </c>
      <c r="Q338" t="n">
        <v>0</v>
      </c>
      <c r="R338" s="2" t="inlineStr"/>
    </row>
    <row r="339" ht="15" customHeight="1">
      <c r="A339" t="inlineStr">
        <is>
          <t>A 60698-2024</t>
        </is>
      </c>
      <c r="B339" s="1" t="n">
        <v>45644</v>
      </c>
      <c r="C339" s="1" t="n">
        <v>45933</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44115-2023</t>
        </is>
      </c>
      <c r="B340" s="1" t="n">
        <v>45188</v>
      </c>
      <c r="C340" s="1" t="n">
        <v>45933</v>
      </c>
      <c r="D340" t="inlineStr">
        <is>
          <t>UPPSALA LÄN</t>
        </is>
      </c>
      <c r="E340" t="inlineStr">
        <is>
          <t>UPPSALA</t>
        </is>
      </c>
      <c r="F340" t="inlineStr">
        <is>
          <t>Holmen skog AB</t>
        </is>
      </c>
      <c r="G340" t="n">
        <v>1.8</v>
      </c>
      <c r="H340" t="n">
        <v>0</v>
      </c>
      <c r="I340" t="n">
        <v>0</v>
      </c>
      <c r="J340" t="n">
        <v>0</v>
      </c>
      <c r="K340" t="n">
        <v>0</v>
      </c>
      <c r="L340" t="n">
        <v>0</v>
      </c>
      <c r="M340" t="n">
        <v>0</v>
      </c>
      <c r="N340" t="n">
        <v>0</v>
      </c>
      <c r="O340" t="n">
        <v>0</v>
      </c>
      <c r="P340" t="n">
        <v>0</v>
      </c>
      <c r="Q340" t="n">
        <v>0</v>
      </c>
      <c r="R340" s="2" t="inlineStr"/>
    </row>
    <row r="341" ht="15" customHeight="1">
      <c r="A341" t="inlineStr">
        <is>
          <t>A 43032-2022</t>
        </is>
      </c>
      <c r="B341" s="1" t="n">
        <v>44832</v>
      </c>
      <c r="C341" s="1" t="n">
        <v>45933</v>
      </c>
      <c r="D341" t="inlineStr">
        <is>
          <t>UPPSALA LÄN</t>
        </is>
      </c>
      <c r="E341" t="inlineStr">
        <is>
          <t>UPPSALA</t>
        </is>
      </c>
      <c r="G341" t="n">
        <v>1.5</v>
      </c>
      <c r="H341" t="n">
        <v>0</v>
      </c>
      <c r="I341" t="n">
        <v>0</v>
      </c>
      <c r="J341" t="n">
        <v>0</v>
      </c>
      <c r="K341" t="n">
        <v>0</v>
      </c>
      <c r="L341" t="n">
        <v>0</v>
      </c>
      <c r="M341" t="n">
        <v>0</v>
      </c>
      <c r="N341" t="n">
        <v>0</v>
      </c>
      <c r="O341" t="n">
        <v>0</v>
      </c>
      <c r="P341" t="n">
        <v>0</v>
      </c>
      <c r="Q341" t="n">
        <v>0</v>
      </c>
      <c r="R341" s="2" t="inlineStr"/>
    </row>
    <row r="342" ht="15" customHeight="1">
      <c r="A342" t="inlineStr">
        <is>
          <t>A 29047-2025</t>
        </is>
      </c>
      <c r="B342" s="1" t="n">
        <v>45821.45905092593</v>
      </c>
      <c r="C342" s="1" t="n">
        <v>45933</v>
      </c>
      <c r="D342" t="inlineStr">
        <is>
          <t>UPPSALA LÄN</t>
        </is>
      </c>
      <c r="E342" t="inlineStr">
        <is>
          <t>UPPSALA</t>
        </is>
      </c>
      <c r="G342" t="n">
        <v>1.3</v>
      </c>
      <c r="H342" t="n">
        <v>0</v>
      </c>
      <c r="I342" t="n">
        <v>0</v>
      </c>
      <c r="J342" t="n">
        <v>0</v>
      </c>
      <c r="K342" t="n">
        <v>0</v>
      </c>
      <c r="L342" t="n">
        <v>0</v>
      </c>
      <c r="M342" t="n">
        <v>0</v>
      </c>
      <c r="N342" t="n">
        <v>0</v>
      </c>
      <c r="O342" t="n">
        <v>0</v>
      </c>
      <c r="P342" t="n">
        <v>0</v>
      </c>
      <c r="Q342" t="n">
        <v>0</v>
      </c>
      <c r="R342" s="2" t="inlineStr"/>
    </row>
    <row r="343" ht="15" customHeight="1">
      <c r="A343" t="inlineStr">
        <is>
          <t>A 29287-2025</t>
        </is>
      </c>
      <c r="B343" s="1" t="n">
        <v>45824.43798611111</v>
      </c>
      <c r="C343" s="1" t="n">
        <v>45933</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42124-2021</t>
        </is>
      </c>
      <c r="B344" s="1" t="n">
        <v>44426</v>
      </c>
      <c r="C344" s="1" t="n">
        <v>45933</v>
      </c>
      <c r="D344" t="inlineStr">
        <is>
          <t>UPPSALA LÄN</t>
        </is>
      </c>
      <c r="E344" t="inlineStr">
        <is>
          <t>UPPSALA</t>
        </is>
      </c>
      <c r="G344" t="n">
        <v>6.3</v>
      </c>
      <c r="H344" t="n">
        <v>0</v>
      </c>
      <c r="I344" t="n">
        <v>0</v>
      </c>
      <c r="J344" t="n">
        <v>0</v>
      </c>
      <c r="K344" t="n">
        <v>0</v>
      </c>
      <c r="L344" t="n">
        <v>0</v>
      </c>
      <c r="M344" t="n">
        <v>0</v>
      </c>
      <c r="N344" t="n">
        <v>0</v>
      </c>
      <c r="O344" t="n">
        <v>0</v>
      </c>
      <c r="P344" t="n">
        <v>0</v>
      </c>
      <c r="Q344" t="n">
        <v>0</v>
      </c>
      <c r="R344" s="2" t="inlineStr"/>
    </row>
    <row r="345" ht="15" customHeight="1">
      <c r="A345" t="inlineStr">
        <is>
          <t>A 29030-2025</t>
        </is>
      </c>
      <c r="B345" s="1" t="n">
        <v>45821.44101851852</v>
      </c>
      <c r="C345" s="1" t="n">
        <v>45933</v>
      </c>
      <c r="D345" t="inlineStr">
        <is>
          <t>UPPSALA LÄN</t>
        </is>
      </c>
      <c r="E345" t="inlineStr">
        <is>
          <t>UPPSALA</t>
        </is>
      </c>
      <c r="G345" t="n">
        <v>3.9</v>
      </c>
      <c r="H345" t="n">
        <v>0</v>
      </c>
      <c r="I345" t="n">
        <v>0</v>
      </c>
      <c r="J345" t="n">
        <v>0</v>
      </c>
      <c r="K345" t="n">
        <v>0</v>
      </c>
      <c r="L345" t="n">
        <v>0</v>
      </c>
      <c r="M345" t="n">
        <v>0</v>
      </c>
      <c r="N345" t="n">
        <v>0</v>
      </c>
      <c r="O345" t="n">
        <v>0</v>
      </c>
      <c r="P345" t="n">
        <v>0</v>
      </c>
      <c r="Q345" t="n">
        <v>0</v>
      </c>
      <c r="R345" s="2" t="inlineStr"/>
    </row>
    <row r="346" ht="15" customHeight="1">
      <c r="A346" t="inlineStr">
        <is>
          <t>A 7899-2022</t>
        </is>
      </c>
      <c r="B346" s="1" t="n">
        <v>44608</v>
      </c>
      <c r="C346" s="1" t="n">
        <v>45933</v>
      </c>
      <c r="D346" t="inlineStr">
        <is>
          <t>UPPSALA LÄN</t>
        </is>
      </c>
      <c r="E346" t="inlineStr">
        <is>
          <t>UPPSALA</t>
        </is>
      </c>
      <c r="F346" t="inlineStr">
        <is>
          <t>Övriga Aktiebolag</t>
        </is>
      </c>
      <c r="G346" t="n">
        <v>7.1</v>
      </c>
      <c r="H346" t="n">
        <v>0</v>
      </c>
      <c r="I346" t="n">
        <v>0</v>
      </c>
      <c r="J346" t="n">
        <v>0</v>
      </c>
      <c r="K346" t="n">
        <v>0</v>
      </c>
      <c r="L346" t="n">
        <v>0</v>
      </c>
      <c r="M346" t="n">
        <v>0</v>
      </c>
      <c r="N346" t="n">
        <v>0</v>
      </c>
      <c r="O346" t="n">
        <v>0</v>
      </c>
      <c r="P346" t="n">
        <v>0</v>
      </c>
      <c r="Q346" t="n">
        <v>0</v>
      </c>
      <c r="R346" s="2" t="inlineStr"/>
    </row>
    <row r="347" ht="15" customHeight="1">
      <c r="A347" t="inlineStr">
        <is>
          <t>A 42772-2022</t>
        </is>
      </c>
      <c r="B347" s="1" t="n">
        <v>44832.49594907407</v>
      </c>
      <c r="C347" s="1" t="n">
        <v>45933</v>
      </c>
      <c r="D347" t="inlineStr">
        <is>
          <t>UPPSALA LÄN</t>
        </is>
      </c>
      <c r="E347" t="inlineStr">
        <is>
          <t>UPPSALA</t>
        </is>
      </c>
      <c r="G347" t="n">
        <v>17.7</v>
      </c>
      <c r="H347" t="n">
        <v>0</v>
      </c>
      <c r="I347" t="n">
        <v>0</v>
      </c>
      <c r="J347" t="n">
        <v>0</v>
      </c>
      <c r="K347" t="n">
        <v>0</v>
      </c>
      <c r="L347" t="n">
        <v>0</v>
      </c>
      <c r="M347" t="n">
        <v>0</v>
      </c>
      <c r="N347" t="n">
        <v>0</v>
      </c>
      <c r="O347" t="n">
        <v>0</v>
      </c>
      <c r="P347" t="n">
        <v>0</v>
      </c>
      <c r="Q347" t="n">
        <v>0</v>
      </c>
      <c r="R347" s="2" t="inlineStr"/>
    </row>
    <row r="348" ht="15" customHeight="1">
      <c r="A348" t="inlineStr">
        <is>
          <t>A 54715-2022</t>
        </is>
      </c>
      <c r="B348" s="1" t="n">
        <v>44883</v>
      </c>
      <c r="C348" s="1" t="n">
        <v>45933</v>
      </c>
      <c r="D348" t="inlineStr">
        <is>
          <t>UPPSALA LÄN</t>
        </is>
      </c>
      <c r="E348" t="inlineStr">
        <is>
          <t>UPPSALA</t>
        </is>
      </c>
      <c r="F348" t="inlineStr">
        <is>
          <t>Övriga Aktiebolag</t>
        </is>
      </c>
      <c r="G348" t="n">
        <v>9.5</v>
      </c>
      <c r="H348" t="n">
        <v>0</v>
      </c>
      <c r="I348" t="n">
        <v>0</v>
      </c>
      <c r="J348" t="n">
        <v>0</v>
      </c>
      <c r="K348" t="n">
        <v>0</v>
      </c>
      <c r="L348" t="n">
        <v>0</v>
      </c>
      <c r="M348" t="n">
        <v>0</v>
      </c>
      <c r="N348" t="n">
        <v>0</v>
      </c>
      <c r="O348" t="n">
        <v>0</v>
      </c>
      <c r="P348" t="n">
        <v>0</v>
      </c>
      <c r="Q348" t="n">
        <v>0</v>
      </c>
      <c r="R348" s="2" t="inlineStr"/>
    </row>
    <row r="349" ht="15" customHeight="1">
      <c r="A349" t="inlineStr">
        <is>
          <t>A 47316-2023</t>
        </is>
      </c>
      <c r="B349" s="1" t="n">
        <v>45202.4997337963</v>
      </c>
      <c r="C349" s="1" t="n">
        <v>45933</v>
      </c>
      <c r="D349" t="inlineStr">
        <is>
          <t>UPPSALA LÄN</t>
        </is>
      </c>
      <c r="E349" t="inlineStr">
        <is>
          <t>UPPSALA</t>
        </is>
      </c>
      <c r="F349" t="inlineStr">
        <is>
          <t>Bergvik skog öst AB</t>
        </is>
      </c>
      <c r="G349" t="n">
        <v>0.3</v>
      </c>
      <c r="H349" t="n">
        <v>0</v>
      </c>
      <c r="I349" t="n">
        <v>0</v>
      </c>
      <c r="J349" t="n">
        <v>0</v>
      </c>
      <c r="K349" t="n">
        <v>0</v>
      </c>
      <c r="L349" t="n">
        <v>0</v>
      </c>
      <c r="M349" t="n">
        <v>0</v>
      </c>
      <c r="N349" t="n">
        <v>0</v>
      </c>
      <c r="O349" t="n">
        <v>0</v>
      </c>
      <c r="P349" t="n">
        <v>0</v>
      </c>
      <c r="Q349" t="n">
        <v>0</v>
      </c>
      <c r="R349" s="2" t="inlineStr"/>
    </row>
    <row r="350" ht="15" customHeight="1">
      <c r="A350" t="inlineStr">
        <is>
          <t>A 50954-2022</t>
        </is>
      </c>
      <c r="B350" s="1" t="n">
        <v>44866</v>
      </c>
      <c r="C350" s="1" t="n">
        <v>45933</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6363-2024</t>
        </is>
      </c>
      <c r="B351" s="1" t="n">
        <v>45338.49412037037</v>
      </c>
      <c r="C351" s="1" t="n">
        <v>45933</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10490-2025</t>
        </is>
      </c>
      <c r="B352" s="1" t="n">
        <v>45721.35173611111</v>
      </c>
      <c r="C352" s="1" t="n">
        <v>45933</v>
      </c>
      <c r="D352" t="inlineStr">
        <is>
          <t>UPPSALA LÄN</t>
        </is>
      </c>
      <c r="E352" t="inlineStr">
        <is>
          <t>UPPSALA</t>
        </is>
      </c>
      <c r="G352" t="n">
        <v>1.8</v>
      </c>
      <c r="H352" t="n">
        <v>0</v>
      </c>
      <c r="I352" t="n">
        <v>0</v>
      </c>
      <c r="J352" t="n">
        <v>0</v>
      </c>
      <c r="K352" t="n">
        <v>0</v>
      </c>
      <c r="L352" t="n">
        <v>0</v>
      </c>
      <c r="M352" t="n">
        <v>0</v>
      </c>
      <c r="N352" t="n">
        <v>0</v>
      </c>
      <c r="O352" t="n">
        <v>0</v>
      </c>
      <c r="P352" t="n">
        <v>0</v>
      </c>
      <c r="Q352" t="n">
        <v>0</v>
      </c>
      <c r="R352" s="2" t="inlineStr"/>
    </row>
    <row r="353" ht="15" customHeight="1">
      <c r="A353" t="inlineStr">
        <is>
          <t>A 35906-2023</t>
        </is>
      </c>
      <c r="B353" s="1" t="n">
        <v>45148</v>
      </c>
      <c r="C353" s="1" t="n">
        <v>45933</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35914-2023</t>
        </is>
      </c>
      <c r="B354" s="1" t="n">
        <v>45148</v>
      </c>
      <c r="C354" s="1" t="n">
        <v>45933</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35916-2023</t>
        </is>
      </c>
      <c r="B355" s="1" t="n">
        <v>45148</v>
      </c>
      <c r="C355" s="1" t="n">
        <v>45933</v>
      </c>
      <c r="D355" t="inlineStr">
        <is>
          <t>UPPSALA LÄN</t>
        </is>
      </c>
      <c r="E355" t="inlineStr">
        <is>
          <t>UPPSALA</t>
        </is>
      </c>
      <c r="G355" t="n">
        <v>3.1</v>
      </c>
      <c r="H355" t="n">
        <v>0</v>
      </c>
      <c r="I355" t="n">
        <v>0</v>
      </c>
      <c r="J355" t="n">
        <v>0</v>
      </c>
      <c r="K355" t="n">
        <v>0</v>
      </c>
      <c r="L355" t="n">
        <v>0</v>
      </c>
      <c r="M355" t="n">
        <v>0</v>
      </c>
      <c r="N355" t="n">
        <v>0</v>
      </c>
      <c r="O355" t="n">
        <v>0</v>
      </c>
      <c r="P355" t="n">
        <v>0</v>
      </c>
      <c r="Q355" t="n">
        <v>0</v>
      </c>
      <c r="R355" s="2" t="inlineStr"/>
    </row>
    <row r="356" ht="15" customHeight="1">
      <c r="A356" t="inlineStr">
        <is>
          <t>A 4312-2022</t>
        </is>
      </c>
      <c r="B356" s="1" t="n">
        <v>44588</v>
      </c>
      <c r="C356" s="1" t="n">
        <v>45933</v>
      </c>
      <c r="D356" t="inlineStr">
        <is>
          <t>UPPSALA LÄN</t>
        </is>
      </c>
      <c r="E356" t="inlineStr">
        <is>
          <t>UPPSALA</t>
        </is>
      </c>
      <c r="G356" t="n">
        <v>1.1</v>
      </c>
      <c r="H356" t="n">
        <v>0</v>
      </c>
      <c r="I356" t="n">
        <v>0</v>
      </c>
      <c r="J356" t="n">
        <v>0</v>
      </c>
      <c r="K356" t="n">
        <v>0</v>
      </c>
      <c r="L356" t="n">
        <v>0</v>
      </c>
      <c r="M356" t="n">
        <v>0</v>
      </c>
      <c r="N356" t="n">
        <v>0</v>
      </c>
      <c r="O356" t="n">
        <v>0</v>
      </c>
      <c r="P356" t="n">
        <v>0</v>
      </c>
      <c r="Q356" t="n">
        <v>0</v>
      </c>
      <c r="R356" s="2" t="inlineStr"/>
    </row>
    <row r="357" ht="15" customHeight="1">
      <c r="A357" t="inlineStr">
        <is>
          <t>A 4065-2024</t>
        </is>
      </c>
      <c r="B357" s="1" t="n">
        <v>45323.55914351852</v>
      </c>
      <c r="C357" s="1" t="n">
        <v>45933</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39818-2024</t>
        </is>
      </c>
      <c r="B358" s="1" t="n">
        <v>45552</v>
      </c>
      <c r="C358" s="1" t="n">
        <v>45933</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45662-2023</t>
        </is>
      </c>
      <c r="B359" s="1" t="n">
        <v>45194</v>
      </c>
      <c r="C359" s="1" t="n">
        <v>45933</v>
      </c>
      <c r="D359" t="inlineStr">
        <is>
          <t>UPPSALA LÄN</t>
        </is>
      </c>
      <c r="E359" t="inlineStr">
        <is>
          <t>UPPSALA</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14400-2025</t>
        </is>
      </c>
      <c r="B360" s="1" t="n">
        <v>45741.45114583334</v>
      </c>
      <c r="C360" s="1" t="n">
        <v>45933</v>
      </c>
      <c r="D360" t="inlineStr">
        <is>
          <t>UPPSALA LÄN</t>
        </is>
      </c>
      <c r="E360" t="inlineStr">
        <is>
          <t>UPPSALA</t>
        </is>
      </c>
      <c r="G360" t="n">
        <v>6.6</v>
      </c>
      <c r="H360" t="n">
        <v>0</v>
      </c>
      <c r="I360" t="n">
        <v>0</v>
      </c>
      <c r="J360" t="n">
        <v>0</v>
      </c>
      <c r="K360" t="n">
        <v>0</v>
      </c>
      <c r="L360" t="n">
        <v>0</v>
      </c>
      <c r="M360" t="n">
        <v>0</v>
      </c>
      <c r="N360" t="n">
        <v>0</v>
      </c>
      <c r="O360" t="n">
        <v>0</v>
      </c>
      <c r="P360" t="n">
        <v>0</v>
      </c>
      <c r="Q360" t="n">
        <v>0</v>
      </c>
      <c r="R360" s="2" t="inlineStr"/>
    </row>
    <row r="361" ht="15" customHeight="1">
      <c r="A361" t="inlineStr">
        <is>
          <t>A 29627-2025</t>
        </is>
      </c>
      <c r="B361" s="1" t="n">
        <v>45825.44482638889</v>
      </c>
      <c r="C361" s="1" t="n">
        <v>45933</v>
      </c>
      <c r="D361" t="inlineStr">
        <is>
          <t>UPPSALA LÄN</t>
        </is>
      </c>
      <c r="E361" t="inlineStr">
        <is>
          <t>UPPSALA</t>
        </is>
      </c>
      <c r="F361" t="inlineStr">
        <is>
          <t>Kommuner</t>
        </is>
      </c>
      <c r="G361" t="n">
        <v>1.6</v>
      </c>
      <c r="H361" t="n">
        <v>0</v>
      </c>
      <c r="I361" t="n">
        <v>0</v>
      </c>
      <c r="J361" t="n">
        <v>0</v>
      </c>
      <c r="K361" t="n">
        <v>0</v>
      </c>
      <c r="L361" t="n">
        <v>0</v>
      </c>
      <c r="M361" t="n">
        <v>0</v>
      </c>
      <c r="N361" t="n">
        <v>0</v>
      </c>
      <c r="O361" t="n">
        <v>0</v>
      </c>
      <c r="P361" t="n">
        <v>0</v>
      </c>
      <c r="Q361" t="n">
        <v>0</v>
      </c>
      <c r="R361" s="2" t="inlineStr"/>
    </row>
    <row r="362" ht="15" customHeight="1">
      <c r="A362" t="inlineStr">
        <is>
          <t>A 5663-2023</t>
        </is>
      </c>
      <c r="B362" s="1" t="n">
        <v>44960</v>
      </c>
      <c r="C362" s="1" t="n">
        <v>45933</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5675-2023</t>
        </is>
      </c>
      <c r="B363" s="1" t="n">
        <v>44960.66233796296</v>
      </c>
      <c r="C363" s="1" t="n">
        <v>45933</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30429-2025</t>
        </is>
      </c>
      <c r="B364" s="1" t="n">
        <v>45827.62096064815</v>
      </c>
      <c r="C364" s="1" t="n">
        <v>45933</v>
      </c>
      <c r="D364" t="inlineStr">
        <is>
          <t>UPPSALA LÄN</t>
        </is>
      </c>
      <c r="E364" t="inlineStr">
        <is>
          <t>UPPSALA</t>
        </is>
      </c>
      <c r="G364" t="n">
        <v>0.6</v>
      </c>
      <c r="H364" t="n">
        <v>0</v>
      </c>
      <c r="I364" t="n">
        <v>0</v>
      </c>
      <c r="J364" t="n">
        <v>0</v>
      </c>
      <c r="K364" t="n">
        <v>0</v>
      </c>
      <c r="L364" t="n">
        <v>0</v>
      </c>
      <c r="M364" t="n">
        <v>0</v>
      </c>
      <c r="N364" t="n">
        <v>0</v>
      </c>
      <c r="O364" t="n">
        <v>0</v>
      </c>
      <c r="P364" t="n">
        <v>0</v>
      </c>
      <c r="Q364" t="n">
        <v>0</v>
      </c>
      <c r="R364" s="2" t="inlineStr"/>
    </row>
    <row r="365" ht="15" customHeight="1">
      <c r="A365" t="inlineStr">
        <is>
          <t>A 11409-2025</t>
        </is>
      </c>
      <c r="B365" s="1" t="n">
        <v>45726</v>
      </c>
      <c r="C365" s="1" t="n">
        <v>45933</v>
      </c>
      <c r="D365" t="inlineStr">
        <is>
          <t>UPPSALA LÄN</t>
        </is>
      </c>
      <c r="E365" t="inlineStr">
        <is>
          <t>UPPSALA</t>
        </is>
      </c>
      <c r="G365" t="n">
        <v>0.3</v>
      </c>
      <c r="H365" t="n">
        <v>0</v>
      </c>
      <c r="I365" t="n">
        <v>0</v>
      </c>
      <c r="J365" t="n">
        <v>0</v>
      </c>
      <c r="K365" t="n">
        <v>0</v>
      </c>
      <c r="L365" t="n">
        <v>0</v>
      </c>
      <c r="M365" t="n">
        <v>0</v>
      </c>
      <c r="N365" t="n">
        <v>0</v>
      </c>
      <c r="O365" t="n">
        <v>0</v>
      </c>
      <c r="P365" t="n">
        <v>0</v>
      </c>
      <c r="Q365" t="n">
        <v>0</v>
      </c>
      <c r="R365" s="2" t="inlineStr"/>
    </row>
    <row r="366" ht="15" customHeight="1">
      <c r="A366" t="inlineStr">
        <is>
          <t>A 50463-2024</t>
        </is>
      </c>
      <c r="B366" s="1" t="n">
        <v>45601</v>
      </c>
      <c r="C366" s="1" t="n">
        <v>45933</v>
      </c>
      <c r="D366" t="inlineStr">
        <is>
          <t>UPPSALA LÄN</t>
        </is>
      </c>
      <c r="E366" t="inlineStr">
        <is>
          <t>UPPSALA</t>
        </is>
      </c>
      <c r="F366" t="inlineStr">
        <is>
          <t>Allmännings- och besparingsskogar</t>
        </is>
      </c>
      <c r="G366" t="n">
        <v>12.6</v>
      </c>
      <c r="H366" t="n">
        <v>0</v>
      </c>
      <c r="I366" t="n">
        <v>0</v>
      </c>
      <c r="J366" t="n">
        <v>0</v>
      </c>
      <c r="K366" t="n">
        <v>0</v>
      </c>
      <c r="L366" t="n">
        <v>0</v>
      </c>
      <c r="M366" t="n">
        <v>0</v>
      </c>
      <c r="N366" t="n">
        <v>0</v>
      </c>
      <c r="O366" t="n">
        <v>0</v>
      </c>
      <c r="P366" t="n">
        <v>0</v>
      </c>
      <c r="Q366" t="n">
        <v>0</v>
      </c>
      <c r="R366" s="2" t="inlineStr"/>
    </row>
    <row r="367" ht="15" customHeight="1">
      <c r="A367" t="inlineStr">
        <is>
          <t>A 46069-2022</t>
        </is>
      </c>
      <c r="B367" s="1" t="n">
        <v>44847</v>
      </c>
      <c r="C367" s="1" t="n">
        <v>45933</v>
      </c>
      <c r="D367" t="inlineStr">
        <is>
          <t>UPPSALA LÄN</t>
        </is>
      </c>
      <c r="E367" t="inlineStr">
        <is>
          <t>UPPSALA</t>
        </is>
      </c>
      <c r="G367" t="n">
        <v>2.2</v>
      </c>
      <c r="H367" t="n">
        <v>0</v>
      </c>
      <c r="I367" t="n">
        <v>0</v>
      </c>
      <c r="J367" t="n">
        <v>0</v>
      </c>
      <c r="K367" t="n">
        <v>0</v>
      </c>
      <c r="L367" t="n">
        <v>0</v>
      </c>
      <c r="M367" t="n">
        <v>0</v>
      </c>
      <c r="N367" t="n">
        <v>0</v>
      </c>
      <c r="O367" t="n">
        <v>0</v>
      </c>
      <c r="P367" t="n">
        <v>0</v>
      </c>
      <c r="Q367" t="n">
        <v>0</v>
      </c>
      <c r="R367" s="2" t="inlineStr"/>
    </row>
    <row r="368" ht="15" customHeight="1">
      <c r="A368" t="inlineStr">
        <is>
          <t>A 30437-2025</t>
        </is>
      </c>
      <c r="B368" s="1" t="n">
        <v>45827.64092592592</v>
      </c>
      <c r="C368" s="1" t="n">
        <v>45933</v>
      </c>
      <c r="D368" t="inlineStr">
        <is>
          <t>UPPSALA LÄN</t>
        </is>
      </c>
      <c r="E368" t="inlineStr">
        <is>
          <t>UPPSALA</t>
        </is>
      </c>
      <c r="G368" t="n">
        <v>3.6</v>
      </c>
      <c r="H368" t="n">
        <v>0</v>
      </c>
      <c r="I368" t="n">
        <v>0</v>
      </c>
      <c r="J368" t="n">
        <v>0</v>
      </c>
      <c r="K368" t="n">
        <v>0</v>
      </c>
      <c r="L368" t="n">
        <v>0</v>
      </c>
      <c r="M368" t="n">
        <v>0</v>
      </c>
      <c r="N368" t="n">
        <v>0</v>
      </c>
      <c r="O368" t="n">
        <v>0</v>
      </c>
      <c r="P368" t="n">
        <v>0</v>
      </c>
      <c r="Q368" t="n">
        <v>0</v>
      </c>
      <c r="R368" s="2" t="inlineStr"/>
    </row>
    <row r="369" ht="15" customHeight="1">
      <c r="A369" t="inlineStr">
        <is>
          <t>A 5189-2022</t>
        </is>
      </c>
      <c r="B369" s="1" t="n">
        <v>44594</v>
      </c>
      <c r="C369" s="1" t="n">
        <v>45933</v>
      </c>
      <c r="D369" t="inlineStr">
        <is>
          <t>UPPSALA LÄN</t>
        </is>
      </c>
      <c r="E369" t="inlineStr">
        <is>
          <t>UPPSALA</t>
        </is>
      </c>
      <c r="G369" t="n">
        <v>5.9</v>
      </c>
      <c r="H369" t="n">
        <v>0</v>
      </c>
      <c r="I369" t="n">
        <v>0</v>
      </c>
      <c r="J369" t="n">
        <v>0</v>
      </c>
      <c r="K369" t="n">
        <v>0</v>
      </c>
      <c r="L369" t="n">
        <v>0</v>
      </c>
      <c r="M369" t="n">
        <v>0</v>
      </c>
      <c r="N369" t="n">
        <v>0</v>
      </c>
      <c r="O369" t="n">
        <v>0</v>
      </c>
      <c r="P369" t="n">
        <v>0</v>
      </c>
      <c r="Q369" t="n">
        <v>0</v>
      </c>
      <c r="R369" s="2" t="inlineStr"/>
    </row>
    <row r="370" ht="15" customHeight="1">
      <c r="A370" t="inlineStr">
        <is>
          <t>A 59547-2024</t>
        </is>
      </c>
      <c r="B370" s="1" t="n">
        <v>45638</v>
      </c>
      <c r="C370" s="1" t="n">
        <v>45933</v>
      </c>
      <c r="D370" t="inlineStr">
        <is>
          <t>UPPSALA LÄN</t>
        </is>
      </c>
      <c r="E370" t="inlineStr">
        <is>
          <t>UPPSALA</t>
        </is>
      </c>
      <c r="G370" t="n">
        <v>2.2</v>
      </c>
      <c r="H370" t="n">
        <v>0</v>
      </c>
      <c r="I370" t="n">
        <v>0</v>
      </c>
      <c r="J370" t="n">
        <v>0</v>
      </c>
      <c r="K370" t="n">
        <v>0</v>
      </c>
      <c r="L370" t="n">
        <v>0</v>
      </c>
      <c r="M370" t="n">
        <v>0</v>
      </c>
      <c r="N370" t="n">
        <v>0</v>
      </c>
      <c r="O370" t="n">
        <v>0</v>
      </c>
      <c r="P370" t="n">
        <v>0</v>
      </c>
      <c r="Q370" t="n">
        <v>0</v>
      </c>
      <c r="R370" s="2" t="inlineStr"/>
    </row>
    <row r="371" ht="15" customHeight="1">
      <c r="A371" t="inlineStr">
        <is>
          <t>A 11201-2024</t>
        </is>
      </c>
      <c r="B371" s="1" t="n">
        <v>45371</v>
      </c>
      <c r="C371" s="1" t="n">
        <v>45933</v>
      </c>
      <c r="D371" t="inlineStr">
        <is>
          <t>UPPSALA LÄN</t>
        </is>
      </c>
      <c r="E371" t="inlineStr">
        <is>
          <t>UPPSALA</t>
        </is>
      </c>
      <c r="F371" t="inlineStr">
        <is>
          <t>Kommuner</t>
        </is>
      </c>
      <c r="G371" t="n">
        <v>0.5</v>
      </c>
      <c r="H371" t="n">
        <v>0</v>
      </c>
      <c r="I371" t="n">
        <v>0</v>
      </c>
      <c r="J371" t="n">
        <v>0</v>
      </c>
      <c r="K371" t="n">
        <v>0</v>
      </c>
      <c r="L371" t="n">
        <v>0</v>
      </c>
      <c r="M371" t="n">
        <v>0</v>
      </c>
      <c r="N371" t="n">
        <v>0</v>
      </c>
      <c r="O371" t="n">
        <v>0</v>
      </c>
      <c r="P371" t="n">
        <v>0</v>
      </c>
      <c r="Q371" t="n">
        <v>0</v>
      </c>
      <c r="R371" s="2" t="inlineStr"/>
    </row>
    <row r="372" ht="15" customHeight="1">
      <c r="A372" t="inlineStr">
        <is>
          <t>A 2790-2025</t>
        </is>
      </c>
      <c r="B372" s="1" t="n">
        <v>45677</v>
      </c>
      <c r="C372" s="1" t="n">
        <v>45933</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60444-2023</t>
        </is>
      </c>
      <c r="B373" s="1" t="n">
        <v>45259.52809027778</v>
      </c>
      <c r="C373" s="1" t="n">
        <v>45933</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44815-2023</t>
        </is>
      </c>
      <c r="B374" s="1" t="n">
        <v>45190</v>
      </c>
      <c r="C374" s="1" t="n">
        <v>45933</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46920-2021</t>
        </is>
      </c>
      <c r="B375" s="1" t="n">
        <v>44446</v>
      </c>
      <c r="C375" s="1" t="n">
        <v>45933</v>
      </c>
      <c r="D375" t="inlineStr">
        <is>
          <t>UPPSALA LÄN</t>
        </is>
      </c>
      <c r="E375" t="inlineStr">
        <is>
          <t>UPPSALA</t>
        </is>
      </c>
      <c r="G375" t="n">
        <v>1.6</v>
      </c>
      <c r="H375" t="n">
        <v>0</v>
      </c>
      <c r="I375" t="n">
        <v>0</v>
      </c>
      <c r="J375" t="n">
        <v>0</v>
      </c>
      <c r="K375" t="n">
        <v>0</v>
      </c>
      <c r="L375" t="n">
        <v>0</v>
      </c>
      <c r="M375" t="n">
        <v>0</v>
      </c>
      <c r="N375" t="n">
        <v>0</v>
      </c>
      <c r="O375" t="n">
        <v>0</v>
      </c>
      <c r="P375" t="n">
        <v>0</v>
      </c>
      <c r="Q375" t="n">
        <v>0</v>
      </c>
      <c r="R375" s="2" t="inlineStr"/>
    </row>
    <row r="376" ht="15" customHeight="1">
      <c r="A376" t="inlineStr">
        <is>
          <t>A 30282-2025</t>
        </is>
      </c>
      <c r="B376" s="1" t="n">
        <v>45827.46288194445</v>
      </c>
      <c r="C376" s="1" t="n">
        <v>45933</v>
      </c>
      <c r="D376" t="inlineStr">
        <is>
          <t>UPPSALA LÄN</t>
        </is>
      </c>
      <c r="E376" t="inlineStr">
        <is>
          <t>UPPSALA</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11162-2022</t>
        </is>
      </c>
      <c r="B377" s="1" t="n">
        <v>44629.42423611111</v>
      </c>
      <c r="C377" s="1" t="n">
        <v>45933</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27068-2023</t>
        </is>
      </c>
      <c r="B378" s="1" t="n">
        <v>45096</v>
      </c>
      <c r="C378" s="1" t="n">
        <v>45933</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30583-2025</t>
        </is>
      </c>
      <c r="B379" s="1" t="n">
        <v>45831.42365740741</v>
      </c>
      <c r="C379" s="1" t="n">
        <v>45933</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30585-2025</t>
        </is>
      </c>
      <c r="B380" s="1" t="n">
        <v>45831.42616898148</v>
      </c>
      <c r="C380" s="1" t="n">
        <v>45933</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30839-2025</t>
        </is>
      </c>
      <c r="B381" s="1" t="n">
        <v>45831.73</v>
      </c>
      <c r="C381" s="1" t="n">
        <v>45933</v>
      </c>
      <c r="D381" t="inlineStr">
        <is>
          <t>UPPSALA LÄN</t>
        </is>
      </c>
      <c r="E381" t="inlineStr">
        <is>
          <t>UPPSALA</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74019-2021</t>
        </is>
      </c>
      <c r="B382" s="1" t="n">
        <v>44553</v>
      </c>
      <c r="C382" s="1" t="n">
        <v>45933</v>
      </c>
      <c r="D382" t="inlineStr">
        <is>
          <t>UPPSALA LÄN</t>
        </is>
      </c>
      <c r="E382" t="inlineStr">
        <is>
          <t>UPPSALA</t>
        </is>
      </c>
      <c r="G382" t="n">
        <v>3</v>
      </c>
      <c r="H382" t="n">
        <v>0</v>
      </c>
      <c r="I382" t="n">
        <v>0</v>
      </c>
      <c r="J382" t="n">
        <v>0</v>
      </c>
      <c r="K382" t="n">
        <v>0</v>
      </c>
      <c r="L382" t="n">
        <v>0</v>
      </c>
      <c r="M382" t="n">
        <v>0</v>
      </c>
      <c r="N382" t="n">
        <v>0</v>
      </c>
      <c r="O382" t="n">
        <v>0</v>
      </c>
      <c r="P382" t="n">
        <v>0</v>
      </c>
      <c r="Q382" t="n">
        <v>0</v>
      </c>
      <c r="R382" s="2" t="inlineStr"/>
    </row>
    <row r="383" ht="15" customHeight="1">
      <c r="A383" t="inlineStr">
        <is>
          <t>A 30898-2025</t>
        </is>
      </c>
      <c r="B383" s="1" t="n">
        <v>45832.35590277778</v>
      </c>
      <c r="C383" s="1" t="n">
        <v>45933</v>
      </c>
      <c r="D383" t="inlineStr">
        <is>
          <t>UPPSALA LÄN</t>
        </is>
      </c>
      <c r="E383" t="inlineStr">
        <is>
          <t>UPPSALA</t>
        </is>
      </c>
      <c r="F383" t="inlineStr">
        <is>
          <t>Kyrkan</t>
        </is>
      </c>
      <c r="G383" t="n">
        <v>2.8</v>
      </c>
      <c r="H383" t="n">
        <v>0</v>
      </c>
      <c r="I383" t="n">
        <v>0</v>
      </c>
      <c r="J383" t="n">
        <v>0</v>
      </c>
      <c r="K383" t="n">
        <v>0</v>
      </c>
      <c r="L383" t="n">
        <v>0</v>
      </c>
      <c r="M383" t="n">
        <v>0</v>
      </c>
      <c r="N383" t="n">
        <v>0</v>
      </c>
      <c r="O383" t="n">
        <v>0</v>
      </c>
      <c r="P383" t="n">
        <v>0</v>
      </c>
      <c r="Q383" t="n">
        <v>0</v>
      </c>
      <c r="R383" s="2" t="inlineStr"/>
    </row>
    <row r="384" ht="15" customHeight="1">
      <c r="A384" t="inlineStr">
        <is>
          <t>A 30567-2025</t>
        </is>
      </c>
      <c r="B384" s="1" t="n">
        <v>45831.40671296296</v>
      </c>
      <c r="C384" s="1" t="n">
        <v>45933</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42622-2022</t>
        </is>
      </c>
      <c r="B385" s="1" t="n">
        <v>44831</v>
      </c>
      <c r="C385" s="1" t="n">
        <v>45933</v>
      </c>
      <c r="D385" t="inlineStr">
        <is>
          <t>UPPSALA LÄN</t>
        </is>
      </c>
      <c r="E385" t="inlineStr">
        <is>
          <t>UPPSALA</t>
        </is>
      </c>
      <c r="G385" t="n">
        <v>2.4</v>
      </c>
      <c r="H385" t="n">
        <v>0</v>
      </c>
      <c r="I385" t="n">
        <v>0</v>
      </c>
      <c r="J385" t="n">
        <v>0</v>
      </c>
      <c r="K385" t="n">
        <v>0</v>
      </c>
      <c r="L385" t="n">
        <v>0</v>
      </c>
      <c r="M385" t="n">
        <v>0</v>
      </c>
      <c r="N385" t="n">
        <v>0</v>
      </c>
      <c r="O385" t="n">
        <v>0</v>
      </c>
      <c r="P385" t="n">
        <v>0</v>
      </c>
      <c r="Q385" t="n">
        <v>0</v>
      </c>
      <c r="R385" s="2" t="inlineStr"/>
    </row>
    <row r="386" ht="15" customHeight="1">
      <c r="A386" t="inlineStr">
        <is>
          <t>A 17658-2025</t>
        </is>
      </c>
      <c r="B386" s="1" t="n">
        <v>45758</v>
      </c>
      <c r="C386" s="1" t="n">
        <v>45933</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8132-2024</t>
        </is>
      </c>
      <c r="B387" s="1" t="n">
        <v>45351.54596064815</v>
      </c>
      <c r="C387" s="1" t="n">
        <v>45933</v>
      </c>
      <c r="D387" t="inlineStr">
        <is>
          <t>UPPSALA LÄN</t>
        </is>
      </c>
      <c r="E387" t="inlineStr">
        <is>
          <t>UPPSALA</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45933</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37588-2022</t>
        </is>
      </c>
      <c r="B389" s="1" t="n">
        <v>44809.92752314815</v>
      </c>
      <c r="C389" s="1" t="n">
        <v>45933</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37670-2022</t>
        </is>
      </c>
      <c r="B390" s="1" t="n">
        <v>44810</v>
      </c>
      <c r="C390" s="1" t="n">
        <v>45933</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53906-2023</t>
        </is>
      </c>
      <c r="B391" s="1" t="n">
        <v>45231</v>
      </c>
      <c r="C391" s="1" t="n">
        <v>45933</v>
      </c>
      <c r="D391" t="inlineStr">
        <is>
          <t>UPPSALA LÄN</t>
        </is>
      </c>
      <c r="E391" t="inlineStr">
        <is>
          <t>UPPSALA</t>
        </is>
      </c>
      <c r="G391" t="n">
        <v>13.2</v>
      </c>
      <c r="H391" t="n">
        <v>0</v>
      </c>
      <c r="I391" t="n">
        <v>0</v>
      </c>
      <c r="J391" t="n">
        <v>0</v>
      </c>
      <c r="K391" t="n">
        <v>0</v>
      </c>
      <c r="L391" t="n">
        <v>0</v>
      </c>
      <c r="M391" t="n">
        <v>0</v>
      </c>
      <c r="N391" t="n">
        <v>0</v>
      </c>
      <c r="O391" t="n">
        <v>0</v>
      </c>
      <c r="P391" t="n">
        <v>0</v>
      </c>
      <c r="Q391" t="n">
        <v>0</v>
      </c>
      <c r="R391" s="2" t="inlineStr"/>
    </row>
    <row r="392" ht="15" customHeight="1">
      <c r="A392" t="inlineStr">
        <is>
          <t>A 30897-2025</t>
        </is>
      </c>
      <c r="B392" s="1" t="n">
        <v>45832.35545138889</v>
      </c>
      <c r="C392" s="1" t="n">
        <v>45933</v>
      </c>
      <c r="D392" t="inlineStr">
        <is>
          <t>UPPSALA LÄN</t>
        </is>
      </c>
      <c r="E392" t="inlineStr">
        <is>
          <t>UPPSALA</t>
        </is>
      </c>
      <c r="F392" t="inlineStr">
        <is>
          <t>Kyrkan</t>
        </is>
      </c>
      <c r="G392" t="n">
        <v>2.8</v>
      </c>
      <c r="H392" t="n">
        <v>0</v>
      </c>
      <c r="I392" t="n">
        <v>0</v>
      </c>
      <c r="J392" t="n">
        <v>0</v>
      </c>
      <c r="K392" t="n">
        <v>0</v>
      </c>
      <c r="L392" t="n">
        <v>0</v>
      </c>
      <c r="M392" t="n">
        <v>0</v>
      </c>
      <c r="N392" t="n">
        <v>0</v>
      </c>
      <c r="O392" t="n">
        <v>0</v>
      </c>
      <c r="P392" t="n">
        <v>0</v>
      </c>
      <c r="Q392" t="n">
        <v>0</v>
      </c>
      <c r="R392" s="2" t="inlineStr"/>
    </row>
    <row r="393" ht="15" customHeight="1">
      <c r="A393" t="inlineStr">
        <is>
          <t>A 1975-2022</t>
        </is>
      </c>
      <c r="B393" s="1" t="n">
        <v>44575</v>
      </c>
      <c r="C393" s="1" t="n">
        <v>45933</v>
      </c>
      <c r="D393" t="inlineStr">
        <is>
          <t>UPPSALA LÄN</t>
        </is>
      </c>
      <c r="E393" t="inlineStr">
        <is>
          <t>UPPSALA</t>
        </is>
      </c>
      <c r="G393" t="n">
        <v>3.9</v>
      </c>
      <c r="H393" t="n">
        <v>0</v>
      </c>
      <c r="I393" t="n">
        <v>0</v>
      </c>
      <c r="J393" t="n">
        <v>0</v>
      </c>
      <c r="K393" t="n">
        <v>0</v>
      </c>
      <c r="L393" t="n">
        <v>0</v>
      </c>
      <c r="M393" t="n">
        <v>0</v>
      </c>
      <c r="N393" t="n">
        <v>0</v>
      </c>
      <c r="O393" t="n">
        <v>0</v>
      </c>
      <c r="P393" t="n">
        <v>0</v>
      </c>
      <c r="Q393" t="n">
        <v>0</v>
      </c>
      <c r="R393" s="2" t="inlineStr"/>
    </row>
    <row r="394" ht="15" customHeight="1">
      <c r="A394" t="inlineStr">
        <is>
          <t>A 32276-2021</t>
        </is>
      </c>
      <c r="B394" s="1" t="n">
        <v>44371.49178240741</v>
      </c>
      <c r="C394" s="1" t="n">
        <v>45933</v>
      </c>
      <c r="D394" t="inlineStr">
        <is>
          <t>UPPSALA LÄN</t>
        </is>
      </c>
      <c r="E394" t="inlineStr">
        <is>
          <t>UPPSALA</t>
        </is>
      </c>
      <c r="G394" t="n">
        <v>3.7</v>
      </c>
      <c r="H394" t="n">
        <v>0</v>
      </c>
      <c r="I394" t="n">
        <v>0</v>
      </c>
      <c r="J394" t="n">
        <v>0</v>
      </c>
      <c r="K394" t="n">
        <v>0</v>
      </c>
      <c r="L394" t="n">
        <v>0</v>
      </c>
      <c r="M394" t="n">
        <v>0</v>
      </c>
      <c r="N394" t="n">
        <v>0</v>
      </c>
      <c r="O394" t="n">
        <v>0</v>
      </c>
      <c r="P394" t="n">
        <v>0</v>
      </c>
      <c r="Q394" t="n">
        <v>0</v>
      </c>
      <c r="R394" s="2" t="inlineStr"/>
    </row>
    <row r="395" ht="15" customHeight="1">
      <c r="A395" t="inlineStr">
        <is>
          <t>A 27622-2023</t>
        </is>
      </c>
      <c r="B395" s="1" t="n">
        <v>45097</v>
      </c>
      <c r="C395" s="1" t="n">
        <v>45933</v>
      </c>
      <c r="D395" t="inlineStr">
        <is>
          <t>UPPSALA LÄN</t>
        </is>
      </c>
      <c r="E395" t="inlineStr">
        <is>
          <t>UPPSALA</t>
        </is>
      </c>
      <c r="G395" t="n">
        <v>3.2</v>
      </c>
      <c r="H395" t="n">
        <v>0</v>
      </c>
      <c r="I395" t="n">
        <v>0</v>
      </c>
      <c r="J395" t="n">
        <v>0</v>
      </c>
      <c r="K395" t="n">
        <v>0</v>
      </c>
      <c r="L395" t="n">
        <v>0</v>
      </c>
      <c r="M395" t="n">
        <v>0</v>
      </c>
      <c r="N395" t="n">
        <v>0</v>
      </c>
      <c r="O395" t="n">
        <v>0</v>
      </c>
      <c r="P395" t="n">
        <v>0</v>
      </c>
      <c r="Q395" t="n">
        <v>0</v>
      </c>
      <c r="R395" s="2" t="inlineStr"/>
    </row>
    <row r="396" ht="15" customHeight="1">
      <c r="A396" t="inlineStr">
        <is>
          <t>A 30838-2025</t>
        </is>
      </c>
      <c r="B396" s="1" t="n">
        <v>45831.72686342592</v>
      </c>
      <c r="C396" s="1" t="n">
        <v>45933</v>
      </c>
      <c r="D396" t="inlineStr">
        <is>
          <t>UPPSALA LÄN</t>
        </is>
      </c>
      <c r="E396" t="inlineStr">
        <is>
          <t>UPPSALA</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265-2021</t>
        </is>
      </c>
      <c r="B397" s="1" t="n">
        <v>44200</v>
      </c>
      <c r="C397" s="1" t="n">
        <v>45933</v>
      </c>
      <c r="D397" t="inlineStr">
        <is>
          <t>UPPSALA LÄN</t>
        </is>
      </c>
      <c r="E397" t="inlineStr">
        <is>
          <t>UPPSALA</t>
        </is>
      </c>
      <c r="G397" t="n">
        <v>3.1</v>
      </c>
      <c r="H397" t="n">
        <v>0</v>
      </c>
      <c r="I397" t="n">
        <v>0</v>
      </c>
      <c r="J397" t="n">
        <v>0</v>
      </c>
      <c r="K397" t="n">
        <v>0</v>
      </c>
      <c r="L397" t="n">
        <v>0</v>
      </c>
      <c r="M397" t="n">
        <v>0</v>
      </c>
      <c r="N397" t="n">
        <v>0</v>
      </c>
      <c r="O397" t="n">
        <v>0</v>
      </c>
      <c r="P397" t="n">
        <v>0</v>
      </c>
      <c r="Q397" t="n">
        <v>0</v>
      </c>
      <c r="R397" s="2" t="inlineStr"/>
    </row>
    <row r="398" ht="15" customHeight="1">
      <c r="A398" t="inlineStr">
        <is>
          <t>A 20087-2023</t>
        </is>
      </c>
      <c r="B398" s="1" t="n">
        <v>45054.9271875</v>
      </c>
      <c r="C398" s="1" t="n">
        <v>45933</v>
      </c>
      <c r="D398" t="inlineStr">
        <is>
          <t>UPPSALA LÄN</t>
        </is>
      </c>
      <c r="E398" t="inlineStr">
        <is>
          <t>UPPSALA</t>
        </is>
      </c>
      <c r="G398" t="n">
        <v>1</v>
      </c>
      <c r="H398" t="n">
        <v>0</v>
      </c>
      <c r="I398" t="n">
        <v>0</v>
      </c>
      <c r="J398" t="n">
        <v>0</v>
      </c>
      <c r="K398" t="n">
        <v>0</v>
      </c>
      <c r="L398" t="n">
        <v>0</v>
      </c>
      <c r="M398" t="n">
        <v>0</v>
      </c>
      <c r="N398" t="n">
        <v>0</v>
      </c>
      <c r="O398" t="n">
        <v>0</v>
      </c>
      <c r="P398" t="n">
        <v>0</v>
      </c>
      <c r="Q398" t="n">
        <v>0</v>
      </c>
      <c r="R398" s="2" t="inlineStr"/>
    </row>
    <row r="399" ht="15" customHeight="1">
      <c r="A399" t="inlineStr">
        <is>
          <t>A 56679-2022</t>
        </is>
      </c>
      <c r="B399" s="1" t="n">
        <v>44893</v>
      </c>
      <c r="C399" s="1" t="n">
        <v>45933</v>
      </c>
      <c r="D399" t="inlineStr">
        <is>
          <t>UPPSALA LÄN</t>
        </is>
      </c>
      <c r="E399" t="inlineStr">
        <is>
          <t>UPPSALA</t>
        </is>
      </c>
      <c r="G399" t="n">
        <v>1.4</v>
      </c>
      <c r="H399" t="n">
        <v>0</v>
      </c>
      <c r="I399" t="n">
        <v>0</v>
      </c>
      <c r="J399" t="n">
        <v>0</v>
      </c>
      <c r="K399" t="n">
        <v>0</v>
      </c>
      <c r="L399" t="n">
        <v>0</v>
      </c>
      <c r="M399" t="n">
        <v>0</v>
      </c>
      <c r="N399" t="n">
        <v>0</v>
      </c>
      <c r="O399" t="n">
        <v>0</v>
      </c>
      <c r="P399" t="n">
        <v>0</v>
      </c>
      <c r="Q399" t="n">
        <v>0</v>
      </c>
      <c r="R399" s="2" t="inlineStr"/>
    </row>
    <row r="400" ht="15" customHeight="1">
      <c r="A400" t="inlineStr">
        <is>
          <t>A 10827-2024</t>
        </is>
      </c>
      <c r="B400" s="1" t="n">
        <v>45369</v>
      </c>
      <c r="C400" s="1" t="n">
        <v>45933</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61271-2020</t>
        </is>
      </c>
      <c r="B401" s="1" t="n">
        <v>44155</v>
      </c>
      <c r="C401" s="1" t="n">
        <v>45933</v>
      </c>
      <c r="D401" t="inlineStr">
        <is>
          <t>UPPSALA LÄN</t>
        </is>
      </c>
      <c r="E401" t="inlineStr">
        <is>
          <t>UPPSALA</t>
        </is>
      </c>
      <c r="G401" t="n">
        <v>3.5</v>
      </c>
      <c r="H401" t="n">
        <v>0</v>
      </c>
      <c r="I401" t="n">
        <v>0</v>
      </c>
      <c r="J401" t="n">
        <v>0</v>
      </c>
      <c r="K401" t="n">
        <v>0</v>
      </c>
      <c r="L401" t="n">
        <v>0</v>
      </c>
      <c r="M401" t="n">
        <v>0</v>
      </c>
      <c r="N401" t="n">
        <v>0</v>
      </c>
      <c r="O401" t="n">
        <v>0</v>
      </c>
      <c r="P401" t="n">
        <v>0</v>
      </c>
      <c r="Q401" t="n">
        <v>0</v>
      </c>
      <c r="R401" s="2" t="inlineStr"/>
    </row>
    <row r="402" ht="15" customHeight="1">
      <c r="A402" t="inlineStr">
        <is>
          <t>A 59133-2022</t>
        </is>
      </c>
      <c r="B402" s="1" t="n">
        <v>44904</v>
      </c>
      <c r="C402" s="1" t="n">
        <v>45933</v>
      </c>
      <c r="D402" t="inlineStr">
        <is>
          <t>UPPSALA LÄN</t>
        </is>
      </c>
      <c r="E402" t="inlineStr">
        <is>
          <t>UPPSALA</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15310-2022</t>
        </is>
      </c>
      <c r="B403" s="1" t="n">
        <v>44659</v>
      </c>
      <c r="C403" s="1" t="n">
        <v>45933</v>
      </c>
      <c r="D403" t="inlineStr">
        <is>
          <t>UPPSALA LÄN</t>
        </is>
      </c>
      <c r="E403" t="inlineStr">
        <is>
          <t>UPPSALA</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8162-2025</t>
        </is>
      </c>
      <c r="B404" s="1" t="n">
        <v>45707</v>
      </c>
      <c r="C404" s="1" t="n">
        <v>45933</v>
      </c>
      <c r="D404" t="inlineStr">
        <is>
          <t>UPPSALA LÄN</t>
        </is>
      </c>
      <c r="E404" t="inlineStr">
        <is>
          <t>UPPSALA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37162-2021</t>
        </is>
      </c>
      <c r="B405" s="1" t="n">
        <v>44395</v>
      </c>
      <c r="C405" s="1" t="n">
        <v>45933</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61463-2024</t>
        </is>
      </c>
      <c r="B406" s="1" t="n">
        <v>45646.50211805556</v>
      </c>
      <c r="C406" s="1" t="n">
        <v>45933</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40872-2023</t>
        </is>
      </c>
      <c r="B407" s="1" t="n">
        <v>45173</v>
      </c>
      <c r="C407" s="1" t="n">
        <v>45933</v>
      </c>
      <c r="D407" t="inlineStr">
        <is>
          <t>UPPSALA LÄN</t>
        </is>
      </c>
      <c r="E407" t="inlineStr">
        <is>
          <t>UPPSALA</t>
        </is>
      </c>
      <c r="G407" t="n">
        <v>1.1</v>
      </c>
      <c r="H407" t="n">
        <v>0</v>
      </c>
      <c r="I407" t="n">
        <v>0</v>
      </c>
      <c r="J407" t="n">
        <v>0</v>
      </c>
      <c r="K407" t="n">
        <v>0</v>
      </c>
      <c r="L407" t="n">
        <v>0</v>
      </c>
      <c r="M407" t="n">
        <v>0</v>
      </c>
      <c r="N407" t="n">
        <v>0</v>
      </c>
      <c r="O407" t="n">
        <v>0</v>
      </c>
      <c r="P407" t="n">
        <v>0</v>
      </c>
      <c r="Q407" t="n">
        <v>0</v>
      </c>
      <c r="R407" s="2" t="inlineStr"/>
    </row>
    <row r="408" ht="15" customHeight="1">
      <c r="A408" t="inlineStr">
        <is>
          <t>A 32252-2025</t>
        </is>
      </c>
      <c r="B408" s="1" t="n">
        <v>45835.62752314815</v>
      </c>
      <c r="C408" s="1" t="n">
        <v>45933</v>
      </c>
      <c r="D408" t="inlineStr">
        <is>
          <t>UPPSALA LÄN</t>
        </is>
      </c>
      <c r="E408" t="inlineStr">
        <is>
          <t>UPPSALA</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9201-2024</t>
        </is>
      </c>
      <c r="B409" s="1" t="n">
        <v>45358</v>
      </c>
      <c r="C409" s="1" t="n">
        <v>45933</v>
      </c>
      <c r="D409" t="inlineStr">
        <is>
          <t>UPPSALA LÄN</t>
        </is>
      </c>
      <c r="E409" t="inlineStr">
        <is>
          <t>UPPSALA</t>
        </is>
      </c>
      <c r="F409" t="inlineStr">
        <is>
          <t>Allmännings- och besparingsskogar</t>
        </is>
      </c>
      <c r="G409" t="n">
        <v>6.5</v>
      </c>
      <c r="H409" t="n">
        <v>0</v>
      </c>
      <c r="I409" t="n">
        <v>0</v>
      </c>
      <c r="J409" t="n">
        <v>0</v>
      </c>
      <c r="K409" t="n">
        <v>0</v>
      </c>
      <c r="L409" t="n">
        <v>0</v>
      </c>
      <c r="M409" t="n">
        <v>0</v>
      </c>
      <c r="N409" t="n">
        <v>0</v>
      </c>
      <c r="O409" t="n">
        <v>0</v>
      </c>
      <c r="P409" t="n">
        <v>0</v>
      </c>
      <c r="Q409" t="n">
        <v>0</v>
      </c>
      <c r="R409" s="2" t="inlineStr"/>
    </row>
    <row r="410" ht="15" customHeight="1">
      <c r="A410" t="inlineStr">
        <is>
          <t>A 12507-2024</t>
        </is>
      </c>
      <c r="B410" s="1" t="n">
        <v>45379</v>
      </c>
      <c r="C410" s="1" t="n">
        <v>45933</v>
      </c>
      <c r="D410" t="inlineStr">
        <is>
          <t>UPPSALA LÄN</t>
        </is>
      </c>
      <c r="E410" t="inlineStr">
        <is>
          <t>UPPSALA</t>
        </is>
      </c>
      <c r="G410" t="n">
        <v>4.6</v>
      </c>
      <c r="H410" t="n">
        <v>0</v>
      </c>
      <c r="I410" t="n">
        <v>0</v>
      </c>
      <c r="J410" t="n">
        <v>0</v>
      </c>
      <c r="K410" t="n">
        <v>0</v>
      </c>
      <c r="L410" t="n">
        <v>0</v>
      </c>
      <c r="M410" t="n">
        <v>0</v>
      </c>
      <c r="N410" t="n">
        <v>0</v>
      </c>
      <c r="O410" t="n">
        <v>0</v>
      </c>
      <c r="P410" t="n">
        <v>0</v>
      </c>
      <c r="Q410" t="n">
        <v>0</v>
      </c>
      <c r="R410" s="2" t="inlineStr"/>
    </row>
    <row r="411" ht="15" customHeight="1">
      <c r="A411" t="inlineStr">
        <is>
          <t>A 60702-2022</t>
        </is>
      </c>
      <c r="B411" s="1" t="n">
        <v>44912.29869212963</v>
      </c>
      <c r="C411" s="1" t="n">
        <v>45933</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73531-2021</t>
        </is>
      </c>
      <c r="B412" s="1" t="n">
        <v>44551.76711805556</v>
      </c>
      <c r="C412" s="1" t="n">
        <v>45933</v>
      </c>
      <c r="D412" t="inlineStr">
        <is>
          <t>UPPSALA LÄN</t>
        </is>
      </c>
      <c r="E412" t="inlineStr">
        <is>
          <t>UPPSALA</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5309-2022</t>
        </is>
      </c>
      <c r="B413" s="1" t="n">
        <v>44594</v>
      </c>
      <c r="C413" s="1" t="n">
        <v>45933</v>
      </c>
      <c r="D413" t="inlineStr">
        <is>
          <t>UPPSALA LÄN</t>
        </is>
      </c>
      <c r="E413" t="inlineStr">
        <is>
          <t>UPPSALA</t>
        </is>
      </c>
      <c r="G413" t="n">
        <v>4.8</v>
      </c>
      <c r="H413" t="n">
        <v>0</v>
      </c>
      <c r="I413" t="n">
        <v>0</v>
      </c>
      <c r="J413" t="n">
        <v>0</v>
      </c>
      <c r="K413" t="n">
        <v>0</v>
      </c>
      <c r="L413" t="n">
        <v>0</v>
      </c>
      <c r="M413" t="n">
        <v>0</v>
      </c>
      <c r="N413" t="n">
        <v>0</v>
      </c>
      <c r="O413" t="n">
        <v>0</v>
      </c>
      <c r="P413" t="n">
        <v>0</v>
      </c>
      <c r="Q413" t="n">
        <v>0</v>
      </c>
      <c r="R413" s="2" t="inlineStr"/>
    </row>
    <row r="414" ht="15" customHeight="1">
      <c r="A414" t="inlineStr">
        <is>
          <t>A 45575-2023</t>
        </is>
      </c>
      <c r="B414" s="1" t="n">
        <v>45194.60876157408</v>
      </c>
      <c r="C414" s="1" t="n">
        <v>45933</v>
      </c>
      <c r="D414" t="inlineStr">
        <is>
          <t>UPPSALA LÄN</t>
        </is>
      </c>
      <c r="E414" t="inlineStr">
        <is>
          <t>UPPSALA</t>
        </is>
      </c>
      <c r="F414" t="inlineStr">
        <is>
          <t>Bergvik skog öst AB</t>
        </is>
      </c>
      <c r="G414" t="n">
        <v>2.2</v>
      </c>
      <c r="H414" t="n">
        <v>0</v>
      </c>
      <c r="I414" t="n">
        <v>0</v>
      </c>
      <c r="J414" t="n">
        <v>0</v>
      </c>
      <c r="K414" t="n">
        <v>0</v>
      </c>
      <c r="L414" t="n">
        <v>0</v>
      </c>
      <c r="M414" t="n">
        <v>0</v>
      </c>
      <c r="N414" t="n">
        <v>0</v>
      </c>
      <c r="O414" t="n">
        <v>0</v>
      </c>
      <c r="P414" t="n">
        <v>0</v>
      </c>
      <c r="Q414" t="n">
        <v>0</v>
      </c>
      <c r="R414" s="2" t="inlineStr"/>
    </row>
    <row r="415" ht="15" customHeight="1">
      <c r="A415" t="inlineStr">
        <is>
          <t>A 8933-2022</t>
        </is>
      </c>
      <c r="B415" s="1" t="n">
        <v>44614.69730324074</v>
      </c>
      <c r="C415" s="1" t="n">
        <v>45933</v>
      </c>
      <c r="D415" t="inlineStr">
        <is>
          <t>UPPSALA LÄN</t>
        </is>
      </c>
      <c r="E415" t="inlineStr">
        <is>
          <t>UPPSALA</t>
        </is>
      </c>
      <c r="F415" t="inlineStr">
        <is>
          <t>Holmen skog AB</t>
        </is>
      </c>
      <c r="G415" t="n">
        <v>3.6</v>
      </c>
      <c r="H415" t="n">
        <v>0</v>
      </c>
      <c r="I415" t="n">
        <v>0</v>
      </c>
      <c r="J415" t="n">
        <v>0</v>
      </c>
      <c r="K415" t="n">
        <v>0</v>
      </c>
      <c r="L415" t="n">
        <v>0</v>
      </c>
      <c r="M415" t="n">
        <v>0</v>
      </c>
      <c r="N415" t="n">
        <v>0</v>
      </c>
      <c r="O415" t="n">
        <v>0</v>
      </c>
      <c r="P415" t="n">
        <v>0</v>
      </c>
      <c r="Q415" t="n">
        <v>0</v>
      </c>
      <c r="R415" s="2" t="inlineStr"/>
    </row>
    <row r="416" ht="15" customHeight="1">
      <c r="A416" t="inlineStr">
        <is>
          <t>A 4509-2024</t>
        </is>
      </c>
      <c r="B416" s="1" t="n">
        <v>45327</v>
      </c>
      <c r="C416" s="1" t="n">
        <v>45933</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39865-2022</t>
        </is>
      </c>
      <c r="B417" s="1" t="n">
        <v>44819.62</v>
      </c>
      <c r="C417" s="1" t="n">
        <v>45933</v>
      </c>
      <c r="D417" t="inlineStr">
        <is>
          <t>UPPSALA LÄN</t>
        </is>
      </c>
      <c r="E417" t="inlineStr">
        <is>
          <t>UPPSALA</t>
        </is>
      </c>
      <c r="G417" t="n">
        <v>2.5</v>
      </c>
      <c r="H417" t="n">
        <v>0</v>
      </c>
      <c r="I417" t="n">
        <v>0</v>
      </c>
      <c r="J417" t="n">
        <v>0</v>
      </c>
      <c r="K417" t="n">
        <v>0</v>
      </c>
      <c r="L417" t="n">
        <v>0</v>
      </c>
      <c r="M417" t="n">
        <v>0</v>
      </c>
      <c r="N417" t="n">
        <v>0</v>
      </c>
      <c r="O417" t="n">
        <v>0</v>
      </c>
      <c r="P417" t="n">
        <v>0</v>
      </c>
      <c r="Q417" t="n">
        <v>0</v>
      </c>
      <c r="R417" s="2" t="inlineStr"/>
    </row>
    <row r="418" ht="15" customHeight="1">
      <c r="A418" t="inlineStr">
        <is>
          <t>A 21859-2024</t>
        </is>
      </c>
      <c r="B418" s="1" t="n">
        <v>45443</v>
      </c>
      <c r="C418" s="1" t="n">
        <v>45933</v>
      </c>
      <c r="D418" t="inlineStr">
        <is>
          <t>UPPSALA LÄN</t>
        </is>
      </c>
      <c r="E418" t="inlineStr">
        <is>
          <t>UPPSALA</t>
        </is>
      </c>
      <c r="F418" t="inlineStr">
        <is>
          <t>Kyrkan</t>
        </is>
      </c>
      <c r="G418" t="n">
        <v>1.4</v>
      </c>
      <c r="H418" t="n">
        <v>0</v>
      </c>
      <c r="I418" t="n">
        <v>0</v>
      </c>
      <c r="J418" t="n">
        <v>0</v>
      </c>
      <c r="K418" t="n">
        <v>0</v>
      </c>
      <c r="L418" t="n">
        <v>0</v>
      </c>
      <c r="M418" t="n">
        <v>0</v>
      </c>
      <c r="N418" t="n">
        <v>0</v>
      </c>
      <c r="O418" t="n">
        <v>0</v>
      </c>
      <c r="P418" t="n">
        <v>0</v>
      </c>
      <c r="Q418" t="n">
        <v>0</v>
      </c>
      <c r="R418" s="2" t="inlineStr"/>
    </row>
    <row r="419" ht="15" customHeight="1">
      <c r="A419" t="inlineStr">
        <is>
          <t>A 6930-2023</t>
        </is>
      </c>
      <c r="B419" s="1" t="n">
        <v>44967.55960648148</v>
      </c>
      <c r="C419" s="1" t="n">
        <v>45933</v>
      </c>
      <c r="D419" t="inlineStr">
        <is>
          <t>UPPSALA LÄN</t>
        </is>
      </c>
      <c r="E419" t="inlineStr">
        <is>
          <t>UPPSALA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33939-2024</t>
        </is>
      </c>
      <c r="B420" s="1" t="n">
        <v>45523</v>
      </c>
      <c r="C420" s="1" t="n">
        <v>45933</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20206-2023</t>
        </is>
      </c>
      <c r="B421" s="1" t="n">
        <v>45055</v>
      </c>
      <c r="C421" s="1" t="n">
        <v>45933</v>
      </c>
      <c r="D421" t="inlineStr">
        <is>
          <t>UPPSALA LÄN</t>
        </is>
      </c>
      <c r="E421" t="inlineStr">
        <is>
          <t>UPPSALA</t>
        </is>
      </c>
      <c r="G421" t="n">
        <v>5.7</v>
      </c>
      <c r="H421" t="n">
        <v>0</v>
      </c>
      <c r="I421" t="n">
        <v>0</v>
      </c>
      <c r="J421" t="n">
        <v>0</v>
      </c>
      <c r="K421" t="n">
        <v>0</v>
      </c>
      <c r="L421" t="n">
        <v>0</v>
      </c>
      <c r="M421" t="n">
        <v>0</v>
      </c>
      <c r="N421" t="n">
        <v>0</v>
      </c>
      <c r="O421" t="n">
        <v>0</v>
      </c>
      <c r="P421" t="n">
        <v>0</v>
      </c>
      <c r="Q421" t="n">
        <v>0</v>
      </c>
      <c r="R421" s="2" t="inlineStr"/>
    </row>
    <row r="422" ht="15" customHeight="1">
      <c r="A422" t="inlineStr">
        <is>
          <t>A 43029-2023</t>
        </is>
      </c>
      <c r="B422" s="1" t="n">
        <v>45182</v>
      </c>
      <c r="C422" s="1" t="n">
        <v>45933</v>
      </c>
      <c r="D422" t="inlineStr">
        <is>
          <t>UPPSALA LÄN</t>
        </is>
      </c>
      <c r="E422" t="inlineStr">
        <is>
          <t>UPPSALA</t>
        </is>
      </c>
      <c r="G422" t="n">
        <v>1.1</v>
      </c>
      <c r="H422" t="n">
        <v>0</v>
      </c>
      <c r="I422" t="n">
        <v>0</v>
      </c>
      <c r="J422" t="n">
        <v>0</v>
      </c>
      <c r="K422" t="n">
        <v>0</v>
      </c>
      <c r="L422" t="n">
        <v>0</v>
      </c>
      <c r="M422" t="n">
        <v>0</v>
      </c>
      <c r="N422" t="n">
        <v>0</v>
      </c>
      <c r="O422" t="n">
        <v>0</v>
      </c>
      <c r="P422" t="n">
        <v>0</v>
      </c>
      <c r="Q422" t="n">
        <v>0</v>
      </c>
      <c r="R422" s="2" t="inlineStr"/>
    </row>
    <row r="423" ht="15" customHeight="1">
      <c r="A423" t="inlineStr">
        <is>
          <t>A 43031-2023</t>
        </is>
      </c>
      <c r="B423" s="1" t="n">
        <v>45182</v>
      </c>
      <c r="C423" s="1" t="n">
        <v>45933</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32711-2025</t>
        </is>
      </c>
      <c r="B424" s="1" t="n">
        <v>45839</v>
      </c>
      <c r="C424" s="1" t="n">
        <v>45933</v>
      </c>
      <c r="D424" t="inlineStr">
        <is>
          <t>UPPSALA LÄN</t>
        </is>
      </c>
      <c r="E424" t="inlineStr">
        <is>
          <t>UPPSALA</t>
        </is>
      </c>
      <c r="G424" t="n">
        <v>0.8</v>
      </c>
      <c r="H424" t="n">
        <v>0</v>
      </c>
      <c r="I424" t="n">
        <v>0</v>
      </c>
      <c r="J424" t="n">
        <v>0</v>
      </c>
      <c r="K424" t="n">
        <v>0</v>
      </c>
      <c r="L424" t="n">
        <v>0</v>
      </c>
      <c r="M424" t="n">
        <v>0</v>
      </c>
      <c r="N424" t="n">
        <v>0</v>
      </c>
      <c r="O424" t="n">
        <v>0</v>
      </c>
      <c r="P424" t="n">
        <v>0</v>
      </c>
      <c r="Q424" t="n">
        <v>0</v>
      </c>
      <c r="R424" s="2" t="inlineStr"/>
      <c r="U424">
        <f>HYPERLINK("https://klasma.github.io/Logging_0380/knärot/A 32711-2025 karta knärot.png", "A 32711-2025")</f>
        <v/>
      </c>
      <c r="V424">
        <f>HYPERLINK("https://klasma.github.io/Logging_0380/klagomål/A 32711-2025 FSC-klagomål.docx", "A 32711-2025")</f>
        <v/>
      </c>
      <c r="W424">
        <f>HYPERLINK("https://klasma.github.io/Logging_0380/klagomålsmail/A 32711-2025 FSC-klagomål mail.docx", "A 32711-2025")</f>
        <v/>
      </c>
      <c r="X424">
        <f>HYPERLINK("https://klasma.github.io/Logging_0380/tillsyn/A 32711-2025 tillsynsbegäran.docx", "A 32711-2025")</f>
        <v/>
      </c>
      <c r="Y424">
        <f>HYPERLINK("https://klasma.github.io/Logging_0380/tillsynsmail/A 32711-2025 tillsynsbegäran mail.docx", "A 32711-2025")</f>
        <v/>
      </c>
    </row>
    <row r="425" ht="15" customHeight="1">
      <c r="A425" t="inlineStr">
        <is>
          <t>A 10612-2025</t>
        </is>
      </c>
      <c r="B425" s="1" t="n">
        <v>45721.60894675926</v>
      </c>
      <c r="C425" s="1" t="n">
        <v>45933</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59489-2023</t>
        </is>
      </c>
      <c r="B426" s="1" t="n">
        <v>45254</v>
      </c>
      <c r="C426" s="1" t="n">
        <v>45933</v>
      </c>
      <c r="D426" t="inlineStr">
        <is>
          <t>UPPSALA LÄN</t>
        </is>
      </c>
      <c r="E426" t="inlineStr">
        <is>
          <t>UPPSALA</t>
        </is>
      </c>
      <c r="G426" t="n">
        <v>6.5</v>
      </c>
      <c r="H426" t="n">
        <v>0</v>
      </c>
      <c r="I426" t="n">
        <v>0</v>
      </c>
      <c r="J426" t="n">
        <v>0</v>
      </c>
      <c r="K426" t="n">
        <v>0</v>
      </c>
      <c r="L426" t="n">
        <v>0</v>
      </c>
      <c r="M426" t="n">
        <v>0</v>
      </c>
      <c r="N426" t="n">
        <v>0</v>
      </c>
      <c r="O426" t="n">
        <v>0</v>
      </c>
      <c r="P426" t="n">
        <v>0</v>
      </c>
      <c r="Q426" t="n">
        <v>0</v>
      </c>
      <c r="R426" s="2" t="inlineStr"/>
    </row>
    <row r="427" ht="15" customHeight="1">
      <c r="A427" t="inlineStr">
        <is>
          <t>A 26762-2023</t>
        </is>
      </c>
      <c r="B427" s="1" t="n">
        <v>45093.46706018518</v>
      </c>
      <c r="C427" s="1" t="n">
        <v>45933</v>
      </c>
      <c r="D427" t="inlineStr">
        <is>
          <t>UPPSALA LÄN</t>
        </is>
      </c>
      <c r="E427" t="inlineStr">
        <is>
          <t>UPPSALA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53900-2023</t>
        </is>
      </c>
      <c r="B428" s="1" t="n">
        <v>45231.54601851852</v>
      </c>
      <c r="C428" s="1" t="n">
        <v>45933</v>
      </c>
      <c r="D428" t="inlineStr">
        <is>
          <t>UPPSALA LÄN</t>
        </is>
      </c>
      <c r="E428" t="inlineStr">
        <is>
          <t>UPPSALA</t>
        </is>
      </c>
      <c r="G428" t="n">
        <v>2.1</v>
      </c>
      <c r="H428" t="n">
        <v>0</v>
      </c>
      <c r="I428" t="n">
        <v>0</v>
      </c>
      <c r="J428" t="n">
        <v>0</v>
      </c>
      <c r="K428" t="n">
        <v>0</v>
      </c>
      <c r="L428" t="n">
        <v>0</v>
      </c>
      <c r="M428" t="n">
        <v>0</v>
      </c>
      <c r="N428" t="n">
        <v>0</v>
      </c>
      <c r="O428" t="n">
        <v>0</v>
      </c>
      <c r="P428" t="n">
        <v>0</v>
      </c>
      <c r="Q428" t="n">
        <v>0</v>
      </c>
      <c r="R428" s="2" t="inlineStr"/>
    </row>
    <row r="429" ht="15" customHeight="1">
      <c r="A429" t="inlineStr">
        <is>
          <t>A 32923-2025</t>
        </is>
      </c>
      <c r="B429" s="1" t="n">
        <v>45839</v>
      </c>
      <c r="C429" s="1" t="n">
        <v>45933</v>
      </c>
      <c r="D429" t="inlineStr">
        <is>
          <t>UPPSALA LÄN</t>
        </is>
      </c>
      <c r="E429" t="inlineStr">
        <is>
          <t>UPPSALA</t>
        </is>
      </c>
      <c r="G429" t="n">
        <v>5.1</v>
      </c>
      <c r="H429" t="n">
        <v>0</v>
      </c>
      <c r="I429" t="n">
        <v>0</v>
      </c>
      <c r="J429" t="n">
        <v>0</v>
      </c>
      <c r="K429" t="n">
        <v>0</v>
      </c>
      <c r="L429" t="n">
        <v>0</v>
      </c>
      <c r="M429" t="n">
        <v>0</v>
      </c>
      <c r="N429" t="n">
        <v>0</v>
      </c>
      <c r="O429" t="n">
        <v>0</v>
      </c>
      <c r="P429" t="n">
        <v>0</v>
      </c>
      <c r="Q429" t="n">
        <v>0</v>
      </c>
      <c r="R429" s="2" t="inlineStr"/>
    </row>
    <row r="430" ht="15" customHeight="1">
      <c r="A430" t="inlineStr">
        <is>
          <t>A 28958-2025</t>
        </is>
      </c>
      <c r="B430" s="1" t="n">
        <v>45821.31292824074</v>
      </c>
      <c r="C430" s="1" t="n">
        <v>45933</v>
      </c>
      <c r="D430" t="inlineStr">
        <is>
          <t>UPPSALA LÄN</t>
        </is>
      </c>
      <c r="E430" t="inlineStr">
        <is>
          <t>UPPSALA</t>
        </is>
      </c>
      <c r="G430" t="n">
        <v>4.6</v>
      </c>
      <c r="H430" t="n">
        <v>0</v>
      </c>
      <c r="I430" t="n">
        <v>0</v>
      </c>
      <c r="J430" t="n">
        <v>0</v>
      </c>
      <c r="K430" t="n">
        <v>0</v>
      </c>
      <c r="L430" t="n">
        <v>0</v>
      </c>
      <c r="M430" t="n">
        <v>0</v>
      </c>
      <c r="N430" t="n">
        <v>0</v>
      </c>
      <c r="O430" t="n">
        <v>0</v>
      </c>
      <c r="P430" t="n">
        <v>0</v>
      </c>
      <c r="Q430" t="n">
        <v>0</v>
      </c>
      <c r="R430" s="2" t="inlineStr"/>
    </row>
    <row r="431" ht="15" customHeight="1">
      <c r="A431" t="inlineStr">
        <is>
          <t>A 33272-2025</t>
        </is>
      </c>
      <c r="B431" s="1" t="n">
        <v>45840.68518518518</v>
      </c>
      <c r="C431" s="1" t="n">
        <v>45933</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33261-2025</t>
        </is>
      </c>
      <c r="B432" s="1" t="n">
        <v>45840</v>
      </c>
      <c r="C432" s="1" t="n">
        <v>45933</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55220-2020</t>
        </is>
      </c>
      <c r="B433" s="1" t="n">
        <v>44130</v>
      </c>
      <c r="C433" s="1" t="n">
        <v>45933</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47287-2023</t>
        </is>
      </c>
      <c r="B434" s="1" t="n">
        <v>45202</v>
      </c>
      <c r="C434" s="1" t="n">
        <v>45933</v>
      </c>
      <c r="D434" t="inlineStr">
        <is>
          <t>UPPSALA LÄN</t>
        </is>
      </c>
      <c r="E434" t="inlineStr">
        <is>
          <t>UPPSALA</t>
        </is>
      </c>
      <c r="F434" t="inlineStr">
        <is>
          <t>Holmen skog AB</t>
        </is>
      </c>
      <c r="G434" t="n">
        <v>0.4</v>
      </c>
      <c r="H434" t="n">
        <v>0</v>
      </c>
      <c r="I434" t="n">
        <v>0</v>
      </c>
      <c r="J434" t="n">
        <v>0</v>
      </c>
      <c r="K434" t="n">
        <v>0</v>
      </c>
      <c r="L434" t="n">
        <v>0</v>
      </c>
      <c r="M434" t="n">
        <v>0</v>
      </c>
      <c r="N434" t="n">
        <v>0</v>
      </c>
      <c r="O434" t="n">
        <v>0</v>
      </c>
      <c r="P434" t="n">
        <v>0</v>
      </c>
      <c r="Q434" t="n">
        <v>0</v>
      </c>
      <c r="R434" s="2" t="inlineStr"/>
    </row>
    <row r="435" ht="15" customHeight="1">
      <c r="A435" t="inlineStr">
        <is>
          <t>A 33571-2025</t>
        </is>
      </c>
      <c r="B435" s="1" t="n">
        <v>45841.5847337963</v>
      </c>
      <c r="C435" s="1" t="n">
        <v>45933</v>
      </c>
      <c r="D435" t="inlineStr">
        <is>
          <t>UPPSALA LÄN</t>
        </is>
      </c>
      <c r="E435" t="inlineStr">
        <is>
          <t>UPPSALA</t>
        </is>
      </c>
      <c r="G435" t="n">
        <v>1.6</v>
      </c>
      <c r="H435" t="n">
        <v>0</v>
      </c>
      <c r="I435" t="n">
        <v>0</v>
      </c>
      <c r="J435" t="n">
        <v>0</v>
      </c>
      <c r="K435" t="n">
        <v>0</v>
      </c>
      <c r="L435" t="n">
        <v>0</v>
      </c>
      <c r="M435" t="n">
        <v>0</v>
      </c>
      <c r="N435" t="n">
        <v>0</v>
      </c>
      <c r="O435" t="n">
        <v>0</v>
      </c>
      <c r="P435" t="n">
        <v>0</v>
      </c>
      <c r="Q435" t="n">
        <v>0</v>
      </c>
      <c r="R435" s="2" t="inlineStr"/>
    </row>
    <row r="436" ht="15" customHeight="1">
      <c r="A436" t="inlineStr">
        <is>
          <t>A 60781-2023</t>
        </is>
      </c>
      <c r="B436" s="1" t="n">
        <v>45259</v>
      </c>
      <c r="C436" s="1" t="n">
        <v>45933</v>
      </c>
      <c r="D436" t="inlineStr">
        <is>
          <t>UPPSALA LÄN</t>
        </is>
      </c>
      <c r="E436" t="inlineStr">
        <is>
          <t>UPPSALA</t>
        </is>
      </c>
      <c r="G436" t="n">
        <v>4.1</v>
      </c>
      <c r="H436" t="n">
        <v>0</v>
      </c>
      <c r="I436" t="n">
        <v>0</v>
      </c>
      <c r="J436" t="n">
        <v>0</v>
      </c>
      <c r="K436" t="n">
        <v>0</v>
      </c>
      <c r="L436" t="n">
        <v>0</v>
      </c>
      <c r="M436" t="n">
        <v>0</v>
      </c>
      <c r="N436" t="n">
        <v>0</v>
      </c>
      <c r="O436" t="n">
        <v>0</v>
      </c>
      <c r="P436" t="n">
        <v>0</v>
      </c>
      <c r="Q436" t="n">
        <v>0</v>
      </c>
      <c r="R436" s="2" t="inlineStr"/>
    </row>
    <row r="437" ht="15" customHeight="1">
      <c r="A437" t="inlineStr">
        <is>
          <t>A 60714-2023</t>
        </is>
      </c>
      <c r="B437" s="1" t="n">
        <v>45259</v>
      </c>
      <c r="C437" s="1" t="n">
        <v>45933</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16434-2024</t>
        </is>
      </c>
      <c r="B438" s="1" t="n">
        <v>45407.69575231482</v>
      </c>
      <c r="C438" s="1" t="n">
        <v>45933</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44080-2023</t>
        </is>
      </c>
      <c r="B439" s="1" t="n">
        <v>45188.42052083334</v>
      </c>
      <c r="C439" s="1" t="n">
        <v>45933</v>
      </c>
      <c r="D439" t="inlineStr">
        <is>
          <t>UPPSALA LÄN</t>
        </is>
      </c>
      <c r="E439" t="inlineStr">
        <is>
          <t>UPPSALA</t>
        </is>
      </c>
      <c r="G439" t="n">
        <v>13.3</v>
      </c>
      <c r="H439" t="n">
        <v>0</v>
      </c>
      <c r="I439" t="n">
        <v>0</v>
      </c>
      <c r="J439" t="n">
        <v>0</v>
      </c>
      <c r="K439" t="n">
        <v>0</v>
      </c>
      <c r="L439" t="n">
        <v>0</v>
      </c>
      <c r="M439" t="n">
        <v>0</v>
      </c>
      <c r="N439" t="n">
        <v>0</v>
      </c>
      <c r="O439" t="n">
        <v>0</v>
      </c>
      <c r="P439" t="n">
        <v>0</v>
      </c>
      <c r="Q439" t="n">
        <v>0</v>
      </c>
      <c r="R439" s="2" t="inlineStr"/>
    </row>
    <row r="440" ht="15" customHeight="1">
      <c r="A440" t="inlineStr">
        <is>
          <t>A 33964-2025</t>
        </is>
      </c>
      <c r="B440" s="1" t="n">
        <v>45842.74049768518</v>
      </c>
      <c r="C440" s="1" t="n">
        <v>45933</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53963-2023</t>
        </is>
      </c>
      <c r="B441" s="1" t="n">
        <v>45231.62840277778</v>
      </c>
      <c r="C441" s="1" t="n">
        <v>45933</v>
      </c>
      <c r="D441" t="inlineStr">
        <is>
          <t>UPPSALA LÄN</t>
        </is>
      </c>
      <c r="E441" t="inlineStr">
        <is>
          <t>UPPSALA</t>
        </is>
      </c>
      <c r="G441" t="n">
        <v>1.9</v>
      </c>
      <c r="H441" t="n">
        <v>0</v>
      </c>
      <c r="I441" t="n">
        <v>0</v>
      </c>
      <c r="J441" t="n">
        <v>0</v>
      </c>
      <c r="K441" t="n">
        <v>0</v>
      </c>
      <c r="L441" t="n">
        <v>0</v>
      </c>
      <c r="M441" t="n">
        <v>0</v>
      </c>
      <c r="N441" t="n">
        <v>0</v>
      </c>
      <c r="O441" t="n">
        <v>0</v>
      </c>
      <c r="P441" t="n">
        <v>0</v>
      </c>
      <c r="Q441" t="n">
        <v>0</v>
      </c>
      <c r="R441" s="2" t="inlineStr"/>
    </row>
    <row r="442" ht="15" customHeight="1">
      <c r="A442" t="inlineStr">
        <is>
          <t>A 3314-2025</t>
        </is>
      </c>
      <c r="B442" s="1" t="n">
        <v>45679</v>
      </c>
      <c r="C442" s="1" t="n">
        <v>45933</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64855-2021</t>
        </is>
      </c>
      <c r="B443" s="1" t="n">
        <v>44512</v>
      </c>
      <c r="C443" s="1" t="n">
        <v>45933</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62352-2020</t>
        </is>
      </c>
      <c r="B444" s="1" t="n">
        <v>44159</v>
      </c>
      <c r="C444" s="1" t="n">
        <v>45933</v>
      </c>
      <c r="D444" t="inlineStr">
        <is>
          <t>UPPSALA LÄN</t>
        </is>
      </c>
      <c r="E444" t="inlineStr">
        <is>
          <t>UPPSALA</t>
        </is>
      </c>
      <c r="F444" t="inlineStr">
        <is>
          <t>Allmännings- och besparingsskogar</t>
        </is>
      </c>
      <c r="G444" t="n">
        <v>12.9</v>
      </c>
      <c r="H444" t="n">
        <v>0</v>
      </c>
      <c r="I444" t="n">
        <v>0</v>
      </c>
      <c r="J444" t="n">
        <v>0</v>
      </c>
      <c r="K444" t="n">
        <v>0</v>
      </c>
      <c r="L444" t="n">
        <v>0</v>
      </c>
      <c r="M444" t="n">
        <v>0</v>
      </c>
      <c r="N444" t="n">
        <v>0</v>
      </c>
      <c r="O444" t="n">
        <v>0</v>
      </c>
      <c r="P444" t="n">
        <v>0</v>
      </c>
      <c r="Q444" t="n">
        <v>0</v>
      </c>
      <c r="R444" s="2" t="inlineStr"/>
    </row>
    <row r="445" ht="15" customHeight="1">
      <c r="A445" t="inlineStr">
        <is>
          <t>A 2897-2025</t>
        </is>
      </c>
      <c r="B445" s="1" t="n">
        <v>45677</v>
      </c>
      <c r="C445" s="1" t="n">
        <v>45933</v>
      </c>
      <c r="D445" t="inlineStr">
        <is>
          <t>UPPSALA LÄN</t>
        </is>
      </c>
      <c r="E445" t="inlineStr">
        <is>
          <t>UPPSALA</t>
        </is>
      </c>
      <c r="G445" t="n">
        <v>2.7</v>
      </c>
      <c r="H445" t="n">
        <v>0</v>
      </c>
      <c r="I445" t="n">
        <v>0</v>
      </c>
      <c r="J445" t="n">
        <v>0</v>
      </c>
      <c r="K445" t="n">
        <v>0</v>
      </c>
      <c r="L445" t="n">
        <v>0</v>
      </c>
      <c r="M445" t="n">
        <v>0</v>
      </c>
      <c r="N445" t="n">
        <v>0</v>
      </c>
      <c r="O445" t="n">
        <v>0</v>
      </c>
      <c r="P445" t="n">
        <v>0</v>
      </c>
      <c r="Q445" t="n">
        <v>0</v>
      </c>
      <c r="R445" s="2" t="inlineStr"/>
    </row>
    <row r="446" ht="15" customHeight="1">
      <c r="A446" t="inlineStr">
        <is>
          <t>A 18625-2025</t>
        </is>
      </c>
      <c r="B446" s="1" t="n">
        <v>45763.52744212963</v>
      </c>
      <c r="C446" s="1" t="n">
        <v>45933</v>
      </c>
      <c r="D446" t="inlineStr">
        <is>
          <t>UPPSALA LÄN</t>
        </is>
      </c>
      <c r="E446" t="inlineStr">
        <is>
          <t>UPPSALA</t>
        </is>
      </c>
      <c r="G446" t="n">
        <v>1.8</v>
      </c>
      <c r="H446" t="n">
        <v>0</v>
      </c>
      <c r="I446" t="n">
        <v>0</v>
      </c>
      <c r="J446" t="n">
        <v>0</v>
      </c>
      <c r="K446" t="n">
        <v>0</v>
      </c>
      <c r="L446" t="n">
        <v>0</v>
      </c>
      <c r="M446" t="n">
        <v>0</v>
      </c>
      <c r="N446" t="n">
        <v>0</v>
      </c>
      <c r="O446" t="n">
        <v>0</v>
      </c>
      <c r="P446" t="n">
        <v>0</v>
      </c>
      <c r="Q446" t="n">
        <v>0</v>
      </c>
      <c r="R446" s="2" t="inlineStr"/>
    </row>
    <row r="447" ht="15" customHeight="1">
      <c r="A447" t="inlineStr">
        <is>
          <t>A 36478-2023</t>
        </is>
      </c>
      <c r="B447" s="1" t="n">
        <v>45152</v>
      </c>
      <c r="C447" s="1" t="n">
        <v>45933</v>
      </c>
      <c r="D447" t="inlineStr">
        <is>
          <t>UPPSALA LÄN</t>
        </is>
      </c>
      <c r="E447" t="inlineStr">
        <is>
          <t>UPPSALA</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13644-2024</t>
        </is>
      </c>
      <c r="B448" s="1" t="n">
        <v>45390</v>
      </c>
      <c r="C448" s="1" t="n">
        <v>45933</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9592-2022</t>
        </is>
      </c>
      <c r="B449" s="1" t="n">
        <v>44617.48311342593</v>
      </c>
      <c r="C449" s="1" t="n">
        <v>45933</v>
      </c>
      <c r="D449" t="inlineStr">
        <is>
          <t>UPPSALA LÄN</t>
        </is>
      </c>
      <c r="E449" t="inlineStr">
        <is>
          <t>UPPSALA</t>
        </is>
      </c>
      <c r="G449" t="n">
        <v>7.5</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45933</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6059-2025</t>
        </is>
      </c>
      <c r="B451" s="1" t="n">
        <v>45695.8391550926</v>
      </c>
      <c r="C451" s="1" t="n">
        <v>45933</v>
      </c>
      <c r="D451" t="inlineStr">
        <is>
          <t>UPPSALA LÄN</t>
        </is>
      </c>
      <c r="E451" t="inlineStr">
        <is>
          <t>UPPSALA</t>
        </is>
      </c>
      <c r="F451" t="inlineStr">
        <is>
          <t>Bergvik skog öst AB</t>
        </is>
      </c>
      <c r="G451" t="n">
        <v>0.4</v>
      </c>
      <c r="H451" t="n">
        <v>0</v>
      </c>
      <c r="I451" t="n">
        <v>0</v>
      </c>
      <c r="J451" t="n">
        <v>0</v>
      </c>
      <c r="K451" t="n">
        <v>0</v>
      </c>
      <c r="L451" t="n">
        <v>0</v>
      </c>
      <c r="M451" t="n">
        <v>0</v>
      </c>
      <c r="N451" t="n">
        <v>0</v>
      </c>
      <c r="O451" t="n">
        <v>0</v>
      </c>
      <c r="P451" t="n">
        <v>0</v>
      </c>
      <c r="Q451" t="n">
        <v>0</v>
      </c>
      <c r="R451" s="2" t="inlineStr"/>
    </row>
    <row r="452" ht="15" customHeight="1">
      <c r="A452" t="inlineStr">
        <is>
          <t>A 6060-2025</t>
        </is>
      </c>
      <c r="B452" s="1" t="n">
        <v>45695.84078703704</v>
      </c>
      <c r="C452" s="1" t="n">
        <v>45933</v>
      </c>
      <c r="D452" t="inlineStr">
        <is>
          <t>UPPSALA LÄN</t>
        </is>
      </c>
      <c r="E452" t="inlineStr">
        <is>
          <t>UPPSALA</t>
        </is>
      </c>
      <c r="F452" t="inlineStr">
        <is>
          <t>Bergvik skog öst AB</t>
        </is>
      </c>
      <c r="G452" t="n">
        <v>0.6</v>
      </c>
      <c r="H452" t="n">
        <v>0</v>
      </c>
      <c r="I452" t="n">
        <v>0</v>
      </c>
      <c r="J452" t="n">
        <v>0</v>
      </c>
      <c r="K452" t="n">
        <v>0</v>
      </c>
      <c r="L452" t="n">
        <v>0</v>
      </c>
      <c r="M452" t="n">
        <v>0</v>
      </c>
      <c r="N452" t="n">
        <v>0</v>
      </c>
      <c r="O452" t="n">
        <v>0</v>
      </c>
      <c r="P452" t="n">
        <v>0</v>
      </c>
      <c r="Q452" t="n">
        <v>0</v>
      </c>
      <c r="R452" s="2" t="inlineStr"/>
    </row>
    <row r="453" ht="15" customHeight="1">
      <c r="A453" t="inlineStr">
        <is>
          <t>A 34132-2025</t>
        </is>
      </c>
      <c r="B453" s="1" t="n">
        <v>45845.53202546296</v>
      </c>
      <c r="C453" s="1" t="n">
        <v>45933</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8473-2023</t>
        </is>
      </c>
      <c r="B454" s="1" t="n">
        <v>44977</v>
      </c>
      <c r="C454" s="1" t="n">
        <v>45933</v>
      </c>
      <c r="D454" t="inlineStr">
        <is>
          <t>UPPSALA LÄN</t>
        </is>
      </c>
      <c r="E454" t="inlineStr">
        <is>
          <t>UPPSALA</t>
        </is>
      </c>
      <c r="F454" t="inlineStr">
        <is>
          <t>Holmen skog AB</t>
        </is>
      </c>
      <c r="G454" t="n">
        <v>3.6</v>
      </c>
      <c r="H454" t="n">
        <v>0</v>
      </c>
      <c r="I454" t="n">
        <v>0</v>
      </c>
      <c r="J454" t="n">
        <v>0</v>
      </c>
      <c r="K454" t="n">
        <v>0</v>
      </c>
      <c r="L454" t="n">
        <v>0</v>
      </c>
      <c r="M454" t="n">
        <v>0</v>
      </c>
      <c r="N454" t="n">
        <v>0</v>
      </c>
      <c r="O454" t="n">
        <v>0</v>
      </c>
      <c r="P454" t="n">
        <v>0</v>
      </c>
      <c r="Q454" t="n">
        <v>0</v>
      </c>
      <c r="R454" s="2" t="inlineStr"/>
    </row>
    <row r="455" ht="15" customHeight="1">
      <c r="A455" t="inlineStr">
        <is>
          <t>A 22431-2024</t>
        </is>
      </c>
      <c r="B455" s="1" t="n">
        <v>45446.78256944445</v>
      </c>
      <c r="C455" s="1" t="n">
        <v>45933</v>
      </c>
      <c r="D455" t="inlineStr">
        <is>
          <t>UPPSALA LÄN</t>
        </is>
      </c>
      <c r="E455" t="inlineStr">
        <is>
          <t>UPPSALA</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1617-2021</t>
        </is>
      </c>
      <c r="B456" s="1" t="n">
        <v>44209</v>
      </c>
      <c r="C456" s="1" t="n">
        <v>45933</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19345-2025</t>
        </is>
      </c>
      <c r="B457" s="1" t="n">
        <v>45769.6009375</v>
      </c>
      <c r="C457" s="1" t="n">
        <v>45933</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6290-2025</t>
        </is>
      </c>
      <c r="B458" s="1" t="n">
        <v>45698.65606481482</v>
      </c>
      <c r="C458" s="1" t="n">
        <v>45933</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6970-2025</t>
        </is>
      </c>
      <c r="B459" s="1" t="n">
        <v>45693</v>
      </c>
      <c r="C459" s="1" t="n">
        <v>45933</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18677-2024</t>
        </is>
      </c>
      <c r="B460" s="1" t="n">
        <v>45426</v>
      </c>
      <c r="C460" s="1" t="n">
        <v>45933</v>
      </c>
      <c r="D460" t="inlineStr">
        <is>
          <t>UPPSALA LÄN</t>
        </is>
      </c>
      <c r="E460" t="inlineStr">
        <is>
          <t>UPPSALA</t>
        </is>
      </c>
      <c r="G460" t="n">
        <v>2.8</v>
      </c>
      <c r="H460" t="n">
        <v>0</v>
      </c>
      <c r="I460" t="n">
        <v>0</v>
      </c>
      <c r="J460" t="n">
        <v>0</v>
      </c>
      <c r="K460" t="n">
        <v>0</v>
      </c>
      <c r="L460" t="n">
        <v>0</v>
      </c>
      <c r="M460" t="n">
        <v>0</v>
      </c>
      <c r="N460" t="n">
        <v>0</v>
      </c>
      <c r="O460" t="n">
        <v>0</v>
      </c>
      <c r="P460" t="n">
        <v>0</v>
      </c>
      <c r="Q460" t="n">
        <v>0</v>
      </c>
      <c r="R460" s="2" t="inlineStr"/>
    </row>
    <row r="461" ht="15" customHeight="1">
      <c r="A461" t="inlineStr">
        <is>
          <t>A 11739-2023</t>
        </is>
      </c>
      <c r="B461" s="1" t="n">
        <v>44993</v>
      </c>
      <c r="C461" s="1" t="n">
        <v>45933</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35014-2025</t>
        </is>
      </c>
      <c r="B462" s="1" t="n">
        <v>45851.60097222222</v>
      </c>
      <c r="C462" s="1" t="n">
        <v>45933</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35015-2025</t>
        </is>
      </c>
      <c r="B463" s="1" t="n">
        <v>45851.62018518519</v>
      </c>
      <c r="C463" s="1" t="n">
        <v>45933</v>
      </c>
      <c r="D463" t="inlineStr">
        <is>
          <t>UPPSALA LÄN</t>
        </is>
      </c>
      <c r="E463" t="inlineStr">
        <is>
          <t>UPPSALA</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60820-2024</t>
        </is>
      </c>
      <c r="B464" s="1" t="n">
        <v>45644.62677083333</v>
      </c>
      <c r="C464" s="1" t="n">
        <v>45933</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18675-2024</t>
        </is>
      </c>
      <c r="B465" s="1" t="n">
        <v>45426</v>
      </c>
      <c r="C465" s="1" t="n">
        <v>45933</v>
      </c>
      <c r="D465" t="inlineStr">
        <is>
          <t>UPPSALA LÄN</t>
        </is>
      </c>
      <c r="E465" t="inlineStr">
        <is>
          <t>UPPSALA</t>
        </is>
      </c>
      <c r="G465" t="n">
        <v>8.1</v>
      </c>
      <c r="H465" t="n">
        <v>0</v>
      </c>
      <c r="I465" t="n">
        <v>0</v>
      </c>
      <c r="J465" t="n">
        <v>0</v>
      </c>
      <c r="K465" t="n">
        <v>0</v>
      </c>
      <c r="L465" t="n">
        <v>0</v>
      </c>
      <c r="M465" t="n">
        <v>0</v>
      </c>
      <c r="N465" t="n">
        <v>0</v>
      </c>
      <c r="O465" t="n">
        <v>0</v>
      </c>
      <c r="P465" t="n">
        <v>0</v>
      </c>
      <c r="Q465" t="n">
        <v>0</v>
      </c>
      <c r="R465" s="2" t="inlineStr"/>
    </row>
    <row r="466" ht="15" customHeight="1">
      <c r="A466" t="inlineStr">
        <is>
          <t>A 34893-2025</t>
        </is>
      </c>
      <c r="B466" s="1" t="n">
        <v>45849.49259259259</v>
      </c>
      <c r="C466" s="1" t="n">
        <v>45933</v>
      </c>
      <c r="D466" t="inlineStr">
        <is>
          <t>UPPSALA LÄN</t>
        </is>
      </c>
      <c r="E466" t="inlineStr">
        <is>
          <t>UPPSALA</t>
        </is>
      </c>
      <c r="G466" t="n">
        <v>1.5</v>
      </c>
      <c r="H466" t="n">
        <v>0</v>
      </c>
      <c r="I466" t="n">
        <v>0</v>
      </c>
      <c r="J466" t="n">
        <v>0</v>
      </c>
      <c r="K466" t="n">
        <v>0</v>
      </c>
      <c r="L466" t="n">
        <v>0</v>
      </c>
      <c r="M466" t="n">
        <v>0</v>
      </c>
      <c r="N466" t="n">
        <v>0</v>
      </c>
      <c r="O466" t="n">
        <v>0</v>
      </c>
      <c r="P466" t="n">
        <v>0</v>
      </c>
      <c r="Q466" t="n">
        <v>0</v>
      </c>
      <c r="R466" s="2" t="inlineStr"/>
    </row>
    <row r="467" ht="15" customHeight="1">
      <c r="A467" t="inlineStr">
        <is>
          <t>A 25776-2022</t>
        </is>
      </c>
      <c r="B467" s="1" t="n">
        <v>44733</v>
      </c>
      <c r="C467" s="1" t="n">
        <v>45933</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35148-2025</t>
        </is>
      </c>
      <c r="B468" s="1" t="n">
        <v>45852.67366898148</v>
      </c>
      <c r="C468" s="1" t="n">
        <v>45933</v>
      </c>
      <c r="D468" t="inlineStr">
        <is>
          <t>UPPSALA LÄN</t>
        </is>
      </c>
      <c r="E468" t="inlineStr">
        <is>
          <t>UPPSALA</t>
        </is>
      </c>
      <c r="F468" t="inlineStr">
        <is>
          <t>Holmen skog AB</t>
        </is>
      </c>
      <c r="G468" t="n">
        <v>2.2</v>
      </c>
      <c r="H468" t="n">
        <v>0</v>
      </c>
      <c r="I468" t="n">
        <v>0</v>
      </c>
      <c r="J468" t="n">
        <v>0</v>
      </c>
      <c r="K468" t="n">
        <v>0</v>
      </c>
      <c r="L468" t="n">
        <v>0</v>
      </c>
      <c r="M468" t="n">
        <v>0</v>
      </c>
      <c r="N468" t="n">
        <v>0</v>
      </c>
      <c r="O468" t="n">
        <v>0</v>
      </c>
      <c r="P468" t="n">
        <v>0</v>
      </c>
      <c r="Q468" t="n">
        <v>0</v>
      </c>
      <c r="R468" s="2" t="inlineStr"/>
    </row>
    <row r="469" ht="15" customHeight="1">
      <c r="A469" t="inlineStr">
        <is>
          <t>A 35056-2025</t>
        </is>
      </c>
      <c r="B469" s="1" t="n">
        <v>45852.39642361111</v>
      </c>
      <c r="C469" s="1" t="n">
        <v>45933</v>
      </c>
      <c r="D469" t="inlineStr">
        <is>
          <t>UPPSALA LÄN</t>
        </is>
      </c>
      <c r="E469" t="inlineStr">
        <is>
          <t>UPPSALA</t>
        </is>
      </c>
      <c r="G469" t="n">
        <v>2.6</v>
      </c>
      <c r="H469" t="n">
        <v>0</v>
      </c>
      <c r="I469" t="n">
        <v>0</v>
      </c>
      <c r="J469" t="n">
        <v>0</v>
      </c>
      <c r="K469" t="n">
        <v>0</v>
      </c>
      <c r="L469" t="n">
        <v>0</v>
      </c>
      <c r="M469" t="n">
        <v>0</v>
      </c>
      <c r="N469" t="n">
        <v>0</v>
      </c>
      <c r="O469" t="n">
        <v>0</v>
      </c>
      <c r="P469" t="n">
        <v>0</v>
      </c>
      <c r="Q469" t="n">
        <v>0</v>
      </c>
      <c r="R469" s="2" t="inlineStr"/>
    </row>
    <row r="470" ht="15" customHeight="1">
      <c r="A470" t="inlineStr">
        <is>
          <t>A 50395-2023</t>
        </is>
      </c>
      <c r="B470" s="1" t="n">
        <v>45216</v>
      </c>
      <c r="C470" s="1" t="n">
        <v>45933</v>
      </c>
      <c r="D470" t="inlineStr">
        <is>
          <t>UPPSALA LÄN</t>
        </is>
      </c>
      <c r="E470" t="inlineStr">
        <is>
          <t>UPPSALA</t>
        </is>
      </c>
      <c r="G470" t="n">
        <v>2.3</v>
      </c>
      <c r="H470" t="n">
        <v>0</v>
      </c>
      <c r="I470" t="n">
        <v>0</v>
      </c>
      <c r="J470" t="n">
        <v>0</v>
      </c>
      <c r="K470" t="n">
        <v>0</v>
      </c>
      <c r="L470" t="n">
        <v>0</v>
      </c>
      <c r="M470" t="n">
        <v>0</v>
      </c>
      <c r="N470" t="n">
        <v>0</v>
      </c>
      <c r="O470" t="n">
        <v>0</v>
      </c>
      <c r="P470" t="n">
        <v>0</v>
      </c>
      <c r="Q470" t="n">
        <v>0</v>
      </c>
      <c r="R470" s="2" t="inlineStr"/>
    </row>
    <row r="471" ht="15" customHeight="1">
      <c r="A471" t="inlineStr">
        <is>
          <t>A 50473-2023</t>
        </is>
      </c>
      <c r="B471" s="1" t="n">
        <v>45216</v>
      </c>
      <c r="C471" s="1" t="n">
        <v>45933</v>
      </c>
      <c r="D471" t="inlineStr">
        <is>
          <t>UPPSALA LÄN</t>
        </is>
      </c>
      <c r="E471" t="inlineStr">
        <is>
          <t>UPPSALA</t>
        </is>
      </c>
      <c r="F471" t="inlineStr">
        <is>
          <t>Allmännings- och besparingsskogar</t>
        </is>
      </c>
      <c r="G471" t="n">
        <v>7.6</v>
      </c>
      <c r="H471" t="n">
        <v>0</v>
      </c>
      <c r="I471" t="n">
        <v>0</v>
      </c>
      <c r="J471" t="n">
        <v>0</v>
      </c>
      <c r="K471" t="n">
        <v>0</v>
      </c>
      <c r="L471" t="n">
        <v>0</v>
      </c>
      <c r="M471" t="n">
        <v>0</v>
      </c>
      <c r="N471" t="n">
        <v>0</v>
      </c>
      <c r="O471" t="n">
        <v>0</v>
      </c>
      <c r="P471" t="n">
        <v>0</v>
      </c>
      <c r="Q471" t="n">
        <v>0</v>
      </c>
      <c r="R471" s="2" t="inlineStr"/>
    </row>
    <row r="472" ht="15" customHeight="1">
      <c r="A472" t="inlineStr">
        <is>
          <t>A 35053-2025</t>
        </is>
      </c>
      <c r="B472" s="1" t="n">
        <v>45852.36871527778</v>
      </c>
      <c r="C472" s="1" t="n">
        <v>45933</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41002-2023</t>
        </is>
      </c>
      <c r="B473" s="1" t="n">
        <v>45173</v>
      </c>
      <c r="C473" s="1" t="n">
        <v>45933</v>
      </c>
      <c r="D473" t="inlineStr">
        <is>
          <t>UPPSALA LÄN</t>
        </is>
      </c>
      <c r="E473" t="inlineStr">
        <is>
          <t>UPPSALA</t>
        </is>
      </c>
      <c r="G473" t="n">
        <v>6.2</v>
      </c>
      <c r="H473" t="n">
        <v>0</v>
      </c>
      <c r="I473" t="n">
        <v>0</v>
      </c>
      <c r="J473" t="n">
        <v>0</v>
      </c>
      <c r="K473" t="n">
        <v>0</v>
      </c>
      <c r="L473" t="n">
        <v>0</v>
      </c>
      <c r="M473" t="n">
        <v>0</v>
      </c>
      <c r="N473" t="n">
        <v>0</v>
      </c>
      <c r="O473" t="n">
        <v>0</v>
      </c>
      <c r="P473" t="n">
        <v>0</v>
      </c>
      <c r="Q473" t="n">
        <v>0</v>
      </c>
      <c r="R473" s="2" t="inlineStr"/>
    </row>
    <row r="474" ht="15" customHeight="1">
      <c r="A474" t="inlineStr">
        <is>
          <t>A 5725-2025</t>
        </is>
      </c>
      <c r="B474" s="1" t="n">
        <v>45694</v>
      </c>
      <c r="C474" s="1" t="n">
        <v>45933</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35155-2025</t>
        </is>
      </c>
      <c r="B475" s="1" t="n">
        <v>45852.68978009259</v>
      </c>
      <c r="C475" s="1" t="n">
        <v>45933</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39777-2025</t>
        </is>
      </c>
      <c r="B476" s="1" t="n">
        <v>45891.46827546296</v>
      </c>
      <c r="C476" s="1" t="n">
        <v>45933</v>
      </c>
      <c r="D476" t="inlineStr">
        <is>
          <t>UPPSALA LÄN</t>
        </is>
      </c>
      <c r="E476" t="inlineStr">
        <is>
          <t>UPPSALA</t>
        </is>
      </c>
      <c r="G476" t="n">
        <v>6.5</v>
      </c>
      <c r="H476" t="n">
        <v>0</v>
      </c>
      <c r="I476" t="n">
        <v>0</v>
      </c>
      <c r="J476" t="n">
        <v>0</v>
      </c>
      <c r="K476" t="n">
        <v>0</v>
      </c>
      <c r="L476" t="n">
        <v>0</v>
      </c>
      <c r="M476" t="n">
        <v>0</v>
      </c>
      <c r="N476" t="n">
        <v>0</v>
      </c>
      <c r="O476" t="n">
        <v>0</v>
      </c>
      <c r="P476" t="n">
        <v>0</v>
      </c>
      <c r="Q476" t="n">
        <v>0</v>
      </c>
      <c r="R476" s="2" t="inlineStr"/>
    </row>
    <row r="477" ht="15" customHeight="1">
      <c r="A477" t="inlineStr">
        <is>
          <t>A 35150-2025</t>
        </is>
      </c>
      <c r="B477" s="1" t="n">
        <v>45852</v>
      </c>
      <c r="C477" s="1" t="n">
        <v>45933</v>
      </c>
      <c r="D477" t="inlineStr">
        <is>
          <t>UPPSALA LÄN</t>
        </is>
      </c>
      <c r="E477" t="inlineStr">
        <is>
          <t>UPPSALA</t>
        </is>
      </c>
      <c r="F477" t="inlineStr">
        <is>
          <t>Holmen skog AB</t>
        </is>
      </c>
      <c r="G477" t="n">
        <v>0.6</v>
      </c>
      <c r="H477" t="n">
        <v>0</v>
      </c>
      <c r="I477" t="n">
        <v>0</v>
      </c>
      <c r="J477" t="n">
        <v>0</v>
      </c>
      <c r="K477" t="n">
        <v>0</v>
      </c>
      <c r="L477" t="n">
        <v>0</v>
      </c>
      <c r="M477" t="n">
        <v>0</v>
      </c>
      <c r="N477" t="n">
        <v>0</v>
      </c>
      <c r="O477" t="n">
        <v>0</v>
      </c>
      <c r="P477" t="n">
        <v>0</v>
      </c>
      <c r="Q477" t="n">
        <v>0</v>
      </c>
      <c r="R477" s="2" t="inlineStr"/>
    </row>
    <row r="478" ht="15" customHeight="1">
      <c r="A478" t="inlineStr">
        <is>
          <t>A 35167-2025</t>
        </is>
      </c>
      <c r="B478" s="1" t="n">
        <v>45852.72965277778</v>
      </c>
      <c r="C478" s="1" t="n">
        <v>45933</v>
      </c>
      <c r="D478" t="inlineStr">
        <is>
          <t>UPPSALA LÄN</t>
        </is>
      </c>
      <c r="E478" t="inlineStr">
        <is>
          <t>UPPSALA</t>
        </is>
      </c>
      <c r="F478" t="inlineStr">
        <is>
          <t>Holmen skog AB</t>
        </is>
      </c>
      <c r="G478" t="n">
        <v>10</v>
      </c>
      <c r="H478" t="n">
        <v>0</v>
      </c>
      <c r="I478" t="n">
        <v>0</v>
      </c>
      <c r="J478" t="n">
        <v>0</v>
      </c>
      <c r="K478" t="n">
        <v>0</v>
      </c>
      <c r="L478" t="n">
        <v>0</v>
      </c>
      <c r="M478" t="n">
        <v>0</v>
      </c>
      <c r="N478" t="n">
        <v>0</v>
      </c>
      <c r="O478" t="n">
        <v>0</v>
      </c>
      <c r="P478" t="n">
        <v>0</v>
      </c>
      <c r="Q478" t="n">
        <v>0</v>
      </c>
      <c r="R478" s="2" t="inlineStr"/>
    </row>
    <row r="479" ht="15" customHeight="1">
      <c r="A479" t="inlineStr">
        <is>
          <t>A 39721-2025</t>
        </is>
      </c>
      <c r="B479" s="1" t="n">
        <v>45891.33204861111</v>
      </c>
      <c r="C479" s="1" t="n">
        <v>45933</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11568-2023</t>
        </is>
      </c>
      <c r="B480" s="1" t="n">
        <v>44994</v>
      </c>
      <c r="C480" s="1" t="n">
        <v>45933</v>
      </c>
      <c r="D480" t="inlineStr">
        <is>
          <t>UPPSALA LÄN</t>
        </is>
      </c>
      <c r="E480" t="inlineStr">
        <is>
          <t>UPPSALA</t>
        </is>
      </c>
      <c r="G480" t="n">
        <v>0.8</v>
      </c>
      <c r="H480" t="n">
        <v>0</v>
      </c>
      <c r="I480" t="n">
        <v>0</v>
      </c>
      <c r="J480" t="n">
        <v>0</v>
      </c>
      <c r="K480" t="n">
        <v>0</v>
      </c>
      <c r="L480" t="n">
        <v>0</v>
      </c>
      <c r="M480" t="n">
        <v>0</v>
      </c>
      <c r="N480" t="n">
        <v>0</v>
      </c>
      <c r="O480" t="n">
        <v>0</v>
      </c>
      <c r="P480" t="n">
        <v>0</v>
      </c>
      <c r="Q480" t="n">
        <v>0</v>
      </c>
      <c r="R480" s="2" t="inlineStr"/>
    </row>
    <row r="481" ht="15" customHeight="1">
      <c r="A481" t="inlineStr">
        <is>
          <t>A 4059-2022</t>
        </is>
      </c>
      <c r="B481" s="1" t="n">
        <v>44588</v>
      </c>
      <c r="C481" s="1" t="n">
        <v>45933</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12209-2025</t>
        </is>
      </c>
      <c r="B482" s="1" t="n">
        <v>45729</v>
      </c>
      <c r="C482" s="1" t="n">
        <v>45933</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12211-2025</t>
        </is>
      </c>
      <c r="B483" s="1" t="n">
        <v>45729</v>
      </c>
      <c r="C483" s="1" t="n">
        <v>45933</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48564-2023</t>
        </is>
      </c>
      <c r="B484" s="1" t="n">
        <v>45208.4350462963</v>
      </c>
      <c r="C484" s="1" t="n">
        <v>45933</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7501-2025</t>
        </is>
      </c>
      <c r="B485" s="1" t="n">
        <v>45705</v>
      </c>
      <c r="C485" s="1" t="n">
        <v>45933</v>
      </c>
      <c r="D485" t="inlineStr">
        <is>
          <t>UPPSALA LÄN</t>
        </is>
      </c>
      <c r="E485" t="inlineStr">
        <is>
          <t>UPPSALA</t>
        </is>
      </c>
      <c r="G485" t="n">
        <v>4.2</v>
      </c>
      <c r="H485" t="n">
        <v>0</v>
      </c>
      <c r="I485" t="n">
        <v>0</v>
      </c>
      <c r="J485" t="n">
        <v>0</v>
      </c>
      <c r="K485" t="n">
        <v>0</v>
      </c>
      <c r="L485" t="n">
        <v>0</v>
      </c>
      <c r="M485" t="n">
        <v>0</v>
      </c>
      <c r="N485" t="n">
        <v>0</v>
      </c>
      <c r="O485" t="n">
        <v>0</v>
      </c>
      <c r="P485" t="n">
        <v>0</v>
      </c>
      <c r="Q485" t="n">
        <v>0</v>
      </c>
      <c r="R485" s="2" t="inlineStr"/>
    </row>
    <row r="486" ht="15" customHeight="1">
      <c r="A486" t="inlineStr">
        <is>
          <t>A 38469-2025</t>
        </is>
      </c>
      <c r="B486" s="1" t="n">
        <v>45884</v>
      </c>
      <c r="C486" s="1" t="n">
        <v>45933</v>
      </c>
      <c r="D486" t="inlineStr">
        <is>
          <t>UPPSALA LÄN</t>
        </is>
      </c>
      <c r="E486" t="inlineStr">
        <is>
          <t>UPPSALA</t>
        </is>
      </c>
      <c r="G486" t="n">
        <v>2</v>
      </c>
      <c r="H486" t="n">
        <v>0</v>
      </c>
      <c r="I486" t="n">
        <v>0</v>
      </c>
      <c r="J486" t="n">
        <v>0</v>
      </c>
      <c r="K486" t="n">
        <v>0</v>
      </c>
      <c r="L486" t="n">
        <v>0</v>
      </c>
      <c r="M486" t="n">
        <v>0</v>
      </c>
      <c r="N486" t="n">
        <v>0</v>
      </c>
      <c r="O486" t="n">
        <v>0</v>
      </c>
      <c r="P486" t="n">
        <v>0</v>
      </c>
      <c r="Q486" t="n">
        <v>0</v>
      </c>
      <c r="R486" s="2" t="inlineStr"/>
    </row>
    <row r="487" ht="15" customHeight="1">
      <c r="A487" t="inlineStr">
        <is>
          <t>A 42273-2023</t>
        </is>
      </c>
      <c r="B487" s="1" t="n">
        <v>45180.40255787037</v>
      </c>
      <c r="C487" s="1" t="n">
        <v>45933</v>
      </c>
      <c r="D487" t="inlineStr">
        <is>
          <t>UPPSALA LÄN</t>
        </is>
      </c>
      <c r="E487" t="inlineStr">
        <is>
          <t>UPPSALA</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35305-2025</t>
        </is>
      </c>
      <c r="B488" s="1" t="n">
        <v>45854.44017361111</v>
      </c>
      <c r="C488" s="1" t="n">
        <v>45933</v>
      </c>
      <c r="D488" t="inlineStr">
        <is>
          <t>UPPSALA LÄN</t>
        </is>
      </c>
      <c r="E488" t="inlineStr">
        <is>
          <t>UPPSALA</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8877-2022</t>
        </is>
      </c>
      <c r="B489" s="1" t="n">
        <v>44614.59027777778</v>
      </c>
      <c r="C489" s="1" t="n">
        <v>45933</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40501-2025</t>
        </is>
      </c>
      <c r="B490" s="1" t="n">
        <v>45896</v>
      </c>
      <c r="C490" s="1" t="n">
        <v>45933</v>
      </c>
      <c r="D490" t="inlineStr">
        <is>
          <t>UPPSALA LÄN</t>
        </is>
      </c>
      <c r="E490" t="inlineStr">
        <is>
          <t>UPPSALA</t>
        </is>
      </c>
      <c r="G490" t="n">
        <v>0.6</v>
      </c>
      <c r="H490" t="n">
        <v>0</v>
      </c>
      <c r="I490" t="n">
        <v>0</v>
      </c>
      <c r="J490" t="n">
        <v>0</v>
      </c>
      <c r="K490" t="n">
        <v>0</v>
      </c>
      <c r="L490" t="n">
        <v>0</v>
      </c>
      <c r="M490" t="n">
        <v>0</v>
      </c>
      <c r="N490" t="n">
        <v>0</v>
      </c>
      <c r="O490" t="n">
        <v>0</v>
      </c>
      <c r="P490" t="n">
        <v>0</v>
      </c>
      <c r="Q490" t="n">
        <v>0</v>
      </c>
      <c r="R490" s="2" t="inlineStr"/>
    </row>
    <row r="491" ht="15" customHeight="1">
      <c r="A491" t="inlineStr">
        <is>
          <t>A 40610-2025</t>
        </is>
      </c>
      <c r="B491" s="1" t="n">
        <v>45896.57368055556</v>
      </c>
      <c r="C491" s="1" t="n">
        <v>45933</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55953-2020</t>
        </is>
      </c>
      <c r="B492" s="1" t="n">
        <v>44131</v>
      </c>
      <c r="C492" s="1" t="n">
        <v>45933</v>
      </c>
      <c r="D492" t="inlineStr">
        <is>
          <t>UPPSALA LÄN</t>
        </is>
      </c>
      <c r="E492" t="inlineStr">
        <is>
          <t>UPPSALA</t>
        </is>
      </c>
      <c r="F492" t="inlineStr">
        <is>
          <t>Allmännings- och besparingsskogar</t>
        </is>
      </c>
      <c r="G492" t="n">
        <v>74.40000000000001</v>
      </c>
      <c r="H492" t="n">
        <v>0</v>
      </c>
      <c r="I492" t="n">
        <v>0</v>
      </c>
      <c r="J492" t="n">
        <v>0</v>
      </c>
      <c r="K492" t="n">
        <v>0</v>
      </c>
      <c r="L492" t="n">
        <v>0</v>
      </c>
      <c r="M492" t="n">
        <v>0</v>
      </c>
      <c r="N492" t="n">
        <v>0</v>
      </c>
      <c r="O492" t="n">
        <v>0</v>
      </c>
      <c r="P492" t="n">
        <v>0</v>
      </c>
      <c r="Q492" t="n">
        <v>0</v>
      </c>
      <c r="R492" s="2" t="inlineStr"/>
    </row>
    <row r="493" ht="15" customHeight="1">
      <c r="A493" t="inlineStr">
        <is>
          <t>A 17562-2022</t>
        </is>
      </c>
      <c r="B493" s="1" t="n">
        <v>44679.68706018518</v>
      </c>
      <c r="C493" s="1" t="n">
        <v>45933</v>
      </c>
      <c r="D493" t="inlineStr">
        <is>
          <t>UPPSALA LÄN</t>
        </is>
      </c>
      <c r="E493" t="inlineStr">
        <is>
          <t>UPPSALA</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40639-2025</t>
        </is>
      </c>
      <c r="B494" s="1" t="n">
        <v>45896.61050925926</v>
      </c>
      <c r="C494" s="1" t="n">
        <v>45933</v>
      </c>
      <c r="D494" t="inlineStr">
        <is>
          <t>UPPSALA LÄN</t>
        </is>
      </c>
      <c r="E494" t="inlineStr">
        <is>
          <t>UPPSALA</t>
        </is>
      </c>
      <c r="G494" t="n">
        <v>6.9</v>
      </c>
      <c r="H494" t="n">
        <v>0</v>
      </c>
      <c r="I494" t="n">
        <v>0</v>
      </c>
      <c r="J494" t="n">
        <v>0</v>
      </c>
      <c r="K494" t="n">
        <v>0</v>
      </c>
      <c r="L494" t="n">
        <v>0</v>
      </c>
      <c r="M494" t="n">
        <v>0</v>
      </c>
      <c r="N494" t="n">
        <v>0</v>
      </c>
      <c r="O494" t="n">
        <v>0</v>
      </c>
      <c r="P494" t="n">
        <v>0</v>
      </c>
      <c r="Q494" t="n">
        <v>0</v>
      </c>
      <c r="R494" s="2" t="inlineStr"/>
    </row>
    <row r="495" ht="15" customHeight="1">
      <c r="A495" t="inlineStr">
        <is>
          <t>A 16126-2022</t>
        </is>
      </c>
      <c r="B495" s="1" t="n">
        <v>44665</v>
      </c>
      <c r="C495" s="1" t="n">
        <v>45933</v>
      </c>
      <c r="D495" t="inlineStr">
        <is>
          <t>UPPSALA LÄN</t>
        </is>
      </c>
      <c r="E495" t="inlineStr">
        <is>
          <t>UPPSALA</t>
        </is>
      </c>
      <c r="F495" t="inlineStr">
        <is>
          <t>Bergvik skog öst AB</t>
        </is>
      </c>
      <c r="G495" t="n">
        <v>4.4</v>
      </c>
      <c r="H495" t="n">
        <v>0</v>
      </c>
      <c r="I495" t="n">
        <v>0</v>
      </c>
      <c r="J495" t="n">
        <v>0</v>
      </c>
      <c r="K495" t="n">
        <v>0</v>
      </c>
      <c r="L495" t="n">
        <v>0</v>
      </c>
      <c r="M495" t="n">
        <v>0</v>
      </c>
      <c r="N495" t="n">
        <v>0</v>
      </c>
      <c r="O495" t="n">
        <v>0</v>
      </c>
      <c r="P495" t="n">
        <v>0</v>
      </c>
      <c r="Q495" t="n">
        <v>0</v>
      </c>
      <c r="R495" s="2" t="inlineStr"/>
    </row>
    <row r="496" ht="15" customHeight="1">
      <c r="A496" t="inlineStr">
        <is>
          <t>A 40606-2025</t>
        </is>
      </c>
      <c r="B496" s="1" t="n">
        <v>45896.57171296296</v>
      </c>
      <c r="C496" s="1" t="n">
        <v>45933</v>
      </c>
      <c r="D496" t="inlineStr">
        <is>
          <t>UPPSALA LÄN</t>
        </is>
      </c>
      <c r="E496" t="inlineStr">
        <is>
          <t>UPPSALA</t>
        </is>
      </c>
      <c r="G496" t="n">
        <v>3.2</v>
      </c>
      <c r="H496" t="n">
        <v>0</v>
      </c>
      <c r="I496" t="n">
        <v>0</v>
      </c>
      <c r="J496" t="n">
        <v>0</v>
      </c>
      <c r="K496" t="n">
        <v>0</v>
      </c>
      <c r="L496" t="n">
        <v>0</v>
      </c>
      <c r="M496" t="n">
        <v>0</v>
      </c>
      <c r="N496" t="n">
        <v>0</v>
      </c>
      <c r="O496" t="n">
        <v>0</v>
      </c>
      <c r="P496" t="n">
        <v>0</v>
      </c>
      <c r="Q496" t="n">
        <v>0</v>
      </c>
      <c r="R496" s="2" t="inlineStr"/>
    </row>
    <row r="497" ht="15" customHeight="1">
      <c r="A497" t="inlineStr">
        <is>
          <t>A 21935-2023</t>
        </is>
      </c>
      <c r="B497" s="1" t="n">
        <v>45068.58563657408</v>
      </c>
      <c r="C497" s="1" t="n">
        <v>45933</v>
      </c>
      <c r="D497" t="inlineStr">
        <is>
          <t>UPPSALA LÄN</t>
        </is>
      </c>
      <c r="E497" t="inlineStr">
        <is>
          <t>UPPSALA</t>
        </is>
      </c>
      <c r="G497" t="n">
        <v>2.6</v>
      </c>
      <c r="H497" t="n">
        <v>0</v>
      </c>
      <c r="I497" t="n">
        <v>0</v>
      </c>
      <c r="J497" t="n">
        <v>0</v>
      </c>
      <c r="K497" t="n">
        <v>0</v>
      </c>
      <c r="L497" t="n">
        <v>0</v>
      </c>
      <c r="M497" t="n">
        <v>0</v>
      </c>
      <c r="N497" t="n">
        <v>0</v>
      </c>
      <c r="O497" t="n">
        <v>0</v>
      </c>
      <c r="P497" t="n">
        <v>0</v>
      </c>
      <c r="Q497" t="n">
        <v>0</v>
      </c>
      <c r="R497" s="2" t="inlineStr"/>
    </row>
    <row r="498" ht="15" customHeight="1">
      <c r="A498" t="inlineStr">
        <is>
          <t>A 36123-2023</t>
        </is>
      </c>
      <c r="B498" s="1" t="n">
        <v>45149.56928240741</v>
      </c>
      <c r="C498" s="1" t="n">
        <v>45933</v>
      </c>
      <c r="D498" t="inlineStr">
        <is>
          <t>UPPSALA LÄN</t>
        </is>
      </c>
      <c r="E498" t="inlineStr">
        <is>
          <t>UPPSALA</t>
        </is>
      </c>
      <c r="F498" t="inlineStr">
        <is>
          <t>Allmännings- och besparingsskogar</t>
        </is>
      </c>
      <c r="G498" t="n">
        <v>4.2</v>
      </c>
      <c r="H498" t="n">
        <v>0</v>
      </c>
      <c r="I498" t="n">
        <v>0</v>
      </c>
      <c r="J498" t="n">
        <v>0</v>
      </c>
      <c r="K498" t="n">
        <v>0</v>
      </c>
      <c r="L498" t="n">
        <v>0</v>
      </c>
      <c r="M498" t="n">
        <v>0</v>
      </c>
      <c r="N498" t="n">
        <v>0</v>
      </c>
      <c r="O498" t="n">
        <v>0</v>
      </c>
      <c r="P498" t="n">
        <v>0</v>
      </c>
      <c r="Q498" t="n">
        <v>0</v>
      </c>
      <c r="R498" s="2" t="inlineStr"/>
    </row>
    <row r="499" ht="15" customHeight="1">
      <c r="A499" t="inlineStr">
        <is>
          <t>A 40504-2025</t>
        </is>
      </c>
      <c r="B499" s="1" t="n">
        <v>45896</v>
      </c>
      <c r="C499" s="1" t="n">
        <v>45933</v>
      </c>
      <c r="D499" t="inlineStr">
        <is>
          <t>UPPSALA LÄN</t>
        </is>
      </c>
      <c r="E499" t="inlineStr">
        <is>
          <t>UPPSALA</t>
        </is>
      </c>
      <c r="G499" t="n">
        <v>4.4</v>
      </c>
      <c r="H499" t="n">
        <v>0</v>
      </c>
      <c r="I499" t="n">
        <v>0</v>
      </c>
      <c r="J499" t="n">
        <v>0</v>
      </c>
      <c r="K499" t="n">
        <v>0</v>
      </c>
      <c r="L499" t="n">
        <v>0</v>
      </c>
      <c r="M499" t="n">
        <v>0</v>
      </c>
      <c r="N499" t="n">
        <v>0</v>
      </c>
      <c r="O499" t="n">
        <v>0</v>
      </c>
      <c r="P499" t="n">
        <v>0</v>
      </c>
      <c r="Q499" t="n">
        <v>0</v>
      </c>
      <c r="R499" s="2" t="inlineStr"/>
    </row>
    <row r="500" ht="15" customHeight="1">
      <c r="A500" t="inlineStr">
        <is>
          <t>A 18668-2024</t>
        </is>
      </c>
      <c r="B500" s="1" t="n">
        <v>45426.34148148148</v>
      </c>
      <c r="C500" s="1" t="n">
        <v>45933</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1573-2021</t>
        </is>
      </c>
      <c r="B501" s="1" t="n">
        <v>44209</v>
      </c>
      <c r="C501" s="1" t="n">
        <v>45933</v>
      </c>
      <c r="D501" t="inlineStr">
        <is>
          <t>UPPSALA LÄN</t>
        </is>
      </c>
      <c r="E501" t="inlineStr">
        <is>
          <t>UPPSALA</t>
        </is>
      </c>
      <c r="G501" t="n">
        <v>15</v>
      </c>
      <c r="H501" t="n">
        <v>0</v>
      </c>
      <c r="I501" t="n">
        <v>0</v>
      </c>
      <c r="J501" t="n">
        <v>0</v>
      </c>
      <c r="K501" t="n">
        <v>0</v>
      </c>
      <c r="L501" t="n">
        <v>0</v>
      </c>
      <c r="M501" t="n">
        <v>0</v>
      </c>
      <c r="N501" t="n">
        <v>0</v>
      </c>
      <c r="O501" t="n">
        <v>0</v>
      </c>
      <c r="P501" t="n">
        <v>0</v>
      </c>
      <c r="Q501" t="n">
        <v>0</v>
      </c>
      <c r="R501" s="2" t="inlineStr"/>
    </row>
    <row r="502" ht="15" customHeight="1">
      <c r="A502" t="inlineStr">
        <is>
          <t>A 41112-2025</t>
        </is>
      </c>
      <c r="B502" s="1" t="n">
        <v>45898.46040509259</v>
      </c>
      <c r="C502" s="1" t="n">
        <v>45933</v>
      </c>
      <c r="D502" t="inlineStr">
        <is>
          <t>UPPSALA LÄN</t>
        </is>
      </c>
      <c r="E502" t="inlineStr">
        <is>
          <t>UPPSALA</t>
        </is>
      </c>
      <c r="G502" t="n">
        <v>3.1</v>
      </c>
      <c r="H502" t="n">
        <v>0</v>
      </c>
      <c r="I502" t="n">
        <v>0</v>
      </c>
      <c r="J502" t="n">
        <v>0</v>
      </c>
      <c r="K502" t="n">
        <v>0</v>
      </c>
      <c r="L502" t="n">
        <v>0</v>
      </c>
      <c r="M502" t="n">
        <v>0</v>
      </c>
      <c r="N502" t="n">
        <v>0</v>
      </c>
      <c r="O502" t="n">
        <v>0</v>
      </c>
      <c r="P502" t="n">
        <v>0</v>
      </c>
      <c r="Q502" t="n">
        <v>0</v>
      </c>
      <c r="R502" s="2" t="inlineStr"/>
    </row>
    <row r="503" ht="15" customHeight="1">
      <c r="A503" t="inlineStr">
        <is>
          <t>A 42543-2023</t>
        </is>
      </c>
      <c r="B503" s="1" t="n">
        <v>45181.36815972222</v>
      </c>
      <c r="C503" s="1" t="n">
        <v>45933</v>
      </c>
      <c r="D503" t="inlineStr">
        <is>
          <t>UPPSALA LÄN</t>
        </is>
      </c>
      <c r="E503" t="inlineStr">
        <is>
          <t>UPPSALA</t>
        </is>
      </c>
      <c r="G503" t="n">
        <v>1.4</v>
      </c>
      <c r="H503" t="n">
        <v>0</v>
      </c>
      <c r="I503" t="n">
        <v>0</v>
      </c>
      <c r="J503" t="n">
        <v>0</v>
      </c>
      <c r="K503" t="n">
        <v>0</v>
      </c>
      <c r="L503" t="n">
        <v>0</v>
      </c>
      <c r="M503" t="n">
        <v>0</v>
      </c>
      <c r="N503" t="n">
        <v>0</v>
      </c>
      <c r="O503" t="n">
        <v>0</v>
      </c>
      <c r="P503" t="n">
        <v>0</v>
      </c>
      <c r="Q503" t="n">
        <v>0</v>
      </c>
      <c r="R503" s="2" t="inlineStr"/>
    </row>
    <row r="504" ht="15" customHeight="1">
      <c r="A504" t="inlineStr">
        <is>
          <t>A 40855-2025</t>
        </is>
      </c>
      <c r="B504" s="1" t="n">
        <v>45897</v>
      </c>
      <c r="C504" s="1" t="n">
        <v>45933</v>
      </c>
      <c r="D504" t="inlineStr">
        <is>
          <t>UPPSALA LÄN</t>
        </is>
      </c>
      <c r="E504" t="inlineStr">
        <is>
          <t>UPPSALA</t>
        </is>
      </c>
      <c r="G504" t="n">
        <v>2.9</v>
      </c>
      <c r="H504" t="n">
        <v>0</v>
      </c>
      <c r="I504" t="n">
        <v>0</v>
      </c>
      <c r="J504" t="n">
        <v>0</v>
      </c>
      <c r="K504" t="n">
        <v>0</v>
      </c>
      <c r="L504" t="n">
        <v>0</v>
      </c>
      <c r="M504" t="n">
        <v>0</v>
      </c>
      <c r="N504" t="n">
        <v>0</v>
      </c>
      <c r="O504" t="n">
        <v>0</v>
      </c>
      <c r="P504" t="n">
        <v>0</v>
      </c>
      <c r="Q504" t="n">
        <v>0</v>
      </c>
      <c r="R504" s="2" t="inlineStr"/>
    </row>
    <row r="505" ht="15" customHeight="1">
      <c r="A505" t="inlineStr">
        <is>
          <t>A 35509-2025</t>
        </is>
      </c>
      <c r="B505" s="1" t="n">
        <v>45856.34959490741</v>
      </c>
      <c r="C505" s="1" t="n">
        <v>45933</v>
      </c>
      <c r="D505" t="inlineStr">
        <is>
          <t>UPPSALA LÄN</t>
        </is>
      </c>
      <c r="E505" t="inlineStr">
        <is>
          <t>UPPSALA</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9914-2024</t>
        </is>
      </c>
      <c r="B506" s="1" t="n">
        <v>45363.54878472222</v>
      </c>
      <c r="C506" s="1" t="n">
        <v>45933</v>
      </c>
      <c r="D506" t="inlineStr">
        <is>
          <t>UPPSALA LÄN</t>
        </is>
      </c>
      <c r="E506" t="inlineStr">
        <is>
          <t>UPPSALA</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35510-2025</t>
        </is>
      </c>
      <c r="B507" s="1" t="n">
        <v>45856</v>
      </c>
      <c r="C507" s="1" t="n">
        <v>45933</v>
      </c>
      <c r="D507" t="inlineStr">
        <is>
          <t>UPPSALA LÄN</t>
        </is>
      </c>
      <c r="E507" t="inlineStr">
        <is>
          <t>UPPSALA</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6999-2023</t>
        </is>
      </c>
      <c r="B508" s="1" t="n">
        <v>44967.80034722222</v>
      </c>
      <c r="C508" s="1" t="n">
        <v>45933</v>
      </c>
      <c r="D508" t="inlineStr">
        <is>
          <t>UPPSALA LÄN</t>
        </is>
      </c>
      <c r="E508" t="inlineStr">
        <is>
          <t>UPPSALA</t>
        </is>
      </c>
      <c r="G508" t="n">
        <v>1</v>
      </c>
      <c r="H508" t="n">
        <v>0</v>
      </c>
      <c r="I508" t="n">
        <v>0</v>
      </c>
      <c r="J508" t="n">
        <v>0</v>
      </c>
      <c r="K508" t="n">
        <v>0</v>
      </c>
      <c r="L508" t="n">
        <v>0</v>
      </c>
      <c r="M508" t="n">
        <v>0</v>
      </c>
      <c r="N508" t="n">
        <v>0</v>
      </c>
      <c r="O508" t="n">
        <v>0</v>
      </c>
      <c r="P508" t="n">
        <v>0</v>
      </c>
      <c r="Q508" t="n">
        <v>0</v>
      </c>
      <c r="R508" s="2" t="inlineStr"/>
    </row>
    <row r="509" ht="15" customHeight="1">
      <c r="A509" t="inlineStr">
        <is>
          <t>A 7002-2023</t>
        </is>
      </c>
      <c r="B509" s="1" t="n">
        <v>44967</v>
      </c>
      <c r="C509" s="1" t="n">
        <v>45933</v>
      </c>
      <c r="D509" t="inlineStr">
        <is>
          <t>UPPSALA LÄN</t>
        </is>
      </c>
      <c r="E509" t="inlineStr">
        <is>
          <t>UPPSALA</t>
        </is>
      </c>
      <c r="G509" t="n">
        <v>5</v>
      </c>
      <c r="H509" t="n">
        <v>0</v>
      </c>
      <c r="I509" t="n">
        <v>0</v>
      </c>
      <c r="J509" t="n">
        <v>0</v>
      </c>
      <c r="K509" t="n">
        <v>0</v>
      </c>
      <c r="L509" t="n">
        <v>0</v>
      </c>
      <c r="M509" t="n">
        <v>0</v>
      </c>
      <c r="N509" t="n">
        <v>0</v>
      </c>
      <c r="O509" t="n">
        <v>0</v>
      </c>
      <c r="P509" t="n">
        <v>0</v>
      </c>
      <c r="Q509" t="n">
        <v>0</v>
      </c>
      <c r="R509" s="2" t="inlineStr"/>
    </row>
    <row r="510" ht="15" customHeight="1">
      <c r="A510" t="inlineStr">
        <is>
          <t>A 17558-2022</t>
        </is>
      </c>
      <c r="B510" s="1" t="n">
        <v>44679.66694444444</v>
      </c>
      <c r="C510" s="1" t="n">
        <v>45933</v>
      </c>
      <c r="D510" t="inlineStr">
        <is>
          <t>UPPSALA LÄN</t>
        </is>
      </c>
      <c r="E510" t="inlineStr">
        <is>
          <t>UPPSALA</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367-2023</t>
        </is>
      </c>
      <c r="B511" s="1" t="n">
        <v>44929</v>
      </c>
      <c r="C511" s="1" t="n">
        <v>45933</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4875-2021</t>
        </is>
      </c>
      <c r="B512" s="1" t="n">
        <v>44223</v>
      </c>
      <c r="C512" s="1" t="n">
        <v>45933</v>
      </c>
      <c r="D512" t="inlineStr">
        <is>
          <t>UPPSALA LÄN</t>
        </is>
      </c>
      <c r="E512" t="inlineStr">
        <is>
          <t>UPPSALA</t>
        </is>
      </c>
      <c r="G512" t="n">
        <v>0.4</v>
      </c>
      <c r="H512" t="n">
        <v>0</v>
      </c>
      <c r="I512" t="n">
        <v>0</v>
      </c>
      <c r="J512" t="n">
        <v>0</v>
      </c>
      <c r="K512" t="n">
        <v>0</v>
      </c>
      <c r="L512" t="n">
        <v>0</v>
      </c>
      <c r="M512" t="n">
        <v>0</v>
      </c>
      <c r="N512" t="n">
        <v>0</v>
      </c>
      <c r="O512" t="n">
        <v>0</v>
      </c>
      <c r="P512" t="n">
        <v>0</v>
      </c>
      <c r="Q512" t="n">
        <v>0</v>
      </c>
      <c r="R512" s="2" t="inlineStr"/>
    </row>
    <row r="513" ht="15" customHeight="1">
      <c r="A513" t="inlineStr">
        <is>
          <t>A 35504-2025</t>
        </is>
      </c>
      <c r="B513" s="1" t="n">
        <v>45856.34034722222</v>
      </c>
      <c r="C513" s="1" t="n">
        <v>45933</v>
      </c>
      <c r="D513" t="inlineStr">
        <is>
          <t>UPPSALA LÄN</t>
        </is>
      </c>
      <c r="E513" t="inlineStr">
        <is>
          <t>UPPSALA</t>
        </is>
      </c>
      <c r="F513" t="inlineStr">
        <is>
          <t>Bergvik skog öst AB</t>
        </is>
      </c>
      <c r="G513" t="n">
        <v>6.7</v>
      </c>
      <c r="H513" t="n">
        <v>0</v>
      </c>
      <c r="I513" t="n">
        <v>0</v>
      </c>
      <c r="J513" t="n">
        <v>0</v>
      </c>
      <c r="K513" t="n">
        <v>0</v>
      </c>
      <c r="L513" t="n">
        <v>0</v>
      </c>
      <c r="M513" t="n">
        <v>0</v>
      </c>
      <c r="N513" t="n">
        <v>0</v>
      </c>
      <c r="O513" t="n">
        <v>0</v>
      </c>
      <c r="P513" t="n">
        <v>0</v>
      </c>
      <c r="Q513" t="n">
        <v>0</v>
      </c>
      <c r="R513" s="2" t="inlineStr"/>
    </row>
    <row r="514" ht="15" customHeight="1">
      <c r="A514" t="inlineStr">
        <is>
          <t>A 35505-2025</t>
        </is>
      </c>
      <c r="B514" s="1" t="n">
        <v>45856.34231481481</v>
      </c>
      <c r="C514" s="1" t="n">
        <v>45933</v>
      </c>
      <c r="D514" t="inlineStr">
        <is>
          <t>UPPSALA LÄN</t>
        </is>
      </c>
      <c r="E514" t="inlineStr">
        <is>
          <t>UPPSALA</t>
        </is>
      </c>
      <c r="F514" t="inlineStr">
        <is>
          <t>Bergvik skog öst AB</t>
        </is>
      </c>
      <c r="G514" t="n">
        <v>7.9</v>
      </c>
      <c r="H514" t="n">
        <v>0</v>
      </c>
      <c r="I514" t="n">
        <v>0</v>
      </c>
      <c r="J514" t="n">
        <v>0</v>
      </c>
      <c r="K514" t="n">
        <v>0</v>
      </c>
      <c r="L514" t="n">
        <v>0</v>
      </c>
      <c r="M514" t="n">
        <v>0</v>
      </c>
      <c r="N514" t="n">
        <v>0</v>
      </c>
      <c r="O514" t="n">
        <v>0</v>
      </c>
      <c r="P514" t="n">
        <v>0</v>
      </c>
      <c r="Q514" t="n">
        <v>0</v>
      </c>
      <c r="R514" s="2" t="inlineStr"/>
    </row>
    <row r="515" ht="15" customHeight="1">
      <c r="A515" t="inlineStr">
        <is>
          <t>A 12414-2025</t>
        </is>
      </c>
      <c r="B515" s="1" t="n">
        <v>45730.43966435185</v>
      </c>
      <c r="C515" s="1" t="n">
        <v>45933</v>
      </c>
      <c r="D515" t="inlineStr">
        <is>
          <t>UPPSALA LÄN</t>
        </is>
      </c>
      <c r="E515" t="inlineStr">
        <is>
          <t>UPPSALA</t>
        </is>
      </c>
      <c r="F515" t="inlineStr">
        <is>
          <t>Övriga statliga verk och myndigheter</t>
        </is>
      </c>
      <c r="G515" t="n">
        <v>6.8</v>
      </c>
      <c r="H515" t="n">
        <v>0</v>
      </c>
      <c r="I515" t="n">
        <v>0</v>
      </c>
      <c r="J515" t="n">
        <v>0</v>
      </c>
      <c r="K515" t="n">
        <v>0</v>
      </c>
      <c r="L515" t="n">
        <v>0</v>
      </c>
      <c r="M515" t="n">
        <v>0</v>
      </c>
      <c r="N515" t="n">
        <v>0</v>
      </c>
      <c r="O515" t="n">
        <v>0</v>
      </c>
      <c r="P515" t="n">
        <v>0</v>
      </c>
      <c r="Q515" t="n">
        <v>0</v>
      </c>
      <c r="R515" s="2" t="inlineStr"/>
    </row>
    <row r="516" ht="15" customHeight="1">
      <c r="A516" t="inlineStr">
        <is>
          <t>A 53365-2024</t>
        </is>
      </c>
      <c r="B516" s="1" t="n">
        <v>45614</v>
      </c>
      <c r="C516" s="1" t="n">
        <v>45933</v>
      </c>
      <c r="D516" t="inlineStr">
        <is>
          <t>UPPSALA LÄN</t>
        </is>
      </c>
      <c r="E516" t="inlineStr">
        <is>
          <t>UPPSALA</t>
        </is>
      </c>
      <c r="F516" t="inlineStr">
        <is>
          <t>Allmännings- och besparingsskogar</t>
        </is>
      </c>
      <c r="G516" t="n">
        <v>6.6</v>
      </c>
      <c r="H516" t="n">
        <v>0</v>
      </c>
      <c r="I516" t="n">
        <v>0</v>
      </c>
      <c r="J516" t="n">
        <v>0</v>
      </c>
      <c r="K516" t="n">
        <v>0</v>
      </c>
      <c r="L516" t="n">
        <v>0</v>
      </c>
      <c r="M516" t="n">
        <v>0</v>
      </c>
      <c r="N516" t="n">
        <v>0</v>
      </c>
      <c r="O516" t="n">
        <v>0</v>
      </c>
      <c r="P516" t="n">
        <v>0</v>
      </c>
      <c r="Q516" t="n">
        <v>0</v>
      </c>
      <c r="R516" s="2" t="inlineStr"/>
    </row>
    <row r="517" ht="15" customHeight="1">
      <c r="A517" t="inlineStr">
        <is>
          <t>A 41707-2025</t>
        </is>
      </c>
      <c r="B517" s="1" t="n">
        <v>45902.42243055555</v>
      </c>
      <c r="C517" s="1" t="n">
        <v>45933</v>
      </c>
      <c r="D517" t="inlineStr">
        <is>
          <t>UPPSALA LÄN</t>
        </is>
      </c>
      <c r="E517" t="inlineStr">
        <is>
          <t>UPPSALA</t>
        </is>
      </c>
      <c r="F517" t="inlineStr">
        <is>
          <t>Allmännings- och besparingsskogar</t>
        </is>
      </c>
      <c r="G517" t="n">
        <v>3.3</v>
      </c>
      <c r="H517" t="n">
        <v>0</v>
      </c>
      <c r="I517" t="n">
        <v>0</v>
      </c>
      <c r="J517" t="n">
        <v>0</v>
      </c>
      <c r="K517" t="n">
        <v>0</v>
      </c>
      <c r="L517" t="n">
        <v>0</v>
      </c>
      <c r="M517" t="n">
        <v>0</v>
      </c>
      <c r="N517" t="n">
        <v>0</v>
      </c>
      <c r="O517" t="n">
        <v>0</v>
      </c>
      <c r="P517" t="n">
        <v>0</v>
      </c>
      <c r="Q517" t="n">
        <v>0</v>
      </c>
      <c r="R517" s="2" t="inlineStr"/>
    </row>
    <row r="518" ht="15" customHeight="1">
      <c r="A518" t="inlineStr">
        <is>
          <t>A 43795-2023</t>
        </is>
      </c>
      <c r="B518" s="1" t="n">
        <v>45182</v>
      </c>
      <c r="C518" s="1" t="n">
        <v>45933</v>
      </c>
      <c r="D518" t="inlineStr">
        <is>
          <t>UPPSALA LÄN</t>
        </is>
      </c>
      <c r="E518" t="inlineStr">
        <is>
          <t>UPPSALA</t>
        </is>
      </c>
      <c r="G518" t="n">
        <v>4.7</v>
      </c>
      <c r="H518" t="n">
        <v>0</v>
      </c>
      <c r="I518" t="n">
        <v>0</v>
      </c>
      <c r="J518" t="n">
        <v>0</v>
      </c>
      <c r="K518" t="n">
        <v>0</v>
      </c>
      <c r="L518" t="n">
        <v>0</v>
      </c>
      <c r="M518" t="n">
        <v>0</v>
      </c>
      <c r="N518" t="n">
        <v>0</v>
      </c>
      <c r="O518" t="n">
        <v>0</v>
      </c>
      <c r="P518" t="n">
        <v>0</v>
      </c>
      <c r="Q518" t="n">
        <v>0</v>
      </c>
      <c r="R518" s="2" t="inlineStr"/>
    </row>
    <row r="519" ht="15" customHeight="1">
      <c r="A519" t="inlineStr">
        <is>
          <t>A 43818-2023</t>
        </is>
      </c>
      <c r="B519" s="1" t="n">
        <v>45182</v>
      </c>
      <c r="C519" s="1" t="n">
        <v>45933</v>
      </c>
      <c r="D519" t="inlineStr">
        <is>
          <t>UPPSALA LÄN</t>
        </is>
      </c>
      <c r="E519" t="inlineStr">
        <is>
          <t>UPPSALA</t>
        </is>
      </c>
      <c r="G519" t="n">
        <v>10.8</v>
      </c>
      <c r="H519" t="n">
        <v>0</v>
      </c>
      <c r="I519" t="n">
        <v>0</v>
      </c>
      <c r="J519" t="n">
        <v>0</v>
      </c>
      <c r="K519" t="n">
        <v>0</v>
      </c>
      <c r="L519" t="n">
        <v>0</v>
      </c>
      <c r="M519" t="n">
        <v>0</v>
      </c>
      <c r="N519" t="n">
        <v>0</v>
      </c>
      <c r="O519" t="n">
        <v>0</v>
      </c>
      <c r="P519" t="n">
        <v>0</v>
      </c>
      <c r="Q519" t="n">
        <v>0</v>
      </c>
      <c r="R519" s="2" t="inlineStr"/>
    </row>
    <row r="520" ht="15" customHeight="1">
      <c r="A520" t="inlineStr">
        <is>
          <t>A 46772-2025</t>
        </is>
      </c>
      <c r="B520" s="1" t="n">
        <v>45926.63232638889</v>
      </c>
      <c r="C520" s="1" t="n">
        <v>45933</v>
      </c>
      <c r="D520" t="inlineStr">
        <is>
          <t>UPPSALA LÄN</t>
        </is>
      </c>
      <c r="E520" t="inlineStr">
        <is>
          <t>UPPSALA</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41422-2023</t>
        </is>
      </c>
      <c r="B521" s="1" t="n">
        <v>45175</v>
      </c>
      <c r="C521" s="1" t="n">
        <v>45933</v>
      </c>
      <c r="D521" t="inlineStr">
        <is>
          <t>UPPSALA LÄN</t>
        </is>
      </c>
      <c r="E521" t="inlineStr">
        <is>
          <t>UPPSALA</t>
        </is>
      </c>
      <c r="F521" t="inlineStr">
        <is>
          <t>Kyrkan</t>
        </is>
      </c>
      <c r="G521" t="n">
        <v>5.2</v>
      </c>
      <c r="H521" t="n">
        <v>0</v>
      </c>
      <c r="I521" t="n">
        <v>0</v>
      </c>
      <c r="J521" t="n">
        <v>0</v>
      </c>
      <c r="K521" t="n">
        <v>0</v>
      </c>
      <c r="L521" t="n">
        <v>0</v>
      </c>
      <c r="M521" t="n">
        <v>0</v>
      </c>
      <c r="N521" t="n">
        <v>0</v>
      </c>
      <c r="O521" t="n">
        <v>0</v>
      </c>
      <c r="P521" t="n">
        <v>0</v>
      </c>
      <c r="Q521" t="n">
        <v>0</v>
      </c>
      <c r="R521" s="2" t="inlineStr"/>
    </row>
    <row r="522" ht="15" customHeight="1">
      <c r="A522" t="inlineStr">
        <is>
          <t>A 41444-2025</t>
        </is>
      </c>
      <c r="B522" s="1" t="n">
        <v>45901.41756944444</v>
      </c>
      <c r="C522" s="1" t="n">
        <v>45933</v>
      </c>
      <c r="D522" t="inlineStr">
        <is>
          <t>UPPSALA LÄN</t>
        </is>
      </c>
      <c r="E522" t="inlineStr">
        <is>
          <t>UPPSALA</t>
        </is>
      </c>
      <c r="F522" t="inlineStr">
        <is>
          <t>Kyrkan</t>
        </is>
      </c>
      <c r="G522" t="n">
        <v>4.5</v>
      </c>
      <c r="H522" t="n">
        <v>0</v>
      </c>
      <c r="I522" t="n">
        <v>0</v>
      </c>
      <c r="J522" t="n">
        <v>0</v>
      </c>
      <c r="K522" t="n">
        <v>0</v>
      </c>
      <c r="L522" t="n">
        <v>0</v>
      </c>
      <c r="M522" t="n">
        <v>0</v>
      </c>
      <c r="N522" t="n">
        <v>0</v>
      </c>
      <c r="O522" t="n">
        <v>0</v>
      </c>
      <c r="P522" t="n">
        <v>0</v>
      </c>
      <c r="Q522" t="n">
        <v>0</v>
      </c>
      <c r="R522" s="2" t="inlineStr"/>
    </row>
    <row r="523" ht="15" customHeight="1">
      <c r="A523" t="inlineStr">
        <is>
          <t>A 46773-2025</t>
        </is>
      </c>
      <c r="B523" s="1" t="n">
        <v>45926.63290509259</v>
      </c>
      <c r="C523" s="1" t="n">
        <v>45933</v>
      </c>
      <c r="D523" t="inlineStr">
        <is>
          <t>UPPSALA LÄN</t>
        </is>
      </c>
      <c r="E523" t="inlineStr">
        <is>
          <t>UPPSALA</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46775-2025</t>
        </is>
      </c>
      <c r="B524" s="1" t="n">
        <v>45926.63366898148</v>
      </c>
      <c r="C524" s="1" t="n">
        <v>45933</v>
      </c>
      <c r="D524" t="inlineStr">
        <is>
          <t>UPPSALA LÄN</t>
        </is>
      </c>
      <c r="E524" t="inlineStr">
        <is>
          <t>UPPSALA</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46796-2024</t>
        </is>
      </c>
      <c r="B525" s="1" t="n">
        <v>45583</v>
      </c>
      <c r="C525" s="1" t="n">
        <v>45933</v>
      </c>
      <c r="D525" t="inlineStr">
        <is>
          <t>UPPSALA LÄN</t>
        </is>
      </c>
      <c r="E525" t="inlineStr">
        <is>
          <t>UPPSALA</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41445-2025</t>
        </is>
      </c>
      <c r="B526" s="1" t="n">
        <v>45901.41853009259</v>
      </c>
      <c r="C526" s="1" t="n">
        <v>45933</v>
      </c>
      <c r="D526" t="inlineStr">
        <is>
          <t>UPPSALA LÄN</t>
        </is>
      </c>
      <c r="E526" t="inlineStr">
        <is>
          <t>UPPSALA</t>
        </is>
      </c>
      <c r="F526" t="inlineStr">
        <is>
          <t>Kyrkan</t>
        </is>
      </c>
      <c r="G526" t="n">
        <v>4.5</v>
      </c>
      <c r="H526" t="n">
        <v>0</v>
      </c>
      <c r="I526" t="n">
        <v>0</v>
      </c>
      <c r="J526" t="n">
        <v>0</v>
      </c>
      <c r="K526" t="n">
        <v>0</v>
      </c>
      <c r="L526" t="n">
        <v>0</v>
      </c>
      <c r="M526" t="n">
        <v>0</v>
      </c>
      <c r="N526" t="n">
        <v>0</v>
      </c>
      <c r="O526" t="n">
        <v>0</v>
      </c>
      <c r="P526" t="n">
        <v>0</v>
      </c>
      <c r="Q526" t="n">
        <v>0</v>
      </c>
      <c r="R526" s="2" t="inlineStr"/>
    </row>
    <row r="527" ht="15" customHeight="1">
      <c r="A527" t="inlineStr">
        <is>
          <t>A 46571-2025</t>
        </is>
      </c>
      <c r="B527" s="1" t="n">
        <v>45926.366875</v>
      </c>
      <c r="C527" s="1" t="n">
        <v>45933</v>
      </c>
      <c r="D527" t="inlineStr">
        <is>
          <t>UPPSALA LÄN</t>
        </is>
      </c>
      <c r="E527" t="inlineStr">
        <is>
          <t>UPPSALA</t>
        </is>
      </c>
      <c r="F527" t="inlineStr">
        <is>
          <t>Bergvik skog öst AB</t>
        </is>
      </c>
      <c r="G527" t="n">
        <v>11.1</v>
      </c>
      <c r="H527" t="n">
        <v>0</v>
      </c>
      <c r="I527" t="n">
        <v>0</v>
      </c>
      <c r="J527" t="n">
        <v>0</v>
      </c>
      <c r="K527" t="n">
        <v>0</v>
      </c>
      <c r="L527" t="n">
        <v>0</v>
      </c>
      <c r="M527" t="n">
        <v>0</v>
      </c>
      <c r="N527" t="n">
        <v>0</v>
      </c>
      <c r="O527" t="n">
        <v>0</v>
      </c>
      <c r="P527" t="n">
        <v>0</v>
      </c>
      <c r="Q527" t="n">
        <v>0</v>
      </c>
      <c r="R527" s="2" t="inlineStr"/>
    </row>
    <row r="528" ht="15" customHeight="1">
      <c r="A528" t="inlineStr">
        <is>
          <t>A 32475-2025</t>
        </is>
      </c>
      <c r="B528" s="1" t="n">
        <v>45838</v>
      </c>
      <c r="C528" s="1" t="n">
        <v>45933</v>
      </c>
      <c r="D528" t="inlineStr">
        <is>
          <t>UPPSALA LÄN</t>
        </is>
      </c>
      <c r="E528" t="inlineStr">
        <is>
          <t>UPPSALA</t>
        </is>
      </c>
      <c r="G528" t="n">
        <v>3</v>
      </c>
      <c r="H528" t="n">
        <v>0</v>
      </c>
      <c r="I528" t="n">
        <v>0</v>
      </c>
      <c r="J528" t="n">
        <v>0</v>
      </c>
      <c r="K528" t="n">
        <v>0</v>
      </c>
      <c r="L528" t="n">
        <v>0</v>
      </c>
      <c r="M528" t="n">
        <v>0</v>
      </c>
      <c r="N528" t="n">
        <v>0</v>
      </c>
      <c r="O528" t="n">
        <v>0</v>
      </c>
      <c r="P528" t="n">
        <v>0</v>
      </c>
      <c r="Q528" t="n">
        <v>0</v>
      </c>
      <c r="R528" s="2" t="inlineStr"/>
    </row>
    <row r="529" ht="15" customHeight="1">
      <c r="A529" t="inlineStr">
        <is>
          <t>A 18443-2023</t>
        </is>
      </c>
      <c r="B529" s="1" t="n">
        <v>45042</v>
      </c>
      <c r="C529" s="1" t="n">
        <v>45933</v>
      </c>
      <c r="D529" t="inlineStr">
        <is>
          <t>UPPSALA LÄN</t>
        </is>
      </c>
      <c r="E529" t="inlineStr">
        <is>
          <t>UPPSALA</t>
        </is>
      </c>
      <c r="G529" t="n">
        <v>0.4</v>
      </c>
      <c r="H529" t="n">
        <v>0</v>
      </c>
      <c r="I529" t="n">
        <v>0</v>
      </c>
      <c r="J529" t="n">
        <v>0</v>
      </c>
      <c r="K529" t="n">
        <v>0</v>
      </c>
      <c r="L529" t="n">
        <v>0</v>
      </c>
      <c r="M529" t="n">
        <v>0</v>
      </c>
      <c r="N529" t="n">
        <v>0</v>
      </c>
      <c r="O529" t="n">
        <v>0</v>
      </c>
      <c r="P529" t="n">
        <v>0</v>
      </c>
      <c r="Q529" t="n">
        <v>0</v>
      </c>
      <c r="R529" s="2" t="inlineStr"/>
    </row>
    <row r="530" ht="15" customHeight="1">
      <c r="A530" t="inlineStr">
        <is>
          <t>A 8090-2022</t>
        </is>
      </c>
      <c r="B530" s="1" t="n">
        <v>44608</v>
      </c>
      <c r="C530" s="1" t="n">
        <v>45933</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60047-2022</t>
        </is>
      </c>
      <c r="B531" s="1" t="n">
        <v>44909.51885416666</v>
      </c>
      <c r="C531" s="1" t="n">
        <v>45933</v>
      </c>
      <c r="D531" t="inlineStr">
        <is>
          <t>UPPSALA LÄN</t>
        </is>
      </c>
      <c r="E531" t="inlineStr">
        <is>
          <t>UPPSALA</t>
        </is>
      </c>
      <c r="F531" t="inlineStr">
        <is>
          <t>Kyrkan</t>
        </is>
      </c>
      <c r="G531" t="n">
        <v>0.7</v>
      </c>
      <c r="H531" t="n">
        <v>0</v>
      </c>
      <c r="I531" t="n">
        <v>0</v>
      </c>
      <c r="J531" t="n">
        <v>0</v>
      </c>
      <c r="K531" t="n">
        <v>0</v>
      </c>
      <c r="L531" t="n">
        <v>0</v>
      </c>
      <c r="M531" t="n">
        <v>0</v>
      </c>
      <c r="N531" t="n">
        <v>0</v>
      </c>
      <c r="O531" t="n">
        <v>0</v>
      </c>
      <c r="P531" t="n">
        <v>0</v>
      </c>
      <c r="Q531" t="n">
        <v>0</v>
      </c>
      <c r="R531" s="2" t="inlineStr"/>
    </row>
    <row r="532" ht="15" customHeight="1">
      <c r="A532" t="inlineStr">
        <is>
          <t>A 32479-2025</t>
        </is>
      </c>
      <c r="B532" s="1" t="n">
        <v>45838</v>
      </c>
      <c r="C532" s="1" t="n">
        <v>45933</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32484-2025</t>
        </is>
      </c>
      <c r="B533" s="1" t="n">
        <v>45838</v>
      </c>
      <c r="C533" s="1" t="n">
        <v>45933</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50535-2024</t>
        </is>
      </c>
      <c r="B534" s="1" t="n">
        <v>45600</v>
      </c>
      <c r="C534" s="1" t="n">
        <v>45933</v>
      </c>
      <c r="D534" t="inlineStr">
        <is>
          <t>UPPSALA LÄN</t>
        </is>
      </c>
      <c r="E534" t="inlineStr">
        <is>
          <t>UPPSALA</t>
        </is>
      </c>
      <c r="F534" t="inlineStr">
        <is>
          <t>Övriga statliga verk och myndigheter</t>
        </is>
      </c>
      <c r="G534" t="n">
        <v>3.2</v>
      </c>
      <c r="H534" t="n">
        <v>0</v>
      </c>
      <c r="I534" t="n">
        <v>0</v>
      </c>
      <c r="J534" t="n">
        <v>0</v>
      </c>
      <c r="K534" t="n">
        <v>0</v>
      </c>
      <c r="L534" t="n">
        <v>0</v>
      </c>
      <c r="M534" t="n">
        <v>0</v>
      </c>
      <c r="N534" t="n">
        <v>0</v>
      </c>
      <c r="O534" t="n">
        <v>0</v>
      </c>
      <c r="P534" t="n">
        <v>0</v>
      </c>
      <c r="Q534" t="n">
        <v>0</v>
      </c>
      <c r="R534" s="2" t="inlineStr"/>
    </row>
    <row r="535" ht="15" customHeight="1">
      <c r="A535" t="inlineStr">
        <is>
          <t>A 29799-2023</t>
        </is>
      </c>
      <c r="B535" s="1" t="n">
        <v>45107.53688657407</v>
      </c>
      <c r="C535" s="1" t="n">
        <v>45933</v>
      </c>
      <c r="D535" t="inlineStr">
        <is>
          <t>UPPSALA LÄN</t>
        </is>
      </c>
      <c r="E535" t="inlineStr">
        <is>
          <t>UPPSALA</t>
        </is>
      </c>
      <c r="G535" t="n">
        <v>1.7</v>
      </c>
      <c r="H535" t="n">
        <v>0</v>
      </c>
      <c r="I535" t="n">
        <v>0</v>
      </c>
      <c r="J535" t="n">
        <v>0</v>
      </c>
      <c r="K535" t="n">
        <v>0</v>
      </c>
      <c r="L535" t="n">
        <v>0</v>
      </c>
      <c r="M535" t="n">
        <v>0</v>
      </c>
      <c r="N535" t="n">
        <v>0</v>
      </c>
      <c r="O535" t="n">
        <v>0</v>
      </c>
      <c r="P535" t="n">
        <v>0</v>
      </c>
      <c r="Q535" t="n">
        <v>0</v>
      </c>
      <c r="R535" s="2" t="inlineStr"/>
    </row>
    <row r="536" ht="15" customHeight="1">
      <c r="A536" t="inlineStr">
        <is>
          <t>A 24098-2024</t>
        </is>
      </c>
      <c r="B536" s="1" t="n">
        <v>45456.59535879629</v>
      </c>
      <c r="C536" s="1" t="n">
        <v>45933</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6541-2025</t>
        </is>
      </c>
      <c r="B537" s="1" t="n">
        <v>45699</v>
      </c>
      <c r="C537" s="1" t="n">
        <v>45933</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36479-2023</t>
        </is>
      </c>
      <c r="B538" s="1" t="n">
        <v>45152</v>
      </c>
      <c r="C538" s="1" t="n">
        <v>45933</v>
      </c>
      <c r="D538" t="inlineStr">
        <is>
          <t>UPPSALA LÄN</t>
        </is>
      </c>
      <c r="E538" t="inlineStr">
        <is>
          <t>UPPSALA</t>
        </is>
      </c>
      <c r="F538" t="inlineStr">
        <is>
          <t>Allmännings- och besparingsskogar</t>
        </is>
      </c>
      <c r="G538" t="n">
        <v>3.4</v>
      </c>
      <c r="H538" t="n">
        <v>0</v>
      </c>
      <c r="I538" t="n">
        <v>0</v>
      </c>
      <c r="J538" t="n">
        <v>0</v>
      </c>
      <c r="K538" t="n">
        <v>0</v>
      </c>
      <c r="L538" t="n">
        <v>0</v>
      </c>
      <c r="M538" t="n">
        <v>0</v>
      </c>
      <c r="N538" t="n">
        <v>0</v>
      </c>
      <c r="O538" t="n">
        <v>0</v>
      </c>
      <c r="P538" t="n">
        <v>0</v>
      </c>
      <c r="Q538" t="n">
        <v>0</v>
      </c>
      <c r="R538" s="2" t="inlineStr"/>
    </row>
    <row r="539" ht="15" customHeight="1">
      <c r="A539" t="inlineStr">
        <is>
          <t>A 5729-2025</t>
        </is>
      </c>
      <c r="B539" s="1" t="n">
        <v>45694.49037037037</v>
      </c>
      <c r="C539" s="1" t="n">
        <v>45933</v>
      </c>
      <c r="D539" t="inlineStr">
        <is>
          <t>UPPSALA LÄN</t>
        </is>
      </c>
      <c r="E539" t="inlineStr">
        <is>
          <t>UPPSALA</t>
        </is>
      </c>
      <c r="G539" t="n">
        <v>1</v>
      </c>
      <c r="H539" t="n">
        <v>0</v>
      </c>
      <c r="I539" t="n">
        <v>0</v>
      </c>
      <c r="J539" t="n">
        <v>0</v>
      </c>
      <c r="K539" t="n">
        <v>0</v>
      </c>
      <c r="L539" t="n">
        <v>0</v>
      </c>
      <c r="M539" t="n">
        <v>0</v>
      </c>
      <c r="N539" t="n">
        <v>0</v>
      </c>
      <c r="O539" t="n">
        <v>0</v>
      </c>
      <c r="P539" t="n">
        <v>0</v>
      </c>
      <c r="Q539" t="n">
        <v>0</v>
      </c>
      <c r="R539" s="2" t="inlineStr"/>
    </row>
    <row r="540" ht="15" customHeight="1">
      <c r="A540" t="inlineStr">
        <is>
          <t>A 20497-2022</t>
        </is>
      </c>
      <c r="B540" s="1" t="n">
        <v>44699</v>
      </c>
      <c r="C540" s="1" t="n">
        <v>45933</v>
      </c>
      <c r="D540" t="inlineStr">
        <is>
          <t>UPPSALA LÄN</t>
        </is>
      </c>
      <c r="E540" t="inlineStr">
        <is>
          <t>UPPSALA</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42084-2025</t>
        </is>
      </c>
      <c r="B541" s="1" t="n">
        <v>45903.69096064815</v>
      </c>
      <c r="C541" s="1" t="n">
        <v>45933</v>
      </c>
      <c r="D541" t="inlineStr">
        <is>
          <t>UPPSALA LÄN</t>
        </is>
      </c>
      <c r="E541" t="inlineStr">
        <is>
          <t>UPPSALA</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42347-2025</t>
        </is>
      </c>
      <c r="B542" s="1" t="n">
        <v>45904.77746527778</v>
      </c>
      <c r="C542" s="1" t="n">
        <v>45933</v>
      </c>
      <c r="D542" t="inlineStr">
        <is>
          <t>UPPSALA LÄN</t>
        </is>
      </c>
      <c r="E542" t="inlineStr">
        <is>
          <t>UPPSALA</t>
        </is>
      </c>
      <c r="G542" t="n">
        <v>2.7</v>
      </c>
      <c r="H542" t="n">
        <v>0</v>
      </c>
      <c r="I542" t="n">
        <v>0</v>
      </c>
      <c r="J542" t="n">
        <v>0</v>
      </c>
      <c r="K542" t="n">
        <v>0</v>
      </c>
      <c r="L542" t="n">
        <v>0</v>
      </c>
      <c r="M542" t="n">
        <v>0</v>
      </c>
      <c r="N542" t="n">
        <v>0</v>
      </c>
      <c r="O542" t="n">
        <v>0</v>
      </c>
      <c r="P542" t="n">
        <v>0</v>
      </c>
      <c r="Q542" t="n">
        <v>0</v>
      </c>
      <c r="R542" s="2" t="inlineStr"/>
    </row>
    <row r="543" ht="15" customHeight="1">
      <c r="A543" t="inlineStr">
        <is>
          <t>A 42085-2025</t>
        </is>
      </c>
      <c r="B543" s="1" t="n">
        <v>45903.69358796296</v>
      </c>
      <c r="C543" s="1" t="n">
        <v>45933</v>
      </c>
      <c r="D543" t="inlineStr">
        <is>
          <t>UPPSALA LÄN</t>
        </is>
      </c>
      <c r="E543" t="inlineStr">
        <is>
          <t>UPPSALA</t>
        </is>
      </c>
      <c r="F543" t="inlineStr">
        <is>
          <t>Bergvik skog öst AB</t>
        </is>
      </c>
      <c r="G543" t="n">
        <v>1.7</v>
      </c>
      <c r="H543" t="n">
        <v>0</v>
      </c>
      <c r="I543" t="n">
        <v>0</v>
      </c>
      <c r="J543" t="n">
        <v>0</v>
      </c>
      <c r="K543" t="n">
        <v>0</v>
      </c>
      <c r="L543" t="n">
        <v>0</v>
      </c>
      <c r="M543" t="n">
        <v>0</v>
      </c>
      <c r="N543" t="n">
        <v>0</v>
      </c>
      <c r="O543" t="n">
        <v>0</v>
      </c>
      <c r="P543" t="n">
        <v>0</v>
      </c>
      <c r="Q543" t="n">
        <v>0</v>
      </c>
      <c r="R543" s="2" t="inlineStr"/>
    </row>
    <row r="544" ht="15" customHeight="1">
      <c r="A544" t="inlineStr">
        <is>
          <t>A 25462-2023</t>
        </is>
      </c>
      <c r="B544" s="1" t="n">
        <v>45089</v>
      </c>
      <c r="C544" s="1" t="n">
        <v>45933</v>
      </c>
      <c r="D544" t="inlineStr">
        <is>
          <t>UPPSALA LÄN</t>
        </is>
      </c>
      <c r="E544" t="inlineStr">
        <is>
          <t>UPPSALA</t>
        </is>
      </c>
      <c r="G544" t="n">
        <v>1.3</v>
      </c>
      <c r="H544" t="n">
        <v>0</v>
      </c>
      <c r="I544" t="n">
        <v>0</v>
      </c>
      <c r="J544" t="n">
        <v>0</v>
      </c>
      <c r="K544" t="n">
        <v>0</v>
      </c>
      <c r="L544" t="n">
        <v>0</v>
      </c>
      <c r="M544" t="n">
        <v>0</v>
      </c>
      <c r="N544" t="n">
        <v>0</v>
      </c>
      <c r="O544" t="n">
        <v>0</v>
      </c>
      <c r="P544" t="n">
        <v>0</v>
      </c>
      <c r="Q544" t="n">
        <v>0</v>
      </c>
      <c r="R544" s="2" t="inlineStr"/>
    </row>
    <row r="545" ht="15" customHeight="1">
      <c r="A545" t="inlineStr">
        <is>
          <t>A 3955-2021</t>
        </is>
      </c>
      <c r="B545" s="1" t="n">
        <v>44222</v>
      </c>
      <c r="C545" s="1" t="n">
        <v>45933</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52503-2023</t>
        </is>
      </c>
      <c r="B546" s="1" t="n">
        <v>45225.46480324074</v>
      </c>
      <c r="C546" s="1" t="n">
        <v>45933</v>
      </c>
      <c r="D546" t="inlineStr">
        <is>
          <t>UPPSALA LÄN</t>
        </is>
      </c>
      <c r="E546" t="inlineStr">
        <is>
          <t>UPPSALA</t>
        </is>
      </c>
      <c r="G546" t="n">
        <v>1.7</v>
      </c>
      <c r="H546" t="n">
        <v>0</v>
      </c>
      <c r="I546" t="n">
        <v>0</v>
      </c>
      <c r="J546" t="n">
        <v>0</v>
      </c>
      <c r="K546" t="n">
        <v>0</v>
      </c>
      <c r="L546" t="n">
        <v>0</v>
      </c>
      <c r="M546" t="n">
        <v>0</v>
      </c>
      <c r="N546" t="n">
        <v>0</v>
      </c>
      <c r="O546" t="n">
        <v>0</v>
      </c>
      <c r="P546" t="n">
        <v>0</v>
      </c>
      <c r="Q546" t="n">
        <v>0</v>
      </c>
      <c r="R546" s="2" t="inlineStr"/>
    </row>
    <row r="547" ht="15" customHeight="1">
      <c r="A547" t="inlineStr">
        <is>
          <t>A 33562-2023</t>
        </is>
      </c>
      <c r="B547" s="1" t="n">
        <v>45131</v>
      </c>
      <c r="C547" s="1" t="n">
        <v>45933</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33622-2024</t>
        </is>
      </c>
      <c r="B548" s="1" t="n">
        <v>45520</v>
      </c>
      <c r="C548" s="1" t="n">
        <v>45933</v>
      </c>
      <c r="D548" t="inlineStr">
        <is>
          <t>UPPSALA LÄN</t>
        </is>
      </c>
      <c r="E548" t="inlineStr">
        <is>
          <t>UPPSALA</t>
        </is>
      </c>
      <c r="G548" t="n">
        <v>1</v>
      </c>
      <c r="H548" t="n">
        <v>0</v>
      </c>
      <c r="I548" t="n">
        <v>0</v>
      </c>
      <c r="J548" t="n">
        <v>0</v>
      </c>
      <c r="K548" t="n">
        <v>0</v>
      </c>
      <c r="L548" t="n">
        <v>0</v>
      </c>
      <c r="M548" t="n">
        <v>0</v>
      </c>
      <c r="N548" t="n">
        <v>0</v>
      </c>
      <c r="O548" t="n">
        <v>0</v>
      </c>
      <c r="P548" t="n">
        <v>0</v>
      </c>
      <c r="Q548" t="n">
        <v>0</v>
      </c>
      <c r="R548" s="2" t="inlineStr"/>
    </row>
    <row r="549" ht="15" customHeight="1">
      <c r="A549" t="inlineStr">
        <is>
          <t>A 46564-2025</t>
        </is>
      </c>
      <c r="B549" s="1" t="n">
        <v>45926.35917824074</v>
      </c>
      <c r="C549" s="1" t="n">
        <v>45933</v>
      </c>
      <c r="D549" t="inlineStr">
        <is>
          <t>UPPSALA LÄN</t>
        </is>
      </c>
      <c r="E549" t="inlineStr">
        <is>
          <t>UPPSALA</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46565-2025</t>
        </is>
      </c>
      <c r="B550" s="1" t="n">
        <v>45926.35998842592</v>
      </c>
      <c r="C550" s="1" t="n">
        <v>45933</v>
      </c>
      <c r="D550" t="inlineStr">
        <is>
          <t>UPPSALA LÄN</t>
        </is>
      </c>
      <c r="E550" t="inlineStr">
        <is>
          <t>UPPSALA</t>
        </is>
      </c>
      <c r="F550" t="inlineStr">
        <is>
          <t>Bergvik skog öst AB</t>
        </is>
      </c>
      <c r="G550" t="n">
        <v>1.4</v>
      </c>
      <c r="H550" t="n">
        <v>0</v>
      </c>
      <c r="I550" t="n">
        <v>0</v>
      </c>
      <c r="J550" t="n">
        <v>0</v>
      </c>
      <c r="K550" t="n">
        <v>0</v>
      </c>
      <c r="L550" t="n">
        <v>0</v>
      </c>
      <c r="M550" t="n">
        <v>0</v>
      </c>
      <c r="N550" t="n">
        <v>0</v>
      </c>
      <c r="O550" t="n">
        <v>0</v>
      </c>
      <c r="P550" t="n">
        <v>0</v>
      </c>
      <c r="Q550" t="n">
        <v>0</v>
      </c>
      <c r="R550" s="2" t="inlineStr"/>
    </row>
    <row r="551" ht="15" customHeight="1">
      <c r="A551" t="inlineStr">
        <is>
          <t>A 60447-2023</t>
        </is>
      </c>
      <c r="B551" s="1" t="n">
        <v>45259</v>
      </c>
      <c r="C551" s="1" t="n">
        <v>45933</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42541-2025</t>
        </is>
      </c>
      <c r="B552" s="1" t="n">
        <v>45905.5756712963</v>
      </c>
      <c r="C552" s="1" t="n">
        <v>45933</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7727-2024</t>
        </is>
      </c>
      <c r="B553" s="1" t="n">
        <v>45349</v>
      </c>
      <c r="C553" s="1" t="n">
        <v>45933</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35978-2025</t>
        </is>
      </c>
      <c r="B554" s="1" t="n">
        <v>45863.44648148148</v>
      </c>
      <c r="C554" s="1" t="n">
        <v>45933</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35984-2025</t>
        </is>
      </c>
      <c r="B555" s="1" t="n">
        <v>45863.45355324074</v>
      </c>
      <c r="C555" s="1" t="n">
        <v>45933</v>
      </c>
      <c r="D555" t="inlineStr">
        <is>
          <t>UPPSALA LÄN</t>
        </is>
      </c>
      <c r="E555" t="inlineStr">
        <is>
          <t>UPPSALA</t>
        </is>
      </c>
      <c r="G555" t="n">
        <v>6.1</v>
      </c>
      <c r="H555" t="n">
        <v>0</v>
      </c>
      <c r="I555" t="n">
        <v>0</v>
      </c>
      <c r="J555" t="n">
        <v>0</v>
      </c>
      <c r="K555" t="n">
        <v>0</v>
      </c>
      <c r="L555" t="n">
        <v>0</v>
      </c>
      <c r="M555" t="n">
        <v>0</v>
      </c>
      <c r="N555" t="n">
        <v>0</v>
      </c>
      <c r="O555" t="n">
        <v>0</v>
      </c>
      <c r="P555" t="n">
        <v>0</v>
      </c>
      <c r="Q555" t="n">
        <v>0</v>
      </c>
      <c r="R555" s="2" t="inlineStr"/>
    </row>
    <row r="556" ht="15" customHeight="1">
      <c r="A556" t="inlineStr">
        <is>
          <t>A 42593-2025</t>
        </is>
      </c>
      <c r="B556" s="1" t="n">
        <v>45905.64862268518</v>
      </c>
      <c r="C556" s="1" t="n">
        <v>45933</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39792-2025</t>
        </is>
      </c>
      <c r="B557" s="1" t="n">
        <v>45891.4865625</v>
      </c>
      <c r="C557" s="1" t="n">
        <v>45933</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54783-2023</t>
        </is>
      </c>
      <c r="B558" s="1" t="n">
        <v>45236.47697916667</v>
      </c>
      <c r="C558" s="1" t="n">
        <v>45933</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43056-2025</t>
        </is>
      </c>
      <c r="B559" s="1" t="n">
        <v>45909.57565972222</v>
      </c>
      <c r="C559" s="1" t="n">
        <v>45933</v>
      </c>
      <c r="D559" t="inlineStr">
        <is>
          <t>UPPSALA LÄN</t>
        </is>
      </c>
      <c r="E559" t="inlineStr">
        <is>
          <t>UPPSALA</t>
        </is>
      </c>
      <c r="F559" t="inlineStr">
        <is>
          <t>Allmännings- och besparingsskogar</t>
        </is>
      </c>
      <c r="G559" t="n">
        <v>11.8</v>
      </c>
      <c r="H559" t="n">
        <v>0</v>
      </c>
      <c r="I559" t="n">
        <v>0</v>
      </c>
      <c r="J559" t="n">
        <v>0</v>
      </c>
      <c r="K559" t="n">
        <v>0</v>
      </c>
      <c r="L559" t="n">
        <v>0</v>
      </c>
      <c r="M559" t="n">
        <v>0</v>
      </c>
      <c r="N559" t="n">
        <v>0</v>
      </c>
      <c r="O559" t="n">
        <v>0</v>
      </c>
      <c r="P559" t="n">
        <v>0</v>
      </c>
      <c r="Q559" t="n">
        <v>0</v>
      </c>
      <c r="R559" s="2" t="inlineStr"/>
    </row>
    <row r="560" ht="15" customHeight="1">
      <c r="A560" t="inlineStr">
        <is>
          <t>A 27442-2024</t>
        </is>
      </c>
      <c r="B560" s="1" t="n">
        <v>45474.41729166666</v>
      </c>
      <c r="C560" s="1" t="n">
        <v>45933</v>
      </c>
      <c r="D560" t="inlineStr">
        <is>
          <t>UPPSALA LÄN</t>
        </is>
      </c>
      <c r="E560" t="inlineStr">
        <is>
          <t>UPPSALA</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36253-2025</t>
        </is>
      </c>
      <c r="B561" s="1" t="n">
        <v>45867.58056712963</v>
      </c>
      <c r="C561" s="1" t="n">
        <v>45933</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600-2024</t>
        </is>
      </c>
      <c r="B562" s="1" t="n">
        <v>45299</v>
      </c>
      <c r="C562" s="1" t="n">
        <v>45933</v>
      </c>
      <c r="D562" t="inlineStr">
        <is>
          <t>UPPSALA LÄN</t>
        </is>
      </c>
      <c r="E562" t="inlineStr">
        <is>
          <t>UPPSALA</t>
        </is>
      </c>
      <c r="G562" t="n">
        <v>0.6</v>
      </c>
      <c r="H562" t="n">
        <v>0</v>
      </c>
      <c r="I562" t="n">
        <v>0</v>
      </c>
      <c r="J562" t="n">
        <v>0</v>
      </c>
      <c r="K562" t="n">
        <v>0</v>
      </c>
      <c r="L562" t="n">
        <v>0</v>
      </c>
      <c r="M562" t="n">
        <v>0</v>
      </c>
      <c r="N562" t="n">
        <v>0</v>
      </c>
      <c r="O562" t="n">
        <v>0</v>
      </c>
      <c r="P562" t="n">
        <v>0</v>
      </c>
      <c r="Q562" t="n">
        <v>0</v>
      </c>
      <c r="R562" s="2" t="inlineStr"/>
    </row>
    <row r="563" ht="15" customHeight="1">
      <c r="A563" t="inlineStr">
        <is>
          <t>A 62287-2023</t>
        </is>
      </c>
      <c r="B563" s="1" t="n">
        <v>45267</v>
      </c>
      <c r="C563" s="1" t="n">
        <v>45933</v>
      </c>
      <c r="D563" t="inlineStr">
        <is>
          <t>UPPSALA LÄN</t>
        </is>
      </c>
      <c r="E563" t="inlineStr">
        <is>
          <t>UPPSALA</t>
        </is>
      </c>
      <c r="F563" t="inlineStr">
        <is>
          <t>Allmännings- och besparingsskogar</t>
        </is>
      </c>
      <c r="G563" t="n">
        <v>2.8</v>
      </c>
      <c r="H563" t="n">
        <v>0</v>
      </c>
      <c r="I563" t="n">
        <v>0</v>
      </c>
      <c r="J563" t="n">
        <v>0</v>
      </c>
      <c r="K563" t="n">
        <v>0</v>
      </c>
      <c r="L563" t="n">
        <v>0</v>
      </c>
      <c r="M563" t="n">
        <v>0</v>
      </c>
      <c r="N563" t="n">
        <v>0</v>
      </c>
      <c r="O563" t="n">
        <v>0</v>
      </c>
      <c r="P563" t="n">
        <v>0</v>
      </c>
      <c r="Q563" t="n">
        <v>0</v>
      </c>
      <c r="R563" s="2" t="inlineStr"/>
    </row>
    <row r="564" ht="15" customHeight="1">
      <c r="A564" t="inlineStr">
        <is>
          <t>A 54808-2023</t>
        </is>
      </c>
      <c r="B564" s="1" t="n">
        <v>45236</v>
      </c>
      <c r="C564" s="1" t="n">
        <v>45933</v>
      </c>
      <c r="D564" t="inlineStr">
        <is>
          <t>UPPSALA LÄN</t>
        </is>
      </c>
      <c r="E564" t="inlineStr">
        <is>
          <t>UPPSALA</t>
        </is>
      </c>
      <c r="G564" t="n">
        <v>4.1</v>
      </c>
      <c r="H564" t="n">
        <v>0</v>
      </c>
      <c r="I564" t="n">
        <v>0</v>
      </c>
      <c r="J564" t="n">
        <v>0</v>
      </c>
      <c r="K564" t="n">
        <v>0</v>
      </c>
      <c r="L564" t="n">
        <v>0</v>
      </c>
      <c r="M564" t="n">
        <v>0</v>
      </c>
      <c r="N564" t="n">
        <v>0</v>
      </c>
      <c r="O564" t="n">
        <v>0</v>
      </c>
      <c r="P564" t="n">
        <v>0</v>
      </c>
      <c r="Q564" t="n">
        <v>0</v>
      </c>
      <c r="R564" s="2" t="inlineStr"/>
    </row>
    <row r="565" ht="15" customHeight="1">
      <c r="A565" t="inlineStr">
        <is>
          <t>A 60003-2024</t>
        </is>
      </c>
      <c r="B565" s="1" t="n">
        <v>45642</v>
      </c>
      <c r="C565" s="1" t="n">
        <v>45933</v>
      </c>
      <c r="D565" t="inlineStr">
        <is>
          <t>UPPSALA LÄN</t>
        </is>
      </c>
      <c r="E565" t="inlineStr">
        <is>
          <t>UPPSALA</t>
        </is>
      </c>
      <c r="F565" t="inlineStr">
        <is>
          <t>Bergvik skog väst AB</t>
        </is>
      </c>
      <c r="G565" t="n">
        <v>14.5</v>
      </c>
      <c r="H565" t="n">
        <v>0</v>
      </c>
      <c r="I565" t="n">
        <v>0</v>
      </c>
      <c r="J565" t="n">
        <v>0</v>
      </c>
      <c r="K565" t="n">
        <v>0</v>
      </c>
      <c r="L565" t="n">
        <v>0</v>
      </c>
      <c r="M565" t="n">
        <v>0</v>
      </c>
      <c r="N565" t="n">
        <v>0</v>
      </c>
      <c r="O565" t="n">
        <v>0</v>
      </c>
      <c r="P565" t="n">
        <v>0</v>
      </c>
      <c r="Q565" t="n">
        <v>0</v>
      </c>
      <c r="R565" s="2" t="inlineStr"/>
    </row>
    <row r="566" ht="15" customHeight="1">
      <c r="A566" t="inlineStr">
        <is>
          <t>A 43893-2025</t>
        </is>
      </c>
      <c r="B566" s="1" t="n">
        <v>45912.7097337963</v>
      </c>
      <c r="C566" s="1" t="n">
        <v>45933</v>
      </c>
      <c r="D566" t="inlineStr">
        <is>
          <t>UPPSALA LÄN</t>
        </is>
      </c>
      <c r="E566" t="inlineStr">
        <is>
          <t>UPPSALA</t>
        </is>
      </c>
      <c r="F566" t="inlineStr">
        <is>
          <t>Kyrkan</t>
        </is>
      </c>
      <c r="G566" t="n">
        <v>5.7</v>
      </c>
      <c r="H566" t="n">
        <v>0</v>
      </c>
      <c r="I566" t="n">
        <v>0</v>
      </c>
      <c r="J566" t="n">
        <v>0</v>
      </c>
      <c r="K566" t="n">
        <v>0</v>
      </c>
      <c r="L566" t="n">
        <v>0</v>
      </c>
      <c r="M566" t="n">
        <v>0</v>
      </c>
      <c r="N566" t="n">
        <v>0</v>
      </c>
      <c r="O566" t="n">
        <v>0</v>
      </c>
      <c r="P566" t="n">
        <v>0</v>
      </c>
      <c r="Q566" t="n">
        <v>0</v>
      </c>
      <c r="R566" s="2" t="inlineStr"/>
    </row>
    <row r="567" ht="15" customHeight="1">
      <c r="A567" t="inlineStr">
        <is>
          <t>A 6058-2025</t>
        </is>
      </c>
      <c r="B567" s="1" t="n">
        <v>45695.83655092592</v>
      </c>
      <c r="C567" s="1" t="n">
        <v>45933</v>
      </c>
      <c r="D567" t="inlineStr">
        <is>
          <t>UPPSALA LÄN</t>
        </is>
      </c>
      <c r="E567" t="inlineStr">
        <is>
          <t>UPPSALA</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30616-2025</t>
        </is>
      </c>
      <c r="B568" s="1" t="n">
        <v>45831.46731481481</v>
      </c>
      <c r="C568" s="1" t="n">
        <v>45933</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42134-2025</t>
        </is>
      </c>
      <c r="B569" s="1" t="n">
        <v>45904</v>
      </c>
      <c r="C569" s="1" t="n">
        <v>45933</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8164-2025</t>
        </is>
      </c>
      <c r="B570" s="1" t="n">
        <v>45707</v>
      </c>
      <c r="C570" s="1" t="n">
        <v>45933</v>
      </c>
      <c r="D570" t="inlineStr">
        <is>
          <t>UPPSALA LÄN</t>
        </is>
      </c>
      <c r="E570" t="inlineStr">
        <is>
          <t>UPPSALA</t>
        </is>
      </c>
      <c r="F570" t="inlineStr">
        <is>
          <t>Övriga Aktiebolag</t>
        </is>
      </c>
      <c r="G570" t="n">
        <v>12.2</v>
      </c>
      <c r="H570" t="n">
        <v>0</v>
      </c>
      <c r="I570" t="n">
        <v>0</v>
      </c>
      <c r="J570" t="n">
        <v>0</v>
      </c>
      <c r="K570" t="n">
        <v>0</v>
      </c>
      <c r="L570" t="n">
        <v>0</v>
      </c>
      <c r="M570" t="n">
        <v>0</v>
      </c>
      <c r="N570" t="n">
        <v>0</v>
      </c>
      <c r="O570" t="n">
        <v>0</v>
      </c>
      <c r="P570" t="n">
        <v>0</v>
      </c>
      <c r="Q570" t="n">
        <v>0</v>
      </c>
      <c r="R570" s="2" t="inlineStr"/>
    </row>
    <row r="571" ht="15" customHeight="1">
      <c r="A571" t="inlineStr">
        <is>
          <t>A 60954-2024</t>
        </is>
      </c>
      <c r="B571" s="1" t="n">
        <v>45645</v>
      </c>
      <c r="C571" s="1" t="n">
        <v>45933</v>
      </c>
      <c r="D571" t="inlineStr">
        <is>
          <t>UPPSALA LÄN</t>
        </is>
      </c>
      <c r="E571" t="inlineStr">
        <is>
          <t>UPPSALA</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31157-2023</t>
        </is>
      </c>
      <c r="B572" s="1" t="n">
        <v>45113</v>
      </c>
      <c r="C572" s="1" t="n">
        <v>45933</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45933</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5006-2022</t>
        </is>
      </c>
      <c r="B574" s="1" t="n">
        <v>44593</v>
      </c>
      <c r="C574" s="1" t="n">
        <v>45933</v>
      </c>
      <c r="D574" t="inlineStr">
        <is>
          <t>UPPSALA LÄN</t>
        </is>
      </c>
      <c r="E574" t="inlineStr">
        <is>
          <t>UPPSALA</t>
        </is>
      </c>
      <c r="F574" t="inlineStr">
        <is>
          <t>BillerudKorsnäs AB</t>
        </is>
      </c>
      <c r="G574" t="n">
        <v>1.4</v>
      </c>
      <c r="H574" t="n">
        <v>0</v>
      </c>
      <c r="I574" t="n">
        <v>0</v>
      </c>
      <c r="J574" t="n">
        <v>0</v>
      </c>
      <c r="K574" t="n">
        <v>0</v>
      </c>
      <c r="L574" t="n">
        <v>0</v>
      </c>
      <c r="M574" t="n">
        <v>0</v>
      </c>
      <c r="N574" t="n">
        <v>0</v>
      </c>
      <c r="O574" t="n">
        <v>0</v>
      </c>
      <c r="P574" t="n">
        <v>0</v>
      </c>
      <c r="Q574" t="n">
        <v>0</v>
      </c>
      <c r="R574" s="2" t="inlineStr"/>
    </row>
    <row r="575" ht="15" customHeight="1">
      <c r="A575" t="inlineStr">
        <is>
          <t>A 17593-2025</t>
        </is>
      </c>
      <c r="B575" s="1" t="n">
        <v>45757.6997337963</v>
      </c>
      <c r="C575" s="1" t="n">
        <v>45933</v>
      </c>
      <c r="D575" t="inlineStr">
        <is>
          <t>UPPSALA LÄN</t>
        </is>
      </c>
      <c r="E575" t="inlineStr">
        <is>
          <t>UPPSALA</t>
        </is>
      </c>
      <c r="G575" t="n">
        <v>3.6</v>
      </c>
      <c r="H575" t="n">
        <v>0</v>
      </c>
      <c r="I575" t="n">
        <v>0</v>
      </c>
      <c r="J575" t="n">
        <v>0</v>
      </c>
      <c r="K575" t="n">
        <v>0</v>
      </c>
      <c r="L575" t="n">
        <v>0</v>
      </c>
      <c r="M575" t="n">
        <v>0</v>
      </c>
      <c r="N575" t="n">
        <v>0</v>
      </c>
      <c r="O575" t="n">
        <v>0</v>
      </c>
      <c r="P575" t="n">
        <v>0</v>
      </c>
      <c r="Q575" t="n">
        <v>0</v>
      </c>
      <c r="R575" s="2" t="inlineStr"/>
    </row>
    <row r="576" ht="15" customHeight="1">
      <c r="A576" t="inlineStr">
        <is>
          <t>A 17596-2025</t>
        </is>
      </c>
      <c r="B576" s="1" t="n">
        <v>45757</v>
      </c>
      <c r="C576" s="1" t="n">
        <v>45933</v>
      </c>
      <c r="D576" t="inlineStr">
        <is>
          <t>UPPSALA LÄN</t>
        </is>
      </c>
      <c r="E576" t="inlineStr">
        <is>
          <t>UPPSALA</t>
        </is>
      </c>
      <c r="G576" t="n">
        <v>4.8</v>
      </c>
      <c r="H576" t="n">
        <v>0</v>
      </c>
      <c r="I576" t="n">
        <v>0</v>
      </c>
      <c r="J576" t="n">
        <v>0</v>
      </c>
      <c r="K576" t="n">
        <v>0</v>
      </c>
      <c r="L576" t="n">
        <v>0</v>
      </c>
      <c r="M576" t="n">
        <v>0</v>
      </c>
      <c r="N576" t="n">
        <v>0</v>
      </c>
      <c r="O576" t="n">
        <v>0</v>
      </c>
      <c r="P576" t="n">
        <v>0</v>
      </c>
      <c r="Q576" t="n">
        <v>0</v>
      </c>
      <c r="R576" s="2" t="inlineStr"/>
    </row>
    <row r="577" ht="15" customHeight="1">
      <c r="A577" t="inlineStr">
        <is>
          <t>A 57871-2024</t>
        </is>
      </c>
      <c r="B577" s="1" t="n">
        <v>45631.44464120371</v>
      </c>
      <c r="C577" s="1" t="n">
        <v>45933</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9984-2025</t>
        </is>
      </c>
      <c r="B578" s="1" t="n">
        <v>45719.42197916667</v>
      </c>
      <c r="C578" s="1" t="n">
        <v>45933</v>
      </c>
      <c r="D578" t="inlineStr">
        <is>
          <t>UPPSALA LÄN</t>
        </is>
      </c>
      <c r="E578" t="inlineStr">
        <is>
          <t>UPPSALA</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9991-2025</t>
        </is>
      </c>
      <c r="B579" s="1" t="n">
        <v>45719.43646990741</v>
      </c>
      <c r="C579" s="1" t="n">
        <v>45933</v>
      </c>
      <c r="D579" t="inlineStr">
        <is>
          <t>UPPSALA LÄN</t>
        </is>
      </c>
      <c r="E579" t="inlineStr">
        <is>
          <t>UPPSALA</t>
        </is>
      </c>
      <c r="F579" t="inlineStr">
        <is>
          <t>Kyrkan</t>
        </is>
      </c>
      <c r="G579" t="n">
        <v>6.1</v>
      </c>
      <c r="H579" t="n">
        <v>0</v>
      </c>
      <c r="I579" t="n">
        <v>0</v>
      </c>
      <c r="J579" t="n">
        <v>0</v>
      </c>
      <c r="K579" t="n">
        <v>0</v>
      </c>
      <c r="L579" t="n">
        <v>0</v>
      </c>
      <c r="M579" t="n">
        <v>0</v>
      </c>
      <c r="N579" t="n">
        <v>0</v>
      </c>
      <c r="O579" t="n">
        <v>0</v>
      </c>
      <c r="P579" t="n">
        <v>0</v>
      </c>
      <c r="Q579" t="n">
        <v>0</v>
      </c>
      <c r="R579" s="2" t="inlineStr"/>
    </row>
    <row r="580" ht="15" customHeight="1">
      <c r="A580" t="inlineStr">
        <is>
          <t>A 6971-2025</t>
        </is>
      </c>
      <c r="B580" s="1" t="n">
        <v>45693</v>
      </c>
      <c r="C580" s="1" t="n">
        <v>45933</v>
      </c>
      <c r="D580" t="inlineStr">
        <is>
          <t>UPPSALA LÄN</t>
        </is>
      </c>
      <c r="E580" t="inlineStr">
        <is>
          <t>UPPSALA</t>
        </is>
      </c>
      <c r="G580" t="n">
        <v>1.7</v>
      </c>
      <c r="H580" t="n">
        <v>0</v>
      </c>
      <c r="I580" t="n">
        <v>0</v>
      </c>
      <c r="J580" t="n">
        <v>0</v>
      </c>
      <c r="K580" t="n">
        <v>0</v>
      </c>
      <c r="L580" t="n">
        <v>0</v>
      </c>
      <c r="M580" t="n">
        <v>0</v>
      </c>
      <c r="N580" t="n">
        <v>0</v>
      </c>
      <c r="O580" t="n">
        <v>0</v>
      </c>
      <c r="P580" t="n">
        <v>0</v>
      </c>
      <c r="Q580" t="n">
        <v>0</v>
      </c>
      <c r="R580" s="2" t="inlineStr"/>
    </row>
    <row r="581" ht="15" customHeight="1">
      <c r="A581" t="inlineStr">
        <is>
          <t>A 53384-2024</t>
        </is>
      </c>
      <c r="B581" s="1" t="n">
        <v>45614</v>
      </c>
      <c r="C581" s="1" t="n">
        <v>45933</v>
      </c>
      <c r="D581" t="inlineStr">
        <is>
          <t>UPPSALA LÄN</t>
        </is>
      </c>
      <c r="E581" t="inlineStr">
        <is>
          <t>UPPSALA</t>
        </is>
      </c>
      <c r="G581" t="n">
        <v>3.7</v>
      </c>
      <c r="H581" t="n">
        <v>0</v>
      </c>
      <c r="I581" t="n">
        <v>0</v>
      </c>
      <c r="J581" t="n">
        <v>0</v>
      </c>
      <c r="K581" t="n">
        <v>0</v>
      </c>
      <c r="L581" t="n">
        <v>0</v>
      </c>
      <c r="M581" t="n">
        <v>0</v>
      </c>
      <c r="N581" t="n">
        <v>0</v>
      </c>
      <c r="O581" t="n">
        <v>0</v>
      </c>
      <c r="P581" t="n">
        <v>0</v>
      </c>
      <c r="Q581" t="n">
        <v>0</v>
      </c>
      <c r="R581" s="2" t="inlineStr"/>
    </row>
    <row r="582" ht="15" customHeight="1">
      <c r="A582" t="inlineStr">
        <is>
          <t>A 9982-2025</t>
        </is>
      </c>
      <c r="B582" s="1" t="n">
        <v>45719.4094212963</v>
      </c>
      <c r="C582" s="1" t="n">
        <v>45933</v>
      </c>
      <c r="D582" t="inlineStr">
        <is>
          <t>UPPSALA LÄN</t>
        </is>
      </c>
      <c r="E582" t="inlineStr">
        <is>
          <t>UPPSALA</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44385-2025</t>
        </is>
      </c>
      <c r="B583" s="1" t="n">
        <v>45916.48704861111</v>
      </c>
      <c r="C583" s="1" t="n">
        <v>45933</v>
      </c>
      <c r="D583" t="inlineStr">
        <is>
          <t>UPPSALA LÄN</t>
        </is>
      </c>
      <c r="E583" t="inlineStr">
        <is>
          <t>UPPSALA</t>
        </is>
      </c>
      <c r="F583" t="inlineStr">
        <is>
          <t>Bergvik skog öst AB</t>
        </is>
      </c>
      <c r="G583" t="n">
        <v>6.8</v>
      </c>
      <c r="H583" t="n">
        <v>0</v>
      </c>
      <c r="I583" t="n">
        <v>0</v>
      </c>
      <c r="J583" t="n">
        <v>0</v>
      </c>
      <c r="K583" t="n">
        <v>0</v>
      </c>
      <c r="L583" t="n">
        <v>0</v>
      </c>
      <c r="M583" t="n">
        <v>0</v>
      </c>
      <c r="N583" t="n">
        <v>0</v>
      </c>
      <c r="O583" t="n">
        <v>0</v>
      </c>
      <c r="P583" t="n">
        <v>0</v>
      </c>
      <c r="Q583" t="n">
        <v>0</v>
      </c>
      <c r="R583" s="2" t="inlineStr"/>
    </row>
    <row r="584" ht="15" customHeight="1">
      <c r="A584" t="inlineStr">
        <is>
          <t>A 9995-2025</t>
        </is>
      </c>
      <c r="B584" s="1" t="n">
        <v>45719.43872685185</v>
      </c>
      <c r="C584" s="1" t="n">
        <v>45933</v>
      </c>
      <c r="D584" t="inlineStr">
        <is>
          <t>UPPSALA LÄN</t>
        </is>
      </c>
      <c r="E584" t="inlineStr">
        <is>
          <t>UPPSALA</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35542-2022</t>
        </is>
      </c>
      <c r="B585" s="1" t="n">
        <v>44799.36695601852</v>
      </c>
      <c r="C585" s="1" t="n">
        <v>45933</v>
      </c>
      <c r="D585" t="inlineStr">
        <is>
          <t>UPPSALA LÄN</t>
        </is>
      </c>
      <c r="E585" t="inlineStr">
        <is>
          <t>UPPSALA</t>
        </is>
      </c>
      <c r="G585" t="n">
        <v>3.2</v>
      </c>
      <c r="H585" t="n">
        <v>0</v>
      </c>
      <c r="I585" t="n">
        <v>0</v>
      </c>
      <c r="J585" t="n">
        <v>0</v>
      </c>
      <c r="K585" t="n">
        <v>0</v>
      </c>
      <c r="L585" t="n">
        <v>0</v>
      </c>
      <c r="M585" t="n">
        <v>0</v>
      </c>
      <c r="N585" t="n">
        <v>0</v>
      </c>
      <c r="O585" t="n">
        <v>0</v>
      </c>
      <c r="P585" t="n">
        <v>0</v>
      </c>
      <c r="Q585" t="n">
        <v>0</v>
      </c>
      <c r="R585" s="2" t="inlineStr"/>
    </row>
    <row r="586" ht="15" customHeight="1">
      <c r="A586" t="inlineStr">
        <is>
          <t>A 43903-2025</t>
        </is>
      </c>
      <c r="B586" s="1" t="n">
        <v>45913.39467592593</v>
      </c>
      <c r="C586" s="1" t="n">
        <v>45933</v>
      </c>
      <c r="D586" t="inlineStr">
        <is>
          <t>UPPSALA LÄN</t>
        </is>
      </c>
      <c r="E586" t="inlineStr">
        <is>
          <t>UPPSALA</t>
        </is>
      </c>
      <c r="F586" t="inlineStr">
        <is>
          <t>Bergvik skog öst AB</t>
        </is>
      </c>
      <c r="G586" t="n">
        <v>3.5</v>
      </c>
      <c r="H586" t="n">
        <v>0</v>
      </c>
      <c r="I586" t="n">
        <v>0</v>
      </c>
      <c r="J586" t="n">
        <v>0</v>
      </c>
      <c r="K586" t="n">
        <v>0</v>
      </c>
      <c r="L586" t="n">
        <v>0</v>
      </c>
      <c r="M586" t="n">
        <v>0</v>
      </c>
      <c r="N586" t="n">
        <v>0</v>
      </c>
      <c r="O586" t="n">
        <v>0</v>
      </c>
      <c r="P586" t="n">
        <v>0</v>
      </c>
      <c r="Q586" t="n">
        <v>0</v>
      </c>
      <c r="R586" s="2" t="inlineStr"/>
    </row>
    <row r="587" ht="15" customHeight="1">
      <c r="A587" t="inlineStr">
        <is>
          <t>A 13128-2022</t>
        </is>
      </c>
      <c r="B587" s="1" t="n">
        <v>44644.37548611111</v>
      </c>
      <c r="C587" s="1" t="n">
        <v>45933</v>
      </c>
      <c r="D587" t="inlineStr">
        <is>
          <t>UPPSALA LÄN</t>
        </is>
      </c>
      <c r="E587" t="inlineStr">
        <is>
          <t>UPPSALA</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44470-2025</t>
        </is>
      </c>
      <c r="B588" s="1" t="n">
        <v>45916.64233796296</v>
      </c>
      <c r="C588" s="1" t="n">
        <v>45933</v>
      </c>
      <c r="D588" t="inlineStr">
        <is>
          <t>UPPSALA LÄN</t>
        </is>
      </c>
      <c r="E588" t="inlineStr">
        <is>
          <t>UPPSALA</t>
        </is>
      </c>
      <c r="G588" t="n">
        <v>0.5</v>
      </c>
      <c r="H588" t="n">
        <v>0</v>
      </c>
      <c r="I588" t="n">
        <v>0</v>
      </c>
      <c r="J588" t="n">
        <v>0</v>
      </c>
      <c r="K588" t="n">
        <v>0</v>
      </c>
      <c r="L588" t="n">
        <v>0</v>
      </c>
      <c r="M588" t="n">
        <v>0</v>
      </c>
      <c r="N588" t="n">
        <v>0</v>
      </c>
      <c r="O588" t="n">
        <v>0</v>
      </c>
      <c r="P588" t="n">
        <v>0</v>
      </c>
      <c r="Q588" t="n">
        <v>0</v>
      </c>
      <c r="R588" s="2" t="inlineStr"/>
    </row>
    <row r="589" ht="15" customHeight="1">
      <c r="A589" t="inlineStr">
        <is>
          <t>A 36913-2025</t>
        </is>
      </c>
      <c r="B589" s="1" t="n">
        <v>45874</v>
      </c>
      <c r="C589" s="1" t="n">
        <v>45933</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37763-2021</t>
        </is>
      </c>
      <c r="B590" s="1" t="n">
        <v>44400.6750925926</v>
      </c>
      <c r="C590" s="1" t="n">
        <v>45933</v>
      </c>
      <c r="D590" t="inlineStr">
        <is>
          <t>UPPSALA LÄN</t>
        </is>
      </c>
      <c r="E590" t="inlineStr">
        <is>
          <t>UPPSALA</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59585-2023</t>
        </is>
      </c>
      <c r="B591" s="1" t="n">
        <v>45254</v>
      </c>
      <c r="C591" s="1" t="n">
        <v>45933</v>
      </c>
      <c r="D591" t="inlineStr">
        <is>
          <t>UPPSALA LÄN</t>
        </is>
      </c>
      <c r="E591" t="inlineStr">
        <is>
          <t>UPPSALA</t>
        </is>
      </c>
      <c r="G591" t="n">
        <v>4.4</v>
      </c>
      <c r="H591" t="n">
        <v>0</v>
      </c>
      <c r="I591" t="n">
        <v>0</v>
      </c>
      <c r="J591" t="n">
        <v>0</v>
      </c>
      <c r="K591" t="n">
        <v>0</v>
      </c>
      <c r="L591" t="n">
        <v>0</v>
      </c>
      <c r="M591" t="n">
        <v>0</v>
      </c>
      <c r="N591" t="n">
        <v>0</v>
      </c>
      <c r="O591" t="n">
        <v>0</v>
      </c>
      <c r="P591" t="n">
        <v>0</v>
      </c>
      <c r="Q591" t="n">
        <v>0</v>
      </c>
      <c r="R591" s="2" t="inlineStr"/>
    </row>
    <row r="592" ht="15" customHeight="1">
      <c r="A592" t="inlineStr">
        <is>
          <t>A 3813-2024</t>
        </is>
      </c>
      <c r="B592" s="1" t="n">
        <v>45321</v>
      </c>
      <c r="C592" s="1" t="n">
        <v>45933</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37820-2021</t>
        </is>
      </c>
      <c r="B593" s="1" t="n">
        <v>44403.3119212963</v>
      </c>
      <c r="C593" s="1" t="n">
        <v>45933</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3260-2024</t>
        </is>
      </c>
      <c r="B594" s="1" t="n">
        <v>45317</v>
      </c>
      <c r="C594" s="1" t="n">
        <v>45933</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17595-2025</t>
        </is>
      </c>
      <c r="B595" s="1" t="n">
        <v>45757</v>
      </c>
      <c r="C595" s="1" t="n">
        <v>45933</v>
      </c>
      <c r="D595" t="inlineStr">
        <is>
          <t>UPPSALA LÄN</t>
        </is>
      </c>
      <c r="E595" t="inlineStr">
        <is>
          <t>UPPSALA</t>
        </is>
      </c>
      <c r="G595" t="n">
        <v>2.7</v>
      </c>
      <c r="H595" t="n">
        <v>0</v>
      </c>
      <c r="I595" t="n">
        <v>0</v>
      </c>
      <c r="J595" t="n">
        <v>0</v>
      </c>
      <c r="K595" t="n">
        <v>0</v>
      </c>
      <c r="L595" t="n">
        <v>0</v>
      </c>
      <c r="M595" t="n">
        <v>0</v>
      </c>
      <c r="N595" t="n">
        <v>0</v>
      </c>
      <c r="O595" t="n">
        <v>0</v>
      </c>
      <c r="P595" t="n">
        <v>0</v>
      </c>
      <c r="Q595" t="n">
        <v>0</v>
      </c>
      <c r="R595" s="2" t="inlineStr"/>
    </row>
    <row r="596" ht="15" customHeight="1">
      <c r="A596" t="inlineStr">
        <is>
          <t>A 46983-2025</t>
        </is>
      </c>
      <c r="B596" s="1" t="n">
        <v>45929.53203703704</v>
      </c>
      <c r="C596" s="1" t="n">
        <v>45933</v>
      </c>
      <c r="D596" t="inlineStr">
        <is>
          <t>UPPSALA LÄN</t>
        </is>
      </c>
      <c r="E596" t="inlineStr">
        <is>
          <t>UPPSALA</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32928-2025</t>
        </is>
      </c>
      <c r="B597" s="1" t="n">
        <v>45839</v>
      </c>
      <c r="C597" s="1" t="n">
        <v>45933</v>
      </c>
      <c r="D597" t="inlineStr">
        <is>
          <t>UPPSALA LÄN</t>
        </is>
      </c>
      <c r="E597" t="inlineStr">
        <is>
          <t>UPPSALA</t>
        </is>
      </c>
      <c r="G597" t="n">
        <v>0.8</v>
      </c>
      <c r="H597" t="n">
        <v>0</v>
      </c>
      <c r="I597" t="n">
        <v>0</v>
      </c>
      <c r="J597" t="n">
        <v>0</v>
      </c>
      <c r="K597" t="n">
        <v>0</v>
      </c>
      <c r="L597" t="n">
        <v>0</v>
      </c>
      <c r="M597" t="n">
        <v>0</v>
      </c>
      <c r="N597" t="n">
        <v>0</v>
      </c>
      <c r="O597" t="n">
        <v>0</v>
      </c>
      <c r="P597" t="n">
        <v>0</v>
      </c>
      <c r="Q597" t="n">
        <v>0</v>
      </c>
      <c r="R597" s="2" t="inlineStr"/>
    </row>
    <row r="598" ht="15" customHeight="1">
      <c r="A598" t="inlineStr">
        <is>
          <t>A 9611-2024</t>
        </is>
      </c>
      <c r="B598" s="1" t="n">
        <v>45361.57299768519</v>
      </c>
      <c r="C598" s="1" t="n">
        <v>45933</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37010-2025</t>
        </is>
      </c>
      <c r="B599" s="1" t="n">
        <v>45874.705</v>
      </c>
      <c r="C599" s="1" t="n">
        <v>45933</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44226-2025</t>
        </is>
      </c>
      <c r="B600" s="1" t="n">
        <v>45915.64064814815</v>
      </c>
      <c r="C600" s="1" t="n">
        <v>45933</v>
      </c>
      <c r="D600" t="inlineStr">
        <is>
          <t>UPPSALA LÄN</t>
        </is>
      </c>
      <c r="E600" t="inlineStr">
        <is>
          <t>UPPSALA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47131-2025</t>
        </is>
      </c>
      <c r="B601" s="1" t="n">
        <v>45929.69553240741</v>
      </c>
      <c r="C601" s="1" t="n">
        <v>45933</v>
      </c>
      <c r="D601" t="inlineStr">
        <is>
          <t>UPPSALA LÄN</t>
        </is>
      </c>
      <c r="E601" t="inlineStr">
        <is>
          <t>UPPSALA</t>
        </is>
      </c>
      <c r="F601" t="inlineStr">
        <is>
          <t>Kyrkan</t>
        </is>
      </c>
      <c r="G601" t="n">
        <v>1.9</v>
      </c>
      <c r="H601" t="n">
        <v>0</v>
      </c>
      <c r="I601" t="n">
        <v>0</v>
      </c>
      <c r="J601" t="n">
        <v>0</v>
      </c>
      <c r="K601" t="n">
        <v>0</v>
      </c>
      <c r="L601" t="n">
        <v>0</v>
      </c>
      <c r="M601" t="n">
        <v>0</v>
      </c>
      <c r="N601" t="n">
        <v>0</v>
      </c>
      <c r="O601" t="n">
        <v>0</v>
      </c>
      <c r="P601" t="n">
        <v>0</v>
      </c>
      <c r="Q601" t="n">
        <v>0</v>
      </c>
      <c r="R601" s="2" t="inlineStr"/>
    </row>
    <row r="602" ht="15" customHeight="1">
      <c r="A602" t="inlineStr">
        <is>
          <t>A 47132-2025</t>
        </is>
      </c>
      <c r="B602" s="1" t="n">
        <v>45929.6965162037</v>
      </c>
      <c r="C602" s="1" t="n">
        <v>45933</v>
      </c>
      <c r="D602" t="inlineStr">
        <is>
          <t>UPPSALA LÄN</t>
        </is>
      </c>
      <c r="E602" t="inlineStr">
        <is>
          <t>UPPSALA</t>
        </is>
      </c>
      <c r="F602" t="inlineStr">
        <is>
          <t>Kyrkan</t>
        </is>
      </c>
      <c r="G602" t="n">
        <v>1.9</v>
      </c>
      <c r="H602" t="n">
        <v>0</v>
      </c>
      <c r="I602" t="n">
        <v>0</v>
      </c>
      <c r="J602" t="n">
        <v>0</v>
      </c>
      <c r="K602" t="n">
        <v>0</v>
      </c>
      <c r="L602" t="n">
        <v>0</v>
      </c>
      <c r="M602" t="n">
        <v>0</v>
      </c>
      <c r="N602" t="n">
        <v>0</v>
      </c>
      <c r="O602" t="n">
        <v>0</v>
      </c>
      <c r="P602" t="n">
        <v>0</v>
      </c>
      <c r="Q602" t="n">
        <v>0</v>
      </c>
      <c r="R602" s="2" t="inlineStr"/>
    </row>
    <row r="603" ht="15" customHeight="1">
      <c r="A603" t="inlineStr">
        <is>
          <t>A 9295-2023</t>
        </is>
      </c>
      <c r="B603" s="1" t="n">
        <v>44980</v>
      </c>
      <c r="C603" s="1" t="n">
        <v>45933</v>
      </c>
      <c r="D603" t="inlineStr">
        <is>
          <t>UPPSALA LÄN</t>
        </is>
      </c>
      <c r="E603" t="inlineStr">
        <is>
          <t>UPPSALA</t>
        </is>
      </c>
      <c r="G603" t="n">
        <v>2.1</v>
      </c>
      <c r="H603" t="n">
        <v>0</v>
      </c>
      <c r="I603" t="n">
        <v>0</v>
      </c>
      <c r="J603" t="n">
        <v>0</v>
      </c>
      <c r="K603" t="n">
        <v>0</v>
      </c>
      <c r="L603" t="n">
        <v>0</v>
      </c>
      <c r="M603" t="n">
        <v>0</v>
      </c>
      <c r="N603" t="n">
        <v>0</v>
      </c>
      <c r="O603" t="n">
        <v>0</v>
      </c>
      <c r="P603" t="n">
        <v>0</v>
      </c>
      <c r="Q603" t="n">
        <v>0</v>
      </c>
      <c r="R603" s="2" t="inlineStr"/>
    </row>
    <row r="604" ht="15" customHeight="1">
      <c r="A604" t="inlineStr">
        <is>
          <t>A 37352-2025</t>
        </is>
      </c>
      <c r="B604" s="1" t="n">
        <v>45876</v>
      </c>
      <c r="C604" s="1" t="n">
        <v>45933</v>
      </c>
      <c r="D604" t="inlineStr">
        <is>
          <t>UPPSALA LÄN</t>
        </is>
      </c>
      <c r="E604" t="inlineStr">
        <is>
          <t>UPPSALA</t>
        </is>
      </c>
      <c r="G604" t="n">
        <v>2.6</v>
      </c>
      <c r="H604" t="n">
        <v>0</v>
      </c>
      <c r="I604" t="n">
        <v>0</v>
      </c>
      <c r="J604" t="n">
        <v>0</v>
      </c>
      <c r="K604" t="n">
        <v>0</v>
      </c>
      <c r="L604" t="n">
        <v>0</v>
      </c>
      <c r="M604" t="n">
        <v>0</v>
      </c>
      <c r="N604" t="n">
        <v>0</v>
      </c>
      <c r="O604" t="n">
        <v>0</v>
      </c>
      <c r="P604" t="n">
        <v>0</v>
      </c>
      <c r="Q604" t="n">
        <v>0</v>
      </c>
      <c r="R604" s="2" t="inlineStr"/>
    </row>
    <row r="605" ht="15" customHeight="1">
      <c r="A605" t="inlineStr">
        <is>
          <t>A 44813-2025</t>
        </is>
      </c>
      <c r="B605" s="1" t="n">
        <v>45918.37322916667</v>
      </c>
      <c r="C605" s="1" t="n">
        <v>45933</v>
      </c>
      <c r="D605" t="inlineStr">
        <is>
          <t>UPPSALA LÄN</t>
        </is>
      </c>
      <c r="E605" t="inlineStr">
        <is>
          <t>UPPSALA</t>
        </is>
      </c>
      <c r="G605" t="n">
        <v>1.4</v>
      </c>
      <c r="H605" t="n">
        <v>0</v>
      </c>
      <c r="I605" t="n">
        <v>0</v>
      </c>
      <c r="J605" t="n">
        <v>0</v>
      </c>
      <c r="K605" t="n">
        <v>0</v>
      </c>
      <c r="L605" t="n">
        <v>0</v>
      </c>
      <c r="M605" t="n">
        <v>0</v>
      </c>
      <c r="N605" t="n">
        <v>0</v>
      </c>
      <c r="O605" t="n">
        <v>0</v>
      </c>
      <c r="P605" t="n">
        <v>0</v>
      </c>
      <c r="Q605" t="n">
        <v>0</v>
      </c>
      <c r="R605" s="2" t="inlineStr"/>
    </row>
    <row r="606" ht="15" customHeight="1">
      <c r="A606" t="inlineStr">
        <is>
          <t>A 63307-2021</t>
        </is>
      </c>
      <c r="B606" s="1" t="n">
        <v>44508.44033564815</v>
      </c>
      <c r="C606" s="1" t="n">
        <v>45933</v>
      </c>
      <c r="D606" t="inlineStr">
        <is>
          <t>UPPSALA LÄN</t>
        </is>
      </c>
      <c r="E606" t="inlineStr">
        <is>
          <t>UPPSALA</t>
        </is>
      </c>
      <c r="F606" t="inlineStr">
        <is>
          <t>Bergvik skog öst AB</t>
        </is>
      </c>
      <c r="G606" t="n">
        <v>2.8</v>
      </c>
      <c r="H606" t="n">
        <v>0</v>
      </c>
      <c r="I606" t="n">
        <v>0</v>
      </c>
      <c r="J606" t="n">
        <v>0</v>
      </c>
      <c r="K606" t="n">
        <v>0</v>
      </c>
      <c r="L606" t="n">
        <v>0</v>
      </c>
      <c r="M606" t="n">
        <v>0</v>
      </c>
      <c r="N606" t="n">
        <v>0</v>
      </c>
      <c r="O606" t="n">
        <v>0</v>
      </c>
      <c r="P606" t="n">
        <v>0</v>
      </c>
      <c r="Q606" t="n">
        <v>0</v>
      </c>
      <c r="R606" s="2" t="inlineStr"/>
    </row>
    <row r="607" ht="15" customHeight="1">
      <c r="A607" t="inlineStr">
        <is>
          <t>A 39107-2023</t>
        </is>
      </c>
      <c r="B607" s="1" t="n">
        <v>45164.82913194445</v>
      </c>
      <c r="C607" s="1" t="n">
        <v>45933</v>
      </c>
      <c r="D607" t="inlineStr">
        <is>
          <t>UPPSALA LÄN</t>
        </is>
      </c>
      <c r="E607" t="inlineStr">
        <is>
          <t>UPPSALA</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66690-2021</t>
        </is>
      </c>
      <c r="B608" s="1" t="n">
        <v>44519.64902777778</v>
      </c>
      <c r="C608" s="1" t="n">
        <v>45933</v>
      </c>
      <c r="D608" t="inlineStr">
        <is>
          <t>UPPSALA LÄN</t>
        </is>
      </c>
      <c r="E608" t="inlineStr">
        <is>
          <t>UPPSALA</t>
        </is>
      </c>
      <c r="G608" t="n">
        <v>2.2</v>
      </c>
      <c r="H608" t="n">
        <v>0</v>
      </c>
      <c r="I608" t="n">
        <v>0</v>
      </c>
      <c r="J608" t="n">
        <v>0</v>
      </c>
      <c r="K608" t="n">
        <v>0</v>
      </c>
      <c r="L608" t="n">
        <v>0</v>
      </c>
      <c r="M608" t="n">
        <v>0</v>
      </c>
      <c r="N608" t="n">
        <v>0</v>
      </c>
      <c r="O608" t="n">
        <v>0</v>
      </c>
      <c r="P608" t="n">
        <v>0</v>
      </c>
      <c r="Q608" t="n">
        <v>0</v>
      </c>
      <c r="R608" s="2" t="inlineStr"/>
    </row>
    <row r="609" ht="15" customHeight="1">
      <c r="A609" t="inlineStr">
        <is>
          <t>A 8109-2024</t>
        </is>
      </c>
      <c r="B609" s="1" t="n">
        <v>45351.48662037037</v>
      </c>
      <c r="C609" s="1" t="n">
        <v>45933</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41954-2025</t>
        </is>
      </c>
      <c r="B610" s="1" t="n">
        <v>45903</v>
      </c>
      <c r="C610" s="1" t="n">
        <v>45933</v>
      </c>
      <c r="D610" t="inlineStr">
        <is>
          <t>UPPSALA LÄN</t>
        </is>
      </c>
      <c r="E610" t="inlineStr">
        <is>
          <t>UPPSALA</t>
        </is>
      </c>
      <c r="G610" t="n">
        <v>7.5</v>
      </c>
      <c r="H610" t="n">
        <v>0</v>
      </c>
      <c r="I610" t="n">
        <v>0</v>
      </c>
      <c r="J610" t="n">
        <v>0</v>
      </c>
      <c r="K610" t="n">
        <v>0</v>
      </c>
      <c r="L610" t="n">
        <v>0</v>
      </c>
      <c r="M610" t="n">
        <v>0</v>
      </c>
      <c r="N610" t="n">
        <v>0</v>
      </c>
      <c r="O610" t="n">
        <v>0</v>
      </c>
      <c r="P610" t="n">
        <v>0</v>
      </c>
      <c r="Q610" t="n">
        <v>0</v>
      </c>
      <c r="R610" s="2" t="inlineStr"/>
    </row>
    <row r="611" ht="15" customHeight="1">
      <c r="A611" t="inlineStr">
        <is>
          <t>A 554-2023</t>
        </is>
      </c>
      <c r="B611" s="1" t="n">
        <v>44930</v>
      </c>
      <c r="C611" s="1" t="n">
        <v>45933</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37351-2025</t>
        </is>
      </c>
      <c r="B612" s="1" t="n">
        <v>45876</v>
      </c>
      <c r="C612" s="1" t="n">
        <v>45933</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62044-2024</t>
        </is>
      </c>
      <c r="B613" s="1" t="n">
        <v>45656</v>
      </c>
      <c r="C613" s="1" t="n">
        <v>45933</v>
      </c>
      <c r="D613" t="inlineStr">
        <is>
          <t>UPPSALA LÄN</t>
        </is>
      </c>
      <c r="E613" t="inlineStr">
        <is>
          <t>UPPSALA</t>
        </is>
      </c>
      <c r="F613" t="inlineStr">
        <is>
          <t>Övriga statliga verk och myndigheter</t>
        </is>
      </c>
      <c r="G613" t="n">
        <v>11.6</v>
      </c>
      <c r="H613" t="n">
        <v>0</v>
      </c>
      <c r="I613" t="n">
        <v>0</v>
      </c>
      <c r="J613" t="n">
        <v>0</v>
      </c>
      <c r="K613" t="n">
        <v>0</v>
      </c>
      <c r="L613" t="n">
        <v>0</v>
      </c>
      <c r="M613" t="n">
        <v>0</v>
      </c>
      <c r="N613" t="n">
        <v>0</v>
      </c>
      <c r="O613" t="n">
        <v>0</v>
      </c>
      <c r="P613" t="n">
        <v>0</v>
      </c>
      <c r="Q613" t="n">
        <v>0</v>
      </c>
      <c r="R613" s="2" t="inlineStr"/>
    </row>
    <row r="614" ht="15" customHeight="1">
      <c r="A614" t="inlineStr">
        <is>
          <t>A 27912-2023</t>
        </is>
      </c>
      <c r="B614" s="1" t="n">
        <v>45098.63572916666</v>
      </c>
      <c r="C614" s="1" t="n">
        <v>45933</v>
      </c>
      <c r="D614" t="inlineStr">
        <is>
          <t>UPPSALA LÄN</t>
        </is>
      </c>
      <c r="E614" t="inlineStr">
        <is>
          <t>UPPSALA</t>
        </is>
      </c>
      <c r="G614" t="n">
        <v>1.3</v>
      </c>
      <c r="H614" t="n">
        <v>0</v>
      </c>
      <c r="I614" t="n">
        <v>0</v>
      </c>
      <c r="J614" t="n">
        <v>0</v>
      </c>
      <c r="K614" t="n">
        <v>0</v>
      </c>
      <c r="L614" t="n">
        <v>0</v>
      </c>
      <c r="M614" t="n">
        <v>0</v>
      </c>
      <c r="N614" t="n">
        <v>0</v>
      </c>
      <c r="O614" t="n">
        <v>0</v>
      </c>
      <c r="P614" t="n">
        <v>0</v>
      </c>
      <c r="Q614" t="n">
        <v>0</v>
      </c>
      <c r="R614" s="2" t="inlineStr"/>
    </row>
    <row r="615" ht="15" customHeight="1">
      <c r="A615" t="inlineStr">
        <is>
          <t>A 47316-2025</t>
        </is>
      </c>
      <c r="B615" s="1" t="n">
        <v>45930.55024305556</v>
      </c>
      <c r="C615" s="1" t="n">
        <v>45933</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2357-2024</t>
        </is>
      </c>
      <c r="B616" s="1" t="n">
        <v>45310</v>
      </c>
      <c r="C616" s="1" t="n">
        <v>45933</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39529-2025</t>
        </is>
      </c>
      <c r="B617" s="1" t="n">
        <v>45890</v>
      </c>
      <c r="C617" s="1" t="n">
        <v>45933</v>
      </c>
      <c r="D617" t="inlineStr">
        <is>
          <t>UPPSALA LÄN</t>
        </is>
      </c>
      <c r="E617" t="inlineStr">
        <is>
          <t>UPPSALA</t>
        </is>
      </c>
      <c r="F617" t="inlineStr">
        <is>
          <t>Allmännings- och besparingsskogar</t>
        </is>
      </c>
      <c r="G617" t="n">
        <v>3.9</v>
      </c>
      <c r="H617" t="n">
        <v>0</v>
      </c>
      <c r="I617" t="n">
        <v>0</v>
      </c>
      <c r="J617" t="n">
        <v>0</v>
      </c>
      <c r="K617" t="n">
        <v>0</v>
      </c>
      <c r="L617" t="n">
        <v>0</v>
      </c>
      <c r="M617" t="n">
        <v>0</v>
      </c>
      <c r="N617" t="n">
        <v>0</v>
      </c>
      <c r="O617" t="n">
        <v>0</v>
      </c>
      <c r="P617" t="n">
        <v>0</v>
      </c>
      <c r="Q617" t="n">
        <v>0</v>
      </c>
      <c r="R617" s="2" t="inlineStr"/>
    </row>
    <row r="618" ht="15" customHeight="1">
      <c r="A618" t="inlineStr">
        <is>
          <t>A 37468-2025</t>
        </is>
      </c>
      <c r="B618" s="1" t="n">
        <v>45877.57847222222</v>
      </c>
      <c r="C618" s="1" t="n">
        <v>45933</v>
      </c>
      <c r="D618" t="inlineStr">
        <is>
          <t>UPPSALA LÄN</t>
        </is>
      </c>
      <c r="E618" t="inlineStr">
        <is>
          <t>UPPSALA</t>
        </is>
      </c>
      <c r="G618" t="n">
        <v>2.9</v>
      </c>
      <c r="H618" t="n">
        <v>0</v>
      </c>
      <c r="I618" t="n">
        <v>0</v>
      </c>
      <c r="J618" t="n">
        <v>0</v>
      </c>
      <c r="K618" t="n">
        <v>0</v>
      </c>
      <c r="L618" t="n">
        <v>0</v>
      </c>
      <c r="M618" t="n">
        <v>0</v>
      </c>
      <c r="N618" t="n">
        <v>0</v>
      </c>
      <c r="O618" t="n">
        <v>0</v>
      </c>
      <c r="P618" t="n">
        <v>0</v>
      </c>
      <c r="Q618" t="n">
        <v>0</v>
      </c>
      <c r="R618" s="2" t="inlineStr"/>
    </row>
    <row r="619" ht="15" customHeight="1">
      <c r="A619" t="inlineStr">
        <is>
          <t>A 44781-2021</t>
        </is>
      </c>
      <c r="B619" s="1" t="n">
        <v>44438</v>
      </c>
      <c r="C619" s="1" t="n">
        <v>45933</v>
      </c>
      <c r="D619" t="inlineStr">
        <is>
          <t>UPPSALA LÄN</t>
        </is>
      </c>
      <c r="E619" t="inlineStr">
        <is>
          <t>UPPSALA</t>
        </is>
      </c>
      <c r="F619" t="inlineStr">
        <is>
          <t>Sveaskog</t>
        </is>
      </c>
      <c r="G619" t="n">
        <v>0.1</v>
      </c>
      <c r="H619" t="n">
        <v>0</v>
      </c>
      <c r="I619" t="n">
        <v>0</v>
      </c>
      <c r="J619" t="n">
        <v>0</v>
      </c>
      <c r="K619" t="n">
        <v>0</v>
      </c>
      <c r="L619" t="n">
        <v>0</v>
      </c>
      <c r="M619" t="n">
        <v>0</v>
      </c>
      <c r="N619" t="n">
        <v>0</v>
      </c>
      <c r="O619" t="n">
        <v>0</v>
      </c>
      <c r="P619" t="n">
        <v>0</v>
      </c>
      <c r="Q619" t="n">
        <v>0</v>
      </c>
      <c r="R619" s="2" t="inlineStr"/>
    </row>
    <row r="620" ht="15" customHeight="1">
      <c r="A620" t="inlineStr">
        <is>
          <t>A 37557-2025</t>
        </is>
      </c>
      <c r="B620" s="1" t="n">
        <v>45880.32907407408</v>
      </c>
      <c r="C620" s="1" t="n">
        <v>45933</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35016-2025</t>
        </is>
      </c>
      <c r="B621" s="1" t="n">
        <v>45851.62179398148</v>
      </c>
      <c r="C621" s="1" t="n">
        <v>45933</v>
      </c>
      <c r="D621" t="inlineStr">
        <is>
          <t>UPPSALA LÄN</t>
        </is>
      </c>
      <c r="E621" t="inlineStr">
        <is>
          <t>UPPSALA</t>
        </is>
      </c>
      <c r="F621" t="inlineStr">
        <is>
          <t>Bergvik skog öst AB</t>
        </is>
      </c>
      <c r="G621" t="n">
        <v>7</v>
      </c>
      <c r="H621" t="n">
        <v>0</v>
      </c>
      <c r="I621" t="n">
        <v>0</v>
      </c>
      <c r="J621" t="n">
        <v>0</v>
      </c>
      <c r="K621" t="n">
        <v>0</v>
      </c>
      <c r="L621" t="n">
        <v>0</v>
      </c>
      <c r="M621" t="n">
        <v>0</v>
      </c>
      <c r="N621" t="n">
        <v>0</v>
      </c>
      <c r="O621" t="n">
        <v>0</v>
      </c>
      <c r="P621" t="n">
        <v>0</v>
      </c>
      <c r="Q621" t="n">
        <v>0</v>
      </c>
      <c r="R621" s="2" t="inlineStr"/>
    </row>
    <row r="622" ht="15" customHeight="1">
      <c r="A622" t="inlineStr">
        <is>
          <t>A 5764-2025</t>
        </is>
      </c>
      <c r="B622" s="1" t="n">
        <v>45694</v>
      </c>
      <c r="C622" s="1" t="n">
        <v>45933</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47557-2025</t>
        </is>
      </c>
      <c r="B623" s="1" t="n">
        <v>45931.37734953704</v>
      </c>
      <c r="C623" s="1" t="n">
        <v>45933</v>
      </c>
      <c r="D623" t="inlineStr">
        <is>
          <t>UPPSALA LÄN</t>
        </is>
      </c>
      <c r="E623" t="inlineStr">
        <is>
          <t>UPPSALA</t>
        </is>
      </c>
      <c r="F623" t="inlineStr">
        <is>
          <t>Kyrkan</t>
        </is>
      </c>
      <c r="G623" t="n">
        <v>1.9</v>
      </c>
      <c r="H623" t="n">
        <v>0</v>
      </c>
      <c r="I623" t="n">
        <v>0</v>
      </c>
      <c r="J623" t="n">
        <v>0</v>
      </c>
      <c r="K623" t="n">
        <v>0</v>
      </c>
      <c r="L623" t="n">
        <v>0</v>
      </c>
      <c r="M623" t="n">
        <v>0</v>
      </c>
      <c r="N623" t="n">
        <v>0</v>
      </c>
      <c r="O623" t="n">
        <v>0</v>
      </c>
      <c r="P623" t="n">
        <v>0</v>
      </c>
      <c r="Q623" t="n">
        <v>0</v>
      </c>
      <c r="R623" s="2" t="inlineStr"/>
    </row>
    <row r="624" ht="15" customHeight="1">
      <c r="A624" t="inlineStr">
        <is>
          <t>A 47961-2025</t>
        </is>
      </c>
      <c r="B624" s="1" t="n">
        <v>45932.59373842592</v>
      </c>
      <c r="C624" s="1" t="n">
        <v>45933</v>
      </c>
      <c r="D624" t="inlineStr">
        <is>
          <t>UPPSALA LÄN</t>
        </is>
      </c>
      <c r="E624" t="inlineStr">
        <is>
          <t>UPPSALA</t>
        </is>
      </c>
      <c r="F624" t="inlineStr">
        <is>
          <t>Allmännings- och besparingsskogar</t>
        </is>
      </c>
      <c r="G624" t="n">
        <v>1.5</v>
      </c>
      <c r="H624" t="n">
        <v>0</v>
      </c>
      <c r="I624" t="n">
        <v>0</v>
      </c>
      <c r="J624" t="n">
        <v>0</v>
      </c>
      <c r="K624" t="n">
        <v>0</v>
      </c>
      <c r="L624" t="n">
        <v>0</v>
      </c>
      <c r="M624" t="n">
        <v>0</v>
      </c>
      <c r="N624" t="n">
        <v>0</v>
      </c>
      <c r="O624" t="n">
        <v>0</v>
      </c>
      <c r="P624" t="n">
        <v>0</v>
      </c>
      <c r="Q624" t="n">
        <v>0</v>
      </c>
      <c r="R624" s="2" t="inlineStr"/>
    </row>
    <row r="625" ht="15" customHeight="1">
      <c r="A625" t="inlineStr">
        <is>
          <t>A 47999-2025</t>
        </is>
      </c>
      <c r="B625" s="1" t="n">
        <v>45932.62907407407</v>
      </c>
      <c r="C625" s="1" t="n">
        <v>45933</v>
      </c>
      <c r="D625" t="inlineStr">
        <is>
          <t>UPPSALA LÄN</t>
        </is>
      </c>
      <c r="E625" t="inlineStr">
        <is>
          <t>UPPSALA</t>
        </is>
      </c>
      <c r="F625" t="inlineStr">
        <is>
          <t>Allmännings- och besparingsskogar</t>
        </is>
      </c>
      <c r="G625" t="n">
        <v>1</v>
      </c>
      <c r="H625" t="n">
        <v>0</v>
      </c>
      <c r="I625" t="n">
        <v>0</v>
      </c>
      <c r="J625" t="n">
        <v>0</v>
      </c>
      <c r="K625" t="n">
        <v>0</v>
      </c>
      <c r="L625" t="n">
        <v>0</v>
      </c>
      <c r="M625" t="n">
        <v>0</v>
      </c>
      <c r="N625" t="n">
        <v>0</v>
      </c>
      <c r="O625" t="n">
        <v>0</v>
      </c>
      <c r="P625" t="n">
        <v>0</v>
      </c>
      <c r="Q625" t="n">
        <v>0</v>
      </c>
      <c r="R625" s="2" t="inlineStr"/>
    </row>
    <row r="626" ht="15" customHeight="1">
      <c r="A626" t="inlineStr">
        <is>
          <t>A 37561-2025</t>
        </is>
      </c>
      <c r="B626" s="1" t="n">
        <v>45880.34064814815</v>
      </c>
      <c r="C626" s="1" t="n">
        <v>45933</v>
      </c>
      <c r="D626" t="inlineStr">
        <is>
          <t>UPPSALA LÄN</t>
        </is>
      </c>
      <c r="E626" t="inlineStr">
        <is>
          <t>UPPSALA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47978-2025</t>
        </is>
      </c>
      <c r="B627" s="1" t="n">
        <v>45932.61177083333</v>
      </c>
      <c r="C627" s="1" t="n">
        <v>45933</v>
      </c>
      <c r="D627" t="inlineStr">
        <is>
          <t>UPPSALA LÄN</t>
        </is>
      </c>
      <c r="E627" t="inlineStr">
        <is>
          <t>UPPSALA</t>
        </is>
      </c>
      <c r="F627" t="inlineStr">
        <is>
          <t>Allmännings- och besparingsskogar</t>
        </is>
      </c>
      <c r="G627" t="n">
        <v>1.8</v>
      </c>
      <c r="H627" t="n">
        <v>0</v>
      </c>
      <c r="I627" t="n">
        <v>0</v>
      </c>
      <c r="J627" t="n">
        <v>0</v>
      </c>
      <c r="K627" t="n">
        <v>0</v>
      </c>
      <c r="L627" t="n">
        <v>0</v>
      </c>
      <c r="M627" t="n">
        <v>0</v>
      </c>
      <c r="N627" t="n">
        <v>0</v>
      </c>
      <c r="O627" t="n">
        <v>0</v>
      </c>
      <c r="P627" t="n">
        <v>0</v>
      </c>
      <c r="Q627" t="n">
        <v>0</v>
      </c>
      <c r="R627" s="2" t="inlineStr"/>
    </row>
    <row r="628" ht="15" customHeight="1">
      <c r="A628" t="inlineStr">
        <is>
          <t>A 45405-2025</t>
        </is>
      </c>
      <c r="B628" s="1" t="n">
        <v>45922.42865740741</v>
      </c>
      <c r="C628" s="1" t="n">
        <v>45933</v>
      </c>
      <c r="D628" t="inlineStr">
        <is>
          <t>UPPSALA LÄN</t>
        </is>
      </c>
      <c r="E628" t="inlineStr">
        <is>
          <t>UPPSALA</t>
        </is>
      </c>
      <c r="G628" t="n">
        <v>1.6</v>
      </c>
      <c r="H628" t="n">
        <v>0</v>
      </c>
      <c r="I628" t="n">
        <v>0</v>
      </c>
      <c r="J628" t="n">
        <v>0</v>
      </c>
      <c r="K628" t="n">
        <v>0</v>
      </c>
      <c r="L628" t="n">
        <v>0</v>
      </c>
      <c r="M628" t="n">
        <v>0</v>
      </c>
      <c r="N628" t="n">
        <v>0</v>
      </c>
      <c r="O628" t="n">
        <v>0</v>
      </c>
      <c r="P628" t="n">
        <v>0</v>
      </c>
      <c r="Q628" t="n">
        <v>0</v>
      </c>
      <c r="R628" s="2" t="inlineStr"/>
    </row>
    <row r="629" ht="15" customHeight="1">
      <c r="A629" t="inlineStr">
        <is>
          <t>A 45436-2025</t>
        </is>
      </c>
      <c r="B629" s="1" t="n">
        <v>45922.46763888889</v>
      </c>
      <c r="C629" s="1" t="n">
        <v>45933</v>
      </c>
      <c r="D629" t="inlineStr">
        <is>
          <t>UPPSALA LÄN</t>
        </is>
      </c>
      <c r="E629" t="inlineStr">
        <is>
          <t>UPPSALA</t>
        </is>
      </c>
      <c r="G629" t="n">
        <v>3.5</v>
      </c>
      <c r="H629" t="n">
        <v>0</v>
      </c>
      <c r="I629" t="n">
        <v>0</v>
      </c>
      <c r="J629" t="n">
        <v>0</v>
      </c>
      <c r="K629" t="n">
        <v>0</v>
      </c>
      <c r="L629" t="n">
        <v>0</v>
      </c>
      <c r="M629" t="n">
        <v>0</v>
      </c>
      <c r="N629" t="n">
        <v>0</v>
      </c>
      <c r="O629" t="n">
        <v>0</v>
      </c>
      <c r="P629" t="n">
        <v>0</v>
      </c>
      <c r="Q629" t="n">
        <v>0</v>
      </c>
      <c r="R629" s="2" t="inlineStr"/>
    </row>
    <row r="630" ht="15" customHeight="1">
      <c r="A630" t="inlineStr">
        <is>
          <t>A 45447-2025</t>
        </is>
      </c>
      <c r="B630" s="1" t="n">
        <v>45922.48148148148</v>
      </c>
      <c r="C630" s="1" t="n">
        <v>45933</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c r="U630">
        <f>HYPERLINK("https://klasma.github.io/Logging_0380/knärot/A 45447-2025 karta knärot.png", "A 45447-2025")</f>
        <v/>
      </c>
      <c r="V630">
        <f>HYPERLINK("https://klasma.github.io/Logging_0380/klagomål/A 45447-2025 FSC-klagomål.docx", "A 45447-2025")</f>
        <v/>
      </c>
      <c r="W630">
        <f>HYPERLINK("https://klasma.github.io/Logging_0380/klagomålsmail/A 45447-2025 FSC-klagomål mail.docx", "A 45447-2025")</f>
        <v/>
      </c>
      <c r="X630">
        <f>HYPERLINK("https://klasma.github.io/Logging_0380/tillsyn/A 45447-2025 tillsynsbegäran.docx", "A 45447-2025")</f>
        <v/>
      </c>
      <c r="Y630">
        <f>HYPERLINK("https://klasma.github.io/Logging_0380/tillsynsmail/A 45447-2025 tillsynsbegäran mail.docx", "A 45447-2025")</f>
        <v/>
      </c>
    </row>
    <row r="631" ht="15" customHeight="1">
      <c r="A631" t="inlineStr">
        <is>
          <t>A 40100-2022</t>
        </is>
      </c>
      <c r="B631" s="1" t="n">
        <v>44820.47935185185</v>
      </c>
      <c r="C631" s="1" t="n">
        <v>45933</v>
      </c>
      <c r="D631" t="inlineStr">
        <is>
          <t>UPPSALA LÄN</t>
        </is>
      </c>
      <c r="E631" t="inlineStr">
        <is>
          <t>UPPSALA</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37611-2025</t>
        </is>
      </c>
      <c r="B632" s="1" t="n">
        <v>45880</v>
      </c>
      <c r="C632" s="1" t="n">
        <v>45933</v>
      </c>
      <c r="D632" t="inlineStr">
        <is>
          <t>UPPSALA LÄN</t>
        </is>
      </c>
      <c r="E632" t="inlineStr">
        <is>
          <t>UPPSALA</t>
        </is>
      </c>
      <c r="G632" t="n">
        <v>2.9</v>
      </c>
      <c r="H632" t="n">
        <v>0</v>
      </c>
      <c r="I632" t="n">
        <v>0</v>
      </c>
      <c r="J632" t="n">
        <v>0</v>
      </c>
      <c r="K632" t="n">
        <v>0</v>
      </c>
      <c r="L632" t="n">
        <v>0</v>
      </c>
      <c r="M632" t="n">
        <v>0</v>
      </c>
      <c r="N632" t="n">
        <v>0</v>
      </c>
      <c r="O632" t="n">
        <v>0</v>
      </c>
      <c r="P632" t="n">
        <v>0</v>
      </c>
      <c r="Q632" t="n">
        <v>0</v>
      </c>
      <c r="R632" s="2" t="inlineStr"/>
    </row>
    <row r="633" ht="15" customHeight="1">
      <c r="A633" t="inlineStr">
        <is>
          <t>A 47690-2025</t>
        </is>
      </c>
      <c r="B633" s="1" t="n">
        <v>45931.59373842592</v>
      </c>
      <c r="C633" s="1" t="n">
        <v>45933</v>
      </c>
      <c r="D633" t="inlineStr">
        <is>
          <t>UPPSALA LÄN</t>
        </is>
      </c>
      <c r="E633" t="inlineStr">
        <is>
          <t>UPPSALA</t>
        </is>
      </c>
      <c r="F633" t="inlineStr">
        <is>
          <t>Bergvik skog öst AB</t>
        </is>
      </c>
      <c r="G633" t="n">
        <v>1.4</v>
      </c>
      <c r="H633" t="n">
        <v>0</v>
      </c>
      <c r="I633" t="n">
        <v>0</v>
      </c>
      <c r="J633" t="n">
        <v>0</v>
      </c>
      <c r="K633" t="n">
        <v>0</v>
      </c>
      <c r="L633" t="n">
        <v>0</v>
      </c>
      <c r="M633" t="n">
        <v>0</v>
      </c>
      <c r="N633" t="n">
        <v>0</v>
      </c>
      <c r="O633" t="n">
        <v>0</v>
      </c>
      <c r="P633" t="n">
        <v>0</v>
      </c>
      <c r="Q633" t="n">
        <v>0</v>
      </c>
      <c r="R633" s="2" t="inlineStr"/>
    </row>
    <row r="634" ht="15" customHeight="1">
      <c r="A634" t="inlineStr">
        <is>
          <t>A 45519-2025</t>
        </is>
      </c>
      <c r="B634" s="1" t="n">
        <v>45922.590625</v>
      </c>
      <c r="C634" s="1" t="n">
        <v>45933</v>
      </c>
      <c r="D634" t="inlineStr">
        <is>
          <t>UPPSALA LÄN</t>
        </is>
      </c>
      <c r="E634" t="inlineStr">
        <is>
          <t>UPPSALA</t>
        </is>
      </c>
      <c r="G634" t="n">
        <v>0.3</v>
      </c>
      <c r="H634" t="n">
        <v>0</v>
      </c>
      <c r="I634" t="n">
        <v>0</v>
      </c>
      <c r="J634" t="n">
        <v>0</v>
      </c>
      <c r="K634" t="n">
        <v>0</v>
      </c>
      <c r="L634" t="n">
        <v>0</v>
      </c>
      <c r="M634" t="n">
        <v>0</v>
      </c>
      <c r="N634" t="n">
        <v>0</v>
      </c>
      <c r="O634" t="n">
        <v>0</v>
      </c>
      <c r="P634" t="n">
        <v>0</v>
      </c>
      <c r="Q634" t="n">
        <v>0</v>
      </c>
      <c r="R634" s="2" t="inlineStr"/>
    </row>
    <row r="635" ht="15" customHeight="1">
      <c r="A635" t="inlineStr">
        <is>
          <t>A 47840-2025</t>
        </is>
      </c>
      <c r="B635" s="1" t="n">
        <v>45932.37375</v>
      </c>
      <c r="C635" s="1" t="n">
        <v>45933</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37486-2025</t>
        </is>
      </c>
      <c r="B636" s="1" t="n">
        <v>45877.62969907407</v>
      </c>
      <c r="C636" s="1" t="n">
        <v>45933</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21727-2023</t>
        </is>
      </c>
      <c r="B637" s="1" t="n">
        <v>45065.43013888889</v>
      </c>
      <c r="C637" s="1" t="n">
        <v>45933</v>
      </c>
      <c r="D637" t="inlineStr">
        <is>
          <t>UPPSALA LÄN</t>
        </is>
      </c>
      <c r="E637" t="inlineStr">
        <is>
          <t>UPPSALA</t>
        </is>
      </c>
      <c r="G637" t="n">
        <v>1.5</v>
      </c>
      <c r="H637" t="n">
        <v>0</v>
      </c>
      <c r="I637" t="n">
        <v>0</v>
      </c>
      <c r="J637" t="n">
        <v>0</v>
      </c>
      <c r="K637" t="n">
        <v>0</v>
      </c>
      <c r="L637" t="n">
        <v>0</v>
      </c>
      <c r="M637" t="n">
        <v>0</v>
      </c>
      <c r="N637" t="n">
        <v>0</v>
      </c>
      <c r="O637" t="n">
        <v>0</v>
      </c>
      <c r="P637" t="n">
        <v>0</v>
      </c>
      <c r="Q637" t="n">
        <v>0</v>
      </c>
      <c r="R637" s="2" t="inlineStr"/>
    </row>
    <row r="638" ht="15" customHeight="1">
      <c r="A638" t="inlineStr">
        <is>
          <t>A 59116-2024</t>
        </is>
      </c>
      <c r="B638" s="1" t="n">
        <v>45637</v>
      </c>
      <c r="C638" s="1" t="n">
        <v>45933</v>
      </c>
      <c r="D638" t="inlineStr">
        <is>
          <t>UPPSALA LÄN</t>
        </is>
      </c>
      <c r="E638" t="inlineStr">
        <is>
          <t>UPPSALA</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69698-2021</t>
        </is>
      </c>
      <c r="B639" s="1" t="n">
        <v>44532</v>
      </c>
      <c r="C639" s="1" t="n">
        <v>45933</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5068-2025</t>
        </is>
      </c>
      <c r="B640" s="1" t="n">
        <v>45691</v>
      </c>
      <c r="C640" s="1" t="n">
        <v>45933</v>
      </c>
      <c r="D640" t="inlineStr">
        <is>
          <t>UPPSALA LÄN</t>
        </is>
      </c>
      <c r="E640" t="inlineStr">
        <is>
          <t>UPPSALA</t>
        </is>
      </c>
      <c r="G640" t="n">
        <v>5.9</v>
      </c>
      <c r="H640" t="n">
        <v>0</v>
      </c>
      <c r="I640" t="n">
        <v>0</v>
      </c>
      <c r="J640" t="n">
        <v>0</v>
      </c>
      <c r="K640" t="n">
        <v>0</v>
      </c>
      <c r="L640" t="n">
        <v>0</v>
      </c>
      <c r="M640" t="n">
        <v>0</v>
      </c>
      <c r="N640" t="n">
        <v>0</v>
      </c>
      <c r="O640" t="n">
        <v>0</v>
      </c>
      <c r="P640" t="n">
        <v>0</v>
      </c>
      <c r="Q640" t="n">
        <v>0</v>
      </c>
      <c r="R640" s="2" t="inlineStr"/>
    </row>
    <row r="641" ht="15" customHeight="1">
      <c r="A641" t="inlineStr">
        <is>
          <t>A 26323-2023</t>
        </is>
      </c>
      <c r="B641" s="1" t="n">
        <v>45091.69766203704</v>
      </c>
      <c r="C641" s="1" t="n">
        <v>45933</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56084-2024</t>
        </is>
      </c>
      <c r="B642" s="1" t="n">
        <v>45624</v>
      </c>
      <c r="C642" s="1" t="n">
        <v>45933</v>
      </c>
      <c r="D642" t="inlineStr">
        <is>
          <t>UPPSALA LÄN</t>
        </is>
      </c>
      <c r="E642" t="inlineStr">
        <is>
          <t>UPPSALA</t>
        </is>
      </c>
      <c r="G642" t="n">
        <v>3.8</v>
      </c>
      <c r="H642" t="n">
        <v>0</v>
      </c>
      <c r="I642" t="n">
        <v>0</v>
      </c>
      <c r="J642" t="n">
        <v>0</v>
      </c>
      <c r="K642" t="n">
        <v>0</v>
      </c>
      <c r="L642" t="n">
        <v>0</v>
      </c>
      <c r="M642" t="n">
        <v>0</v>
      </c>
      <c r="N642" t="n">
        <v>0</v>
      </c>
      <c r="O642" t="n">
        <v>0</v>
      </c>
      <c r="P642" t="n">
        <v>0</v>
      </c>
      <c r="Q642" t="n">
        <v>0</v>
      </c>
      <c r="R642" s="2" t="inlineStr"/>
    </row>
    <row r="643" ht="15" customHeight="1">
      <c r="A643" t="inlineStr">
        <is>
          <t>A 47649-2025</t>
        </is>
      </c>
      <c r="B643" s="1" t="n">
        <v>45931.52792824074</v>
      </c>
      <c r="C643" s="1" t="n">
        <v>45933</v>
      </c>
      <c r="D643" t="inlineStr">
        <is>
          <t>UPPSALA LÄN</t>
        </is>
      </c>
      <c r="E643" t="inlineStr">
        <is>
          <t>UPPSALA</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37759-2025</t>
        </is>
      </c>
      <c r="B644" s="1" t="n">
        <v>45880.68200231482</v>
      </c>
      <c r="C644" s="1" t="n">
        <v>45933</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15937-2025</t>
        </is>
      </c>
      <c r="B645" s="1" t="n">
        <v>45749.4737962963</v>
      </c>
      <c r="C645" s="1" t="n">
        <v>45933</v>
      </c>
      <c r="D645" t="inlineStr">
        <is>
          <t>UPPSALA LÄN</t>
        </is>
      </c>
      <c r="E645" t="inlineStr">
        <is>
          <t>UPPSALA</t>
        </is>
      </c>
      <c r="G645" t="n">
        <v>7.6</v>
      </c>
      <c r="H645" t="n">
        <v>0</v>
      </c>
      <c r="I645" t="n">
        <v>0</v>
      </c>
      <c r="J645" t="n">
        <v>0</v>
      </c>
      <c r="K645" t="n">
        <v>0</v>
      </c>
      <c r="L645" t="n">
        <v>0</v>
      </c>
      <c r="M645" t="n">
        <v>0</v>
      </c>
      <c r="N645" t="n">
        <v>0</v>
      </c>
      <c r="O645" t="n">
        <v>0</v>
      </c>
      <c r="P645" t="n">
        <v>0</v>
      </c>
      <c r="Q645" t="n">
        <v>0</v>
      </c>
      <c r="R645" s="2" t="inlineStr"/>
    </row>
    <row r="646" ht="15" customHeight="1">
      <c r="A646" t="inlineStr">
        <is>
          <t>A 47688-2025</t>
        </is>
      </c>
      <c r="B646" s="1" t="n">
        <v>45931.59091435185</v>
      </c>
      <c r="C646" s="1" t="n">
        <v>45933</v>
      </c>
      <c r="D646" t="inlineStr">
        <is>
          <t>UPPSALA LÄN</t>
        </is>
      </c>
      <c r="E646" t="inlineStr">
        <is>
          <t>UPPSALA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4993-2025</t>
        </is>
      </c>
      <c r="B647" s="1" t="n">
        <v>45691</v>
      </c>
      <c r="C647" s="1" t="n">
        <v>45933</v>
      </c>
      <c r="D647" t="inlineStr">
        <is>
          <t>UPPSALA LÄN</t>
        </is>
      </c>
      <c r="E647" t="inlineStr">
        <is>
          <t>UPPSALA</t>
        </is>
      </c>
      <c r="F647" t="inlineStr">
        <is>
          <t>Kyrkan</t>
        </is>
      </c>
      <c r="G647" t="n">
        <v>6.7</v>
      </c>
      <c r="H647" t="n">
        <v>0</v>
      </c>
      <c r="I647" t="n">
        <v>0</v>
      </c>
      <c r="J647" t="n">
        <v>0</v>
      </c>
      <c r="K647" t="n">
        <v>0</v>
      </c>
      <c r="L647" t="n">
        <v>0</v>
      </c>
      <c r="M647" t="n">
        <v>0</v>
      </c>
      <c r="N647" t="n">
        <v>0</v>
      </c>
      <c r="O647" t="n">
        <v>0</v>
      </c>
      <c r="P647" t="n">
        <v>0</v>
      </c>
      <c r="Q647" t="n">
        <v>0</v>
      </c>
      <c r="R647" s="2" t="inlineStr"/>
    </row>
    <row r="648" ht="15" customHeight="1">
      <c r="A648" t="inlineStr">
        <is>
          <t>A 16288-2025</t>
        </is>
      </c>
      <c r="B648" s="1" t="n">
        <v>45751.32001157408</v>
      </c>
      <c r="C648" s="1" t="n">
        <v>45933</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37856-2025</t>
        </is>
      </c>
      <c r="B649" s="1" t="n">
        <v>45881.45898148148</v>
      </c>
      <c r="C649" s="1" t="n">
        <v>45933</v>
      </c>
      <c r="D649" t="inlineStr">
        <is>
          <t>UPPSALA LÄN</t>
        </is>
      </c>
      <c r="E649" t="inlineStr">
        <is>
          <t>UPPSALA</t>
        </is>
      </c>
      <c r="G649" t="n">
        <v>1.7</v>
      </c>
      <c r="H649" t="n">
        <v>0</v>
      </c>
      <c r="I649" t="n">
        <v>0</v>
      </c>
      <c r="J649" t="n">
        <v>0</v>
      </c>
      <c r="K649" t="n">
        <v>0</v>
      </c>
      <c r="L649" t="n">
        <v>0</v>
      </c>
      <c r="M649" t="n">
        <v>0</v>
      </c>
      <c r="N649" t="n">
        <v>0</v>
      </c>
      <c r="O649" t="n">
        <v>0</v>
      </c>
      <c r="P649" t="n">
        <v>0</v>
      </c>
      <c r="Q649" t="n">
        <v>0</v>
      </c>
      <c r="R649" s="2" t="inlineStr"/>
    </row>
    <row r="650" ht="15" customHeight="1">
      <c r="A650" t="inlineStr">
        <is>
          <t>A 3287-2025</t>
        </is>
      </c>
      <c r="B650" s="1" t="n">
        <v>45679</v>
      </c>
      <c r="C650" s="1" t="n">
        <v>45933</v>
      </c>
      <c r="D650" t="inlineStr">
        <is>
          <t>UPPSALA LÄN</t>
        </is>
      </c>
      <c r="E650" t="inlineStr">
        <is>
          <t>UPPSALA</t>
        </is>
      </c>
      <c r="F650" t="inlineStr">
        <is>
          <t>Kyrkan</t>
        </is>
      </c>
      <c r="G650" t="n">
        <v>6.7</v>
      </c>
      <c r="H650" t="n">
        <v>0</v>
      </c>
      <c r="I650" t="n">
        <v>0</v>
      </c>
      <c r="J650" t="n">
        <v>0</v>
      </c>
      <c r="K650" t="n">
        <v>0</v>
      </c>
      <c r="L650" t="n">
        <v>0</v>
      </c>
      <c r="M650" t="n">
        <v>0</v>
      </c>
      <c r="N650" t="n">
        <v>0</v>
      </c>
      <c r="O650" t="n">
        <v>0</v>
      </c>
      <c r="P650" t="n">
        <v>0</v>
      </c>
      <c r="Q650" t="n">
        <v>0</v>
      </c>
      <c r="R650" s="2" t="inlineStr"/>
    </row>
    <row r="651" ht="15" customHeight="1">
      <c r="A651" t="inlineStr">
        <is>
          <t>A 45903-2025</t>
        </is>
      </c>
      <c r="B651" s="1" t="n">
        <v>45923.70146990741</v>
      </c>
      <c r="C651" s="1" t="n">
        <v>45933</v>
      </c>
      <c r="D651" t="inlineStr">
        <is>
          <t>UPPSALA LÄN</t>
        </is>
      </c>
      <c r="E651" t="inlineStr">
        <is>
          <t>UPPSALA</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45904-2025</t>
        </is>
      </c>
      <c r="B652" s="1" t="n">
        <v>45923.70230324074</v>
      </c>
      <c r="C652" s="1" t="n">
        <v>45933</v>
      </c>
      <c r="D652" t="inlineStr">
        <is>
          <t>UPPSALA LÄN</t>
        </is>
      </c>
      <c r="E652" t="inlineStr">
        <is>
          <t>UPPSALA</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47558-2025</t>
        </is>
      </c>
      <c r="B653" s="1" t="n">
        <v>45931.37796296296</v>
      </c>
      <c r="C653" s="1" t="n">
        <v>45933</v>
      </c>
      <c r="D653" t="inlineStr">
        <is>
          <t>UPPSALA LÄN</t>
        </is>
      </c>
      <c r="E653" t="inlineStr">
        <is>
          <t>UPPSALA</t>
        </is>
      </c>
      <c r="F653" t="inlineStr">
        <is>
          <t>Kyrkan</t>
        </is>
      </c>
      <c r="G653" t="n">
        <v>1.9</v>
      </c>
      <c r="H653" t="n">
        <v>0</v>
      </c>
      <c r="I653" t="n">
        <v>0</v>
      </c>
      <c r="J653" t="n">
        <v>0</v>
      </c>
      <c r="K653" t="n">
        <v>0</v>
      </c>
      <c r="L653" t="n">
        <v>0</v>
      </c>
      <c r="M653" t="n">
        <v>0</v>
      </c>
      <c r="N653" t="n">
        <v>0</v>
      </c>
      <c r="O653" t="n">
        <v>0</v>
      </c>
      <c r="P653" t="n">
        <v>0</v>
      </c>
      <c r="Q653" t="n">
        <v>0</v>
      </c>
      <c r="R653" s="2" t="inlineStr"/>
    </row>
    <row r="654" ht="15" customHeight="1">
      <c r="A654" t="inlineStr">
        <is>
          <t>A 38113-2025</t>
        </is>
      </c>
      <c r="B654" s="1" t="n">
        <v>45882.52290509259</v>
      </c>
      <c r="C654" s="1" t="n">
        <v>45933</v>
      </c>
      <c r="D654" t="inlineStr">
        <is>
          <t>UPPSALA LÄN</t>
        </is>
      </c>
      <c r="E654" t="inlineStr">
        <is>
          <t>UPPSALA</t>
        </is>
      </c>
      <c r="G654" t="n">
        <v>5.8</v>
      </c>
      <c r="H654" t="n">
        <v>0</v>
      </c>
      <c r="I654" t="n">
        <v>0</v>
      </c>
      <c r="J654" t="n">
        <v>0</v>
      </c>
      <c r="K654" t="n">
        <v>0</v>
      </c>
      <c r="L654" t="n">
        <v>0</v>
      </c>
      <c r="M654" t="n">
        <v>0</v>
      </c>
      <c r="N654" t="n">
        <v>0</v>
      </c>
      <c r="O654" t="n">
        <v>0</v>
      </c>
      <c r="P654" t="n">
        <v>0</v>
      </c>
      <c r="Q654" t="n">
        <v>0</v>
      </c>
      <c r="R654" s="2" t="inlineStr"/>
    </row>
    <row r="655" ht="15" customHeight="1">
      <c r="A655" t="inlineStr">
        <is>
          <t>A 5204-2025</t>
        </is>
      </c>
      <c r="B655" s="1" t="n">
        <v>45691</v>
      </c>
      <c r="C655" s="1" t="n">
        <v>45933</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9993-2025</t>
        </is>
      </c>
      <c r="B656" s="1" t="n">
        <v>45719.43755787037</v>
      </c>
      <c r="C656" s="1" t="n">
        <v>45933</v>
      </c>
      <c r="D656" t="inlineStr">
        <is>
          <t>UPPSALA LÄN</t>
        </is>
      </c>
      <c r="E656" t="inlineStr">
        <is>
          <t>UPPSALA</t>
        </is>
      </c>
      <c r="F656" t="inlineStr">
        <is>
          <t>Kyrkan</t>
        </is>
      </c>
      <c r="G656" t="n">
        <v>6.1</v>
      </c>
      <c r="H656" t="n">
        <v>0</v>
      </c>
      <c r="I656" t="n">
        <v>0</v>
      </c>
      <c r="J656" t="n">
        <v>0</v>
      </c>
      <c r="K656" t="n">
        <v>0</v>
      </c>
      <c r="L656" t="n">
        <v>0</v>
      </c>
      <c r="M656" t="n">
        <v>0</v>
      </c>
      <c r="N656" t="n">
        <v>0</v>
      </c>
      <c r="O656" t="n">
        <v>0</v>
      </c>
      <c r="P656" t="n">
        <v>0</v>
      </c>
      <c r="Q656" t="n">
        <v>0</v>
      </c>
      <c r="R656" s="2" t="inlineStr"/>
    </row>
    <row r="657" ht="15" customHeight="1">
      <c r="A657" t="inlineStr">
        <is>
          <t>A 38034-2025</t>
        </is>
      </c>
      <c r="B657" s="1" t="n">
        <v>45882.37202546297</v>
      </c>
      <c r="C657" s="1" t="n">
        <v>45933</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20102-2023</t>
        </is>
      </c>
      <c r="B658" s="1" t="n">
        <v>45054.95675925926</v>
      </c>
      <c r="C658" s="1" t="n">
        <v>45933</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37851-2025</t>
        </is>
      </c>
      <c r="B659" s="1" t="n">
        <v>45881.44938657407</v>
      </c>
      <c r="C659" s="1" t="n">
        <v>45933</v>
      </c>
      <c r="D659" t="inlineStr">
        <is>
          <t>UPPSALA LÄN</t>
        </is>
      </c>
      <c r="E659" t="inlineStr">
        <is>
          <t>UPPSALA</t>
        </is>
      </c>
      <c r="G659" t="n">
        <v>2.3</v>
      </c>
      <c r="H659" t="n">
        <v>0</v>
      </c>
      <c r="I659" t="n">
        <v>0</v>
      </c>
      <c r="J659" t="n">
        <v>0</v>
      </c>
      <c r="K659" t="n">
        <v>0</v>
      </c>
      <c r="L659" t="n">
        <v>0</v>
      </c>
      <c r="M659" t="n">
        <v>0</v>
      </c>
      <c r="N659" t="n">
        <v>0</v>
      </c>
      <c r="O659" t="n">
        <v>0</v>
      </c>
      <c r="P659" t="n">
        <v>0</v>
      </c>
      <c r="Q659" t="n">
        <v>0</v>
      </c>
      <c r="R659" s="2" t="inlineStr"/>
    </row>
    <row r="660" ht="15" customHeight="1">
      <c r="A660" t="inlineStr">
        <is>
          <t>A 19017-2023</t>
        </is>
      </c>
      <c r="B660" s="1" t="n">
        <v>45047.31793981481</v>
      </c>
      <c r="C660" s="1" t="n">
        <v>45933</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45588-2025</t>
        </is>
      </c>
      <c r="B661" s="1" t="n">
        <v>45922</v>
      </c>
      <c r="C661" s="1" t="n">
        <v>45933</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55862-2022</t>
        </is>
      </c>
      <c r="B662" s="1" t="n">
        <v>44888</v>
      </c>
      <c r="C662" s="1" t="n">
        <v>45933</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5605-2025</t>
        </is>
      </c>
      <c r="B663" s="1" t="n">
        <v>45693</v>
      </c>
      <c r="C663" s="1" t="n">
        <v>45933</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1020-2021</t>
        </is>
      </c>
      <c r="B664" s="1" t="n">
        <v>44207</v>
      </c>
      <c r="C664" s="1" t="n">
        <v>45933</v>
      </c>
      <c r="D664" t="inlineStr">
        <is>
          <t>UPPSALA LÄN</t>
        </is>
      </c>
      <c r="E664" t="inlineStr">
        <is>
          <t>UPPSALA</t>
        </is>
      </c>
      <c r="F664" t="inlineStr">
        <is>
          <t>Holmen skog AB</t>
        </is>
      </c>
      <c r="G664" t="n">
        <v>1</v>
      </c>
      <c r="H664" t="n">
        <v>0</v>
      </c>
      <c r="I664" t="n">
        <v>0</v>
      </c>
      <c r="J664" t="n">
        <v>0</v>
      </c>
      <c r="K664" t="n">
        <v>0</v>
      </c>
      <c r="L664" t="n">
        <v>0</v>
      </c>
      <c r="M664" t="n">
        <v>0</v>
      </c>
      <c r="N664" t="n">
        <v>0</v>
      </c>
      <c r="O664" t="n">
        <v>0</v>
      </c>
      <c r="P664" t="n">
        <v>0</v>
      </c>
      <c r="Q664" t="n">
        <v>0</v>
      </c>
      <c r="R664" s="2" t="inlineStr"/>
    </row>
    <row r="665" ht="15" customHeight="1">
      <c r="A665" t="inlineStr">
        <is>
          <t>A 33191-2023</t>
        </is>
      </c>
      <c r="B665" s="1" t="n">
        <v>45127</v>
      </c>
      <c r="C665" s="1" t="n">
        <v>45933</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34265-2021</t>
        </is>
      </c>
      <c r="B666" s="1" t="n">
        <v>44379.5745949074</v>
      </c>
      <c r="C666" s="1" t="n">
        <v>45933</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33332-2022</t>
        </is>
      </c>
      <c r="B667" s="1" t="n">
        <v>44788</v>
      </c>
      <c r="C667" s="1" t="n">
        <v>45933</v>
      </c>
      <c r="D667" t="inlineStr">
        <is>
          <t>UPPSALA LÄN</t>
        </is>
      </c>
      <c r="E667" t="inlineStr">
        <is>
          <t>UPPSALA</t>
        </is>
      </c>
      <c r="G667" t="n">
        <v>1</v>
      </c>
      <c r="H667" t="n">
        <v>0</v>
      </c>
      <c r="I667" t="n">
        <v>0</v>
      </c>
      <c r="J667" t="n">
        <v>0</v>
      </c>
      <c r="K667" t="n">
        <v>0</v>
      </c>
      <c r="L667" t="n">
        <v>0</v>
      </c>
      <c r="M667" t="n">
        <v>0</v>
      </c>
      <c r="N667" t="n">
        <v>0</v>
      </c>
      <c r="O667" t="n">
        <v>0</v>
      </c>
      <c r="P667" t="n">
        <v>0</v>
      </c>
      <c r="Q667" t="n">
        <v>0</v>
      </c>
      <c r="R667" s="2" t="inlineStr"/>
    </row>
    <row r="668" ht="15" customHeight="1">
      <c r="A668" t="inlineStr">
        <is>
          <t>A 18054-2025</t>
        </is>
      </c>
      <c r="B668" s="1" t="n">
        <v>45761.47540509259</v>
      </c>
      <c r="C668" s="1" t="n">
        <v>45933</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18058-2025</t>
        </is>
      </c>
      <c r="B669" s="1" t="n">
        <v>45761.47748842592</v>
      </c>
      <c r="C669" s="1" t="n">
        <v>45933</v>
      </c>
      <c r="D669" t="inlineStr">
        <is>
          <t>UPPSALA LÄN</t>
        </is>
      </c>
      <c r="E669" t="inlineStr">
        <is>
          <t>UPPSALA</t>
        </is>
      </c>
      <c r="G669" t="n">
        <v>0.8</v>
      </c>
      <c r="H669" t="n">
        <v>0</v>
      </c>
      <c r="I669" t="n">
        <v>0</v>
      </c>
      <c r="J669" t="n">
        <v>0</v>
      </c>
      <c r="K669" t="n">
        <v>0</v>
      </c>
      <c r="L669" t="n">
        <v>0</v>
      </c>
      <c r="M669" t="n">
        <v>0</v>
      </c>
      <c r="N669" t="n">
        <v>0</v>
      </c>
      <c r="O669" t="n">
        <v>0</v>
      </c>
      <c r="P669" t="n">
        <v>0</v>
      </c>
      <c r="Q669" t="n">
        <v>0</v>
      </c>
      <c r="R669" s="2" t="inlineStr"/>
    </row>
    <row r="670" ht="15" customHeight="1">
      <c r="A670" t="inlineStr">
        <is>
          <t>A 19139-2023</t>
        </is>
      </c>
      <c r="B670" s="1" t="n">
        <v>45048.55349537037</v>
      </c>
      <c r="C670" s="1" t="n">
        <v>45933</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46807-2022</t>
        </is>
      </c>
      <c r="B671" s="1" t="n">
        <v>44848</v>
      </c>
      <c r="C671" s="1" t="n">
        <v>45933</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6973-2025</t>
        </is>
      </c>
      <c r="B672" s="1" t="n">
        <v>45693</v>
      </c>
      <c r="C672" s="1" t="n">
        <v>45933</v>
      </c>
      <c r="D672" t="inlineStr">
        <is>
          <t>UPPSALA LÄN</t>
        </is>
      </c>
      <c r="E672" t="inlineStr">
        <is>
          <t>UPPSALA</t>
        </is>
      </c>
      <c r="G672" t="n">
        <v>1.3</v>
      </c>
      <c r="H672" t="n">
        <v>0</v>
      </c>
      <c r="I672" t="n">
        <v>0</v>
      </c>
      <c r="J672" t="n">
        <v>0</v>
      </c>
      <c r="K672" t="n">
        <v>0</v>
      </c>
      <c r="L672" t="n">
        <v>0</v>
      </c>
      <c r="M672" t="n">
        <v>0</v>
      </c>
      <c r="N672" t="n">
        <v>0</v>
      </c>
      <c r="O672" t="n">
        <v>0</v>
      </c>
      <c r="P672" t="n">
        <v>0</v>
      </c>
      <c r="Q672" t="n">
        <v>0</v>
      </c>
      <c r="R672" s="2" t="inlineStr"/>
    </row>
    <row r="673" ht="15" customHeight="1">
      <c r="A673" t="inlineStr">
        <is>
          <t>A 60814-2023</t>
        </is>
      </c>
      <c r="B673" s="1" t="n">
        <v>45259</v>
      </c>
      <c r="C673" s="1" t="n">
        <v>45933</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39608-2022</t>
        </is>
      </c>
      <c r="B674" s="1" t="n">
        <v>44817</v>
      </c>
      <c r="C674" s="1" t="n">
        <v>45933</v>
      </c>
      <c r="D674" t="inlineStr">
        <is>
          <t>UPPSALA LÄN</t>
        </is>
      </c>
      <c r="E674" t="inlineStr">
        <is>
          <t>UPPSALA</t>
        </is>
      </c>
      <c r="G674" t="n">
        <v>2</v>
      </c>
      <c r="H674" t="n">
        <v>0</v>
      </c>
      <c r="I674" t="n">
        <v>0</v>
      </c>
      <c r="J674" t="n">
        <v>0</v>
      </c>
      <c r="K674" t="n">
        <v>0</v>
      </c>
      <c r="L674" t="n">
        <v>0</v>
      </c>
      <c r="M674" t="n">
        <v>0</v>
      </c>
      <c r="N674" t="n">
        <v>0</v>
      </c>
      <c r="O674" t="n">
        <v>0</v>
      </c>
      <c r="P674" t="n">
        <v>0</v>
      </c>
      <c r="Q674" t="n">
        <v>0</v>
      </c>
      <c r="R674" s="2" t="inlineStr"/>
    </row>
    <row r="675" ht="15" customHeight="1">
      <c r="A675" t="inlineStr">
        <is>
          <t>A 50267-2023</t>
        </is>
      </c>
      <c r="B675" s="1" t="n">
        <v>45216.39040509259</v>
      </c>
      <c r="C675" s="1" t="n">
        <v>45933</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51935-2023</t>
        </is>
      </c>
      <c r="B676" s="1" t="n">
        <v>45223</v>
      </c>
      <c r="C676" s="1" t="n">
        <v>45933</v>
      </c>
      <c r="D676" t="inlineStr">
        <is>
          <t>UPPSALA LÄN</t>
        </is>
      </c>
      <c r="E676" t="inlineStr">
        <is>
          <t>UPPSALA</t>
        </is>
      </c>
      <c r="G676" t="n">
        <v>4.8</v>
      </c>
      <c r="H676" t="n">
        <v>0</v>
      </c>
      <c r="I676" t="n">
        <v>0</v>
      </c>
      <c r="J676" t="n">
        <v>0</v>
      </c>
      <c r="K676" t="n">
        <v>0</v>
      </c>
      <c r="L676" t="n">
        <v>0</v>
      </c>
      <c r="M676" t="n">
        <v>0</v>
      </c>
      <c r="N676" t="n">
        <v>0</v>
      </c>
      <c r="O676" t="n">
        <v>0</v>
      </c>
      <c r="P676" t="n">
        <v>0</v>
      </c>
      <c r="Q676" t="n">
        <v>0</v>
      </c>
      <c r="R676" s="2" t="inlineStr"/>
    </row>
    <row r="677" ht="15" customHeight="1">
      <c r="A677" t="inlineStr">
        <is>
          <t>A 40507-2021</t>
        </is>
      </c>
      <c r="B677" s="1" t="n">
        <v>44420</v>
      </c>
      <c r="C677" s="1" t="n">
        <v>45933</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11744-2023</t>
        </is>
      </c>
      <c r="B678" s="1" t="n">
        <v>44993</v>
      </c>
      <c r="C678" s="1" t="n">
        <v>45933</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9235-2025</t>
        </is>
      </c>
      <c r="B679" s="1" t="n">
        <v>45714.55368055555</v>
      </c>
      <c r="C679" s="1" t="n">
        <v>45933</v>
      </c>
      <c r="D679" t="inlineStr">
        <is>
          <t>UPPSALA LÄN</t>
        </is>
      </c>
      <c r="E679" t="inlineStr">
        <is>
          <t>UPPSALA</t>
        </is>
      </c>
      <c r="G679" t="n">
        <v>1.3</v>
      </c>
      <c r="H679" t="n">
        <v>0</v>
      </c>
      <c r="I679" t="n">
        <v>0</v>
      </c>
      <c r="J679" t="n">
        <v>0</v>
      </c>
      <c r="K679" t="n">
        <v>0</v>
      </c>
      <c r="L679" t="n">
        <v>0</v>
      </c>
      <c r="M679" t="n">
        <v>0</v>
      </c>
      <c r="N679" t="n">
        <v>0</v>
      </c>
      <c r="O679" t="n">
        <v>0</v>
      </c>
      <c r="P679" t="n">
        <v>0</v>
      </c>
      <c r="Q679" t="n">
        <v>0</v>
      </c>
      <c r="R679" s="2" t="inlineStr"/>
    </row>
    <row r="680" ht="15" customHeight="1">
      <c r="A680" t="inlineStr">
        <is>
          <t>A 28825-2024</t>
        </is>
      </c>
      <c r="B680" s="1" t="n">
        <v>45478</v>
      </c>
      <c r="C680" s="1" t="n">
        <v>45933</v>
      </c>
      <c r="D680" t="inlineStr">
        <is>
          <t>UPPSALA LÄN</t>
        </is>
      </c>
      <c r="E680" t="inlineStr">
        <is>
          <t>UPPSALA</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11119-2025</t>
        </is>
      </c>
      <c r="B681" s="1" t="n">
        <v>45723.63290509259</v>
      </c>
      <c r="C681" s="1" t="n">
        <v>45933</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18626-2025</t>
        </is>
      </c>
      <c r="B682" s="1" t="n">
        <v>45763.52995370371</v>
      </c>
      <c r="C682" s="1" t="n">
        <v>45933</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69432-2021</t>
        </is>
      </c>
      <c r="B683" s="1" t="n">
        <v>44531</v>
      </c>
      <c r="C683" s="1" t="n">
        <v>45933</v>
      </c>
      <c r="D683" t="inlineStr">
        <is>
          <t>UPPSALA LÄN</t>
        </is>
      </c>
      <c r="E683" t="inlineStr">
        <is>
          <t>UPPSALA</t>
        </is>
      </c>
      <c r="G683" t="n">
        <v>1.7</v>
      </c>
      <c r="H683" t="n">
        <v>0</v>
      </c>
      <c r="I683" t="n">
        <v>0</v>
      </c>
      <c r="J683" t="n">
        <v>0</v>
      </c>
      <c r="K683" t="n">
        <v>0</v>
      </c>
      <c r="L683" t="n">
        <v>0</v>
      </c>
      <c r="M683" t="n">
        <v>0</v>
      </c>
      <c r="N683" t="n">
        <v>0</v>
      </c>
      <c r="O683" t="n">
        <v>0</v>
      </c>
      <c r="P683" t="n">
        <v>0</v>
      </c>
      <c r="Q683" t="n">
        <v>0</v>
      </c>
      <c r="R683" s="2" t="inlineStr"/>
    </row>
    <row r="684" ht="15" customHeight="1">
      <c r="A684" t="inlineStr">
        <is>
          <t>A 46632-2025</t>
        </is>
      </c>
      <c r="B684" s="1" t="n">
        <v>45926.45846064815</v>
      </c>
      <c r="C684" s="1" t="n">
        <v>45933</v>
      </c>
      <c r="D684" t="inlineStr">
        <is>
          <t>UPPSALA LÄN</t>
        </is>
      </c>
      <c r="E684" t="inlineStr">
        <is>
          <t>UPPSALA</t>
        </is>
      </c>
      <c r="F684" t="inlineStr">
        <is>
          <t>Bergvik skog öst AB</t>
        </is>
      </c>
      <c r="G684" t="n">
        <v>2.9</v>
      </c>
      <c r="H684" t="n">
        <v>0</v>
      </c>
      <c r="I684" t="n">
        <v>0</v>
      </c>
      <c r="J684" t="n">
        <v>0</v>
      </c>
      <c r="K684" t="n">
        <v>0</v>
      </c>
      <c r="L684" t="n">
        <v>0</v>
      </c>
      <c r="M684" t="n">
        <v>0</v>
      </c>
      <c r="N684" t="n">
        <v>0</v>
      </c>
      <c r="O684" t="n">
        <v>0</v>
      </c>
      <c r="P684" t="n">
        <v>0</v>
      </c>
      <c r="Q684" t="n">
        <v>0</v>
      </c>
      <c r="R684" s="2" t="inlineStr"/>
    </row>
    <row r="685" ht="15" customHeight="1">
      <c r="A685" t="inlineStr">
        <is>
          <t>A 50037-2024</t>
        </is>
      </c>
      <c r="B685" s="1" t="n">
        <v>45599</v>
      </c>
      <c r="C685" s="1" t="n">
        <v>45933</v>
      </c>
      <c r="D685" t="inlineStr">
        <is>
          <t>UPPSALA LÄN</t>
        </is>
      </c>
      <c r="E685" t="inlineStr">
        <is>
          <t>UPPSALA</t>
        </is>
      </c>
      <c r="G685" t="n">
        <v>13.7</v>
      </c>
      <c r="H685" t="n">
        <v>0</v>
      </c>
      <c r="I685" t="n">
        <v>0</v>
      </c>
      <c r="J685" t="n">
        <v>0</v>
      </c>
      <c r="K685" t="n">
        <v>0</v>
      </c>
      <c r="L685" t="n">
        <v>0</v>
      </c>
      <c r="M685" t="n">
        <v>0</v>
      </c>
      <c r="N685" t="n">
        <v>0</v>
      </c>
      <c r="O685" t="n">
        <v>0</v>
      </c>
      <c r="P685" t="n">
        <v>0</v>
      </c>
      <c r="Q685" t="n">
        <v>0</v>
      </c>
      <c r="R685" s="2" t="inlineStr"/>
    </row>
    <row r="686" ht="15" customHeight="1">
      <c r="A686" t="inlineStr">
        <is>
          <t>A 60167-2024</t>
        </is>
      </c>
      <c r="B686" s="1" t="n">
        <v>45642.63524305556</v>
      </c>
      <c r="C686" s="1" t="n">
        <v>45933</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69691-2021</t>
        </is>
      </c>
      <c r="B687" s="1" t="n">
        <v>44532</v>
      </c>
      <c r="C687" s="1" t="n">
        <v>45933</v>
      </c>
      <c r="D687" t="inlineStr">
        <is>
          <t>UPPSALA LÄN</t>
        </is>
      </c>
      <c r="E687" t="inlineStr">
        <is>
          <t>UPPSALA</t>
        </is>
      </c>
      <c r="G687" t="n">
        <v>2.3</v>
      </c>
      <c r="H687" t="n">
        <v>0</v>
      </c>
      <c r="I687" t="n">
        <v>0</v>
      </c>
      <c r="J687" t="n">
        <v>0</v>
      </c>
      <c r="K687" t="n">
        <v>0</v>
      </c>
      <c r="L687" t="n">
        <v>0</v>
      </c>
      <c r="M687" t="n">
        <v>0</v>
      </c>
      <c r="N687" t="n">
        <v>0</v>
      </c>
      <c r="O687" t="n">
        <v>0</v>
      </c>
      <c r="P687" t="n">
        <v>0</v>
      </c>
      <c r="Q687" t="n">
        <v>0</v>
      </c>
      <c r="R687" s="2" t="inlineStr"/>
    </row>
    <row r="688" ht="15" customHeight="1">
      <c r="A688" t="inlineStr">
        <is>
          <t>A 61574-2024</t>
        </is>
      </c>
      <c r="B688" s="1" t="n">
        <v>45646.61892361111</v>
      </c>
      <c r="C688" s="1" t="n">
        <v>45933</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9820-2023</t>
        </is>
      </c>
      <c r="B689" s="1" t="n">
        <v>44984.69216435185</v>
      </c>
      <c r="C689" s="1" t="n">
        <v>45933</v>
      </c>
      <c r="D689" t="inlineStr">
        <is>
          <t>UPPSALA LÄN</t>
        </is>
      </c>
      <c r="E689" t="inlineStr">
        <is>
          <t>UPPSALA</t>
        </is>
      </c>
      <c r="F689" t="inlineStr">
        <is>
          <t>Kyrkan</t>
        </is>
      </c>
      <c r="G689" t="n">
        <v>2</v>
      </c>
      <c r="H689" t="n">
        <v>0</v>
      </c>
      <c r="I689" t="n">
        <v>0</v>
      </c>
      <c r="J689" t="n">
        <v>0</v>
      </c>
      <c r="K689" t="n">
        <v>0</v>
      </c>
      <c r="L689" t="n">
        <v>0</v>
      </c>
      <c r="M689" t="n">
        <v>0</v>
      </c>
      <c r="N689" t="n">
        <v>0</v>
      </c>
      <c r="O689" t="n">
        <v>0</v>
      </c>
      <c r="P689" t="n">
        <v>0</v>
      </c>
      <c r="Q689" t="n">
        <v>0</v>
      </c>
      <c r="R689" s="2" t="inlineStr"/>
    </row>
    <row r="690" ht="15" customHeight="1">
      <c r="A690" t="inlineStr">
        <is>
          <t>A 34243-2021</t>
        </is>
      </c>
      <c r="B690" s="1" t="n">
        <v>44379.56163194445</v>
      </c>
      <c r="C690" s="1" t="n">
        <v>45933</v>
      </c>
      <c r="D690" t="inlineStr">
        <is>
          <t>UPPSALA LÄN</t>
        </is>
      </c>
      <c r="E690" t="inlineStr">
        <is>
          <t>UPPSALA</t>
        </is>
      </c>
      <c r="G690" t="n">
        <v>1.9</v>
      </c>
      <c r="H690" t="n">
        <v>0</v>
      </c>
      <c r="I690" t="n">
        <v>0</v>
      </c>
      <c r="J690" t="n">
        <v>0</v>
      </c>
      <c r="K690" t="n">
        <v>0</v>
      </c>
      <c r="L690" t="n">
        <v>0</v>
      </c>
      <c r="M690" t="n">
        <v>0</v>
      </c>
      <c r="N690" t="n">
        <v>0</v>
      </c>
      <c r="O690" t="n">
        <v>0</v>
      </c>
      <c r="P690" t="n">
        <v>0</v>
      </c>
      <c r="Q690" t="n">
        <v>0</v>
      </c>
      <c r="R690" s="2" t="inlineStr"/>
    </row>
    <row r="691" ht="15" customHeight="1">
      <c r="A691" t="inlineStr">
        <is>
          <t>A 13799-2024</t>
        </is>
      </c>
      <c r="B691" s="1" t="n">
        <v>45391.37361111111</v>
      </c>
      <c r="C691" s="1" t="n">
        <v>45933</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33816-2024</t>
        </is>
      </c>
      <c r="B692" s="1" t="n">
        <v>45520</v>
      </c>
      <c r="C692" s="1" t="n">
        <v>45933</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2927-2022</t>
        </is>
      </c>
      <c r="B693" s="1" t="n">
        <v>44581.60254629629</v>
      </c>
      <c r="C693" s="1" t="n">
        <v>45933</v>
      </c>
      <c r="D693" t="inlineStr">
        <is>
          <t>UPPSALA LÄN</t>
        </is>
      </c>
      <c r="E693" t="inlineStr">
        <is>
          <t>UPPSALA</t>
        </is>
      </c>
      <c r="F693" t="inlineStr">
        <is>
          <t>Holmen skog AB</t>
        </is>
      </c>
      <c r="G693" t="n">
        <v>1.3</v>
      </c>
      <c r="H693" t="n">
        <v>0</v>
      </c>
      <c r="I693" t="n">
        <v>0</v>
      </c>
      <c r="J693" t="n">
        <v>0</v>
      </c>
      <c r="K693" t="n">
        <v>0</v>
      </c>
      <c r="L693" t="n">
        <v>0</v>
      </c>
      <c r="M693" t="n">
        <v>0</v>
      </c>
      <c r="N693" t="n">
        <v>0</v>
      </c>
      <c r="O693" t="n">
        <v>0</v>
      </c>
      <c r="P693" t="n">
        <v>0</v>
      </c>
      <c r="Q693" t="n">
        <v>0</v>
      </c>
      <c r="R693" s="2" t="inlineStr"/>
    </row>
    <row r="694" ht="15" customHeight="1">
      <c r="A694" t="inlineStr">
        <is>
          <t>A 733-2022</t>
        </is>
      </c>
      <c r="B694" s="1" t="n">
        <v>44568.67040509259</v>
      </c>
      <c r="C694" s="1" t="n">
        <v>45933</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53346-2020</t>
        </is>
      </c>
      <c r="B695" s="1" t="n">
        <v>44123</v>
      </c>
      <c r="C695" s="1" t="n">
        <v>45933</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17587-2025</t>
        </is>
      </c>
      <c r="B696" s="1" t="n">
        <v>45757.67611111111</v>
      </c>
      <c r="C696" s="1" t="n">
        <v>45933</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24012-2023</t>
        </is>
      </c>
      <c r="B697" s="1" t="n">
        <v>45078</v>
      </c>
      <c r="C697" s="1" t="n">
        <v>45933</v>
      </c>
      <c r="D697" t="inlineStr">
        <is>
          <t>UPPSALA LÄN</t>
        </is>
      </c>
      <c r="E697" t="inlineStr">
        <is>
          <t>UPPSALA</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33797-2021</t>
        </is>
      </c>
      <c r="B698" s="1" t="n">
        <v>44378.56137731481</v>
      </c>
      <c r="C698" s="1" t="n">
        <v>45933</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59719-2022</t>
        </is>
      </c>
      <c r="B699" s="1" t="n">
        <v>44908.425625</v>
      </c>
      <c r="C699" s="1" t="n">
        <v>45933</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29145-2021</t>
        </is>
      </c>
      <c r="B700" s="1" t="n">
        <v>44358.63490740741</v>
      </c>
      <c r="C700" s="1" t="n">
        <v>45933</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53379-2020</t>
        </is>
      </c>
      <c r="B701" s="1" t="n">
        <v>44123</v>
      </c>
      <c r="C701" s="1" t="n">
        <v>45933</v>
      </c>
      <c r="D701" t="inlineStr">
        <is>
          <t>UPPSALA LÄN</t>
        </is>
      </c>
      <c r="E701" t="inlineStr">
        <is>
          <t>UPPSALA</t>
        </is>
      </c>
      <c r="G701" t="n">
        <v>2.6</v>
      </c>
      <c r="H701" t="n">
        <v>0</v>
      </c>
      <c r="I701" t="n">
        <v>0</v>
      </c>
      <c r="J701" t="n">
        <v>0</v>
      </c>
      <c r="K701" t="n">
        <v>0</v>
      </c>
      <c r="L701" t="n">
        <v>0</v>
      </c>
      <c r="M701" t="n">
        <v>0</v>
      </c>
      <c r="N701" t="n">
        <v>0</v>
      </c>
      <c r="O701" t="n">
        <v>0</v>
      </c>
      <c r="P701" t="n">
        <v>0</v>
      </c>
      <c r="Q701" t="n">
        <v>0</v>
      </c>
      <c r="R701" s="2" t="inlineStr"/>
    </row>
    <row r="702" ht="15" customHeight="1">
      <c r="A702" t="inlineStr">
        <is>
          <t>A 57271-2020</t>
        </is>
      </c>
      <c r="B702" s="1" t="n">
        <v>44139</v>
      </c>
      <c r="C702" s="1" t="n">
        <v>45933</v>
      </c>
      <c r="D702" t="inlineStr">
        <is>
          <t>UPPSALA LÄN</t>
        </is>
      </c>
      <c r="E702" t="inlineStr">
        <is>
          <t>UPPSALA</t>
        </is>
      </c>
      <c r="G702" t="n">
        <v>3.8</v>
      </c>
      <c r="H702" t="n">
        <v>0</v>
      </c>
      <c r="I702" t="n">
        <v>0</v>
      </c>
      <c r="J702" t="n">
        <v>0</v>
      </c>
      <c r="K702" t="n">
        <v>0</v>
      </c>
      <c r="L702" t="n">
        <v>0</v>
      </c>
      <c r="M702" t="n">
        <v>0</v>
      </c>
      <c r="N702" t="n">
        <v>0</v>
      </c>
      <c r="O702" t="n">
        <v>0</v>
      </c>
      <c r="P702" t="n">
        <v>0</v>
      </c>
      <c r="Q702" t="n">
        <v>0</v>
      </c>
      <c r="R702" s="2" t="inlineStr"/>
    </row>
    <row r="703" ht="15" customHeight="1">
      <c r="A703" t="inlineStr">
        <is>
          <t>A 3353-2023</t>
        </is>
      </c>
      <c r="B703" s="1" t="n">
        <v>44949.4708912037</v>
      </c>
      <c r="C703" s="1" t="n">
        <v>45933</v>
      </c>
      <c r="D703" t="inlineStr">
        <is>
          <t>UPPSALA LÄN</t>
        </is>
      </c>
      <c r="E703" t="inlineStr">
        <is>
          <t>UPPSALA</t>
        </is>
      </c>
      <c r="G703" t="n">
        <v>3</v>
      </c>
      <c r="H703" t="n">
        <v>0</v>
      </c>
      <c r="I703" t="n">
        <v>0</v>
      </c>
      <c r="J703" t="n">
        <v>0</v>
      </c>
      <c r="K703" t="n">
        <v>0</v>
      </c>
      <c r="L703" t="n">
        <v>0</v>
      </c>
      <c r="M703" t="n">
        <v>0</v>
      </c>
      <c r="N703" t="n">
        <v>0</v>
      </c>
      <c r="O703" t="n">
        <v>0</v>
      </c>
      <c r="P703" t="n">
        <v>0</v>
      </c>
      <c r="Q703" t="n">
        <v>0</v>
      </c>
      <c r="R703" s="2" t="inlineStr"/>
    </row>
    <row r="704" ht="15" customHeight="1">
      <c r="A704" t="inlineStr">
        <is>
          <t>A 37819-2021</t>
        </is>
      </c>
      <c r="B704" s="1" t="n">
        <v>44403.29719907408</v>
      </c>
      <c r="C704" s="1" t="n">
        <v>45933</v>
      </c>
      <c r="D704" t="inlineStr">
        <is>
          <t>UPPSALA LÄN</t>
        </is>
      </c>
      <c r="E704" t="inlineStr">
        <is>
          <t>UPPSALA</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47221-2023</t>
        </is>
      </c>
      <c r="B705" s="1" t="n">
        <v>45202</v>
      </c>
      <c r="C705" s="1" t="n">
        <v>45933</v>
      </c>
      <c r="D705" t="inlineStr">
        <is>
          <t>UPPSALA LÄN</t>
        </is>
      </c>
      <c r="E705" t="inlineStr">
        <is>
          <t>UPPSALA</t>
        </is>
      </c>
      <c r="G705" t="n">
        <v>8.6</v>
      </c>
      <c r="H705" t="n">
        <v>0</v>
      </c>
      <c r="I705" t="n">
        <v>0</v>
      </c>
      <c r="J705" t="n">
        <v>0</v>
      </c>
      <c r="K705" t="n">
        <v>0</v>
      </c>
      <c r="L705" t="n">
        <v>0</v>
      </c>
      <c r="M705" t="n">
        <v>0</v>
      </c>
      <c r="N705" t="n">
        <v>0</v>
      </c>
      <c r="O705" t="n">
        <v>0</v>
      </c>
      <c r="P705" t="n">
        <v>0</v>
      </c>
      <c r="Q705" t="n">
        <v>0</v>
      </c>
      <c r="R705" s="2" t="inlineStr"/>
    </row>
    <row r="706" ht="15" customHeight="1">
      <c r="A706" t="inlineStr">
        <is>
          <t>A 3086-2023</t>
        </is>
      </c>
      <c r="B706" s="1" t="n">
        <v>44946.43564814814</v>
      </c>
      <c r="C706" s="1" t="n">
        <v>45933</v>
      </c>
      <c r="D706" t="inlineStr">
        <is>
          <t>UPPSALA LÄN</t>
        </is>
      </c>
      <c r="E706" t="inlineStr">
        <is>
          <t>UPPSALA</t>
        </is>
      </c>
      <c r="G706" t="n">
        <v>2</v>
      </c>
      <c r="H706" t="n">
        <v>0</v>
      </c>
      <c r="I706" t="n">
        <v>0</v>
      </c>
      <c r="J706" t="n">
        <v>0</v>
      </c>
      <c r="K706" t="n">
        <v>0</v>
      </c>
      <c r="L706" t="n">
        <v>0</v>
      </c>
      <c r="M706" t="n">
        <v>0</v>
      </c>
      <c r="N706" t="n">
        <v>0</v>
      </c>
      <c r="O706" t="n">
        <v>0</v>
      </c>
      <c r="P706" t="n">
        <v>0</v>
      </c>
      <c r="Q706" t="n">
        <v>0</v>
      </c>
      <c r="R706" s="2" t="inlineStr"/>
    </row>
    <row r="707" ht="15" customHeight="1">
      <c r="A707" t="inlineStr">
        <is>
          <t>A 16811-2023</t>
        </is>
      </c>
      <c r="B707" s="1" t="n">
        <v>45033</v>
      </c>
      <c r="C707" s="1" t="n">
        <v>45933</v>
      </c>
      <c r="D707" t="inlineStr">
        <is>
          <t>UPPSALA LÄN</t>
        </is>
      </c>
      <c r="E707" t="inlineStr">
        <is>
          <t>UPPSALA</t>
        </is>
      </c>
      <c r="G707" t="n">
        <v>10.1</v>
      </c>
      <c r="H707" t="n">
        <v>0</v>
      </c>
      <c r="I707" t="n">
        <v>0</v>
      </c>
      <c r="J707" t="n">
        <v>0</v>
      </c>
      <c r="K707" t="n">
        <v>0</v>
      </c>
      <c r="L707" t="n">
        <v>0</v>
      </c>
      <c r="M707" t="n">
        <v>0</v>
      </c>
      <c r="N707" t="n">
        <v>0</v>
      </c>
      <c r="O707" t="n">
        <v>0</v>
      </c>
      <c r="P707" t="n">
        <v>0</v>
      </c>
      <c r="Q707" t="n">
        <v>0</v>
      </c>
      <c r="R707" s="2" t="inlineStr"/>
    </row>
    <row r="708" ht="15" customHeight="1">
      <c r="A708" t="inlineStr">
        <is>
          <t>A 69436-2021</t>
        </is>
      </c>
      <c r="B708" s="1" t="n">
        <v>44531</v>
      </c>
      <c r="C708" s="1" t="n">
        <v>45933</v>
      </c>
      <c r="D708" t="inlineStr">
        <is>
          <t>UPPSALA LÄN</t>
        </is>
      </c>
      <c r="E708" t="inlineStr">
        <is>
          <t>UPPSALA</t>
        </is>
      </c>
      <c r="G708" t="n">
        <v>1.1</v>
      </c>
      <c r="H708" t="n">
        <v>0</v>
      </c>
      <c r="I708" t="n">
        <v>0</v>
      </c>
      <c r="J708" t="n">
        <v>0</v>
      </c>
      <c r="K708" t="n">
        <v>0</v>
      </c>
      <c r="L708" t="n">
        <v>0</v>
      </c>
      <c r="M708" t="n">
        <v>0</v>
      </c>
      <c r="N708" t="n">
        <v>0</v>
      </c>
      <c r="O708" t="n">
        <v>0</v>
      </c>
      <c r="P708" t="n">
        <v>0</v>
      </c>
      <c r="Q708" t="n">
        <v>0</v>
      </c>
      <c r="R708" s="2" t="inlineStr"/>
    </row>
    <row r="709" ht="15" customHeight="1">
      <c r="A709" t="inlineStr">
        <is>
          <t>A 59358-2024</t>
        </is>
      </c>
      <c r="B709" s="1" t="n">
        <v>45638</v>
      </c>
      <c r="C709" s="1" t="n">
        <v>45933</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58023-2022</t>
        </is>
      </c>
      <c r="B710" s="1" t="n">
        <v>44900.54711805555</v>
      </c>
      <c r="C710" s="1" t="n">
        <v>45933</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45878-2024</t>
        </is>
      </c>
      <c r="B711" s="1" t="n">
        <v>45580</v>
      </c>
      <c r="C711" s="1" t="n">
        <v>45933</v>
      </c>
      <c r="D711" t="inlineStr">
        <is>
          <t>UPPSALA LÄN</t>
        </is>
      </c>
      <c r="E711" t="inlineStr">
        <is>
          <t>UPPSALA</t>
        </is>
      </c>
      <c r="G711" t="n">
        <v>2.8</v>
      </c>
      <c r="H711" t="n">
        <v>0</v>
      </c>
      <c r="I711" t="n">
        <v>0</v>
      </c>
      <c r="J711" t="n">
        <v>0</v>
      </c>
      <c r="K711" t="n">
        <v>0</v>
      </c>
      <c r="L711" t="n">
        <v>0</v>
      </c>
      <c r="M711" t="n">
        <v>0</v>
      </c>
      <c r="N711" t="n">
        <v>0</v>
      </c>
      <c r="O711" t="n">
        <v>0</v>
      </c>
      <c r="P711" t="n">
        <v>0</v>
      </c>
      <c r="Q711" t="n">
        <v>0</v>
      </c>
      <c r="R711" s="2" t="inlineStr"/>
    </row>
    <row r="712" ht="15" customHeight="1">
      <c r="A712" t="inlineStr">
        <is>
          <t>A 5374-2023</t>
        </is>
      </c>
      <c r="B712" s="1" t="n">
        <v>44944</v>
      </c>
      <c r="C712" s="1" t="n">
        <v>45933</v>
      </c>
      <c r="D712" t="inlineStr">
        <is>
          <t>UPPSALA LÄN</t>
        </is>
      </c>
      <c r="E712" t="inlineStr">
        <is>
          <t>UPPSALA</t>
        </is>
      </c>
      <c r="G712" t="n">
        <v>3.5</v>
      </c>
      <c r="H712" t="n">
        <v>0</v>
      </c>
      <c r="I712" t="n">
        <v>0</v>
      </c>
      <c r="J712" t="n">
        <v>0</v>
      </c>
      <c r="K712" t="n">
        <v>0</v>
      </c>
      <c r="L712" t="n">
        <v>0</v>
      </c>
      <c r="M712" t="n">
        <v>0</v>
      </c>
      <c r="N712" t="n">
        <v>0</v>
      </c>
      <c r="O712" t="n">
        <v>0</v>
      </c>
      <c r="P712" t="n">
        <v>0</v>
      </c>
      <c r="Q712" t="n">
        <v>0</v>
      </c>
      <c r="R712" s="2" t="inlineStr"/>
    </row>
    <row r="713" ht="15" customHeight="1">
      <c r="A713" t="inlineStr">
        <is>
          <t>A 40503-2024</t>
        </is>
      </c>
      <c r="B713" s="1" t="n">
        <v>45555.5727662037</v>
      </c>
      <c r="C713" s="1" t="n">
        <v>45933</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341-2024</t>
        </is>
      </c>
      <c r="B714" s="1" t="n">
        <v>45295</v>
      </c>
      <c r="C714" s="1" t="n">
        <v>45933</v>
      </c>
      <c r="D714" t="inlineStr">
        <is>
          <t>UPPSALA LÄN</t>
        </is>
      </c>
      <c r="E714" t="inlineStr">
        <is>
          <t>UPPSALA</t>
        </is>
      </c>
      <c r="F714" t="inlineStr">
        <is>
          <t>Allmännings- och besparingsskogar</t>
        </is>
      </c>
      <c r="G714" t="n">
        <v>1.8</v>
      </c>
      <c r="H714" t="n">
        <v>0</v>
      </c>
      <c r="I714" t="n">
        <v>0</v>
      </c>
      <c r="J714" t="n">
        <v>0</v>
      </c>
      <c r="K714" t="n">
        <v>0</v>
      </c>
      <c r="L714" t="n">
        <v>0</v>
      </c>
      <c r="M714" t="n">
        <v>0</v>
      </c>
      <c r="N714" t="n">
        <v>0</v>
      </c>
      <c r="O714" t="n">
        <v>0</v>
      </c>
      <c r="P714" t="n">
        <v>0</v>
      </c>
      <c r="Q714" t="n">
        <v>0</v>
      </c>
      <c r="R714" s="2" t="inlineStr"/>
    </row>
    <row r="715" ht="15" customHeight="1">
      <c r="A715" t="inlineStr">
        <is>
          <t>A 64353-2020</t>
        </is>
      </c>
      <c r="B715" s="1" t="n">
        <v>44168.55746527778</v>
      </c>
      <c r="C715" s="1" t="n">
        <v>45933</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1573-2021</t>
        </is>
      </c>
      <c r="B716" s="1" t="n">
        <v>44209</v>
      </c>
      <c r="C716" s="1" t="n">
        <v>45933</v>
      </c>
      <c r="D716" t="inlineStr">
        <is>
          <t>UPPSALA LÄN</t>
        </is>
      </c>
      <c r="E716" t="inlineStr">
        <is>
          <t>UPPSALA</t>
        </is>
      </c>
      <c r="G716" t="n">
        <v>15</v>
      </c>
      <c r="H716" t="n">
        <v>0</v>
      </c>
      <c r="I716" t="n">
        <v>0</v>
      </c>
      <c r="J716" t="n">
        <v>0</v>
      </c>
      <c r="K716" t="n">
        <v>0</v>
      </c>
      <c r="L716" t="n">
        <v>0</v>
      </c>
      <c r="M716" t="n">
        <v>0</v>
      </c>
      <c r="N716" t="n">
        <v>0</v>
      </c>
      <c r="O716" t="n">
        <v>0</v>
      </c>
      <c r="P716" t="n">
        <v>0</v>
      </c>
      <c r="Q716" t="n">
        <v>0</v>
      </c>
      <c r="R716" s="2" t="inlineStr"/>
    </row>
    <row r="717" ht="15" customHeight="1">
      <c r="A717" t="inlineStr">
        <is>
          <t>A 13420-2021</t>
        </is>
      </c>
      <c r="B717" s="1" t="n">
        <v>44273</v>
      </c>
      <c r="C717" s="1" t="n">
        <v>45933</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5669-2023</t>
        </is>
      </c>
      <c r="B718" s="1" t="n">
        <v>44960.65061342593</v>
      </c>
      <c r="C718" s="1" t="n">
        <v>45933</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5678-2023</t>
        </is>
      </c>
      <c r="B719" s="1" t="n">
        <v>44960</v>
      </c>
      <c r="C719" s="1" t="n">
        <v>45933</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5028-2022</t>
        </is>
      </c>
      <c r="B720" s="1" t="n">
        <v>44593.64863425926</v>
      </c>
      <c r="C720" s="1" t="n">
        <v>45933</v>
      </c>
      <c r="D720" t="inlineStr">
        <is>
          <t>UPPSALA LÄN</t>
        </is>
      </c>
      <c r="E720" t="inlineStr">
        <is>
          <t>UPPSALA</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40111-2024</t>
        </is>
      </c>
      <c r="B721" s="1" t="n">
        <v>45554</v>
      </c>
      <c r="C721" s="1" t="n">
        <v>45933</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179-2023</t>
        </is>
      </c>
      <c r="B722" s="1" t="n">
        <v>44928</v>
      </c>
      <c r="C722" s="1" t="n">
        <v>45933</v>
      </c>
      <c r="D722" t="inlineStr">
        <is>
          <t>UPPSALA LÄN</t>
        </is>
      </c>
      <c r="E722" t="inlineStr">
        <is>
          <t>UPPSALA</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38865-2022</t>
        </is>
      </c>
      <c r="B723" s="1" t="n">
        <v>44816</v>
      </c>
      <c r="C723" s="1" t="n">
        <v>45933</v>
      </c>
      <c r="D723" t="inlineStr">
        <is>
          <t>UPPSALA LÄN</t>
        </is>
      </c>
      <c r="E723" t="inlineStr">
        <is>
          <t>UPPSALA</t>
        </is>
      </c>
      <c r="G723" t="n">
        <v>14.6</v>
      </c>
      <c r="H723" t="n">
        <v>0</v>
      </c>
      <c r="I723" t="n">
        <v>0</v>
      </c>
      <c r="J723" t="n">
        <v>0</v>
      </c>
      <c r="K723" t="n">
        <v>0</v>
      </c>
      <c r="L723" t="n">
        <v>0</v>
      </c>
      <c r="M723" t="n">
        <v>0</v>
      </c>
      <c r="N723" t="n">
        <v>0</v>
      </c>
      <c r="O723" t="n">
        <v>0</v>
      </c>
      <c r="P723" t="n">
        <v>0</v>
      </c>
      <c r="Q723" t="n">
        <v>0</v>
      </c>
      <c r="R723" s="2" t="inlineStr"/>
    </row>
    <row r="724" ht="15" customHeight="1">
      <c r="A724" t="inlineStr">
        <is>
          <t>A 39812-2024</t>
        </is>
      </c>
      <c r="B724" s="1" t="n">
        <v>45552</v>
      </c>
      <c r="C724" s="1" t="n">
        <v>45933</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18717-2025</t>
        </is>
      </c>
      <c r="B725" s="1" t="n">
        <v>45763.6503125</v>
      </c>
      <c r="C725" s="1" t="n">
        <v>45933</v>
      </c>
      <c r="D725" t="inlineStr">
        <is>
          <t>UPPSALA LÄN</t>
        </is>
      </c>
      <c r="E725" t="inlineStr">
        <is>
          <t>UPPSALA</t>
        </is>
      </c>
      <c r="G725" t="n">
        <v>1</v>
      </c>
      <c r="H725" t="n">
        <v>0</v>
      </c>
      <c r="I725" t="n">
        <v>0</v>
      </c>
      <c r="J725" t="n">
        <v>0</v>
      </c>
      <c r="K725" t="n">
        <v>0</v>
      </c>
      <c r="L725" t="n">
        <v>0</v>
      </c>
      <c r="M725" t="n">
        <v>0</v>
      </c>
      <c r="N725" t="n">
        <v>0</v>
      </c>
      <c r="O725" t="n">
        <v>0</v>
      </c>
      <c r="P725" t="n">
        <v>0</v>
      </c>
      <c r="Q725" t="n">
        <v>0</v>
      </c>
      <c r="R725" s="2" t="inlineStr"/>
    </row>
    <row r="726" ht="15" customHeight="1">
      <c r="A726" t="inlineStr">
        <is>
          <t>A 3183-2024</t>
        </is>
      </c>
      <c r="B726" s="1" t="n">
        <v>45316</v>
      </c>
      <c r="C726" s="1" t="n">
        <v>45933</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3261-2024</t>
        </is>
      </c>
      <c r="B727" s="1" t="n">
        <v>45317</v>
      </c>
      <c r="C727" s="1" t="n">
        <v>45933</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32688-2023</t>
        </is>
      </c>
      <c r="B728" s="1" t="n">
        <v>45121</v>
      </c>
      <c r="C728" s="1" t="n">
        <v>45933</v>
      </c>
      <c r="D728" t="inlineStr">
        <is>
          <t>UPPSALA LÄN</t>
        </is>
      </c>
      <c r="E728" t="inlineStr">
        <is>
          <t>UPPSALA</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39795-2022</t>
        </is>
      </c>
      <c r="B729" s="1" t="n">
        <v>44819.50233796296</v>
      </c>
      <c r="C729" s="1" t="n">
        <v>45933</v>
      </c>
      <c r="D729" t="inlineStr">
        <is>
          <t>UPPSALA LÄN</t>
        </is>
      </c>
      <c r="E729" t="inlineStr">
        <is>
          <t>UPPSALA</t>
        </is>
      </c>
      <c r="F729" t="inlineStr">
        <is>
          <t>Övriga Aktiebolag</t>
        </is>
      </c>
      <c r="G729" t="n">
        <v>3.5</v>
      </c>
      <c r="H729" t="n">
        <v>0</v>
      </c>
      <c r="I729" t="n">
        <v>0</v>
      </c>
      <c r="J729" t="n">
        <v>0</v>
      </c>
      <c r="K729" t="n">
        <v>0</v>
      </c>
      <c r="L729" t="n">
        <v>0</v>
      </c>
      <c r="M729" t="n">
        <v>0</v>
      </c>
      <c r="N729" t="n">
        <v>0</v>
      </c>
      <c r="O729" t="n">
        <v>0</v>
      </c>
      <c r="P729" t="n">
        <v>0</v>
      </c>
      <c r="Q729" t="n">
        <v>0</v>
      </c>
      <c r="R729" s="2" t="inlineStr"/>
    </row>
    <row r="730" ht="15" customHeight="1">
      <c r="A730" t="inlineStr">
        <is>
          <t>A 9206-2022</t>
        </is>
      </c>
      <c r="B730" s="1" t="n">
        <v>44616</v>
      </c>
      <c r="C730" s="1" t="n">
        <v>45933</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1838-2024</t>
        </is>
      </c>
      <c r="B731" s="1" t="n">
        <v>45307</v>
      </c>
      <c r="C731" s="1" t="n">
        <v>45933</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55021-2022</t>
        </is>
      </c>
      <c r="B732" s="1" t="n">
        <v>44886</v>
      </c>
      <c r="C732" s="1" t="n">
        <v>45933</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29019-2023</t>
        </is>
      </c>
      <c r="B733" s="1" t="n">
        <v>45104.6828125</v>
      </c>
      <c r="C733" s="1" t="n">
        <v>45933</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59996-2024</t>
        </is>
      </c>
      <c r="B734" s="1" t="n">
        <v>45642</v>
      </c>
      <c r="C734" s="1" t="n">
        <v>45933</v>
      </c>
      <c r="D734" t="inlineStr">
        <is>
          <t>UPPSALA LÄN</t>
        </is>
      </c>
      <c r="E734" t="inlineStr">
        <is>
          <t>UPPSALA</t>
        </is>
      </c>
      <c r="F734" t="inlineStr">
        <is>
          <t>Bergvik skog väst AB</t>
        </is>
      </c>
      <c r="G734" t="n">
        <v>14.5</v>
      </c>
      <c r="H734" t="n">
        <v>0</v>
      </c>
      <c r="I734" t="n">
        <v>0</v>
      </c>
      <c r="J734" t="n">
        <v>0</v>
      </c>
      <c r="K734" t="n">
        <v>0</v>
      </c>
      <c r="L734" t="n">
        <v>0</v>
      </c>
      <c r="M734" t="n">
        <v>0</v>
      </c>
      <c r="N734" t="n">
        <v>0</v>
      </c>
      <c r="O734" t="n">
        <v>0</v>
      </c>
      <c r="P734" t="n">
        <v>0</v>
      </c>
      <c r="Q734" t="n">
        <v>0</v>
      </c>
      <c r="R734" s="2" t="inlineStr"/>
    </row>
    <row r="735" ht="15" customHeight="1">
      <c r="A735" t="inlineStr">
        <is>
          <t>A 74495-2021</t>
        </is>
      </c>
      <c r="B735" s="1" t="n">
        <v>44560</v>
      </c>
      <c r="C735" s="1" t="n">
        <v>45933</v>
      </c>
      <c r="D735" t="inlineStr">
        <is>
          <t>UPPSALA LÄN</t>
        </is>
      </c>
      <c r="E735" t="inlineStr">
        <is>
          <t>UPPSALA</t>
        </is>
      </c>
      <c r="G735" t="n">
        <v>1.9</v>
      </c>
      <c r="H735" t="n">
        <v>0</v>
      </c>
      <c r="I735" t="n">
        <v>0</v>
      </c>
      <c r="J735" t="n">
        <v>0</v>
      </c>
      <c r="K735" t="n">
        <v>0</v>
      </c>
      <c r="L735" t="n">
        <v>0</v>
      </c>
      <c r="M735" t="n">
        <v>0</v>
      </c>
      <c r="N735" t="n">
        <v>0</v>
      </c>
      <c r="O735" t="n">
        <v>0</v>
      </c>
      <c r="P735" t="n">
        <v>0</v>
      </c>
      <c r="Q735" t="n">
        <v>0</v>
      </c>
      <c r="R735" s="2" t="inlineStr"/>
    </row>
    <row r="736" ht="15" customHeight="1">
      <c r="A736" t="inlineStr">
        <is>
          <t>A 6408-2022</t>
        </is>
      </c>
      <c r="B736" s="1" t="n">
        <v>44600</v>
      </c>
      <c r="C736" s="1" t="n">
        <v>45933</v>
      </c>
      <c r="D736" t="inlineStr">
        <is>
          <t>UPPSALA LÄN</t>
        </is>
      </c>
      <c r="E736" t="inlineStr">
        <is>
          <t>UPPSALA</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33689-2023</t>
        </is>
      </c>
      <c r="B737" s="1" t="n">
        <v>45119</v>
      </c>
      <c r="C737" s="1" t="n">
        <v>45933</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10383-2022</t>
        </is>
      </c>
      <c r="B738" s="1" t="n">
        <v>44623.41775462963</v>
      </c>
      <c r="C738" s="1" t="n">
        <v>45933</v>
      </c>
      <c r="D738" t="inlineStr">
        <is>
          <t>UPPSALA LÄN</t>
        </is>
      </c>
      <c r="E738" t="inlineStr">
        <is>
          <t>UPPSALA</t>
        </is>
      </c>
      <c r="F738" t="inlineStr">
        <is>
          <t>Övriga Aktiebolag</t>
        </is>
      </c>
      <c r="G738" t="n">
        <v>2.8</v>
      </c>
      <c r="H738" t="n">
        <v>0</v>
      </c>
      <c r="I738" t="n">
        <v>0</v>
      </c>
      <c r="J738" t="n">
        <v>0</v>
      </c>
      <c r="K738" t="n">
        <v>0</v>
      </c>
      <c r="L738" t="n">
        <v>0</v>
      </c>
      <c r="M738" t="n">
        <v>0</v>
      </c>
      <c r="N738" t="n">
        <v>0</v>
      </c>
      <c r="O738" t="n">
        <v>0</v>
      </c>
      <c r="P738" t="n">
        <v>0</v>
      </c>
      <c r="Q738" t="n">
        <v>0</v>
      </c>
      <c r="R738" s="2" t="inlineStr"/>
    </row>
    <row r="739" ht="15" customHeight="1">
      <c r="A739" t="inlineStr">
        <is>
          <t>A 10456-2022</t>
        </is>
      </c>
      <c r="B739" s="1" t="n">
        <v>44623.5571875</v>
      </c>
      <c r="C739" s="1" t="n">
        <v>45933</v>
      </c>
      <c r="D739" t="inlineStr">
        <is>
          <t>UPPSALA LÄN</t>
        </is>
      </c>
      <c r="E739" t="inlineStr">
        <is>
          <t>UPPSALA</t>
        </is>
      </c>
      <c r="F739" t="inlineStr">
        <is>
          <t>Övriga Aktiebolag</t>
        </is>
      </c>
      <c r="G739" t="n">
        <v>12.6</v>
      </c>
      <c r="H739" t="n">
        <v>0</v>
      </c>
      <c r="I739" t="n">
        <v>0</v>
      </c>
      <c r="J739" t="n">
        <v>0</v>
      </c>
      <c r="K739" t="n">
        <v>0</v>
      </c>
      <c r="L739" t="n">
        <v>0</v>
      </c>
      <c r="M739" t="n">
        <v>0</v>
      </c>
      <c r="N739" t="n">
        <v>0</v>
      </c>
      <c r="O739" t="n">
        <v>0</v>
      </c>
      <c r="P739" t="n">
        <v>0</v>
      </c>
      <c r="Q739" t="n">
        <v>0</v>
      </c>
      <c r="R739" s="2" t="inlineStr"/>
    </row>
    <row r="740" ht="15" customHeight="1">
      <c r="A740" t="inlineStr">
        <is>
          <t>A 39548-2023</t>
        </is>
      </c>
      <c r="B740" s="1" t="n">
        <v>45167.3721412037</v>
      </c>
      <c r="C740" s="1" t="n">
        <v>45933</v>
      </c>
      <c r="D740" t="inlineStr">
        <is>
          <t>UPPSALA LÄN</t>
        </is>
      </c>
      <c r="E740" t="inlineStr">
        <is>
          <t>UPPSALA</t>
        </is>
      </c>
      <c r="G740" t="n">
        <v>3.4</v>
      </c>
      <c r="H740" t="n">
        <v>0</v>
      </c>
      <c r="I740" t="n">
        <v>0</v>
      </c>
      <c r="J740" t="n">
        <v>0</v>
      </c>
      <c r="K740" t="n">
        <v>0</v>
      </c>
      <c r="L740" t="n">
        <v>0</v>
      </c>
      <c r="M740" t="n">
        <v>0</v>
      </c>
      <c r="N740" t="n">
        <v>0</v>
      </c>
      <c r="O740" t="n">
        <v>0</v>
      </c>
      <c r="P740" t="n">
        <v>0</v>
      </c>
      <c r="Q740" t="n">
        <v>0</v>
      </c>
      <c r="R740" s="2" t="inlineStr"/>
    </row>
    <row r="741" ht="15" customHeight="1">
      <c r="A741" t="inlineStr">
        <is>
          <t>A 6602-2023</t>
        </is>
      </c>
      <c r="B741" s="1" t="n">
        <v>44966</v>
      </c>
      <c r="C741" s="1" t="n">
        <v>45933</v>
      </c>
      <c r="D741" t="inlineStr">
        <is>
          <t>UPPSALA LÄN</t>
        </is>
      </c>
      <c r="E741" t="inlineStr">
        <is>
          <t>UPPSALA</t>
        </is>
      </c>
      <c r="F741" t="inlineStr">
        <is>
          <t>Allmännings- och besparingsskogar</t>
        </is>
      </c>
      <c r="G741" t="n">
        <v>20.2</v>
      </c>
      <c r="H741" t="n">
        <v>0</v>
      </c>
      <c r="I741" t="n">
        <v>0</v>
      </c>
      <c r="J741" t="n">
        <v>0</v>
      </c>
      <c r="K741" t="n">
        <v>0</v>
      </c>
      <c r="L741" t="n">
        <v>0</v>
      </c>
      <c r="M741" t="n">
        <v>0</v>
      </c>
      <c r="N741" t="n">
        <v>0</v>
      </c>
      <c r="O741" t="n">
        <v>0</v>
      </c>
      <c r="P741" t="n">
        <v>0</v>
      </c>
      <c r="Q741" t="n">
        <v>0</v>
      </c>
      <c r="R741" s="2" t="inlineStr"/>
    </row>
    <row r="742" ht="15" customHeight="1">
      <c r="A742" t="inlineStr">
        <is>
          <t>A 6422-2023</t>
        </is>
      </c>
      <c r="B742" s="1" t="n">
        <v>44965</v>
      </c>
      <c r="C742" s="1" t="n">
        <v>45933</v>
      </c>
      <c r="D742" t="inlineStr">
        <is>
          <t>UPPSALA LÄN</t>
        </is>
      </c>
      <c r="E742" t="inlineStr">
        <is>
          <t>UPPSALA</t>
        </is>
      </c>
      <c r="G742" t="n">
        <v>3.1</v>
      </c>
      <c r="H742" t="n">
        <v>0</v>
      </c>
      <c r="I742" t="n">
        <v>0</v>
      </c>
      <c r="J742" t="n">
        <v>0</v>
      </c>
      <c r="K742" t="n">
        <v>0</v>
      </c>
      <c r="L742" t="n">
        <v>0</v>
      </c>
      <c r="M742" t="n">
        <v>0</v>
      </c>
      <c r="N742" t="n">
        <v>0</v>
      </c>
      <c r="O742" t="n">
        <v>0</v>
      </c>
      <c r="P742" t="n">
        <v>0</v>
      </c>
      <c r="Q742" t="n">
        <v>0</v>
      </c>
      <c r="R742" s="2" t="inlineStr"/>
    </row>
    <row r="743" ht="15" customHeight="1">
      <c r="A743" t="inlineStr">
        <is>
          <t>A 6423-2023</t>
        </is>
      </c>
      <c r="B743" s="1" t="n">
        <v>44965</v>
      </c>
      <c r="C743" s="1" t="n">
        <v>45933</v>
      </c>
      <c r="D743" t="inlineStr">
        <is>
          <t>UPPSALA LÄN</t>
        </is>
      </c>
      <c r="E743" t="inlineStr">
        <is>
          <t>UPPSALA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1994-2024</t>
        </is>
      </c>
      <c r="B744" s="1" t="n">
        <v>45308.63298611111</v>
      </c>
      <c r="C744" s="1" t="n">
        <v>45933</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49682-2023</t>
        </is>
      </c>
      <c r="B745" s="1" t="n">
        <v>45212.34997685185</v>
      </c>
      <c r="C745" s="1" t="n">
        <v>45933</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55073-2022</t>
        </is>
      </c>
      <c r="B746" s="1" t="n">
        <v>44886.5928125</v>
      </c>
      <c r="C746" s="1" t="n">
        <v>45933</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61805-2021</t>
        </is>
      </c>
      <c r="B747" s="1" t="n">
        <v>44501.71344907407</v>
      </c>
      <c r="C747" s="1" t="n">
        <v>45933</v>
      </c>
      <c r="D747" t="inlineStr">
        <is>
          <t>UPPSALA LÄN</t>
        </is>
      </c>
      <c r="E747" t="inlineStr">
        <is>
          <t>UPPSALA</t>
        </is>
      </c>
      <c r="F747" t="inlineStr">
        <is>
          <t>Bergvik skog öst AB</t>
        </is>
      </c>
      <c r="G747" t="n">
        <v>3.8</v>
      </c>
      <c r="H747" t="n">
        <v>0</v>
      </c>
      <c r="I747" t="n">
        <v>0</v>
      </c>
      <c r="J747" t="n">
        <v>0</v>
      </c>
      <c r="K747" t="n">
        <v>0</v>
      </c>
      <c r="L747" t="n">
        <v>0</v>
      </c>
      <c r="M747" t="n">
        <v>0</v>
      </c>
      <c r="N747" t="n">
        <v>0</v>
      </c>
      <c r="O747" t="n">
        <v>0</v>
      </c>
      <c r="P747" t="n">
        <v>0</v>
      </c>
      <c r="Q747" t="n">
        <v>0</v>
      </c>
      <c r="R747" s="2" t="inlineStr"/>
    </row>
    <row r="748" ht="15" customHeight="1">
      <c r="A748" t="inlineStr">
        <is>
          <t>A 43-2024</t>
        </is>
      </c>
      <c r="B748" s="1" t="n">
        <v>45293</v>
      </c>
      <c r="C748" s="1" t="n">
        <v>45933</v>
      </c>
      <c r="D748" t="inlineStr">
        <is>
          <t>UPPSALA LÄN</t>
        </is>
      </c>
      <c r="E748" t="inlineStr">
        <is>
          <t>UPPSALA</t>
        </is>
      </c>
      <c r="G748" t="n">
        <v>2.8</v>
      </c>
      <c r="H748" t="n">
        <v>0</v>
      </c>
      <c r="I748" t="n">
        <v>0</v>
      </c>
      <c r="J748" t="n">
        <v>0</v>
      </c>
      <c r="K748" t="n">
        <v>0</v>
      </c>
      <c r="L748" t="n">
        <v>0</v>
      </c>
      <c r="M748" t="n">
        <v>0</v>
      </c>
      <c r="N748" t="n">
        <v>0</v>
      </c>
      <c r="O748" t="n">
        <v>0</v>
      </c>
      <c r="P748" t="n">
        <v>0</v>
      </c>
      <c r="Q748" t="n">
        <v>0</v>
      </c>
      <c r="R748" s="2" t="inlineStr"/>
    </row>
    <row r="749" ht="15" customHeight="1">
      <c r="A749" t="inlineStr">
        <is>
          <t>A 17211-2025</t>
        </is>
      </c>
      <c r="B749" s="1" t="n">
        <v>45756.44024305556</v>
      </c>
      <c r="C749" s="1" t="n">
        <v>45933</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17250-2025</t>
        </is>
      </c>
      <c r="B750" s="1" t="n">
        <v>45756.50738425926</v>
      </c>
      <c r="C750" s="1" t="n">
        <v>45933</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42681-2023</t>
        </is>
      </c>
      <c r="B751" s="1" t="n">
        <v>45181.58055555556</v>
      </c>
      <c r="C751" s="1" t="n">
        <v>45933</v>
      </c>
      <c r="D751" t="inlineStr">
        <is>
          <t>UPPSALA LÄN</t>
        </is>
      </c>
      <c r="E751" t="inlineStr">
        <is>
          <t>UPPSALA</t>
        </is>
      </c>
      <c r="F751" t="inlineStr">
        <is>
          <t>Bergvik skog öst AB</t>
        </is>
      </c>
      <c r="G751" t="n">
        <v>3.1</v>
      </c>
      <c r="H751" t="n">
        <v>0</v>
      </c>
      <c r="I751" t="n">
        <v>0</v>
      </c>
      <c r="J751" t="n">
        <v>0</v>
      </c>
      <c r="K751" t="n">
        <v>0</v>
      </c>
      <c r="L751" t="n">
        <v>0</v>
      </c>
      <c r="M751" t="n">
        <v>0</v>
      </c>
      <c r="N751" t="n">
        <v>0</v>
      </c>
      <c r="O751" t="n">
        <v>0</v>
      </c>
      <c r="P751" t="n">
        <v>0</v>
      </c>
      <c r="Q751" t="n">
        <v>0</v>
      </c>
      <c r="R751" s="2" t="inlineStr"/>
    </row>
    <row r="752" ht="15" customHeight="1">
      <c r="A752" t="inlineStr">
        <is>
          <t>A 1592-2025</t>
        </is>
      </c>
      <c r="B752" s="1" t="n">
        <v>45670</v>
      </c>
      <c r="C752" s="1" t="n">
        <v>45933</v>
      </c>
      <c r="D752" t="inlineStr">
        <is>
          <t>UPPSALA LÄN</t>
        </is>
      </c>
      <c r="E752" t="inlineStr">
        <is>
          <t>UPPSALA</t>
        </is>
      </c>
      <c r="F752" t="inlineStr">
        <is>
          <t>Bergvik skog väst AB</t>
        </is>
      </c>
      <c r="G752" t="n">
        <v>0.7</v>
      </c>
      <c r="H752" t="n">
        <v>0</v>
      </c>
      <c r="I752" t="n">
        <v>0</v>
      </c>
      <c r="J752" t="n">
        <v>0</v>
      </c>
      <c r="K752" t="n">
        <v>0</v>
      </c>
      <c r="L752" t="n">
        <v>0</v>
      </c>
      <c r="M752" t="n">
        <v>0</v>
      </c>
      <c r="N752" t="n">
        <v>0</v>
      </c>
      <c r="O752" t="n">
        <v>0</v>
      </c>
      <c r="P752" t="n">
        <v>0</v>
      </c>
      <c r="Q752" t="n">
        <v>0</v>
      </c>
      <c r="R752" s="2" t="inlineStr"/>
    </row>
    <row r="753" ht="15" customHeight="1">
      <c r="A753" t="inlineStr">
        <is>
          <t>A 60729-2024</t>
        </is>
      </c>
      <c r="B753" s="1" t="n">
        <v>45644</v>
      </c>
      <c r="C753" s="1" t="n">
        <v>45933</v>
      </c>
      <c r="D753" t="inlineStr">
        <is>
          <t>UPPSALA LÄN</t>
        </is>
      </c>
      <c r="E753" t="inlineStr">
        <is>
          <t>UPPSALA</t>
        </is>
      </c>
      <c r="G753" t="n">
        <v>1.9</v>
      </c>
      <c r="H753" t="n">
        <v>0</v>
      </c>
      <c r="I753" t="n">
        <v>0</v>
      </c>
      <c r="J753" t="n">
        <v>0</v>
      </c>
      <c r="K753" t="n">
        <v>0</v>
      </c>
      <c r="L753" t="n">
        <v>0</v>
      </c>
      <c r="M753" t="n">
        <v>0</v>
      </c>
      <c r="N753" t="n">
        <v>0</v>
      </c>
      <c r="O753" t="n">
        <v>0</v>
      </c>
      <c r="P753" t="n">
        <v>0</v>
      </c>
      <c r="Q753" t="n">
        <v>0</v>
      </c>
      <c r="R753" s="2" t="inlineStr"/>
    </row>
    <row r="754" ht="15" customHeight="1">
      <c r="A754" t="inlineStr">
        <is>
          <t>A 73326-2021</t>
        </is>
      </c>
      <c r="B754" s="1" t="n">
        <v>44548</v>
      </c>
      <c r="C754" s="1" t="n">
        <v>45933</v>
      </c>
      <c r="D754" t="inlineStr">
        <is>
          <t>UPPSALA LÄN</t>
        </is>
      </c>
      <c r="E754" t="inlineStr">
        <is>
          <t>UPPSALA</t>
        </is>
      </c>
      <c r="G754" t="n">
        <v>4</v>
      </c>
      <c r="H754" t="n">
        <v>0</v>
      </c>
      <c r="I754" t="n">
        <v>0</v>
      </c>
      <c r="J754" t="n">
        <v>0</v>
      </c>
      <c r="K754" t="n">
        <v>0</v>
      </c>
      <c r="L754" t="n">
        <v>0</v>
      </c>
      <c r="M754" t="n">
        <v>0</v>
      </c>
      <c r="N754" t="n">
        <v>0</v>
      </c>
      <c r="O754" t="n">
        <v>0</v>
      </c>
      <c r="P754" t="n">
        <v>0</v>
      </c>
      <c r="Q754" t="n">
        <v>0</v>
      </c>
      <c r="R754" s="2" t="inlineStr"/>
    </row>
    <row r="755" ht="15" customHeight="1">
      <c r="A755" t="inlineStr">
        <is>
          <t>A 73044-2021</t>
        </is>
      </c>
      <c r="B755" s="1" t="n">
        <v>44550.37994212963</v>
      </c>
      <c r="C755" s="1" t="n">
        <v>45933</v>
      </c>
      <c r="D755" t="inlineStr">
        <is>
          <t>UPPSALA LÄN</t>
        </is>
      </c>
      <c r="E755" t="inlineStr">
        <is>
          <t>UPPSALA</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45933</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9313-2023</t>
        </is>
      </c>
      <c r="B757" s="1" t="n">
        <v>44980</v>
      </c>
      <c r="C757" s="1" t="n">
        <v>45933</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53893-2023</t>
        </is>
      </c>
      <c r="B758" s="1" t="n">
        <v>45231</v>
      </c>
      <c r="C758" s="1" t="n">
        <v>45933</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59521-2023</t>
        </is>
      </c>
      <c r="B759" s="1" t="n">
        <v>45254.49552083333</v>
      </c>
      <c r="C759" s="1" t="n">
        <v>45933</v>
      </c>
      <c r="D759" t="inlineStr">
        <is>
          <t>UPPSALA LÄN</t>
        </is>
      </c>
      <c r="E759" t="inlineStr">
        <is>
          <t>UPPSALA</t>
        </is>
      </c>
      <c r="G759" t="n">
        <v>1.7</v>
      </c>
      <c r="H759" t="n">
        <v>0</v>
      </c>
      <c r="I759" t="n">
        <v>0</v>
      </c>
      <c r="J759" t="n">
        <v>0</v>
      </c>
      <c r="K759" t="n">
        <v>0</v>
      </c>
      <c r="L759" t="n">
        <v>0</v>
      </c>
      <c r="M759" t="n">
        <v>0</v>
      </c>
      <c r="N759" t="n">
        <v>0</v>
      </c>
      <c r="O759" t="n">
        <v>0</v>
      </c>
      <c r="P759" t="n">
        <v>0</v>
      </c>
      <c r="Q759" t="n">
        <v>0</v>
      </c>
      <c r="R759" s="2" t="inlineStr"/>
    </row>
    <row r="760" ht="15" customHeight="1">
      <c r="A760" t="inlineStr">
        <is>
          <t>A 6679-2024</t>
        </is>
      </c>
      <c r="B760" s="1" t="n">
        <v>45341</v>
      </c>
      <c r="C760" s="1" t="n">
        <v>45933</v>
      </c>
      <c r="D760" t="inlineStr">
        <is>
          <t>UPPSALA LÄN</t>
        </is>
      </c>
      <c r="E760" t="inlineStr">
        <is>
          <t>UPPSALA</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49050-2024</t>
        </is>
      </c>
      <c r="B761" s="1" t="n">
        <v>45594</v>
      </c>
      <c r="C761" s="1" t="n">
        <v>45933</v>
      </c>
      <c r="D761" t="inlineStr">
        <is>
          <t>UPPSALA LÄN</t>
        </is>
      </c>
      <c r="E761" t="inlineStr">
        <is>
          <t>UPPSALA</t>
        </is>
      </c>
      <c r="F761" t="inlineStr">
        <is>
          <t>Övriga statliga verk och myndigheter</t>
        </is>
      </c>
      <c r="G761" t="n">
        <v>3.9</v>
      </c>
      <c r="H761" t="n">
        <v>0</v>
      </c>
      <c r="I761" t="n">
        <v>0</v>
      </c>
      <c r="J761" t="n">
        <v>0</v>
      </c>
      <c r="K761" t="n">
        <v>0</v>
      </c>
      <c r="L761" t="n">
        <v>0</v>
      </c>
      <c r="M761" t="n">
        <v>0</v>
      </c>
      <c r="N761" t="n">
        <v>0</v>
      </c>
      <c r="O761" t="n">
        <v>0</v>
      </c>
      <c r="P761" t="n">
        <v>0</v>
      </c>
      <c r="Q761" t="n">
        <v>0</v>
      </c>
      <c r="R761" s="2" t="inlineStr"/>
    </row>
    <row r="762" ht="15" customHeight="1">
      <c r="A762" t="inlineStr">
        <is>
          <t>A 781-2024</t>
        </is>
      </c>
      <c r="B762" s="1" t="n">
        <v>45300.55028935185</v>
      </c>
      <c r="C762" s="1" t="n">
        <v>45933</v>
      </c>
      <c r="D762" t="inlineStr">
        <is>
          <t>UPPSALA LÄN</t>
        </is>
      </c>
      <c r="E762" t="inlineStr">
        <is>
          <t>UPPSALA</t>
        </is>
      </c>
      <c r="G762" t="n">
        <v>6.3</v>
      </c>
      <c r="H762" t="n">
        <v>0</v>
      </c>
      <c r="I762" t="n">
        <v>0</v>
      </c>
      <c r="J762" t="n">
        <v>0</v>
      </c>
      <c r="K762" t="n">
        <v>0</v>
      </c>
      <c r="L762" t="n">
        <v>0</v>
      </c>
      <c r="M762" t="n">
        <v>0</v>
      </c>
      <c r="N762" t="n">
        <v>0</v>
      </c>
      <c r="O762" t="n">
        <v>0</v>
      </c>
      <c r="P762" t="n">
        <v>0</v>
      </c>
      <c r="Q762" t="n">
        <v>0</v>
      </c>
      <c r="R762" s="2" t="inlineStr"/>
    </row>
    <row r="763" ht="15" customHeight="1">
      <c r="A763" t="inlineStr">
        <is>
          <t>A 53615-2024</t>
        </is>
      </c>
      <c r="B763" s="1" t="n">
        <v>45611</v>
      </c>
      <c r="C763" s="1" t="n">
        <v>45933</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7226-2024</t>
        </is>
      </c>
      <c r="B764" s="1" t="n">
        <v>45344.64759259259</v>
      </c>
      <c r="C764" s="1" t="n">
        <v>45933</v>
      </c>
      <c r="D764" t="inlineStr">
        <is>
          <t>UPPSALA LÄN</t>
        </is>
      </c>
      <c r="E764" t="inlineStr">
        <is>
          <t>UPPSALA</t>
        </is>
      </c>
      <c r="F764" t="inlineStr">
        <is>
          <t>Kyrkan</t>
        </is>
      </c>
      <c r="G764" t="n">
        <v>1.2</v>
      </c>
      <c r="H764" t="n">
        <v>0</v>
      </c>
      <c r="I764" t="n">
        <v>0</v>
      </c>
      <c r="J764" t="n">
        <v>0</v>
      </c>
      <c r="K764" t="n">
        <v>0</v>
      </c>
      <c r="L764" t="n">
        <v>0</v>
      </c>
      <c r="M764" t="n">
        <v>0</v>
      </c>
      <c r="N764" t="n">
        <v>0</v>
      </c>
      <c r="O764" t="n">
        <v>0</v>
      </c>
      <c r="P764" t="n">
        <v>0</v>
      </c>
      <c r="Q764" t="n">
        <v>0</v>
      </c>
      <c r="R764" s="2" t="inlineStr"/>
    </row>
    <row r="765" ht="15" customHeight="1">
      <c r="A765" t="inlineStr">
        <is>
          <t>A 29901-2023</t>
        </is>
      </c>
      <c r="B765" s="1" t="n">
        <v>45107</v>
      </c>
      <c r="C765" s="1" t="n">
        <v>45933</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29926-2023</t>
        </is>
      </c>
      <c r="B766" s="1" t="n">
        <v>45107</v>
      </c>
      <c r="C766" s="1" t="n">
        <v>45933</v>
      </c>
      <c r="D766" t="inlineStr">
        <is>
          <t>UPPSALA LÄN</t>
        </is>
      </c>
      <c r="E766" t="inlineStr">
        <is>
          <t>UPPSALA</t>
        </is>
      </c>
      <c r="G766" t="n">
        <v>1.3</v>
      </c>
      <c r="H766" t="n">
        <v>0</v>
      </c>
      <c r="I766" t="n">
        <v>0</v>
      </c>
      <c r="J766" t="n">
        <v>0</v>
      </c>
      <c r="K766" t="n">
        <v>0</v>
      </c>
      <c r="L766" t="n">
        <v>0</v>
      </c>
      <c r="M766" t="n">
        <v>0</v>
      </c>
      <c r="N766" t="n">
        <v>0</v>
      </c>
      <c r="O766" t="n">
        <v>0</v>
      </c>
      <c r="P766" t="n">
        <v>0</v>
      </c>
      <c r="Q766" t="n">
        <v>0</v>
      </c>
      <c r="R766" s="2" t="inlineStr"/>
    </row>
    <row r="767" ht="15" customHeight="1">
      <c r="A767" t="inlineStr">
        <is>
          <t>A 29927-2023</t>
        </is>
      </c>
      <c r="B767" s="1" t="n">
        <v>45107</v>
      </c>
      <c r="C767" s="1" t="n">
        <v>45933</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7253-2024</t>
        </is>
      </c>
      <c r="B768" s="1" t="n">
        <v>45344.69567129629</v>
      </c>
      <c r="C768" s="1" t="n">
        <v>45933</v>
      </c>
      <c r="D768" t="inlineStr">
        <is>
          <t>UPPSALA LÄN</t>
        </is>
      </c>
      <c r="E768" t="inlineStr">
        <is>
          <t>UPPSALA</t>
        </is>
      </c>
      <c r="F768" t="inlineStr">
        <is>
          <t>Kyrkan</t>
        </is>
      </c>
      <c r="G768" t="n">
        <v>2.5</v>
      </c>
      <c r="H768" t="n">
        <v>0</v>
      </c>
      <c r="I768" t="n">
        <v>0</v>
      </c>
      <c r="J768" t="n">
        <v>0</v>
      </c>
      <c r="K768" t="n">
        <v>0</v>
      </c>
      <c r="L768" t="n">
        <v>0</v>
      </c>
      <c r="M768" t="n">
        <v>0</v>
      </c>
      <c r="N768" t="n">
        <v>0</v>
      </c>
      <c r="O768" t="n">
        <v>0</v>
      </c>
      <c r="P768" t="n">
        <v>0</v>
      </c>
      <c r="Q768" t="n">
        <v>0</v>
      </c>
      <c r="R768" s="2" t="inlineStr"/>
    </row>
    <row r="769" ht="15" customHeight="1">
      <c r="A769" t="inlineStr">
        <is>
          <t>A 39148-2022</t>
        </is>
      </c>
      <c r="B769" s="1" t="n">
        <v>44816</v>
      </c>
      <c r="C769" s="1" t="n">
        <v>45933</v>
      </c>
      <c r="D769" t="inlineStr">
        <is>
          <t>UPPSALA LÄN</t>
        </is>
      </c>
      <c r="E769" t="inlineStr">
        <is>
          <t>UPPSALA</t>
        </is>
      </c>
      <c r="F769" t="inlineStr">
        <is>
          <t>Övriga statliga verk och myndigheter</t>
        </is>
      </c>
      <c r="G769" t="n">
        <v>1.7</v>
      </c>
      <c r="H769" t="n">
        <v>0</v>
      </c>
      <c r="I769" t="n">
        <v>0</v>
      </c>
      <c r="J769" t="n">
        <v>0</v>
      </c>
      <c r="K769" t="n">
        <v>0</v>
      </c>
      <c r="L769" t="n">
        <v>0</v>
      </c>
      <c r="M769" t="n">
        <v>0</v>
      </c>
      <c r="N769" t="n">
        <v>0</v>
      </c>
      <c r="O769" t="n">
        <v>0</v>
      </c>
      <c r="P769" t="n">
        <v>0</v>
      </c>
      <c r="Q769" t="n">
        <v>0</v>
      </c>
      <c r="R769" s="2" t="inlineStr"/>
    </row>
    <row r="770" ht="15" customHeight="1">
      <c r="A770" t="inlineStr">
        <is>
          <t>A 34509-2023</t>
        </is>
      </c>
      <c r="B770" s="1" t="n">
        <v>45133</v>
      </c>
      <c r="C770" s="1" t="n">
        <v>45933</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27119-2023</t>
        </is>
      </c>
      <c r="B771" s="1" t="n">
        <v>45096</v>
      </c>
      <c r="C771" s="1" t="n">
        <v>45933</v>
      </c>
      <c r="D771" t="inlineStr">
        <is>
          <t>UPPSALA LÄN</t>
        </is>
      </c>
      <c r="E771" t="inlineStr">
        <is>
          <t>UPPSALA</t>
        </is>
      </c>
      <c r="G771" t="n">
        <v>3.1</v>
      </c>
      <c r="H771" t="n">
        <v>0</v>
      </c>
      <c r="I771" t="n">
        <v>0</v>
      </c>
      <c r="J771" t="n">
        <v>0</v>
      </c>
      <c r="K771" t="n">
        <v>0</v>
      </c>
      <c r="L771" t="n">
        <v>0</v>
      </c>
      <c r="M771" t="n">
        <v>0</v>
      </c>
      <c r="N771" t="n">
        <v>0</v>
      </c>
      <c r="O771" t="n">
        <v>0</v>
      </c>
      <c r="P771" t="n">
        <v>0</v>
      </c>
      <c r="Q771" t="n">
        <v>0</v>
      </c>
      <c r="R771" s="2" t="inlineStr"/>
    </row>
    <row r="772" ht="15" customHeight="1">
      <c r="A772" t="inlineStr">
        <is>
          <t>A 27599-2023</t>
        </is>
      </c>
      <c r="B772" s="1" t="n">
        <v>45097</v>
      </c>
      <c r="C772" s="1" t="n">
        <v>45933</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27903-2023</t>
        </is>
      </c>
      <c r="B773" s="1" t="n">
        <v>45098.62966435185</v>
      </c>
      <c r="C773" s="1" t="n">
        <v>45933</v>
      </c>
      <c r="D773" t="inlineStr">
        <is>
          <t>UPPSALA LÄN</t>
        </is>
      </c>
      <c r="E773" t="inlineStr">
        <is>
          <t>UPPSALA</t>
        </is>
      </c>
      <c r="G773" t="n">
        <v>2.4</v>
      </c>
      <c r="H773" t="n">
        <v>0</v>
      </c>
      <c r="I773" t="n">
        <v>0</v>
      </c>
      <c r="J773" t="n">
        <v>0</v>
      </c>
      <c r="K773" t="n">
        <v>0</v>
      </c>
      <c r="L773" t="n">
        <v>0</v>
      </c>
      <c r="M773" t="n">
        <v>0</v>
      </c>
      <c r="N773" t="n">
        <v>0</v>
      </c>
      <c r="O773" t="n">
        <v>0</v>
      </c>
      <c r="P773" t="n">
        <v>0</v>
      </c>
      <c r="Q773" t="n">
        <v>0</v>
      </c>
      <c r="R773" s="2" t="inlineStr"/>
    </row>
    <row r="774" ht="15" customHeight="1">
      <c r="A774" t="inlineStr">
        <is>
          <t>A 7058-2023</t>
        </is>
      </c>
      <c r="B774" s="1" t="n">
        <v>44969</v>
      </c>
      <c r="C774" s="1" t="n">
        <v>45933</v>
      </c>
      <c r="D774" t="inlineStr">
        <is>
          <t>UPPSALA LÄN</t>
        </is>
      </c>
      <c r="E774" t="inlineStr">
        <is>
          <t>UPPSALA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3214-2023</t>
        </is>
      </c>
      <c r="B775" s="1" t="n">
        <v>44944</v>
      </c>
      <c r="C775" s="1" t="n">
        <v>45933</v>
      </c>
      <c r="D775" t="inlineStr">
        <is>
          <t>UPPSALA LÄN</t>
        </is>
      </c>
      <c r="E775" t="inlineStr">
        <is>
          <t>UPPSALA</t>
        </is>
      </c>
      <c r="G775" t="n">
        <v>4.1</v>
      </c>
      <c r="H775" t="n">
        <v>0</v>
      </c>
      <c r="I775" t="n">
        <v>0</v>
      </c>
      <c r="J775" t="n">
        <v>0</v>
      </c>
      <c r="K775" t="n">
        <v>0</v>
      </c>
      <c r="L775" t="n">
        <v>0</v>
      </c>
      <c r="M775" t="n">
        <v>0</v>
      </c>
      <c r="N775" t="n">
        <v>0</v>
      </c>
      <c r="O775" t="n">
        <v>0</v>
      </c>
      <c r="P775" t="n">
        <v>0</v>
      </c>
      <c r="Q775" t="n">
        <v>0</v>
      </c>
      <c r="R775" s="2" t="inlineStr"/>
    </row>
    <row r="776" ht="15" customHeight="1">
      <c r="A776" t="inlineStr">
        <is>
          <t>A 50669-2024</t>
        </is>
      </c>
      <c r="B776" s="1" t="n">
        <v>45601</v>
      </c>
      <c r="C776" s="1" t="n">
        <v>45933</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72224-2021</t>
        </is>
      </c>
      <c r="B777" s="1" t="n">
        <v>44544</v>
      </c>
      <c r="C777" s="1" t="n">
        <v>45933</v>
      </c>
      <c r="D777" t="inlineStr">
        <is>
          <t>UPPSALA LÄN</t>
        </is>
      </c>
      <c r="E777" t="inlineStr">
        <is>
          <t>UPPSALA</t>
        </is>
      </c>
      <c r="G777" t="n">
        <v>2.5</v>
      </c>
      <c r="H777" t="n">
        <v>0</v>
      </c>
      <c r="I777" t="n">
        <v>0</v>
      </c>
      <c r="J777" t="n">
        <v>0</v>
      </c>
      <c r="K777" t="n">
        <v>0</v>
      </c>
      <c r="L777" t="n">
        <v>0</v>
      </c>
      <c r="M777" t="n">
        <v>0</v>
      </c>
      <c r="N777" t="n">
        <v>0</v>
      </c>
      <c r="O777" t="n">
        <v>0</v>
      </c>
      <c r="P777" t="n">
        <v>0</v>
      </c>
      <c r="Q777" t="n">
        <v>0</v>
      </c>
      <c r="R777" s="2" t="inlineStr"/>
    </row>
    <row r="778" ht="15" customHeight="1">
      <c r="A778" t="inlineStr">
        <is>
          <t>A 66686-2021</t>
        </is>
      </c>
      <c r="B778" s="1" t="n">
        <v>44519</v>
      </c>
      <c r="C778" s="1" t="n">
        <v>45933</v>
      </c>
      <c r="D778" t="inlineStr">
        <is>
          <t>UPPSALA LÄN</t>
        </is>
      </c>
      <c r="E778" t="inlineStr">
        <is>
          <t>UPPSALA</t>
        </is>
      </c>
      <c r="G778" t="n">
        <v>6.4</v>
      </c>
      <c r="H778" t="n">
        <v>0</v>
      </c>
      <c r="I778" t="n">
        <v>0</v>
      </c>
      <c r="J778" t="n">
        <v>0</v>
      </c>
      <c r="K778" t="n">
        <v>0</v>
      </c>
      <c r="L778" t="n">
        <v>0</v>
      </c>
      <c r="M778" t="n">
        <v>0</v>
      </c>
      <c r="N778" t="n">
        <v>0</v>
      </c>
      <c r="O778" t="n">
        <v>0</v>
      </c>
      <c r="P778" t="n">
        <v>0</v>
      </c>
      <c r="Q778" t="n">
        <v>0</v>
      </c>
      <c r="R778" s="2" t="inlineStr"/>
    </row>
    <row r="779" ht="15" customHeight="1">
      <c r="A779" t="inlineStr">
        <is>
          <t>A 5899-2024</t>
        </is>
      </c>
      <c r="B779" s="1" t="n">
        <v>45335</v>
      </c>
      <c r="C779" s="1" t="n">
        <v>45933</v>
      </c>
      <c r="D779" t="inlineStr">
        <is>
          <t>UPPSALA LÄN</t>
        </is>
      </c>
      <c r="E779" t="inlineStr">
        <is>
          <t>UPPSALA</t>
        </is>
      </c>
      <c r="F779" t="inlineStr">
        <is>
          <t>Allmännings- och besparingsskogar</t>
        </is>
      </c>
      <c r="G779" t="n">
        <v>3.7</v>
      </c>
      <c r="H779" t="n">
        <v>0</v>
      </c>
      <c r="I779" t="n">
        <v>0</v>
      </c>
      <c r="J779" t="n">
        <v>0</v>
      </c>
      <c r="K779" t="n">
        <v>0</v>
      </c>
      <c r="L779" t="n">
        <v>0</v>
      </c>
      <c r="M779" t="n">
        <v>0</v>
      </c>
      <c r="N779" t="n">
        <v>0</v>
      </c>
      <c r="O779" t="n">
        <v>0</v>
      </c>
      <c r="P779" t="n">
        <v>0</v>
      </c>
      <c r="Q779" t="n">
        <v>0</v>
      </c>
      <c r="R779" s="2" t="inlineStr"/>
    </row>
    <row r="780" ht="15" customHeight="1">
      <c r="A780" t="inlineStr">
        <is>
          <t>A 45-2024</t>
        </is>
      </c>
      <c r="B780" s="1" t="n">
        <v>45293</v>
      </c>
      <c r="C780" s="1" t="n">
        <v>45933</v>
      </c>
      <c r="D780" t="inlineStr">
        <is>
          <t>UPPSALA LÄN</t>
        </is>
      </c>
      <c r="E780" t="inlineStr">
        <is>
          <t>UPPSALA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36782-2023</t>
        </is>
      </c>
      <c r="B781" s="1" t="n">
        <v>45154.35092592592</v>
      </c>
      <c r="C781" s="1" t="n">
        <v>45933</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14337-2022</t>
        </is>
      </c>
      <c r="B782" s="1" t="n">
        <v>44652</v>
      </c>
      <c r="C782" s="1" t="n">
        <v>45933</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2980-2025</t>
        </is>
      </c>
      <c r="B783" s="1" t="n">
        <v>45678</v>
      </c>
      <c r="C783" s="1" t="n">
        <v>45933</v>
      </c>
      <c r="D783" t="inlineStr">
        <is>
          <t>UPPSALA LÄN</t>
        </is>
      </c>
      <c r="E783" t="inlineStr">
        <is>
          <t>UPPSALA</t>
        </is>
      </c>
      <c r="G783" t="n">
        <v>5</v>
      </c>
      <c r="H783" t="n">
        <v>0</v>
      </c>
      <c r="I783" t="n">
        <v>0</v>
      </c>
      <c r="J783" t="n">
        <v>0</v>
      </c>
      <c r="K783" t="n">
        <v>0</v>
      </c>
      <c r="L783" t="n">
        <v>0</v>
      </c>
      <c r="M783" t="n">
        <v>0</v>
      </c>
      <c r="N783" t="n">
        <v>0</v>
      </c>
      <c r="O783" t="n">
        <v>0</v>
      </c>
      <c r="P783" t="n">
        <v>0</v>
      </c>
      <c r="Q783" t="n">
        <v>0</v>
      </c>
      <c r="R783" s="2" t="inlineStr"/>
    </row>
    <row r="784" ht="15" customHeight="1">
      <c r="A784" t="inlineStr">
        <is>
          <t>A 38934-2023</t>
        </is>
      </c>
      <c r="B784" s="1" t="n">
        <v>45163.59913194444</v>
      </c>
      <c r="C784" s="1" t="n">
        <v>45933</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17448-2022</t>
        </is>
      </c>
      <c r="B785" s="1" t="n">
        <v>44679</v>
      </c>
      <c r="C785" s="1" t="n">
        <v>45933</v>
      </c>
      <c r="D785" t="inlineStr">
        <is>
          <t>UPPSALA LÄN</t>
        </is>
      </c>
      <c r="E785" t="inlineStr">
        <is>
          <t>UPPSALA</t>
        </is>
      </c>
      <c r="G785" t="n">
        <v>2.7</v>
      </c>
      <c r="H785" t="n">
        <v>0</v>
      </c>
      <c r="I785" t="n">
        <v>0</v>
      </c>
      <c r="J785" t="n">
        <v>0</v>
      </c>
      <c r="K785" t="n">
        <v>0</v>
      </c>
      <c r="L785" t="n">
        <v>0</v>
      </c>
      <c r="M785" t="n">
        <v>0</v>
      </c>
      <c r="N785" t="n">
        <v>0</v>
      </c>
      <c r="O785" t="n">
        <v>0</v>
      </c>
      <c r="P785" t="n">
        <v>0</v>
      </c>
      <c r="Q785" t="n">
        <v>0</v>
      </c>
      <c r="R785" s="2" t="inlineStr"/>
    </row>
    <row r="786" ht="15" customHeight="1">
      <c r="A786" t="inlineStr">
        <is>
          <t>A 27125-2023</t>
        </is>
      </c>
      <c r="B786" s="1" t="n">
        <v>45096</v>
      </c>
      <c r="C786" s="1" t="n">
        <v>45933</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179-2024</t>
        </is>
      </c>
      <c r="B787" s="1" t="n">
        <v>45294.5666550926</v>
      </c>
      <c r="C787" s="1" t="n">
        <v>45933</v>
      </c>
      <c r="D787" t="inlineStr">
        <is>
          <t>UPPSALA LÄN</t>
        </is>
      </c>
      <c r="E787" t="inlineStr">
        <is>
          <t>UPPSALA</t>
        </is>
      </c>
      <c r="F787" t="inlineStr">
        <is>
          <t>Bergvik skog öst AB</t>
        </is>
      </c>
      <c r="G787" t="n">
        <v>12.7</v>
      </c>
      <c r="H787" t="n">
        <v>0</v>
      </c>
      <c r="I787" t="n">
        <v>0</v>
      </c>
      <c r="J787" t="n">
        <v>0</v>
      </c>
      <c r="K787" t="n">
        <v>0</v>
      </c>
      <c r="L787" t="n">
        <v>0</v>
      </c>
      <c r="M787" t="n">
        <v>0</v>
      </c>
      <c r="N787" t="n">
        <v>0</v>
      </c>
      <c r="O787" t="n">
        <v>0</v>
      </c>
      <c r="P787" t="n">
        <v>0</v>
      </c>
      <c r="Q787" t="n">
        <v>0</v>
      </c>
      <c r="R787" s="2" t="inlineStr"/>
    </row>
    <row r="788" ht="15" customHeight="1">
      <c r="A788" t="inlineStr">
        <is>
          <t>A 74023-2021</t>
        </is>
      </c>
      <c r="B788" s="1" t="n">
        <v>44553</v>
      </c>
      <c r="C788" s="1" t="n">
        <v>45933</v>
      </c>
      <c r="D788" t="inlineStr">
        <is>
          <t>UPPSALA LÄN</t>
        </is>
      </c>
      <c r="E788" t="inlineStr">
        <is>
          <t>UPPSALA</t>
        </is>
      </c>
      <c r="G788" t="n">
        <v>5.4</v>
      </c>
      <c r="H788" t="n">
        <v>0</v>
      </c>
      <c r="I788" t="n">
        <v>0</v>
      </c>
      <c r="J788" t="n">
        <v>0</v>
      </c>
      <c r="K788" t="n">
        <v>0</v>
      </c>
      <c r="L788" t="n">
        <v>0</v>
      </c>
      <c r="M788" t="n">
        <v>0</v>
      </c>
      <c r="N788" t="n">
        <v>0</v>
      </c>
      <c r="O788" t="n">
        <v>0</v>
      </c>
      <c r="P788" t="n">
        <v>0</v>
      </c>
      <c r="Q788" t="n">
        <v>0</v>
      </c>
      <c r="R788" s="2" t="inlineStr"/>
    </row>
    <row r="789" ht="15" customHeight="1">
      <c r="A789" t="inlineStr">
        <is>
          <t>A 62054-2024</t>
        </is>
      </c>
      <c r="B789" s="1" t="n">
        <v>45656</v>
      </c>
      <c r="C789" s="1" t="n">
        <v>45933</v>
      </c>
      <c r="D789" t="inlineStr">
        <is>
          <t>UPPSALA LÄN</t>
        </is>
      </c>
      <c r="E789" t="inlineStr">
        <is>
          <t>UPPSALA</t>
        </is>
      </c>
      <c r="F789" t="inlineStr">
        <is>
          <t>Övriga statliga verk och myndigheter</t>
        </is>
      </c>
      <c r="G789" t="n">
        <v>29.3</v>
      </c>
      <c r="H789" t="n">
        <v>0</v>
      </c>
      <c r="I789" t="n">
        <v>0</v>
      </c>
      <c r="J789" t="n">
        <v>0</v>
      </c>
      <c r="K789" t="n">
        <v>0</v>
      </c>
      <c r="L789" t="n">
        <v>0</v>
      </c>
      <c r="M789" t="n">
        <v>0</v>
      </c>
      <c r="N789" t="n">
        <v>0</v>
      </c>
      <c r="O789" t="n">
        <v>0</v>
      </c>
      <c r="P789" t="n">
        <v>0</v>
      </c>
      <c r="Q789" t="n">
        <v>0</v>
      </c>
      <c r="R789" s="2" t="inlineStr"/>
    </row>
    <row r="790" ht="15" customHeight="1">
      <c r="A790" t="inlineStr">
        <is>
          <t>A 5722-2025</t>
        </is>
      </c>
      <c r="B790" s="1" t="n">
        <v>45694</v>
      </c>
      <c r="C790" s="1" t="n">
        <v>45933</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37316-2022</t>
        </is>
      </c>
      <c r="B791" s="1" t="n">
        <v>44806</v>
      </c>
      <c r="C791" s="1" t="n">
        <v>45933</v>
      </c>
      <c r="D791" t="inlineStr">
        <is>
          <t>UPPSALA LÄN</t>
        </is>
      </c>
      <c r="E791" t="inlineStr">
        <is>
          <t>UPPSALA</t>
        </is>
      </c>
      <c r="G791" t="n">
        <v>10.6</v>
      </c>
      <c r="H791" t="n">
        <v>0</v>
      </c>
      <c r="I791" t="n">
        <v>0</v>
      </c>
      <c r="J791" t="n">
        <v>0</v>
      </c>
      <c r="K791" t="n">
        <v>0</v>
      </c>
      <c r="L791" t="n">
        <v>0</v>
      </c>
      <c r="M791" t="n">
        <v>0</v>
      </c>
      <c r="N791" t="n">
        <v>0</v>
      </c>
      <c r="O791" t="n">
        <v>0</v>
      </c>
      <c r="P791" t="n">
        <v>0</v>
      </c>
      <c r="Q791" t="n">
        <v>0</v>
      </c>
      <c r="R791" s="2" t="inlineStr"/>
    </row>
    <row r="792" ht="15" customHeight="1">
      <c r="A792" t="inlineStr">
        <is>
          <t>A 19380-2023</t>
        </is>
      </c>
      <c r="B792" s="1" t="n">
        <v>45049.66025462963</v>
      </c>
      <c r="C792" s="1" t="n">
        <v>45933</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1731-2022</t>
        </is>
      </c>
      <c r="B793" s="1" t="n">
        <v>44574</v>
      </c>
      <c r="C793" s="1" t="n">
        <v>45933</v>
      </c>
      <c r="D793" t="inlineStr">
        <is>
          <t>UPPSALA LÄN</t>
        </is>
      </c>
      <c r="E793" t="inlineStr">
        <is>
          <t>UPPSALA</t>
        </is>
      </c>
      <c r="G793" t="n">
        <v>10.1</v>
      </c>
      <c r="H793" t="n">
        <v>0</v>
      </c>
      <c r="I793" t="n">
        <v>0</v>
      </c>
      <c r="J793" t="n">
        <v>0</v>
      </c>
      <c r="K793" t="n">
        <v>0</v>
      </c>
      <c r="L793" t="n">
        <v>0</v>
      </c>
      <c r="M793" t="n">
        <v>0</v>
      </c>
      <c r="N793" t="n">
        <v>0</v>
      </c>
      <c r="O793" t="n">
        <v>0</v>
      </c>
      <c r="P793" t="n">
        <v>0</v>
      </c>
      <c r="Q793" t="n">
        <v>0</v>
      </c>
      <c r="R793" s="2" t="inlineStr"/>
    </row>
    <row r="794" ht="15" customHeight="1">
      <c r="A794" t="inlineStr">
        <is>
          <t>A 13343-2022</t>
        </is>
      </c>
      <c r="B794" s="1" t="n">
        <v>44645.39157407408</v>
      </c>
      <c r="C794" s="1" t="n">
        <v>45933</v>
      </c>
      <c r="D794" t="inlineStr">
        <is>
          <t>UPPSALA LÄN</t>
        </is>
      </c>
      <c r="E794" t="inlineStr">
        <is>
          <t>UPPSALA</t>
        </is>
      </c>
      <c r="F794" t="inlineStr">
        <is>
          <t>Övriga Aktiebolag</t>
        </is>
      </c>
      <c r="G794" t="n">
        <v>1.9</v>
      </c>
      <c r="H794" t="n">
        <v>0</v>
      </c>
      <c r="I794" t="n">
        <v>0</v>
      </c>
      <c r="J794" t="n">
        <v>0</v>
      </c>
      <c r="K794" t="n">
        <v>0</v>
      </c>
      <c r="L794" t="n">
        <v>0</v>
      </c>
      <c r="M794" t="n">
        <v>0</v>
      </c>
      <c r="N794" t="n">
        <v>0</v>
      </c>
      <c r="O794" t="n">
        <v>0</v>
      </c>
      <c r="P794" t="n">
        <v>0</v>
      </c>
      <c r="Q794" t="n">
        <v>0</v>
      </c>
      <c r="R794" s="2" t="inlineStr"/>
    </row>
    <row r="795" ht="15" customHeight="1">
      <c r="A795" t="inlineStr">
        <is>
          <t>A 60925-2021</t>
        </is>
      </c>
      <c r="B795" s="1" t="n">
        <v>44497.4666087963</v>
      </c>
      <c r="C795" s="1" t="n">
        <v>45933</v>
      </c>
      <c r="D795" t="inlineStr">
        <is>
          <t>UPPSALA LÄN</t>
        </is>
      </c>
      <c r="E795" t="inlineStr">
        <is>
          <t>UPPSALA</t>
        </is>
      </c>
      <c r="G795" t="n">
        <v>3.7</v>
      </c>
      <c r="H795" t="n">
        <v>0</v>
      </c>
      <c r="I795" t="n">
        <v>0</v>
      </c>
      <c r="J795" t="n">
        <v>0</v>
      </c>
      <c r="K795" t="n">
        <v>0</v>
      </c>
      <c r="L795" t="n">
        <v>0</v>
      </c>
      <c r="M795" t="n">
        <v>0</v>
      </c>
      <c r="N795" t="n">
        <v>0</v>
      </c>
      <c r="O795" t="n">
        <v>0</v>
      </c>
      <c r="P795" t="n">
        <v>0</v>
      </c>
      <c r="Q795" t="n">
        <v>0</v>
      </c>
      <c r="R795" s="2" t="inlineStr"/>
    </row>
    <row r="796" ht="15" customHeight="1">
      <c r="A796" t="inlineStr">
        <is>
          <t>A 36392-2023</t>
        </is>
      </c>
      <c r="B796" s="1" t="n">
        <v>45152</v>
      </c>
      <c r="C796" s="1" t="n">
        <v>45933</v>
      </c>
      <c r="D796" t="inlineStr">
        <is>
          <t>UPPSALA LÄN</t>
        </is>
      </c>
      <c r="E796" t="inlineStr">
        <is>
          <t>UPPSALA</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6155-2023</t>
        </is>
      </c>
      <c r="B797" s="1" t="n">
        <v>44964.65261574074</v>
      </c>
      <c r="C797" s="1" t="n">
        <v>45933</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6009-2022</t>
        </is>
      </c>
      <c r="B798" s="1" t="n">
        <v>44599.44832175926</v>
      </c>
      <c r="C798" s="1" t="n">
        <v>45933</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59549-2024</t>
        </is>
      </c>
      <c r="B799" s="1" t="n">
        <v>45638</v>
      </c>
      <c r="C799" s="1" t="n">
        <v>45933</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12606-2023</t>
        </is>
      </c>
      <c r="B800" s="1" t="n">
        <v>45000.44666666666</v>
      </c>
      <c r="C800" s="1" t="n">
        <v>45933</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18410-2025</t>
        </is>
      </c>
      <c r="B801" s="1" t="n">
        <v>45762.61341435185</v>
      </c>
      <c r="C801" s="1" t="n">
        <v>45933</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8931-2025</t>
        </is>
      </c>
      <c r="B802" s="1" t="n">
        <v>45713.44519675926</v>
      </c>
      <c r="C802" s="1" t="n">
        <v>45933</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4503-2024</t>
        </is>
      </c>
      <c r="B803" s="1" t="n">
        <v>45327.61831018519</v>
      </c>
      <c r="C803" s="1" t="n">
        <v>45933</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8672-2024</t>
        </is>
      </c>
      <c r="B804" s="1" t="n">
        <v>45352</v>
      </c>
      <c r="C804" s="1" t="n">
        <v>45933</v>
      </c>
      <c r="D804" t="inlineStr">
        <is>
          <t>UPPSALA LÄN</t>
        </is>
      </c>
      <c r="E804" t="inlineStr">
        <is>
          <t>UPPSALA</t>
        </is>
      </c>
      <c r="G804" t="n">
        <v>2.3</v>
      </c>
      <c r="H804" t="n">
        <v>0</v>
      </c>
      <c r="I804" t="n">
        <v>0</v>
      </c>
      <c r="J804" t="n">
        <v>0</v>
      </c>
      <c r="K804" t="n">
        <v>0</v>
      </c>
      <c r="L804" t="n">
        <v>0</v>
      </c>
      <c r="M804" t="n">
        <v>0</v>
      </c>
      <c r="N804" t="n">
        <v>0</v>
      </c>
      <c r="O804" t="n">
        <v>0</v>
      </c>
      <c r="P804" t="n">
        <v>0</v>
      </c>
      <c r="Q804" t="n">
        <v>0</v>
      </c>
      <c r="R804" s="2" t="inlineStr"/>
    </row>
    <row r="805" ht="15" customHeight="1">
      <c r="A805" t="inlineStr">
        <is>
          <t>A 5362-2023</t>
        </is>
      </c>
      <c r="B805" s="1" t="n">
        <v>44944</v>
      </c>
      <c r="C805" s="1" t="n">
        <v>45933</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61947-2023</t>
        </is>
      </c>
      <c r="B806" s="1" t="n">
        <v>45266</v>
      </c>
      <c r="C806" s="1" t="n">
        <v>45933</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51661-2022</t>
        </is>
      </c>
      <c r="B807" s="1" t="n">
        <v>44872</v>
      </c>
      <c r="C807" s="1" t="n">
        <v>45933</v>
      </c>
      <c r="D807" t="inlineStr">
        <is>
          <t>UPPSALA LÄN</t>
        </is>
      </c>
      <c r="E807" t="inlineStr">
        <is>
          <t>UPPSALA</t>
        </is>
      </c>
      <c r="G807" t="n">
        <v>8.9</v>
      </c>
      <c r="H807" t="n">
        <v>0</v>
      </c>
      <c r="I807" t="n">
        <v>0</v>
      </c>
      <c r="J807" t="n">
        <v>0</v>
      </c>
      <c r="K807" t="n">
        <v>0</v>
      </c>
      <c r="L807" t="n">
        <v>0</v>
      </c>
      <c r="M807" t="n">
        <v>0</v>
      </c>
      <c r="N807" t="n">
        <v>0</v>
      </c>
      <c r="O807" t="n">
        <v>0</v>
      </c>
      <c r="P807" t="n">
        <v>0</v>
      </c>
      <c r="Q807" t="n">
        <v>0</v>
      </c>
      <c r="R807" s="2" t="inlineStr"/>
    </row>
    <row r="808" ht="15" customHeight="1">
      <c r="A808" t="inlineStr">
        <is>
          <t>A 32553-2024</t>
        </is>
      </c>
      <c r="B808" s="1" t="n">
        <v>45513.51815972223</v>
      </c>
      <c r="C808" s="1" t="n">
        <v>45933</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54512-2024</t>
        </is>
      </c>
      <c r="B809" s="1" t="n">
        <v>45617.59006944444</v>
      </c>
      <c r="C809" s="1" t="n">
        <v>45933</v>
      </c>
      <c r="D809" t="inlineStr">
        <is>
          <t>UPPSALA LÄN</t>
        </is>
      </c>
      <c r="E809" t="inlineStr">
        <is>
          <t>UPPSALA</t>
        </is>
      </c>
      <c r="G809" t="n">
        <v>3.2</v>
      </c>
      <c r="H809" t="n">
        <v>0</v>
      </c>
      <c r="I809" t="n">
        <v>0</v>
      </c>
      <c r="J809" t="n">
        <v>0</v>
      </c>
      <c r="K809" t="n">
        <v>0</v>
      </c>
      <c r="L809" t="n">
        <v>0</v>
      </c>
      <c r="M809" t="n">
        <v>0</v>
      </c>
      <c r="N809" t="n">
        <v>0</v>
      </c>
      <c r="O809" t="n">
        <v>0</v>
      </c>
      <c r="P809" t="n">
        <v>0</v>
      </c>
      <c r="Q809" t="n">
        <v>0</v>
      </c>
      <c r="R809" s="2" t="inlineStr"/>
    </row>
    <row r="810" ht="15" customHeight="1">
      <c r="A810" t="inlineStr">
        <is>
          <t>A 19276-2023</t>
        </is>
      </c>
      <c r="B810" s="1" t="n">
        <v>45049</v>
      </c>
      <c r="C810" s="1" t="n">
        <v>45933</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74493-2021</t>
        </is>
      </c>
      <c r="B811" s="1" t="n">
        <v>44560</v>
      </c>
      <c r="C811" s="1" t="n">
        <v>45933</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5974-2024</t>
        </is>
      </c>
      <c r="B812" s="1" t="n">
        <v>45336.53908564815</v>
      </c>
      <c r="C812" s="1" t="n">
        <v>45933</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53589-2024</t>
        </is>
      </c>
      <c r="B813" s="1" t="n">
        <v>45614.67020833334</v>
      </c>
      <c r="C813" s="1" t="n">
        <v>45933</v>
      </c>
      <c r="D813" t="inlineStr">
        <is>
          <t>UPPSALA LÄN</t>
        </is>
      </c>
      <c r="E813" t="inlineStr">
        <is>
          <t>UPPSALA</t>
        </is>
      </c>
      <c r="G813" t="n">
        <v>4</v>
      </c>
      <c r="H813" t="n">
        <v>0</v>
      </c>
      <c r="I813" t="n">
        <v>0</v>
      </c>
      <c r="J813" t="n">
        <v>0</v>
      </c>
      <c r="K813" t="n">
        <v>0</v>
      </c>
      <c r="L813" t="n">
        <v>0</v>
      </c>
      <c r="M813" t="n">
        <v>0</v>
      </c>
      <c r="N813" t="n">
        <v>0</v>
      </c>
      <c r="O813" t="n">
        <v>0</v>
      </c>
      <c r="P813" t="n">
        <v>0</v>
      </c>
      <c r="Q813" t="n">
        <v>0</v>
      </c>
      <c r="R813" s="2" t="inlineStr"/>
    </row>
    <row r="814" ht="15" customHeight="1">
      <c r="A814" t="inlineStr">
        <is>
          <t>A 19613-2025</t>
        </is>
      </c>
      <c r="B814" s="1" t="n">
        <v>45770.61341435185</v>
      </c>
      <c r="C814" s="1" t="n">
        <v>45933</v>
      </c>
      <c r="D814" t="inlineStr">
        <is>
          <t>UPPSALA LÄN</t>
        </is>
      </c>
      <c r="E814" t="inlineStr">
        <is>
          <t>UPPSALA</t>
        </is>
      </c>
      <c r="F814" t="inlineStr">
        <is>
          <t>Övriga Aktiebolag</t>
        </is>
      </c>
      <c r="G814" t="n">
        <v>2.2</v>
      </c>
      <c r="H814" t="n">
        <v>0</v>
      </c>
      <c r="I814" t="n">
        <v>0</v>
      </c>
      <c r="J814" t="n">
        <v>0</v>
      </c>
      <c r="K814" t="n">
        <v>0</v>
      </c>
      <c r="L814" t="n">
        <v>0</v>
      </c>
      <c r="M814" t="n">
        <v>0</v>
      </c>
      <c r="N814" t="n">
        <v>0</v>
      </c>
      <c r="O814" t="n">
        <v>0</v>
      </c>
      <c r="P814" t="n">
        <v>0</v>
      </c>
      <c r="Q814" t="n">
        <v>0</v>
      </c>
      <c r="R814" s="2" t="inlineStr"/>
    </row>
    <row r="815" ht="15" customHeight="1">
      <c r="A815" t="inlineStr">
        <is>
          <t>A 2695-2025</t>
        </is>
      </c>
      <c r="B815" s="1" t="n">
        <v>45677.39440972222</v>
      </c>
      <c r="C815" s="1" t="n">
        <v>45933</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40325-2023</t>
        </is>
      </c>
      <c r="B816" s="1" t="n">
        <v>45169</v>
      </c>
      <c r="C816" s="1" t="n">
        <v>45933</v>
      </c>
      <c r="D816" t="inlineStr">
        <is>
          <t>UPPSALA LÄN</t>
        </is>
      </c>
      <c r="E816" t="inlineStr">
        <is>
          <t>UPPSALA</t>
        </is>
      </c>
      <c r="F816" t="inlineStr">
        <is>
          <t>Kommuner</t>
        </is>
      </c>
      <c r="G816" t="n">
        <v>1.3</v>
      </c>
      <c r="H816" t="n">
        <v>0</v>
      </c>
      <c r="I816" t="n">
        <v>0</v>
      </c>
      <c r="J816" t="n">
        <v>0</v>
      </c>
      <c r="K816" t="n">
        <v>0</v>
      </c>
      <c r="L816" t="n">
        <v>0</v>
      </c>
      <c r="M816" t="n">
        <v>0</v>
      </c>
      <c r="N816" t="n">
        <v>0</v>
      </c>
      <c r="O816" t="n">
        <v>0</v>
      </c>
      <c r="P816" t="n">
        <v>0</v>
      </c>
      <c r="Q816" t="n">
        <v>0</v>
      </c>
      <c r="R816" s="2" t="inlineStr"/>
    </row>
    <row r="817" ht="15" customHeight="1">
      <c r="A817" t="inlineStr">
        <is>
          <t>A 56872-2023</t>
        </is>
      </c>
      <c r="B817" s="1" t="n">
        <v>45244.52202546296</v>
      </c>
      <c r="C817" s="1" t="n">
        <v>45933</v>
      </c>
      <c r="D817" t="inlineStr">
        <is>
          <t>UPPSALA LÄN</t>
        </is>
      </c>
      <c r="E817" t="inlineStr">
        <is>
          <t>UPPSALA</t>
        </is>
      </c>
      <c r="F817" t="inlineStr">
        <is>
          <t>Holmen skog AB</t>
        </is>
      </c>
      <c r="G817" t="n">
        <v>3.5</v>
      </c>
      <c r="H817" t="n">
        <v>0</v>
      </c>
      <c r="I817" t="n">
        <v>0</v>
      </c>
      <c r="J817" t="n">
        <v>0</v>
      </c>
      <c r="K817" t="n">
        <v>0</v>
      </c>
      <c r="L817" t="n">
        <v>0</v>
      </c>
      <c r="M817" t="n">
        <v>0</v>
      </c>
      <c r="N817" t="n">
        <v>0</v>
      </c>
      <c r="O817" t="n">
        <v>0</v>
      </c>
      <c r="P817" t="n">
        <v>0</v>
      </c>
      <c r="Q817" t="n">
        <v>0</v>
      </c>
      <c r="R817" s="2" t="inlineStr"/>
    </row>
    <row r="818" ht="15" customHeight="1">
      <c r="A818" t="inlineStr">
        <is>
          <t>A 20301-2024</t>
        </is>
      </c>
      <c r="B818" s="1" t="n">
        <v>45435.34778935185</v>
      </c>
      <c r="C818" s="1" t="n">
        <v>45933</v>
      </c>
      <c r="D818" t="inlineStr">
        <is>
          <t>UPPSALA LÄN</t>
        </is>
      </c>
      <c r="E818" t="inlineStr">
        <is>
          <t>UPPSALA</t>
        </is>
      </c>
      <c r="F818" t="inlineStr">
        <is>
          <t>Kyrkan</t>
        </is>
      </c>
      <c r="G818" t="n">
        <v>2.8</v>
      </c>
      <c r="H818" t="n">
        <v>0</v>
      </c>
      <c r="I818" t="n">
        <v>0</v>
      </c>
      <c r="J818" t="n">
        <v>0</v>
      </c>
      <c r="K818" t="n">
        <v>0</v>
      </c>
      <c r="L818" t="n">
        <v>0</v>
      </c>
      <c r="M818" t="n">
        <v>0</v>
      </c>
      <c r="N818" t="n">
        <v>0</v>
      </c>
      <c r="O818" t="n">
        <v>0</v>
      </c>
      <c r="P818" t="n">
        <v>0</v>
      </c>
      <c r="Q818" t="n">
        <v>0</v>
      </c>
      <c r="R818" s="2" t="inlineStr"/>
    </row>
    <row r="819" ht="15" customHeight="1">
      <c r="A819" t="inlineStr">
        <is>
          <t>A 18805-2025</t>
        </is>
      </c>
      <c r="B819" s="1" t="n">
        <v>45763</v>
      </c>
      <c r="C819" s="1" t="n">
        <v>45933</v>
      </c>
      <c r="D819" t="inlineStr">
        <is>
          <t>UPPSALA LÄN</t>
        </is>
      </c>
      <c r="E819" t="inlineStr">
        <is>
          <t>UPPSALA</t>
        </is>
      </c>
      <c r="G819" t="n">
        <v>0.8</v>
      </c>
      <c r="H819" t="n">
        <v>0</v>
      </c>
      <c r="I819" t="n">
        <v>0</v>
      </c>
      <c r="J819" t="n">
        <v>0</v>
      </c>
      <c r="K819" t="n">
        <v>0</v>
      </c>
      <c r="L819" t="n">
        <v>0</v>
      </c>
      <c r="M819" t="n">
        <v>0</v>
      </c>
      <c r="N819" t="n">
        <v>0</v>
      </c>
      <c r="O819" t="n">
        <v>0</v>
      </c>
      <c r="P819" t="n">
        <v>0</v>
      </c>
      <c r="Q819" t="n">
        <v>0</v>
      </c>
      <c r="R819" s="2" t="inlineStr"/>
    </row>
    <row r="820" ht="15" customHeight="1">
      <c r="A820" t="inlineStr">
        <is>
          <t>A 39007-2024</t>
        </is>
      </c>
      <c r="B820" s="1" t="n">
        <v>45548.42854166667</v>
      </c>
      <c r="C820" s="1" t="n">
        <v>45933</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69595-2021</t>
        </is>
      </c>
      <c r="B821" s="1" t="n">
        <v>44532</v>
      </c>
      <c r="C821" s="1" t="n">
        <v>45933</v>
      </c>
      <c r="D821" t="inlineStr">
        <is>
          <t>UPPSALA LÄN</t>
        </is>
      </c>
      <c r="E821" t="inlineStr">
        <is>
          <t>UPPSALA</t>
        </is>
      </c>
      <c r="G821" t="n">
        <v>3.9</v>
      </c>
      <c r="H821" t="n">
        <v>0</v>
      </c>
      <c r="I821" t="n">
        <v>0</v>
      </c>
      <c r="J821" t="n">
        <v>0</v>
      </c>
      <c r="K821" t="n">
        <v>0</v>
      </c>
      <c r="L821" t="n">
        <v>0</v>
      </c>
      <c r="M821" t="n">
        <v>0</v>
      </c>
      <c r="N821" t="n">
        <v>0</v>
      </c>
      <c r="O821" t="n">
        <v>0</v>
      </c>
      <c r="P821" t="n">
        <v>0</v>
      </c>
      <c r="Q821" t="n">
        <v>0</v>
      </c>
      <c r="R821" s="2" t="inlineStr"/>
    </row>
    <row r="822" ht="15" customHeight="1">
      <c r="A822" t="inlineStr">
        <is>
          <t>A 44830-2023</t>
        </is>
      </c>
      <c r="B822" s="1" t="n">
        <v>45190</v>
      </c>
      <c r="C822" s="1" t="n">
        <v>45933</v>
      </c>
      <c r="D822" t="inlineStr">
        <is>
          <t>UPPSALA LÄN</t>
        </is>
      </c>
      <c r="E822" t="inlineStr">
        <is>
          <t>UPPSALA</t>
        </is>
      </c>
      <c r="G822" t="n">
        <v>1.9</v>
      </c>
      <c r="H822" t="n">
        <v>0</v>
      </c>
      <c r="I822" t="n">
        <v>0</v>
      </c>
      <c r="J822" t="n">
        <v>0</v>
      </c>
      <c r="K822" t="n">
        <v>0</v>
      </c>
      <c r="L822" t="n">
        <v>0</v>
      </c>
      <c r="M822" t="n">
        <v>0</v>
      </c>
      <c r="N822" t="n">
        <v>0</v>
      </c>
      <c r="O822" t="n">
        <v>0</v>
      </c>
      <c r="P822" t="n">
        <v>0</v>
      </c>
      <c r="Q822" t="n">
        <v>0</v>
      </c>
      <c r="R822" s="2" t="inlineStr"/>
    </row>
    <row r="823" ht="15" customHeight="1">
      <c r="A823" t="inlineStr">
        <is>
          <t>A 9426-2023</t>
        </is>
      </c>
      <c r="B823" s="1" t="n">
        <v>44977</v>
      </c>
      <c r="C823" s="1" t="n">
        <v>45933</v>
      </c>
      <c r="D823" t="inlineStr">
        <is>
          <t>UPPSALA LÄN</t>
        </is>
      </c>
      <c r="E823" t="inlineStr">
        <is>
          <t>UPPSALA</t>
        </is>
      </c>
      <c r="G823" t="n">
        <v>0.6</v>
      </c>
      <c r="H823" t="n">
        <v>0</v>
      </c>
      <c r="I823" t="n">
        <v>0</v>
      </c>
      <c r="J823" t="n">
        <v>0</v>
      </c>
      <c r="K823" t="n">
        <v>0</v>
      </c>
      <c r="L823" t="n">
        <v>0</v>
      </c>
      <c r="M823" t="n">
        <v>0</v>
      </c>
      <c r="N823" t="n">
        <v>0</v>
      </c>
      <c r="O823" t="n">
        <v>0</v>
      </c>
      <c r="P823" t="n">
        <v>0</v>
      </c>
      <c r="Q823" t="n">
        <v>0</v>
      </c>
      <c r="R823" s="2" t="inlineStr"/>
    </row>
    <row r="824" ht="15" customHeight="1">
      <c r="A824" t="inlineStr">
        <is>
          <t>A 5975-2024</t>
        </is>
      </c>
      <c r="B824" s="1" t="n">
        <v>45336.54270833333</v>
      </c>
      <c r="C824" s="1" t="n">
        <v>45933</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32428-2023</t>
        </is>
      </c>
      <c r="B825" s="1" t="n">
        <v>45110</v>
      </c>
      <c r="C825" s="1" t="n">
        <v>45933</v>
      </c>
      <c r="D825" t="inlineStr">
        <is>
          <t>UPPSALA LÄN</t>
        </is>
      </c>
      <c r="E825" t="inlineStr">
        <is>
          <t>UPPSALA</t>
        </is>
      </c>
      <c r="G825" t="n">
        <v>3.1</v>
      </c>
      <c r="H825" t="n">
        <v>0</v>
      </c>
      <c r="I825" t="n">
        <v>0</v>
      </c>
      <c r="J825" t="n">
        <v>0</v>
      </c>
      <c r="K825" t="n">
        <v>0</v>
      </c>
      <c r="L825" t="n">
        <v>0</v>
      </c>
      <c r="M825" t="n">
        <v>0</v>
      </c>
      <c r="N825" t="n">
        <v>0</v>
      </c>
      <c r="O825" t="n">
        <v>0</v>
      </c>
      <c r="P825" t="n">
        <v>0</v>
      </c>
      <c r="Q825" t="n">
        <v>0</v>
      </c>
      <c r="R825" s="2" t="inlineStr"/>
    </row>
    <row r="826" ht="15" customHeight="1">
      <c r="A826" t="inlineStr">
        <is>
          <t>A 45489-2023</t>
        </is>
      </c>
      <c r="B826" s="1" t="n">
        <v>45194</v>
      </c>
      <c r="C826" s="1" t="n">
        <v>45933</v>
      </c>
      <c r="D826" t="inlineStr">
        <is>
          <t>UPPSALA LÄN</t>
        </is>
      </c>
      <c r="E826" t="inlineStr">
        <is>
          <t>UPPSALA</t>
        </is>
      </c>
      <c r="F826" t="inlineStr">
        <is>
          <t>Allmännings- och besparingsskogar</t>
        </is>
      </c>
      <c r="G826" t="n">
        <v>15.8</v>
      </c>
      <c r="H826" t="n">
        <v>0</v>
      </c>
      <c r="I826" t="n">
        <v>0</v>
      </c>
      <c r="J826" t="n">
        <v>0</v>
      </c>
      <c r="K826" t="n">
        <v>0</v>
      </c>
      <c r="L826" t="n">
        <v>0</v>
      </c>
      <c r="M826" t="n">
        <v>0</v>
      </c>
      <c r="N826" t="n">
        <v>0</v>
      </c>
      <c r="O826" t="n">
        <v>0</v>
      </c>
      <c r="P826" t="n">
        <v>0</v>
      </c>
      <c r="Q826" t="n">
        <v>0</v>
      </c>
      <c r="R826" s="2" t="inlineStr"/>
    </row>
    <row r="827" ht="15" customHeight="1">
      <c r="A827" t="inlineStr">
        <is>
          <t>A 27473-2024</t>
        </is>
      </c>
      <c r="B827" s="1" t="n">
        <v>45474</v>
      </c>
      <c r="C827" s="1" t="n">
        <v>45933</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53614-2024</t>
        </is>
      </c>
      <c r="B828" s="1" t="n">
        <v>45611</v>
      </c>
      <c r="C828" s="1" t="n">
        <v>45933</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784-2024</t>
        </is>
      </c>
      <c r="B829" s="1" t="n">
        <v>45300.55680555556</v>
      </c>
      <c r="C829" s="1" t="n">
        <v>45933</v>
      </c>
      <c r="D829" t="inlineStr">
        <is>
          <t>UPPSALA LÄN</t>
        </is>
      </c>
      <c r="E829" t="inlineStr">
        <is>
          <t>UPPSALA</t>
        </is>
      </c>
      <c r="G829" t="n">
        <v>6.6</v>
      </c>
      <c r="H829" t="n">
        <v>0</v>
      </c>
      <c r="I829" t="n">
        <v>0</v>
      </c>
      <c r="J829" t="n">
        <v>0</v>
      </c>
      <c r="K829" t="n">
        <v>0</v>
      </c>
      <c r="L829" t="n">
        <v>0</v>
      </c>
      <c r="M829" t="n">
        <v>0</v>
      </c>
      <c r="N829" t="n">
        <v>0</v>
      </c>
      <c r="O829" t="n">
        <v>0</v>
      </c>
      <c r="P829" t="n">
        <v>0</v>
      </c>
      <c r="Q829" t="n">
        <v>0</v>
      </c>
      <c r="R829" s="2" t="inlineStr"/>
    </row>
    <row r="830" ht="15" customHeight="1">
      <c r="A830" t="inlineStr">
        <is>
          <t>A 48153-2024</t>
        </is>
      </c>
      <c r="B830" s="1" t="n">
        <v>45589</v>
      </c>
      <c r="C830" s="1" t="n">
        <v>45933</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48154-2024</t>
        </is>
      </c>
      <c r="B831" s="1" t="n">
        <v>45589</v>
      </c>
      <c r="C831" s="1" t="n">
        <v>45933</v>
      </c>
      <c r="D831" t="inlineStr">
        <is>
          <t>UPPSALA LÄN</t>
        </is>
      </c>
      <c r="E831" t="inlineStr">
        <is>
          <t>UPPSALA</t>
        </is>
      </c>
      <c r="G831" t="n">
        <v>5.1</v>
      </c>
      <c r="H831" t="n">
        <v>0</v>
      </c>
      <c r="I831" t="n">
        <v>0</v>
      </c>
      <c r="J831" t="n">
        <v>0</v>
      </c>
      <c r="K831" t="n">
        <v>0</v>
      </c>
      <c r="L831" t="n">
        <v>0</v>
      </c>
      <c r="M831" t="n">
        <v>0</v>
      </c>
      <c r="N831" t="n">
        <v>0</v>
      </c>
      <c r="O831" t="n">
        <v>0</v>
      </c>
      <c r="P831" t="n">
        <v>0</v>
      </c>
      <c r="Q831" t="n">
        <v>0</v>
      </c>
      <c r="R831" s="2" t="inlineStr"/>
    </row>
    <row r="832" ht="15" customHeight="1">
      <c r="A832" t="inlineStr">
        <is>
          <t>A 8132-2022</t>
        </is>
      </c>
      <c r="B832" s="1" t="n">
        <v>44609.60171296296</v>
      </c>
      <c r="C832" s="1" t="n">
        <v>45933</v>
      </c>
      <c r="D832" t="inlineStr">
        <is>
          <t>UPPSALA LÄN</t>
        </is>
      </c>
      <c r="E832" t="inlineStr">
        <is>
          <t>UPPSALA</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62471-2021</t>
        </is>
      </c>
      <c r="B833" s="1" t="n">
        <v>44503</v>
      </c>
      <c r="C833" s="1" t="n">
        <v>45933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10565-2022</t>
        </is>
      </c>
      <c r="B834" s="1" t="n">
        <v>44624.35083333333</v>
      </c>
      <c r="C834" s="1" t="n">
        <v>45933</v>
      </c>
      <c r="D834" t="inlineStr">
        <is>
          <t>UPPSALA LÄN</t>
        </is>
      </c>
      <c r="E834" t="inlineStr">
        <is>
          <t>UPPSALA</t>
        </is>
      </c>
      <c r="F834" t="inlineStr">
        <is>
          <t>Bergvik skog öst AB</t>
        </is>
      </c>
      <c r="G834" t="n">
        <v>1.3</v>
      </c>
      <c r="H834" t="n">
        <v>0</v>
      </c>
      <c r="I834" t="n">
        <v>0</v>
      </c>
      <c r="J834" t="n">
        <v>0</v>
      </c>
      <c r="K834" t="n">
        <v>0</v>
      </c>
      <c r="L834" t="n">
        <v>0</v>
      </c>
      <c r="M834" t="n">
        <v>0</v>
      </c>
      <c r="N834" t="n">
        <v>0</v>
      </c>
      <c r="O834" t="n">
        <v>0</v>
      </c>
      <c r="P834" t="n">
        <v>0</v>
      </c>
      <c r="Q834" t="n">
        <v>0</v>
      </c>
      <c r="R834" s="2" t="inlineStr"/>
    </row>
    <row r="835" ht="15" customHeight="1">
      <c r="A835" t="inlineStr">
        <is>
          <t>A 24091-2024</t>
        </is>
      </c>
      <c r="B835" s="1" t="n">
        <v>45456.58491898148</v>
      </c>
      <c r="C835" s="1" t="n">
        <v>45933</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57714-2022</t>
        </is>
      </c>
      <c r="B836" s="1" t="n">
        <v>44897</v>
      </c>
      <c r="C836" s="1" t="n">
        <v>45933</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12284-2025</t>
        </is>
      </c>
      <c r="B837" s="1" t="n">
        <v>45729</v>
      </c>
      <c r="C837" s="1" t="n">
        <v>45933</v>
      </c>
      <c r="D837" t="inlineStr">
        <is>
          <t>UPPSALA LÄN</t>
        </is>
      </c>
      <c r="E837" t="inlineStr">
        <is>
          <t>UPPSALA</t>
        </is>
      </c>
      <c r="G837" t="n">
        <v>6.7</v>
      </c>
      <c r="H837" t="n">
        <v>0</v>
      </c>
      <c r="I837" t="n">
        <v>0</v>
      </c>
      <c r="J837" t="n">
        <v>0</v>
      </c>
      <c r="K837" t="n">
        <v>0</v>
      </c>
      <c r="L837" t="n">
        <v>0</v>
      </c>
      <c r="M837" t="n">
        <v>0</v>
      </c>
      <c r="N837" t="n">
        <v>0</v>
      </c>
      <c r="O837" t="n">
        <v>0</v>
      </c>
      <c r="P837" t="n">
        <v>0</v>
      </c>
      <c r="Q837" t="n">
        <v>0</v>
      </c>
      <c r="R837" s="2" t="inlineStr"/>
    </row>
    <row r="838" ht="15" customHeight="1">
      <c r="A838" t="inlineStr">
        <is>
          <t>A 12287-2025</t>
        </is>
      </c>
      <c r="B838" s="1" t="n">
        <v>45729</v>
      </c>
      <c r="C838" s="1" t="n">
        <v>45933</v>
      </c>
      <c r="D838" t="inlineStr">
        <is>
          <t>UPPSALA LÄN</t>
        </is>
      </c>
      <c r="E838" t="inlineStr">
        <is>
          <t>UPPSALA</t>
        </is>
      </c>
      <c r="G838" t="n">
        <v>4.6</v>
      </c>
      <c r="H838" t="n">
        <v>0</v>
      </c>
      <c r="I838" t="n">
        <v>0</v>
      </c>
      <c r="J838" t="n">
        <v>0</v>
      </c>
      <c r="K838" t="n">
        <v>0</v>
      </c>
      <c r="L838" t="n">
        <v>0</v>
      </c>
      <c r="M838" t="n">
        <v>0</v>
      </c>
      <c r="N838" t="n">
        <v>0</v>
      </c>
      <c r="O838" t="n">
        <v>0</v>
      </c>
      <c r="P838" t="n">
        <v>0</v>
      </c>
      <c r="Q838" t="n">
        <v>0</v>
      </c>
      <c r="R838" s="2" t="inlineStr"/>
    </row>
    <row r="839" ht="15" customHeight="1">
      <c r="A839" t="inlineStr">
        <is>
          <t>A 4461-2024</t>
        </is>
      </c>
      <c r="B839" s="1" t="n">
        <v>45327</v>
      </c>
      <c r="C839" s="1" t="n">
        <v>45933</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14784-2023</t>
        </is>
      </c>
      <c r="B840" s="1" t="n">
        <v>45014</v>
      </c>
      <c r="C840" s="1" t="n">
        <v>45933</v>
      </c>
      <c r="D840" t="inlineStr">
        <is>
          <t>UPPSALA LÄN</t>
        </is>
      </c>
      <c r="E840" t="inlineStr">
        <is>
          <t>UPPSALA</t>
        </is>
      </c>
      <c r="G840" t="n">
        <v>4.7</v>
      </c>
      <c r="H840" t="n">
        <v>0</v>
      </c>
      <c r="I840" t="n">
        <v>0</v>
      </c>
      <c r="J840" t="n">
        <v>0</v>
      </c>
      <c r="K840" t="n">
        <v>0</v>
      </c>
      <c r="L840" t="n">
        <v>0</v>
      </c>
      <c r="M840" t="n">
        <v>0</v>
      </c>
      <c r="N840" t="n">
        <v>0</v>
      </c>
      <c r="O840" t="n">
        <v>0</v>
      </c>
      <c r="P840" t="n">
        <v>0</v>
      </c>
      <c r="Q840" t="n">
        <v>0</v>
      </c>
      <c r="R840" s="2" t="inlineStr"/>
    </row>
    <row r="841" ht="15" customHeight="1">
      <c r="A841" t="inlineStr">
        <is>
          <t>A 51576-2023</t>
        </is>
      </c>
      <c r="B841" s="1" t="n">
        <v>45222</v>
      </c>
      <c r="C841" s="1" t="n">
        <v>45933</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4929-2022</t>
        </is>
      </c>
      <c r="B842" s="1" t="n">
        <v>44593</v>
      </c>
      <c r="C842" s="1" t="n">
        <v>45933</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4240-2025</t>
        </is>
      </c>
      <c r="B843" s="1" t="n">
        <v>45685.5778125</v>
      </c>
      <c r="C843" s="1" t="n">
        <v>45933</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6012-2025</t>
        </is>
      </c>
      <c r="B844" s="1" t="n">
        <v>45695.59805555556</v>
      </c>
      <c r="C844" s="1" t="n">
        <v>45933</v>
      </c>
      <c r="D844" t="inlineStr">
        <is>
          <t>UPPSALA LÄN</t>
        </is>
      </c>
      <c r="E844" t="inlineStr">
        <is>
          <t>UPPSALA</t>
        </is>
      </c>
      <c r="F844" t="inlineStr">
        <is>
          <t>Övriga Aktiebolag</t>
        </is>
      </c>
      <c r="G844" t="n">
        <v>14.3</v>
      </c>
      <c r="H844" t="n">
        <v>0</v>
      </c>
      <c r="I844" t="n">
        <v>0</v>
      </c>
      <c r="J844" t="n">
        <v>0</v>
      </c>
      <c r="K844" t="n">
        <v>0</v>
      </c>
      <c r="L844" t="n">
        <v>0</v>
      </c>
      <c r="M844" t="n">
        <v>0</v>
      </c>
      <c r="N844" t="n">
        <v>0</v>
      </c>
      <c r="O844" t="n">
        <v>0</v>
      </c>
      <c r="P844" t="n">
        <v>0</v>
      </c>
      <c r="Q844" t="n">
        <v>0</v>
      </c>
      <c r="R844" s="2" t="inlineStr"/>
    </row>
    <row r="845" ht="15" customHeight="1">
      <c r="A845" t="inlineStr">
        <is>
          <t>A 24787-2024</t>
        </is>
      </c>
      <c r="B845" s="1" t="n">
        <v>45460</v>
      </c>
      <c r="C845" s="1" t="n">
        <v>45933</v>
      </c>
      <c r="D845" t="inlineStr">
        <is>
          <t>UPPSALA LÄN</t>
        </is>
      </c>
      <c r="E845" t="inlineStr">
        <is>
          <t>UPPSALA</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7388-2024</t>
        </is>
      </c>
      <c r="B846" s="1" t="n">
        <v>45345.56</v>
      </c>
      <c r="C846" s="1" t="n">
        <v>45933</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60984-2022</t>
        </is>
      </c>
      <c r="B847" s="1" t="n">
        <v>44914.67600694444</v>
      </c>
      <c r="C847" s="1" t="n">
        <v>45933</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21052-2023</t>
        </is>
      </c>
      <c r="B848" s="1" t="n">
        <v>45061</v>
      </c>
      <c r="C848" s="1" t="n">
        <v>45933</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1855-2021</t>
        </is>
      </c>
      <c r="B849" s="1" t="n">
        <v>44210</v>
      </c>
      <c r="C849" s="1" t="n">
        <v>45933</v>
      </c>
      <c r="D849" t="inlineStr">
        <is>
          <t>UPPSALA LÄN</t>
        </is>
      </c>
      <c r="E849" t="inlineStr">
        <is>
          <t>UPPSALA</t>
        </is>
      </c>
      <c r="G849" t="n">
        <v>0.9</v>
      </c>
      <c r="H849" t="n">
        <v>0</v>
      </c>
      <c r="I849" t="n">
        <v>0</v>
      </c>
      <c r="J849" t="n">
        <v>0</v>
      </c>
      <c r="K849" t="n">
        <v>0</v>
      </c>
      <c r="L849" t="n">
        <v>0</v>
      </c>
      <c r="M849" t="n">
        <v>0</v>
      </c>
      <c r="N849" t="n">
        <v>0</v>
      </c>
      <c r="O849" t="n">
        <v>0</v>
      </c>
      <c r="P849" t="n">
        <v>0</v>
      </c>
      <c r="Q849" t="n">
        <v>0</v>
      </c>
      <c r="R849" s="2" t="inlineStr"/>
    </row>
    <row r="850" ht="15" customHeight="1">
      <c r="A850" t="inlineStr">
        <is>
          <t>A 46743-2024</t>
        </is>
      </c>
      <c r="B850" s="1" t="n">
        <v>45583.47836805556</v>
      </c>
      <c r="C850" s="1" t="n">
        <v>45933</v>
      </c>
      <c r="D850" t="inlineStr">
        <is>
          <t>UPPSALA LÄN</t>
        </is>
      </c>
      <c r="E850" t="inlineStr">
        <is>
          <t>UPPSALA</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45933</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6997-2023</t>
        </is>
      </c>
      <c r="B852" s="1" t="n">
        <v>44967.78984953704</v>
      </c>
      <c r="C852" s="1" t="n">
        <v>45933</v>
      </c>
      <c r="D852" t="inlineStr">
        <is>
          <t>UPPSALA LÄN</t>
        </is>
      </c>
      <c r="E852" t="inlineStr">
        <is>
          <t>UPPSALA</t>
        </is>
      </c>
      <c r="G852" t="n">
        <v>3.9</v>
      </c>
      <c r="H852" t="n">
        <v>0</v>
      </c>
      <c r="I852" t="n">
        <v>0</v>
      </c>
      <c r="J852" t="n">
        <v>0</v>
      </c>
      <c r="K852" t="n">
        <v>0</v>
      </c>
      <c r="L852" t="n">
        <v>0</v>
      </c>
      <c r="M852" t="n">
        <v>0</v>
      </c>
      <c r="N852" t="n">
        <v>0</v>
      </c>
      <c r="O852" t="n">
        <v>0</v>
      </c>
      <c r="P852" t="n">
        <v>0</v>
      </c>
      <c r="Q852" t="n">
        <v>0</v>
      </c>
      <c r="R852" s="2" t="inlineStr"/>
    </row>
    <row r="853" ht="15" customHeight="1">
      <c r="A853" t="inlineStr">
        <is>
          <t>A 23157-2023</t>
        </is>
      </c>
      <c r="B853" s="1" t="n">
        <v>45075.51982638889</v>
      </c>
      <c r="C853" s="1" t="n">
        <v>45933</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10394-2025</t>
        </is>
      </c>
      <c r="B854" s="1" t="n">
        <v>45720.60410879629</v>
      </c>
      <c r="C854" s="1" t="n">
        <v>45933</v>
      </c>
      <c r="D854" t="inlineStr">
        <is>
          <t>UPPSALA LÄN</t>
        </is>
      </c>
      <c r="E854" t="inlineStr">
        <is>
          <t>UPPSALA</t>
        </is>
      </c>
      <c r="G854" t="n">
        <v>3.4</v>
      </c>
      <c r="H854" t="n">
        <v>0</v>
      </c>
      <c r="I854" t="n">
        <v>0</v>
      </c>
      <c r="J854" t="n">
        <v>0</v>
      </c>
      <c r="K854" t="n">
        <v>0</v>
      </c>
      <c r="L854" t="n">
        <v>0</v>
      </c>
      <c r="M854" t="n">
        <v>0</v>
      </c>
      <c r="N854" t="n">
        <v>0</v>
      </c>
      <c r="O854" t="n">
        <v>0</v>
      </c>
      <c r="P854" t="n">
        <v>0</v>
      </c>
      <c r="Q854" t="n">
        <v>0</v>
      </c>
      <c r="R854" s="2" t="inlineStr"/>
    </row>
    <row r="855" ht="15" customHeight="1">
      <c r="A855" t="inlineStr">
        <is>
          <t>A 6549-2025</t>
        </is>
      </c>
      <c r="B855" s="1" t="n">
        <v>45699</v>
      </c>
      <c r="C855" s="1" t="n">
        <v>45933</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12830-2025</t>
        </is>
      </c>
      <c r="B856" s="1" t="n">
        <v>45733.63099537037</v>
      </c>
      <c r="C856" s="1" t="n">
        <v>45933</v>
      </c>
      <c r="D856" t="inlineStr">
        <is>
          <t>UPPSALA LÄN</t>
        </is>
      </c>
      <c r="E856" t="inlineStr">
        <is>
          <t>UPPSALA</t>
        </is>
      </c>
      <c r="G856" t="n">
        <v>1.5</v>
      </c>
      <c r="H856" t="n">
        <v>0</v>
      </c>
      <c r="I856" t="n">
        <v>0</v>
      </c>
      <c r="J856" t="n">
        <v>0</v>
      </c>
      <c r="K856" t="n">
        <v>0</v>
      </c>
      <c r="L856" t="n">
        <v>0</v>
      </c>
      <c r="M856" t="n">
        <v>0</v>
      </c>
      <c r="N856" t="n">
        <v>0</v>
      </c>
      <c r="O856" t="n">
        <v>0</v>
      </c>
      <c r="P856" t="n">
        <v>0</v>
      </c>
      <c r="Q856" t="n">
        <v>0</v>
      </c>
      <c r="R856" s="2" t="inlineStr"/>
    </row>
    <row r="857" ht="15" customHeight="1">
      <c r="A857" t="inlineStr">
        <is>
          <t>A 18808-2024</t>
        </is>
      </c>
      <c r="B857" s="1" t="n">
        <v>45426.61569444444</v>
      </c>
      <c r="C857" s="1" t="n">
        <v>45933</v>
      </c>
      <c r="D857" t="inlineStr">
        <is>
          <t>UPPSALA LÄN</t>
        </is>
      </c>
      <c r="E857" t="inlineStr">
        <is>
          <t>UPPSALA</t>
        </is>
      </c>
      <c r="G857" t="n">
        <v>11.5</v>
      </c>
      <c r="H857" t="n">
        <v>0</v>
      </c>
      <c r="I857" t="n">
        <v>0</v>
      </c>
      <c r="J857" t="n">
        <v>0</v>
      </c>
      <c r="K857" t="n">
        <v>0</v>
      </c>
      <c r="L857" t="n">
        <v>0</v>
      </c>
      <c r="M857" t="n">
        <v>0</v>
      </c>
      <c r="N857" t="n">
        <v>0</v>
      </c>
      <c r="O857" t="n">
        <v>0</v>
      </c>
      <c r="P857" t="n">
        <v>0</v>
      </c>
      <c r="Q857" t="n">
        <v>0</v>
      </c>
      <c r="R857" s="2" t="inlineStr"/>
    </row>
    <row r="858" ht="15" customHeight="1">
      <c r="A858" t="inlineStr">
        <is>
          <t>A 28782-2024</t>
        </is>
      </c>
      <c r="B858" s="1" t="n">
        <v>45478.60802083334</v>
      </c>
      <c r="C858" s="1" t="n">
        <v>45933</v>
      </c>
      <c r="D858" t="inlineStr">
        <is>
          <t>UPPSALA LÄN</t>
        </is>
      </c>
      <c r="E858" t="inlineStr">
        <is>
          <t>UPPSALA</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9981-2025</t>
        </is>
      </c>
      <c r="B859" s="1" t="n">
        <v>45719.40723379629</v>
      </c>
      <c r="C859" s="1" t="n">
        <v>45933</v>
      </c>
      <c r="D859" t="inlineStr">
        <is>
          <t>UPPSALA LÄN</t>
        </is>
      </c>
      <c r="E859" t="inlineStr">
        <is>
          <t>UPPSALA</t>
        </is>
      </c>
      <c r="F859" t="inlineStr">
        <is>
          <t>Kyrkan</t>
        </is>
      </c>
      <c r="G859" t="n">
        <v>2.9</v>
      </c>
      <c r="H859" t="n">
        <v>0</v>
      </c>
      <c r="I859" t="n">
        <v>0</v>
      </c>
      <c r="J859" t="n">
        <v>0</v>
      </c>
      <c r="K859" t="n">
        <v>0</v>
      </c>
      <c r="L859" t="n">
        <v>0</v>
      </c>
      <c r="M859" t="n">
        <v>0</v>
      </c>
      <c r="N859" t="n">
        <v>0</v>
      </c>
      <c r="O859" t="n">
        <v>0</v>
      </c>
      <c r="P859" t="n">
        <v>0</v>
      </c>
      <c r="Q859" t="n">
        <v>0</v>
      </c>
      <c r="R859" s="2" t="inlineStr"/>
    </row>
    <row r="860" ht="15" customHeight="1">
      <c r="A860" t="inlineStr">
        <is>
          <t>A 36781-2023</t>
        </is>
      </c>
      <c r="B860" s="1" t="n">
        <v>45154.34931712963</v>
      </c>
      <c r="C860" s="1" t="n">
        <v>45933</v>
      </c>
      <c r="D860" t="inlineStr">
        <is>
          <t>UPPSALA LÄN</t>
        </is>
      </c>
      <c r="E860" t="inlineStr">
        <is>
          <t>UPPSALA</t>
        </is>
      </c>
      <c r="G860" t="n">
        <v>0.9</v>
      </c>
      <c r="H860" t="n">
        <v>0</v>
      </c>
      <c r="I860" t="n">
        <v>0</v>
      </c>
      <c r="J860" t="n">
        <v>0</v>
      </c>
      <c r="K860" t="n">
        <v>0</v>
      </c>
      <c r="L860" t="n">
        <v>0</v>
      </c>
      <c r="M860" t="n">
        <v>0</v>
      </c>
      <c r="N860" t="n">
        <v>0</v>
      </c>
      <c r="O860" t="n">
        <v>0</v>
      </c>
      <c r="P860" t="n">
        <v>0</v>
      </c>
      <c r="Q860" t="n">
        <v>0</v>
      </c>
      <c r="R860" s="2" t="inlineStr"/>
    </row>
    <row r="861" ht="15" customHeight="1">
      <c r="A861" t="inlineStr">
        <is>
          <t>A 6550-2025</t>
        </is>
      </c>
      <c r="B861" s="1" t="n">
        <v>45699.71063657408</v>
      </c>
      <c r="C861" s="1" t="n">
        <v>45933</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12282-2025</t>
        </is>
      </c>
      <c r="B862" s="1" t="n">
        <v>45729</v>
      </c>
      <c r="C862" s="1" t="n">
        <v>45933</v>
      </c>
      <c r="D862" t="inlineStr">
        <is>
          <t>UPPSALA LÄN</t>
        </is>
      </c>
      <c r="E862" t="inlineStr">
        <is>
          <t>UPPSALA</t>
        </is>
      </c>
      <c r="G862" t="n">
        <v>3.3</v>
      </c>
      <c r="H862" t="n">
        <v>0</v>
      </c>
      <c r="I862" t="n">
        <v>0</v>
      </c>
      <c r="J862" t="n">
        <v>0</v>
      </c>
      <c r="K862" t="n">
        <v>0</v>
      </c>
      <c r="L862" t="n">
        <v>0</v>
      </c>
      <c r="M862" t="n">
        <v>0</v>
      </c>
      <c r="N862" t="n">
        <v>0</v>
      </c>
      <c r="O862" t="n">
        <v>0</v>
      </c>
      <c r="P862" t="n">
        <v>0</v>
      </c>
      <c r="Q862" t="n">
        <v>0</v>
      </c>
      <c r="R862" s="2" t="inlineStr"/>
    </row>
    <row r="863" ht="15" customHeight="1">
      <c r="A863" t="inlineStr">
        <is>
          <t>A 14907-2025</t>
        </is>
      </c>
      <c r="B863" s="1" t="n">
        <v>45743.50744212963</v>
      </c>
      <c r="C863" s="1" t="n">
        <v>45933</v>
      </c>
      <c r="D863" t="inlineStr">
        <is>
          <t>UPPSALA LÄN</t>
        </is>
      </c>
      <c r="E863" t="inlineStr">
        <is>
          <t>UPPSALA</t>
        </is>
      </c>
      <c r="G863" t="n">
        <v>7</v>
      </c>
      <c r="H863" t="n">
        <v>0</v>
      </c>
      <c r="I863" t="n">
        <v>0</v>
      </c>
      <c r="J863" t="n">
        <v>0</v>
      </c>
      <c r="K863" t="n">
        <v>0</v>
      </c>
      <c r="L863" t="n">
        <v>0</v>
      </c>
      <c r="M863" t="n">
        <v>0</v>
      </c>
      <c r="N863" t="n">
        <v>0</v>
      </c>
      <c r="O863" t="n">
        <v>0</v>
      </c>
      <c r="P863" t="n">
        <v>0</v>
      </c>
      <c r="Q863" t="n">
        <v>0</v>
      </c>
      <c r="R863" s="2" t="inlineStr"/>
    </row>
    <row r="864" ht="15" customHeight="1">
      <c r="A864" t="inlineStr">
        <is>
          <t>A 41545-2023</t>
        </is>
      </c>
      <c r="B864" s="1" t="n">
        <v>45175.57060185185</v>
      </c>
      <c r="C864" s="1" t="n">
        <v>45933</v>
      </c>
      <c r="D864" t="inlineStr">
        <is>
          <t>UPPSALA LÄN</t>
        </is>
      </c>
      <c r="E864" t="inlineStr">
        <is>
          <t>UPPSALA</t>
        </is>
      </c>
      <c r="G864" t="n">
        <v>6.6</v>
      </c>
      <c r="H864" t="n">
        <v>0</v>
      </c>
      <c r="I864" t="n">
        <v>0</v>
      </c>
      <c r="J864" t="n">
        <v>0</v>
      </c>
      <c r="K864" t="n">
        <v>0</v>
      </c>
      <c r="L864" t="n">
        <v>0</v>
      </c>
      <c r="M864" t="n">
        <v>0</v>
      </c>
      <c r="N864" t="n">
        <v>0</v>
      </c>
      <c r="O864" t="n">
        <v>0</v>
      </c>
      <c r="P864" t="n">
        <v>0</v>
      </c>
      <c r="Q864" t="n">
        <v>0</v>
      </c>
      <c r="R864" s="2" t="inlineStr"/>
    </row>
    <row r="865" ht="15" customHeight="1">
      <c r="A865" t="inlineStr">
        <is>
          <t>A 6006-2025</t>
        </is>
      </c>
      <c r="B865" s="1" t="n">
        <v>45695.59197916667</v>
      </c>
      <c r="C865" s="1" t="n">
        <v>45933</v>
      </c>
      <c r="D865" t="inlineStr">
        <is>
          <t>UPPSALA LÄN</t>
        </is>
      </c>
      <c r="E865" t="inlineStr">
        <is>
          <t>UPPSALA</t>
        </is>
      </c>
      <c r="F865" t="inlineStr">
        <is>
          <t>Övriga Aktiebolag</t>
        </is>
      </c>
      <c r="G865" t="n">
        <v>13.8</v>
      </c>
      <c r="H865" t="n">
        <v>0</v>
      </c>
      <c r="I865" t="n">
        <v>0</v>
      </c>
      <c r="J865" t="n">
        <v>0</v>
      </c>
      <c r="K865" t="n">
        <v>0</v>
      </c>
      <c r="L865" t="n">
        <v>0</v>
      </c>
      <c r="M865" t="n">
        <v>0</v>
      </c>
      <c r="N865" t="n">
        <v>0</v>
      </c>
      <c r="O865" t="n">
        <v>0</v>
      </c>
      <c r="P865" t="n">
        <v>0</v>
      </c>
      <c r="Q865" t="n">
        <v>0</v>
      </c>
      <c r="R865" s="2" t="inlineStr"/>
    </row>
    <row r="866" ht="15" customHeight="1">
      <c r="A866" t="inlineStr">
        <is>
          <t>A 60691-2024</t>
        </is>
      </c>
      <c r="B866" s="1" t="n">
        <v>45644.47723379629</v>
      </c>
      <c r="C866" s="1" t="n">
        <v>45933</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13526-2023</t>
        </is>
      </c>
      <c r="B867" s="1" t="n">
        <v>45006</v>
      </c>
      <c r="C867" s="1" t="n">
        <v>45933</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1825-2024</t>
        </is>
      </c>
      <c r="B868" s="1" t="n">
        <v>45307</v>
      </c>
      <c r="C868" s="1" t="n">
        <v>45933</v>
      </c>
      <c r="D868" t="inlineStr">
        <is>
          <t>UPPSALA LÄN</t>
        </is>
      </c>
      <c r="E868" t="inlineStr">
        <is>
          <t>UPPSALA</t>
        </is>
      </c>
      <c r="G868" t="n">
        <v>4.2</v>
      </c>
      <c r="H868" t="n">
        <v>0</v>
      </c>
      <c r="I868" t="n">
        <v>0</v>
      </c>
      <c r="J868" t="n">
        <v>0</v>
      </c>
      <c r="K868" t="n">
        <v>0</v>
      </c>
      <c r="L868" t="n">
        <v>0</v>
      </c>
      <c r="M868" t="n">
        <v>0</v>
      </c>
      <c r="N868" t="n">
        <v>0</v>
      </c>
      <c r="O868" t="n">
        <v>0</v>
      </c>
      <c r="P868" t="n">
        <v>0</v>
      </c>
      <c r="Q868" t="n">
        <v>0</v>
      </c>
      <c r="R868" s="2" t="inlineStr"/>
    </row>
    <row r="869" ht="15" customHeight="1">
      <c r="A869" t="inlineStr">
        <is>
          <t>A 53266-2024</t>
        </is>
      </c>
      <c r="B869" s="1" t="n">
        <v>45614</v>
      </c>
      <c r="C869" s="1" t="n">
        <v>45933</v>
      </c>
      <c r="D869" t="inlineStr">
        <is>
          <t>UPPSALA LÄN</t>
        </is>
      </c>
      <c r="E869" t="inlineStr">
        <is>
          <t>UPPSALA</t>
        </is>
      </c>
      <c r="G869" t="n">
        <v>0.9</v>
      </c>
      <c r="H869" t="n">
        <v>0</v>
      </c>
      <c r="I869" t="n">
        <v>0</v>
      </c>
      <c r="J869" t="n">
        <v>0</v>
      </c>
      <c r="K869" t="n">
        <v>0</v>
      </c>
      <c r="L869" t="n">
        <v>0</v>
      </c>
      <c r="M869" t="n">
        <v>0</v>
      </c>
      <c r="N869" t="n">
        <v>0</v>
      </c>
      <c r="O869" t="n">
        <v>0</v>
      </c>
      <c r="P869" t="n">
        <v>0</v>
      </c>
      <c r="Q869" t="n">
        <v>0</v>
      </c>
      <c r="R869" s="2" t="inlineStr"/>
    </row>
    <row r="870" ht="15" customHeight="1">
      <c r="A870" t="inlineStr">
        <is>
          <t>A 4412-2024</t>
        </is>
      </c>
      <c r="B870" s="1" t="n">
        <v>45327</v>
      </c>
      <c r="C870" s="1" t="n">
        <v>45933</v>
      </c>
      <c r="D870" t="inlineStr">
        <is>
          <t>UPPSALA LÄN</t>
        </is>
      </c>
      <c r="E870" t="inlineStr">
        <is>
          <t>UPPSALA</t>
        </is>
      </c>
      <c r="G870" t="n">
        <v>5.4</v>
      </c>
      <c r="H870" t="n">
        <v>0</v>
      </c>
      <c r="I870" t="n">
        <v>0</v>
      </c>
      <c r="J870" t="n">
        <v>0</v>
      </c>
      <c r="K870" t="n">
        <v>0</v>
      </c>
      <c r="L870" t="n">
        <v>0</v>
      </c>
      <c r="M870" t="n">
        <v>0</v>
      </c>
      <c r="N870" t="n">
        <v>0</v>
      </c>
      <c r="O870" t="n">
        <v>0</v>
      </c>
      <c r="P870" t="n">
        <v>0</v>
      </c>
      <c r="Q870" t="n">
        <v>0</v>
      </c>
      <c r="R870" s="2" t="inlineStr"/>
    </row>
    <row r="871" ht="15" customHeight="1">
      <c r="A871" t="inlineStr">
        <is>
          <t>A 787-2024</t>
        </is>
      </c>
      <c r="B871" s="1" t="n">
        <v>45300</v>
      </c>
      <c r="C871" s="1" t="n">
        <v>45933</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1588-2025</t>
        </is>
      </c>
      <c r="B872" s="1" t="n">
        <v>45670</v>
      </c>
      <c r="C872" s="1" t="n">
        <v>45933</v>
      </c>
      <c r="D872" t="inlineStr">
        <is>
          <t>UPPSALA LÄN</t>
        </is>
      </c>
      <c r="E872" t="inlineStr">
        <is>
          <t>UPPSALA</t>
        </is>
      </c>
      <c r="F872" t="inlineStr">
        <is>
          <t>Bergvik skog väst AB</t>
        </is>
      </c>
      <c r="G872" t="n">
        <v>0.8</v>
      </c>
      <c r="H872" t="n">
        <v>0</v>
      </c>
      <c r="I872" t="n">
        <v>0</v>
      </c>
      <c r="J872" t="n">
        <v>0</v>
      </c>
      <c r="K872" t="n">
        <v>0</v>
      </c>
      <c r="L872" t="n">
        <v>0</v>
      </c>
      <c r="M872" t="n">
        <v>0</v>
      </c>
      <c r="N872" t="n">
        <v>0</v>
      </c>
      <c r="O872" t="n">
        <v>0</v>
      </c>
      <c r="P872" t="n">
        <v>0</v>
      </c>
      <c r="Q872" t="n">
        <v>0</v>
      </c>
      <c r="R872" s="2" t="inlineStr"/>
    </row>
    <row r="873" ht="15" customHeight="1">
      <c r="A873" t="inlineStr">
        <is>
          <t>A 20703-2025</t>
        </is>
      </c>
      <c r="B873" s="1" t="n">
        <v>45776.48275462963</v>
      </c>
      <c r="C873" s="1" t="n">
        <v>45933</v>
      </c>
      <c r="D873" t="inlineStr">
        <is>
          <t>UPPSALA LÄN</t>
        </is>
      </c>
      <c r="E873" t="inlineStr">
        <is>
          <t>UPPSALA</t>
        </is>
      </c>
      <c r="F873" t="inlineStr">
        <is>
          <t>Holmen skog AB</t>
        </is>
      </c>
      <c r="G873" t="n">
        <v>3.5</v>
      </c>
      <c r="H873" t="n">
        <v>0</v>
      </c>
      <c r="I873" t="n">
        <v>0</v>
      </c>
      <c r="J873" t="n">
        <v>0</v>
      </c>
      <c r="K873" t="n">
        <v>0</v>
      </c>
      <c r="L873" t="n">
        <v>0</v>
      </c>
      <c r="M873" t="n">
        <v>0</v>
      </c>
      <c r="N873" t="n">
        <v>0</v>
      </c>
      <c r="O873" t="n">
        <v>0</v>
      </c>
      <c r="P873" t="n">
        <v>0</v>
      </c>
      <c r="Q873" t="n">
        <v>0</v>
      </c>
      <c r="R873" s="2" t="inlineStr"/>
    </row>
    <row r="874" ht="15" customHeight="1">
      <c r="A874" t="inlineStr">
        <is>
          <t>A 20712-2025</t>
        </is>
      </c>
      <c r="B874" s="1" t="n">
        <v>45776</v>
      </c>
      <c r="C874" s="1" t="n">
        <v>45933</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20686-2025</t>
        </is>
      </c>
      <c r="B875" s="1" t="n">
        <v>45776.45263888889</v>
      </c>
      <c r="C875" s="1" t="n">
        <v>45933</v>
      </c>
      <c r="D875" t="inlineStr">
        <is>
          <t>UPPSALA LÄN</t>
        </is>
      </c>
      <c r="E875" t="inlineStr">
        <is>
          <t>UPPSALA</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29815-2023</t>
        </is>
      </c>
      <c r="B876" s="1" t="n">
        <v>45107.55574074074</v>
      </c>
      <c r="C876" s="1" t="n">
        <v>45933</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20797-2025</t>
        </is>
      </c>
      <c r="B877" s="1" t="n">
        <v>45776.6415162037</v>
      </c>
      <c r="C877" s="1" t="n">
        <v>45933</v>
      </c>
      <c r="D877" t="inlineStr">
        <is>
          <t>UPPSALA LÄN</t>
        </is>
      </c>
      <c r="E877" t="inlineStr">
        <is>
          <t>UPPSALA</t>
        </is>
      </c>
      <c r="F877" t="inlineStr">
        <is>
          <t>Kommuner</t>
        </is>
      </c>
      <c r="G877" t="n">
        <v>4.6</v>
      </c>
      <c r="H877" t="n">
        <v>0</v>
      </c>
      <c r="I877" t="n">
        <v>0</v>
      </c>
      <c r="J877" t="n">
        <v>0</v>
      </c>
      <c r="K877" t="n">
        <v>0</v>
      </c>
      <c r="L877" t="n">
        <v>0</v>
      </c>
      <c r="M877" t="n">
        <v>0</v>
      </c>
      <c r="N877" t="n">
        <v>0</v>
      </c>
      <c r="O877" t="n">
        <v>0</v>
      </c>
      <c r="P877" t="n">
        <v>0</v>
      </c>
      <c r="Q877" t="n">
        <v>0</v>
      </c>
      <c r="R877" s="2" t="inlineStr"/>
    </row>
    <row r="878" ht="15" customHeight="1">
      <c r="A878" t="inlineStr">
        <is>
          <t>A 20888-2025</t>
        </is>
      </c>
      <c r="B878" s="1" t="n">
        <v>45777.37119212963</v>
      </c>
      <c r="C878" s="1" t="n">
        <v>45933</v>
      </c>
      <c r="D878" t="inlineStr">
        <is>
          <t>UPPSALA LÄN</t>
        </is>
      </c>
      <c r="E878" t="inlineStr">
        <is>
          <t>UPPSALA</t>
        </is>
      </c>
      <c r="F878" t="inlineStr">
        <is>
          <t>Övriga statliga verk och myndigheter</t>
        </is>
      </c>
      <c r="G878" t="n">
        <v>5.1</v>
      </c>
      <c r="H878" t="n">
        <v>0</v>
      </c>
      <c r="I878" t="n">
        <v>0</v>
      </c>
      <c r="J878" t="n">
        <v>0</v>
      </c>
      <c r="K878" t="n">
        <v>0</v>
      </c>
      <c r="L878" t="n">
        <v>0</v>
      </c>
      <c r="M878" t="n">
        <v>0</v>
      </c>
      <c r="N878" t="n">
        <v>0</v>
      </c>
      <c r="O878" t="n">
        <v>0</v>
      </c>
      <c r="P878" t="n">
        <v>0</v>
      </c>
      <c r="Q878" t="n">
        <v>0</v>
      </c>
      <c r="R878" s="2" t="inlineStr"/>
    </row>
    <row r="879" ht="15" customHeight="1">
      <c r="A879" t="inlineStr">
        <is>
          <t>A 20874-2025</t>
        </is>
      </c>
      <c r="B879" s="1" t="n">
        <v>45777.34894675926</v>
      </c>
      <c r="C879" s="1" t="n">
        <v>45933</v>
      </c>
      <c r="D879" t="inlineStr">
        <is>
          <t>UPPSALA LÄN</t>
        </is>
      </c>
      <c r="E879" t="inlineStr">
        <is>
          <t>UPPSALA</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20858-2025</t>
        </is>
      </c>
      <c r="B880" s="1" t="n">
        <v>45777.32731481481</v>
      </c>
      <c r="C880" s="1" t="n">
        <v>45933</v>
      </c>
      <c r="D880" t="inlineStr">
        <is>
          <t>UPPSALA LÄN</t>
        </is>
      </c>
      <c r="E880" t="inlineStr">
        <is>
          <t>UPPSALA</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21033-2025</t>
        </is>
      </c>
      <c r="B881" s="1" t="n">
        <v>45777.52655092593</v>
      </c>
      <c r="C881" s="1" t="n">
        <v>45933</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20928-2025</t>
        </is>
      </c>
      <c r="B882" s="1" t="n">
        <v>45777</v>
      </c>
      <c r="C882" s="1" t="n">
        <v>45933</v>
      </c>
      <c r="D882" t="inlineStr">
        <is>
          <t>UPPSALA LÄN</t>
        </is>
      </c>
      <c r="E882" t="inlineStr">
        <is>
          <t>UPPSALA</t>
        </is>
      </c>
      <c r="G882" t="n">
        <v>11.9</v>
      </c>
      <c r="H882" t="n">
        <v>0</v>
      </c>
      <c r="I882" t="n">
        <v>0</v>
      </c>
      <c r="J882" t="n">
        <v>0</v>
      </c>
      <c r="K882" t="n">
        <v>0</v>
      </c>
      <c r="L882" t="n">
        <v>0</v>
      </c>
      <c r="M882" t="n">
        <v>0</v>
      </c>
      <c r="N882" t="n">
        <v>0</v>
      </c>
      <c r="O882" t="n">
        <v>0</v>
      </c>
      <c r="P882" t="n">
        <v>0</v>
      </c>
      <c r="Q882" t="n">
        <v>0</v>
      </c>
      <c r="R882" s="2" t="inlineStr"/>
    </row>
    <row r="883" ht="15" customHeight="1">
      <c r="A883" t="inlineStr">
        <is>
          <t>A 33667-2024</t>
        </is>
      </c>
      <c r="B883" s="1" t="n">
        <v>45520</v>
      </c>
      <c r="C883" s="1" t="n">
        <v>45933</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44847-2024</t>
        </is>
      </c>
      <c r="B884" s="1" t="n">
        <v>45574</v>
      </c>
      <c r="C884" s="1" t="n">
        <v>45933</v>
      </c>
      <c r="D884" t="inlineStr">
        <is>
          <t>UPPSALA LÄN</t>
        </is>
      </c>
      <c r="E884" t="inlineStr">
        <is>
          <t>UPPSALA</t>
        </is>
      </c>
      <c r="G884" t="n">
        <v>6.3</v>
      </c>
      <c r="H884" t="n">
        <v>0</v>
      </c>
      <c r="I884" t="n">
        <v>0</v>
      </c>
      <c r="J884" t="n">
        <v>0</v>
      </c>
      <c r="K884" t="n">
        <v>0</v>
      </c>
      <c r="L884" t="n">
        <v>0</v>
      </c>
      <c r="M884" t="n">
        <v>0</v>
      </c>
      <c r="N884" t="n">
        <v>0</v>
      </c>
      <c r="O884" t="n">
        <v>0</v>
      </c>
      <c r="P884" t="n">
        <v>0</v>
      </c>
      <c r="Q884" t="n">
        <v>0</v>
      </c>
      <c r="R884" s="2" t="inlineStr"/>
    </row>
    <row r="885" ht="15" customHeight="1">
      <c r="A885" t="inlineStr">
        <is>
          <t>A 21281-2025</t>
        </is>
      </c>
      <c r="B885" s="1" t="n">
        <v>45779.6665162037</v>
      </c>
      <c r="C885" s="1" t="n">
        <v>45933</v>
      </c>
      <c r="D885" t="inlineStr">
        <is>
          <t>UPPSALA LÄN</t>
        </is>
      </c>
      <c r="E885" t="inlineStr">
        <is>
          <t>UPPSALA</t>
        </is>
      </c>
      <c r="F885" t="inlineStr">
        <is>
          <t>Övriga Aktiebolag</t>
        </is>
      </c>
      <c r="G885" t="n">
        <v>5.9</v>
      </c>
      <c r="H885" t="n">
        <v>0</v>
      </c>
      <c r="I885" t="n">
        <v>0</v>
      </c>
      <c r="J885" t="n">
        <v>0</v>
      </c>
      <c r="K885" t="n">
        <v>0</v>
      </c>
      <c r="L885" t="n">
        <v>0</v>
      </c>
      <c r="M885" t="n">
        <v>0</v>
      </c>
      <c r="N885" t="n">
        <v>0</v>
      </c>
      <c r="O885" t="n">
        <v>0</v>
      </c>
      <c r="P885" t="n">
        <v>0</v>
      </c>
      <c r="Q885" t="n">
        <v>0</v>
      </c>
      <c r="R885" s="2" t="inlineStr"/>
    </row>
    <row r="886" ht="15" customHeight="1">
      <c r="A886" t="inlineStr">
        <is>
          <t>A 21279-2025</t>
        </is>
      </c>
      <c r="B886" s="1" t="n">
        <v>45779.65787037037</v>
      </c>
      <c r="C886" s="1" t="n">
        <v>45933</v>
      </c>
      <c r="D886" t="inlineStr">
        <is>
          <t>UPPSALA LÄN</t>
        </is>
      </c>
      <c r="E886" t="inlineStr">
        <is>
          <t>UPPSALA</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21217-2025</t>
        </is>
      </c>
      <c r="B887" s="1" t="n">
        <v>45779.49085648148</v>
      </c>
      <c r="C887" s="1" t="n">
        <v>45933</v>
      </c>
      <c r="D887" t="inlineStr">
        <is>
          <t>UPPSALA LÄN</t>
        </is>
      </c>
      <c r="E887" t="inlineStr">
        <is>
          <t>UPPSALA</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21748-2025</t>
        </is>
      </c>
      <c r="B888" s="1" t="n">
        <v>45783.61053240741</v>
      </c>
      <c r="C888" s="1" t="n">
        <v>45933</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21936-2025</t>
        </is>
      </c>
      <c r="B889" s="1" t="n">
        <v>45784.57266203704</v>
      </c>
      <c r="C889" s="1" t="n">
        <v>45933</v>
      </c>
      <c r="D889" t="inlineStr">
        <is>
          <t>UPPSALA LÄN</t>
        </is>
      </c>
      <c r="E889" t="inlineStr">
        <is>
          <t>UPPSALA</t>
        </is>
      </c>
      <c r="F889" t="inlineStr">
        <is>
          <t>Bergvik skog öst AB</t>
        </is>
      </c>
      <c r="G889" t="n">
        <v>1.7</v>
      </c>
      <c r="H889" t="n">
        <v>0</v>
      </c>
      <c r="I889" t="n">
        <v>0</v>
      </c>
      <c r="J889" t="n">
        <v>0</v>
      </c>
      <c r="K889" t="n">
        <v>0</v>
      </c>
      <c r="L889" t="n">
        <v>0</v>
      </c>
      <c r="M889" t="n">
        <v>0</v>
      </c>
      <c r="N889" t="n">
        <v>0</v>
      </c>
      <c r="O889" t="n">
        <v>0</v>
      </c>
      <c r="P889" t="n">
        <v>0</v>
      </c>
      <c r="Q889" t="n">
        <v>0</v>
      </c>
      <c r="R889" s="2" t="inlineStr"/>
    </row>
    <row r="890" ht="15" customHeight="1">
      <c r="A890" t="inlineStr">
        <is>
          <t>A 750-2022</t>
        </is>
      </c>
      <c r="B890" s="1" t="n">
        <v>44569.49344907407</v>
      </c>
      <c r="C890" s="1" t="n">
        <v>45933</v>
      </c>
      <c r="D890" t="inlineStr">
        <is>
          <t>UPPSALA LÄN</t>
        </is>
      </c>
      <c r="E890" t="inlineStr">
        <is>
          <t>UPPSALA</t>
        </is>
      </c>
      <c r="F890" t="inlineStr">
        <is>
          <t>Holmen skog AB</t>
        </is>
      </c>
      <c r="G890" t="n">
        <v>6</v>
      </c>
      <c r="H890" t="n">
        <v>0</v>
      </c>
      <c r="I890" t="n">
        <v>0</v>
      </c>
      <c r="J890" t="n">
        <v>0</v>
      </c>
      <c r="K890" t="n">
        <v>0</v>
      </c>
      <c r="L890" t="n">
        <v>0</v>
      </c>
      <c r="M890" t="n">
        <v>0</v>
      </c>
      <c r="N890" t="n">
        <v>0</v>
      </c>
      <c r="O890" t="n">
        <v>0</v>
      </c>
      <c r="P890" t="n">
        <v>0</v>
      </c>
      <c r="Q890" t="n">
        <v>0</v>
      </c>
      <c r="R890" s="2" t="inlineStr"/>
    </row>
    <row r="891" ht="15" customHeight="1">
      <c r="A891" t="inlineStr">
        <is>
          <t>A 16324-2024</t>
        </is>
      </c>
      <c r="B891" s="1" t="n">
        <v>45407.49721064815</v>
      </c>
      <c r="C891" s="1" t="n">
        <v>45933</v>
      </c>
      <c r="D891" t="inlineStr">
        <is>
          <t>UPPSALA LÄN</t>
        </is>
      </c>
      <c r="E891" t="inlineStr">
        <is>
          <t>UPPSALA</t>
        </is>
      </c>
      <c r="G891" t="n">
        <v>2.3</v>
      </c>
      <c r="H891" t="n">
        <v>0</v>
      </c>
      <c r="I891" t="n">
        <v>0</v>
      </c>
      <c r="J891" t="n">
        <v>0</v>
      </c>
      <c r="K891" t="n">
        <v>0</v>
      </c>
      <c r="L891" t="n">
        <v>0</v>
      </c>
      <c r="M891" t="n">
        <v>0</v>
      </c>
      <c r="N891" t="n">
        <v>0</v>
      </c>
      <c r="O891" t="n">
        <v>0</v>
      </c>
      <c r="P891" t="n">
        <v>0</v>
      </c>
      <c r="Q891" t="n">
        <v>0</v>
      </c>
      <c r="R891" s="2" t="inlineStr"/>
    </row>
    <row r="892" ht="15" customHeight="1">
      <c r="A892" t="inlineStr">
        <is>
          <t>A 22018-2025</t>
        </is>
      </c>
      <c r="B892" s="1" t="n">
        <v>45784.80497685185</v>
      </c>
      <c r="C892" s="1" t="n">
        <v>45933</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4980-2024</t>
        </is>
      </c>
      <c r="B893" s="1" t="n">
        <v>45329</v>
      </c>
      <c r="C893" s="1" t="n">
        <v>45933</v>
      </c>
      <c r="D893" t="inlineStr">
        <is>
          <t>UPPSALA LÄN</t>
        </is>
      </c>
      <c r="E893" t="inlineStr">
        <is>
          <t>UPPSALA</t>
        </is>
      </c>
      <c r="G893" t="n">
        <v>10.8</v>
      </c>
      <c r="H893" t="n">
        <v>0</v>
      </c>
      <c r="I893" t="n">
        <v>0</v>
      </c>
      <c r="J893" t="n">
        <v>0</v>
      </c>
      <c r="K893" t="n">
        <v>0</v>
      </c>
      <c r="L893" t="n">
        <v>0</v>
      </c>
      <c r="M893" t="n">
        <v>0</v>
      </c>
      <c r="N893" t="n">
        <v>0</v>
      </c>
      <c r="O893" t="n">
        <v>0</v>
      </c>
      <c r="P893" t="n">
        <v>0</v>
      </c>
      <c r="Q893" t="n">
        <v>0</v>
      </c>
      <c r="R893" s="2" t="inlineStr"/>
    </row>
    <row r="894" ht="15" customHeight="1">
      <c r="A894" t="inlineStr">
        <is>
          <t>A 42131-2023</t>
        </is>
      </c>
      <c r="B894" s="1" t="n">
        <v>45177.79766203704</v>
      </c>
      <c r="C894" s="1" t="n">
        <v>45933</v>
      </c>
      <c r="D894" t="inlineStr">
        <is>
          <t>UPPSALA LÄN</t>
        </is>
      </c>
      <c r="E894" t="inlineStr">
        <is>
          <t>UPPSALA</t>
        </is>
      </c>
      <c r="F894" t="inlineStr">
        <is>
          <t>Allmännings- och besparingsskogar</t>
        </is>
      </c>
      <c r="G894" t="n">
        <v>6.3</v>
      </c>
      <c r="H894" t="n">
        <v>0</v>
      </c>
      <c r="I894" t="n">
        <v>0</v>
      </c>
      <c r="J894" t="n">
        <v>0</v>
      </c>
      <c r="K894" t="n">
        <v>0</v>
      </c>
      <c r="L894" t="n">
        <v>0</v>
      </c>
      <c r="M894" t="n">
        <v>0</v>
      </c>
      <c r="N894" t="n">
        <v>0</v>
      </c>
      <c r="O894" t="n">
        <v>0</v>
      </c>
      <c r="P894" t="n">
        <v>0</v>
      </c>
      <c r="Q894" t="n">
        <v>0</v>
      </c>
      <c r="R894" s="2" t="inlineStr"/>
    </row>
    <row r="895" ht="15" customHeight="1">
      <c r="A895" t="inlineStr">
        <is>
          <t>A 40701-2024</t>
        </is>
      </c>
      <c r="B895" s="1" t="n">
        <v>45558.42498842593</v>
      </c>
      <c r="C895" s="1" t="n">
        <v>45933</v>
      </c>
      <c r="D895" t="inlineStr">
        <is>
          <t>UPPSALA LÄN</t>
        </is>
      </c>
      <c r="E895" t="inlineStr">
        <is>
          <t>UPPSALA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42276-2024</t>
        </is>
      </c>
      <c r="B896" s="1" t="n">
        <v>45562</v>
      </c>
      <c r="C896" s="1" t="n">
        <v>45933</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10650-2024</t>
        </is>
      </c>
      <c r="B897" s="1" t="n">
        <v>45368.64787037037</v>
      </c>
      <c r="C897" s="1" t="n">
        <v>45933</v>
      </c>
      <c r="D897" t="inlineStr">
        <is>
          <t>UPPSALA LÄN</t>
        </is>
      </c>
      <c r="E897" t="inlineStr">
        <is>
          <t>UPPSALA</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758-2022</t>
        </is>
      </c>
      <c r="B898" s="1" t="n">
        <v>44569.69358796296</v>
      </c>
      <c r="C898" s="1" t="n">
        <v>45933</v>
      </c>
      <c r="D898" t="inlineStr">
        <is>
          <t>UPPSALA LÄN</t>
        </is>
      </c>
      <c r="E898" t="inlineStr">
        <is>
          <t>UPPSALA</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3973-2025</t>
        </is>
      </c>
      <c r="B899" s="1" t="n">
        <v>45684</v>
      </c>
      <c r="C899" s="1" t="n">
        <v>45933</v>
      </c>
      <c r="D899" t="inlineStr">
        <is>
          <t>UPPSALA LÄN</t>
        </is>
      </c>
      <c r="E899" t="inlineStr">
        <is>
          <t>UPPSALA</t>
        </is>
      </c>
      <c r="G899" t="n">
        <v>8</v>
      </c>
      <c r="H899" t="n">
        <v>0</v>
      </c>
      <c r="I899" t="n">
        <v>0</v>
      </c>
      <c r="J899" t="n">
        <v>0</v>
      </c>
      <c r="K899" t="n">
        <v>0</v>
      </c>
      <c r="L899" t="n">
        <v>0</v>
      </c>
      <c r="M899" t="n">
        <v>0</v>
      </c>
      <c r="N899" t="n">
        <v>0</v>
      </c>
      <c r="O899" t="n">
        <v>0</v>
      </c>
      <c r="P899" t="n">
        <v>0</v>
      </c>
      <c r="Q899" t="n">
        <v>0</v>
      </c>
      <c r="R899" s="2" t="inlineStr"/>
    </row>
    <row r="900" ht="15" customHeight="1">
      <c r="A900" t="inlineStr">
        <is>
          <t>A 59570-2023</t>
        </is>
      </c>
      <c r="B900" s="1" t="n">
        <v>45254</v>
      </c>
      <c r="C900" s="1" t="n">
        <v>45933</v>
      </c>
      <c r="D900" t="inlineStr">
        <is>
          <t>UPPSALA LÄN</t>
        </is>
      </c>
      <c r="E900" t="inlineStr">
        <is>
          <t>UPPSALA</t>
        </is>
      </c>
      <c r="G900" t="n">
        <v>6.7</v>
      </c>
      <c r="H900" t="n">
        <v>0</v>
      </c>
      <c r="I900" t="n">
        <v>0</v>
      </c>
      <c r="J900" t="n">
        <v>0</v>
      </c>
      <c r="K900" t="n">
        <v>0</v>
      </c>
      <c r="L900" t="n">
        <v>0</v>
      </c>
      <c r="M900" t="n">
        <v>0</v>
      </c>
      <c r="N900" t="n">
        <v>0</v>
      </c>
      <c r="O900" t="n">
        <v>0</v>
      </c>
      <c r="P900" t="n">
        <v>0</v>
      </c>
      <c r="Q900" t="n">
        <v>0</v>
      </c>
      <c r="R900" s="2" t="inlineStr"/>
    </row>
    <row r="901" ht="15" customHeight="1">
      <c r="A901" t="inlineStr">
        <is>
          <t>A 11339-2025</t>
        </is>
      </c>
      <c r="B901" s="1" t="n">
        <v>45726</v>
      </c>
      <c r="C901" s="1" t="n">
        <v>45933</v>
      </c>
      <c r="D901" t="inlineStr">
        <is>
          <t>UPPSALA LÄN</t>
        </is>
      </c>
      <c r="E901" t="inlineStr">
        <is>
          <t>UPPSALA</t>
        </is>
      </c>
      <c r="G901" t="n">
        <v>13.4</v>
      </c>
      <c r="H901" t="n">
        <v>0</v>
      </c>
      <c r="I901" t="n">
        <v>0</v>
      </c>
      <c r="J901" t="n">
        <v>0</v>
      </c>
      <c r="K901" t="n">
        <v>0</v>
      </c>
      <c r="L901" t="n">
        <v>0</v>
      </c>
      <c r="M901" t="n">
        <v>0</v>
      </c>
      <c r="N901" t="n">
        <v>0</v>
      </c>
      <c r="O901" t="n">
        <v>0</v>
      </c>
      <c r="P901" t="n">
        <v>0</v>
      </c>
      <c r="Q901" t="n">
        <v>0</v>
      </c>
      <c r="R901" s="2" t="inlineStr"/>
    </row>
    <row r="902" ht="15" customHeight="1">
      <c r="A902" t="inlineStr">
        <is>
          <t>A 11260-2024</t>
        </is>
      </c>
      <c r="B902" s="1" t="n">
        <v>45371.67368055556</v>
      </c>
      <c r="C902" s="1" t="n">
        <v>45933</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22951-2025</t>
        </is>
      </c>
      <c r="B903" s="1" t="n">
        <v>45790.51040509259</v>
      </c>
      <c r="C903" s="1" t="n">
        <v>45933</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26208-2023</t>
        </is>
      </c>
      <c r="B904" s="1" t="n">
        <v>45091</v>
      </c>
      <c r="C904" s="1" t="n">
        <v>45933</v>
      </c>
      <c r="D904" t="inlineStr">
        <is>
          <t>UPPSALA LÄN</t>
        </is>
      </c>
      <c r="E904" t="inlineStr">
        <is>
          <t>UPPSALA</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22930-2025</t>
        </is>
      </c>
      <c r="B905" s="1" t="n">
        <v>45790.44972222222</v>
      </c>
      <c r="C905" s="1" t="n">
        <v>45933</v>
      </c>
      <c r="D905" t="inlineStr">
        <is>
          <t>UPPSALA LÄN</t>
        </is>
      </c>
      <c r="E905" t="inlineStr">
        <is>
          <t>UPPSALA</t>
        </is>
      </c>
      <c r="G905" t="n">
        <v>7.7</v>
      </c>
      <c r="H905" t="n">
        <v>0</v>
      </c>
      <c r="I905" t="n">
        <v>0</v>
      </c>
      <c r="J905" t="n">
        <v>0</v>
      </c>
      <c r="K905" t="n">
        <v>0</v>
      </c>
      <c r="L905" t="n">
        <v>0</v>
      </c>
      <c r="M905" t="n">
        <v>0</v>
      </c>
      <c r="N905" t="n">
        <v>0</v>
      </c>
      <c r="O905" t="n">
        <v>0</v>
      </c>
      <c r="P905" t="n">
        <v>0</v>
      </c>
      <c r="Q905" t="n">
        <v>0</v>
      </c>
      <c r="R905" s="2" t="inlineStr"/>
    </row>
    <row r="906" ht="15" customHeight="1">
      <c r="A906" t="inlineStr">
        <is>
          <t>A 46751-2024</t>
        </is>
      </c>
      <c r="B906" s="1" t="n">
        <v>45583.48449074074</v>
      </c>
      <c r="C906" s="1" t="n">
        <v>45933</v>
      </c>
      <c r="D906" t="inlineStr">
        <is>
          <t>UPPSALA LÄN</t>
        </is>
      </c>
      <c r="E906" t="inlineStr">
        <is>
          <t>UPPSALA</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46925-2024</t>
        </is>
      </c>
      <c r="B907" s="1" t="n">
        <v>45584.60038194444</v>
      </c>
      <c r="C907" s="1" t="n">
        <v>45933</v>
      </c>
      <c r="D907" t="inlineStr">
        <is>
          <t>UPPSALA LÄN</t>
        </is>
      </c>
      <c r="E907" t="inlineStr">
        <is>
          <t>UPPSALA</t>
        </is>
      </c>
      <c r="G907" t="n">
        <v>0.7</v>
      </c>
      <c r="H907" t="n">
        <v>0</v>
      </c>
      <c r="I907" t="n">
        <v>0</v>
      </c>
      <c r="J907" t="n">
        <v>0</v>
      </c>
      <c r="K907" t="n">
        <v>0</v>
      </c>
      <c r="L907" t="n">
        <v>0</v>
      </c>
      <c r="M907" t="n">
        <v>0</v>
      </c>
      <c r="N907" t="n">
        <v>0</v>
      </c>
      <c r="O907" t="n">
        <v>0</v>
      </c>
      <c r="P907" t="n">
        <v>0</v>
      </c>
      <c r="Q907" t="n">
        <v>0</v>
      </c>
      <c r="R907" s="2" t="inlineStr"/>
    </row>
    <row r="908" ht="15" customHeight="1">
      <c r="A908" t="inlineStr">
        <is>
          <t>A 56564-2024</t>
        </is>
      </c>
      <c r="B908" s="1" t="n">
        <v>45625.58501157408</v>
      </c>
      <c r="C908" s="1" t="n">
        <v>45933</v>
      </c>
      <c r="D908" t="inlineStr">
        <is>
          <t>UPPSALA LÄN</t>
        </is>
      </c>
      <c r="E908" t="inlineStr">
        <is>
          <t>UPPSALA</t>
        </is>
      </c>
      <c r="F908" t="inlineStr">
        <is>
          <t>Övriga Aktiebolag</t>
        </is>
      </c>
      <c r="G908" t="n">
        <v>1.8</v>
      </c>
      <c r="H908" t="n">
        <v>0</v>
      </c>
      <c r="I908" t="n">
        <v>0</v>
      </c>
      <c r="J908" t="n">
        <v>0</v>
      </c>
      <c r="K908" t="n">
        <v>0</v>
      </c>
      <c r="L908" t="n">
        <v>0</v>
      </c>
      <c r="M908" t="n">
        <v>0</v>
      </c>
      <c r="N908" t="n">
        <v>0</v>
      </c>
      <c r="O908" t="n">
        <v>0</v>
      </c>
      <c r="P908" t="n">
        <v>0</v>
      </c>
      <c r="Q908" t="n">
        <v>0</v>
      </c>
      <c r="R908" s="2" t="inlineStr"/>
    </row>
    <row r="909" ht="15" customHeight="1">
      <c r="A909" t="inlineStr">
        <is>
          <t>A 22953-2025</t>
        </is>
      </c>
      <c r="B909" s="1" t="n">
        <v>45790.51186342593</v>
      </c>
      <c r="C909" s="1" t="n">
        <v>45933</v>
      </c>
      <c r="D909" t="inlineStr">
        <is>
          <t>UPPSALA LÄN</t>
        </is>
      </c>
      <c r="E909" t="inlineStr">
        <is>
          <t>UPPSALA</t>
        </is>
      </c>
      <c r="G909" t="n">
        <v>1.1</v>
      </c>
      <c r="H909" t="n">
        <v>0</v>
      </c>
      <c r="I909" t="n">
        <v>0</v>
      </c>
      <c r="J909" t="n">
        <v>0</v>
      </c>
      <c r="K909" t="n">
        <v>0</v>
      </c>
      <c r="L909" t="n">
        <v>0</v>
      </c>
      <c r="M909" t="n">
        <v>0</v>
      </c>
      <c r="N909" t="n">
        <v>0</v>
      </c>
      <c r="O909" t="n">
        <v>0</v>
      </c>
      <c r="P909" t="n">
        <v>0</v>
      </c>
      <c r="Q909" t="n">
        <v>0</v>
      </c>
      <c r="R909" s="2" t="inlineStr"/>
    </row>
    <row r="910" ht="15" customHeight="1">
      <c r="A910" t="inlineStr">
        <is>
          <t>A 34520-2024</t>
        </is>
      </c>
      <c r="B910" s="1" t="n">
        <v>45525</v>
      </c>
      <c r="C910" s="1" t="n">
        <v>45933</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5876-2024</t>
        </is>
      </c>
      <c r="B911" s="1" t="n">
        <v>45335.66331018518</v>
      </c>
      <c r="C911" s="1" t="n">
        <v>45933</v>
      </c>
      <c r="D911" t="inlineStr">
        <is>
          <t>UPPSALA LÄN</t>
        </is>
      </c>
      <c r="E911" t="inlineStr">
        <is>
          <t>UPPSALA</t>
        </is>
      </c>
      <c r="F911" t="inlineStr">
        <is>
          <t>Kyrkan</t>
        </is>
      </c>
      <c r="G911" t="n">
        <v>1.7</v>
      </c>
      <c r="H911" t="n">
        <v>0</v>
      </c>
      <c r="I911" t="n">
        <v>0</v>
      </c>
      <c r="J911" t="n">
        <v>0</v>
      </c>
      <c r="K911" t="n">
        <v>0</v>
      </c>
      <c r="L911" t="n">
        <v>0</v>
      </c>
      <c r="M911" t="n">
        <v>0</v>
      </c>
      <c r="N911" t="n">
        <v>0</v>
      </c>
      <c r="O911" t="n">
        <v>0</v>
      </c>
      <c r="P911" t="n">
        <v>0</v>
      </c>
      <c r="Q911" t="n">
        <v>0</v>
      </c>
      <c r="R911" s="2" t="inlineStr"/>
    </row>
    <row r="912" ht="15" customHeight="1">
      <c r="A912" t="inlineStr">
        <is>
          <t>A 45885-2023</t>
        </is>
      </c>
      <c r="B912" s="1" t="n">
        <v>45195.64807870371</v>
      </c>
      <c r="C912" s="1" t="n">
        <v>45933</v>
      </c>
      <c r="D912" t="inlineStr">
        <is>
          <t>UPPSALA LÄN</t>
        </is>
      </c>
      <c r="E912" t="inlineStr">
        <is>
          <t>UPPSALA</t>
        </is>
      </c>
      <c r="G912" t="n">
        <v>6.5</v>
      </c>
      <c r="H912" t="n">
        <v>0</v>
      </c>
      <c r="I912" t="n">
        <v>0</v>
      </c>
      <c r="J912" t="n">
        <v>0</v>
      </c>
      <c r="K912" t="n">
        <v>0</v>
      </c>
      <c r="L912" t="n">
        <v>0</v>
      </c>
      <c r="M912" t="n">
        <v>0</v>
      </c>
      <c r="N912" t="n">
        <v>0</v>
      </c>
      <c r="O912" t="n">
        <v>0</v>
      </c>
      <c r="P912" t="n">
        <v>0</v>
      </c>
      <c r="Q912" t="n">
        <v>0</v>
      </c>
      <c r="R912" s="2" t="inlineStr"/>
    </row>
    <row r="913" ht="15" customHeight="1">
      <c r="A913" t="inlineStr">
        <is>
          <t>A 59098-2024</t>
        </is>
      </c>
      <c r="B913" s="1" t="n">
        <v>45636</v>
      </c>
      <c r="C913" s="1" t="n">
        <v>45933</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14026-2021</t>
        </is>
      </c>
      <c r="B914" s="1" t="n">
        <v>44277.65650462963</v>
      </c>
      <c r="C914" s="1" t="n">
        <v>45933</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30319-2024</t>
        </is>
      </c>
      <c r="B915" s="1" t="n">
        <v>45490</v>
      </c>
      <c r="C915" s="1" t="n">
        <v>45933</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20903-2024</t>
        </is>
      </c>
      <c r="B916" s="1" t="n">
        <v>45439</v>
      </c>
      <c r="C916" s="1" t="n">
        <v>45933</v>
      </c>
      <c r="D916" t="inlineStr">
        <is>
          <t>UPPSALA LÄN</t>
        </is>
      </c>
      <c r="E916" t="inlineStr">
        <is>
          <t>UPPSALA</t>
        </is>
      </c>
      <c r="F916" t="inlineStr">
        <is>
          <t>Holmen skog AB</t>
        </is>
      </c>
      <c r="G916" t="n">
        <v>2.7</v>
      </c>
      <c r="H916" t="n">
        <v>0</v>
      </c>
      <c r="I916" t="n">
        <v>0</v>
      </c>
      <c r="J916" t="n">
        <v>0</v>
      </c>
      <c r="K916" t="n">
        <v>0</v>
      </c>
      <c r="L916" t="n">
        <v>0</v>
      </c>
      <c r="M916" t="n">
        <v>0</v>
      </c>
      <c r="N916" t="n">
        <v>0</v>
      </c>
      <c r="O916" t="n">
        <v>0</v>
      </c>
      <c r="P916" t="n">
        <v>0</v>
      </c>
      <c r="Q916" t="n">
        <v>0</v>
      </c>
      <c r="R916" s="2" t="inlineStr"/>
    </row>
    <row r="917" ht="15" customHeight="1">
      <c r="A917" t="inlineStr">
        <is>
          <t>A 19539-2024</t>
        </is>
      </c>
      <c r="B917" s="1" t="n">
        <v>45429</v>
      </c>
      <c r="C917" s="1" t="n">
        <v>45933</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24284-2025</t>
        </is>
      </c>
      <c r="B918" s="1" t="n">
        <v>45797.45900462963</v>
      </c>
      <c r="C918" s="1" t="n">
        <v>45933</v>
      </c>
      <c r="D918" t="inlineStr">
        <is>
          <t>UPPSALA LÄN</t>
        </is>
      </c>
      <c r="E918" t="inlineStr">
        <is>
          <t>UPPSALA</t>
        </is>
      </c>
      <c r="F918" t="inlineStr">
        <is>
          <t>Holmen skog AB</t>
        </is>
      </c>
      <c r="G918" t="n">
        <v>12.7</v>
      </c>
      <c r="H918" t="n">
        <v>0</v>
      </c>
      <c r="I918" t="n">
        <v>0</v>
      </c>
      <c r="J918" t="n">
        <v>0</v>
      </c>
      <c r="K918" t="n">
        <v>0</v>
      </c>
      <c r="L918" t="n">
        <v>0</v>
      </c>
      <c r="M918" t="n">
        <v>0</v>
      </c>
      <c r="N918" t="n">
        <v>0</v>
      </c>
      <c r="O918" t="n">
        <v>0</v>
      </c>
      <c r="P918" t="n">
        <v>0</v>
      </c>
      <c r="Q918" t="n">
        <v>0</v>
      </c>
      <c r="R918" s="2" t="inlineStr"/>
    </row>
    <row r="919" ht="15" customHeight="1">
      <c r="A919" t="inlineStr">
        <is>
          <t>A 24525-2025</t>
        </is>
      </c>
      <c r="B919" s="1" t="n">
        <v>45798.42252314815</v>
      </c>
      <c r="C919" s="1" t="n">
        <v>45933</v>
      </c>
      <c r="D919" t="inlineStr">
        <is>
          <t>UPPSALA LÄN</t>
        </is>
      </c>
      <c r="E919" t="inlineStr">
        <is>
          <t>UPPSALA</t>
        </is>
      </c>
      <c r="G919" t="n">
        <v>3.2</v>
      </c>
      <c r="H919" t="n">
        <v>0</v>
      </c>
      <c r="I919" t="n">
        <v>0</v>
      </c>
      <c r="J919" t="n">
        <v>0</v>
      </c>
      <c r="K919" t="n">
        <v>0</v>
      </c>
      <c r="L919" t="n">
        <v>0</v>
      </c>
      <c r="M919" t="n">
        <v>0</v>
      </c>
      <c r="N919" t="n">
        <v>0</v>
      </c>
      <c r="O919" t="n">
        <v>0</v>
      </c>
      <c r="P919" t="n">
        <v>0</v>
      </c>
      <c r="Q919" t="n">
        <v>0</v>
      </c>
      <c r="R919" s="2" t="inlineStr"/>
    </row>
    <row r="920" ht="15" customHeight="1">
      <c r="A920" t="inlineStr">
        <is>
          <t>A 24521-2025</t>
        </is>
      </c>
      <c r="B920" s="1" t="n">
        <v>45798.41734953703</v>
      </c>
      <c r="C920" s="1" t="n">
        <v>45933</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24268-2025</t>
        </is>
      </c>
      <c r="B921" s="1" t="n">
        <v>45797.42777777778</v>
      </c>
      <c r="C921" s="1" t="n">
        <v>45933</v>
      </c>
      <c r="D921" t="inlineStr">
        <is>
          <t>UPPSALA LÄN</t>
        </is>
      </c>
      <c r="E921" t="inlineStr">
        <is>
          <t>UPPSALA</t>
        </is>
      </c>
      <c r="G921" t="n">
        <v>2.5</v>
      </c>
      <c r="H921" t="n">
        <v>0</v>
      </c>
      <c r="I921" t="n">
        <v>0</v>
      </c>
      <c r="J921" t="n">
        <v>0</v>
      </c>
      <c r="K921" t="n">
        <v>0</v>
      </c>
      <c r="L921" t="n">
        <v>0</v>
      </c>
      <c r="M921" t="n">
        <v>0</v>
      </c>
      <c r="N921" t="n">
        <v>0</v>
      </c>
      <c r="O921" t="n">
        <v>0</v>
      </c>
      <c r="P921" t="n">
        <v>0</v>
      </c>
      <c r="Q921" t="n">
        <v>0</v>
      </c>
      <c r="R921" s="2" t="inlineStr"/>
    </row>
    <row r="922" ht="15" customHeight="1">
      <c r="A922" t="inlineStr">
        <is>
          <t>A 24909-2025</t>
        </is>
      </c>
      <c r="B922" s="1" t="n">
        <v>45799.53348379629</v>
      </c>
      <c r="C922" s="1" t="n">
        <v>45933</v>
      </c>
      <c r="D922" t="inlineStr">
        <is>
          <t>UPPSALA LÄN</t>
        </is>
      </c>
      <c r="E922" t="inlineStr">
        <is>
          <t>UPPSALA</t>
        </is>
      </c>
      <c r="F922" t="inlineStr">
        <is>
          <t>Sveaskog</t>
        </is>
      </c>
      <c r="G922" t="n">
        <v>2.2</v>
      </c>
      <c r="H922" t="n">
        <v>0</v>
      </c>
      <c r="I922" t="n">
        <v>0</v>
      </c>
      <c r="J922" t="n">
        <v>0</v>
      </c>
      <c r="K922" t="n">
        <v>0</v>
      </c>
      <c r="L922" t="n">
        <v>0</v>
      </c>
      <c r="M922" t="n">
        <v>0</v>
      </c>
      <c r="N922" t="n">
        <v>0</v>
      </c>
      <c r="O922" t="n">
        <v>0</v>
      </c>
      <c r="P922" t="n">
        <v>0</v>
      </c>
      <c r="Q922" t="n">
        <v>0</v>
      </c>
      <c r="R922" s="2" t="inlineStr"/>
    </row>
    <row r="923" ht="15" customHeight="1">
      <c r="A923" t="inlineStr">
        <is>
          <t>A 6988-2025</t>
        </is>
      </c>
      <c r="B923" s="1" t="n">
        <v>45693</v>
      </c>
      <c r="C923" s="1" t="n">
        <v>45933</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24912-2025</t>
        </is>
      </c>
      <c r="B924" s="1" t="n">
        <v>45799.53803240741</v>
      </c>
      <c r="C924" s="1" t="n">
        <v>45933</v>
      </c>
      <c r="D924" t="inlineStr">
        <is>
          <t>UPPSALA LÄN</t>
        </is>
      </c>
      <c r="E924" t="inlineStr">
        <is>
          <t>UPPSALA</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24916-2025</t>
        </is>
      </c>
      <c r="B925" s="1" t="n">
        <v>45799.5421875</v>
      </c>
      <c r="C925" s="1" t="n">
        <v>45933</v>
      </c>
      <c r="D925" t="inlineStr">
        <is>
          <t>UPPSALA LÄN</t>
        </is>
      </c>
      <c r="E925" t="inlineStr">
        <is>
          <t>UPPSALA</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24961-2025</t>
        </is>
      </c>
      <c r="B926" s="1" t="n">
        <v>45799.57714120371</v>
      </c>
      <c r="C926" s="1" t="n">
        <v>45933</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25025-2025</t>
        </is>
      </c>
      <c r="B927" s="1" t="n">
        <v>45799.64877314815</v>
      </c>
      <c r="C927" s="1" t="n">
        <v>45933</v>
      </c>
      <c r="D927" t="inlineStr">
        <is>
          <t>UPPSALA LÄN</t>
        </is>
      </c>
      <c r="E927" t="inlineStr">
        <is>
          <t>UPPSALA</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12828-2025</t>
        </is>
      </c>
      <c r="B928" s="1" t="n">
        <v>45733.62903935185</v>
      </c>
      <c r="C928" s="1" t="n">
        <v>45933</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24913-2025</t>
        </is>
      </c>
      <c r="B929" s="1" t="n">
        <v>45799.53947916667</v>
      </c>
      <c r="C929" s="1" t="n">
        <v>45933</v>
      </c>
      <c r="D929" t="inlineStr">
        <is>
          <t>UPPSALA LÄN</t>
        </is>
      </c>
      <c r="E929" t="inlineStr">
        <is>
          <t>UPPSALA</t>
        </is>
      </c>
      <c r="F929" t="inlineStr">
        <is>
          <t>Sveaskog</t>
        </is>
      </c>
      <c r="G929" t="n">
        <v>4.9</v>
      </c>
      <c r="H929" t="n">
        <v>0</v>
      </c>
      <c r="I929" t="n">
        <v>0</v>
      </c>
      <c r="J929" t="n">
        <v>0</v>
      </c>
      <c r="K929" t="n">
        <v>0</v>
      </c>
      <c r="L929" t="n">
        <v>0</v>
      </c>
      <c r="M929" t="n">
        <v>0</v>
      </c>
      <c r="N929" t="n">
        <v>0</v>
      </c>
      <c r="O929" t="n">
        <v>0</v>
      </c>
      <c r="P929" t="n">
        <v>0</v>
      </c>
      <c r="Q929" t="n">
        <v>0</v>
      </c>
      <c r="R929" s="2" t="inlineStr"/>
    </row>
    <row r="930" ht="15" customHeight="1">
      <c r="A930" t="inlineStr">
        <is>
          <t>A 24915-2025</t>
        </is>
      </c>
      <c r="B930" s="1" t="n">
        <v>45799.54104166666</v>
      </c>
      <c r="C930" s="1" t="n">
        <v>45933</v>
      </c>
      <c r="D930" t="inlineStr">
        <is>
          <t>UPPSALA LÄN</t>
        </is>
      </c>
      <c r="E930" t="inlineStr">
        <is>
          <t>UPPSALA</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13742-2025</t>
        </is>
      </c>
      <c r="B931" s="1" t="n">
        <v>45737.40503472222</v>
      </c>
      <c r="C931" s="1" t="n">
        <v>45933</v>
      </c>
      <c r="D931" t="inlineStr">
        <is>
          <t>UPPSALA LÄN</t>
        </is>
      </c>
      <c r="E931" t="inlineStr">
        <is>
          <t>UPPSALA</t>
        </is>
      </c>
      <c r="G931" t="n">
        <v>5.1</v>
      </c>
      <c r="H931" t="n">
        <v>0</v>
      </c>
      <c r="I931" t="n">
        <v>0</v>
      </c>
      <c r="J931" t="n">
        <v>0</v>
      </c>
      <c r="K931" t="n">
        <v>0</v>
      </c>
      <c r="L931" t="n">
        <v>0</v>
      </c>
      <c r="M931" t="n">
        <v>0</v>
      </c>
      <c r="N931" t="n">
        <v>0</v>
      </c>
      <c r="O931" t="n">
        <v>0</v>
      </c>
      <c r="P931" t="n">
        <v>0</v>
      </c>
      <c r="Q931" t="n">
        <v>0</v>
      </c>
      <c r="R931" s="2" t="inlineStr"/>
    </row>
    <row r="932" ht="15" customHeight="1">
      <c r="A932" t="inlineStr">
        <is>
          <t>A 25026-2025</t>
        </is>
      </c>
      <c r="B932" s="1" t="n">
        <v>45799.65021990741</v>
      </c>
      <c r="C932" s="1" t="n">
        <v>45933</v>
      </c>
      <c r="D932" t="inlineStr">
        <is>
          <t>UPPSALA LÄN</t>
        </is>
      </c>
      <c r="E932" t="inlineStr">
        <is>
          <t>UPPSALA</t>
        </is>
      </c>
      <c r="F932" t="inlineStr">
        <is>
          <t>Sveaskog</t>
        </is>
      </c>
      <c r="G932" t="n">
        <v>2.8</v>
      </c>
      <c r="H932" t="n">
        <v>0</v>
      </c>
      <c r="I932" t="n">
        <v>0</v>
      </c>
      <c r="J932" t="n">
        <v>0</v>
      </c>
      <c r="K932" t="n">
        <v>0</v>
      </c>
      <c r="L932" t="n">
        <v>0</v>
      </c>
      <c r="M932" t="n">
        <v>0</v>
      </c>
      <c r="N932" t="n">
        <v>0</v>
      </c>
      <c r="O932" t="n">
        <v>0</v>
      </c>
      <c r="P932" t="n">
        <v>0</v>
      </c>
      <c r="Q932" t="n">
        <v>0</v>
      </c>
      <c r="R932" s="2" t="inlineStr"/>
    </row>
    <row r="933" ht="15" customHeight="1">
      <c r="A933" t="inlineStr">
        <is>
          <t>A 25030-2025</t>
        </is>
      </c>
      <c r="B933" s="1" t="n">
        <v>45799.6527199074</v>
      </c>
      <c r="C933" s="1" t="n">
        <v>45933</v>
      </c>
      <c r="D933" t="inlineStr">
        <is>
          <t>UPPSALA LÄN</t>
        </is>
      </c>
      <c r="E933" t="inlineStr">
        <is>
          <t>UPPSALA</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24794-2025</t>
        </is>
      </c>
      <c r="B934" s="1" t="n">
        <v>45799.43496527777</v>
      </c>
      <c r="C934" s="1" t="n">
        <v>45933</v>
      </c>
      <c r="D934" t="inlineStr">
        <is>
          <t>UPPSALA LÄN</t>
        </is>
      </c>
      <c r="E934" t="inlineStr">
        <is>
          <t>UPPSALA</t>
        </is>
      </c>
      <c r="F934" t="inlineStr">
        <is>
          <t>BillerudKorsnäs AB</t>
        </is>
      </c>
      <c r="G934" t="n">
        <v>1.4</v>
      </c>
      <c r="H934" t="n">
        <v>0</v>
      </c>
      <c r="I934" t="n">
        <v>0</v>
      </c>
      <c r="J934" t="n">
        <v>0</v>
      </c>
      <c r="K934" t="n">
        <v>0</v>
      </c>
      <c r="L934" t="n">
        <v>0</v>
      </c>
      <c r="M934" t="n">
        <v>0</v>
      </c>
      <c r="N934" t="n">
        <v>0</v>
      </c>
      <c r="O934" t="n">
        <v>0</v>
      </c>
      <c r="P934" t="n">
        <v>0</v>
      </c>
      <c r="Q934" t="n">
        <v>0</v>
      </c>
      <c r="R934" s="2" t="inlineStr"/>
    </row>
    <row r="935" ht="15" customHeight="1">
      <c r="A935" t="inlineStr">
        <is>
          <t>A 25280-2023</t>
        </is>
      </c>
      <c r="B935" s="1" t="n">
        <v>45086.7037037037</v>
      </c>
      <c r="C935" s="1" t="n">
        <v>45933</v>
      </c>
      <c r="D935" t="inlineStr">
        <is>
          <t>UPPSALA LÄN</t>
        </is>
      </c>
      <c r="E935" t="inlineStr">
        <is>
          <t>UPPSALA</t>
        </is>
      </c>
      <c r="F935" t="inlineStr">
        <is>
          <t>Holmen skog AB</t>
        </is>
      </c>
      <c r="G935" t="n">
        <v>3.2</v>
      </c>
      <c r="H935" t="n">
        <v>0</v>
      </c>
      <c r="I935" t="n">
        <v>0</v>
      </c>
      <c r="J935" t="n">
        <v>0</v>
      </c>
      <c r="K935" t="n">
        <v>0</v>
      </c>
      <c r="L935" t="n">
        <v>0</v>
      </c>
      <c r="M935" t="n">
        <v>0</v>
      </c>
      <c r="N935" t="n">
        <v>0</v>
      </c>
      <c r="O935" t="n">
        <v>0</v>
      </c>
      <c r="P935" t="n">
        <v>0</v>
      </c>
      <c r="Q935" t="n">
        <v>0</v>
      </c>
      <c r="R935" s="2" t="inlineStr"/>
    </row>
    <row r="936" ht="15" customHeight="1">
      <c r="A936" t="inlineStr">
        <is>
          <t>A 15264-2025</t>
        </is>
      </c>
      <c r="B936" s="1" t="n">
        <v>45744</v>
      </c>
      <c r="C936" s="1" t="n">
        <v>45933</v>
      </c>
      <c r="D936" t="inlineStr">
        <is>
          <t>UPPSALA LÄN</t>
        </is>
      </c>
      <c r="E936" t="inlineStr">
        <is>
          <t>UPPSALA</t>
        </is>
      </c>
      <c r="G936" t="n">
        <v>3.5</v>
      </c>
      <c r="H936" t="n">
        <v>0</v>
      </c>
      <c r="I936" t="n">
        <v>0</v>
      </c>
      <c r="J936" t="n">
        <v>0</v>
      </c>
      <c r="K936" t="n">
        <v>0</v>
      </c>
      <c r="L936" t="n">
        <v>0</v>
      </c>
      <c r="M936" t="n">
        <v>0</v>
      </c>
      <c r="N936" t="n">
        <v>0</v>
      </c>
      <c r="O936" t="n">
        <v>0</v>
      </c>
      <c r="P936" t="n">
        <v>0</v>
      </c>
      <c r="Q936" t="n">
        <v>0</v>
      </c>
      <c r="R936" s="2" t="inlineStr"/>
    </row>
    <row r="937" ht="15" customHeight="1">
      <c r="A937" t="inlineStr">
        <is>
          <t>A 6628-2024</t>
        </is>
      </c>
      <c r="B937" s="1" t="n">
        <v>45341</v>
      </c>
      <c r="C937" s="1" t="n">
        <v>45933</v>
      </c>
      <c r="D937" t="inlineStr">
        <is>
          <t>UPPSALA LÄN</t>
        </is>
      </c>
      <c r="E937" t="inlineStr">
        <is>
          <t>UPPSALA</t>
        </is>
      </c>
      <c r="G937" t="n">
        <v>4.3</v>
      </c>
      <c r="H937" t="n">
        <v>0</v>
      </c>
      <c r="I937" t="n">
        <v>0</v>
      </c>
      <c r="J937" t="n">
        <v>0</v>
      </c>
      <c r="K937" t="n">
        <v>0</v>
      </c>
      <c r="L937" t="n">
        <v>0</v>
      </c>
      <c r="M937" t="n">
        <v>0</v>
      </c>
      <c r="N937" t="n">
        <v>0</v>
      </c>
      <c r="O937" t="n">
        <v>0</v>
      </c>
      <c r="P937" t="n">
        <v>0</v>
      </c>
      <c r="Q937" t="n">
        <v>0</v>
      </c>
      <c r="R937" s="2" t="inlineStr"/>
    </row>
    <row r="938" ht="15" customHeight="1">
      <c r="A938" t="inlineStr">
        <is>
          <t>A 52197-2024</t>
        </is>
      </c>
      <c r="B938" s="1" t="n">
        <v>45608</v>
      </c>
      <c r="C938" s="1" t="n">
        <v>45933</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c r="A939" t="inlineStr">
        <is>
          <t>A 25513-2025</t>
        </is>
      </c>
      <c r="B939" s="1" t="n">
        <v>45803.36384259259</v>
      </c>
      <c r="C939" s="1" t="n">
        <v>45933</v>
      </c>
      <c r="D939" t="inlineStr">
        <is>
          <t>UPPSALA LÄN</t>
        </is>
      </c>
      <c r="E939" t="inlineStr">
        <is>
          <t>UPPSALA</t>
        </is>
      </c>
      <c r="F939" t="inlineStr">
        <is>
          <t>Bergvik skog öst AB</t>
        </is>
      </c>
      <c r="G939" t="n">
        <v>8.9</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2025-10-03T12:33:46Z</dcterms:created>
  <dcterms:modified xmlns:dcterms="http://purl.org/dc/terms/" xmlns:xsi="http://www.w3.org/2001/XMLSchema-instance" xsi:type="dcterms:W3CDTF">2025-10-03T12:33:47Z</dcterms:modified>
</cp:coreProperties>
</file>