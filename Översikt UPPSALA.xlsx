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45719</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45719</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45719</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45719</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45719</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45719</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45719</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45719</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45719</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45719</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45719</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45719</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45719</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45719</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45719</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45719</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45719</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45719</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45719</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45719</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45719</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45719</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45719</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45719</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45719</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45719</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45719</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45719</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45719</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45719</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45719</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45719</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45719</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45719</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45719</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45719</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45719</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45719</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45719</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45719</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45719</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45719</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45719</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45719</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45719</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45719</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45719</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45719</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45719</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45719</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45719</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45719</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45719</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45719</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45719</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45719</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45719</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45719</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45719</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45719</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45719</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45719</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45719</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45719</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45719</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45719</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45719</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45719</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45719</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45719</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45719</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45719</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45719</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45719</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45719</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45719</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45719</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45719</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45719</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45719</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45719</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45719</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45719</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45719</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45719</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45719</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45719</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45719</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45719</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45719</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45719</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45719</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45719</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45719</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45719</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45719</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45719</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45719</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45719</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45719</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45719</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45719</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45719</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45719</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45719</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45719</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45719</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45719</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45719</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45719</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45719</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45719</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45719</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45719</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45719</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45719</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45719</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45719</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45719</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45719</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45719</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45719</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45719</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45719</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45719</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45719</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45719</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45719</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45719</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45719</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45719</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45719</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45719</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45719</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45719</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45719</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45719</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45719</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45719</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45719</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45719</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45719</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45719</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45719</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45719</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45719</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45719</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45719</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45719</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45719</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45719</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45719</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45719</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45719</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45719</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45719</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45719</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45719</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45719</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45719</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45719</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45719</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45719</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45719</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45719</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45719</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45719</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45719</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45719</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45719</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45719</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45719</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45719</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45719</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45719</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5732-2025</t>
        </is>
      </c>
      <c r="B196" s="1" t="n">
        <v>45694</v>
      </c>
      <c r="C196" s="1" t="n">
        <v>45719</v>
      </c>
      <c r="D196" t="inlineStr">
        <is>
          <t>UPPSALA LÄN</t>
        </is>
      </c>
      <c r="E196" t="inlineStr">
        <is>
          <t>UPPSALA</t>
        </is>
      </c>
      <c r="G196" t="n">
        <v>1.9</v>
      </c>
      <c r="H196" t="n">
        <v>0</v>
      </c>
      <c r="I196" t="n">
        <v>1</v>
      </c>
      <c r="J196" t="n">
        <v>0</v>
      </c>
      <c r="K196" t="n">
        <v>0</v>
      </c>
      <c r="L196" t="n">
        <v>0</v>
      </c>
      <c r="M196" t="n">
        <v>0</v>
      </c>
      <c r="N196" t="n">
        <v>0</v>
      </c>
      <c r="O196" t="n">
        <v>0</v>
      </c>
      <c r="P196" t="n">
        <v>0</v>
      </c>
      <c r="Q196" t="n">
        <v>1</v>
      </c>
      <c r="R196" s="2" t="inlineStr">
        <is>
          <t>Fällmossa</t>
        </is>
      </c>
      <c r="S196">
        <f>HYPERLINK("https://klasma.github.io/Logging_0380/artfynd/A 5732-2025 artfynd.xlsx", "A 5732-2025")</f>
        <v/>
      </c>
      <c r="T196">
        <f>HYPERLINK("https://klasma.github.io/Logging_0380/kartor/A 5732-2025 karta.png", "A 5732-2025")</f>
        <v/>
      </c>
      <c r="V196">
        <f>HYPERLINK("https://klasma.github.io/Logging_0380/klagomål/A 5732-2025 FSC-klagomål.docx", "A 5732-2025")</f>
        <v/>
      </c>
      <c r="W196">
        <f>HYPERLINK("https://klasma.github.io/Logging_0380/klagomålsmail/A 5732-2025 FSC-klagomål mail.docx", "A 5732-2025")</f>
        <v/>
      </c>
      <c r="X196">
        <f>HYPERLINK("https://klasma.github.io/Logging_0380/tillsyn/A 5732-2025 tillsynsbegäran.docx", "A 5732-2025")</f>
        <v/>
      </c>
      <c r="Y196">
        <f>HYPERLINK("https://klasma.github.io/Logging_0380/tillsynsmail/A 5732-2025 tillsynsbegäran mail.docx", "A 5732-2025")</f>
        <v/>
      </c>
    </row>
    <row r="197" ht="15" customHeight="1">
      <c r="A197" t="inlineStr">
        <is>
          <t>A 17828-2019</t>
        </is>
      </c>
      <c r="B197" s="1" t="n">
        <v>43556</v>
      </c>
      <c r="C197" s="1" t="n">
        <v>45719</v>
      </c>
      <c r="D197" t="inlineStr">
        <is>
          <t>UPPSALA LÄN</t>
        </is>
      </c>
      <c r="E197" t="inlineStr">
        <is>
          <t>UPPSALA</t>
        </is>
      </c>
      <c r="G197" t="n">
        <v>2.8</v>
      </c>
      <c r="H197" t="n">
        <v>0</v>
      </c>
      <c r="I197" t="n">
        <v>0</v>
      </c>
      <c r="J197" t="n">
        <v>0</v>
      </c>
      <c r="K197" t="n">
        <v>0</v>
      </c>
      <c r="L197" t="n">
        <v>0</v>
      </c>
      <c r="M197" t="n">
        <v>0</v>
      </c>
      <c r="N197" t="n">
        <v>0</v>
      </c>
      <c r="O197" t="n">
        <v>0</v>
      </c>
      <c r="P197" t="n">
        <v>0</v>
      </c>
      <c r="Q197" t="n">
        <v>0</v>
      </c>
      <c r="R197" s="2" t="inlineStr"/>
    </row>
    <row r="198" ht="15" customHeight="1">
      <c r="A198" t="inlineStr">
        <is>
          <t>A 18446-2019</t>
        </is>
      </c>
      <c r="B198" s="1" t="n">
        <v>43559</v>
      </c>
      <c r="C198" s="1" t="n">
        <v>45719</v>
      </c>
      <c r="D198" t="inlineStr">
        <is>
          <t>UPPSALA LÄN</t>
        </is>
      </c>
      <c r="E198" t="inlineStr">
        <is>
          <t>UPPSALA</t>
        </is>
      </c>
      <c r="G198" t="n">
        <v>9.1</v>
      </c>
      <c r="H198" t="n">
        <v>0</v>
      </c>
      <c r="I198" t="n">
        <v>0</v>
      </c>
      <c r="J198" t="n">
        <v>0</v>
      </c>
      <c r="K198" t="n">
        <v>0</v>
      </c>
      <c r="L198" t="n">
        <v>0</v>
      </c>
      <c r="M198" t="n">
        <v>0</v>
      </c>
      <c r="N198" t="n">
        <v>0</v>
      </c>
      <c r="O198" t="n">
        <v>0</v>
      </c>
      <c r="P198" t="n">
        <v>0</v>
      </c>
      <c r="Q198" t="n">
        <v>0</v>
      </c>
      <c r="R198" s="2" t="inlineStr"/>
    </row>
    <row r="199" ht="15" customHeight="1">
      <c r="A199" t="inlineStr">
        <is>
          <t>A 18554-2019</t>
        </is>
      </c>
      <c r="B199" s="1" t="n">
        <v>43559</v>
      </c>
      <c r="C199" s="1" t="n">
        <v>45719</v>
      </c>
      <c r="D199" t="inlineStr">
        <is>
          <t>UPPSALA LÄN</t>
        </is>
      </c>
      <c r="E199" t="inlineStr">
        <is>
          <t>UPPSALA</t>
        </is>
      </c>
      <c r="G199" t="n">
        <v>5.6</v>
      </c>
      <c r="H199" t="n">
        <v>0</v>
      </c>
      <c r="I199" t="n">
        <v>0</v>
      </c>
      <c r="J199" t="n">
        <v>0</v>
      </c>
      <c r="K199" t="n">
        <v>0</v>
      </c>
      <c r="L199" t="n">
        <v>0</v>
      </c>
      <c r="M199" t="n">
        <v>0</v>
      </c>
      <c r="N199" t="n">
        <v>0</v>
      </c>
      <c r="O199" t="n">
        <v>0</v>
      </c>
      <c r="P199" t="n">
        <v>0</v>
      </c>
      <c r="Q199" t="n">
        <v>0</v>
      </c>
      <c r="R199" s="2" t="inlineStr"/>
    </row>
    <row r="200" ht="15" customHeight="1">
      <c r="A200" t="inlineStr">
        <is>
          <t>A 18810-2019</t>
        </is>
      </c>
      <c r="B200" s="1" t="n">
        <v>43560</v>
      </c>
      <c r="C200" s="1" t="n">
        <v>45719</v>
      </c>
      <c r="D200" t="inlineStr">
        <is>
          <t>UPPSALA LÄN</t>
        </is>
      </c>
      <c r="E200" t="inlineStr">
        <is>
          <t>UPPSALA</t>
        </is>
      </c>
      <c r="G200" t="n">
        <v>4</v>
      </c>
      <c r="H200" t="n">
        <v>0</v>
      </c>
      <c r="I200" t="n">
        <v>0</v>
      </c>
      <c r="J200" t="n">
        <v>0</v>
      </c>
      <c r="K200" t="n">
        <v>0</v>
      </c>
      <c r="L200" t="n">
        <v>0</v>
      </c>
      <c r="M200" t="n">
        <v>0</v>
      </c>
      <c r="N200" t="n">
        <v>0</v>
      </c>
      <c r="O200" t="n">
        <v>0</v>
      </c>
      <c r="P200" t="n">
        <v>0</v>
      </c>
      <c r="Q200" t="n">
        <v>0</v>
      </c>
      <c r="R200" s="2" t="inlineStr"/>
    </row>
    <row r="201" ht="15" customHeight="1">
      <c r="A201" t="inlineStr">
        <is>
          <t>A 20011-2019</t>
        </is>
      </c>
      <c r="B201" s="1" t="n">
        <v>43570</v>
      </c>
      <c r="C201" s="1" t="n">
        <v>45719</v>
      </c>
      <c r="D201" t="inlineStr">
        <is>
          <t>UPPSALA LÄN</t>
        </is>
      </c>
      <c r="E201" t="inlineStr">
        <is>
          <t>UPPSALA</t>
        </is>
      </c>
      <c r="G201" t="n">
        <v>6.3</v>
      </c>
      <c r="H201" t="n">
        <v>0</v>
      </c>
      <c r="I201" t="n">
        <v>0</v>
      </c>
      <c r="J201" t="n">
        <v>0</v>
      </c>
      <c r="K201" t="n">
        <v>0</v>
      </c>
      <c r="L201" t="n">
        <v>0</v>
      </c>
      <c r="M201" t="n">
        <v>0</v>
      </c>
      <c r="N201" t="n">
        <v>0</v>
      </c>
      <c r="O201" t="n">
        <v>0</v>
      </c>
      <c r="P201" t="n">
        <v>0</v>
      </c>
      <c r="Q201" t="n">
        <v>0</v>
      </c>
      <c r="R201" s="2" t="inlineStr"/>
    </row>
    <row r="202" ht="15" customHeight="1">
      <c r="A202" t="inlineStr">
        <is>
          <t>A 21087-2019</t>
        </is>
      </c>
      <c r="B202" s="1" t="n">
        <v>43578</v>
      </c>
      <c r="C202" s="1" t="n">
        <v>45719</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21082-2019</t>
        </is>
      </c>
      <c r="B203" s="1" t="n">
        <v>43578</v>
      </c>
      <c r="C203" s="1" t="n">
        <v>45719</v>
      </c>
      <c r="D203" t="inlineStr">
        <is>
          <t>UPPSALA LÄN</t>
        </is>
      </c>
      <c r="E203" t="inlineStr">
        <is>
          <t>UPPSALA</t>
        </is>
      </c>
      <c r="G203" t="n">
        <v>0.5</v>
      </c>
      <c r="H203" t="n">
        <v>0</v>
      </c>
      <c r="I203" t="n">
        <v>0</v>
      </c>
      <c r="J203" t="n">
        <v>0</v>
      </c>
      <c r="K203" t="n">
        <v>0</v>
      </c>
      <c r="L203" t="n">
        <v>0</v>
      </c>
      <c r="M203" t="n">
        <v>0</v>
      </c>
      <c r="N203" t="n">
        <v>0</v>
      </c>
      <c r="O203" t="n">
        <v>0</v>
      </c>
      <c r="P203" t="n">
        <v>0</v>
      </c>
      <c r="Q203" t="n">
        <v>0</v>
      </c>
      <c r="R203" s="2" t="inlineStr"/>
    </row>
    <row r="204" ht="15" customHeight="1">
      <c r="A204" t="inlineStr">
        <is>
          <t>A 22153-2019</t>
        </is>
      </c>
      <c r="B204" s="1" t="n">
        <v>43585</v>
      </c>
      <c r="C204" s="1" t="n">
        <v>45719</v>
      </c>
      <c r="D204" t="inlineStr">
        <is>
          <t>UPPSALA LÄN</t>
        </is>
      </c>
      <c r="E204" t="inlineStr">
        <is>
          <t>UPPSALA</t>
        </is>
      </c>
      <c r="F204" t="inlineStr">
        <is>
          <t>Holmen skog AB</t>
        </is>
      </c>
      <c r="G204" t="n">
        <v>0.7</v>
      </c>
      <c r="H204" t="n">
        <v>0</v>
      </c>
      <c r="I204" t="n">
        <v>0</v>
      </c>
      <c r="J204" t="n">
        <v>0</v>
      </c>
      <c r="K204" t="n">
        <v>0</v>
      </c>
      <c r="L204" t="n">
        <v>0</v>
      </c>
      <c r="M204" t="n">
        <v>0</v>
      </c>
      <c r="N204" t="n">
        <v>0</v>
      </c>
      <c r="O204" t="n">
        <v>0</v>
      </c>
      <c r="P204" t="n">
        <v>0</v>
      </c>
      <c r="Q204" t="n">
        <v>0</v>
      </c>
      <c r="R204" s="2" t="inlineStr"/>
    </row>
    <row r="205" ht="15" customHeight="1">
      <c r="A205" t="inlineStr">
        <is>
          <t>A 23042-2019</t>
        </is>
      </c>
      <c r="B205" s="1" t="n">
        <v>43591</v>
      </c>
      <c r="C205" s="1" t="n">
        <v>45719</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23262-2019</t>
        </is>
      </c>
      <c r="B206" s="1" t="n">
        <v>43592</v>
      </c>
      <c r="C206" s="1" t="n">
        <v>45719</v>
      </c>
      <c r="D206" t="inlineStr">
        <is>
          <t>UPPSALA LÄN</t>
        </is>
      </c>
      <c r="E206" t="inlineStr">
        <is>
          <t>UPPSALA</t>
        </is>
      </c>
      <c r="F206" t="inlineStr">
        <is>
          <t>Kyrkan</t>
        </is>
      </c>
      <c r="G206" t="n">
        <v>7.6</v>
      </c>
      <c r="H206" t="n">
        <v>0</v>
      </c>
      <c r="I206" t="n">
        <v>0</v>
      </c>
      <c r="J206" t="n">
        <v>0</v>
      </c>
      <c r="K206" t="n">
        <v>0</v>
      </c>
      <c r="L206" t="n">
        <v>0</v>
      </c>
      <c r="M206" t="n">
        <v>0</v>
      </c>
      <c r="N206" t="n">
        <v>0</v>
      </c>
      <c r="O206" t="n">
        <v>0</v>
      </c>
      <c r="P206" t="n">
        <v>0</v>
      </c>
      <c r="Q206" t="n">
        <v>0</v>
      </c>
      <c r="R206" s="2" t="inlineStr"/>
    </row>
    <row r="207" ht="15" customHeight="1">
      <c r="A207" t="inlineStr">
        <is>
          <t>A 24998-2019</t>
        </is>
      </c>
      <c r="B207" s="1" t="n">
        <v>43600</v>
      </c>
      <c r="C207" s="1" t="n">
        <v>45719</v>
      </c>
      <c r="D207" t="inlineStr">
        <is>
          <t>UPPSALA LÄN</t>
        </is>
      </c>
      <c r="E207" t="inlineStr">
        <is>
          <t>UPPSALA</t>
        </is>
      </c>
      <c r="G207" t="n">
        <v>0.9</v>
      </c>
      <c r="H207" t="n">
        <v>0</v>
      </c>
      <c r="I207" t="n">
        <v>0</v>
      </c>
      <c r="J207" t="n">
        <v>0</v>
      </c>
      <c r="K207" t="n">
        <v>0</v>
      </c>
      <c r="L207" t="n">
        <v>0</v>
      </c>
      <c r="M207" t="n">
        <v>0</v>
      </c>
      <c r="N207" t="n">
        <v>0</v>
      </c>
      <c r="O207" t="n">
        <v>0</v>
      </c>
      <c r="P207" t="n">
        <v>0</v>
      </c>
      <c r="Q207" t="n">
        <v>0</v>
      </c>
      <c r="R207" s="2" t="inlineStr"/>
    </row>
    <row r="208" ht="15" customHeight="1">
      <c r="A208" t="inlineStr">
        <is>
          <t>A 25164-2019</t>
        </is>
      </c>
      <c r="B208" s="1" t="n">
        <v>43605</v>
      </c>
      <c r="C208" s="1" t="n">
        <v>45719</v>
      </c>
      <c r="D208" t="inlineStr">
        <is>
          <t>UPPSALA LÄN</t>
        </is>
      </c>
      <c r="E208" t="inlineStr">
        <is>
          <t>UPPSALA</t>
        </is>
      </c>
      <c r="G208" t="n">
        <v>1.6</v>
      </c>
      <c r="H208" t="n">
        <v>0</v>
      </c>
      <c r="I208" t="n">
        <v>0</v>
      </c>
      <c r="J208" t="n">
        <v>0</v>
      </c>
      <c r="K208" t="n">
        <v>0</v>
      </c>
      <c r="L208" t="n">
        <v>0</v>
      </c>
      <c r="M208" t="n">
        <v>0</v>
      </c>
      <c r="N208" t="n">
        <v>0</v>
      </c>
      <c r="O208" t="n">
        <v>0</v>
      </c>
      <c r="P208" t="n">
        <v>0</v>
      </c>
      <c r="Q208" t="n">
        <v>0</v>
      </c>
      <c r="R208" s="2" t="inlineStr"/>
    </row>
    <row r="209" ht="15" customHeight="1">
      <c r="A209" t="inlineStr">
        <is>
          <t>A 25157-2019</t>
        </is>
      </c>
      <c r="B209" s="1" t="n">
        <v>43605</v>
      </c>
      <c r="C209" s="1" t="n">
        <v>45719</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25667-2019</t>
        </is>
      </c>
      <c r="B210" s="1" t="n">
        <v>43607</v>
      </c>
      <c r="C210" s="1" t="n">
        <v>45719</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29105-2019</t>
        </is>
      </c>
      <c r="B211" s="1" t="n">
        <v>43628</v>
      </c>
      <c r="C211" s="1" t="n">
        <v>45719</v>
      </c>
      <c r="D211" t="inlineStr">
        <is>
          <t>UPPSALA LÄN</t>
        </is>
      </c>
      <c r="E211" t="inlineStr">
        <is>
          <t>UPPSALA</t>
        </is>
      </c>
      <c r="G211" t="n">
        <v>2.1</v>
      </c>
      <c r="H211" t="n">
        <v>0</v>
      </c>
      <c r="I211" t="n">
        <v>0</v>
      </c>
      <c r="J211" t="n">
        <v>0</v>
      </c>
      <c r="K211" t="n">
        <v>0</v>
      </c>
      <c r="L211" t="n">
        <v>0</v>
      </c>
      <c r="M211" t="n">
        <v>0</v>
      </c>
      <c r="N211" t="n">
        <v>0</v>
      </c>
      <c r="O211" t="n">
        <v>0</v>
      </c>
      <c r="P211" t="n">
        <v>0</v>
      </c>
      <c r="Q211" t="n">
        <v>0</v>
      </c>
      <c r="R211" s="2" t="inlineStr"/>
    </row>
    <row r="212" ht="15" customHeight="1">
      <c r="A212" t="inlineStr">
        <is>
          <t>A 29183-2019</t>
        </is>
      </c>
      <c r="B212" s="1" t="n">
        <v>43628</v>
      </c>
      <c r="C212" s="1" t="n">
        <v>45719</v>
      </c>
      <c r="D212" t="inlineStr">
        <is>
          <t>UPPSALA LÄN</t>
        </is>
      </c>
      <c r="E212" t="inlineStr">
        <is>
          <t>UPPSALA</t>
        </is>
      </c>
      <c r="F212" t="inlineStr">
        <is>
          <t>Allmännings- och besparingsskogar</t>
        </is>
      </c>
      <c r="G212" t="n">
        <v>6.3</v>
      </c>
      <c r="H212" t="n">
        <v>0</v>
      </c>
      <c r="I212" t="n">
        <v>0</v>
      </c>
      <c r="J212" t="n">
        <v>0</v>
      </c>
      <c r="K212" t="n">
        <v>0</v>
      </c>
      <c r="L212" t="n">
        <v>0</v>
      </c>
      <c r="M212" t="n">
        <v>0</v>
      </c>
      <c r="N212" t="n">
        <v>0</v>
      </c>
      <c r="O212" t="n">
        <v>0</v>
      </c>
      <c r="P212" t="n">
        <v>0</v>
      </c>
      <c r="Q212" t="n">
        <v>0</v>
      </c>
      <c r="R212" s="2" t="inlineStr"/>
    </row>
    <row r="213" ht="15" customHeight="1">
      <c r="A213" t="inlineStr">
        <is>
          <t>A 29081-2019</t>
        </is>
      </c>
      <c r="B213" s="1" t="n">
        <v>43628</v>
      </c>
      <c r="C213" s="1" t="n">
        <v>45719</v>
      </c>
      <c r="D213" t="inlineStr">
        <is>
          <t>UPPSALA LÄN</t>
        </is>
      </c>
      <c r="E213" t="inlineStr">
        <is>
          <t>UPPSALA</t>
        </is>
      </c>
      <c r="G213" t="n">
        <v>8.4</v>
      </c>
      <c r="H213" t="n">
        <v>0</v>
      </c>
      <c r="I213" t="n">
        <v>0</v>
      </c>
      <c r="J213" t="n">
        <v>0</v>
      </c>
      <c r="K213" t="n">
        <v>0</v>
      </c>
      <c r="L213" t="n">
        <v>0</v>
      </c>
      <c r="M213" t="n">
        <v>0</v>
      </c>
      <c r="N213" t="n">
        <v>0</v>
      </c>
      <c r="O213" t="n">
        <v>0</v>
      </c>
      <c r="P213" t="n">
        <v>0</v>
      </c>
      <c r="Q213" t="n">
        <v>0</v>
      </c>
      <c r="R213" s="2" t="inlineStr"/>
    </row>
    <row r="214" ht="15" customHeight="1">
      <c r="A214" t="inlineStr">
        <is>
          <t>A 29719-2019</t>
        </is>
      </c>
      <c r="B214" s="1" t="n">
        <v>43630</v>
      </c>
      <c r="C214" s="1" t="n">
        <v>45719</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29713-2019</t>
        </is>
      </c>
      <c r="B215" s="1" t="n">
        <v>43630</v>
      </c>
      <c r="C215" s="1" t="n">
        <v>45719</v>
      </c>
      <c r="D215" t="inlineStr">
        <is>
          <t>UPPSALA LÄN</t>
        </is>
      </c>
      <c r="E215" t="inlineStr">
        <is>
          <t>UPPSALA</t>
        </is>
      </c>
      <c r="G215" t="n">
        <v>1</v>
      </c>
      <c r="H215" t="n">
        <v>0</v>
      </c>
      <c r="I215" t="n">
        <v>0</v>
      </c>
      <c r="J215" t="n">
        <v>0</v>
      </c>
      <c r="K215" t="n">
        <v>0</v>
      </c>
      <c r="L215" t="n">
        <v>0</v>
      </c>
      <c r="M215" t="n">
        <v>0</v>
      </c>
      <c r="N215" t="n">
        <v>0</v>
      </c>
      <c r="O215" t="n">
        <v>0</v>
      </c>
      <c r="P215" t="n">
        <v>0</v>
      </c>
      <c r="Q215" t="n">
        <v>0</v>
      </c>
      <c r="R215" s="2" t="inlineStr"/>
    </row>
    <row r="216" ht="15" customHeight="1">
      <c r="A216" t="inlineStr">
        <is>
          <t>A 32558-2019</t>
        </is>
      </c>
      <c r="B216" s="1" t="n">
        <v>43647</v>
      </c>
      <c r="C216" s="1" t="n">
        <v>45719</v>
      </c>
      <c r="D216" t="inlineStr">
        <is>
          <t>UPPSALA LÄN</t>
        </is>
      </c>
      <c r="E216" t="inlineStr">
        <is>
          <t>UPPSALA</t>
        </is>
      </c>
      <c r="G216" t="n">
        <v>4.2</v>
      </c>
      <c r="H216" t="n">
        <v>0</v>
      </c>
      <c r="I216" t="n">
        <v>0</v>
      </c>
      <c r="J216" t="n">
        <v>0</v>
      </c>
      <c r="K216" t="n">
        <v>0</v>
      </c>
      <c r="L216" t="n">
        <v>0</v>
      </c>
      <c r="M216" t="n">
        <v>0</v>
      </c>
      <c r="N216" t="n">
        <v>0</v>
      </c>
      <c r="O216" t="n">
        <v>0</v>
      </c>
      <c r="P216" t="n">
        <v>0</v>
      </c>
      <c r="Q216" t="n">
        <v>0</v>
      </c>
      <c r="R216" s="2" t="inlineStr"/>
    </row>
    <row r="217" ht="15" customHeight="1">
      <c r="A217" t="inlineStr">
        <is>
          <t>A 34560-2019</t>
        </is>
      </c>
      <c r="B217" s="1" t="n">
        <v>43647</v>
      </c>
      <c r="C217" s="1" t="n">
        <v>45719</v>
      </c>
      <c r="D217" t="inlineStr">
        <is>
          <t>UPPSALA LÄN</t>
        </is>
      </c>
      <c r="E217" t="inlineStr">
        <is>
          <t>UPPSALA</t>
        </is>
      </c>
      <c r="G217" t="n">
        <v>8.6</v>
      </c>
      <c r="H217" t="n">
        <v>0</v>
      </c>
      <c r="I217" t="n">
        <v>0</v>
      </c>
      <c r="J217" t="n">
        <v>0</v>
      </c>
      <c r="K217" t="n">
        <v>0</v>
      </c>
      <c r="L217" t="n">
        <v>0</v>
      </c>
      <c r="M217" t="n">
        <v>0</v>
      </c>
      <c r="N217" t="n">
        <v>0</v>
      </c>
      <c r="O217" t="n">
        <v>0</v>
      </c>
      <c r="P217" t="n">
        <v>0</v>
      </c>
      <c r="Q217" t="n">
        <v>0</v>
      </c>
      <c r="R217" s="2" t="inlineStr"/>
    </row>
    <row r="218" ht="15" customHeight="1">
      <c r="A218" t="inlineStr">
        <is>
          <t>A 32830-2019</t>
        </is>
      </c>
      <c r="B218" s="1" t="n">
        <v>43648</v>
      </c>
      <c r="C218" s="1" t="n">
        <v>45719</v>
      </c>
      <c r="D218" t="inlineStr">
        <is>
          <t>UPPSALA LÄN</t>
        </is>
      </c>
      <c r="E218" t="inlineStr">
        <is>
          <t>UPPSALA</t>
        </is>
      </c>
      <c r="G218" t="n">
        <v>13.6</v>
      </c>
      <c r="H218" t="n">
        <v>0</v>
      </c>
      <c r="I218" t="n">
        <v>0</v>
      </c>
      <c r="J218" t="n">
        <v>0</v>
      </c>
      <c r="K218" t="n">
        <v>0</v>
      </c>
      <c r="L218" t="n">
        <v>0</v>
      </c>
      <c r="M218" t="n">
        <v>0</v>
      </c>
      <c r="N218" t="n">
        <v>0</v>
      </c>
      <c r="O218" t="n">
        <v>0</v>
      </c>
      <c r="P218" t="n">
        <v>0</v>
      </c>
      <c r="Q218" t="n">
        <v>0</v>
      </c>
      <c r="R218" s="2" t="inlineStr"/>
    </row>
    <row r="219" ht="15" customHeight="1">
      <c r="A219" t="inlineStr">
        <is>
          <t>A 33602-2019</t>
        </is>
      </c>
      <c r="B219" s="1" t="n">
        <v>43651</v>
      </c>
      <c r="C219" s="1" t="n">
        <v>45719</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33614-2019</t>
        </is>
      </c>
      <c r="B220" s="1" t="n">
        <v>43651</v>
      </c>
      <c r="C220" s="1" t="n">
        <v>45719</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33615-2019</t>
        </is>
      </c>
      <c r="B221" s="1" t="n">
        <v>43651</v>
      </c>
      <c r="C221" s="1" t="n">
        <v>45719</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33596-2019</t>
        </is>
      </c>
      <c r="B222" s="1" t="n">
        <v>43651</v>
      </c>
      <c r="C222" s="1" t="n">
        <v>45719</v>
      </c>
      <c r="D222" t="inlineStr">
        <is>
          <t>UPPSALA LÄN</t>
        </is>
      </c>
      <c r="E222" t="inlineStr">
        <is>
          <t>UPPSALA</t>
        </is>
      </c>
      <c r="G222" t="n">
        <v>1.3</v>
      </c>
      <c r="H222" t="n">
        <v>0</v>
      </c>
      <c r="I222" t="n">
        <v>0</v>
      </c>
      <c r="J222" t="n">
        <v>0</v>
      </c>
      <c r="K222" t="n">
        <v>0</v>
      </c>
      <c r="L222" t="n">
        <v>0</v>
      </c>
      <c r="M222" t="n">
        <v>0</v>
      </c>
      <c r="N222" t="n">
        <v>0</v>
      </c>
      <c r="O222" t="n">
        <v>0</v>
      </c>
      <c r="P222" t="n">
        <v>0</v>
      </c>
      <c r="Q222" t="n">
        <v>0</v>
      </c>
      <c r="R222" s="2" t="inlineStr"/>
    </row>
    <row r="223" ht="15" customHeight="1">
      <c r="A223" t="inlineStr">
        <is>
          <t>A 34007-2019</t>
        </is>
      </c>
      <c r="B223" s="1" t="n">
        <v>43654</v>
      </c>
      <c r="C223" s="1" t="n">
        <v>45719</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34063-2019</t>
        </is>
      </c>
      <c r="B224" s="1" t="n">
        <v>43654</v>
      </c>
      <c r="C224" s="1" t="n">
        <v>45719</v>
      </c>
      <c r="D224" t="inlineStr">
        <is>
          <t>UPPSALA LÄN</t>
        </is>
      </c>
      <c r="E224" t="inlineStr">
        <is>
          <t>UPPSALA</t>
        </is>
      </c>
      <c r="G224" t="n">
        <v>1.5</v>
      </c>
      <c r="H224" t="n">
        <v>0</v>
      </c>
      <c r="I224" t="n">
        <v>0</v>
      </c>
      <c r="J224" t="n">
        <v>0</v>
      </c>
      <c r="K224" t="n">
        <v>0</v>
      </c>
      <c r="L224" t="n">
        <v>0</v>
      </c>
      <c r="M224" t="n">
        <v>0</v>
      </c>
      <c r="N224" t="n">
        <v>0</v>
      </c>
      <c r="O224" t="n">
        <v>0</v>
      </c>
      <c r="P224" t="n">
        <v>0</v>
      </c>
      <c r="Q224" t="n">
        <v>0</v>
      </c>
      <c r="R224" s="2" t="inlineStr"/>
    </row>
    <row r="225" ht="15" customHeight="1">
      <c r="A225" t="inlineStr">
        <is>
          <t>A 34331-2019</t>
        </is>
      </c>
      <c r="B225" s="1" t="n">
        <v>43656</v>
      </c>
      <c r="C225" s="1" t="n">
        <v>45719</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36345-2019</t>
        </is>
      </c>
      <c r="B226" s="1" t="n">
        <v>43661</v>
      </c>
      <c r="C226" s="1" t="n">
        <v>45719</v>
      </c>
      <c r="D226" t="inlineStr">
        <is>
          <t>UPPSALA LÄN</t>
        </is>
      </c>
      <c r="E226" t="inlineStr">
        <is>
          <t>UPPSALA</t>
        </is>
      </c>
      <c r="G226" t="n">
        <v>5.3</v>
      </c>
      <c r="H226" t="n">
        <v>0</v>
      </c>
      <c r="I226" t="n">
        <v>0</v>
      </c>
      <c r="J226" t="n">
        <v>0</v>
      </c>
      <c r="K226" t="n">
        <v>0</v>
      </c>
      <c r="L226" t="n">
        <v>0</v>
      </c>
      <c r="M226" t="n">
        <v>0</v>
      </c>
      <c r="N226" t="n">
        <v>0</v>
      </c>
      <c r="O226" t="n">
        <v>0</v>
      </c>
      <c r="P226" t="n">
        <v>0</v>
      </c>
      <c r="Q226" t="n">
        <v>0</v>
      </c>
      <c r="R226" s="2" t="inlineStr"/>
    </row>
    <row r="227" ht="15" customHeight="1">
      <c r="A227" t="inlineStr">
        <is>
          <t>A 36394-2019</t>
        </is>
      </c>
      <c r="B227" s="1" t="n">
        <v>43663</v>
      </c>
      <c r="C227" s="1" t="n">
        <v>45719</v>
      </c>
      <c r="D227" t="inlineStr">
        <is>
          <t>UPPSALA LÄN</t>
        </is>
      </c>
      <c r="E227" t="inlineStr">
        <is>
          <t>UPPSALA</t>
        </is>
      </c>
      <c r="G227" t="n">
        <v>2.4</v>
      </c>
      <c r="H227" t="n">
        <v>0</v>
      </c>
      <c r="I227" t="n">
        <v>0</v>
      </c>
      <c r="J227" t="n">
        <v>0</v>
      </c>
      <c r="K227" t="n">
        <v>0</v>
      </c>
      <c r="L227" t="n">
        <v>0</v>
      </c>
      <c r="M227" t="n">
        <v>0</v>
      </c>
      <c r="N227" t="n">
        <v>0</v>
      </c>
      <c r="O227" t="n">
        <v>0</v>
      </c>
      <c r="P227" t="n">
        <v>0</v>
      </c>
      <c r="Q227" t="n">
        <v>0</v>
      </c>
      <c r="R227" s="2" t="inlineStr"/>
    </row>
    <row r="228" ht="15" customHeight="1">
      <c r="A228" t="inlineStr">
        <is>
          <t>A 37234-2019</t>
        </is>
      </c>
      <c r="B228" s="1" t="n">
        <v>43677</v>
      </c>
      <c r="C228" s="1" t="n">
        <v>45719</v>
      </c>
      <c r="D228" t="inlineStr">
        <is>
          <t>UPPSALA LÄN</t>
        </is>
      </c>
      <c r="E228" t="inlineStr">
        <is>
          <t>UPPSALA</t>
        </is>
      </c>
      <c r="G228" t="n">
        <v>3.2</v>
      </c>
      <c r="H228" t="n">
        <v>0</v>
      </c>
      <c r="I228" t="n">
        <v>0</v>
      </c>
      <c r="J228" t="n">
        <v>0</v>
      </c>
      <c r="K228" t="n">
        <v>0</v>
      </c>
      <c r="L228" t="n">
        <v>0</v>
      </c>
      <c r="M228" t="n">
        <v>0</v>
      </c>
      <c r="N228" t="n">
        <v>0</v>
      </c>
      <c r="O228" t="n">
        <v>0</v>
      </c>
      <c r="P228" t="n">
        <v>0</v>
      </c>
      <c r="Q228" t="n">
        <v>0</v>
      </c>
      <c r="R228" s="2" t="inlineStr"/>
    </row>
    <row r="229" ht="15" customHeight="1">
      <c r="A229" t="inlineStr">
        <is>
          <t>A 37711-2019</t>
        </is>
      </c>
      <c r="B229" s="1" t="n">
        <v>43682</v>
      </c>
      <c r="C229" s="1" t="n">
        <v>45719</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38684-2019</t>
        </is>
      </c>
      <c r="B230" s="1" t="n">
        <v>43686</v>
      </c>
      <c r="C230" s="1" t="n">
        <v>45719</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40151-2019</t>
        </is>
      </c>
      <c r="B231" s="1" t="n">
        <v>43693</v>
      </c>
      <c r="C231" s="1" t="n">
        <v>45719</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41609-2019</t>
        </is>
      </c>
      <c r="B232" s="1" t="n">
        <v>43696</v>
      </c>
      <c r="C232" s="1" t="n">
        <v>45719</v>
      </c>
      <c r="D232" t="inlineStr">
        <is>
          <t>UPPSALA LÄN</t>
        </is>
      </c>
      <c r="E232" t="inlineStr">
        <is>
          <t>UPPSALA</t>
        </is>
      </c>
      <c r="F232" t="inlineStr">
        <is>
          <t>Övriga Aktiebolag</t>
        </is>
      </c>
      <c r="G232" t="n">
        <v>1.7</v>
      </c>
      <c r="H232" t="n">
        <v>0</v>
      </c>
      <c r="I232" t="n">
        <v>0</v>
      </c>
      <c r="J232" t="n">
        <v>0</v>
      </c>
      <c r="K232" t="n">
        <v>0</v>
      </c>
      <c r="L232" t="n">
        <v>0</v>
      </c>
      <c r="M232" t="n">
        <v>0</v>
      </c>
      <c r="N232" t="n">
        <v>0</v>
      </c>
      <c r="O232" t="n">
        <v>0</v>
      </c>
      <c r="P232" t="n">
        <v>0</v>
      </c>
      <c r="Q232" t="n">
        <v>0</v>
      </c>
      <c r="R232" s="2" t="inlineStr"/>
    </row>
    <row r="233" ht="15" customHeight="1">
      <c r="A233" t="inlineStr">
        <is>
          <t>A 41653-2019</t>
        </is>
      </c>
      <c r="B233" s="1" t="n">
        <v>43696</v>
      </c>
      <c r="C233" s="1" t="n">
        <v>45719</v>
      </c>
      <c r="D233" t="inlineStr">
        <is>
          <t>UPPSALA LÄN</t>
        </is>
      </c>
      <c r="E233" t="inlineStr">
        <is>
          <t>UPPSALA</t>
        </is>
      </c>
      <c r="G233" t="n">
        <v>5.2</v>
      </c>
      <c r="H233" t="n">
        <v>0</v>
      </c>
      <c r="I233" t="n">
        <v>0</v>
      </c>
      <c r="J233" t="n">
        <v>0</v>
      </c>
      <c r="K233" t="n">
        <v>0</v>
      </c>
      <c r="L233" t="n">
        <v>0</v>
      </c>
      <c r="M233" t="n">
        <v>0</v>
      </c>
      <c r="N233" t="n">
        <v>0</v>
      </c>
      <c r="O233" t="n">
        <v>0</v>
      </c>
      <c r="P233" t="n">
        <v>0</v>
      </c>
      <c r="Q233" t="n">
        <v>0</v>
      </c>
      <c r="R233" s="2" t="inlineStr"/>
    </row>
    <row r="234" ht="15" customHeight="1">
      <c r="A234" t="inlineStr">
        <is>
          <t>A 41524-2019</t>
        </is>
      </c>
      <c r="B234" s="1" t="n">
        <v>43699</v>
      </c>
      <c r="C234" s="1" t="n">
        <v>45719</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41535-2019</t>
        </is>
      </c>
      <c r="B235" s="1" t="n">
        <v>43699</v>
      </c>
      <c r="C235" s="1" t="n">
        <v>45719</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41695-2019</t>
        </is>
      </c>
      <c r="B236" s="1" t="n">
        <v>43699</v>
      </c>
      <c r="C236" s="1" t="n">
        <v>45719</v>
      </c>
      <c r="D236" t="inlineStr">
        <is>
          <t>UPPSALA LÄN</t>
        </is>
      </c>
      <c r="E236" t="inlineStr">
        <is>
          <t>UPPSALA</t>
        </is>
      </c>
      <c r="G236" t="n">
        <v>3.1</v>
      </c>
      <c r="H236" t="n">
        <v>0</v>
      </c>
      <c r="I236" t="n">
        <v>0</v>
      </c>
      <c r="J236" t="n">
        <v>0</v>
      </c>
      <c r="K236" t="n">
        <v>0</v>
      </c>
      <c r="L236" t="n">
        <v>0</v>
      </c>
      <c r="M236" t="n">
        <v>0</v>
      </c>
      <c r="N236" t="n">
        <v>0</v>
      </c>
      <c r="O236" t="n">
        <v>0</v>
      </c>
      <c r="P236" t="n">
        <v>0</v>
      </c>
      <c r="Q236" t="n">
        <v>0</v>
      </c>
      <c r="R236" s="2" t="inlineStr"/>
    </row>
    <row r="237" ht="15" customHeight="1">
      <c r="A237" t="inlineStr">
        <is>
          <t>A 42111-2019</t>
        </is>
      </c>
      <c r="B237" s="1" t="n">
        <v>43703</v>
      </c>
      <c r="C237" s="1" t="n">
        <v>45719</v>
      </c>
      <c r="D237" t="inlineStr">
        <is>
          <t>UPPSALA LÄN</t>
        </is>
      </c>
      <c r="E237" t="inlineStr">
        <is>
          <t>UPPSALA</t>
        </is>
      </c>
      <c r="G237" t="n">
        <v>2.7</v>
      </c>
      <c r="H237" t="n">
        <v>0</v>
      </c>
      <c r="I237" t="n">
        <v>0</v>
      </c>
      <c r="J237" t="n">
        <v>0</v>
      </c>
      <c r="K237" t="n">
        <v>0</v>
      </c>
      <c r="L237" t="n">
        <v>0</v>
      </c>
      <c r="M237" t="n">
        <v>0</v>
      </c>
      <c r="N237" t="n">
        <v>0</v>
      </c>
      <c r="O237" t="n">
        <v>0</v>
      </c>
      <c r="P237" t="n">
        <v>0</v>
      </c>
      <c r="Q237" t="n">
        <v>0</v>
      </c>
      <c r="R237" s="2" t="inlineStr"/>
    </row>
    <row r="238" ht="15" customHeight="1">
      <c r="A238" t="inlineStr">
        <is>
          <t>A 42986-2019</t>
        </is>
      </c>
      <c r="B238" s="1" t="n">
        <v>43705</v>
      </c>
      <c r="C238" s="1" t="n">
        <v>45719</v>
      </c>
      <c r="D238" t="inlineStr">
        <is>
          <t>UPPSALA LÄN</t>
        </is>
      </c>
      <c r="E238" t="inlineStr">
        <is>
          <t>UPPSALA</t>
        </is>
      </c>
      <c r="G238" t="n">
        <v>1.7</v>
      </c>
      <c r="H238" t="n">
        <v>0</v>
      </c>
      <c r="I238" t="n">
        <v>0</v>
      </c>
      <c r="J238" t="n">
        <v>0</v>
      </c>
      <c r="K238" t="n">
        <v>0</v>
      </c>
      <c r="L238" t="n">
        <v>0</v>
      </c>
      <c r="M238" t="n">
        <v>0</v>
      </c>
      <c r="N238" t="n">
        <v>0</v>
      </c>
      <c r="O238" t="n">
        <v>0</v>
      </c>
      <c r="P238" t="n">
        <v>0</v>
      </c>
      <c r="Q238" t="n">
        <v>0</v>
      </c>
      <c r="R238" s="2" t="inlineStr"/>
    </row>
    <row r="239" ht="15" customHeight="1">
      <c r="A239" t="inlineStr">
        <is>
          <t>A 43222-2019</t>
        </is>
      </c>
      <c r="B239" s="1" t="n">
        <v>43706</v>
      </c>
      <c r="C239" s="1" t="n">
        <v>45719</v>
      </c>
      <c r="D239" t="inlineStr">
        <is>
          <t>UPPSALA LÄN</t>
        </is>
      </c>
      <c r="E239" t="inlineStr">
        <is>
          <t>UPPSALA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43410-2019</t>
        </is>
      </c>
      <c r="B240" s="1" t="n">
        <v>43706</v>
      </c>
      <c r="C240" s="1" t="n">
        <v>45719</v>
      </c>
      <c r="D240" t="inlineStr">
        <is>
          <t>UPPSALA LÄN</t>
        </is>
      </c>
      <c r="E240" t="inlineStr">
        <is>
          <t>UPPSALA</t>
        </is>
      </c>
      <c r="F240" t="inlineStr">
        <is>
          <t>Övriga statliga verk och myndigheter</t>
        </is>
      </c>
      <c r="G240" t="n">
        <v>8.6</v>
      </c>
      <c r="H240" t="n">
        <v>0</v>
      </c>
      <c r="I240" t="n">
        <v>0</v>
      </c>
      <c r="J240" t="n">
        <v>0</v>
      </c>
      <c r="K240" t="n">
        <v>0</v>
      </c>
      <c r="L240" t="n">
        <v>0</v>
      </c>
      <c r="M240" t="n">
        <v>0</v>
      </c>
      <c r="N240" t="n">
        <v>0</v>
      </c>
      <c r="O240" t="n">
        <v>0</v>
      </c>
      <c r="P240" t="n">
        <v>0</v>
      </c>
      <c r="Q240" t="n">
        <v>0</v>
      </c>
      <c r="R240" s="2" t="inlineStr"/>
    </row>
    <row r="241" ht="15" customHeight="1">
      <c r="A241" t="inlineStr">
        <is>
          <t>A 43715-2019</t>
        </is>
      </c>
      <c r="B241" s="1" t="n">
        <v>43706</v>
      </c>
      <c r="C241" s="1" t="n">
        <v>45719</v>
      </c>
      <c r="D241" t="inlineStr">
        <is>
          <t>UPPSALA LÄN</t>
        </is>
      </c>
      <c r="E241" t="inlineStr">
        <is>
          <t>UPPSALA</t>
        </is>
      </c>
      <c r="F241" t="inlineStr">
        <is>
          <t>Övriga statliga verk och myndigheter</t>
        </is>
      </c>
      <c r="G241" t="n">
        <v>0.8</v>
      </c>
      <c r="H241" t="n">
        <v>0</v>
      </c>
      <c r="I241" t="n">
        <v>0</v>
      </c>
      <c r="J241" t="n">
        <v>0</v>
      </c>
      <c r="K241" t="n">
        <v>0</v>
      </c>
      <c r="L241" t="n">
        <v>0</v>
      </c>
      <c r="M241" t="n">
        <v>0</v>
      </c>
      <c r="N241" t="n">
        <v>0</v>
      </c>
      <c r="O241" t="n">
        <v>0</v>
      </c>
      <c r="P241" t="n">
        <v>0</v>
      </c>
      <c r="Q241" t="n">
        <v>0</v>
      </c>
      <c r="R241" s="2" t="inlineStr"/>
    </row>
    <row r="242" ht="15" customHeight="1">
      <c r="A242" t="inlineStr">
        <is>
          <t>A 43224-2019</t>
        </is>
      </c>
      <c r="B242" s="1" t="n">
        <v>43706</v>
      </c>
      <c r="C242" s="1" t="n">
        <v>45719</v>
      </c>
      <c r="D242" t="inlineStr">
        <is>
          <t>UPPSALA LÄN</t>
        </is>
      </c>
      <c r="E242" t="inlineStr">
        <is>
          <t>UPPSALA</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43435-2019</t>
        </is>
      </c>
      <c r="B243" s="1" t="n">
        <v>43706</v>
      </c>
      <c r="C243" s="1" t="n">
        <v>45719</v>
      </c>
      <c r="D243" t="inlineStr">
        <is>
          <t>UPPSALA LÄN</t>
        </is>
      </c>
      <c r="E243" t="inlineStr">
        <is>
          <t>UPPSALA</t>
        </is>
      </c>
      <c r="G243" t="n">
        <v>5.4</v>
      </c>
      <c r="H243" t="n">
        <v>0</v>
      </c>
      <c r="I243" t="n">
        <v>0</v>
      </c>
      <c r="J243" t="n">
        <v>0</v>
      </c>
      <c r="K243" t="n">
        <v>0</v>
      </c>
      <c r="L243" t="n">
        <v>0</v>
      </c>
      <c r="M243" t="n">
        <v>0</v>
      </c>
      <c r="N243" t="n">
        <v>0</v>
      </c>
      <c r="O243" t="n">
        <v>0</v>
      </c>
      <c r="P243" t="n">
        <v>0</v>
      </c>
      <c r="Q243" t="n">
        <v>0</v>
      </c>
      <c r="R243" s="2" t="inlineStr"/>
    </row>
    <row r="244" ht="15" customHeight="1">
      <c r="A244" t="inlineStr">
        <is>
          <t>A 43722-2019</t>
        </is>
      </c>
      <c r="B244" s="1" t="n">
        <v>43706</v>
      </c>
      <c r="C244" s="1" t="n">
        <v>45719</v>
      </c>
      <c r="D244" t="inlineStr">
        <is>
          <t>UPPSALA LÄN</t>
        </is>
      </c>
      <c r="E244" t="inlineStr">
        <is>
          <t>UPPSALA</t>
        </is>
      </c>
      <c r="F244" t="inlineStr">
        <is>
          <t>Övriga statliga verk och myndigheter</t>
        </is>
      </c>
      <c r="G244" t="n">
        <v>0.6</v>
      </c>
      <c r="H244" t="n">
        <v>0</v>
      </c>
      <c r="I244" t="n">
        <v>0</v>
      </c>
      <c r="J244" t="n">
        <v>0</v>
      </c>
      <c r="K244" t="n">
        <v>0</v>
      </c>
      <c r="L244" t="n">
        <v>0</v>
      </c>
      <c r="M244" t="n">
        <v>0</v>
      </c>
      <c r="N244" t="n">
        <v>0</v>
      </c>
      <c r="O244" t="n">
        <v>0</v>
      </c>
      <c r="P244" t="n">
        <v>0</v>
      </c>
      <c r="Q244" t="n">
        <v>0</v>
      </c>
      <c r="R244" s="2" t="inlineStr"/>
    </row>
    <row r="245" ht="15" customHeight="1">
      <c r="A245" t="inlineStr">
        <is>
          <t>A 43704-2019</t>
        </is>
      </c>
      <c r="B245" s="1" t="n">
        <v>43707</v>
      </c>
      <c r="C245" s="1" t="n">
        <v>45719</v>
      </c>
      <c r="D245" t="inlineStr">
        <is>
          <t>UPPSALA LÄN</t>
        </is>
      </c>
      <c r="E245" t="inlineStr">
        <is>
          <t>UPPSALA</t>
        </is>
      </c>
      <c r="F245" t="inlineStr">
        <is>
          <t>Bergvik skog öst AB</t>
        </is>
      </c>
      <c r="G245" t="n">
        <v>2.7</v>
      </c>
      <c r="H245" t="n">
        <v>0</v>
      </c>
      <c r="I245" t="n">
        <v>0</v>
      </c>
      <c r="J245" t="n">
        <v>0</v>
      </c>
      <c r="K245" t="n">
        <v>0</v>
      </c>
      <c r="L245" t="n">
        <v>0</v>
      </c>
      <c r="M245" t="n">
        <v>0</v>
      </c>
      <c r="N245" t="n">
        <v>0</v>
      </c>
      <c r="O245" t="n">
        <v>0</v>
      </c>
      <c r="P245" t="n">
        <v>0</v>
      </c>
      <c r="Q245" t="n">
        <v>0</v>
      </c>
      <c r="R245" s="2" t="inlineStr"/>
    </row>
    <row r="246" ht="15" customHeight="1">
      <c r="A246" t="inlineStr">
        <is>
          <t>A 43725-2019</t>
        </is>
      </c>
      <c r="B246" s="1" t="n">
        <v>43707</v>
      </c>
      <c r="C246" s="1" t="n">
        <v>45719</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44109-2019</t>
        </is>
      </c>
      <c r="B247" s="1" t="n">
        <v>43707</v>
      </c>
      <c r="C247" s="1" t="n">
        <v>45719</v>
      </c>
      <c r="D247" t="inlineStr">
        <is>
          <t>UPPSALA LÄN</t>
        </is>
      </c>
      <c r="E247" t="inlineStr">
        <is>
          <t>UPPSALA</t>
        </is>
      </c>
      <c r="F247" t="inlineStr">
        <is>
          <t>Allmännings- och besparingsskogar</t>
        </is>
      </c>
      <c r="G247" t="n">
        <v>81.3</v>
      </c>
      <c r="H247" t="n">
        <v>0</v>
      </c>
      <c r="I247" t="n">
        <v>0</v>
      </c>
      <c r="J247" t="n">
        <v>0</v>
      </c>
      <c r="K247" t="n">
        <v>0</v>
      </c>
      <c r="L247" t="n">
        <v>0</v>
      </c>
      <c r="M247" t="n">
        <v>0</v>
      </c>
      <c r="N247" t="n">
        <v>0</v>
      </c>
      <c r="O247" t="n">
        <v>0</v>
      </c>
      <c r="P247" t="n">
        <v>0</v>
      </c>
      <c r="Q247" t="n">
        <v>0</v>
      </c>
      <c r="R247" s="2" t="inlineStr"/>
    </row>
    <row r="248" ht="15" customHeight="1">
      <c r="A248" t="inlineStr">
        <is>
          <t>A 43713-2019</t>
        </is>
      </c>
      <c r="B248" s="1" t="n">
        <v>43707</v>
      </c>
      <c r="C248" s="1" t="n">
        <v>45719</v>
      </c>
      <c r="D248" t="inlineStr">
        <is>
          <t>UPPSALA LÄN</t>
        </is>
      </c>
      <c r="E248" t="inlineStr">
        <is>
          <t>UPPSALA</t>
        </is>
      </c>
      <c r="F248" t="inlineStr">
        <is>
          <t>Bergvik skog öst AB</t>
        </is>
      </c>
      <c r="G248" t="n">
        <v>7.9</v>
      </c>
      <c r="H248" t="n">
        <v>0</v>
      </c>
      <c r="I248" t="n">
        <v>0</v>
      </c>
      <c r="J248" t="n">
        <v>0</v>
      </c>
      <c r="K248" t="n">
        <v>0</v>
      </c>
      <c r="L248" t="n">
        <v>0</v>
      </c>
      <c r="M248" t="n">
        <v>0</v>
      </c>
      <c r="N248" t="n">
        <v>0</v>
      </c>
      <c r="O248" t="n">
        <v>0</v>
      </c>
      <c r="P248" t="n">
        <v>0</v>
      </c>
      <c r="Q248" t="n">
        <v>0</v>
      </c>
      <c r="R248" s="2" t="inlineStr"/>
    </row>
    <row r="249" ht="15" customHeight="1">
      <c r="A249" t="inlineStr">
        <is>
          <t>A 43853-2019</t>
        </is>
      </c>
      <c r="B249" s="1" t="n">
        <v>43707</v>
      </c>
      <c r="C249" s="1" t="n">
        <v>45719</v>
      </c>
      <c r="D249" t="inlineStr">
        <is>
          <t>UPPSALA LÄN</t>
        </is>
      </c>
      <c r="E249" t="inlineStr">
        <is>
          <t>UPPSALA</t>
        </is>
      </c>
      <c r="F249" t="inlineStr">
        <is>
          <t>Övriga statliga verk och myndigheter</t>
        </is>
      </c>
      <c r="G249" t="n">
        <v>1.8</v>
      </c>
      <c r="H249" t="n">
        <v>0</v>
      </c>
      <c r="I249" t="n">
        <v>0</v>
      </c>
      <c r="J249" t="n">
        <v>0</v>
      </c>
      <c r="K249" t="n">
        <v>0</v>
      </c>
      <c r="L249" t="n">
        <v>0</v>
      </c>
      <c r="M249" t="n">
        <v>0</v>
      </c>
      <c r="N249" t="n">
        <v>0</v>
      </c>
      <c r="O249" t="n">
        <v>0</v>
      </c>
      <c r="P249" t="n">
        <v>0</v>
      </c>
      <c r="Q249" t="n">
        <v>0</v>
      </c>
      <c r="R249" s="2" t="inlineStr"/>
    </row>
    <row r="250" ht="15" customHeight="1">
      <c r="A250" t="inlineStr">
        <is>
          <t>A 44141-2019</t>
        </is>
      </c>
      <c r="B250" s="1" t="n">
        <v>43710</v>
      </c>
      <c r="C250" s="1" t="n">
        <v>45719</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44701-2019</t>
        </is>
      </c>
      <c r="B251" s="1" t="n">
        <v>43712</v>
      </c>
      <c r="C251" s="1" t="n">
        <v>45719</v>
      </c>
      <c r="D251" t="inlineStr">
        <is>
          <t>UPPSALA LÄN</t>
        </is>
      </c>
      <c r="E251" t="inlineStr">
        <is>
          <t>UPPSALA</t>
        </is>
      </c>
      <c r="G251" t="n">
        <v>3.4</v>
      </c>
      <c r="H251" t="n">
        <v>0</v>
      </c>
      <c r="I251" t="n">
        <v>0</v>
      </c>
      <c r="J251" t="n">
        <v>0</v>
      </c>
      <c r="K251" t="n">
        <v>0</v>
      </c>
      <c r="L251" t="n">
        <v>0</v>
      </c>
      <c r="M251" t="n">
        <v>0</v>
      </c>
      <c r="N251" t="n">
        <v>0</v>
      </c>
      <c r="O251" t="n">
        <v>0</v>
      </c>
      <c r="P251" t="n">
        <v>0</v>
      </c>
      <c r="Q251" t="n">
        <v>0</v>
      </c>
      <c r="R251" s="2" t="inlineStr"/>
    </row>
    <row r="252" ht="15" customHeight="1">
      <c r="A252" t="inlineStr">
        <is>
          <t>A 44687-2019</t>
        </is>
      </c>
      <c r="B252" s="1" t="n">
        <v>43712</v>
      </c>
      <c r="C252" s="1" t="n">
        <v>45719</v>
      </c>
      <c r="D252" t="inlineStr">
        <is>
          <t>UPPSALA LÄN</t>
        </is>
      </c>
      <c r="E252" t="inlineStr">
        <is>
          <t>UPPSALA</t>
        </is>
      </c>
      <c r="G252" t="n">
        <v>3.3</v>
      </c>
      <c r="H252" t="n">
        <v>0</v>
      </c>
      <c r="I252" t="n">
        <v>0</v>
      </c>
      <c r="J252" t="n">
        <v>0</v>
      </c>
      <c r="K252" t="n">
        <v>0</v>
      </c>
      <c r="L252" t="n">
        <v>0</v>
      </c>
      <c r="M252" t="n">
        <v>0</v>
      </c>
      <c r="N252" t="n">
        <v>0</v>
      </c>
      <c r="O252" t="n">
        <v>0</v>
      </c>
      <c r="P252" t="n">
        <v>0</v>
      </c>
      <c r="Q252" t="n">
        <v>0</v>
      </c>
      <c r="R252" s="2" t="inlineStr"/>
    </row>
    <row r="253" ht="15" customHeight="1">
      <c r="A253" t="inlineStr">
        <is>
          <t>A 45010-2019</t>
        </is>
      </c>
      <c r="B253" s="1" t="n">
        <v>43713</v>
      </c>
      <c r="C253" s="1" t="n">
        <v>45719</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45574-2019</t>
        </is>
      </c>
      <c r="B254" s="1" t="n">
        <v>43716</v>
      </c>
      <c r="C254" s="1" t="n">
        <v>45719</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46311-2019</t>
        </is>
      </c>
      <c r="B255" s="1" t="n">
        <v>43718</v>
      </c>
      <c r="C255" s="1" t="n">
        <v>45719</v>
      </c>
      <c r="D255" t="inlineStr">
        <is>
          <t>UPPSALA LÄN</t>
        </is>
      </c>
      <c r="E255" t="inlineStr">
        <is>
          <t>UPPSALA</t>
        </is>
      </c>
      <c r="G255" t="n">
        <v>1.1</v>
      </c>
      <c r="H255" t="n">
        <v>0</v>
      </c>
      <c r="I255" t="n">
        <v>0</v>
      </c>
      <c r="J255" t="n">
        <v>0</v>
      </c>
      <c r="K255" t="n">
        <v>0</v>
      </c>
      <c r="L255" t="n">
        <v>0</v>
      </c>
      <c r="M255" t="n">
        <v>0</v>
      </c>
      <c r="N255" t="n">
        <v>0</v>
      </c>
      <c r="O255" t="n">
        <v>0</v>
      </c>
      <c r="P255" t="n">
        <v>0</v>
      </c>
      <c r="Q255" t="n">
        <v>0</v>
      </c>
      <c r="R255" s="2" t="inlineStr"/>
    </row>
    <row r="256" ht="15" customHeight="1">
      <c r="A256" t="inlineStr">
        <is>
          <t>A 46307-2019</t>
        </is>
      </c>
      <c r="B256" s="1" t="n">
        <v>43718</v>
      </c>
      <c r="C256" s="1" t="n">
        <v>45719</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46151-2019</t>
        </is>
      </c>
      <c r="B257" s="1" t="n">
        <v>43718</v>
      </c>
      <c r="C257" s="1" t="n">
        <v>45719</v>
      </c>
      <c r="D257" t="inlineStr">
        <is>
          <t>UPPSALA LÄN</t>
        </is>
      </c>
      <c r="E257" t="inlineStr">
        <is>
          <t>UPPSALA</t>
        </is>
      </c>
      <c r="F257" t="inlineStr">
        <is>
          <t>Övriga Aktiebolag</t>
        </is>
      </c>
      <c r="G257" t="n">
        <v>0.5</v>
      </c>
      <c r="H257" t="n">
        <v>0</v>
      </c>
      <c r="I257" t="n">
        <v>0</v>
      </c>
      <c r="J257" t="n">
        <v>0</v>
      </c>
      <c r="K257" t="n">
        <v>0</v>
      </c>
      <c r="L257" t="n">
        <v>0</v>
      </c>
      <c r="M257" t="n">
        <v>0</v>
      </c>
      <c r="N257" t="n">
        <v>0</v>
      </c>
      <c r="O257" t="n">
        <v>0</v>
      </c>
      <c r="P257" t="n">
        <v>0</v>
      </c>
      <c r="Q257" t="n">
        <v>0</v>
      </c>
      <c r="R257" s="2" t="inlineStr"/>
    </row>
    <row r="258" ht="15" customHeight="1">
      <c r="A258" t="inlineStr">
        <is>
          <t>A 46157-2019</t>
        </is>
      </c>
      <c r="B258" s="1" t="n">
        <v>43718</v>
      </c>
      <c r="C258" s="1" t="n">
        <v>45719</v>
      </c>
      <c r="D258" t="inlineStr">
        <is>
          <t>UPPSALA LÄN</t>
        </is>
      </c>
      <c r="E258" t="inlineStr">
        <is>
          <t>UPPSALA</t>
        </is>
      </c>
      <c r="F258" t="inlineStr">
        <is>
          <t>Övriga Aktiebolag</t>
        </is>
      </c>
      <c r="G258" t="n">
        <v>4.5</v>
      </c>
      <c r="H258" t="n">
        <v>0</v>
      </c>
      <c r="I258" t="n">
        <v>0</v>
      </c>
      <c r="J258" t="n">
        <v>0</v>
      </c>
      <c r="K258" t="n">
        <v>0</v>
      </c>
      <c r="L258" t="n">
        <v>0</v>
      </c>
      <c r="M258" t="n">
        <v>0</v>
      </c>
      <c r="N258" t="n">
        <v>0</v>
      </c>
      <c r="O258" t="n">
        <v>0</v>
      </c>
      <c r="P258" t="n">
        <v>0</v>
      </c>
      <c r="Q258" t="n">
        <v>0</v>
      </c>
      <c r="R258" s="2" t="inlineStr"/>
    </row>
    <row r="259" ht="15" customHeight="1">
      <c r="A259" t="inlineStr">
        <is>
          <t>A 46310-2019</t>
        </is>
      </c>
      <c r="B259" s="1" t="n">
        <v>43718</v>
      </c>
      <c r="C259" s="1" t="n">
        <v>45719</v>
      </c>
      <c r="D259" t="inlineStr">
        <is>
          <t>UPPSALA LÄN</t>
        </is>
      </c>
      <c r="E259" t="inlineStr">
        <is>
          <t>UPPSALA</t>
        </is>
      </c>
      <c r="G259" t="n">
        <v>7</v>
      </c>
      <c r="H259" t="n">
        <v>0</v>
      </c>
      <c r="I259" t="n">
        <v>0</v>
      </c>
      <c r="J259" t="n">
        <v>0</v>
      </c>
      <c r="K259" t="n">
        <v>0</v>
      </c>
      <c r="L259" t="n">
        <v>0</v>
      </c>
      <c r="M259" t="n">
        <v>0</v>
      </c>
      <c r="N259" t="n">
        <v>0</v>
      </c>
      <c r="O259" t="n">
        <v>0</v>
      </c>
      <c r="P259" t="n">
        <v>0</v>
      </c>
      <c r="Q259" t="n">
        <v>0</v>
      </c>
      <c r="R259" s="2" t="inlineStr"/>
    </row>
    <row r="260" ht="15" customHeight="1">
      <c r="A260" t="inlineStr">
        <is>
          <t>A 46147-2019</t>
        </is>
      </c>
      <c r="B260" s="1" t="n">
        <v>43718</v>
      </c>
      <c r="C260" s="1" t="n">
        <v>45719</v>
      </c>
      <c r="D260" t="inlineStr">
        <is>
          <t>UPPSALA LÄN</t>
        </is>
      </c>
      <c r="E260" t="inlineStr">
        <is>
          <t>UPPSALA</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46877-2019</t>
        </is>
      </c>
      <c r="B261" s="1" t="n">
        <v>43720</v>
      </c>
      <c r="C261" s="1" t="n">
        <v>45719</v>
      </c>
      <c r="D261" t="inlineStr">
        <is>
          <t>UPPSALA LÄN</t>
        </is>
      </c>
      <c r="E261" t="inlineStr">
        <is>
          <t>UPPSALA</t>
        </is>
      </c>
      <c r="G261" t="n">
        <v>1.9</v>
      </c>
      <c r="H261" t="n">
        <v>0</v>
      </c>
      <c r="I261" t="n">
        <v>0</v>
      </c>
      <c r="J261" t="n">
        <v>0</v>
      </c>
      <c r="K261" t="n">
        <v>0</v>
      </c>
      <c r="L261" t="n">
        <v>0</v>
      </c>
      <c r="M261" t="n">
        <v>0</v>
      </c>
      <c r="N261" t="n">
        <v>0</v>
      </c>
      <c r="O261" t="n">
        <v>0</v>
      </c>
      <c r="P261" t="n">
        <v>0</v>
      </c>
      <c r="Q261" t="n">
        <v>0</v>
      </c>
      <c r="R261" s="2" t="inlineStr"/>
    </row>
    <row r="262" ht="15" customHeight="1">
      <c r="A262" t="inlineStr">
        <is>
          <t>A 46896-2019</t>
        </is>
      </c>
      <c r="B262" s="1" t="n">
        <v>43720</v>
      </c>
      <c r="C262" s="1" t="n">
        <v>45719</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48485-2019</t>
        </is>
      </c>
      <c r="B263" s="1" t="n">
        <v>43727</v>
      </c>
      <c r="C263" s="1" t="n">
        <v>45719</v>
      </c>
      <c r="D263" t="inlineStr">
        <is>
          <t>UPPSALA LÄN</t>
        </is>
      </c>
      <c r="E263" t="inlineStr">
        <is>
          <t>UPPSALA</t>
        </is>
      </c>
      <c r="G263" t="n">
        <v>3</v>
      </c>
      <c r="H263" t="n">
        <v>0</v>
      </c>
      <c r="I263" t="n">
        <v>0</v>
      </c>
      <c r="J263" t="n">
        <v>0</v>
      </c>
      <c r="K263" t="n">
        <v>0</v>
      </c>
      <c r="L263" t="n">
        <v>0</v>
      </c>
      <c r="M263" t="n">
        <v>0</v>
      </c>
      <c r="N263" t="n">
        <v>0</v>
      </c>
      <c r="O263" t="n">
        <v>0</v>
      </c>
      <c r="P263" t="n">
        <v>0</v>
      </c>
      <c r="Q263" t="n">
        <v>0</v>
      </c>
      <c r="R263" s="2" t="inlineStr"/>
    </row>
    <row r="264" ht="15" customHeight="1">
      <c r="A264" t="inlineStr">
        <is>
          <t>A 49567-2019</t>
        </is>
      </c>
      <c r="B264" s="1" t="n">
        <v>43730</v>
      </c>
      <c r="C264" s="1" t="n">
        <v>45719</v>
      </c>
      <c r="D264" t="inlineStr">
        <is>
          <t>UPPSALA LÄN</t>
        </is>
      </c>
      <c r="E264" t="inlineStr">
        <is>
          <t>UPPSALA</t>
        </is>
      </c>
      <c r="G264" t="n">
        <v>6</v>
      </c>
      <c r="H264" t="n">
        <v>0</v>
      </c>
      <c r="I264" t="n">
        <v>0</v>
      </c>
      <c r="J264" t="n">
        <v>0</v>
      </c>
      <c r="K264" t="n">
        <v>0</v>
      </c>
      <c r="L264" t="n">
        <v>0</v>
      </c>
      <c r="M264" t="n">
        <v>0</v>
      </c>
      <c r="N264" t="n">
        <v>0</v>
      </c>
      <c r="O264" t="n">
        <v>0</v>
      </c>
      <c r="P264" t="n">
        <v>0</v>
      </c>
      <c r="Q264" t="n">
        <v>0</v>
      </c>
      <c r="R264" s="2" t="inlineStr"/>
    </row>
    <row r="265" ht="15" customHeight="1">
      <c r="A265" t="inlineStr">
        <is>
          <t>A 50180-2019</t>
        </is>
      </c>
      <c r="B265" s="1" t="n">
        <v>43733</v>
      </c>
      <c r="C265" s="1" t="n">
        <v>45719</v>
      </c>
      <c r="D265" t="inlineStr">
        <is>
          <t>UPPSALA LÄN</t>
        </is>
      </c>
      <c r="E265" t="inlineStr">
        <is>
          <t>UPPSALA</t>
        </is>
      </c>
      <c r="F265" t="inlineStr">
        <is>
          <t>Allmännings- och besparingsskogar</t>
        </is>
      </c>
      <c r="G265" t="n">
        <v>3.7</v>
      </c>
      <c r="H265" t="n">
        <v>0</v>
      </c>
      <c r="I265" t="n">
        <v>0</v>
      </c>
      <c r="J265" t="n">
        <v>0</v>
      </c>
      <c r="K265" t="n">
        <v>0</v>
      </c>
      <c r="L265" t="n">
        <v>0</v>
      </c>
      <c r="M265" t="n">
        <v>0</v>
      </c>
      <c r="N265" t="n">
        <v>0</v>
      </c>
      <c r="O265" t="n">
        <v>0</v>
      </c>
      <c r="P265" t="n">
        <v>0</v>
      </c>
      <c r="Q265" t="n">
        <v>0</v>
      </c>
      <c r="R265" s="2" t="inlineStr"/>
    </row>
    <row r="266" ht="15" customHeight="1">
      <c r="A266" t="inlineStr">
        <is>
          <t>A 50387-2019</t>
        </is>
      </c>
      <c r="B266" s="1" t="n">
        <v>43735</v>
      </c>
      <c r="C266" s="1" t="n">
        <v>45719</v>
      </c>
      <c r="D266" t="inlineStr">
        <is>
          <t>UPPSALA LÄN</t>
        </is>
      </c>
      <c r="E266" t="inlineStr">
        <is>
          <t>UPPSALA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50415-2019</t>
        </is>
      </c>
      <c r="B267" s="1" t="n">
        <v>43735</v>
      </c>
      <c r="C267" s="1" t="n">
        <v>45719</v>
      </c>
      <c r="D267" t="inlineStr">
        <is>
          <t>UPPSALA LÄN</t>
        </is>
      </c>
      <c r="E267" t="inlineStr">
        <is>
          <t>UPPSALA</t>
        </is>
      </c>
      <c r="F267" t="inlineStr">
        <is>
          <t>Kyrkan</t>
        </is>
      </c>
      <c r="G267" t="n">
        <v>13.6</v>
      </c>
      <c r="H267" t="n">
        <v>0</v>
      </c>
      <c r="I267" t="n">
        <v>0</v>
      </c>
      <c r="J267" t="n">
        <v>0</v>
      </c>
      <c r="K267" t="n">
        <v>0</v>
      </c>
      <c r="L267" t="n">
        <v>0</v>
      </c>
      <c r="M267" t="n">
        <v>0</v>
      </c>
      <c r="N267" t="n">
        <v>0</v>
      </c>
      <c r="O267" t="n">
        <v>0</v>
      </c>
      <c r="P267" t="n">
        <v>0</v>
      </c>
      <c r="Q267" t="n">
        <v>0</v>
      </c>
      <c r="R267" s="2" t="inlineStr"/>
    </row>
    <row r="268" ht="15" customHeight="1">
      <c r="A268" t="inlineStr">
        <is>
          <t>A 50616-2019</t>
        </is>
      </c>
      <c r="B268" s="1" t="n">
        <v>43736</v>
      </c>
      <c r="C268" s="1" t="n">
        <v>45719</v>
      </c>
      <c r="D268" t="inlineStr">
        <is>
          <t>UPPSALA LÄN</t>
        </is>
      </c>
      <c r="E268" t="inlineStr">
        <is>
          <t>UPPSALA</t>
        </is>
      </c>
      <c r="G268" t="n">
        <v>4.8</v>
      </c>
      <c r="H268" t="n">
        <v>0</v>
      </c>
      <c r="I268" t="n">
        <v>0</v>
      </c>
      <c r="J268" t="n">
        <v>0</v>
      </c>
      <c r="K268" t="n">
        <v>0</v>
      </c>
      <c r="L268" t="n">
        <v>0</v>
      </c>
      <c r="M268" t="n">
        <v>0</v>
      </c>
      <c r="N268" t="n">
        <v>0</v>
      </c>
      <c r="O268" t="n">
        <v>0</v>
      </c>
      <c r="P268" t="n">
        <v>0</v>
      </c>
      <c r="Q268" t="n">
        <v>0</v>
      </c>
      <c r="R268" s="2" t="inlineStr"/>
    </row>
    <row r="269" ht="15" customHeight="1">
      <c r="A269" t="inlineStr">
        <is>
          <t>A 52386-2019</t>
        </is>
      </c>
      <c r="B269" s="1" t="n">
        <v>43745</v>
      </c>
      <c r="C269" s="1" t="n">
        <v>45719</v>
      </c>
      <c r="D269" t="inlineStr">
        <is>
          <t>UPPSALA LÄN</t>
        </is>
      </c>
      <c r="E269" t="inlineStr">
        <is>
          <t>UPPSALA</t>
        </is>
      </c>
      <c r="G269" t="n">
        <v>15.7</v>
      </c>
      <c r="H269" t="n">
        <v>0</v>
      </c>
      <c r="I269" t="n">
        <v>0</v>
      </c>
      <c r="J269" t="n">
        <v>0</v>
      </c>
      <c r="K269" t="n">
        <v>0</v>
      </c>
      <c r="L269" t="n">
        <v>0</v>
      </c>
      <c r="M269" t="n">
        <v>0</v>
      </c>
      <c r="N269" t="n">
        <v>0</v>
      </c>
      <c r="O269" t="n">
        <v>0</v>
      </c>
      <c r="P269" t="n">
        <v>0</v>
      </c>
      <c r="Q269" t="n">
        <v>0</v>
      </c>
      <c r="R269" s="2" t="inlineStr"/>
    </row>
    <row r="270" ht="15" customHeight="1">
      <c r="A270" t="inlineStr">
        <is>
          <t>A 52419-2019</t>
        </is>
      </c>
      <c r="B270" s="1" t="n">
        <v>43745</v>
      </c>
      <c r="C270" s="1" t="n">
        <v>45719</v>
      </c>
      <c r="D270" t="inlineStr">
        <is>
          <t>UPPSALA LÄN</t>
        </is>
      </c>
      <c r="E270" t="inlineStr">
        <is>
          <t>UPPSALA</t>
        </is>
      </c>
      <c r="F270" t="inlineStr">
        <is>
          <t>Allmännings- och besparingsskogar</t>
        </is>
      </c>
      <c r="G270" t="n">
        <v>5.3</v>
      </c>
      <c r="H270" t="n">
        <v>0</v>
      </c>
      <c r="I270" t="n">
        <v>0</v>
      </c>
      <c r="J270" t="n">
        <v>0</v>
      </c>
      <c r="K270" t="n">
        <v>0</v>
      </c>
      <c r="L270" t="n">
        <v>0</v>
      </c>
      <c r="M270" t="n">
        <v>0</v>
      </c>
      <c r="N270" t="n">
        <v>0</v>
      </c>
      <c r="O270" t="n">
        <v>0</v>
      </c>
      <c r="P270" t="n">
        <v>0</v>
      </c>
      <c r="Q270" t="n">
        <v>0</v>
      </c>
      <c r="R270" s="2" t="inlineStr"/>
    </row>
    <row r="271" ht="15" customHeight="1">
      <c r="A271" t="inlineStr">
        <is>
          <t>A 52950-2019</t>
        </is>
      </c>
      <c r="B271" s="1" t="n">
        <v>43747</v>
      </c>
      <c r="C271" s="1" t="n">
        <v>45719</v>
      </c>
      <c r="D271" t="inlineStr">
        <is>
          <t>UPPSALA LÄN</t>
        </is>
      </c>
      <c r="E271" t="inlineStr">
        <is>
          <t>UPPSALA</t>
        </is>
      </c>
      <c r="G271" t="n">
        <v>0.2</v>
      </c>
      <c r="H271" t="n">
        <v>0</v>
      </c>
      <c r="I271" t="n">
        <v>0</v>
      </c>
      <c r="J271" t="n">
        <v>0</v>
      </c>
      <c r="K271" t="n">
        <v>0</v>
      </c>
      <c r="L271" t="n">
        <v>0</v>
      </c>
      <c r="M271" t="n">
        <v>0</v>
      </c>
      <c r="N271" t="n">
        <v>0</v>
      </c>
      <c r="O271" t="n">
        <v>0</v>
      </c>
      <c r="P271" t="n">
        <v>0</v>
      </c>
      <c r="Q271" t="n">
        <v>0</v>
      </c>
      <c r="R271" s="2" t="inlineStr"/>
    </row>
    <row r="272" ht="15" customHeight="1">
      <c r="A272" t="inlineStr">
        <is>
          <t>A 53303-2019</t>
        </is>
      </c>
      <c r="B272" s="1" t="n">
        <v>43747</v>
      </c>
      <c r="C272" s="1" t="n">
        <v>45719</v>
      </c>
      <c r="D272" t="inlineStr">
        <is>
          <t>UPPSALA LÄN</t>
        </is>
      </c>
      <c r="E272" t="inlineStr">
        <is>
          <t>UPPSALA</t>
        </is>
      </c>
      <c r="F272" t="inlineStr">
        <is>
          <t>Allmännings- och besparingsskogar</t>
        </is>
      </c>
      <c r="G272" t="n">
        <v>17.5</v>
      </c>
      <c r="H272" t="n">
        <v>0</v>
      </c>
      <c r="I272" t="n">
        <v>0</v>
      </c>
      <c r="J272" t="n">
        <v>0</v>
      </c>
      <c r="K272" t="n">
        <v>0</v>
      </c>
      <c r="L272" t="n">
        <v>0</v>
      </c>
      <c r="M272" t="n">
        <v>0</v>
      </c>
      <c r="N272" t="n">
        <v>0</v>
      </c>
      <c r="O272" t="n">
        <v>0</v>
      </c>
      <c r="P272" t="n">
        <v>0</v>
      </c>
      <c r="Q272" t="n">
        <v>0</v>
      </c>
      <c r="R272" s="2" t="inlineStr"/>
    </row>
    <row r="273" ht="15" customHeight="1">
      <c r="A273" t="inlineStr">
        <is>
          <t>A 53316-2019</t>
        </is>
      </c>
      <c r="B273" s="1" t="n">
        <v>43748</v>
      </c>
      <c r="C273" s="1" t="n">
        <v>45719</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54757-2019</t>
        </is>
      </c>
      <c r="B274" s="1" t="n">
        <v>43755</v>
      </c>
      <c r="C274" s="1" t="n">
        <v>45719</v>
      </c>
      <c r="D274" t="inlineStr">
        <is>
          <t>UPPSALA LÄN</t>
        </is>
      </c>
      <c r="E274" t="inlineStr">
        <is>
          <t>UPPSALA</t>
        </is>
      </c>
      <c r="F274" t="inlineStr">
        <is>
          <t>Övriga statliga verk och myndigheter</t>
        </is>
      </c>
      <c r="G274" t="n">
        <v>1.5</v>
      </c>
      <c r="H274" t="n">
        <v>0</v>
      </c>
      <c r="I274" t="n">
        <v>0</v>
      </c>
      <c r="J274" t="n">
        <v>0</v>
      </c>
      <c r="K274" t="n">
        <v>0</v>
      </c>
      <c r="L274" t="n">
        <v>0</v>
      </c>
      <c r="M274" t="n">
        <v>0</v>
      </c>
      <c r="N274" t="n">
        <v>0</v>
      </c>
      <c r="O274" t="n">
        <v>0</v>
      </c>
      <c r="P274" t="n">
        <v>0</v>
      </c>
      <c r="Q274" t="n">
        <v>0</v>
      </c>
      <c r="R274" s="2" t="inlineStr"/>
    </row>
    <row r="275" ht="15" customHeight="1">
      <c r="A275" t="inlineStr">
        <is>
          <t>A 56041-2019</t>
        </is>
      </c>
      <c r="B275" s="1" t="n">
        <v>43759</v>
      </c>
      <c r="C275" s="1" t="n">
        <v>45719</v>
      </c>
      <c r="D275" t="inlineStr">
        <is>
          <t>UPPSALA LÄN</t>
        </is>
      </c>
      <c r="E275" t="inlineStr">
        <is>
          <t>UPPSALA</t>
        </is>
      </c>
      <c r="G275" t="n">
        <v>0.7</v>
      </c>
      <c r="H275" t="n">
        <v>0</v>
      </c>
      <c r="I275" t="n">
        <v>0</v>
      </c>
      <c r="J275" t="n">
        <v>0</v>
      </c>
      <c r="K275" t="n">
        <v>0</v>
      </c>
      <c r="L275" t="n">
        <v>0</v>
      </c>
      <c r="M275" t="n">
        <v>0</v>
      </c>
      <c r="N275" t="n">
        <v>0</v>
      </c>
      <c r="O275" t="n">
        <v>0</v>
      </c>
      <c r="P275" t="n">
        <v>0</v>
      </c>
      <c r="Q275" t="n">
        <v>0</v>
      </c>
      <c r="R275" s="2" t="inlineStr"/>
    </row>
    <row r="276" ht="15" customHeight="1">
      <c r="A276" t="inlineStr">
        <is>
          <t>A 56634-2019</t>
        </is>
      </c>
      <c r="B276" s="1" t="n">
        <v>43763</v>
      </c>
      <c r="C276" s="1" t="n">
        <v>45719</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58445-2019</t>
        </is>
      </c>
      <c r="B277" s="1" t="n">
        <v>43773</v>
      </c>
      <c r="C277" s="1" t="n">
        <v>45719</v>
      </c>
      <c r="D277" t="inlineStr">
        <is>
          <t>UPPSALA LÄN</t>
        </is>
      </c>
      <c r="E277" t="inlineStr">
        <is>
          <t>UPPSALA</t>
        </is>
      </c>
      <c r="G277" t="n">
        <v>5</v>
      </c>
      <c r="H277" t="n">
        <v>0</v>
      </c>
      <c r="I277" t="n">
        <v>0</v>
      </c>
      <c r="J277" t="n">
        <v>0</v>
      </c>
      <c r="K277" t="n">
        <v>0</v>
      </c>
      <c r="L277" t="n">
        <v>0</v>
      </c>
      <c r="M277" t="n">
        <v>0</v>
      </c>
      <c r="N277" t="n">
        <v>0</v>
      </c>
      <c r="O277" t="n">
        <v>0</v>
      </c>
      <c r="P277" t="n">
        <v>0</v>
      </c>
      <c r="Q277" t="n">
        <v>0</v>
      </c>
      <c r="R277" s="2" t="inlineStr"/>
    </row>
    <row r="278" ht="15" customHeight="1">
      <c r="A278" t="inlineStr">
        <is>
          <t>A 58527-2019</t>
        </is>
      </c>
      <c r="B278" s="1" t="n">
        <v>43773</v>
      </c>
      <c r="C278" s="1" t="n">
        <v>45719</v>
      </c>
      <c r="D278" t="inlineStr">
        <is>
          <t>UPPSALA LÄN</t>
        </is>
      </c>
      <c r="E278" t="inlineStr">
        <is>
          <t>UPPSALA</t>
        </is>
      </c>
      <c r="G278" t="n">
        <v>0.6</v>
      </c>
      <c r="H278" t="n">
        <v>0</v>
      </c>
      <c r="I278" t="n">
        <v>0</v>
      </c>
      <c r="J278" t="n">
        <v>0</v>
      </c>
      <c r="K278" t="n">
        <v>0</v>
      </c>
      <c r="L278" t="n">
        <v>0</v>
      </c>
      <c r="M278" t="n">
        <v>0</v>
      </c>
      <c r="N278" t="n">
        <v>0</v>
      </c>
      <c r="O278" t="n">
        <v>0</v>
      </c>
      <c r="P278" t="n">
        <v>0</v>
      </c>
      <c r="Q278" t="n">
        <v>0</v>
      </c>
      <c r="R278" s="2" t="inlineStr"/>
    </row>
    <row r="279" ht="15" customHeight="1">
      <c r="A279" t="inlineStr">
        <is>
          <t>A 58903-2019</t>
        </is>
      </c>
      <c r="B279" s="1" t="n">
        <v>43773</v>
      </c>
      <c r="C279" s="1" t="n">
        <v>45719</v>
      </c>
      <c r="D279" t="inlineStr">
        <is>
          <t>UPPSALA LÄN</t>
        </is>
      </c>
      <c r="E279" t="inlineStr">
        <is>
          <t>UPPSALA</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60011-2019</t>
        </is>
      </c>
      <c r="B280" s="1" t="n">
        <v>43777</v>
      </c>
      <c r="C280" s="1" t="n">
        <v>45719</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60159-2019</t>
        </is>
      </c>
      <c r="B281" s="1" t="n">
        <v>43777</v>
      </c>
      <c r="C281" s="1" t="n">
        <v>45719</v>
      </c>
      <c r="D281" t="inlineStr">
        <is>
          <t>UPPSALA LÄN</t>
        </is>
      </c>
      <c r="E281" t="inlineStr">
        <is>
          <t>UPPSALA</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60163-2019</t>
        </is>
      </c>
      <c r="B282" s="1" t="n">
        <v>43780</v>
      </c>
      <c r="C282" s="1" t="n">
        <v>45719</v>
      </c>
      <c r="D282" t="inlineStr">
        <is>
          <t>UPPSALA LÄN</t>
        </is>
      </c>
      <c r="E282" t="inlineStr">
        <is>
          <t>UPPSALA</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60579-2019</t>
        </is>
      </c>
      <c r="B283" s="1" t="n">
        <v>43780</v>
      </c>
      <c r="C283" s="1" t="n">
        <v>45719</v>
      </c>
      <c r="D283" t="inlineStr">
        <is>
          <t>UPPSALA LÄN</t>
        </is>
      </c>
      <c r="E283" t="inlineStr">
        <is>
          <t>UPPSALA</t>
        </is>
      </c>
      <c r="F283" t="inlineStr">
        <is>
          <t>Övriga Aktiebolag</t>
        </is>
      </c>
      <c r="G283" t="n">
        <v>3.8</v>
      </c>
      <c r="H283" t="n">
        <v>0</v>
      </c>
      <c r="I283" t="n">
        <v>0</v>
      </c>
      <c r="J283" t="n">
        <v>0</v>
      </c>
      <c r="K283" t="n">
        <v>0</v>
      </c>
      <c r="L283" t="n">
        <v>0</v>
      </c>
      <c r="M283" t="n">
        <v>0</v>
      </c>
      <c r="N283" t="n">
        <v>0</v>
      </c>
      <c r="O283" t="n">
        <v>0</v>
      </c>
      <c r="P283" t="n">
        <v>0</v>
      </c>
      <c r="Q283" t="n">
        <v>0</v>
      </c>
      <c r="R283" s="2" t="inlineStr"/>
    </row>
    <row r="284" ht="15" customHeight="1">
      <c r="A284" t="inlineStr">
        <is>
          <t>A 62308-2019</t>
        </is>
      </c>
      <c r="B284" s="1" t="n">
        <v>43782</v>
      </c>
      <c r="C284" s="1" t="n">
        <v>45719</v>
      </c>
      <c r="D284" t="inlineStr">
        <is>
          <t>UPPSALA LÄN</t>
        </is>
      </c>
      <c r="E284" t="inlineStr">
        <is>
          <t>UPPSALA</t>
        </is>
      </c>
      <c r="G284" t="n">
        <v>0.5</v>
      </c>
      <c r="H284" t="n">
        <v>0</v>
      </c>
      <c r="I284" t="n">
        <v>0</v>
      </c>
      <c r="J284" t="n">
        <v>0</v>
      </c>
      <c r="K284" t="n">
        <v>0</v>
      </c>
      <c r="L284" t="n">
        <v>0</v>
      </c>
      <c r="M284" t="n">
        <v>0</v>
      </c>
      <c r="N284" t="n">
        <v>0</v>
      </c>
      <c r="O284" t="n">
        <v>0</v>
      </c>
      <c r="P284" t="n">
        <v>0</v>
      </c>
      <c r="Q284" t="n">
        <v>0</v>
      </c>
      <c r="R284" s="2" t="inlineStr"/>
    </row>
    <row r="285" ht="15" customHeight="1">
      <c r="A285" t="inlineStr">
        <is>
          <t>A 61667-2019</t>
        </is>
      </c>
      <c r="B285" s="1" t="n">
        <v>43784</v>
      </c>
      <c r="C285" s="1" t="n">
        <v>45719</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63145-2019</t>
        </is>
      </c>
      <c r="B286" s="1" t="n">
        <v>43791</v>
      </c>
      <c r="C286" s="1" t="n">
        <v>45719</v>
      </c>
      <c r="D286" t="inlineStr">
        <is>
          <t>UPPSALA LÄN</t>
        </is>
      </c>
      <c r="E286" t="inlineStr">
        <is>
          <t>UPPSALA</t>
        </is>
      </c>
      <c r="G286" t="n">
        <v>1.8</v>
      </c>
      <c r="H286" t="n">
        <v>0</v>
      </c>
      <c r="I286" t="n">
        <v>0</v>
      </c>
      <c r="J286" t="n">
        <v>0</v>
      </c>
      <c r="K286" t="n">
        <v>0</v>
      </c>
      <c r="L286" t="n">
        <v>0</v>
      </c>
      <c r="M286" t="n">
        <v>0</v>
      </c>
      <c r="N286" t="n">
        <v>0</v>
      </c>
      <c r="O286" t="n">
        <v>0</v>
      </c>
      <c r="P286" t="n">
        <v>0</v>
      </c>
      <c r="Q286" t="n">
        <v>0</v>
      </c>
      <c r="R286" s="2" t="inlineStr"/>
    </row>
    <row r="287" ht="15" customHeight="1">
      <c r="A287" t="inlineStr">
        <is>
          <t>A 63091-2019</t>
        </is>
      </c>
      <c r="B287" s="1" t="n">
        <v>43791</v>
      </c>
      <c r="C287" s="1" t="n">
        <v>45719</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63099-2019</t>
        </is>
      </c>
      <c r="B288" s="1" t="n">
        <v>43791</v>
      </c>
      <c r="C288" s="1" t="n">
        <v>45719</v>
      </c>
      <c r="D288" t="inlineStr">
        <is>
          <t>UPPSALA LÄN</t>
        </is>
      </c>
      <c r="E288" t="inlineStr">
        <is>
          <t>UPPSALA</t>
        </is>
      </c>
      <c r="G288" t="n">
        <v>4.4</v>
      </c>
      <c r="H288" t="n">
        <v>0</v>
      </c>
      <c r="I288" t="n">
        <v>0</v>
      </c>
      <c r="J288" t="n">
        <v>0</v>
      </c>
      <c r="K288" t="n">
        <v>0</v>
      </c>
      <c r="L288" t="n">
        <v>0</v>
      </c>
      <c r="M288" t="n">
        <v>0</v>
      </c>
      <c r="N288" t="n">
        <v>0</v>
      </c>
      <c r="O288" t="n">
        <v>0</v>
      </c>
      <c r="P288" t="n">
        <v>0</v>
      </c>
      <c r="Q288" t="n">
        <v>0</v>
      </c>
      <c r="R288" s="2" t="inlineStr"/>
    </row>
    <row r="289" ht="15" customHeight="1">
      <c r="A289" t="inlineStr">
        <is>
          <t>A 63118-2019</t>
        </is>
      </c>
      <c r="B289" s="1" t="n">
        <v>43791</v>
      </c>
      <c r="C289" s="1" t="n">
        <v>45719</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63589-2019</t>
        </is>
      </c>
      <c r="B290" s="1" t="n">
        <v>43795</v>
      </c>
      <c r="C290" s="1" t="n">
        <v>45719</v>
      </c>
      <c r="D290" t="inlineStr">
        <is>
          <t>UPPSALA LÄN</t>
        </is>
      </c>
      <c r="E290" t="inlineStr">
        <is>
          <t>UPPSALA</t>
        </is>
      </c>
      <c r="G290" t="n">
        <v>3.8</v>
      </c>
      <c r="H290" t="n">
        <v>0</v>
      </c>
      <c r="I290" t="n">
        <v>0</v>
      </c>
      <c r="J290" t="n">
        <v>0</v>
      </c>
      <c r="K290" t="n">
        <v>0</v>
      </c>
      <c r="L290" t="n">
        <v>0</v>
      </c>
      <c r="M290" t="n">
        <v>0</v>
      </c>
      <c r="N290" t="n">
        <v>0</v>
      </c>
      <c r="O290" t="n">
        <v>0</v>
      </c>
      <c r="P290" t="n">
        <v>0</v>
      </c>
      <c r="Q290" t="n">
        <v>0</v>
      </c>
      <c r="R290" s="2" t="inlineStr"/>
    </row>
    <row r="291" ht="15" customHeight="1">
      <c r="A291" t="inlineStr">
        <is>
          <t>A 63757-2019</t>
        </is>
      </c>
      <c r="B291" s="1" t="n">
        <v>43795</v>
      </c>
      <c r="C291" s="1" t="n">
        <v>45719</v>
      </c>
      <c r="D291" t="inlineStr">
        <is>
          <t>UPPSALA LÄN</t>
        </is>
      </c>
      <c r="E291" t="inlineStr">
        <is>
          <t>UPPSALA</t>
        </is>
      </c>
      <c r="G291" t="n">
        <v>6.9</v>
      </c>
      <c r="H291" t="n">
        <v>0</v>
      </c>
      <c r="I291" t="n">
        <v>0</v>
      </c>
      <c r="J291" t="n">
        <v>0</v>
      </c>
      <c r="K291" t="n">
        <v>0</v>
      </c>
      <c r="L291" t="n">
        <v>0</v>
      </c>
      <c r="M291" t="n">
        <v>0</v>
      </c>
      <c r="N291" t="n">
        <v>0</v>
      </c>
      <c r="O291" t="n">
        <v>0</v>
      </c>
      <c r="P291" t="n">
        <v>0</v>
      </c>
      <c r="Q291" t="n">
        <v>0</v>
      </c>
      <c r="R291" s="2" t="inlineStr"/>
    </row>
    <row r="292" ht="15" customHeight="1">
      <c r="A292" t="inlineStr">
        <is>
          <t>A 63756-2019</t>
        </is>
      </c>
      <c r="B292" s="1" t="n">
        <v>43795</v>
      </c>
      <c r="C292" s="1" t="n">
        <v>45719</v>
      </c>
      <c r="D292" t="inlineStr">
        <is>
          <t>UPPSALA LÄN</t>
        </is>
      </c>
      <c r="E292" t="inlineStr">
        <is>
          <t>UPPSALA</t>
        </is>
      </c>
      <c r="G292" t="n">
        <v>6.5</v>
      </c>
      <c r="H292" t="n">
        <v>0</v>
      </c>
      <c r="I292" t="n">
        <v>0</v>
      </c>
      <c r="J292" t="n">
        <v>0</v>
      </c>
      <c r="K292" t="n">
        <v>0</v>
      </c>
      <c r="L292" t="n">
        <v>0</v>
      </c>
      <c r="M292" t="n">
        <v>0</v>
      </c>
      <c r="N292" t="n">
        <v>0</v>
      </c>
      <c r="O292" t="n">
        <v>0</v>
      </c>
      <c r="P292" t="n">
        <v>0</v>
      </c>
      <c r="Q292" t="n">
        <v>0</v>
      </c>
      <c r="R292" s="2" t="inlineStr"/>
    </row>
    <row r="293" ht="15" customHeight="1">
      <c r="A293" t="inlineStr">
        <is>
          <t>A 64836-2019</t>
        </is>
      </c>
      <c r="B293" s="1" t="n">
        <v>43801</v>
      </c>
      <c r="C293" s="1" t="n">
        <v>45719</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64834-2019</t>
        </is>
      </c>
      <c r="B294" s="1" t="n">
        <v>43801</v>
      </c>
      <c r="C294" s="1" t="n">
        <v>45719</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65527-2019</t>
        </is>
      </c>
      <c r="B295" s="1" t="n">
        <v>43803</v>
      </c>
      <c r="C295" s="1" t="n">
        <v>45719</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65668-2019</t>
        </is>
      </c>
      <c r="B296" s="1" t="n">
        <v>43804</v>
      </c>
      <c r="C296" s="1" t="n">
        <v>45719</v>
      </c>
      <c r="D296" t="inlineStr">
        <is>
          <t>UPPSALA LÄN</t>
        </is>
      </c>
      <c r="E296" t="inlineStr">
        <is>
          <t>UPPSALA</t>
        </is>
      </c>
      <c r="G296" t="n">
        <v>7.6</v>
      </c>
      <c r="H296" t="n">
        <v>0</v>
      </c>
      <c r="I296" t="n">
        <v>0</v>
      </c>
      <c r="J296" t="n">
        <v>0</v>
      </c>
      <c r="K296" t="n">
        <v>0</v>
      </c>
      <c r="L296" t="n">
        <v>0</v>
      </c>
      <c r="M296" t="n">
        <v>0</v>
      </c>
      <c r="N296" t="n">
        <v>0</v>
      </c>
      <c r="O296" t="n">
        <v>0</v>
      </c>
      <c r="P296" t="n">
        <v>0</v>
      </c>
      <c r="Q296" t="n">
        <v>0</v>
      </c>
      <c r="R296" s="2" t="inlineStr"/>
    </row>
    <row r="297" ht="15" customHeight="1">
      <c r="A297" t="inlineStr">
        <is>
          <t>A 66167-2019</t>
        </is>
      </c>
      <c r="B297" s="1" t="n">
        <v>43808</v>
      </c>
      <c r="C297" s="1" t="n">
        <v>45719</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66270-2019</t>
        </is>
      </c>
      <c r="B298" s="1" t="n">
        <v>43808</v>
      </c>
      <c r="C298" s="1" t="n">
        <v>45719</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67108-2019</t>
        </is>
      </c>
      <c r="B299" s="1" t="n">
        <v>43811</v>
      </c>
      <c r="C299" s="1" t="n">
        <v>45719</v>
      </c>
      <c r="D299" t="inlineStr">
        <is>
          <t>UPPSALA LÄN</t>
        </is>
      </c>
      <c r="E299" t="inlineStr">
        <is>
          <t>UPPSALA</t>
        </is>
      </c>
      <c r="G299" t="n">
        <v>2.7</v>
      </c>
      <c r="H299" t="n">
        <v>0</v>
      </c>
      <c r="I299" t="n">
        <v>0</v>
      </c>
      <c r="J299" t="n">
        <v>0</v>
      </c>
      <c r="K299" t="n">
        <v>0</v>
      </c>
      <c r="L299" t="n">
        <v>0</v>
      </c>
      <c r="M299" t="n">
        <v>0</v>
      </c>
      <c r="N299" t="n">
        <v>0</v>
      </c>
      <c r="O299" t="n">
        <v>0</v>
      </c>
      <c r="P299" t="n">
        <v>0</v>
      </c>
      <c r="Q299" t="n">
        <v>0</v>
      </c>
      <c r="R299" s="2" t="inlineStr"/>
    </row>
    <row r="300" ht="15" customHeight="1">
      <c r="A300" t="inlineStr">
        <is>
          <t>A 67281-2019</t>
        </is>
      </c>
      <c r="B300" s="1" t="n">
        <v>43812</v>
      </c>
      <c r="C300" s="1" t="n">
        <v>45719</v>
      </c>
      <c r="D300" t="inlineStr">
        <is>
          <t>UPPSALA LÄN</t>
        </is>
      </c>
      <c r="E300" t="inlineStr">
        <is>
          <t>UPPSALA</t>
        </is>
      </c>
      <c r="F300" t="inlineStr">
        <is>
          <t>Allmännings- och besparingsskogar</t>
        </is>
      </c>
      <c r="G300" t="n">
        <v>1.2</v>
      </c>
      <c r="H300" t="n">
        <v>0</v>
      </c>
      <c r="I300" t="n">
        <v>0</v>
      </c>
      <c r="J300" t="n">
        <v>0</v>
      </c>
      <c r="K300" t="n">
        <v>0</v>
      </c>
      <c r="L300" t="n">
        <v>0</v>
      </c>
      <c r="M300" t="n">
        <v>0</v>
      </c>
      <c r="N300" t="n">
        <v>0</v>
      </c>
      <c r="O300" t="n">
        <v>0</v>
      </c>
      <c r="P300" t="n">
        <v>0</v>
      </c>
      <c r="Q300" t="n">
        <v>0</v>
      </c>
      <c r="R300" s="2" t="inlineStr"/>
    </row>
    <row r="301" ht="15" customHeight="1">
      <c r="A301" t="inlineStr">
        <is>
          <t>A 67508-2019</t>
        </is>
      </c>
      <c r="B301" s="1" t="n">
        <v>43814</v>
      </c>
      <c r="C301" s="1" t="n">
        <v>45719</v>
      </c>
      <c r="D301" t="inlineStr">
        <is>
          <t>UPPSALA LÄN</t>
        </is>
      </c>
      <c r="E301" t="inlineStr">
        <is>
          <t>UPPSALA</t>
        </is>
      </c>
      <c r="F301" t="inlineStr">
        <is>
          <t>Allmännings- och besparingsskogar</t>
        </is>
      </c>
      <c r="G301" t="n">
        <v>4.9</v>
      </c>
      <c r="H301" t="n">
        <v>0</v>
      </c>
      <c r="I301" t="n">
        <v>0</v>
      </c>
      <c r="J301" t="n">
        <v>0</v>
      </c>
      <c r="K301" t="n">
        <v>0</v>
      </c>
      <c r="L301" t="n">
        <v>0</v>
      </c>
      <c r="M301" t="n">
        <v>0</v>
      </c>
      <c r="N301" t="n">
        <v>0</v>
      </c>
      <c r="O301" t="n">
        <v>0</v>
      </c>
      <c r="P301" t="n">
        <v>0</v>
      </c>
      <c r="Q301" t="n">
        <v>0</v>
      </c>
      <c r="R301" s="2" t="inlineStr"/>
    </row>
    <row r="302" ht="15" customHeight="1">
      <c r="A302" t="inlineStr">
        <is>
          <t>A 67504-2019</t>
        </is>
      </c>
      <c r="B302" s="1" t="n">
        <v>43814</v>
      </c>
      <c r="C302" s="1" t="n">
        <v>45719</v>
      </c>
      <c r="D302" t="inlineStr">
        <is>
          <t>UPPSALA LÄN</t>
        </is>
      </c>
      <c r="E302" t="inlineStr">
        <is>
          <t>UPPSALA</t>
        </is>
      </c>
      <c r="F302" t="inlineStr">
        <is>
          <t>Allmännings- och besparingsskogar</t>
        </is>
      </c>
      <c r="G302" t="n">
        <v>21.9</v>
      </c>
      <c r="H302" t="n">
        <v>0</v>
      </c>
      <c r="I302" t="n">
        <v>0</v>
      </c>
      <c r="J302" t="n">
        <v>0</v>
      </c>
      <c r="K302" t="n">
        <v>0</v>
      </c>
      <c r="L302" t="n">
        <v>0</v>
      </c>
      <c r="M302" t="n">
        <v>0</v>
      </c>
      <c r="N302" t="n">
        <v>0</v>
      </c>
      <c r="O302" t="n">
        <v>0</v>
      </c>
      <c r="P302" t="n">
        <v>0</v>
      </c>
      <c r="Q302" t="n">
        <v>0</v>
      </c>
      <c r="R302" s="2" t="inlineStr"/>
    </row>
    <row r="303" ht="15" customHeight="1">
      <c r="A303" t="inlineStr">
        <is>
          <t>A 67720-2019</t>
        </is>
      </c>
      <c r="B303" s="1" t="n">
        <v>43815</v>
      </c>
      <c r="C303" s="1" t="n">
        <v>45719</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67592-2019</t>
        </is>
      </c>
      <c r="B304" s="1" t="n">
        <v>43815</v>
      </c>
      <c r="C304" s="1" t="n">
        <v>45719</v>
      </c>
      <c r="D304" t="inlineStr">
        <is>
          <t>UPPSALA LÄN</t>
        </is>
      </c>
      <c r="E304" t="inlineStr">
        <is>
          <t>UPPSALA</t>
        </is>
      </c>
      <c r="F304" t="inlineStr">
        <is>
          <t>Övriga statliga verk och myndigheter</t>
        </is>
      </c>
      <c r="G304" t="n">
        <v>0.8</v>
      </c>
      <c r="H304" t="n">
        <v>0</v>
      </c>
      <c r="I304" t="n">
        <v>0</v>
      </c>
      <c r="J304" t="n">
        <v>0</v>
      </c>
      <c r="K304" t="n">
        <v>0</v>
      </c>
      <c r="L304" t="n">
        <v>0</v>
      </c>
      <c r="M304" t="n">
        <v>0</v>
      </c>
      <c r="N304" t="n">
        <v>0</v>
      </c>
      <c r="O304" t="n">
        <v>0</v>
      </c>
      <c r="P304" t="n">
        <v>0</v>
      </c>
      <c r="Q304" t="n">
        <v>0</v>
      </c>
      <c r="R304" s="2" t="inlineStr"/>
    </row>
    <row r="305" ht="15" customHeight="1">
      <c r="A305" t="inlineStr">
        <is>
          <t>A 68264-2019</t>
        </is>
      </c>
      <c r="B305" s="1" t="n">
        <v>43817</v>
      </c>
      <c r="C305" s="1" t="n">
        <v>45719</v>
      </c>
      <c r="D305" t="inlineStr">
        <is>
          <t>UPPSALA LÄN</t>
        </is>
      </c>
      <c r="E305" t="inlineStr">
        <is>
          <t>UPPSALA</t>
        </is>
      </c>
      <c r="G305" t="n">
        <v>2.9</v>
      </c>
      <c r="H305" t="n">
        <v>0</v>
      </c>
      <c r="I305" t="n">
        <v>0</v>
      </c>
      <c r="J305" t="n">
        <v>0</v>
      </c>
      <c r="K305" t="n">
        <v>0</v>
      </c>
      <c r="L305" t="n">
        <v>0</v>
      </c>
      <c r="M305" t="n">
        <v>0</v>
      </c>
      <c r="N305" t="n">
        <v>0</v>
      </c>
      <c r="O305" t="n">
        <v>0</v>
      </c>
      <c r="P305" t="n">
        <v>0</v>
      </c>
      <c r="Q305" t="n">
        <v>0</v>
      </c>
      <c r="R305" s="2" t="inlineStr"/>
    </row>
    <row r="306" ht="15" customHeight="1">
      <c r="A306" t="inlineStr">
        <is>
          <t>A 68265-2019</t>
        </is>
      </c>
      <c r="B306" s="1" t="n">
        <v>43817</v>
      </c>
      <c r="C306" s="1" t="n">
        <v>45719</v>
      </c>
      <c r="D306" t="inlineStr">
        <is>
          <t>UPPSALA LÄN</t>
        </is>
      </c>
      <c r="E306" t="inlineStr">
        <is>
          <t>UPPSALA</t>
        </is>
      </c>
      <c r="G306" t="n">
        <v>2.4</v>
      </c>
      <c r="H306" t="n">
        <v>0</v>
      </c>
      <c r="I306" t="n">
        <v>0</v>
      </c>
      <c r="J306" t="n">
        <v>0</v>
      </c>
      <c r="K306" t="n">
        <v>0</v>
      </c>
      <c r="L306" t="n">
        <v>0</v>
      </c>
      <c r="M306" t="n">
        <v>0</v>
      </c>
      <c r="N306" t="n">
        <v>0</v>
      </c>
      <c r="O306" t="n">
        <v>0</v>
      </c>
      <c r="P306" t="n">
        <v>0</v>
      </c>
      <c r="Q306" t="n">
        <v>0</v>
      </c>
      <c r="R306" s="2" t="inlineStr"/>
    </row>
    <row r="307" ht="15" customHeight="1">
      <c r="A307" t="inlineStr">
        <is>
          <t>A 68317-2019</t>
        </is>
      </c>
      <c r="B307" s="1" t="n">
        <v>43818</v>
      </c>
      <c r="C307" s="1" t="n">
        <v>45719</v>
      </c>
      <c r="D307" t="inlineStr">
        <is>
          <t>UPPSALA LÄN</t>
        </is>
      </c>
      <c r="E307" t="inlineStr">
        <is>
          <t>UPPSALA</t>
        </is>
      </c>
      <c r="G307" t="n">
        <v>1.1</v>
      </c>
      <c r="H307" t="n">
        <v>0</v>
      </c>
      <c r="I307" t="n">
        <v>0</v>
      </c>
      <c r="J307" t="n">
        <v>0</v>
      </c>
      <c r="K307" t="n">
        <v>0</v>
      </c>
      <c r="L307" t="n">
        <v>0</v>
      </c>
      <c r="M307" t="n">
        <v>0</v>
      </c>
      <c r="N307" t="n">
        <v>0</v>
      </c>
      <c r="O307" t="n">
        <v>0</v>
      </c>
      <c r="P307" t="n">
        <v>0</v>
      </c>
      <c r="Q307" t="n">
        <v>0</v>
      </c>
      <c r="R307" s="2" t="inlineStr"/>
    </row>
    <row r="308" ht="15" customHeight="1">
      <c r="A308" t="inlineStr">
        <is>
          <t>A 68316-2019</t>
        </is>
      </c>
      <c r="B308" s="1" t="n">
        <v>43818</v>
      </c>
      <c r="C308" s="1" t="n">
        <v>45719</v>
      </c>
      <c r="D308" t="inlineStr">
        <is>
          <t>UPPSALA LÄN</t>
        </is>
      </c>
      <c r="E308" t="inlineStr">
        <is>
          <t>UPPSALA</t>
        </is>
      </c>
      <c r="G308" t="n">
        <v>2.5</v>
      </c>
      <c r="H308" t="n">
        <v>0</v>
      </c>
      <c r="I308" t="n">
        <v>0</v>
      </c>
      <c r="J308" t="n">
        <v>0</v>
      </c>
      <c r="K308" t="n">
        <v>0</v>
      </c>
      <c r="L308" t="n">
        <v>0</v>
      </c>
      <c r="M308" t="n">
        <v>0</v>
      </c>
      <c r="N308" t="n">
        <v>0</v>
      </c>
      <c r="O308" t="n">
        <v>0</v>
      </c>
      <c r="P308" t="n">
        <v>0</v>
      </c>
      <c r="Q308" t="n">
        <v>0</v>
      </c>
      <c r="R308" s="2" t="inlineStr"/>
    </row>
    <row r="309" ht="15" customHeight="1">
      <c r="A309" t="inlineStr">
        <is>
          <t>A 68908-2019</t>
        </is>
      </c>
      <c r="B309" s="1" t="n">
        <v>43822</v>
      </c>
      <c r="C309" s="1" t="n">
        <v>45719</v>
      </c>
      <c r="D309" t="inlineStr">
        <is>
          <t>UPPSALA LÄN</t>
        </is>
      </c>
      <c r="E309" t="inlineStr">
        <is>
          <t>UPPSALA</t>
        </is>
      </c>
      <c r="G309" t="n">
        <v>4</v>
      </c>
      <c r="H309" t="n">
        <v>0</v>
      </c>
      <c r="I309" t="n">
        <v>0</v>
      </c>
      <c r="J309" t="n">
        <v>0</v>
      </c>
      <c r="K309" t="n">
        <v>0</v>
      </c>
      <c r="L309" t="n">
        <v>0</v>
      </c>
      <c r="M309" t="n">
        <v>0</v>
      </c>
      <c r="N309" t="n">
        <v>0</v>
      </c>
      <c r="O309" t="n">
        <v>0</v>
      </c>
      <c r="P309" t="n">
        <v>0</v>
      </c>
      <c r="Q309" t="n">
        <v>0</v>
      </c>
      <c r="R309" s="2" t="inlineStr"/>
    </row>
    <row r="310" ht="15" customHeight="1">
      <c r="A310" t="inlineStr">
        <is>
          <t>A 529-2020</t>
        </is>
      </c>
      <c r="B310" s="1" t="n">
        <v>43837</v>
      </c>
      <c r="C310" s="1" t="n">
        <v>45719</v>
      </c>
      <c r="D310" t="inlineStr">
        <is>
          <t>UPPSALA LÄN</t>
        </is>
      </c>
      <c r="E310" t="inlineStr">
        <is>
          <t>UPPSALA</t>
        </is>
      </c>
      <c r="G310" t="n">
        <v>1.6</v>
      </c>
      <c r="H310" t="n">
        <v>0</v>
      </c>
      <c r="I310" t="n">
        <v>0</v>
      </c>
      <c r="J310" t="n">
        <v>0</v>
      </c>
      <c r="K310" t="n">
        <v>0</v>
      </c>
      <c r="L310" t="n">
        <v>0</v>
      </c>
      <c r="M310" t="n">
        <v>0</v>
      </c>
      <c r="N310" t="n">
        <v>0</v>
      </c>
      <c r="O310" t="n">
        <v>0</v>
      </c>
      <c r="P310" t="n">
        <v>0</v>
      </c>
      <c r="Q310" t="n">
        <v>0</v>
      </c>
      <c r="R310" s="2" t="inlineStr"/>
    </row>
    <row r="311" ht="15" customHeight="1">
      <c r="A311" t="inlineStr">
        <is>
          <t>A 1891-2020</t>
        </is>
      </c>
      <c r="B311" s="1" t="n">
        <v>43837</v>
      </c>
      <c r="C311" s="1" t="n">
        <v>45719</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701-2020</t>
        </is>
      </c>
      <c r="B312" s="1" t="n">
        <v>43838</v>
      </c>
      <c r="C312" s="1" t="n">
        <v>45719</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1171-2020</t>
        </is>
      </c>
      <c r="B313" s="1" t="n">
        <v>43840</v>
      </c>
      <c r="C313" s="1" t="n">
        <v>45719</v>
      </c>
      <c r="D313" t="inlineStr">
        <is>
          <t>UPPSALA LÄN</t>
        </is>
      </c>
      <c r="E313" t="inlineStr">
        <is>
          <t>UPPSALA</t>
        </is>
      </c>
      <c r="G313" t="n">
        <v>1.1</v>
      </c>
      <c r="H313" t="n">
        <v>0</v>
      </c>
      <c r="I313" t="n">
        <v>0</v>
      </c>
      <c r="J313" t="n">
        <v>0</v>
      </c>
      <c r="K313" t="n">
        <v>0</v>
      </c>
      <c r="L313" t="n">
        <v>0</v>
      </c>
      <c r="M313" t="n">
        <v>0</v>
      </c>
      <c r="N313" t="n">
        <v>0</v>
      </c>
      <c r="O313" t="n">
        <v>0</v>
      </c>
      <c r="P313" t="n">
        <v>0</v>
      </c>
      <c r="Q313" t="n">
        <v>0</v>
      </c>
      <c r="R313" s="2" t="inlineStr"/>
    </row>
    <row r="314" ht="15" customHeight="1">
      <c r="A314" t="inlineStr">
        <is>
          <t>A 1688-2020</t>
        </is>
      </c>
      <c r="B314" s="1" t="n">
        <v>43844</v>
      </c>
      <c r="C314" s="1" t="n">
        <v>45719</v>
      </c>
      <c r="D314" t="inlineStr">
        <is>
          <t>UPPSALA LÄN</t>
        </is>
      </c>
      <c r="E314" t="inlineStr">
        <is>
          <t>UPPSALA</t>
        </is>
      </c>
      <c r="G314" t="n">
        <v>1.5</v>
      </c>
      <c r="H314" t="n">
        <v>0</v>
      </c>
      <c r="I314" t="n">
        <v>0</v>
      </c>
      <c r="J314" t="n">
        <v>0</v>
      </c>
      <c r="K314" t="n">
        <v>0</v>
      </c>
      <c r="L314" t="n">
        <v>0</v>
      </c>
      <c r="M314" t="n">
        <v>0</v>
      </c>
      <c r="N314" t="n">
        <v>0</v>
      </c>
      <c r="O314" t="n">
        <v>0</v>
      </c>
      <c r="P314" t="n">
        <v>0</v>
      </c>
      <c r="Q314" t="n">
        <v>0</v>
      </c>
      <c r="R314" s="2" t="inlineStr"/>
    </row>
    <row r="315" ht="15" customHeight="1">
      <c r="A315" t="inlineStr">
        <is>
          <t>A 2162-2020</t>
        </is>
      </c>
      <c r="B315" s="1" t="n">
        <v>43846</v>
      </c>
      <c r="C315" s="1" t="n">
        <v>45719</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2895-2020</t>
        </is>
      </c>
      <c r="B316" s="1" t="n">
        <v>43850</v>
      </c>
      <c r="C316" s="1" t="n">
        <v>45719</v>
      </c>
      <c r="D316" t="inlineStr">
        <is>
          <t>UPPSALA LÄN</t>
        </is>
      </c>
      <c r="E316" t="inlineStr">
        <is>
          <t>UPPSALA</t>
        </is>
      </c>
      <c r="G316" t="n">
        <v>3.8</v>
      </c>
      <c r="H316" t="n">
        <v>0</v>
      </c>
      <c r="I316" t="n">
        <v>0</v>
      </c>
      <c r="J316" t="n">
        <v>0</v>
      </c>
      <c r="K316" t="n">
        <v>0</v>
      </c>
      <c r="L316" t="n">
        <v>0</v>
      </c>
      <c r="M316" t="n">
        <v>0</v>
      </c>
      <c r="N316" t="n">
        <v>0</v>
      </c>
      <c r="O316" t="n">
        <v>0</v>
      </c>
      <c r="P316" t="n">
        <v>0</v>
      </c>
      <c r="Q316" t="n">
        <v>0</v>
      </c>
      <c r="R316" s="2" t="inlineStr"/>
    </row>
    <row r="317" ht="15" customHeight="1">
      <c r="A317" t="inlineStr">
        <is>
          <t>A 3693-2020</t>
        </is>
      </c>
      <c r="B317" s="1" t="n">
        <v>43853</v>
      </c>
      <c r="C317" s="1" t="n">
        <v>45719</v>
      </c>
      <c r="D317" t="inlineStr">
        <is>
          <t>UPPSALA LÄN</t>
        </is>
      </c>
      <c r="E317" t="inlineStr">
        <is>
          <t>UPPSALA</t>
        </is>
      </c>
      <c r="F317" t="inlineStr">
        <is>
          <t>Bergvik skog öst AB</t>
        </is>
      </c>
      <c r="G317" t="n">
        <v>2.3</v>
      </c>
      <c r="H317" t="n">
        <v>0</v>
      </c>
      <c r="I317" t="n">
        <v>0</v>
      </c>
      <c r="J317" t="n">
        <v>0</v>
      </c>
      <c r="K317" t="n">
        <v>0</v>
      </c>
      <c r="L317" t="n">
        <v>0</v>
      </c>
      <c r="M317" t="n">
        <v>0</v>
      </c>
      <c r="N317" t="n">
        <v>0</v>
      </c>
      <c r="O317" t="n">
        <v>0</v>
      </c>
      <c r="P317" t="n">
        <v>0</v>
      </c>
      <c r="Q317" t="n">
        <v>0</v>
      </c>
      <c r="R317" s="2" t="inlineStr"/>
    </row>
    <row r="318" ht="15" customHeight="1">
      <c r="A318" t="inlineStr">
        <is>
          <t>A 3516-2020</t>
        </is>
      </c>
      <c r="B318" s="1" t="n">
        <v>43853</v>
      </c>
      <c r="C318" s="1" t="n">
        <v>45719</v>
      </c>
      <c r="D318" t="inlineStr">
        <is>
          <t>UPPSALA LÄN</t>
        </is>
      </c>
      <c r="E318" t="inlineStr">
        <is>
          <t>UPPSALA</t>
        </is>
      </c>
      <c r="G318" t="n">
        <v>9.4</v>
      </c>
      <c r="H318" t="n">
        <v>0</v>
      </c>
      <c r="I318" t="n">
        <v>0</v>
      </c>
      <c r="J318" t="n">
        <v>0</v>
      </c>
      <c r="K318" t="n">
        <v>0</v>
      </c>
      <c r="L318" t="n">
        <v>0</v>
      </c>
      <c r="M318" t="n">
        <v>0</v>
      </c>
      <c r="N318" t="n">
        <v>0</v>
      </c>
      <c r="O318" t="n">
        <v>0</v>
      </c>
      <c r="P318" t="n">
        <v>0</v>
      </c>
      <c r="Q318" t="n">
        <v>0</v>
      </c>
      <c r="R318" s="2" t="inlineStr"/>
    </row>
    <row r="319" ht="15" customHeight="1">
      <c r="A319" t="inlineStr">
        <is>
          <t>A 6313-2020</t>
        </is>
      </c>
      <c r="B319" s="1" t="n">
        <v>43866</v>
      </c>
      <c r="C319" s="1" t="n">
        <v>45719</v>
      </c>
      <c r="D319" t="inlineStr">
        <is>
          <t>UPPSALA LÄN</t>
        </is>
      </c>
      <c r="E319" t="inlineStr">
        <is>
          <t>UPPSALA</t>
        </is>
      </c>
      <c r="F319" t="inlineStr">
        <is>
          <t>Övriga statliga verk och myndigheter</t>
        </is>
      </c>
      <c r="G319" t="n">
        <v>3.4</v>
      </c>
      <c r="H319" t="n">
        <v>0</v>
      </c>
      <c r="I319" t="n">
        <v>0</v>
      </c>
      <c r="J319" t="n">
        <v>0</v>
      </c>
      <c r="K319" t="n">
        <v>0</v>
      </c>
      <c r="L319" t="n">
        <v>0</v>
      </c>
      <c r="M319" t="n">
        <v>0</v>
      </c>
      <c r="N319" t="n">
        <v>0</v>
      </c>
      <c r="O319" t="n">
        <v>0</v>
      </c>
      <c r="P319" t="n">
        <v>0</v>
      </c>
      <c r="Q319" t="n">
        <v>0</v>
      </c>
      <c r="R319" s="2" t="inlineStr"/>
    </row>
    <row r="320" ht="15" customHeight="1">
      <c r="A320" t="inlineStr">
        <is>
          <t>A 6315-2020</t>
        </is>
      </c>
      <c r="B320" s="1" t="n">
        <v>43866</v>
      </c>
      <c r="C320" s="1" t="n">
        <v>45719</v>
      </c>
      <c r="D320" t="inlineStr">
        <is>
          <t>UPPSALA LÄN</t>
        </is>
      </c>
      <c r="E320" t="inlineStr">
        <is>
          <t>UPPSALA</t>
        </is>
      </c>
      <c r="F320" t="inlineStr">
        <is>
          <t>Övriga statliga verk och myndigheter</t>
        </is>
      </c>
      <c r="G320" t="n">
        <v>1.9</v>
      </c>
      <c r="H320" t="n">
        <v>0</v>
      </c>
      <c r="I320" t="n">
        <v>0</v>
      </c>
      <c r="J320" t="n">
        <v>0</v>
      </c>
      <c r="K320" t="n">
        <v>0</v>
      </c>
      <c r="L320" t="n">
        <v>0</v>
      </c>
      <c r="M320" t="n">
        <v>0</v>
      </c>
      <c r="N320" t="n">
        <v>0</v>
      </c>
      <c r="O320" t="n">
        <v>0</v>
      </c>
      <c r="P320" t="n">
        <v>0</v>
      </c>
      <c r="Q320" t="n">
        <v>0</v>
      </c>
      <c r="R320" s="2" t="inlineStr"/>
    </row>
    <row r="321" ht="15" customHeight="1">
      <c r="A321" t="inlineStr">
        <is>
          <t>A 6655-2020</t>
        </is>
      </c>
      <c r="B321" s="1" t="n">
        <v>43867</v>
      </c>
      <c r="C321" s="1" t="n">
        <v>45719</v>
      </c>
      <c r="D321" t="inlineStr">
        <is>
          <t>UPPSALA LÄN</t>
        </is>
      </c>
      <c r="E321" t="inlineStr">
        <is>
          <t>UPPSALA</t>
        </is>
      </c>
      <c r="G321" t="n">
        <v>7.3</v>
      </c>
      <c r="H321" t="n">
        <v>0</v>
      </c>
      <c r="I321" t="n">
        <v>0</v>
      </c>
      <c r="J321" t="n">
        <v>0</v>
      </c>
      <c r="K321" t="n">
        <v>0</v>
      </c>
      <c r="L321" t="n">
        <v>0</v>
      </c>
      <c r="M321" t="n">
        <v>0</v>
      </c>
      <c r="N321" t="n">
        <v>0</v>
      </c>
      <c r="O321" t="n">
        <v>0</v>
      </c>
      <c r="P321" t="n">
        <v>0</v>
      </c>
      <c r="Q321" t="n">
        <v>0</v>
      </c>
      <c r="R321" s="2" t="inlineStr"/>
    </row>
    <row r="322" ht="15" customHeight="1">
      <c r="A322" t="inlineStr">
        <is>
          <t>A 8261-2020</t>
        </is>
      </c>
      <c r="B322" s="1" t="n">
        <v>43874</v>
      </c>
      <c r="C322" s="1" t="n">
        <v>45719</v>
      </c>
      <c r="D322" t="inlineStr">
        <is>
          <t>UPPSALA LÄN</t>
        </is>
      </c>
      <c r="E322" t="inlineStr">
        <is>
          <t>UPPSALA</t>
        </is>
      </c>
      <c r="G322" t="n">
        <v>5.1</v>
      </c>
      <c r="H322" t="n">
        <v>0</v>
      </c>
      <c r="I322" t="n">
        <v>0</v>
      </c>
      <c r="J322" t="n">
        <v>0</v>
      </c>
      <c r="K322" t="n">
        <v>0</v>
      </c>
      <c r="L322" t="n">
        <v>0</v>
      </c>
      <c r="M322" t="n">
        <v>0</v>
      </c>
      <c r="N322" t="n">
        <v>0</v>
      </c>
      <c r="O322" t="n">
        <v>0</v>
      </c>
      <c r="P322" t="n">
        <v>0</v>
      </c>
      <c r="Q322" t="n">
        <v>0</v>
      </c>
      <c r="R322" s="2" t="inlineStr"/>
    </row>
    <row r="323" ht="15" customHeight="1">
      <c r="A323" t="inlineStr">
        <is>
          <t>A 8646-2020</t>
        </is>
      </c>
      <c r="B323" s="1" t="n">
        <v>43878</v>
      </c>
      <c r="C323" s="1" t="n">
        <v>45719</v>
      </c>
      <c r="D323" t="inlineStr">
        <is>
          <t>UPPSALA LÄN</t>
        </is>
      </c>
      <c r="E323" t="inlineStr">
        <is>
          <t>UPPSALA</t>
        </is>
      </c>
      <c r="G323" t="n">
        <v>3.5</v>
      </c>
      <c r="H323" t="n">
        <v>0</v>
      </c>
      <c r="I323" t="n">
        <v>0</v>
      </c>
      <c r="J323" t="n">
        <v>0</v>
      </c>
      <c r="K323" t="n">
        <v>0</v>
      </c>
      <c r="L323" t="n">
        <v>0</v>
      </c>
      <c r="M323" t="n">
        <v>0</v>
      </c>
      <c r="N323" t="n">
        <v>0</v>
      </c>
      <c r="O323" t="n">
        <v>0</v>
      </c>
      <c r="P323" t="n">
        <v>0</v>
      </c>
      <c r="Q323" t="n">
        <v>0</v>
      </c>
      <c r="R323" s="2" t="inlineStr"/>
    </row>
    <row r="324" ht="15" customHeight="1">
      <c r="A324" t="inlineStr">
        <is>
          <t>A 8902-2020</t>
        </is>
      </c>
      <c r="B324" s="1" t="n">
        <v>43878</v>
      </c>
      <c r="C324" s="1" t="n">
        <v>45719</v>
      </c>
      <c r="D324" t="inlineStr">
        <is>
          <t>UPPSALA LÄN</t>
        </is>
      </c>
      <c r="E324" t="inlineStr">
        <is>
          <t>UPPSALA</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9011-2020</t>
        </is>
      </c>
      <c r="B325" s="1" t="n">
        <v>43879</v>
      </c>
      <c r="C325" s="1" t="n">
        <v>45719</v>
      </c>
      <c r="D325" t="inlineStr">
        <is>
          <t>UPPSALA LÄN</t>
        </is>
      </c>
      <c r="E325" t="inlineStr">
        <is>
          <t>UPPSALA</t>
        </is>
      </c>
      <c r="F325" t="inlineStr">
        <is>
          <t>Övriga statliga verk och myndigheter</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9084-2020</t>
        </is>
      </c>
      <c r="B326" s="1" t="n">
        <v>43879</v>
      </c>
      <c r="C326" s="1" t="n">
        <v>45719</v>
      </c>
      <c r="D326" t="inlineStr">
        <is>
          <t>UPPSALA LÄN</t>
        </is>
      </c>
      <c r="E326" t="inlineStr">
        <is>
          <t>UPPSALA</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9257-2020</t>
        </is>
      </c>
      <c r="B327" s="1" t="n">
        <v>43879</v>
      </c>
      <c r="C327" s="1" t="n">
        <v>45719</v>
      </c>
      <c r="D327" t="inlineStr">
        <is>
          <t>UPPSALA LÄN</t>
        </is>
      </c>
      <c r="E327" t="inlineStr">
        <is>
          <t>UPPSALA</t>
        </is>
      </c>
      <c r="F327" t="inlineStr">
        <is>
          <t>Bergvik skog öst AB</t>
        </is>
      </c>
      <c r="G327" t="n">
        <v>5.8</v>
      </c>
      <c r="H327" t="n">
        <v>0</v>
      </c>
      <c r="I327" t="n">
        <v>0</v>
      </c>
      <c r="J327" t="n">
        <v>0</v>
      </c>
      <c r="K327" t="n">
        <v>0</v>
      </c>
      <c r="L327" t="n">
        <v>0</v>
      </c>
      <c r="M327" t="n">
        <v>0</v>
      </c>
      <c r="N327" t="n">
        <v>0</v>
      </c>
      <c r="O327" t="n">
        <v>0</v>
      </c>
      <c r="P327" t="n">
        <v>0</v>
      </c>
      <c r="Q327" t="n">
        <v>0</v>
      </c>
      <c r="R327" s="2" t="inlineStr"/>
    </row>
    <row r="328" ht="15" customHeight="1">
      <c r="A328" t="inlineStr">
        <is>
          <t>A 9658-2020</t>
        </is>
      </c>
      <c r="B328" s="1" t="n">
        <v>43881</v>
      </c>
      <c r="C328" s="1" t="n">
        <v>45719</v>
      </c>
      <c r="D328" t="inlineStr">
        <is>
          <t>UPPSALA LÄN</t>
        </is>
      </c>
      <c r="E328" t="inlineStr">
        <is>
          <t>UPPSALA</t>
        </is>
      </c>
      <c r="G328" t="n">
        <v>3.6</v>
      </c>
      <c r="H328" t="n">
        <v>0</v>
      </c>
      <c r="I328" t="n">
        <v>0</v>
      </c>
      <c r="J328" t="n">
        <v>0</v>
      </c>
      <c r="K328" t="n">
        <v>0</v>
      </c>
      <c r="L328" t="n">
        <v>0</v>
      </c>
      <c r="M328" t="n">
        <v>0</v>
      </c>
      <c r="N328" t="n">
        <v>0</v>
      </c>
      <c r="O328" t="n">
        <v>0</v>
      </c>
      <c r="P328" t="n">
        <v>0</v>
      </c>
      <c r="Q328" t="n">
        <v>0</v>
      </c>
      <c r="R328" s="2" t="inlineStr"/>
    </row>
    <row r="329" ht="15" customHeight="1">
      <c r="A329" t="inlineStr">
        <is>
          <t>A 10003-2020</t>
        </is>
      </c>
      <c r="B329" s="1" t="n">
        <v>43882</v>
      </c>
      <c r="C329" s="1" t="n">
        <v>45719</v>
      </c>
      <c r="D329" t="inlineStr">
        <is>
          <t>UPPSALA LÄN</t>
        </is>
      </c>
      <c r="E329" t="inlineStr">
        <is>
          <t>UPPSALA</t>
        </is>
      </c>
      <c r="F329" t="inlineStr">
        <is>
          <t>Kyrkan</t>
        </is>
      </c>
      <c r="G329" t="n">
        <v>5.2</v>
      </c>
      <c r="H329" t="n">
        <v>0</v>
      </c>
      <c r="I329" t="n">
        <v>0</v>
      </c>
      <c r="J329" t="n">
        <v>0</v>
      </c>
      <c r="K329" t="n">
        <v>0</v>
      </c>
      <c r="L329" t="n">
        <v>0</v>
      </c>
      <c r="M329" t="n">
        <v>0</v>
      </c>
      <c r="N329" t="n">
        <v>0</v>
      </c>
      <c r="O329" t="n">
        <v>0</v>
      </c>
      <c r="P329" t="n">
        <v>0</v>
      </c>
      <c r="Q329" t="n">
        <v>0</v>
      </c>
      <c r="R329" s="2" t="inlineStr"/>
    </row>
    <row r="330" ht="15" customHeight="1">
      <c r="A330" t="inlineStr">
        <is>
          <t>A 9949-2020</t>
        </is>
      </c>
      <c r="B330" s="1" t="n">
        <v>43882</v>
      </c>
      <c r="C330" s="1" t="n">
        <v>45719</v>
      </c>
      <c r="D330" t="inlineStr">
        <is>
          <t>UPPSALA LÄN</t>
        </is>
      </c>
      <c r="E330" t="inlineStr">
        <is>
          <t>UPPSALA</t>
        </is>
      </c>
      <c r="F330" t="inlineStr">
        <is>
          <t>Kyrkan</t>
        </is>
      </c>
      <c r="G330" t="n">
        <v>2.2</v>
      </c>
      <c r="H330" t="n">
        <v>0</v>
      </c>
      <c r="I330" t="n">
        <v>0</v>
      </c>
      <c r="J330" t="n">
        <v>0</v>
      </c>
      <c r="K330" t="n">
        <v>0</v>
      </c>
      <c r="L330" t="n">
        <v>0</v>
      </c>
      <c r="M330" t="n">
        <v>0</v>
      </c>
      <c r="N330" t="n">
        <v>0</v>
      </c>
      <c r="O330" t="n">
        <v>0</v>
      </c>
      <c r="P330" t="n">
        <v>0</v>
      </c>
      <c r="Q330" t="n">
        <v>0</v>
      </c>
      <c r="R330" s="2" t="inlineStr"/>
    </row>
    <row r="331" ht="15" customHeight="1">
      <c r="A331" t="inlineStr">
        <is>
          <t>A 10033-2020</t>
        </is>
      </c>
      <c r="B331" s="1" t="n">
        <v>43882</v>
      </c>
      <c r="C331" s="1" t="n">
        <v>45719</v>
      </c>
      <c r="D331" t="inlineStr">
        <is>
          <t>UPPSALA LÄN</t>
        </is>
      </c>
      <c r="E331" t="inlineStr">
        <is>
          <t>UPPSALA</t>
        </is>
      </c>
      <c r="G331" t="n">
        <v>4.6</v>
      </c>
      <c r="H331" t="n">
        <v>0</v>
      </c>
      <c r="I331" t="n">
        <v>0</v>
      </c>
      <c r="J331" t="n">
        <v>0</v>
      </c>
      <c r="K331" t="n">
        <v>0</v>
      </c>
      <c r="L331" t="n">
        <v>0</v>
      </c>
      <c r="M331" t="n">
        <v>0</v>
      </c>
      <c r="N331" t="n">
        <v>0</v>
      </c>
      <c r="O331" t="n">
        <v>0</v>
      </c>
      <c r="P331" t="n">
        <v>0</v>
      </c>
      <c r="Q331" t="n">
        <v>0</v>
      </c>
      <c r="R331" s="2" t="inlineStr"/>
    </row>
    <row r="332" ht="15" customHeight="1">
      <c r="A332" t="inlineStr">
        <is>
          <t>A 10478-2020</t>
        </is>
      </c>
      <c r="B332" s="1" t="n">
        <v>43886</v>
      </c>
      <c r="C332" s="1" t="n">
        <v>45719</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11540-2020</t>
        </is>
      </c>
      <c r="B333" s="1" t="n">
        <v>43887</v>
      </c>
      <c r="C333" s="1" t="n">
        <v>45719</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11174-2020</t>
        </is>
      </c>
      <c r="B334" s="1" t="n">
        <v>43891</v>
      </c>
      <c r="C334" s="1" t="n">
        <v>45719</v>
      </c>
      <c r="D334" t="inlineStr">
        <is>
          <t>UPPSALA LÄN</t>
        </is>
      </c>
      <c r="E334" t="inlineStr">
        <is>
          <t>UPPSALA</t>
        </is>
      </c>
      <c r="F334" t="inlineStr">
        <is>
          <t>Övriga statliga verk och myndigheter</t>
        </is>
      </c>
      <c r="G334" t="n">
        <v>2.8</v>
      </c>
      <c r="H334" t="n">
        <v>0</v>
      </c>
      <c r="I334" t="n">
        <v>0</v>
      </c>
      <c r="J334" t="n">
        <v>0</v>
      </c>
      <c r="K334" t="n">
        <v>0</v>
      </c>
      <c r="L334" t="n">
        <v>0</v>
      </c>
      <c r="M334" t="n">
        <v>0</v>
      </c>
      <c r="N334" t="n">
        <v>0</v>
      </c>
      <c r="O334" t="n">
        <v>0</v>
      </c>
      <c r="P334" t="n">
        <v>0</v>
      </c>
      <c r="Q334" t="n">
        <v>0</v>
      </c>
      <c r="R334" s="2" t="inlineStr"/>
    </row>
    <row r="335" ht="15" customHeight="1">
      <c r="A335" t="inlineStr">
        <is>
          <t>A 12626-2020</t>
        </is>
      </c>
      <c r="B335" s="1" t="n">
        <v>43892</v>
      </c>
      <c r="C335" s="1" t="n">
        <v>45719</v>
      </c>
      <c r="D335" t="inlineStr">
        <is>
          <t>UPPSALA LÄN</t>
        </is>
      </c>
      <c r="E335" t="inlineStr">
        <is>
          <t>UPPSALA</t>
        </is>
      </c>
      <c r="G335" t="n">
        <v>11.4</v>
      </c>
      <c r="H335" t="n">
        <v>0</v>
      </c>
      <c r="I335" t="n">
        <v>0</v>
      </c>
      <c r="J335" t="n">
        <v>0</v>
      </c>
      <c r="K335" t="n">
        <v>0</v>
      </c>
      <c r="L335" t="n">
        <v>0</v>
      </c>
      <c r="M335" t="n">
        <v>0</v>
      </c>
      <c r="N335" t="n">
        <v>0</v>
      </c>
      <c r="O335" t="n">
        <v>0</v>
      </c>
      <c r="P335" t="n">
        <v>0</v>
      </c>
      <c r="Q335" t="n">
        <v>0</v>
      </c>
      <c r="R335" s="2" t="inlineStr"/>
    </row>
    <row r="336" ht="15" customHeight="1">
      <c r="A336" t="inlineStr">
        <is>
          <t>A 11336-2020</t>
        </is>
      </c>
      <c r="B336" s="1" t="n">
        <v>43892</v>
      </c>
      <c r="C336" s="1" t="n">
        <v>45719</v>
      </c>
      <c r="D336" t="inlineStr">
        <is>
          <t>UPPSALA LÄN</t>
        </is>
      </c>
      <c r="E336" t="inlineStr">
        <is>
          <t>UPPSALA</t>
        </is>
      </c>
      <c r="F336" t="inlineStr">
        <is>
          <t>Kyrkan</t>
        </is>
      </c>
      <c r="G336" t="n">
        <v>3.2</v>
      </c>
      <c r="H336" t="n">
        <v>0</v>
      </c>
      <c r="I336" t="n">
        <v>0</v>
      </c>
      <c r="J336" t="n">
        <v>0</v>
      </c>
      <c r="K336" t="n">
        <v>0</v>
      </c>
      <c r="L336" t="n">
        <v>0</v>
      </c>
      <c r="M336" t="n">
        <v>0</v>
      </c>
      <c r="N336" t="n">
        <v>0</v>
      </c>
      <c r="O336" t="n">
        <v>0</v>
      </c>
      <c r="P336" t="n">
        <v>0</v>
      </c>
      <c r="Q336" t="n">
        <v>0</v>
      </c>
      <c r="R336" s="2" t="inlineStr"/>
    </row>
    <row r="337" ht="15" customHeight="1">
      <c r="A337" t="inlineStr">
        <is>
          <t>A 11320-2020</t>
        </is>
      </c>
      <c r="B337" s="1" t="n">
        <v>43892</v>
      </c>
      <c r="C337" s="1" t="n">
        <v>45719</v>
      </c>
      <c r="D337" t="inlineStr">
        <is>
          <t>UPPSALA LÄN</t>
        </is>
      </c>
      <c r="E337" t="inlineStr">
        <is>
          <t>UPPSALA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12028-2020</t>
        </is>
      </c>
      <c r="B338" s="1" t="n">
        <v>43894</v>
      </c>
      <c r="C338" s="1" t="n">
        <v>45719</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12055-2020</t>
        </is>
      </c>
      <c r="B339" s="1" t="n">
        <v>43894</v>
      </c>
      <c r="C339" s="1" t="n">
        <v>45719</v>
      </c>
      <c r="D339" t="inlineStr">
        <is>
          <t>UPPSALA LÄN</t>
        </is>
      </c>
      <c r="E339" t="inlineStr">
        <is>
          <t>UPPSALA</t>
        </is>
      </c>
      <c r="G339" t="n">
        <v>6.2</v>
      </c>
      <c r="H339" t="n">
        <v>0</v>
      </c>
      <c r="I339" t="n">
        <v>0</v>
      </c>
      <c r="J339" t="n">
        <v>0</v>
      </c>
      <c r="K339" t="n">
        <v>0</v>
      </c>
      <c r="L339" t="n">
        <v>0</v>
      </c>
      <c r="M339" t="n">
        <v>0</v>
      </c>
      <c r="N339" t="n">
        <v>0</v>
      </c>
      <c r="O339" t="n">
        <v>0</v>
      </c>
      <c r="P339" t="n">
        <v>0</v>
      </c>
      <c r="Q339" t="n">
        <v>0</v>
      </c>
      <c r="R339" s="2" t="inlineStr"/>
    </row>
    <row r="340" ht="15" customHeight="1">
      <c r="A340" t="inlineStr">
        <is>
          <t>A 12848-2020</t>
        </is>
      </c>
      <c r="B340" s="1" t="n">
        <v>43899</v>
      </c>
      <c r="C340" s="1" t="n">
        <v>45719</v>
      </c>
      <c r="D340" t="inlineStr">
        <is>
          <t>UPPSALA LÄN</t>
        </is>
      </c>
      <c r="E340" t="inlineStr">
        <is>
          <t>UPPSALA</t>
        </is>
      </c>
      <c r="G340" t="n">
        <v>10.3</v>
      </c>
      <c r="H340" t="n">
        <v>0</v>
      </c>
      <c r="I340" t="n">
        <v>0</v>
      </c>
      <c r="J340" t="n">
        <v>0</v>
      </c>
      <c r="K340" t="n">
        <v>0</v>
      </c>
      <c r="L340" t="n">
        <v>0</v>
      </c>
      <c r="M340" t="n">
        <v>0</v>
      </c>
      <c r="N340" t="n">
        <v>0</v>
      </c>
      <c r="O340" t="n">
        <v>0</v>
      </c>
      <c r="P340" t="n">
        <v>0</v>
      </c>
      <c r="Q340" t="n">
        <v>0</v>
      </c>
      <c r="R340" s="2" t="inlineStr"/>
    </row>
    <row r="341" ht="15" customHeight="1">
      <c r="A341" t="inlineStr">
        <is>
          <t>A 12781-2020</t>
        </is>
      </c>
      <c r="B341" s="1" t="n">
        <v>43899</v>
      </c>
      <c r="C341" s="1" t="n">
        <v>45719</v>
      </c>
      <c r="D341" t="inlineStr">
        <is>
          <t>UPPSALA LÄN</t>
        </is>
      </c>
      <c r="E341" t="inlineStr">
        <is>
          <t>UPPSALA</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13636-2020</t>
        </is>
      </c>
      <c r="B342" s="1" t="n">
        <v>43903</v>
      </c>
      <c r="C342" s="1" t="n">
        <v>45719</v>
      </c>
      <c r="D342" t="inlineStr">
        <is>
          <t>UPPSALA LÄN</t>
        </is>
      </c>
      <c r="E342" t="inlineStr">
        <is>
          <t>UPPSALA</t>
        </is>
      </c>
      <c r="G342" t="n">
        <v>2.7</v>
      </c>
      <c r="H342" t="n">
        <v>0</v>
      </c>
      <c r="I342" t="n">
        <v>0</v>
      </c>
      <c r="J342" t="n">
        <v>0</v>
      </c>
      <c r="K342" t="n">
        <v>0</v>
      </c>
      <c r="L342" t="n">
        <v>0</v>
      </c>
      <c r="M342" t="n">
        <v>0</v>
      </c>
      <c r="N342" t="n">
        <v>0</v>
      </c>
      <c r="O342" t="n">
        <v>0</v>
      </c>
      <c r="P342" t="n">
        <v>0</v>
      </c>
      <c r="Q342" t="n">
        <v>0</v>
      </c>
      <c r="R342" s="2" t="inlineStr"/>
    </row>
    <row r="343" ht="15" customHeight="1">
      <c r="A343" t="inlineStr">
        <is>
          <t>A 14469-2020</t>
        </is>
      </c>
      <c r="B343" s="1" t="n">
        <v>43908</v>
      </c>
      <c r="C343" s="1" t="n">
        <v>45719</v>
      </c>
      <c r="D343" t="inlineStr">
        <is>
          <t>UPPSALA LÄN</t>
        </is>
      </c>
      <c r="E343" t="inlineStr">
        <is>
          <t>UPPSALA</t>
        </is>
      </c>
      <c r="G343" t="n">
        <v>0.6</v>
      </c>
      <c r="H343" t="n">
        <v>0</v>
      </c>
      <c r="I343" t="n">
        <v>0</v>
      </c>
      <c r="J343" t="n">
        <v>0</v>
      </c>
      <c r="K343" t="n">
        <v>0</v>
      </c>
      <c r="L343" t="n">
        <v>0</v>
      </c>
      <c r="M343" t="n">
        <v>0</v>
      </c>
      <c r="N343" t="n">
        <v>0</v>
      </c>
      <c r="O343" t="n">
        <v>0</v>
      </c>
      <c r="P343" t="n">
        <v>0</v>
      </c>
      <c r="Q343" t="n">
        <v>0</v>
      </c>
      <c r="R343" s="2" t="inlineStr"/>
    </row>
    <row r="344" ht="15" customHeight="1">
      <c r="A344" t="inlineStr">
        <is>
          <t>A 14423-2020</t>
        </is>
      </c>
      <c r="B344" s="1" t="n">
        <v>43908</v>
      </c>
      <c r="C344" s="1" t="n">
        <v>45719</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14472-2020</t>
        </is>
      </c>
      <c r="B345" s="1" t="n">
        <v>43908</v>
      </c>
      <c r="C345" s="1" t="n">
        <v>45719</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14427-2020</t>
        </is>
      </c>
      <c r="B346" s="1" t="n">
        <v>43908</v>
      </c>
      <c r="C346" s="1" t="n">
        <v>45719</v>
      </c>
      <c r="D346" t="inlineStr">
        <is>
          <t>UPPSALA LÄN</t>
        </is>
      </c>
      <c r="E346" t="inlineStr">
        <is>
          <t>UPPSALA</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15344-2020</t>
        </is>
      </c>
      <c r="B347" s="1" t="n">
        <v>43913</v>
      </c>
      <c r="C347" s="1" t="n">
        <v>45719</v>
      </c>
      <c r="D347" t="inlineStr">
        <is>
          <t>UPPSALA LÄN</t>
        </is>
      </c>
      <c r="E347" t="inlineStr">
        <is>
          <t>UPPSALA</t>
        </is>
      </c>
      <c r="F347" t="inlineStr">
        <is>
          <t>Holmen skog AB</t>
        </is>
      </c>
      <c r="G347" t="n">
        <v>3.4</v>
      </c>
      <c r="H347" t="n">
        <v>0</v>
      </c>
      <c r="I347" t="n">
        <v>0</v>
      </c>
      <c r="J347" t="n">
        <v>0</v>
      </c>
      <c r="K347" t="n">
        <v>0</v>
      </c>
      <c r="L347" t="n">
        <v>0</v>
      </c>
      <c r="M347" t="n">
        <v>0</v>
      </c>
      <c r="N347" t="n">
        <v>0</v>
      </c>
      <c r="O347" t="n">
        <v>0</v>
      </c>
      <c r="P347" t="n">
        <v>0</v>
      </c>
      <c r="Q347" t="n">
        <v>0</v>
      </c>
      <c r="R347" s="2" t="inlineStr"/>
    </row>
    <row r="348" ht="15" customHeight="1">
      <c r="A348" t="inlineStr">
        <is>
          <t>A 18106-2020</t>
        </is>
      </c>
      <c r="B348" s="1" t="n">
        <v>43927</v>
      </c>
      <c r="C348" s="1" t="n">
        <v>45719</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18114-2020</t>
        </is>
      </c>
      <c r="B349" s="1" t="n">
        <v>43927</v>
      </c>
      <c r="C349" s="1" t="n">
        <v>45719</v>
      </c>
      <c r="D349" t="inlineStr">
        <is>
          <t>UPPSALA LÄN</t>
        </is>
      </c>
      <c r="E349" t="inlineStr">
        <is>
          <t>UPPSALA</t>
        </is>
      </c>
      <c r="G349" t="n">
        <v>1.6</v>
      </c>
      <c r="H349" t="n">
        <v>0</v>
      </c>
      <c r="I349" t="n">
        <v>0</v>
      </c>
      <c r="J349" t="n">
        <v>0</v>
      </c>
      <c r="K349" t="n">
        <v>0</v>
      </c>
      <c r="L349" t="n">
        <v>0</v>
      </c>
      <c r="M349" t="n">
        <v>0</v>
      </c>
      <c r="N349" t="n">
        <v>0</v>
      </c>
      <c r="O349" t="n">
        <v>0</v>
      </c>
      <c r="P349" t="n">
        <v>0</v>
      </c>
      <c r="Q349" t="n">
        <v>0</v>
      </c>
      <c r="R349" s="2" t="inlineStr"/>
    </row>
    <row r="350" ht="15" customHeight="1">
      <c r="A350" t="inlineStr">
        <is>
          <t>A 18469-2020</t>
        </is>
      </c>
      <c r="B350" s="1" t="n">
        <v>43929</v>
      </c>
      <c r="C350" s="1" t="n">
        <v>45719</v>
      </c>
      <c r="D350" t="inlineStr">
        <is>
          <t>UPPSALA LÄN</t>
        </is>
      </c>
      <c r="E350" t="inlineStr">
        <is>
          <t>UPPSALA</t>
        </is>
      </c>
      <c r="G350" t="n">
        <v>0.5</v>
      </c>
      <c r="H350" t="n">
        <v>0</v>
      </c>
      <c r="I350" t="n">
        <v>0</v>
      </c>
      <c r="J350" t="n">
        <v>0</v>
      </c>
      <c r="K350" t="n">
        <v>0</v>
      </c>
      <c r="L350" t="n">
        <v>0</v>
      </c>
      <c r="M350" t="n">
        <v>0</v>
      </c>
      <c r="N350" t="n">
        <v>0</v>
      </c>
      <c r="O350" t="n">
        <v>0</v>
      </c>
      <c r="P350" t="n">
        <v>0</v>
      </c>
      <c r="Q350" t="n">
        <v>0</v>
      </c>
      <c r="R350" s="2" t="inlineStr"/>
    </row>
    <row r="351" ht="15" customHeight="1">
      <c r="A351" t="inlineStr">
        <is>
          <t>A 19210-2020</t>
        </is>
      </c>
      <c r="B351" s="1" t="n">
        <v>43937</v>
      </c>
      <c r="C351" s="1" t="n">
        <v>45719</v>
      </c>
      <c r="D351" t="inlineStr">
        <is>
          <t>UPPSALA LÄN</t>
        </is>
      </c>
      <c r="E351" t="inlineStr">
        <is>
          <t>UPPSALA</t>
        </is>
      </c>
      <c r="G351" t="n">
        <v>3.7</v>
      </c>
      <c r="H351" t="n">
        <v>0</v>
      </c>
      <c r="I351" t="n">
        <v>0</v>
      </c>
      <c r="J351" t="n">
        <v>0</v>
      </c>
      <c r="K351" t="n">
        <v>0</v>
      </c>
      <c r="L351" t="n">
        <v>0</v>
      </c>
      <c r="M351" t="n">
        <v>0</v>
      </c>
      <c r="N351" t="n">
        <v>0</v>
      </c>
      <c r="O351" t="n">
        <v>0</v>
      </c>
      <c r="P351" t="n">
        <v>0</v>
      </c>
      <c r="Q351" t="n">
        <v>0</v>
      </c>
      <c r="R351" s="2" t="inlineStr"/>
    </row>
    <row r="352" ht="15" customHeight="1">
      <c r="A352" t="inlineStr">
        <is>
          <t>A 20218-2020</t>
        </is>
      </c>
      <c r="B352" s="1" t="n">
        <v>43944</v>
      </c>
      <c r="C352" s="1" t="n">
        <v>45719</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20506-2020</t>
        </is>
      </c>
      <c r="B353" s="1" t="n">
        <v>43948</v>
      </c>
      <c r="C353" s="1" t="n">
        <v>45719</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20490-2020</t>
        </is>
      </c>
      <c r="B354" s="1" t="n">
        <v>43948</v>
      </c>
      <c r="C354" s="1" t="n">
        <v>45719</v>
      </c>
      <c r="D354" t="inlineStr">
        <is>
          <t>UPPSALA LÄN</t>
        </is>
      </c>
      <c r="E354" t="inlineStr">
        <is>
          <t>UPPSALA</t>
        </is>
      </c>
      <c r="G354" t="n">
        <v>2.8</v>
      </c>
      <c r="H354" t="n">
        <v>0</v>
      </c>
      <c r="I354" t="n">
        <v>0</v>
      </c>
      <c r="J354" t="n">
        <v>0</v>
      </c>
      <c r="K354" t="n">
        <v>0</v>
      </c>
      <c r="L354" t="n">
        <v>0</v>
      </c>
      <c r="M354" t="n">
        <v>0</v>
      </c>
      <c r="N354" t="n">
        <v>0</v>
      </c>
      <c r="O354" t="n">
        <v>0</v>
      </c>
      <c r="P354" t="n">
        <v>0</v>
      </c>
      <c r="Q354" t="n">
        <v>0</v>
      </c>
      <c r="R354" s="2" t="inlineStr"/>
    </row>
    <row r="355" ht="15" customHeight="1">
      <c r="A355" t="inlineStr">
        <is>
          <t>A 20960-2020</t>
        </is>
      </c>
      <c r="B355" s="1" t="n">
        <v>43950</v>
      </c>
      <c r="C355" s="1" t="n">
        <v>45719</v>
      </c>
      <c r="D355" t="inlineStr">
        <is>
          <t>UPPSALA LÄN</t>
        </is>
      </c>
      <c r="E355" t="inlineStr">
        <is>
          <t>UPPSALA</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24300-2020</t>
        </is>
      </c>
      <c r="B356" s="1" t="n">
        <v>43973</v>
      </c>
      <c r="C356" s="1" t="n">
        <v>45719</v>
      </c>
      <c r="D356" t="inlineStr">
        <is>
          <t>UPPSALA LÄN</t>
        </is>
      </c>
      <c r="E356" t="inlineStr">
        <is>
          <t>UPPSALA</t>
        </is>
      </c>
      <c r="F356" t="inlineStr">
        <is>
          <t>Övriga Aktiebolag</t>
        </is>
      </c>
      <c r="G356" t="n">
        <v>0.3</v>
      </c>
      <c r="H356" t="n">
        <v>0</v>
      </c>
      <c r="I356" t="n">
        <v>0</v>
      </c>
      <c r="J356" t="n">
        <v>0</v>
      </c>
      <c r="K356" t="n">
        <v>0</v>
      </c>
      <c r="L356" t="n">
        <v>0</v>
      </c>
      <c r="M356" t="n">
        <v>0</v>
      </c>
      <c r="N356" t="n">
        <v>0</v>
      </c>
      <c r="O356" t="n">
        <v>0</v>
      </c>
      <c r="P356" t="n">
        <v>0</v>
      </c>
      <c r="Q356" t="n">
        <v>0</v>
      </c>
      <c r="R356" s="2" t="inlineStr"/>
    </row>
    <row r="357" ht="15" customHeight="1">
      <c r="A357" t="inlineStr">
        <is>
          <t>A 24287-2020</t>
        </is>
      </c>
      <c r="B357" s="1" t="n">
        <v>43976</v>
      </c>
      <c r="C357" s="1" t="n">
        <v>45719</v>
      </c>
      <c r="D357" t="inlineStr">
        <is>
          <t>UPPSALA LÄN</t>
        </is>
      </c>
      <c r="E357" t="inlineStr">
        <is>
          <t>UPPSALA</t>
        </is>
      </c>
      <c r="G357" t="n">
        <v>1</v>
      </c>
      <c r="H357" t="n">
        <v>0</v>
      </c>
      <c r="I357" t="n">
        <v>0</v>
      </c>
      <c r="J357" t="n">
        <v>0</v>
      </c>
      <c r="K357" t="n">
        <v>0</v>
      </c>
      <c r="L357" t="n">
        <v>0</v>
      </c>
      <c r="M357" t="n">
        <v>0</v>
      </c>
      <c r="N357" t="n">
        <v>0</v>
      </c>
      <c r="O357" t="n">
        <v>0</v>
      </c>
      <c r="P357" t="n">
        <v>0</v>
      </c>
      <c r="Q357" t="n">
        <v>0</v>
      </c>
      <c r="R357" s="2" t="inlineStr"/>
    </row>
    <row r="358" ht="15" customHeight="1">
      <c r="A358" t="inlineStr">
        <is>
          <t>A 25798-2020</t>
        </is>
      </c>
      <c r="B358" s="1" t="n">
        <v>43984</v>
      </c>
      <c r="C358" s="1" t="n">
        <v>45719</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26488-2020</t>
        </is>
      </c>
      <c r="B359" s="1" t="n">
        <v>43987</v>
      </c>
      <c r="C359" s="1" t="n">
        <v>45719</v>
      </c>
      <c r="D359" t="inlineStr">
        <is>
          <t>UPPSALA LÄN</t>
        </is>
      </c>
      <c r="E359" t="inlineStr">
        <is>
          <t>UPPSALA</t>
        </is>
      </c>
      <c r="G359" t="n">
        <v>2.9</v>
      </c>
      <c r="H359" t="n">
        <v>0</v>
      </c>
      <c r="I359" t="n">
        <v>0</v>
      </c>
      <c r="J359" t="n">
        <v>0</v>
      </c>
      <c r="K359" t="n">
        <v>0</v>
      </c>
      <c r="L359" t="n">
        <v>0</v>
      </c>
      <c r="M359" t="n">
        <v>0</v>
      </c>
      <c r="N359" t="n">
        <v>0</v>
      </c>
      <c r="O359" t="n">
        <v>0</v>
      </c>
      <c r="P359" t="n">
        <v>0</v>
      </c>
      <c r="Q359" t="n">
        <v>0</v>
      </c>
      <c r="R359" s="2" t="inlineStr"/>
    </row>
    <row r="360" ht="15" customHeight="1">
      <c r="A360" t="inlineStr">
        <is>
          <t>A 26492-2020</t>
        </is>
      </c>
      <c r="B360" s="1" t="n">
        <v>43987</v>
      </c>
      <c r="C360" s="1" t="n">
        <v>45719</v>
      </c>
      <c r="D360" t="inlineStr">
        <is>
          <t>UPPSALA LÄN</t>
        </is>
      </c>
      <c r="E360" t="inlineStr">
        <is>
          <t>UPPSALA</t>
        </is>
      </c>
      <c r="G360" t="n">
        <v>9.5</v>
      </c>
      <c r="H360" t="n">
        <v>0</v>
      </c>
      <c r="I360" t="n">
        <v>0</v>
      </c>
      <c r="J360" t="n">
        <v>0</v>
      </c>
      <c r="K360" t="n">
        <v>0</v>
      </c>
      <c r="L360" t="n">
        <v>0</v>
      </c>
      <c r="M360" t="n">
        <v>0</v>
      </c>
      <c r="N360" t="n">
        <v>0</v>
      </c>
      <c r="O360" t="n">
        <v>0</v>
      </c>
      <c r="P360" t="n">
        <v>0</v>
      </c>
      <c r="Q360" t="n">
        <v>0</v>
      </c>
      <c r="R360" s="2" t="inlineStr"/>
    </row>
    <row r="361" ht="15" customHeight="1">
      <c r="A361" t="inlineStr">
        <is>
          <t>A 26856-2020</t>
        </is>
      </c>
      <c r="B361" s="1" t="n">
        <v>43990</v>
      </c>
      <c r="C361" s="1" t="n">
        <v>45719</v>
      </c>
      <c r="D361" t="inlineStr">
        <is>
          <t>UPPSALA LÄN</t>
        </is>
      </c>
      <c r="E361" t="inlineStr">
        <is>
          <t>UPPSALA</t>
        </is>
      </c>
      <c r="G361" t="n">
        <v>1.5</v>
      </c>
      <c r="H361" t="n">
        <v>0</v>
      </c>
      <c r="I361" t="n">
        <v>0</v>
      </c>
      <c r="J361" t="n">
        <v>0</v>
      </c>
      <c r="K361" t="n">
        <v>0</v>
      </c>
      <c r="L361" t="n">
        <v>0</v>
      </c>
      <c r="M361" t="n">
        <v>0</v>
      </c>
      <c r="N361" t="n">
        <v>0</v>
      </c>
      <c r="O361" t="n">
        <v>0</v>
      </c>
      <c r="P361" t="n">
        <v>0</v>
      </c>
      <c r="Q361" t="n">
        <v>0</v>
      </c>
      <c r="R361" s="2" t="inlineStr"/>
    </row>
    <row r="362" ht="15" customHeight="1">
      <c r="A362" t="inlineStr">
        <is>
          <t>A 28565-2020</t>
        </is>
      </c>
      <c r="B362" s="1" t="n">
        <v>43999</v>
      </c>
      <c r="C362" s="1" t="n">
        <v>45719</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28514-2020</t>
        </is>
      </c>
      <c r="B363" s="1" t="n">
        <v>43999</v>
      </c>
      <c r="C363" s="1" t="n">
        <v>45719</v>
      </c>
      <c r="D363" t="inlineStr">
        <is>
          <t>UPPSALA LÄN</t>
        </is>
      </c>
      <c r="E363" t="inlineStr">
        <is>
          <t>UPPSALA</t>
        </is>
      </c>
      <c r="G363" t="n">
        <v>3.6</v>
      </c>
      <c r="H363" t="n">
        <v>0</v>
      </c>
      <c r="I363" t="n">
        <v>0</v>
      </c>
      <c r="J363" t="n">
        <v>0</v>
      </c>
      <c r="K363" t="n">
        <v>0</v>
      </c>
      <c r="L363" t="n">
        <v>0</v>
      </c>
      <c r="M363" t="n">
        <v>0</v>
      </c>
      <c r="N363" t="n">
        <v>0</v>
      </c>
      <c r="O363" t="n">
        <v>0</v>
      </c>
      <c r="P363" t="n">
        <v>0</v>
      </c>
      <c r="Q363" t="n">
        <v>0</v>
      </c>
      <c r="R363" s="2" t="inlineStr"/>
    </row>
    <row r="364" ht="15" customHeight="1">
      <c r="A364" t="inlineStr">
        <is>
          <t>A 28993-2020</t>
        </is>
      </c>
      <c r="B364" s="1" t="n">
        <v>44000</v>
      </c>
      <c r="C364" s="1" t="n">
        <v>45719</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29034-2020</t>
        </is>
      </c>
      <c r="B365" s="1" t="n">
        <v>44000</v>
      </c>
      <c r="C365" s="1" t="n">
        <v>45719</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30196-2020</t>
        </is>
      </c>
      <c r="B366" s="1" t="n">
        <v>44007</v>
      </c>
      <c r="C366" s="1" t="n">
        <v>45719</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30208-2020</t>
        </is>
      </c>
      <c r="B367" s="1" t="n">
        <v>44007</v>
      </c>
      <c r="C367" s="1" t="n">
        <v>45719</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31219-2020</t>
        </is>
      </c>
      <c r="B368" s="1" t="n">
        <v>44012</v>
      </c>
      <c r="C368" s="1" t="n">
        <v>45719</v>
      </c>
      <c r="D368" t="inlineStr">
        <is>
          <t>UPPSALA LÄN</t>
        </is>
      </c>
      <c r="E368" t="inlineStr">
        <is>
          <t>UPPSALA</t>
        </is>
      </c>
      <c r="F368" t="inlineStr">
        <is>
          <t>Bergvik skog öst AB</t>
        </is>
      </c>
      <c r="G368" t="n">
        <v>7.4</v>
      </c>
      <c r="H368" t="n">
        <v>0</v>
      </c>
      <c r="I368" t="n">
        <v>0</v>
      </c>
      <c r="J368" t="n">
        <v>0</v>
      </c>
      <c r="K368" t="n">
        <v>0</v>
      </c>
      <c r="L368" t="n">
        <v>0</v>
      </c>
      <c r="M368" t="n">
        <v>0</v>
      </c>
      <c r="N368" t="n">
        <v>0</v>
      </c>
      <c r="O368" t="n">
        <v>0</v>
      </c>
      <c r="P368" t="n">
        <v>0</v>
      </c>
      <c r="Q368" t="n">
        <v>0</v>
      </c>
      <c r="R368" s="2" t="inlineStr"/>
    </row>
    <row r="369" ht="15" customHeight="1">
      <c r="A369" t="inlineStr">
        <is>
          <t>A 31430-2020</t>
        </is>
      </c>
      <c r="B369" s="1" t="n">
        <v>44013</v>
      </c>
      <c r="C369" s="1" t="n">
        <v>45719</v>
      </c>
      <c r="D369" t="inlineStr">
        <is>
          <t>UPPSALA LÄN</t>
        </is>
      </c>
      <c r="E369" t="inlineStr">
        <is>
          <t>UPPSALA</t>
        </is>
      </c>
      <c r="G369" t="n">
        <v>3.4</v>
      </c>
      <c r="H369" t="n">
        <v>0</v>
      </c>
      <c r="I369" t="n">
        <v>0</v>
      </c>
      <c r="J369" t="n">
        <v>0</v>
      </c>
      <c r="K369" t="n">
        <v>0</v>
      </c>
      <c r="L369" t="n">
        <v>0</v>
      </c>
      <c r="M369" t="n">
        <v>0</v>
      </c>
      <c r="N369" t="n">
        <v>0</v>
      </c>
      <c r="O369" t="n">
        <v>0</v>
      </c>
      <c r="P369" t="n">
        <v>0</v>
      </c>
      <c r="Q369" t="n">
        <v>0</v>
      </c>
      <c r="R369" s="2" t="inlineStr"/>
    </row>
    <row r="370" ht="15" customHeight="1">
      <c r="A370" t="inlineStr">
        <is>
          <t>A 31932-2020</t>
        </is>
      </c>
      <c r="B370" s="1" t="n">
        <v>44014</v>
      </c>
      <c r="C370" s="1" t="n">
        <v>45719</v>
      </c>
      <c r="D370" t="inlineStr">
        <is>
          <t>UPPSALA LÄN</t>
        </is>
      </c>
      <c r="E370" t="inlineStr">
        <is>
          <t>UPPSALA</t>
        </is>
      </c>
      <c r="G370" t="n">
        <v>5.6</v>
      </c>
      <c r="H370" t="n">
        <v>0</v>
      </c>
      <c r="I370" t="n">
        <v>0</v>
      </c>
      <c r="J370" t="n">
        <v>0</v>
      </c>
      <c r="K370" t="n">
        <v>0</v>
      </c>
      <c r="L370" t="n">
        <v>0</v>
      </c>
      <c r="M370" t="n">
        <v>0</v>
      </c>
      <c r="N370" t="n">
        <v>0</v>
      </c>
      <c r="O370" t="n">
        <v>0</v>
      </c>
      <c r="P370" t="n">
        <v>0</v>
      </c>
      <c r="Q370" t="n">
        <v>0</v>
      </c>
      <c r="R370" s="2" t="inlineStr"/>
    </row>
    <row r="371" ht="15" customHeight="1">
      <c r="A371" t="inlineStr">
        <is>
          <t>A 32235-2020</t>
        </is>
      </c>
      <c r="B371" s="1" t="n">
        <v>44015</v>
      </c>
      <c r="C371" s="1" t="n">
        <v>45719</v>
      </c>
      <c r="D371" t="inlineStr">
        <is>
          <t>UPPSALA LÄN</t>
        </is>
      </c>
      <c r="E371" t="inlineStr">
        <is>
          <t>UPPSALA</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32340-2020</t>
        </is>
      </c>
      <c r="B372" s="1" t="n">
        <v>44016</v>
      </c>
      <c r="C372" s="1" t="n">
        <v>45719</v>
      </c>
      <c r="D372" t="inlineStr">
        <is>
          <t>UPPSALA LÄN</t>
        </is>
      </c>
      <c r="E372" t="inlineStr">
        <is>
          <t>UPPSALA</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32608-2020</t>
        </is>
      </c>
      <c r="B373" s="1" t="n">
        <v>44019</v>
      </c>
      <c r="C373" s="1" t="n">
        <v>45719</v>
      </c>
      <c r="D373" t="inlineStr">
        <is>
          <t>UPPSALA LÄN</t>
        </is>
      </c>
      <c r="E373" t="inlineStr">
        <is>
          <t>UPPSALA</t>
        </is>
      </c>
      <c r="F373" t="inlineStr">
        <is>
          <t>Bergvik skog öst AB</t>
        </is>
      </c>
      <c r="G373" t="n">
        <v>5.7</v>
      </c>
      <c r="H373" t="n">
        <v>0</v>
      </c>
      <c r="I373" t="n">
        <v>0</v>
      </c>
      <c r="J373" t="n">
        <v>0</v>
      </c>
      <c r="K373" t="n">
        <v>0</v>
      </c>
      <c r="L373" t="n">
        <v>0</v>
      </c>
      <c r="M373" t="n">
        <v>0</v>
      </c>
      <c r="N373" t="n">
        <v>0</v>
      </c>
      <c r="O373" t="n">
        <v>0</v>
      </c>
      <c r="P373" t="n">
        <v>0</v>
      </c>
      <c r="Q373" t="n">
        <v>0</v>
      </c>
      <c r="R373" s="2" t="inlineStr"/>
    </row>
    <row r="374" ht="15" customHeight="1">
      <c r="A374" t="inlineStr">
        <is>
          <t>A 33658-2020</t>
        </is>
      </c>
      <c r="B374" s="1" t="n">
        <v>44026</v>
      </c>
      <c r="C374" s="1" t="n">
        <v>45719</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34205-2020</t>
        </is>
      </c>
      <c r="B375" s="1" t="n">
        <v>44029</v>
      </c>
      <c r="C375" s="1" t="n">
        <v>45719</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34565-2020</t>
        </is>
      </c>
      <c r="B376" s="1" t="n">
        <v>44033</v>
      </c>
      <c r="C376" s="1" t="n">
        <v>45719</v>
      </c>
      <c r="D376" t="inlineStr">
        <is>
          <t>UPPSALA LÄN</t>
        </is>
      </c>
      <c r="E376" t="inlineStr">
        <is>
          <t>UPPSALA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34753-2020</t>
        </is>
      </c>
      <c r="B377" s="1" t="n">
        <v>44035</v>
      </c>
      <c r="C377" s="1" t="n">
        <v>45719</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34749-2020</t>
        </is>
      </c>
      <c r="B378" s="1" t="n">
        <v>44035</v>
      </c>
      <c r="C378" s="1" t="n">
        <v>45719</v>
      </c>
      <c r="D378" t="inlineStr">
        <is>
          <t>UPPSALA LÄN</t>
        </is>
      </c>
      <c r="E378" t="inlineStr">
        <is>
          <t>UPPSALA</t>
        </is>
      </c>
      <c r="G378" t="n">
        <v>5.5</v>
      </c>
      <c r="H378" t="n">
        <v>0</v>
      </c>
      <c r="I378" t="n">
        <v>0</v>
      </c>
      <c r="J378" t="n">
        <v>0</v>
      </c>
      <c r="K378" t="n">
        <v>0</v>
      </c>
      <c r="L378" t="n">
        <v>0</v>
      </c>
      <c r="M378" t="n">
        <v>0</v>
      </c>
      <c r="N378" t="n">
        <v>0</v>
      </c>
      <c r="O378" t="n">
        <v>0</v>
      </c>
      <c r="P378" t="n">
        <v>0</v>
      </c>
      <c r="Q378" t="n">
        <v>0</v>
      </c>
      <c r="R378" s="2" t="inlineStr"/>
    </row>
    <row r="379" ht="15" customHeight="1">
      <c r="A379" t="inlineStr">
        <is>
          <t>A 35281-2020</t>
        </is>
      </c>
      <c r="B379" s="1" t="n">
        <v>44041</v>
      </c>
      <c r="C379" s="1" t="n">
        <v>45719</v>
      </c>
      <c r="D379" t="inlineStr">
        <is>
          <t>UPPSALA LÄN</t>
        </is>
      </c>
      <c r="E379" t="inlineStr">
        <is>
          <t>UPPSALA</t>
        </is>
      </c>
      <c r="F379" t="inlineStr">
        <is>
          <t>Bergvik skog öst AB</t>
        </is>
      </c>
      <c r="G379" t="n">
        <v>3.1</v>
      </c>
      <c r="H379" t="n">
        <v>0</v>
      </c>
      <c r="I379" t="n">
        <v>0</v>
      </c>
      <c r="J379" t="n">
        <v>0</v>
      </c>
      <c r="K379" t="n">
        <v>0</v>
      </c>
      <c r="L379" t="n">
        <v>0</v>
      </c>
      <c r="M379" t="n">
        <v>0</v>
      </c>
      <c r="N379" t="n">
        <v>0</v>
      </c>
      <c r="O379" t="n">
        <v>0</v>
      </c>
      <c r="P379" t="n">
        <v>0</v>
      </c>
      <c r="Q379" t="n">
        <v>0</v>
      </c>
      <c r="R379" s="2" t="inlineStr"/>
    </row>
    <row r="380" ht="15" customHeight="1">
      <c r="A380" t="inlineStr">
        <is>
          <t>A 36035-2020</t>
        </is>
      </c>
      <c r="B380" s="1" t="n">
        <v>44048</v>
      </c>
      <c r="C380" s="1" t="n">
        <v>45719</v>
      </c>
      <c r="D380" t="inlineStr">
        <is>
          <t>UPPSALA LÄN</t>
        </is>
      </c>
      <c r="E380" t="inlineStr">
        <is>
          <t>UPPSALA</t>
        </is>
      </c>
      <c r="F380" t="inlineStr">
        <is>
          <t>Bergvik skog öst AB</t>
        </is>
      </c>
      <c r="G380" t="n">
        <v>1.6</v>
      </c>
      <c r="H380" t="n">
        <v>0</v>
      </c>
      <c r="I380" t="n">
        <v>0</v>
      </c>
      <c r="J380" t="n">
        <v>0</v>
      </c>
      <c r="K380" t="n">
        <v>0</v>
      </c>
      <c r="L380" t="n">
        <v>0</v>
      </c>
      <c r="M380" t="n">
        <v>0</v>
      </c>
      <c r="N380" t="n">
        <v>0</v>
      </c>
      <c r="O380" t="n">
        <v>0</v>
      </c>
      <c r="P380" t="n">
        <v>0</v>
      </c>
      <c r="Q380" t="n">
        <v>0</v>
      </c>
      <c r="R380" s="2" t="inlineStr"/>
    </row>
    <row r="381" ht="15" customHeight="1">
      <c r="A381" t="inlineStr">
        <is>
          <t>A 36202-2020</t>
        </is>
      </c>
      <c r="B381" s="1" t="n">
        <v>44048</v>
      </c>
      <c r="C381" s="1" t="n">
        <v>45719</v>
      </c>
      <c r="D381" t="inlineStr">
        <is>
          <t>UPPSALA LÄN</t>
        </is>
      </c>
      <c r="E381" t="inlineStr">
        <is>
          <t>UPPSALA</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36198-2020</t>
        </is>
      </c>
      <c r="B382" s="1" t="n">
        <v>44048</v>
      </c>
      <c r="C382" s="1" t="n">
        <v>45719</v>
      </c>
      <c r="D382" t="inlineStr">
        <is>
          <t>UPPSALA LÄN</t>
        </is>
      </c>
      <c r="E382" t="inlineStr">
        <is>
          <t>UPPSALA</t>
        </is>
      </c>
      <c r="F382" t="inlineStr">
        <is>
          <t>Bergvik skog öst AB</t>
        </is>
      </c>
      <c r="G382" t="n">
        <v>0.3</v>
      </c>
      <c r="H382" t="n">
        <v>0</v>
      </c>
      <c r="I382" t="n">
        <v>0</v>
      </c>
      <c r="J382" t="n">
        <v>0</v>
      </c>
      <c r="K382" t="n">
        <v>0</v>
      </c>
      <c r="L382" t="n">
        <v>0</v>
      </c>
      <c r="M382" t="n">
        <v>0</v>
      </c>
      <c r="N382" t="n">
        <v>0</v>
      </c>
      <c r="O382" t="n">
        <v>0</v>
      </c>
      <c r="P382" t="n">
        <v>0</v>
      </c>
      <c r="Q382" t="n">
        <v>0</v>
      </c>
      <c r="R382" s="2" t="inlineStr"/>
    </row>
    <row r="383" ht="15" customHeight="1">
      <c r="A383" t="inlineStr">
        <is>
          <t>A 36350-2020</t>
        </is>
      </c>
      <c r="B383" s="1" t="n">
        <v>44049</v>
      </c>
      <c r="C383" s="1" t="n">
        <v>45719</v>
      </c>
      <c r="D383" t="inlineStr">
        <is>
          <t>UPPSALA LÄN</t>
        </is>
      </c>
      <c r="E383" t="inlineStr">
        <is>
          <t>UPPSALA</t>
        </is>
      </c>
      <c r="G383" t="n">
        <v>1.9</v>
      </c>
      <c r="H383" t="n">
        <v>0</v>
      </c>
      <c r="I383" t="n">
        <v>0</v>
      </c>
      <c r="J383" t="n">
        <v>0</v>
      </c>
      <c r="K383" t="n">
        <v>0</v>
      </c>
      <c r="L383" t="n">
        <v>0</v>
      </c>
      <c r="M383" t="n">
        <v>0</v>
      </c>
      <c r="N383" t="n">
        <v>0</v>
      </c>
      <c r="O383" t="n">
        <v>0</v>
      </c>
      <c r="P383" t="n">
        <v>0</v>
      </c>
      <c r="Q383" t="n">
        <v>0</v>
      </c>
      <c r="R383" s="2" t="inlineStr"/>
    </row>
    <row r="384" ht="15" customHeight="1">
      <c r="A384" t="inlineStr">
        <is>
          <t>A 36512-2020</t>
        </is>
      </c>
      <c r="B384" s="1" t="n">
        <v>44050</v>
      </c>
      <c r="C384" s="1" t="n">
        <v>45719</v>
      </c>
      <c r="D384" t="inlineStr">
        <is>
          <t>UPPSALA LÄN</t>
        </is>
      </c>
      <c r="E384" t="inlineStr">
        <is>
          <t>UPPSALA</t>
        </is>
      </c>
      <c r="G384" t="n">
        <v>5.8</v>
      </c>
      <c r="H384" t="n">
        <v>0</v>
      </c>
      <c r="I384" t="n">
        <v>0</v>
      </c>
      <c r="J384" t="n">
        <v>0</v>
      </c>
      <c r="K384" t="n">
        <v>0</v>
      </c>
      <c r="L384" t="n">
        <v>0</v>
      </c>
      <c r="M384" t="n">
        <v>0</v>
      </c>
      <c r="N384" t="n">
        <v>0</v>
      </c>
      <c r="O384" t="n">
        <v>0</v>
      </c>
      <c r="P384" t="n">
        <v>0</v>
      </c>
      <c r="Q384" t="n">
        <v>0</v>
      </c>
      <c r="R384" s="2" t="inlineStr"/>
    </row>
    <row r="385" ht="15" customHeight="1">
      <c r="A385" t="inlineStr">
        <is>
          <t>A 37276-2020</t>
        </is>
      </c>
      <c r="B385" s="1" t="n">
        <v>44055</v>
      </c>
      <c r="C385" s="1" t="n">
        <v>45719</v>
      </c>
      <c r="D385" t="inlineStr">
        <is>
          <t>UPPSALA LÄN</t>
        </is>
      </c>
      <c r="E385" t="inlineStr">
        <is>
          <t>UPPSALA</t>
        </is>
      </c>
      <c r="G385" t="n">
        <v>0.5</v>
      </c>
      <c r="H385" t="n">
        <v>0</v>
      </c>
      <c r="I385" t="n">
        <v>0</v>
      </c>
      <c r="J385" t="n">
        <v>0</v>
      </c>
      <c r="K385" t="n">
        <v>0</v>
      </c>
      <c r="L385" t="n">
        <v>0</v>
      </c>
      <c r="M385" t="n">
        <v>0</v>
      </c>
      <c r="N385" t="n">
        <v>0</v>
      </c>
      <c r="O385" t="n">
        <v>0</v>
      </c>
      <c r="P385" t="n">
        <v>0</v>
      </c>
      <c r="Q385" t="n">
        <v>0</v>
      </c>
      <c r="R385" s="2" t="inlineStr"/>
    </row>
    <row r="386" ht="15" customHeight="1">
      <c r="A386" t="inlineStr">
        <is>
          <t>A 37669-2020</t>
        </is>
      </c>
      <c r="B386" s="1" t="n">
        <v>44056</v>
      </c>
      <c r="C386" s="1" t="n">
        <v>45719</v>
      </c>
      <c r="D386" t="inlineStr">
        <is>
          <t>UPPSALA LÄN</t>
        </is>
      </c>
      <c r="E386" t="inlineStr">
        <is>
          <t>UPPSALA</t>
        </is>
      </c>
      <c r="G386" t="n">
        <v>5.1</v>
      </c>
      <c r="H386" t="n">
        <v>0</v>
      </c>
      <c r="I386" t="n">
        <v>0</v>
      </c>
      <c r="J386" t="n">
        <v>0</v>
      </c>
      <c r="K386" t="n">
        <v>0</v>
      </c>
      <c r="L386" t="n">
        <v>0</v>
      </c>
      <c r="M386" t="n">
        <v>0</v>
      </c>
      <c r="N386" t="n">
        <v>0</v>
      </c>
      <c r="O386" t="n">
        <v>0</v>
      </c>
      <c r="P386" t="n">
        <v>0</v>
      </c>
      <c r="Q386" t="n">
        <v>0</v>
      </c>
      <c r="R386" s="2" t="inlineStr"/>
    </row>
    <row r="387" ht="15" customHeight="1">
      <c r="A387" t="inlineStr">
        <is>
          <t>A 39233-2020</t>
        </is>
      </c>
      <c r="B387" s="1" t="n">
        <v>44063</v>
      </c>
      <c r="C387" s="1" t="n">
        <v>45719</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39178-2020</t>
        </is>
      </c>
      <c r="B388" s="1" t="n">
        <v>44063</v>
      </c>
      <c r="C388" s="1" t="n">
        <v>45719</v>
      </c>
      <c r="D388" t="inlineStr">
        <is>
          <t>UPPSALA LÄN</t>
        </is>
      </c>
      <c r="E388" t="inlineStr">
        <is>
          <t>UPPSALA</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39236-2020</t>
        </is>
      </c>
      <c r="B389" s="1" t="n">
        <v>44063</v>
      </c>
      <c r="C389" s="1" t="n">
        <v>45719</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39272-2020</t>
        </is>
      </c>
      <c r="B390" s="1" t="n">
        <v>44063</v>
      </c>
      <c r="C390" s="1" t="n">
        <v>45719</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40894-2020</t>
        </is>
      </c>
      <c r="B391" s="1" t="n">
        <v>44070</v>
      </c>
      <c r="C391" s="1" t="n">
        <v>45719</v>
      </c>
      <c r="D391" t="inlineStr">
        <is>
          <t>UPPSALA LÄN</t>
        </is>
      </c>
      <c r="E391" t="inlineStr">
        <is>
          <t>UPPSALA</t>
        </is>
      </c>
      <c r="G391" t="n">
        <v>7.1</v>
      </c>
      <c r="H391" t="n">
        <v>0</v>
      </c>
      <c r="I391" t="n">
        <v>0</v>
      </c>
      <c r="J391" t="n">
        <v>0</v>
      </c>
      <c r="K391" t="n">
        <v>0</v>
      </c>
      <c r="L391" t="n">
        <v>0</v>
      </c>
      <c r="M391" t="n">
        <v>0</v>
      </c>
      <c r="N391" t="n">
        <v>0</v>
      </c>
      <c r="O391" t="n">
        <v>0</v>
      </c>
      <c r="P391" t="n">
        <v>0</v>
      </c>
      <c r="Q391" t="n">
        <v>0</v>
      </c>
      <c r="R391" s="2" t="inlineStr"/>
    </row>
    <row r="392" ht="15" customHeight="1">
      <c r="A392" t="inlineStr">
        <is>
          <t>A 42341-2020</t>
        </is>
      </c>
      <c r="B392" s="1" t="n">
        <v>44076</v>
      </c>
      <c r="C392" s="1" t="n">
        <v>45719</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43968-2020</t>
        </is>
      </c>
      <c r="B393" s="1" t="n">
        <v>44083</v>
      </c>
      <c r="C393" s="1" t="n">
        <v>45719</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45930-2020</t>
        </is>
      </c>
      <c r="B394" s="1" t="n">
        <v>44091</v>
      </c>
      <c r="C394" s="1" t="n">
        <v>45719</v>
      </c>
      <c r="D394" t="inlineStr">
        <is>
          <t>UPPSALA LÄN</t>
        </is>
      </c>
      <c r="E394" t="inlineStr">
        <is>
          <t>UPPSALA</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46633-2020</t>
        </is>
      </c>
      <c r="B395" s="1" t="n">
        <v>44095</v>
      </c>
      <c r="C395" s="1" t="n">
        <v>45719</v>
      </c>
      <c r="D395" t="inlineStr">
        <is>
          <t>UPPSALA LÄN</t>
        </is>
      </c>
      <c r="E395" t="inlineStr">
        <is>
          <t>UPPSALA</t>
        </is>
      </c>
      <c r="G395" t="n">
        <v>4.2</v>
      </c>
      <c r="H395" t="n">
        <v>0</v>
      </c>
      <c r="I395" t="n">
        <v>0</v>
      </c>
      <c r="J395" t="n">
        <v>0</v>
      </c>
      <c r="K395" t="n">
        <v>0</v>
      </c>
      <c r="L395" t="n">
        <v>0</v>
      </c>
      <c r="M395" t="n">
        <v>0</v>
      </c>
      <c r="N395" t="n">
        <v>0</v>
      </c>
      <c r="O395" t="n">
        <v>0</v>
      </c>
      <c r="P395" t="n">
        <v>0</v>
      </c>
      <c r="Q395" t="n">
        <v>0</v>
      </c>
      <c r="R395" s="2" t="inlineStr"/>
    </row>
    <row r="396" ht="15" customHeight="1">
      <c r="A396" t="inlineStr">
        <is>
          <t>A 46647-2020</t>
        </is>
      </c>
      <c r="B396" s="1" t="n">
        <v>44095</v>
      </c>
      <c r="C396" s="1" t="n">
        <v>45719</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48786-2020</t>
        </is>
      </c>
      <c r="B397" s="1" t="n">
        <v>44103</v>
      </c>
      <c r="C397" s="1" t="n">
        <v>45719</v>
      </c>
      <c r="D397" t="inlineStr">
        <is>
          <t>UPPSALA LÄN</t>
        </is>
      </c>
      <c r="E397" t="inlineStr">
        <is>
          <t>UPPSALA</t>
        </is>
      </c>
      <c r="G397" t="n">
        <v>0.4</v>
      </c>
      <c r="H397" t="n">
        <v>0</v>
      </c>
      <c r="I397" t="n">
        <v>0</v>
      </c>
      <c r="J397" t="n">
        <v>0</v>
      </c>
      <c r="K397" t="n">
        <v>0</v>
      </c>
      <c r="L397" t="n">
        <v>0</v>
      </c>
      <c r="M397" t="n">
        <v>0</v>
      </c>
      <c r="N397" t="n">
        <v>0</v>
      </c>
      <c r="O397" t="n">
        <v>0</v>
      </c>
      <c r="P397" t="n">
        <v>0</v>
      </c>
      <c r="Q397" t="n">
        <v>0</v>
      </c>
      <c r="R397" s="2" t="inlineStr"/>
    </row>
    <row r="398" ht="15" customHeight="1">
      <c r="A398" t="inlineStr">
        <is>
          <t>A 49363-2020</t>
        </is>
      </c>
      <c r="B398" s="1" t="n">
        <v>44105</v>
      </c>
      <c r="C398" s="1" t="n">
        <v>45719</v>
      </c>
      <c r="D398" t="inlineStr">
        <is>
          <t>UPPSALA LÄN</t>
        </is>
      </c>
      <c r="E398" t="inlineStr">
        <is>
          <t>UPPSALA</t>
        </is>
      </c>
      <c r="G398" t="n">
        <v>0.9</v>
      </c>
      <c r="H398" t="n">
        <v>0</v>
      </c>
      <c r="I398" t="n">
        <v>0</v>
      </c>
      <c r="J398" t="n">
        <v>0</v>
      </c>
      <c r="K398" t="n">
        <v>0</v>
      </c>
      <c r="L398" t="n">
        <v>0</v>
      </c>
      <c r="M398" t="n">
        <v>0</v>
      </c>
      <c r="N398" t="n">
        <v>0</v>
      </c>
      <c r="O398" t="n">
        <v>0</v>
      </c>
      <c r="P398" t="n">
        <v>0</v>
      </c>
      <c r="Q398" t="n">
        <v>0</v>
      </c>
      <c r="R398" s="2" t="inlineStr"/>
    </row>
    <row r="399" ht="15" customHeight="1">
      <c r="A399" t="inlineStr">
        <is>
          <t>A 49409-2020</t>
        </is>
      </c>
      <c r="B399" s="1" t="n">
        <v>44105</v>
      </c>
      <c r="C399" s="1" t="n">
        <v>45719</v>
      </c>
      <c r="D399" t="inlineStr">
        <is>
          <t>UPPSALA LÄN</t>
        </is>
      </c>
      <c r="E399" t="inlineStr">
        <is>
          <t>UPPSALA</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49404-2020</t>
        </is>
      </c>
      <c r="B400" s="1" t="n">
        <v>44105</v>
      </c>
      <c r="C400" s="1" t="n">
        <v>45719</v>
      </c>
      <c r="D400" t="inlineStr">
        <is>
          <t>UPPSALA LÄN</t>
        </is>
      </c>
      <c r="E400" t="inlineStr">
        <is>
          <t>UPPSALA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49821-2020</t>
        </is>
      </c>
      <c r="B401" s="1" t="n">
        <v>44106</v>
      </c>
      <c r="C401" s="1" t="n">
        <v>45719</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49931-2020</t>
        </is>
      </c>
      <c r="B402" s="1" t="n">
        <v>44109</v>
      </c>
      <c r="C402" s="1" t="n">
        <v>45719</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52717-2020</t>
        </is>
      </c>
      <c r="B403" s="1" t="n">
        <v>44119</v>
      </c>
      <c r="C403" s="1" t="n">
        <v>45719</v>
      </c>
      <c r="D403" t="inlineStr">
        <is>
          <t>UPPSALA LÄN</t>
        </is>
      </c>
      <c r="E403" t="inlineStr">
        <is>
          <t>UPPSALA</t>
        </is>
      </c>
      <c r="G403" t="n">
        <v>2.8</v>
      </c>
      <c r="H403" t="n">
        <v>0</v>
      </c>
      <c r="I403" t="n">
        <v>0</v>
      </c>
      <c r="J403" t="n">
        <v>0</v>
      </c>
      <c r="K403" t="n">
        <v>0</v>
      </c>
      <c r="L403" t="n">
        <v>0</v>
      </c>
      <c r="M403" t="n">
        <v>0</v>
      </c>
      <c r="N403" t="n">
        <v>0</v>
      </c>
      <c r="O403" t="n">
        <v>0</v>
      </c>
      <c r="P403" t="n">
        <v>0</v>
      </c>
      <c r="Q403" t="n">
        <v>0</v>
      </c>
      <c r="R403" s="2" t="inlineStr"/>
    </row>
    <row r="404" ht="15" customHeight="1">
      <c r="A404" t="inlineStr">
        <is>
          <t>A 53346-2020</t>
        </is>
      </c>
      <c r="B404" s="1" t="n">
        <v>44123</v>
      </c>
      <c r="C404" s="1" t="n">
        <v>45719</v>
      </c>
      <c r="D404" t="inlineStr">
        <is>
          <t>UPPSALA LÄN</t>
        </is>
      </c>
      <c r="E404" t="inlineStr">
        <is>
          <t>UPPSALA</t>
        </is>
      </c>
      <c r="G404" t="n">
        <v>1.4</v>
      </c>
      <c r="H404" t="n">
        <v>0</v>
      </c>
      <c r="I404" t="n">
        <v>0</v>
      </c>
      <c r="J404" t="n">
        <v>0</v>
      </c>
      <c r="K404" t="n">
        <v>0</v>
      </c>
      <c r="L404" t="n">
        <v>0</v>
      </c>
      <c r="M404" t="n">
        <v>0</v>
      </c>
      <c r="N404" t="n">
        <v>0</v>
      </c>
      <c r="O404" t="n">
        <v>0</v>
      </c>
      <c r="P404" t="n">
        <v>0</v>
      </c>
      <c r="Q404" t="n">
        <v>0</v>
      </c>
      <c r="R404" s="2" t="inlineStr"/>
    </row>
    <row r="405" ht="15" customHeight="1">
      <c r="A405" t="inlineStr">
        <is>
          <t>A 53379-2020</t>
        </is>
      </c>
      <c r="B405" s="1" t="n">
        <v>44123</v>
      </c>
      <c r="C405" s="1" t="n">
        <v>45719</v>
      </c>
      <c r="D405" t="inlineStr">
        <is>
          <t>UPPSALA LÄN</t>
        </is>
      </c>
      <c r="E405" t="inlineStr">
        <is>
          <t>UPPSALA</t>
        </is>
      </c>
      <c r="G405" t="n">
        <v>2.6</v>
      </c>
      <c r="H405" t="n">
        <v>0</v>
      </c>
      <c r="I405" t="n">
        <v>0</v>
      </c>
      <c r="J405" t="n">
        <v>0</v>
      </c>
      <c r="K405" t="n">
        <v>0</v>
      </c>
      <c r="L405" t="n">
        <v>0</v>
      </c>
      <c r="M405" t="n">
        <v>0</v>
      </c>
      <c r="N405" t="n">
        <v>0</v>
      </c>
      <c r="O405" t="n">
        <v>0</v>
      </c>
      <c r="P405" t="n">
        <v>0</v>
      </c>
      <c r="Q405" t="n">
        <v>0</v>
      </c>
      <c r="R405" s="2" t="inlineStr"/>
    </row>
    <row r="406" ht="15" customHeight="1">
      <c r="A406" t="inlineStr">
        <is>
          <t>A 54742-2020</t>
        </is>
      </c>
      <c r="B406" s="1" t="n">
        <v>44126</v>
      </c>
      <c r="C406" s="1" t="n">
        <v>45719</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55220-2020</t>
        </is>
      </c>
      <c r="B407" s="1" t="n">
        <v>44130</v>
      </c>
      <c r="C407" s="1" t="n">
        <v>45719</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55953-2020</t>
        </is>
      </c>
      <c r="B408" s="1" t="n">
        <v>44131</v>
      </c>
      <c r="C408" s="1" t="n">
        <v>45719</v>
      </c>
      <c r="D408" t="inlineStr">
        <is>
          <t>UPPSALA LÄN</t>
        </is>
      </c>
      <c r="E408" t="inlineStr">
        <is>
          <t>UPPSALA</t>
        </is>
      </c>
      <c r="F408" t="inlineStr">
        <is>
          <t>Allmännings- och besparingsskogar</t>
        </is>
      </c>
      <c r="G408" t="n">
        <v>74.40000000000001</v>
      </c>
      <c r="H408" t="n">
        <v>0</v>
      </c>
      <c r="I408" t="n">
        <v>0</v>
      </c>
      <c r="J408" t="n">
        <v>0</v>
      </c>
      <c r="K408" t="n">
        <v>0</v>
      </c>
      <c r="L408" t="n">
        <v>0</v>
      </c>
      <c r="M408" t="n">
        <v>0</v>
      </c>
      <c r="N408" t="n">
        <v>0</v>
      </c>
      <c r="O408" t="n">
        <v>0</v>
      </c>
      <c r="P408" t="n">
        <v>0</v>
      </c>
      <c r="Q408" t="n">
        <v>0</v>
      </c>
      <c r="R408" s="2" t="inlineStr"/>
    </row>
    <row r="409" ht="15" customHeight="1">
      <c r="A409" t="inlineStr">
        <is>
          <t>A 56097-2020</t>
        </is>
      </c>
      <c r="B409" s="1" t="n">
        <v>44131</v>
      </c>
      <c r="C409" s="1" t="n">
        <v>45719</v>
      </c>
      <c r="D409" t="inlineStr">
        <is>
          <t>UPPSALA LÄN</t>
        </is>
      </c>
      <c r="E409" t="inlineStr">
        <is>
          <t>UPPSALA</t>
        </is>
      </c>
      <c r="F409" t="inlineStr">
        <is>
          <t>Allmännings- och besparingsskogar</t>
        </is>
      </c>
      <c r="G409" t="n">
        <v>10.6</v>
      </c>
      <c r="H409" t="n">
        <v>0</v>
      </c>
      <c r="I409" t="n">
        <v>0</v>
      </c>
      <c r="J409" t="n">
        <v>0</v>
      </c>
      <c r="K409" t="n">
        <v>0</v>
      </c>
      <c r="L409" t="n">
        <v>0</v>
      </c>
      <c r="M409" t="n">
        <v>0</v>
      </c>
      <c r="N409" t="n">
        <v>0</v>
      </c>
      <c r="O409" t="n">
        <v>0</v>
      </c>
      <c r="P409" t="n">
        <v>0</v>
      </c>
      <c r="Q409" t="n">
        <v>0</v>
      </c>
      <c r="R409" s="2" t="inlineStr"/>
    </row>
    <row r="410" ht="15" customHeight="1">
      <c r="A410" t="inlineStr">
        <is>
          <t>A 56466-2020</t>
        </is>
      </c>
      <c r="B410" s="1" t="n">
        <v>44134</v>
      </c>
      <c r="C410" s="1" t="n">
        <v>45719</v>
      </c>
      <c r="D410" t="inlineStr">
        <is>
          <t>UPPSALA LÄN</t>
        </is>
      </c>
      <c r="E410" t="inlineStr">
        <is>
          <t>UPPSALA</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57041-2020</t>
        </is>
      </c>
      <c r="B411" s="1" t="n">
        <v>44137</v>
      </c>
      <c r="C411" s="1" t="n">
        <v>45719</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57271-2020</t>
        </is>
      </c>
      <c r="B412" s="1" t="n">
        <v>44139</v>
      </c>
      <c r="C412" s="1" t="n">
        <v>45719</v>
      </c>
      <c r="D412" t="inlineStr">
        <is>
          <t>UPPSALA LÄN</t>
        </is>
      </c>
      <c r="E412" t="inlineStr">
        <is>
          <t>UPPSALA</t>
        </is>
      </c>
      <c r="G412" t="n">
        <v>3.8</v>
      </c>
      <c r="H412" t="n">
        <v>0</v>
      </c>
      <c r="I412" t="n">
        <v>0</v>
      </c>
      <c r="J412" t="n">
        <v>0</v>
      </c>
      <c r="K412" t="n">
        <v>0</v>
      </c>
      <c r="L412" t="n">
        <v>0</v>
      </c>
      <c r="M412" t="n">
        <v>0</v>
      </c>
      <c r="N412" t="n">
        <v>0</v>
      </c>
      <c r="O412" t="n">
        <v>0</v>
      </c>
      <c r="P412" t="n">
        <v>0</v>
      </c>
      <c r="Q412" t="n">
        <v>0</v>
      </c>
      <c r="R412" s="2" t="inlineStr"/>
    </row>
    <row r="413" ht="15" customHeight="1">
      <c r="A413" t="inlineStr">
        <is>
          <t>A 57451-2020</t>
        </is>
      </c>
      <c r="B413" s="1" t="n">
        <v>44139</v>
      </c>
      <c r="C413" s="1" t="n">
        <v>45719</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57466-2020</t>
        </is>
      </c>
      <c r="B414" s="1" t="n">
        <v>44139</v>
      </c>
      <c r="C414" s="1" t="n">
        <v>45719</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58070-2020</t>
        </is>
      </c>
      <c r="B415" s="1" t="n">
        <v>44140</v>
      </c>
      <c r="C415" s="1" t="n">
        <v>45719</v>
      </c>
      <c r="D415" t="inlineStr">
        <is>
          <t>UPPSALA LÄN</t>
        </is>
      </c>
      <c r="E415" t="inlineStr">
        <is>
          <t>UPPSALA</t>
        </is>
      </c>
      <c r="G415" t="n">
        <v>4</v>
      </c>
      <c r="H415" t="n">
        <v>0</v>
      </c>
      <c r="I415" t="n">
        <v>0</v>
      </c>
      <c r="J415" t="n">
        <v>0</v>
      </c>
      <c r="K415" t="n">
        <v>0</v>
      </c>
      <c r="L415" t="n">
        <v>0</v>
      </c>
      <c r="M415" t="n">
        <v>0</v>
      </c>
      <c r="N415" t="n">
        <v>0</v>
      </c>
      <c r="O415" t="n">
        <v>0</v>
      </c>
      <c r="P415" t="n">
        <v>0</v>
      </c>
      <c r="Q415" t="n">
        <v>0</v>
      </c>
      <c r="R415" s="2" t="inlineStr"/>
    </row>
    <row r="416" ht="15" customHeight="1">
      <c r="A416" t="inlineStr">
        <is>
          <t>A 58058-2020</t>
        </is>
      </c>
      <c r="B416" s="1" t="n">
        <v>44144</v>
      </c>
      <c r="C416" s="1" t="n">
        <v>45719</v>
      </c>
      <c r="D416" t="inlineStr">
        <is>
          <t>UPPSALA LÄN</t>
        </is>
      </c>
      <c r="E416" t="inlineStr">
        <is>
          <t>UPPSALA</t>
        </is>
      </c>
      <c r="G416" t="n">
        <v>4.4</v>
      </c>
      <c r="H416" t="n">
        <v>0</v>
      </c>
      <c r="I416" t="n">
        <v>0</v>
      </c>
      <c r="J416" t="n">
        <v>0</v>
      </c>
      <c r="K416" t="n">
        <v>0</v>
      </c>
      <c r="L416" t="n">
        <v>0</v>
      </c>
      <c r="M416" t="n">
        <v>0</v>
      </c>
      <c r="N416" t="n">
        <v>0</v>
      </c>
      <c r="O416" t="n">
        <v>0</v>
      </c>
      <c r="P416" t="n">
        <v>0</v>
      </c>
      <c r="Q416" t="n">
        <v>0</v>
      </c>
      <c r="R416" s="2" t="inlineStr"/>
    </row>
    <row r="417" ht="15" customHeight="1">
      <c r="A417" t="inlineStr">
        <is>
          <t>A 58056-2020</t>
        </is>
      </c>
      <c r="B417" s="1" t="n">
        <v>44144</v>
      </c>
      <c r="C417" s="1" t="n">
        <v>45719</v>
      </c>
      <c r="D417" t="inlineStr">
        <is>
          <t>UPPSALA LÄN</t>
        </is>
      </c>
      <c r="E417" t="inlineStr">
        <is>
          <t>UPPSALA</t>
        </is>
      </c>
      <c r="G417" t="n">
        <v>5.5</v>
      </c>
      <c r="H417" t="n">
        <v>0</v>
      </c>
      <c r="I417" t="n">
        <v>0</v>
      </c>
      <c r="J417" t="n">
        <v>0</v>
      </c>
      <c r="K417" t="n">
        <v>0</v>
      </c>
      <c r="L417" t="n">
        <v>0</v>
      </c>
      <c r="M417" t="n">
        <v>0</v>
      </c>
      <c r="N417" t="n">
        <v>0</v>
      </c>
      <c r="O417" t="n">
        <v>0</v>
      </c>
      <c r="P417" t="n">
        <v>0</v>
      </c>
      <c r="Q417" t="n">
        <v>0</v>
      </c>
      <c r="R417" s="2" t="inlineStr"/>
    </row>
    <row r="418" ht="15" customHeight="1">
      <c r="A418" t="inlineStr">
        <is>
          <t>A 58288-2020</t>
        </is>
      </c>
      <c r="B418" s="1" t="n">
        <v>44144</v>
      </c>
      <c r="C418" s="1" t="n">
        <v>45719</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58928-2020</t>
        </is>
      </c>
      <c r="B419" s="1" t="n">
        <v>44146</v>
      </c>
      <c r="C419" s="1" t="n">
        <v>45719</v>
      </c>
      <c r="D419" t="inlineStr">
        <is>
          <t>UPPSALA LÄN</t>
        </is>
      </c>
      <c r="E419" t="inlineStr">
        <is>
          <t>UPPSALA</t>
        </is>
      </c>
      <c r="G419" t="n">
        <v>10.6</v>
      </c>
      <c r="H419" t="n">
        <v>0</v>
      </c>
      <c r="I419" t="n">
        <v>0</v>
      </c>
      <c r="J419" t="n">
        <v>0</v>
      </c>
      <c r="K419" t="n">
        <v>0</v>
      </c>
      <c r="L419" t="n">
        <v>0</v>
      </c>
      <c r="M419" t="n">
        <v>0</v>
      </c>
      <c r="N419" t="n">
        <v>0</v>
      </c>
      <c r="O419" t="n">
        <v>0</v>
      </c>
      <c r="P419" t="n">
        <v>0</v>
      </c>
      <c r="Q419" t="n">
        <v>0</v>
      </c>
      <c r="R419" s="2" t="inlineStr"/>
    </row>
    <row r="420" ht="15" customHeight="1">
      <c r="A420" t="inlineStr">
        <is>
          <t>A 59952-2020</t>
        </is>
      </c>
      <c r="B420" s="1" t="n">
        <v>44151</v>
      </c>
      <c r="C420" s="1" t="n">
        <v>45719</v>
      </c>
      <c r="D420" t="inlineStr">
        <is>
          <t>UPPSALA LÄN</t>
        </is>
      </c>
      <c r="E420" t="inlineStr">
        <is>
          <t>UPPSALA</t>
        </is>
      </c>
      <c r="G420" t="n">
        <v>25.8</v>
      </c>
      <c r="H420" t="n">
        <v>0</v>
      </c>
      <c r="I420" t="n">
        <v>0</v>
      </c>
      <c r="J420" t="n">
        <v>0</v>
      </c>
      <c r="K420" t="n">
        <v>0</v>
      </c>
      <c r="L420" t="n">
        <v>0</v>
      </c>
      <c r="M420" t="n">
        <v>0</v>
      </c>
      <c r="N420" t="n">
        <v>0</v>
      </c>
      <c r="O420" t="n">
        <v>0</v>
      </c>
      <c r="P420" t="n">
        <v>0</v>
      </c>
      <c r="Q420" t="n">
        <v>0</v>
      </c>
      <c r="R420" s="2" t="inlineStr"/>
    </row>
    <row r="421" ht="15" customHeight="1">
      <c r="A421" t="inlineStr">
        <is>
          <t>A 60702-2020</t>
        </is>
      </c>
      <c r="B421" s="1" t="n">
        <v>44153</v>
      </c>
      <c r="C421" s="1" t="n">
        <v>45719</v>
      </c>
      <c r="D421" t="inlineStr">
        <is>
          <t>UPPSALA LÄN</t>
        </is>
      </c>
      <c r="E421" t="inlineStr">
        <is>
          <t>UPPSALA</t>
        </is>
      </c>
      <c r="F421" t="inlineStr">
        <is>
          <t>Övriga statliga verk och myndigheter</t>
        </is>
      </c>
      <c r="G421" t="n">
        <v>1.4</v>
      </c>
      <c r="H421" t="n">
        <v>0</v>
      </c>
      <c r="I421" t="n">
        <v>0</v>
      </c>
      <c r="J421" t="n">
        <v>0</v>
      </c>
      <c r="K421" t="n">
        <v>0</v>
      </c>
      <c r="L421" t="n">
        <v>0</v>
      </c>
      <c r="M421" t="n">
        <v>0</v>
      </c>
      <c r="N421" t="n">
        <v>0</v>
      </c>
      <c r="O421" t="n">
        <v>0</v>
      </c>
      <c r="P421" t="n">
        <v>0</v>
      </c>
      <c r="Q421" t="n">
        <v>0</v>
      </c>
      <c r="R421" s="2" t="inlineStr"/>
    </row>
    <row r="422" ht="15" customHeight="1">
      <c r="A422" t="inlineStr">
        <is>
          <t>A 61265-2020</t>
        </is>
      </c>
      <c r="B422" s="1" t="n">
        <v>44155</v>
      </c>
      <c r="C422" s="1" t="n">
        <v>45719</v>
      </c>
      <c r="D422" t="inlineStr">
        <is>
          <t>UPPSALA LÄN</t>
        </is>
      </c>
      <c r="E422" t="inlineStr">
        <is>
          <t>UPPSALA</t>
        </is>
      </c>
      <c r="G422" t="n">
        <v>4.7</v>
      </c>
      <c r="H422" t="n">
        <v>0</v>
      </c>
      <c r="I422" t="n">
        <v>0</v>
      </c>
      <c r="J422" t="n">
        <v>0</v>
      </c>
      <c r="K422" t="n">
        <v>0</v>
      </c>
      <c r="L422" t="n">
        <v>0</v>
      </c>
      <c r="M422" t="n">
        <v>0</v>
      </c>
      <c r="N422" t="n">
        <v>0</v>
      </c>
      <c r="O422" t="n">
        <v>0</v>
      </c>
      <c r="P422" t="n">
        <v>0</v>
      </c>
      <c r="Q422" t="n">
        <v>0</v>
      </c>
      <c r="R422" s="2" t="inlineStr"/>
    </row>
    <row r="423" ht="15" customHeight="1">
      <c r="A423" t="inlineStr">
        <is>
          <t>A 61271-2020</t>
        </is>
      </c>
      <c r="B423" s="1" t="n">
        <v>44155</v>
      </c>
      <c r="C423" s="1" t="n">
        <v>45719</v>
      </c>
      <c r="D423" t="inlineStr">
        <is>
          <t>UPPSALA LÄN</t>
        </is>
      </c>
      <c r="E423" t="inlineStr">
        <is>
          <t>UPPSALA</t>
        </is>
      </c>
      <c r="G423" t="n">
        <v>3.5</v>
      </c>
      <c r="H423" t="n">
        <v>0</v>
      </c>
      <c r="I423" t="n">
        <v>0</v>
      </c>
      <c r="J423" t="n">
        <v>0</v>
      </c>
      <c r="K423" t="n">
        <v>0</v>
      </c>
      <c r="L423" t="n">
        <v>0</v>
      </c>
      <c r="M423" t="n">
        <v>0</v>
      </c>
      <c r="N423" t="n">
        <v>0</v>
      </c>
      <c r="O423" t="n">
        <v>0</v>
      </c>
      <c r="P423" t="n">
        <v>0</v>
      </c>
      <c r="Q423" t="n">
        <v>0</v>
      </c>
      <c r="R423" s="2" t="inlineStr"/>
    </row>
    <row r="424" ht="15" customHeight="1">
      <c r="A424" t="inlineStr">
        <is>
          <t>A 62094-2020</t>
        </is>
      </c>
      <c r="B424" s="1" t="n">
        <v>44159</v>
      </c>
      <c r="C424" s="1" t="n">
        <v>45719</v>
      </c>
      <c r="D424" t="inlineStr">
        <is>
          <t>UPPSALA LÄN</t>
        </is>
      </c>
      <c r="E424" t="inlineStr">
        <is>
          <t>UPPSALA</t>
        </is>
      </c>
      <c r="F424" t="inlineStr">
        <is>
          <t>Bergvik skog öst AB</t>
        </is>
      </c>
      <c r="G424" t="n">
        <v>3.4</v>
      </c>
      <c r="H424" t="n">
        <v>0</v>
      </c>
      <c r="I424" t="n">
        <v>0</v>
      </c>
      <c r="J424" t="n">
        <v>0</v>
      </c>
      <c r="K424" t="n">
        <v>0</v>
      </c>
      <c r="L424" t="n">
        <v>0</v>
      </c>
      <c r="M424" t="n">
        <v>0</v>
      </c>
      <c r="N424" t="n">
        <v>0</v>
      </c>
      <c r="O424" t="n">
        <v>0</v>
      </c>
      <c r="P424" t="n">
        <v>0</v>
      </c>
      <c r="Q424" t="n">
        <v>0</v>
      </c>
      <c r="R424" s="2" t="inlineStr"/>
    </row>
    <row r="425" ht="15" customHeight="1">
      <c r="A425" t="inlineStr">
        <is>
          <t>A 62352-2020</t>
        </is>
      </c>
      <c r="B425" s="1" t="n">
        <v>44159</v>
      </c>
      <c r="C425" s="1" t="n">
        <v>45719</v>
      </c>
      <c r="D425" t="inlineStr">
        <is>
          <t>UPPSALA LÄN</t>
        </is>
      </c>
      <c r="E425" t="inlineStr">
        <is>
          <t>UPPSALA</t>
        </is>
      </c>
      <c r="F425" t="inlineStr">
        <is>
          <t>Allmännings- och besparingsskogar</t>
        </is>
      </c>
      <c r="G425" t="n">
        <v>12.9</v>
      </c>
      <c r="H425" t="n">
        <v>0</v>
      </c>
      <c r="I425" t="n">
        <v>0</v>
      </c>
      <c r="J425" t="n">
        <v>0</v>
      </c>
      <c r="K425" t="n">
        <v>0</v>
      </c>
      <c r="L425" t="n">
        <v>0</v>
      </c>
      <c r="M425" t="n">
        <v>0</v>
      </c>
      <c r="N425" t="n">
        <v>0</v>
      </c>
      <c r="O425" t="n">
        <v>0</v>
      </c>
      <c r="P425" t="n">
        <v>0</v>
      </c>
      <c r="Q425" t="n">
        <v>0</v>
      </c>
      <c r="R425" s="2" t="inlineStr"/>
    </row>
    <row r="426" ht="15" customHeight="1">
      <c r="A426" t="inlineStr">
        <is>
          <t>A 62504-2020</t>
        </is>
      </c>
      <c r="B426" s="1" t="n">
        <v>44160</v>
      </c>
      <c r="C426" s="1" t="n">
        <v>45719</v>
      </c>
      <c r="D426" t="inlineStr">
        <is>
          <t>UPPSALA LÄN</t>
        </is>
      </c>
      <c r="E426" t="inlineStr">
        <is>
          <t>UPPSALA</t>
        </is>
      </c>
      <c r="F426" t="inlineStr">
        <is>
          <t>Bergvik skog öst AB</t>
        </is>
      </c>
      <c r="G426" t="n">
        <v>1.3</v>
      </c>
      <c r="H426" t="n">
        <v>0</v>
      </c>
      <c r="I426" t="n">
        <v>0</v>
      </c>
      <c r="J426" t="n">
        <v>0</v>
      </c>
      <c r="K426" t="n">
        <v>0</v>
      </c>
      <c r="L426" t="n">
        <v>0</v>
      </c>
      <c r="M426" t="n">
        <v>0</v>
      </c>
      <c r="N426" t="n">
        <v>0</v>
      </c>
      <c r="O426" t="n">
        <v>0</v>
      </c>
      <c r="P426" t="n">
        <v>0</v>
      </c>
      <c r="Q426" t="n">
        <v>0</v>
      </c>
      <c r="R426" s="2" t="inlineStr"/>
    </row>
    <row r="427" ht="15" customHeight="1">
      <c r="A427" t="inlineStr">
        <is>
          <t>A 62729-2020</t>
        </is>
      </c>
      <c r="B427" s="1" t="n">
        <v>44161</v>
      </c>
      <c r="C427" s="1" t="n">
        <v>45719</v>
      </c>
      <c r="D427" t="inlineStr">
        <is>
          <t>UPPSALA LÄN</t>
        </is>
      </c>
      <c r="E427" t="inlineStr">
        <is>
          <t>UPPSALA</t>
        </is>
      </c>
      <c r="F427" t="inlineStr">
        <is>
          <t>Kommuner</t>
        </is>
      </c>
      <c r="G427" t="n">
        <v>0.5</v>
      </c>
      <c r="H427" t="n">
        <v>0</v>
      </c>
      <c r="I427" t="n">
        <v>0</v>
      </c>
      <c r="J427" t="n">
        <v>0</v>
      </c>
      <c r="K427" t="n">
        <v>0</v>
      </c>
      <c r="L427" t="n">
        <v>0</v>
      </c>
      <c r="M427" t="n">
        <v>0</v>
      </c>
      <c r="N427" t="n">
        <v>0</v>
      </c>
      <c r="O427" t="n">
        <v>0</v>
      </c>
      <c r="P427" t="n">
        <v>0</v>
      </c>
      <c r="Q427" t="n">
        <v>0</v>
      </c>
      <c r="R427" s="2" t="inlineStr"/>
    </row>
    <row r="428" ht="15" customHeight="1">
      <c r="A428" t="inlineStr">
        <is>
          <t>A 62655-2020</t>
        </is>
      </c>
      <c r="B428" s="1" t="n">
        <v>44161</v>
      </c>
      <c r="C428" s="1" t="n">
        <v>45719</v>
      </c>
      <c r="D428" t="inlineStr">
        <is>
          <t>UPPSALA LÄN</t>
        </is>
      </c>
      <c r="E428" t="inlineStr">
        <is>
          <t>UPPSALA</t>
        </is>
      </c>
      <c r="F428" t="inlineStr">
        <is>
          <t>Holmen skog AB</t>
        </is>
      </c>
      <c r="G428" t="n">
        <v>2.7</v>
      </c>
      <c r="H428" t="n">
        <v>0</v>
      </c>
      <c r="I428" t="n">
        <v>0</v>
      </c>
      <c r="J428" t="n">
        <v>0</v>
      </c>
      <c r="K428" t="n">
        <v>0</v>
      </c>
      <c r="L428" t="n">
        <v>0</v>
      </c>
      <c r="M428" t="n">
        <v>0</v>
      </c>
      <c r="N428" t="n">
        <v>0</v>
      </c>
      <c r="O428" t="n">
        <v>0</v>
      </c>
      <c r="P428" t="n">
        <v>0</v>
      </c>
      <c r="Q428" t="n">
        <v>0</v>
      </c>
      <c r="R428" s="2" t="inlineStr"/>
    </row>
    <row r="429" ht="15" customHeight="1">
      <c r="A429" t="inlineStr">
        <is>
          <t>A 63145-2020</t>
        </is>
      </c>
      <c r="B429" s="1" t="n">
        <v>44162</v>
      </c>
      <c r="C429" s="1" t="n">
        <v>45719</v>
      </c>
      <c r="D429" t="inlineStr">
        <is>
          <t>UPPSALA LÄN</t>
        </is>
      </c>
      <c r="E429" t="inlineStr">
        <is>
          <t>UPPSALA</t>
        </is>
      </c>
      <c r="G429" t="n">
        <v>2.6</v>
      </c>
      <c r="H429" t="n">
        <v>0</v>
      </c>
      <c r="I429" t="n">
        <v>0</v>
      </c>
      <c r="J429" t="n">
        <v>0</v>
      </c>
      <c r="K429" t="n">
        <v>0</v>
      </c>
      <c r="L429" t="n">
        <v>0</v>
      </c>
      <c r="M429" t="n">
        <v>0</v>
      </c>
      <c r="N429" t="n">
        <v>0</v>
      </c>
      <c r="O429" t="n">
        <v>0</v>
      </c>
      <c r="P429" t="n">
        <v>0</v>
      </c>
      <c r="Q429" t="n">
        <v>0</v>
      </c>
      <c r="R429" s="2" t="inlineStr"/>
    </row>
    <row r="430" ht="15" customHeight="1">
      <c r="A430" t="inlineStr">
        <is>
          <t>A 63529-2020</t>
        </is>
      </c>
      <c r="B430" s="1" t="n">
        <v>44165</v>
      </c>
      <c r="C430" s="1" t="n">
        <v>45719</v>
      </c>
      <c r="D430" t="inlineStr">
        <is>
          <t>UPPSALA LÄN</t>
        </is>
      </c>
      <c r="E430" t="inlineStr">
        <is>
          <t>UPPSALA</t>
        </is>
      </c>
      <c r="F430" t="inlineStr">
        <is>
          <t>Övriga statliga verk och myndigheter</t>
        </is>
      </c>
      <c r="G430" t="n">
        <v>2.4</v>
      </c>
      <c r="H430" t="n">
        <v>0</v>
      </c>
      <c r="I430" t="n">
        <v>0</v>
      </c>
      <c r="J430" t="n">
        <v>0</v>
      </c>
      <c r="K430" t="n">
        <v>0</v>
      </c>
      <c r="L430" t="n">
        <v>0</v>
      </c>
      <c r="M430" t="n">
        <v>0</v>
      </c>
      <c r="N430" t="n">
        <v>0</v>
      </c>
      <c r="O430" t="n">
        <v>0</v>
      </c>
      <c r="P430" t="n">
        <v>0</v>
      </c>
      <c r="Q430" t="n">
        <v>0</v>
      </c>
      <c r="R430" s="2" t="inlineStr"/>
    </row>
    <row r="431" ht="15" customHeight="1">
      <c r="A431" t="inlineStr">
        <is>
          <t>A 63749-2020</t>
        </is>
      </c>
      <c r="B431" s="1" t="n">
        <v>44166</v>
      </c>
      <c r="C431" s="1" t="n">
        <v>45719</v>
      </c>
      <c r="D431" t="inlineStr">
        <is>
          <t>UPPSALA LÄN</t>
        </is>
      </c>
      <c r="E431" t="inlineStr">
        <is>
          <t>UPPSALA</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64128-2020</t>
        </is>
      </c>
      <c r="B432" s="1" t="n">
        <v>44167</v>
      </c>
      <c r="C432" s="1" t="n">
        <v>45719</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64353-2020</t>
        </is>
      </c>
      <c r="B433" s="1" t="n">
        <v>44168</v>
      </c>
      <c r="C433" s="1" t="n">
        <v>45719</v>
      </c>
      <c r="D433" t="inlineStr">
        <is>
          <t>UPPSALA LÄN</t>
        </is>
      </c>
      <c r="E433" t="inlineStr">
        <is>
          <t>UPPSALA</t>
        </is>
      </c>
      <c r="G433" t="n">
        <v>0.5</v>
      </c>
      <c r="H433" t="n">
        <v>0</v>
      </c>
      <c r="I433" t="n">
        <v>0</v>
      </c>
      <c r="J433" t="n">
        <v>0</v>
      </c>
      <c r="K433" t="n">
        <v>0</v>
      </c>
      <c r="L433" t="n">
        <v>0</v>
      </c>
      <c r="M433" t="n">
        <v>0</v>
      </c>
      <c r="N433" t="n">
        <v>0</v>
      </c>
      <c r="O433" t="n">
        <v>0</v>
      </c>
      <c r="P433" t="n">
        <v>0</v>
      </c>
      <c r="Q433" t="n">
        <v>0</v>
      </c>
      <c r="R433" s="2" t="inlineStr"/>
    </row>
    <row r="434" ht="15" customHeight="1">
      <c r="A434" t="inlineStr">
        <is>
          <t>A 64333-2020</t>
        </is>
      </c>
      <c r="B434" s="1" t="n">
        <v>44168</v>
      </c>
      <c r="C434" s="1" t="n">
        <v>45719</v>
      </c>
      <c r="D434" t="inlineStr">
        <is>
          <t>UPPSALA LÄN</t>
        </is>
      </c>
      <c r="E434" t="inlineStr">
        <is>
          <t>UPPSALA</t>
        </is>
      </c>
      <c r="G434" t="n">
        <v>7.1</v>
      </c>
      <c r="H434" t="n">
        <v>0</v>
      </c>
      <c r="I434" t="n">
        <v>0</v>
      </c>
      <c r="J434" t="n">
        <v>0</v>
      </c>
      <c r="K434" t="n">
        <v>0</v>
      </c>
      <c r="L434" t="n">
        <v>0</v>
      </c>
      <c r="M434" t="n">
        <v>0</v>
      </c>
      <c r="N434" t="n">
        <v>0</v>
      </c>
      <c r="O434" t="n">
        <v>0</v>
      </c>
      <c r="P434" t="n">
        <v>0</v>
      </c>
      <c r="Q434" t="n">
        <v>0</v>
      </c>
      <c r="R434" s="2" t="inlineStr"/>
    </row>
    <row r="435" ht="15" customHeight="1">
      <c r="A435" t="inlineStr">
        <is>
          <t>A 66984-2020</t>
        </is>
      </c>
      <c r="B435" s="1" t="n">
        <v>44180</v>
      </c>
      <c r="C435" s="1" t="n">
        <v>45719</v>
      </c>
      <c r="D435" t="inlineStr">
        <is>
          <t>UPPSALA LÄN</t>
        </is>
      </c>
      <c r="E435" t="inlineStr">
        <is>
          <t>UPPSALA</t>
        </is>
      </c>
      <c r="F435" t="inlineStr">
        <is>
          <t>Övriga statliga verk och myndigheter</t>
        </is>
      </c>
      <c r="G435" t="n">
        <v>2.1</v>
      </c>
      <c r="H435" t="n">
        <v>0</v>
      </c>
      <c r="I435" t="n">
        <v>0</v>
      </c>
      <c r="J435" t="n">
        <v>0</v>
      </c>
      <c r="K435" t="n">
        <v>0</v>
      </c>
      <c r="L435" t="n">
        <v>0</v>
      </c>
      <c r="M435" t="n">
        <v>0</v>
      </c>
      <c r="N435" t="n">
        <v>0</v>
      </c>
      <c r="O435" t="n">
        <v>0</v>
      </c>
      <c r="P435" t="n">
        <v>0</v>
      </c>
      <c r="Q435" t="n">
        <v>0</v>
      </c>
      <c r="R435" s="2" t="inlineStr"/>
    </row>
    <row r="436" ht="15" customHeight="1">
      <c r="A436" t="inlineStr">
        <is>
          <t>A 265-2021</t>
        </is>
      </c>
      <c r="B436" s="1" t="n">
        <v>44200</v>
      </c>
      <c r="C436" s="1" t="n">
        <v>45719</v>
      </c>
      <c r="D436" t="inlineStr">
        <is>
          <t>UPPSALA LÄN</t>
        </is>
      </c>
      <c r="E436" t="inlineStr">
        <is>
          <t>UPPSALA</t>
        </is>
      </c>
      <c r="G436" t="n">
        <v>3.1</v>
      </c>
      <c r="H436" t="n">
        <v>0</v>
      </c>
      <c r="I436" t="n">
        <v>0</v>
      </c>
      <c r="J436" t="n">
        <v>0</v>
      </c>
      <c r="K436" t="n">
        <v>0</v>
      </c>
      <c r="L436" t="n">
        <v>0</v>
      </c>
      <c r="M436" t="n">
        <v>0</v>
      </c>
      <c r="N436" t="n">
        <v>0</v>
      </c>
      <c r="O436" t="n">
        <v>0</v>
      </c>
      <c r="P436" t="n">
        <v>0</v>
      </c>
      <c r="Q436" t="n">
        <v>0</v>
      </c>
      <c r="R436" s="2" t="inlineStr"/>
    </row>
    <row r="437" ht="15" customHeight="1">
      <c r="A437" t="inlineStr">
        <is>
          <t>A 1020-2021</t>
        </is>
      </c>
      <c r="B437" s="1" t="n">
        <v>44207</v>
      </c>
      <c r="C437" s="1" t="n">
        <v>45719</v>
      </c>
      <c r="D437" t="inlineStr">
        <is>
          <t>UPPSALA LÄN</t>
        </is>
      </c>
      <c r="E437" t="inlineStr">
        <is>
          <t>UPPSALA</t>
        </is>
      </c>
      <c r="F437" t="inlineStr">
        <is>
          <t>Holmen skog AB</t>
        </is>
      </c>
      <c r="G437" t="n">
        <v>1</v>
      </c>
      <c r="H437" t="n">
        <v>0</v>
      </c>
      <c r="I437" t="n">
        <v>0</v>
      </c>
      <c r="J437" t="n">
        <v>0</v>
      </c>
      <c r="K437" t="n">
        <v>0</v>
      </c>
      <c r="L437" t="n">
        <v>0</v>
      </c>
      <c r="M437" t="n">
        <v>0</v>
      </c>
      <c r="N437" t="n">
        <v>0</v>
      </c>
      <c r="O437" t="n">
        <v>0</v>
      </c>
      <c r="P437" t="n">
        <v>0</v>
      </c>
      <c r="Q437" t="n">
        <v>0</v>
      </c>
      <c r="R437" s="2" t="inlineStr"/>
    </row>
    <row r="438" ht="15" customHeight="1">
      <c r="A438" t="inlineStr">
        <is>
          <t>A 1573-2021</t>
        </is>
      </c>
      <c r="B438" s="1" t="n">
        <v>44209</v>
      </c>
      <c r="C438" s="1" t="n">
        <v>45719</v>
      </c>
      <c r="D438" t="inlineStr">
        <is>
          <t>UPPSALA LÄN</t>
        </is>
      </c>
      <c r="E438" t="inlineStr">
        <is>
          <t>UPPSALA</t>
        </is>
      </c>
      <c r="G438" t="n">
        <v>15</v>
      </c>
      <c r="H438" t="n">
        <v>0</v>
      </c>
      <c r="I438" t="n">
        <v>0</v>
      </c>
      <c r="J438" t="n">
        <v>0</v>
      </c>
      <c r="K438" t="n">
        <v>0</v>
      </c>
      <c r="L438" t="n">
        <v>0</v>
      </c>
      <c r="M438" t="n">
        <v>0</v>
      </c>
      <c r="N438" t="n">
        <v>0</v>
      </c>
      <c r="O438" t="n">
        <v>0</v>
      </c>
      <c r="P438" t="n">
        <v>0</v>
      </c>
      <c r="Q438" t="n">
        <v>0</v>
      </c>
      <c r="R438" s="2" t="inlineStr"/>
    </row>
    <row r="439" ht="15" customHeight="1">
      <c r="A439" t="inlineStr">
        <is>
          <t>A 1617-2021</t>
        </is>
      </c>
      <c r="B439" s="1" t="n">
        <v>44209</v>
      </c>
      <c r="C439" s="1" t="n">
        <v>45719</v>
      </c>
      <c r="D439" t="inlineStr">
        <is>
          <t>UPPSALA LÄN</t>
        </is>
      </c>
      <c r="E439" t="inlineStr">
        <is>
          <t>UPPSALA</t>
        </is>
      </c>
      <c r="G439" t="n">
        <v>2.5</v>
      </c>
      <c r="H439" t="n">
        <v>0</v>
      </c>
      <c r="I439" t="n">
        <v>0</v>
      </c>
      <c r="J439" t="n">
        <v>0</v>
      </c>
      <c r="K439" t="n">
        <v>0</v>
      </c>
      <c r="L439" t="n">
        <v>0</v>
      </c>
      <c r="M439" t="n">
        <v>0</v>
      </c>
      <c r="N439" t="n">
        <v>0</v>
      </c>
      <c r="O439" t="n">
        <v>0</v>
      </c>
      <c r="P439" t="n">
        <v>0</v>
      </c>
      <c r="Q439" t="n">
        <v>0</v>
      </c>
      <c r="R439" s="2" t="inlineStr"/>
    </row>
    <row r="440" ht="15" customHeight="1">
      <c r="A440" t="inlineStr">
        <is>
          <t>A 1855-2021</t>
        </is>
      </c>
      <c r="B440" s="1" t="n">
        <v>44210</v>
      </c>
      <c r="C440" s="1" t="n">
        <v>45719</v>
      </c>
      <c r="D440" t="inlineStr">
        <is>
          <t>UPPSALA LÄN</t>
        </is>
      </c>
      <c r="E440" t="inlineStr">
        <is>
          <t>UPPSALA</t>
        </is>
      </c>
      <c r="G440" t="n">
        <v>0.9</v>
      </c>
      <c r="H440" t="n">
        <v>0</v>
      </c>
      <c r="I440" t="n">
        <v>0</v>
      </c>
      <c r="J440" t="n">
        <v>0</v>
      </c>
      <c r="K440" t="n">
        <v>0</v>
      </c>
      <c r="L440" t="n">
        <v>0</v>
      </c>
      <c r="M440" t="n">
        <v>0</v>
      </c>
      <c r="N440" t="n">
        <v>0</v>
      </c>
      <c r="O440" t="n">
        <v>0</v>
      </c>
      <c r="P440" t="n">
        <v>0</v>
      </c>
      <c r="Q440" t="n">
        <v>0</v>
      </c>
      <c r="R440" s="2" t="inlineStr"/>
    </row>
    <row r="441" ht="15" customHeight="1">
      <c r="A441" t="inlineStr">
        <is>
          <t>A 2169-2021</t>
        </is>
      </c>
      <c r="B441" s="1" t="n">
        <v>44211</v>
      </c>
      <c r="C441" s="1" t="n">
        <v>45719</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3864-2021</t>
        </is>
      </c>
      <c r="B442" s="1" t="n">
        <v>44216</v>
      </c>
      <c r="C442" s="1" t="n">
        <v>45719</v>
      </c>
      <c r="D442" t="inlineStr">
        <is>
          <t>UPPSALA LÄN</t>
        </is>
      </c>
      <c r="E442" t="inlineStr">
        <is>
          <t>UPPSALA</t>
        </is>
      </c>
      <c r="G442" t="n">
        <v>2.9</v>
      </c>
      <c r="H442" t="n">
        <v>0</v>
      </c>
      <c r="I442" t="n">
        <v>0</v>
      </c>
      <c r="J442" t="n">
        <v>0</v>
      </c>
      <c r="K442" t="n">
        <v>0</v>
      </c>
      <c r="L442" t="n">
        <v>0</v>
      </c>
      <c r="M442" t="n">
        <v>0</v>
      </c>
      <c r="N442" t="n">
        <v>0</v>
      </c>
      <c r="O442" t="n">
        <v>0</v>
      </c>
      <c r="P442" t="n">
        <v>0</v>
      </c>
      <c r="Q442" t="n">
        <v>0</v>
      </c>
      <c r="R442" s="2" t="inlineStr"/>
    </row>
    <row r="443" ht="15" customHeight="1">
      <c r="A443" t="inlineStr">
        <is>
          <t>A 3874-2021</t>
        </is>
      </c>
      <c r="B443" s="1" t="n">
        <v>44216</v>
      </c>
      <c r="C443" s="1" t="n">
        <v>45719</v>
      </c>
      <c r="D443" t="inlineStr">
        <is>
          <t>UPPSALA LÄN</t>
        </is>
      </c>
      <c r="E443" t="inlineStr">
        <is>
          <t>UPPSALA</t>
        </is>
      </c>
      <c r="G443" t="n">
        <v>1.7</v>
      </c>
      <c r="H443" t="n">
        <v>0</v>
      </c>
      <c r="I443" t="n">
        <v>0</v>
      </c>
      <c r="J443" t="n">
        <v>0</v>
      </c>
      <c r="K443" t="n">
        <v>0</v>
      </c>
      <c r="L443" t="n">
        <v>0</v>
      </c>
      <c r="M443" t="n">
        <v>0</v>
      </c>
      <c r="N443" t="n">
        <v>0</v>
      </c>
      <c r="O443" t="n">
        <v>0</v>
      </c>
      <c r="P443" t="n">
        <v>0</v>
      </c>
      <c r="Q443" t="n">
        <v>0</v>
      </c>
      <c r="R443" s="2" t="inlineStr"/>
    </row>
    <row r="444" ht="15" customHeight="1">
      <c r="A444" t="inlineStr">
        <is>
          <t>A 3955-2021</t>
        </is>
      </c>
      <c r="B444" s="1" t="n">
        <v>44222</v>
      </c>
      <c r="C444" s="1" t="n">
        <v>45719</v>
      </c>
      <c r="D444" t="inlineStr">
        <is>
          <t>UPPSALA LÄN</t>
        </is>
      </c>
      <c r="E444" t="inlineStr">
        <is>
          <t>UPPSALA</t>
        </is>
      </c>
      <c r="G444" t="n">
        <v>2.3</v>
      </c>
      <c r="H444" t="n">
        <v>0</v>
      </c>
      <c r="I444" t="n">
        <v>0</v>
      </c>
      <c r="J444" t="n">
        <v>0</v>
      </c>
      <c r="K444" t="n">
        <v>0</v>
      </c>
      <c r="L444" t="n">
        <v>0</v>
      </c>
      <c r="M444" t="n">
        <v>0</v>
      </c>
      <c r="N444" t="n">
        <v>0</v>
      </c>
      <c r="O444" t="n">
        <v>0</v>
      </c>
      <c r="P444" t="n">
        <v>0</v>
      </c>
      <c r="Q444" t="n">
        <v>0</v>
      </c>
      <c r="R444" s="2" t="inlineStr"/>
    </row>
    <row r="445" ht="15" customHeight="1">
      <c r="A445" t="inlineStr">
        <is>
          <t>A 4875-2021</t>
        </is>
      </c>
      <c r="B445" s="1" t="n">
        <v>44223</v>
      </c>
      <c r="C445" s="1" t="n">
        <v>45719</v>
      </c>
      <c r="D445" t="inlineStr">
        <is>
          <t>UPPSALA LÄN</t>
        </is>
      </c>
      <c r="E445" t="inlineStr">
        <is>
          <t>UPPSALA</t>
        </is>
      </c>
      <c r="G445" t="n">
        <v>0.4</v>
      </c>
      <c r="H445" t="n">
        <v>0</v>
      </c>
      <c r="I445" t="n">
        <v>0</v>
      </c>
      <c r="J445" t="n">
        <v>0</v>
      </c>
      <c r="K445" t="n">
        <v>0</v>
      </c>
      <c r="L445" t="n">
        <v>0</v>
      </c>
      <c r="M445" t="n">
        <v>0</v>
      </c>
      <c r="N445" t="n">
        <v>0</v>
      </c>
      <c r="O445" t="n">
        <v>0</v>
      </c>
      <c r="P445" t="n">
        <v>0</v>
      </c>
      <c r="Q445" t="n">
        <v>0</v>
      </c>
      <c r="R445" s="2" t="inlineStr"/>
    </row>
    <row r="446" ht="15" customHeight="1">
      <c r="A446" t="inlineStr">
        <is>
          <t>A 5663-2021</t>
        </is>
      </c>
      <c r="B446" s="1" t="n">
        <v>44230</v>
      </c>
      <c r="C446" s="1" t="n">
        <v>45719</v>
      </c>
      <c r="D446" t="inlineStr">
        <is>
          <t>UPPSALA LÄN</t>
        </is>
      </c>
      <c r="E446" t="inlineStr">
        <is>
          <t>UPPSALA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8114-2021</t>
        </is>
      </c>
      <c r="B447" s="1" t="n">
        <v>44243</v>
      </c>
      <c r="C447" s="1" t="n">
        <v>45719</v>
      </c>
      <c r="D447" t="inlineStr">
        <is>
          <t>UPPSALA LÄN</t>
        </is>
      </c>
      <c r="E447" t="inlineStr">
        <is>
          <t>UPPSALA</t>
        </is>
      </c>
      <c r="G447" t="n">
        <v>3.4</v>
      </c>
      <c r="H447" t="n">
        <v>0</v>
      </c>
      <c r="I447" t="n">
        <v>0</v>
      </c>
      <c r="J447" t="n">
        <v>0</v>
      </c>
      <c r="K447" t="n">
        <v>0</v>
      </c>
      <c r="L447" t="n">
        <v>0</v>
      </c>
      <c r="M447" t="n">
        <v>0</v>
      </c>
      <c r="N447" t="n">
        <v>0</v>
      </c>
      <c r="O447" t="n">
        <v>0</v>
      </c>
      <c r="P447" t="n">
        <v>0</v>
      </c>
      <c r="Q447" t="n">
        <v>0</v>
      </c>
      <c r="R447" s="2" t="inlineStr"/>
    </row>
    <row r="448" ht="15" customHeight="1">
      <c r="A448" t="inlineStr">
        <is>
          <t>A 8494-2021</t>
        </is>
      </c>
      <c r="B448" s="1" t="n">
        <v>44245</v>
      </c>
      <c r="C448" s="1" t="n">
        <v>45719</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9700-2021</t>
        </is>
      </c>
      <c r="B449" s="1" t="n">
        <v>44252</v>
      </c>
      <c r="C449" s="1" t="n">
        <v>45719</v>
      </c>
      <c r="D449" t="inlineStr">
        <is>
          <t>UPPSALA LÄN</t>
        </is>
      </c>
      <c r="E449" t="inlineStr">
        <is>
          <t>UPPSALA</t>
        </is>
      </c>
      <c r="G449" t="n">
        <v>3.3</v>
      </c>
      <c r="H449" t="n">
        <v>0</v>
      </c>
      <c r="I449" t="n">
        <v>0</v>
      </c>
      <c r="J449" t="n">
        <v>0</v>
      </c>
      <c r="K449" t="n">
        <v>0</v>
      </c>
      <c r="L449" t="n">
        <v>0</v>
      </c>
      <c r="M449" t="n">
        <v>0</v>
      </c>
      <c r="N449" t="n">
        <v>0</v>
      </c>
      <c r="O449" t="n">
        <v>0</v>
      </c>
      <c r="P449" t="n">
        <v>0</v>
      </c>
      <c r="Q449" t="n">
        <v>0</v>
      </c>
      <c r="R449" s="2" t="inlineStr"/>
    </row>
    <row r="450" ht="15" customHeight="1">
      <c r="A450" t="inlineStr">
        <is>
          <t>A 9712-2021</t>
        </is>
      </c>
      <c r="B450" s="1" t="n">
        <v>44252</v>
      </c>
      <c r="C450" s="1" t="n">
        <v>45719</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12225-2021</t>
        </is>
      </c>
      <c r="B451" s="1" t="n">
        <v>44266</v>
      </c>
      <c r="C451" s="1" t="n">
        <v>45719</v>
      </c>
      <c r="D451" t="inlineStr">
        <is>
          <t>UPPSALA LÄN</t>
        </is>
      </c>
      <c r="E451" t="inlineStr">
        <is>
          <t>UPPSALA</t>
        </is>
      </c>
      <c r="F451" t="inlineStr">
        <is>
          <t>Bergvik skog öst AB</t>
        </is>
      </c>
      <c r="G451" t="n">
        <v>4.8</v>
      </c>
      <c r="H451" t="n">
        <v>0</v>
      </c>
      <c r="I451" t="n">
        <v>0</v>
      </c>
      <c r="J451" t="n">
        <v>0</v>
      </c>
      <c r="K451" t="n">
        <v>0</v>
      </c>
      <c r="L451" t="n">
        <v>0</v>
      </c>
      <c r="M451" t="n">
        <v>0</v>
      </c>
      <c r="N451" t="n">
        <v>0</v>
      </c>
      <c r="O451" t="n">
        <v>0</v>
      </c>
      <c r="P451" t="n">
        <v>0</v>
      </c>
      <c r="Q451" t="n">
        <v>0</v>
      </c>
      <c r="R451" s="2" t="inlineStr"/>
    </row>
    <row r="452" ht="15" customHeight="1">
      <c r="A452" t="inlineStr">
        <is>
          <t>A 12152-2021</t>
        </is>
      </c>
      <c r="B452" s="1" t="n">
        <v>44266</v>
      </c>
      <c r="C452" s="1" t="n">
        <v>45719</v>
      </c>
      <c r="D452" t="inlineStr">
        <is>
          <t>UPPSALA LÄN</t>
        </is>
      </c>
      <c r="E452" t="inlineStr">
        <is>
          <t>UPPSALA</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12172-2021</t>
        </is>
      </c>
      <c r="B453" s="1" t="n">
        <v>44266</v>
      </c>
      <c r="C453" s="1" t="n">
        <v>45719</v>
      </c>
      <c r="D453" t="inlineStr">
        <is>
          <t>UPPSALA LÄN</t>
        </is>
      </c>
      <c r="E453" t="inlineStr">
        <is>
          <t>UPPSALA</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12194-2021</t>
        </is>
      </c>
      <c r="B454" s="1" t="n">
        <v>44266</v>
      </c>
      <c r="C454" s="1" t="n">
        <v>45719</v>
      </c>
      <c r="D454" t="inlineStr">
        <is>
          <t>UPPSALA LÄN</t>
        </is>
      </c>
      <c r="E454" t="inlineStr">
        <is>
          <t>UPPSALA</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12313-2021</t>
        </is>
      </c>
      <c r="B455" s="1" t="n">
        <v>44266</v>
      </c>
      <c r="C455" s="1" t="n">
        <v>45719</v>
      </c>
      <c r="D455" t="inlineStr">
        <is>
          <t>UPPSALA LÄN</t>
        </is>
      </c>
      <c r="E455" t="inlineStr">
        <is>
          <t>UPPSALA</t>
        </is>
      </c>
      <c r="G455" t="n">
        <v>23.6</v>
      </c>
      <c r="H455" t="n">
        <v>0</v>
      </c>
      <c r="I455" t="n">
        <v>0</v>
      </c>
      <c r="J455" t="n">
        <v>0</v>
      </c>
      <c r="K455" t="n">
        <v>0</v>
      </c>
      <c r="L455" t="n">
        <v>0</v>
      </c>
      <c r="M455" t="n">
        <v>0</v>
      </c>
      <c r="N455" t="n">
        <v>0</v>
      </c>
      <c r="O455" t="n">
        <v>0</v>
      </c>
      <c r="P455" t="n">
        <v>0</v>
      </c>
      <c r="Q455" t="n">
        <v>0</v>
      </c>
      <c r="R455" s="2" t="inlineStr"/>
    </row>
    <row r="456" ht="15" customHeight="1">
      <c r="A456" t="inlineStr">
        <is>
          <t>A 13010-2021</t>
        </is>
      </c>
      <c r="B456" s="1" t="n">
        <v>44271</v>
      </c>
      <c r="C456" s="1" t="n">
        <v>45719</v>
      </c>
      <c r="D456" t="inlineStr">
        <is>
          <t>UPPSALA LÄN</t>
        </is>
      </c>
      <c r="E456" t="inlineStr">
        <is>
          <t>UPPSALA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13420-2021</t>
        </is>
      </c>
      <c r="B457" s="1" t="n">
        <v>44273</v>
      </c>
      <c r="C457" s="1" t="n">
        <v>45719</v>
      </c>
      <c r="D457" t="inlineStr">
        <is>
          <t>UPPSALA LÄN</t>
        </is>
      </c>
      <c r="E457" t="inlineStr">
        <is>
          <t>UPPSALA</t>
        </is>
      </c>
      <c r="G457" t="n">
        <v>1.9</v>
      </c>
      <c r="H457" t="n">
        <v>0</v>
      </c>
      <c r="I457" t="n">
        <v>0</v>
      </c>
      <c r="J457" t="n">
        <v>0</v>
      </c>
      <c r="K457" t="n">
        <v>0</v>
      </c>
      <c r="L457" t="n">
        <v>0</v>
      </c>
      <c r="M457" t="n">
        <v>0</v>
      </c>
      <c r="N457" t="n">
        <v>0</v>
      </c>
      <c r="O457" t="n">
        <v>0</v>
      </c>
      <c r="P457" t="n">
        <v>0</v>
      </c>
      <c r="Q457" t="n">
        <v>0</v>
      </c>
      <c r="R457" s="2" t="inlineStr"/>
    </row>
    <row r="458" ht="15" customHeight="1">
      <c r="A458" t="inlineStr">
        <is>
          <t>A 14026-2021</t>
        </is>
      </c>
      <c r="B458" s="1" t="n">
        <v>44277</v>
      </c>
      <c r="C458" s="1" t="n">
        <v>45719</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14022-2021</t>
        </is>
      </c>
      <c r="B459" s="1" t="n">
        <v>44277</v>
      </c>
      <c r="C459" s="1" t="n">
        <v>45719</v>
      </c>
      <c r="D459" t="inlineStr">
        <is>
          <t>UPPSALA LÄN</t>
        </is>
      </c>
      <c r="E459" t="inlineStr">
        <is>
          <t>UPPSALA</t>
        </is>
      </c>
      <c r="G459" t="n">
        <v>11.1</v>
      </c>
      <c r="H459" t="n">
        <v>0</v>
      </c>
      <c r="I459" t="n">
        <v>0</v>
      </c>
      <c r="J459" t="n">
        <v>0</v>
      </c>
      <c r="K459" t="n">
        <v>0</v>
      </c>
      <c r="L459" t="n">
        <v>0</v>
      </c>
      <c r="M459" t="n">
        <v>0</v>
      </c>
      <c r="N459" t="n">
        <v>0</v>
      </c>
      <c r="O459" t="n">
        <v>0</v>
      </c>
      <c r="P459" t="n">
        <v>0</v>
      </c>
      <c r="Q459" t="n">
        <v>0</v>
      </c>
      <c r="R459" s="2" t="inlineStr"/>
    </row>
    <row r="460" ht="15" customHeight="1">
      <c r="A460" t="inlineStr">
        <is>
          <t>A 14341-2021</t>
        </is>
      </c>
      <c r="B460" s="1" t="n">
        <v>44279</v>
      </c>
      <c r="C460" s="1" t="n">
        <v>45719</v>
      </c>
      <c r="D460" t="inlineStr">
        <is>
          <t>UPPSALA LÄN</t>
        </is>
      </c>
      <c r="E460" t="inlineStr">
        <is>
          <t>UPPSALA</t>
        </is>
      </c>
      <c r="G460" t="n">
        <v>8.9</v>
      </c>
      <c r="H460" t="n">
        <v>0</v>
      </c>
      <c r="I460" t="n">
        <v>0</v>
      </c>
      <c r="J460" t="n">
        <v>0</v>
      </c>
      <c r="K460" t="n">
        <v>0</v>
      </c>
      <c r="L460" t="n">
        <v>0</v>
      </c>
      <c r="M460" t="n">
        <v>0</v>
      </c>
      <c r="N460" t="n">
        <v>0</v>
      </c>
      <c r="O460" t="n">
        <v>0</v>
      </c>
      <c r="P460" t="n">
        <v>0</v>
      </c>
      <c r="Q460" t="n">
        <v>0</v>
      </c>
      <c r="R460" s="2" t="inlineStr"/>
    </row>
    <row r="461" ht="15" customHeight="1">
      <c r="A461" t="inlineStr">
        <is>
          <t>A 14941-2021</t>
        </is>
      </c>
      <c r="B461" s="1" t="n">
        <v>44281</v>
      </c>
      <c r="C461" s="1" t="n">
        <v>45719</v>
      </c>
      <c r="D461" t="inlineStr">
        <is>
          <t>UPPSALA LÄN</t>
        </is>
      </c>
      <c r="E461" t="inlineStr">
        <is>
          <t>UPPSALA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15816-2021</t>
        </is>
      </c>
      <c r="B462" s="1" t="n">
        <v>44286</v>
      </c>
      <c r="C462" s="1" t="n">
        <v>45719</v>
      </c>
      <c r="D462" t="inlineStr">
        <is>
          <t>UPPSALA LÄN</t>
        </is>
      </c>
      <c r="E462" t="inlineStr">
        <is>
          <t>UPPSALA</t>
        </is>
      </c>
      <c r="G462" t="n">
        <v>2.9</v>
      </c>
      <c r="H462" t="n">
        <v>0</v>
      </c>
      <c r="I462" t="n">
        <v>0</v>
      </c>
      <c r="J462" t="n">
        <v>0</v>
      </c>
      <c r="K462" t="n">
        <v>0</v>
      </c>
      <c r="L462" t="n">
        <v>0</v>
      </c>
      <c r="M462" t="n">
        <v>0</v>
      </c>
      <c r="N462" t="n">
        <v>0</v>
      </c>
      <c r="O462" t="n">
        <v>0</v>
      </c>
      <c r="P462" t="n">
        <v>0</v>
      </c>
      <c r="Q462" t="n">
        <v>0</v>
      </c>
      <c r="R462" s="2" t="inlineStr"/>
    </row>
    <row r="463" ht="15" customHeight="1">
      <c r="A463" t="inlineStr">
        <is>
          <t>A 15820-2021</t>
        </is>
      </c>
      <c r="B463" s="1" t="n">
        <v>44286</v>
      </c>
      <c r="C463" s="1" t="n">
        <v>45719</v>
      </c>
      <c r="D463" t="inlineStr">
        <is>
          <t>UPPSALA LÄN</t>
        </is>
      </c>
      <c r="E463" t="inlineStr">
        <is>
          <t>UPPSALA</t>
        </is>
      </c>
      <c r="G463" t="n">
        <v>2.1</v>
      </c>
      <c r="H463" t="n">
        <v>0</v>
      </c>
      <c r="I463" t="n">
        <v>0</v>
      </c>
      <c r="J463" t="n">
        <v>0</v>
      </c>
      <c r="K463" t="n">
        <v>0</v>
      </c>
      <c r="L463" t="n">
        <v>0</v>
      </c>
      <c r="M463" t="n">
        <v>0</v>
      </c>
      <c r="N463" t="n">
        <v>0</v>
      </c>
      <c r="O463" t="n">
        <v>0</v>
      </c>
      <c r="P463" t="n">
        <v>0</v>
      </c>
      <c r="Q463" t="n">
        <v>0</v>
      </c>
      <c r="R463" s="2" t="inlineStr"/>
    </row>
    <row r="464" ht="15" customHeight="1">
      <c r="A464" t="inlineStr">
        <is>
          <t>A 16592-2021</t>
        </is>
      </c>
      <c r="B464" s="1" t="n">
        <v>44294</v>
      </c>
      <c r="C464" s="1" t="n">
        <v>45719</v>
      </c>
      <c r="D464" t="inlineStr">
        <is>
          <t>UPPSALA LÄN</t>
        </is>
      </c>
      <c r="E464" t="inlineStr">
        <is>
          <t>UPPSALA</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16615-2021</t>
        </is>
      </c>
      <c r="B465" s="1" t="n">
        <v>44294</v>
      </c>
      <c r="C465" s="1" t="n">
        <v>45719</v>
      </c>
      <c r="D465" t="inlineStr">
        <is>
          <t>UPPSALA LÄN</t>
        </is>
      </c>
      <c r="E465" t="inlineStr">
        <is>
          <t>UPPSALA</t>
        </is>
      </c>
      <c r="F465" t="inlineStr">
        <is>
          <t>Övriga Aktiebolag</t>
        </is>
      </c>
      <c r="G465" t="n">
        <v>1.5</v>
      </c>
      <c r="H465" t="n">
        <v>0</v>
      </c>
      <c r="I465" t="n">
        <v>0</v>
      </c>
      <c r="J465" t="n">
        <v>0</v>
      </c>
      <c r="K465" t="n">
        <v>0</v>
      </c>
      <c r="L465" t="n">
        <v>0</v>
      </c>
      <c r="M465" t="n">
        <v>0</v>
      </c>
      <c r="N465" t="n">
        <v>0</v>
      </c>
      <c r="O465" t="n">
        <v>0</v>
      </c>
      <c r="P465" t="n">
        <v>0</v>
      </c>
      <c r="Q465" t="n">
        <v>0</v>
      </c>
      <c r="R465" s="2" t="inlineStr"/>
    </row>
    <row r="466" ht="15" customHeight="1">
      <c r="A466" t="inlineStr">
        <is>
          <t>A 16684-2021</t>
        </is>
      </c>
      <c r="B466" s="1" t="n">
        <v>44294</v>
      </c>
      <c r="C466" s="1" t="n">
        <v>45719</v>
      </c>
      <c r="D466" t="inlineStr">
        <is>
          <t>UPPSALA LÄN</t>
        </is>
      </c>
      <c r="E466" t="inlineStr">
        <is>
          <t>UPPSALA</t>
        </is>
      </c>
      <c r="F466" t="inlineStr">
        <is>
          <t>Övriga Aktiebolag</t>
        </is>
      </c>
      <c r="G466" t="n">
        <v>1.3</v>
      </c>
      <c r="H466" t="n">
        <v>0</v>
      </c>
      <c r="I466" t="n">
        <v>0</v>
      </c>
      <c r="J466" t="n">
        <v>0</v>
      </c>
      <c r="K466" t="n">
        <v>0</v>
      </c>
      <c r="L466" t="n">
        <v>0</v>
      </c>
      <c r="M466" t="n">
        <v>0</v>
      </c>
      <c r="N466" t="n">
        <v>0</v>
      </c>
      <c r="O466" t="n">
        <v>0</v>
      </c>
      <c r="P466" t="n">
        <v>0</v>
      </c>
      <c r="Q466" t="n">
        <v>0</v>
      </c>
      <c r="R466" s="2" t="inlineStr"/>
    </row>
    <row r="467" ht="15" customHeight="1">
      <c r="A467" t="inlineStr">
        <is>
          <t>A 17262-2021</t>
        </is>
      </c>
      <c r="B467" s="1" t="n">
        <v>44297</v>
      </c>
      <c r="C467" s="1" t="n">
        <v>45719</v>
      </c>
      <c r="D467" t="inlineStr">
        <is>
          <t>UPPSALA LÄN</t>
        </is>
      </c>
      <c r="E467" t="inlineStr">
        <is>
          <t>UPPSALA</t>
        </is>
      </c>
      <c r="F467" t="inlineStr">
        <is>
          <t>Allmännings- och besparingsskogar</t>
        </is>
      </c>
      <c r="G467" t="n">
        <v>1</v>
      </c>
      <c r="H467" t="n">
        <v>0</v>
      </c>
      <c r="I467" t="n">
        <v>0</v>
      </c>
      <c r="J467" t="n">
        <v>0</v>
      </c>
      <c r="K467" t="n">
        <v>0</v>
      </c>
      <c r="L467" t="n">
        <v>0</v>
      </c>
      <c r="M467" t="n">
        <v>0</v>
      </c>
      <c r="N467" t="n">
        <v>0</v>
      </c>
      <c r="O467" t="n">
        <v>0</v>
      </c>
      <c r="P467" t="n">
        <v>0</v>
      </c>
      <c r="Q467" t="n">
        <v>0</v>
      </c>
      <c r="R467" s="2" t="inlineStr"/>
    </row>
    <row r="468" ht="15" customHeight="1">
      <c r="A468" t="inlineStr">
        <is>
          <t>A 17250-2021</t>
        </is>
      </c>
      <c r="B468" s="1" t="n">
        <v>44297</v>
      </c>
      <c r="C468" s="1" t="n">
        <v>45719</v>
      </c>
      <c r="D468" t="inlineStr">
        <is>
          <t>UPPSALA LÄN</t>
        </is>
      </c>
      <c r="E468" t="inlineStr">
        <is>
          <t>UPPSALA</t>
        </is>
      </c>
      <c r="G468" t="n">
        <v>3.6</v>
      </c>
      <c r="H468" t="n">
        <v>0</v>
      </c>
      <c r="I468" t="n">
        <v>0</v>
      </c>
      <c r="J468" t="n">
        <v>0</v>
      </c>
      <c r="K468" t="n">
        <v>0</v>
      </c>
      <c r="L468" t="n">
        <v>0</v>
      </c>
      <c r="M468" t="n">
        <v>0</v>
      </c>
      <c r="N468" t="n">
        <v>0</v>
      </c>
      <c r="O468" t="n">
        <v>0</v>
      </c>
      <c r="P468" t="n">
        <v>0</v>
      </c>
      <c r="Q468" t="n">
        <v>0</v>
      </c>
      <c r="R468" s="2" t="inlineStr"/>
    </row>
    <row r="469" ht="15" customHeight="1">
      <c r="A469" t="inlineStr">
        <is>
          <t>A 17536-2021</t>
        </is>
      </c>
      <c r="B469" s="1" t="n">
        <v>44299</v>
      </c>
      <c r="C469" s="1" t="n">
        <v>45719</v>
      </c>
      <c r="D469" t="inlineStr">
        <is>
          <t>UPPSALA LÄN</t>
        </is>
      </c>
      <c r="E469" t="inlineStr">
        <is>
          <t>UPPSALA</t>
        </is>
      </c>
      <c r="F469" t="inlineStr">
        <is>
          <t>Holmen skog AB</t>
        </is>
      </c>
      <c r="G469" t="n">
        <v>7.6</v>
      </c>
      <c r="H469" t="n">
        <v>0</v>
      </c>
      <c r="I469" t="n">
        <v>0</v>
      </c>
      <c r="J469" t="n">
        <v>0</v>
      </c>
      <c r="K469" t="n">
        <v>0</v>
      </c>
      <c r="L469" t="n">
        <v>0</v>
      </c>
      <c r="M469" t="n">
        <v>0</v>
      </c>
      <c r="N469" t="n">
        <v>0</v>
      </c>
      <c r="O469" t="n">
        <v>0</v>
      </c>
      <c r="P469" t="n">
        <v>0</v>
      </c>
      <c r="Q469" t="n">
        <v>0</v>
      </c>
      <c r="R469" s="2" t="inlineStr"/>
    </row>
    <row r="470" ht="15" customHeight="1">
      <c r="A470" t="inlineStr">
        <is>
          <t>A 18906-2021</t>
        </is>
      </c>
      <c r="B470" s="1" t="n">
        <v>44308</v>
      </c>
      <c r="C470" s="1" t="n">
        <v>45719</v>
      </c>
      <c r="D470" t="inlineStr">
        <is>
          <t>UPPSALA LÄN</t>
        </is>
      </c>
      <c r="E470" t="inlineStr">
        <is>
          <t>UPPSALA</t>
        </is>
      </c>
      <c r="G470" t="n">
        <v>1.8</v>
      </c>
      <c r="H470" t="n">
        <v>0</v>
      </c>
      <c r="I470" t="n">
        <v>0</v>
      </c>
      <c r="J470" t="n">
        <v>0</v>
      </c>
      <c r="K470" t="n">
        <v>0</v>
      </c>
      <c r="L470" t="n">
        <v>0</v>
      </c>
      <c r="M470" t="n">
        <v>0</v>
      </c>
      <c r="N470" t="n">
        <v>0</v>
      </c>
      <c r="O470" t="n">
        <v>0</v>
      </c>
      <c r="P470" t="n">
        <v>0</v>
      </c>
      <c r="Q470" t="n">
        <v>0</v>
      </c>
      <c r="R470" s="2" t="inlineStr"/>
    </row>
    <row r="471" ht="15" customHeight="1">
      <c r="A471" t="inlineStr">
        <is>
          <t>A 19927-2021</t>
        </is>
      </c>
      <c r="B471" s="1" t="n">
        <v>44313</v>
      </c>
      <c r="C471" s="1" t="n">
        <v>45719</v>
      </c>
      <c r="D471" t="inlineStr">
        <is>
          <t>UPPSALA LÄN</t>
        </is>
      </c>
      <c r="E471" t="inlineStr">
        <is>
          <t>UPPSALA</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19947-2021</t>
        </is>
      </c>
      <c r="B472" s="1" t="n">
        <v>44313</v>
      </c>
      <c r="C472" s="1" t="n">
        <v>45719</v>
      </c>
      <c r="D472" t="inlineStr">
        <is>
          <t>UPPSALA LÄN</t>
        </is>
      </c>
      <c r="E472" t="inlineStr">
        <is>
          <t>UPPSALA</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20276-2021</t>
        </is>
      </c>
      <c r="B473" s="1" t="n">
        <v>44314</v>
      </c>
      <c r="C473" s="1" t="n">
        <v>45719</v>
      </c>
      <c r="D473" t="inlineStr">
        <is>
          <t>UPPSALA LÄN</t>
        </is>
      </c>
      <c r="E473" t="inlineStr">
        <is>
          <t>UPPSALA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20271-2021</t>
        </is>
      </c>
      <c r="B474" s="1" t="n">
        <v>44314</v>
      </c>
      <c r="C474" s="1" t="n">
        <v>45719</v>
      </c>
      <c r="D474" t="inlineStr">
        <is>
          <t>UPPSALA LÄN</t>
        </is>
      </c>
      <c r="E474" t="inlineStr">
        <is>
          <t>UPPSALA</t>
        </is>
      </c>
      <c r="F474" t="inlineStr">
        <is>
          <t>Bergvik skog öst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20609-2021</t>
        </is>
      </c>
      <c r="B475" s="1" t="n">
        <v>44316</v>
      </c>
      <c r="C475" s="1" t="n">
        <v>45719</v>
      </c>
      <c r="D475" t="inlineStr">
        <is>
          <t>UPPSALA LÄN</t>
        </is>
      </c>
      <c r="E475" t="inlineStr">
        <is>
          <t>UPPSALA</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22070-2021</t>
        </is>
      </c>
      <c r="B476" s="1" t="n">
        <v>44323</v>
      </c>
      <c r="C476" s="1" t="n">
        <v>45719</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22946-2021</t>
        </is>
      </c>
      <c r="B477" s="1" t="n">
        <v>44328</v>
      </c>
      <c r="C477" s="1" t="n">
        <v>45719</v>
      </c>
      <c r="D477" t="inlineStr">
        <is>
          <t>UPPSALA LÄN</t>
        </is>
      </c>
      <c r="E477" t="inlineStr">
        <is>
          <t>UPPSALA</t>
        </is>
      </c>
      <c r="G477" t="n">
        <v>2.3</v>
      </c>
      <c r="H477" t="n">
        <v>0</v>
      </c>
      <c r="I477" t="n">
        <v>0</v>
      </c>
      <c r="J477" t="n">
        <v>0</v>
      </c>
      <c r="K477" t="n">
        <v>0</v>
      </c>
      <c r="L477" t="n">
        <v>0</v>
      </c>
      <c r="M477" t="n">
        <v>0</v>
      </c>
      <c r="N477" t="n">
        <v>0</v>
      </c>
      <c r="O477" t="n">
        <v>0</v>
      </c>
      <c r="P477" t="n">
        <v>0</v>
      </c>
      <c r="Q477" t="n">
        <v>0</v>
      </c>
      <c r="R477" s="2" t="inlineStr"/>
    </row>
    <row r="478" ht="15" customHeight="1">
      <c r="A478" t="inlineStr">
        <is>
          <t>A 23877-2021</t>
        </is>
      </c>
      <c r="B478" s="1" t="n">
        <v>44335</v>
      </c>
      <c r="C478" s="1" t="n">
        <v>45719</v>
      </c>
      <c r="D478" t="inlineStr">
        <is>
          <t>UPPSALA LÄN</t>
        </is>
      </c>
      <c r="E478" t="inlineStr">
        <is>
          <t>UPPSALA</t>
        </is>
      </c>
      <c r="G478" t="n">
        <v>0.6</v>
      </c>
      <c r="H478" t="n">
        <v>0</v>
      </c>
      <c r="I478" t="n">
        <v>0</v>
      </c>
      <c r="J478" t="n">
        <v>0</v>
      </c>
      <c r="K478" t="n">
        <v>0</v>
      </c>
      <c r="L478" t="n">
        <v>0</v>
      </c>
      <c r="M478" t="n">
        <v>0</v>
      </c>
      <c r="N478" t="n">
        <v>0</v>
      </c>
      <c r="O478" t="n">
        <v>0</v>
      </c>
      <c r="P478" t="n">
        <v>0</v>
      </c>
      <c r="Q478" t="n">
        <v>0</v>
      </c>
      <c r="R478" s="2" t="inlineStr"/>
    </row>
    <row r="479" ht="15" customHeight="1">
      <c r="A479" t="inlineStr">
        <is>
          <t>A 25613-2021</t>
        </is>
      </c>
      <c r="B479" s="1" t="n">
        <v>44343</v>
      </c>
      <c r="C479" s="1" t="n">
        <v>45719</v>
      </c>
      <c r="D479" t="inlineStr">
        <is>
          <t>UPPSALA LÄN</t>
        </is>
      </c>
      <c r="E479" t="inlineStr">
        <is>
          <t>UPPSALA</t>
        </is>
      </c>
      <c r="G479" t="n">
        <v>2.1</v>
      </c>
      <c r="H479" t="n">
        <v>0</v>
      </c>
      <c r="I479" t="n">
        <v>0</v>
      </c>
      <c r="J479" t="n">
        <v>0</v>
      </c>
      <c r="K479" t="n">
        <v>0</v>
      </c>
      <c r="L479" t="n">
        <v>0</v>
      </c>
      <c r="M479" t="n">
        <v>0</v>
      </c>
      <c r="N479" t="n">
        <v>0</v>
      </c>
      <c r="O479" t="n">
        <v>0</v>
      </c>
      <c r="P479" t="n">
        <v>0</v>
      </c>
      <c r="Q479" t="n">
        <v>0</v>
      </c>
      <c r="R479" s="2" t="inlineStr"/>
    </row>
    <row r="480" ht="15" customHeight="1">
      <c r="A480" t="inlineStr">
        <is>
          <t>A 26785-2021</t>
        </is>
      </c>
      <c r="B480" s="1" t="n">
        <v>44349</v>
      </c>
      <c r="C480" s="1" t="n">
        <v>45719</v>
      </c>
      <c r="D480" t="inlineStr">
        <is>
          <t>UPPSALA LÄN</t>
        </is>
      </c>
      <c r="E480" t="inlineStr">
        <is>
          <t>UPPSALA</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27365-2021</t>
        </is>
      </c>
      <c r="B481" s="1" t="n">
        <v>44351</v>
      </c>
      <c r="C481" s="1" t="n">
        <v>45719</v>
      </c>
      <c r="D481" t="inlineStr">
        <is>
          <t>UPPSALA LÄN</t>
        </is>
      </c>
      <c r="E481" t="inlineStr">
        <is>
          <t>UPPSALA</t>
        </is>
      </c>
      <c r="F481" t="inlineStr">
        <is>
          <t>Allmännings- och besparingsskogar</t>
        </is>
      </c>
      <c r="G481" t="n">
        <v>20.5</v>
      </c>
      <c r="H481" t="n">
        <v>0</v>
      </c>
      <c r="I481" t="n">
        <v>0</v>
      </c>
      <c r="J481" t="n">
        <v>0</v>
      </c>
      <c r="K481" t="n">
        <v>0</v>
      </c>
      <c r="L481" t="n">
        <v>0</v>
      </c>
      <c r="M481" t="n">
        <v>0</v>
      </c>
      <c r="N481" t="n">
        <v>0</v>
      </c>
      <c r="O481" t="n">
        <v>0</v>
      </c>
      <c r="P481" t="n">
        <v>0</v>
      </c>
      <c r="Q481" t="n">
        <v>0</v>
      </c>
      <c r="R481" s="2" t="inlineStr"/>
    </row>
    <row r="482" ht="15" customHeight="1">
      <c r="A482" t="inlineStr">
        <is>
          <t>A 28694-2021</t>
        </is>
      </c>
      <c r="B482" s="1" t="n">
        <v>44357</v>
      </c>
      <c r="C482" s="1" t="n">
        <v>45719</v>
      </c>
      <c r="D482" t="inlineStr">
        <is>
          <t>UPPSALA LÄN</t>
        </is>
      </c>
      <c r="E482" t="inlineStr">
        <is>
          <t>UPPSALA</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29145-2021</t>
        </is>
      </c>
      <c r="B483" s="1" t="n">
        <v>44358</v>
      </c>
      <c r="C483" s="1" t="n">
        <v>45719</v>
      </c>
      <c r="D483" t="inlineStr">
        <is>
          <t>UPPSALA LÄN</t>
        </is>
      </c>
      <c r="E483" t="inlineStr">
        <is>
          <t>UPPSALA</t>
        </is>
      </c>
      <c r="G483" t="n">
        <v>2.4</v>
      </c>
      <c r="H483" t="n">
        <v>0</v>
      </c>
      <c r="I483" t="n">
        <v>0</v>
      </c>
      <c r="J483" t="n">
        <v>0</v>
      </c>
      <c r="K483" t="n">
        <v>0</v>
      </c>
      <c r="L483" t="n">
        <v>0</v>
      </c>
      <c r="M483" t="n">
        <v>0</v>
      </c>
      <c r="N483" t="n">
        <v>0</v>
      </c>
      <c r="O483" t="n">
        <v>0</v>
      </c>
      <c r="P483" t="n">
        <v>0</v>
      </c>
      <c r="Q483" t="n">
        <v>0</v>
      </c>
      <c r="R483" s="2" t="inlineStr"/>
    </row>
    <row r="484" ht="15" customHeight="1">
      <c r="A484" t="inlineStr">
        <is>
          <t>A 30655-2021</t>
        </is>
      </c>
      <c r="B484" s="1" t="n">
        <v>44365</v>
      </c>
      <c r="C484" s="1" t="n">
        <v>45719</v>
      </c>
      <c r="D484" t="inlineStr">
        <is>
          <t>UPPSALA LÄN</t>
        </is>
      </c>
      <c r="E484" t="inlineStr">
        <is>
          <t>UPPSALA</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30656-2021</t>
        </is>
      </c>
      <c r="B485" s="1" t="n">
        <v>44365</v>
      </c>
      <c r="C485" s="1" t="n">
        <v>45719</v>
      </c>
      <c r="D485" t="inlineStr">
        <is>
          <t>UPPSALA LÄN</t>
        </is>
      </c>
      <c r="E485" t="inlineStr">
        <is>
          <t>UPPSALA</t>
        </is>
      </c>
      <c r="G485" t="n">
        <v>6.7</v>
      </c>
      <c r="H485" t="n">
        <v>0</v>
      </c>
      <c r="I485" t="n">
        <v>0</v>
      </c>
      <c r="J485" t="n">
        <v>0</v>
      </c>
      <c r="K485" t="n">
        <v>0</v>
      </c>
      <c r="L485" t="n">
        <v>0</v>
      </c>
      <c r="M485" t="n">
        <v>0</v>
      </c>
      <c r="N485" t="n">
        <v>0</v>
      </c>
      <c r="O485" t="n">
        <v>0</v>
      </c>
      <c r="P485" t="n">
        <v>0</v>
      </c>
      <c r="Q485" t="n">
        <v>0</v>
      </c>
      <c r="R485" s="2" t="inlineStr"/>
    </row>
    <row r="486" ht="15" customHeight="1">
      <c r="A486" t="inlineStr">
        <is>
          <t>A 31646-2021</t>
        </is>
      </c>
      <c r="B486" s="1" t="n">
        <v>44369</v>
      </c>
      <c r="C486" s="1" t="n">
        <v>45719</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31662-2021</t>
        </is>
      </c>
      <c r="B487" s="1" t="n">
        <v>44369</v>
      </c>
      <c r="C487" s="1" t="n">
        <v>45719</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31829-2021</t>
        </is>
      </c>
      <c r="B488" s="1" t="n">
        <v>44370</v>
      </c>
      <c r="C488" s="1" t="n">
        <v>45719</v>
      </c>
      <c r="D488" t="inlineStr">
        <is>
          <t>UPPSALA LÄN</t>
        </is>
      </c>
      <c r="E488" t="inlineStr">
        <is>
          <t>UPPSALA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32276-2021</t>
        </is>
      </c>
      <c r="B489" s="1" t="n">
        <v>44371</v>
      </c>
      <c r="C489" s="1" t="n">
        <v>45719</v>
      </c>
      <c r="D489" t="inlineStr">
        <is>
          <t>UPPSALA LÄN</t>
        </is>
      </c>
      <c r="E489" t="inlineStr">
        <is>
          <t>UPPSALA</t>
        </is>
      </c>
      <c r="G489" t="n">
        <v>3.7</v>
      </c>
      <c r="H489" t="n">
        <v>0</v>
      </c>
      <c r="I489" t="n">
        <v>0</v>
      </c>
      <c r="J489" t="n">
        <v>0</v>
      </c>
      <c r="K489" t="n">
        <v>0</v>
      </c>
      <c r="L489" t="n">
        <v>0</v>
      </c>
      <c r="M489" t="n">
        <v>0</v>
      </c>
      <c r="N489" t="n">
        <v>0</v>
      </c>
      <c r="O489" t="n">
        <v>0</v>
      </c>
      <c r="P489" t="n">
        <v>0</v>
      </c>
      <c r="Q489" t="n">
        <v>0</v>
      </c>
      <c r="R489" s="2" t="inlineStr"/>
    </row>
    <row r="490" ht="15" customHeight="1">
      <c r="A490" t="inlineStr">
        <is>
          <t>A 32428-2021</t>
        </is>
      </c>
      <c r="B490" s="1" t="n">
        <v>44371</v>
      </c>
      <c r="C490" s="1" t="n">
        <v>45719</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32955-2021</t>
        </is>
      </c>
      <c r="B491" s="1" t="n">
        <v>44376</v>
      </c>
      <c r="C491" s="1" t="n">
        <v>45719</v>
      </c>
      <c r="D491" t="inlineStr">
        <is>
          <t>UPPSALA LÄN</t>
        </is>
      </c>
      <c r="E491" t="inlineStr">
        <is>
          <t>UPPSALA</t>
        </is>
      </c>
      <c r="F491" t="inlineStr">
        <is>
          <t>Bergvik skog öst AB</t>
        </is>
      </c>
      <c r="G491" t="n">
        <v>10</v>
      </c>
      <c r="H491" t="n">
        <v>0</v>
      </c>
      <c r="I491" t="n">
        <v>0</v>
      </c>
      <c r="J491" t="n">
        <v>0</v>
      </c>
      <c r="K491" t="n">
        <v>0</v>
      </c>
      <c r="L491" t="n">
        <v>0</v>
      </c>
      <c r="M491" t="n">
        <v>0</v>
      </c>
      <c r="N491" t="n">
        <v>0</v>
      </c>
      <c r="O491" t="n">
        <v>0</v>
      </c>
      <c r="P491" t="n">
        <v>0</v>
      </c>
      <c r="Q491" t="n">
        <v>0</v>
      </c>
      <c r="R491" s="2" t="inlineStr"/>
    </row>
    <row r="492" ht="15" customHeight="1">
      <c r="A492" t="inlineStr">
        <is>
          <t>A 33797-2021</t>
        </is>
      </c>
      <c r="B492" s="1" t="n">
        <v>44378</v>
      </c>
      <c r="C492" s="1" t="n">
        <v>45719</v>
      </c>
      <c r="D492" t="inlineStr">
        <is>
          <t>UPPSALA LÄN</t>
        </is>
      </c>
      <c r="E492" t="inlineStr">
        <is>
          <t>UPPSALA</t>
        </is>
      </c>
      <c r="G492" t="n">
        <v>1</v>
      </c>
      <c r="H492" t="n">
        <v>0</v>
      </c>
      <c r="I492" t="n">
        <v>0</v>
      </c>
      <c r="J492" t="n">
        <v>0</v>
      </c>
      <c r="K492" t="n">
        <v>0</v>
      </c>
      <c r="L492" t="n">
        <v>0</v>
      </c>
      <c r="M492" t="n">
        <v>0</v>
      </c>
      <c r="N492" t="n">
        <v>0</v>
      </c>
      <c r="O492" t="n">
        <v>0</v>
      </c>
      <c r="P492" t="n">
        <v>0</v>
      </c>
      <c r="Q492" t="n">
        <v>0</v>
      </c>
      <c r="R492" s="2" t="inlineStr"/>
    </row>
    <row r="493" ht="15" customHeight="1">
      <c r="A493" t="inlineStr">
        <is>
          <t>A 33920-2021</t>
        </is>
      </c>
      <c r="B493" s="1" t="n">
        <v>44378</v>
      </c>
      <c r="C493" s="1" t="n">
        <v>45719</v>
      </c>
      <c r="D493" t="inlineStr">
        <is>
          <t>UPPSALA LÄN</t>
        </is>
      </c>
      <c r="E493" t="inlineStr">
        <is>
          <t>UPPSALA</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34039-2021</t>
        </is>
      </c>
      <c r="B494" s="1" t="n">
        <v>44379</v>
      </c>
      <c r="C494" s="1" t="n">
        <v>45719</v>
      </c>
      <c r="D494" t="inlineStr">
        <is>
          <t>UPPSALA LÄN</t>
        </is>
      </c>
      <c r="E494" t="inlineStr">
        <is>
          <t>UPPSALA</t>
        </is>
      </c>
      <c r="G494" t="n">
        <v>0.7</v>
      </c>
      <c r="H494" t="n">
        <v>0</v>
      </c>
      <c r="I494" t="n">
        <v>0</v>
      </c>
      <c r="J494" t="n">
        <v>0</v>
      </c>
      <c r="K494" t="n">
        <v>0</v>
      </c>
      <c r="L494" t="n">
        <v>0</v>
      </c>
      <c r="M494" t="n">
        <v>0</v>
      </c>
      <c r="N494" t="n">
        <v>0</v>
      </c>
      <c r="O494" t="n">
        <v>0</v>
      </c>
      <c r="P494" t="n">
        <v>0</v>
      </c>
      <c r="Q494" t="n">
        <v>0</v>
      </c>
      <c r="R494" s="2" t="inlineStr"/>
    </row>
    <row r="495" ht="15" customHeight="1">
      <c r="A495" t="inlineStr">
        <is>
          <t>A 34043-2021</t>
        </is>
      </c>
      <c r="B495" s="1" t="n">
        <v>44379</v>
      </c>
      <c r="C495" s="1" t="n">
        <v>45719</v>
      </c>
      <c r="D495" t="inlineStr">
        <is>
          <t>UPPSALA LÄN</t>
        </is>
      </c>
      <c r="E495" t="inlineStr">
        <is>
          <t>UPPSALA</t>
        </is>
      </c>
      <c r="G495" t="n">
        <v>2.2</v>
      </c>
      <c r="H495" t="n">
        <v>0</v>
      </c>
      <c r="I495" t="n">
        <v>0</v>
      </c>
      <c r="J495" t="n">
        <v>0</v>
      </c>
      <c r="K495" t="n">
        <v>0</v>
      </c>
      <c r="L495" t="n">
        <v>0</v>
      </c>
      <c r="M495" t="n">
        <v>0</v>
      </c>
      <c r="N495" t="n">
        <v>0</v>
      </c>
      <c r="O495" t="n">
        <v>0</v>
      </c>
      <c r="P495" t="n">
        <v>0</v>
      </c>
      <c r="Q495" t="n">
        <v>0</v>
      </c>
      <c r="R495" s="2" t="inlineStr"/>
    </row>
    <row r="496" ht="15" customHeight="1">
      <c r="A496" t="inlineStr">
        <is>
          <t>A 34265-2021</t>
        </is>
      </c>
      <c r="B496" s="1" t="n">
        <v>44379</v>
      </c>
      <c r="C496" s="1" t="n">
        <v>45719</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34249-2021</t>
        </is>
      </c>
      <c r="B497" s="1" t="n">
        <v>44379</v>
      </c>
      <c r="C497" s="1" t="n">
        <v>45719</v>
      </c>
      <c r="D497" t="inlineStr">
        <is>
          <t>UPPSALA LÄN</t>
        </is>
      </c>
      <c r="E497" t="inlineStr">
        <is>
          <t>UPPSALA</t>
        </is>
      </c>
      <c r="G497" t="n">
        <v>1.9</v>
      </c>
      <c r="H497" t="n">
        <v>0</v>
      </c>
      <c r="I497" t="n">
        <v>0</v>
      </c>
      <c r="J497" t="n">
        <v>0</v>
      </c>
      <c r="K497" t="n">
        <v>0</v>
      </c>
      <c r="L497" t="n">
        <v>0</v>
      </c>
      <c r="M497" t="n">
        <v>0</v>
      </c>
      <c r="N497" t="n">
        <v>0</v>
      </c>
      <c r="O497" t="n">
        <v>0</v>
      </c>
      <c r="P497" t="n">
        <v>0</v>
      </c>
      <c r="Q497" t="n">
        <v>0</v>
      </c>
      <c r="R497" s="2" t="inlineStr"/>
    </row>
    <row r="498" ht="15" customHeight="1">
      <c r="A498" t="inlineStr">
        <is>
          <t>A 34243-2021</t>
        </is>
      </c>
      <c r="B498" s="1" t="n">
        <v>44379</v>
      </c>
      <c r="C498" s="1" t="n">
        <v>45719</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34263-2021</t>
        </is>
      </c>
      <c r="B499" s="1" t="n">
        <v>44379</v>
      </c>
      <c r="C499" s="1" t="n">
        <v>45719</v>
      </c>
      <c r="D499" t="inlineStr">
        <is>
          <t>UPPSALA LÄN</t>
        </is>
      </c>
      <c r="E499" t="inlineStr">
        <is>
          <t>UPPSALA</t>
        </is>
      </c>
      <c r="G499" t="n">
        <v>5.8</v>
      </c>
      <c r="H499" t="n">
        <v>0</v>
      </c>
      <c r="I499" t="n">
        <v>0</v>
      </c>
      <c r="J499" t="n">
        <v>0</v>
      </c>
      <c r="K499" t="n">
        <v>0</v>
      </c>
      <c r="L499" t="n">
        <v>0</v>
      </c>
      <c r="M499" t="n">
        <v>0</v>
      </c>
      <c r="N499" t="n">
        <v>0</v>
      </c>
      <c r="O499" t="n">
        <v>0</v>
      </c>
      <c r="P499" t="n">
        <v>0</v>
      </c>
      <c r="Q499" t="n">
        <v>0</v>
      </c>
      <c r="R499" s="2" t="inlineStr"/>
    </row>
    <row r="500" ht="15" customHeight="1">
      <c r="A500" t="inlineStr">
        <is>
          <t>A 34838-2021</t>
        </is>
      </c>
      <c r="B500" s="1" t="n">
        <v>44383</v>
      </c>
      <c r="C500" s="1" t="n">
        <v>45719</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34825-2021</t>
        </is>
      </c>
      <c r="B501" s="1" t="n">
        <v>44383</v>
      </c>
      <c r="C501" s="1" t="n">
        <v>45719</v>
      </c>
      <c r="D501" t="inlineStr">
        <is>
          <t>UPPSALA LÄN</t>
        </is>
      </c>
      <c r="E501" t="inlineStr">
        <is>
          <t>UPPSALA</t>
        </is>
      </c>
      <c r="F501" t="inlineStr">
        <is>
          <t>Bergvik skog öst AB</t>
        </is>
      </c>
      <c r="G501" t="n">
        <v>2.6</v>
      </c>
      <c r="H501" t="n">
        <v>0</v>
      </c>
      <c r="I501" t="n">
        <v>0</v>
      </c>
      <c r="J501" t="n">
        <v>0</v>
      </c>
      <c r="K501" t="n">
        <v>0</v>
      </c>
      <c r="L501" t="n">
        <v>0</v>
      </c>
      <c r="M501" t="n">
        <v>0</v>
      </c>
      <c r="N501" t="n">
        <v>0</v>
      </c>
      <c r="O501" t="n">
        <v>0</v>
      </c>
      <c r="P501" t="n">
        <v>0</v>
      </c>
      <c r="Q501" t="n">
        <v>0</v>
      </c>
      <c r="R501" s="2" t="inlineStr"/>
    </row>
    <row r="502" ht="15" customHeight="1">
      <c r="A502" t="inlineStr">
        <is>
          <t>A 35630-2021</t>
        </is>
      </c>
      <c r="B502" s="1" t="n">
        <v>44386</v>
      </c>
      <c r="C502" s="1" t="n">
        <v>45719</v>
      </c>
      <c r="D502" t="inlineStr">
        <is>
          <t>UPPSALA LÄN</t>
        </is>
      </c>
      <c r="E502" t="inlineStr">
        <is>
          <t>UPPSALA</t>
        </is>
      </c>
      <c r="G502" t="n">
        <v>6</v>
      </c>
      <c r="H502" t="n">
        <v>0</v>
      </c>
      <c r="I502" t="n">
        <v>0</v>
      </c>
      <c r="J502" t="n">
        <v>0</v>
      </c>
      <c r="K502" t="n">
        <v>0</v>
      </c>
      <c r="L502" t="n">
        <v>0</v>
      </c>
      <c r="M502" t="n">
        <v>0</v>
      </c>
      <c r="N502" t="n">
        <v>0</v>
      </c>
      <c r="O502" t="n">
        <v>0</v>
      </c>
      <c r="P502" t="n">
        <v>0</v>
      </c>
      <c r="Q502" t="n">
        <v>0</v>
      </c>
      <c r="R502" s="2" t="inlineStr"/>
    </row>
    <row r="503" ht="15" customHeight="1">
      <c r="A503" t="inlineStr">
        <is>
          <t>A 36304-2021</t>
        </is>
      </c>
      <c r="B503" s="1" t="n">
        <v>44390</v>
      </c>
      <c r="C503" s="1" t="n">
        <v>45719</v>
      </c>
      <c r="D503" t="inlineStr">
        <is>
          <t>UPPSALA LÄN</t>
        </is>
      </c>
      <c r="E503" t="inlineStr">
        <is>
          <t>UPPSALA</t>
        </is>
      </c>
      <c r="G503" t="n">
        <v>7.4</v>
      </c>
      <c r="H503" t="n">
        <v>0</v>
      </c>
      <c r="I503" t="n">
        <v>0</v>
      </c>
      <c r="J503" t="n">
        <v>0</v>
      </c>
      <c r="K503" t="n">
        <v>0</v>
      </c>
      <c r="L503" t="n">
        <v>0</v>
      </c>
      <c r="M503" t="n">
        <v>0</v>
      </c>
      <c r="N503" t="n">
        <v>0</v>
      </c>
      <c r="O503" t="n">
        <v>0</v>
      </c>
      <c r="P503" t="n">
        <v>0</v>
      </c>
      <c r="Q503" t="n">
        <v>0</v>
      </c>
      <c r="R503" s="2" t="inlineStr"/>
    </row>
    <row r="504" ht="15" customHeight="1">
      <c r="A504" t="inlineStr">
        <is>
          <t>A 36721-2021</t>
        </is>
      </c>
      <c r="B504" s="1" t="n">
        <v>44392</v>
      </c>
      <c r="C504" s="1" t="n">
        <v>45719</v>
      </c>
      <c r="D504" t="inlineStr">
        <is>
          <t>UPPSALA LÄN</t>
        </is>
      </c>
      <c r="E504" t="inlineStr">
        <is>
          <t>UPPSALA</t>
        </is>
      </c>
      <c r="F504" t="inlineStr">
        <is>
          <t>Bergvik skog öst AB</t>
        </is>
      </c>
      <c r="G504" t="n">
        <v>5.8</v>
      </c>
      <c r="H504" t="n">
        <v>0</v>
      </c>
      <c r="I504" t="n">
        <v>0</v>
      </c>
      <c r="J504" t="n">
        <v>0</v>
      </c>
      <c r="K504" t="n">
        <v>0</v>
      </c>
      <c r="L504" t="n">
        <v>0</v>
      </c>
      <c r="M504" t="n">
        <v>0</v>
      </c>
      <c r="N504" t="n">
        <v>0</v>
      </c>
      <c r="O504" t="n">
        <v>0</v>
      </c>
      <c r="P504" t="n">
        <v>0</v>
      </c>
      <c r="Q504" t="n">
        <v>0</v>
      </c>
      <c r="R504" s="2" t="inlineStr"/>
    </row>
    <row r="505" ht="15" customHeight="1">
      <c r="A505" t="inlineStr">
        <is>
          <t>A 36998-2021</t>
        </is>
      </c>
      <c r="B505" s="1" t="n">
        <v>44393</v>
      </c>
      <c r="C505" s="1" t="n">
        <v>45719</v>
      </c>
      <c r="D505" t="inlineStr">
        <is>
          <t>UPPSALA LÄN</t>
        </is>
      </c>
      <c r="E505" t="inlineStr">
        <is>
          <t>UPPSALA</t>
        </is>
      </c>
      <c r="F505" t="inlineStr">
        <is>
          <t>Bergvik skog öst AB</t>
        </is>
      </c>
      <c r="G505" t="n">
        <v>3.5</v>
      </c>
      <c r="H505" t="n">
        <v>0</v>
      </c>
      <c r="I505" t="n">
        <v>0</v>
      </c>
      <c r="J505" t="n">
        <v>0</v>
      </c>
      <c r="K505" t="n">
        <v>0</v>
      </c>
      <c r="L505" t="n">
        <v>0</v>
      </c>
      <c r="M505" t="n">
        <v>0</v>
      </c>
      <c r="N505" t="n">
        <v>0</v>
      </c>
      <c r="O505" t="n">
        <v>0</v>
      </c>
      <c r="P505" t="n">
        <v>0</v>
      </c>
      <c r="Q505" t="n">
        <v>0</v>
      </c>
      <c r="R505" s="2" t="inlineStr"/>
    </row>
    <row r="506" ht="15" customHeight="1">
      <c r="A506" t="inlineStr">
        <is>
          <t>A 37162-2021</t>
        </is>
      </c>
      <c r="B506" s="1" t="n">
        <v>44395</v>
      </c>
      <c r="C506" s="1" t="n">
        <v>45719</v>
      </c>
      <c r="D506" t="inlineStr">
        <is>
          <t>UPPSALA LÄN</t>
        </is>
      </c>
      <c r="E506" t="inlineStr">
        <is>
          <t>UPPSALA</t>
        </is>
      </c>
      <c r="G506" t="n">
        <v>3.5</v>
      </c>
      <c r="H506" t="n">
        <v>0</v>
      </c>
      <c r="I506" t="n">
        <v>0</v>
      </c>
      <c r="J506" t="n">
        <v>0</v>
      </c>
      <c r="K506" t="n">
        <v>0</v>
      </c>
      <c r="L506" t="n">
        <v>0</v>
      </c>
      <c r="M506" t="n">
        <v>0</v>
      </c>
      <c r="N506" t="n">
        <v>0</v>
      </c>
      <c r="O506" t="n">
        <v>0</v>
      </c>
      <c r="P506" t="n">
        <v>0</v>
      </c>
      <c r="Q506" t="n">
        <v>0</v>
      </c>
      <c r="R506" s="2" t="inlineStr"/>
    </row>
    <row r="507" ht="15" customHeight="1">
      <c r="A507" t="inlineStr">
        <is>
          <t>A 37763-2021</t>
        </is>
      </c>
      <c r="B507" s="1" t="n">
        <v>44400</v>
      </c>
      <c r="C507" s="1" t="n">
        <v>45719</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37819-2021</t>
        </is>
      </c>
      <c r="B508" s="1" t="n">
        <v>44403</v>
      </c>
      <c r="C508" s="1" t="n">
        <v>45719</v>
      </c>
      <c r="D508" t="inlineStr">
        <is>
          <t>UPPSALA LÄN</t>
        </is>
      </c>
      <c r="E508" t="inlineStr">
        <is>
          <t>UPPSALA</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37820-2021</t>
        </is>
      </c>
      <c r="B509" s="1" t="n">
        <v>44403</v>
      </c>
      <c r="C509" s="1" t="n">
        <v>45719</v>
      </c>
      <c r="D509" t="inlineStr">
        <is>
          <t>UPPSALA LÄN</t>
        </is>
      </c>
      <c r="E509" t="inlineStr">
        <is>
          <t>UPPSALA</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38469-2021</t>
        </is>
      </c>
      <c r="B510" s="1" t="n">
        <v>44407</v>
      </c>
      <c r="C510" s="1" t="n">
        <v>45719</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38463-2021</t>
        </is>
      </c>
      <c r="B511" s="1" t="n">
        <v>44407</v>
      </c>
      <c r="C511" s="1" t="n">
        <v>45719</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40500-2021</t>
        </is>
      </c>
      <c r="B512" s="1" t="n">
        <v>44420</v>
      </c>
      <c r="C512" s="1" t="n">
        <v>45719</v>
      </c>
      <c r="D512" t="inlineStr">
        <is>
          <t>UPPSALA LÄN</t>
        </is>
      </c>
      <c r="E512" t="inlineStr">
        <is>
          <t>UPPSALA</t>
        </is>
      </c>
      <c r="G512" t="n">
        <v>3.5</v>
      </c>
      <c r="H512" t="n">
        <v>0</v>
      </c>
      <c r="I512" t="n">
        <v>0</v>
      </c>
      <c r="J512" t="n">
        <v>0</v>
      </c>
      <c r="K512" t="n">
        <v>0</v>
      </c>
      <c r="L512" t="n">
        <v>0</v>
      </c>
      <c r="M512" t="n">
        <v>0</v>
      </c>
      <c r="N512" t="n">
        <v>0</v>
      </c>
      <c r="O512" t="n">
        <v>0</v>
      </c>
      <c r="P512" t="n">
        <v>0</v>
      </c>
      <c r="Q512" t="n">
        <v>0</v>
      </c>
      <c r="R512" s="2" t="inlineStr"/>
    </row>
    <row r="513" ht="15" customHeight="1">
      <c r="A513" t="inlineStr">
        <is>
          <t>A 40507-2021</t>
        </is>
      </c>
      <c r="B513" s="1" t="n">
        <v>44420</v>
      </c>
      <c r="C513" s="1" t="n">
        <v>45719</v>
      </c>
      <c r="D513" t="inlineStr">
        <is>
          <t>UPPSALA LÄN</t>
        </is>
      </c>
      <c r="E513" t="inlineStr">
        <is>
          <t>UPPSALA</t>
        </is>
      </c>
      <c r="G513" t="n">
        <v>1.1</v>
      </c>
      <c r="H513" t="n">
        <v>0</v>
      </c>
      <c r="I513" t="n">
        <v>0</v>
      </c>
      <c r="J513" t="n">
        <v>0</v>
      </c>
      <c r="K513" t="n">
        <v>0</v>
      </c>
      <c r="L513" t="n">
        <v>0</v>
      </c>
      <c r="M513" t="n">
        <v>0</v>
      </c>
      <c r="N513" t="n">
        <v>0</v>
      </c>
      <c r="O513" t="n">
        <v>0</v>
      </c>
      <c r="P513" t="n">
        <v>0</v>
      </c>
      <c r="Q513" t="n">
        <v>0</v>
      </c>
      <c r="R513" s="2" t="inlineStr"/>
    </row>
    <row r="514" ht="15" customHeight="1">
      <c r="A514" t="inlineStr">
        <is>
          <t>A 42124-2021</t>
        </is>
      </c>
      <c r="B514" s="1" t="n">
        <v>44426</v>
      </c>
      <c r="C514" s="1" t="n">
        <v>45719</v>
      </c>
      <c r="D514" t="inlineStr">
        <is>
          <t>UPPSALA LÄN</t>
        </is>
      </c>
      <c r="E514" t="inlineStr">
        <is>
          <t>UPPSALA</t>
        </is>
      </c>
      <c r="G514" t="n">
        <v>6.3</v>
      </c>
      <c r="H514" t="n">
        <v>0</v>
      </c>
      <c r="I514" t="n">
        <v>0</v>
      </c>
      <c r="J514" t="n">
        <v>0</v>
      </c>
      <c r="K514" t="n">
        <v>0</v>
      </c>
      <c r="L514" t="n">
        <v>0</v>
      </c>
      <c r="M514" t="n">
        <v>0</v>
      </c>
      <c r="N514" t="n">
        <v>0</v>
      </c>
      <c r="O514" t="n">
        <v>0</v>
      </c>
      <c r="P514" t="n">
        <v>0</v>
      </c>
      <c r="Q514" t="n">
        <v>0</v>
      </c>
      <c r="R514" s="2" t="inlineStr"/>
    </row>
    <row r="515" ht="15" customHeight="1">
      <c r="A515" t="inlineStr">
        <is>
          <t>A 42294-2021</t>
        </is>
      </c>
      <c r="B515" s="1" t="n">
        <v>44427</v>
      </c>
      <c r="C515" s="1" t="n">
        <v>45719</v>
      </c>
      <c r="D515" t="inlineStr">
        <is>
          <t>UPPSALA LÄN</t>
        </is>
      </c>
      <c r="E515" t="inlineStr">
        <is>
          <t>UPPSALA</t>
        </is>
      </c>
      <c r="G515" t="n">
        <v>1.6</v>
      </c>
      <c r="H515" t="n">
        <v>0</v>
      </c>
      <c r="I515" t="n">
        <v>0</v>
      </c>
      <c r="J515" t="n">
        <v>0</v>
      </c>
      <c r="K515" t="n">
        <v>0</v>
      </c>
      <c r="L515" t="n">
        <v>0</v>
      </c>
      <c r="M515" t="n">
        <v>0</v>
      </c>
      <c r="N515" t="n">
        <v>0</v>
      </c>
      <c r="O515" t="n">
        <v>0</v>
      </c>
      <c r="P515" t="n">
        <v>0</v>
      </c>
      <c r="Q515" t="n">
        <v>0</v>
      </c>
      <c r="R515" s="2" t="inlineStr"/>
    </row>
    <row r="516" ht="15" customHeight="1">
      <c r="A516" t="inlineStr">
        <is>
          <t>A 44315-2021</t>
        </is>
      </c>
      <c r="B516" s="1" t="n">
        <v>44435</v>
      </c>
      <c r="C516" s="1" t="n">
        <v>45719</v>
      </c>
      <c r="D516" t="inlineStr">
        <is>
          <t>UPPSALA LÄN</t>
        </is>
      </c>
      <c r="E516" t="inlineStr">
        <is>
          <t>UPPSALA</t>
        </is>
      </c>
      <c r="G516" t="n">
        <v>5.2</v>
      </c>
      <c r="H516" t="n">
        <v>0</v>
      </c>
      <c r="I516" t="n">
        <v>0</v>
      </c>
      <c r="J516" t="n">
        <v>0</v>
      </c>
      <c r="K516" t="n">
        <v>0</v>
      </c>
      <c r="L516" t="n">
        <v>0</v>
      </c>
      <c r="M516" t="n">
        <v>0</v>
      </c>
      <c r="N516" t="n">
        <v>0</v>
      </c>
      <c r="O516" t="n">
        <v>0</v>
      </c>
      <c r="P516" t="n">
        <v>0</v>
      </c>
      <c r="Q516" t="n">
        <v>0</v>
      </c>
      <c r="R516" s="2" t="inlineStr"/>
    </row>
    <row r="517" ht="15" customHeight="1">
      <c r="A517" t="inlineStr">
        <is>
          <t>A 44781-2021</t>
        </is>
      </c>
      <c r="B517" s="1" t="n">
        <v>44438</v>
      </c>
      <c r="C517" s="1" t="n">
        <v>45719</v>
      </c>
      <c r="D517" t="inlineStr">
        <is>
          <t>UPPSALA LÄN</t>
        </is>
      </c>
      <c r="E517" t="inlineStr">
        <is>
          <t>UPPSALA</t>
        </is>
      </c>
      <c r="F517" t="inlineStr">
        <is>
          <t>Sveaskog</t>
        </is>
      </c>
      <c r="G517" t="n">
        <v>0.1</v>
      </c>
      <c r="H517" t="n">
        <v>0</v>
      </c>
      <c r="I517" t="n">
        <v>0</v>
      </c>
      <c r="J517" t="n">
        <v>0</v>
      </c>
      <c r="K517" t="n">
        <v>0</v>
      </c>
      <c r="L517" t="n">
        <v>0</v>
      </c>
      <c r="M517" t="n">
        <v>0</v>
      </c>
      <c r="N517" t="n">
        <v>0</v>
      </c>
      <c r="O517" t="n">
        <v>0</v>
      </c>
      <c r="P517" t="n">
        <v>0</v>
      </c>
      <c r="Q517" t="n">
        <v>0</v>
      </c>
      <c r="R517" s="2" t="inlineStr"/>
    </row>
    <row r="518" ht="15" customHeight="1">
      <c r="A518" t="inlineStr">
        <is>
          <t>A 46097-2021</t>
        </is>
      </c>
      <c r="B518" s="1" t="n">
        <v>44442</v>
      </c>
      <c r="C518" s="1" t="n">
        <v>45719</v>
      </c>
      <c r="D518" t="inlineStr">
        <is>
          <t>UPPSALA LÄN</t>
        </is>
      </c>
      <c r="E518" t="inlineStr">
        <is>
          <t>UPPSALA</t>
        </is>
      </c>
      <c r="G518" t="n">
        <v>0.5</v>
      </c>
      <c r="H518" t="n">
        <v>0</v>
      </c>
      <c r="I518" t="n">
        <v>0</v>
      </c>
      <c r="J518" t="n">
        <v>0</v>
      </c>
      <c r="K518" t="n">
        <v>0</v>
      </c>
      <c r="L518" t="n">
        <v>0</v>
      </c>
      <c r="M518" t="n">
        <v>0</v>
      </c>
      <c r="N518" t="n">
        <v>0</v>
      </c>
      <c r="O518" t="n">
        <v>0</v>
      </c>
      <c r="P518" t="n">
        <v>0</v>
      </c>
      <c r="Q518" t="n">
        <v>0</v>
      </c>
      <c r="R518" s="2" t="inlineStr"/>
    </row>
    <row r="519" ht="15" customHeight="1">
      <c r="A519" t="inlineStr">
        <is>
          <t>A 46099-2021</t>
        </is>
      </c>
      <c r="B519" s="1" t="n">
        <v>44442</v>
      </c>
      <c r="C519" s="1" t="n">
        <v>45719</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46553-2021</t>
        </is>
      </c>
      <c r="B520" s="1" t="n">
        <v>44445</v>
      </c>
      <c r="C520" s="1" t="n">
        <v>45719</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46920-2021</t>
        </is>
      </c>
      <c r="B521" s="1" t="n">
        <v>44446</v>
      </c>
      <c r="C521" s="1" t="n">
        <v>45719</v>
      </c>
      <c r="D521" t="inlineStr">
        <is>
          <t>UPPSALA LÄN</t>
        </is>
      </c>
      <c r="E521" t="inlineStr">
        <is>
          <t>UPPSALA</t>
        </is>
      </c>
      <c r="G521" t="n">
        <v>1.6</v>
      </c>
      <c r="H521" t="n">
        <v>0</v>
      </c>
      <c r="I521" t="n">
        <v>0</v>
      </c>
      <c r="J521" t="n">
        <v>0</v>
      </c>
      <c r="K521" t="n">
        <v>0</v>
      </c>
      <c r="L521" t="n">
        <v>0</v>
      </c>
      <c r="M521" t="n">
        <v>0</v>
      </c>
      <c r="N521" t="n">
        <v>0</v>
      </c>
      <c r="O521" t="n">
        <v>0</v>
      </c>
      <c r="P521" t="n">
        <v>0</v>
      </c>
      <c r="Q521" t="n">
        <v>0</v>
      </c>
      <c r="R521" s="2" t="inlineStr"/>
    </row>
    <row r="522" ht="15" customHeight="1">
      <c r="A522" t="inlineStr">
        <is>
          <t>A 46916-2021</t>
        </is>
      </c>
      <c r="B522" s="1" t="n">
        <v>44446</v>
      </c>
      <c r="C522" s="1" t="n">
        <v>45719</v>
      </c>
      <c r="D522" t="inlineStr">
        <is>
          <t>UPPSALA LÄN</t>
        </is>
      </c>
      <c r="E522" t="inlineStr">
        <is>
          <t>UPPSALA</t>
        </is>
      </c>
      <c r="G522" t="n">
        <v>2.2</v>
      </c>
      <c r="H522" t="n">
        <v>0</v>
      </c>
      <c r="I522" t="n">
        <v>0</v>
      </c>
      <c r="J522" t="n">
        <v>0</v>
      </c>
      <c r="K522" t="n">
        <v>0</v>
      </c>
      <c r="L522" t="n">
        <v>0</v>
      </c>
      <c r="M522" t="n">
        <v>0</v>
      </c>
      <c r="N522" t="n">
        <v>0</v>
      </c>
      <c r="O522" t="n">
        <v>0</v>
      </c>
      <c r="P522" t="n">
        <v>0</v>
      </c>
      <c r="Q522" t="n">
        <v>0</v>
      </c>
      <c r="R522" s="2" t="inlineStr"/>
    </row>
    <row r="523" ht="15" customHeight="1">
      <c r="A523" t="inlineStr">
        <is>
          <t>A 47367-2021</t>
        </is>
      </c>
      <c r="B523" s="1" t="n">
        <v>44447</v>
      </c>
      <c r="C523" s="1" t="n">
        <v>45719</v>
      </c>
      <c r="D523" t="inlineStr">
        <is>
          <t>UPPSALA LÄN</t>
        </is>
      </c>
      <c r="E523" t="inlineStr">
        <is>
          <t>UPPSALA</t>
        </is>
      </c>
      <c r="G523" t="n">
        <v>3.8</v>
      </c>
      <c r="H523" t="n">
        <v>0</v>
      </c>
      <c r="I523" t="n">
        <v>0</v>
      </c>
      <c r="J523" t="n">
        <v>0</v>
      </c>
      <c r="K523" t="n">
        <v>0</v>
      </c>
      <c r="L523" t="n">
        <v>0</v>
      </c>
      <c r="M523" t="n">
        <v>0</v>
      </c>
      <c r="N523" t="n">
        <v>0</v>
      </c>
      <c r="O523" t="n">
        <v>0</v>
      </c>
      <c r="P523" t="n">
        <v>0</v>
      </c>
      <c r="Q523" t="n">
        <v>0</v>
      </c>
      <c r="R523" s="2" t="inlineStr"/>
    </row>
    <row r="524" ht="15" customHeight="1">
      <c r="A524" t="inlineStr">
        <is>
          <t>A 48918-2021</t>
        </is>
      </c>
      <c r="B524" s="1" t="n">
        <v>44453</v>
      </c>
      <c r="C524" s="1" t="n">
        <v>45719</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49274-2021</t>
        </is>
      </c>
      <c r="B525" s="1" t="n">
        <v>44454</v>
      </c>
      <c r="C525" s="1" t="n">
        <v>45719</v>
      </c>
      <c r="D525" t="inlineStr">
        <is>
          <t>UPPSALA LÄN</t>
        </is>
      </c>
      <c r="E525" t="inlineStr">
        <is>
          <t>UPPSALA</t>
        </is>
      </c>
      <c r="G525" t="n">
        <v>8.5</v>
      </c>
      <c r="H525" t="n">
        <v>0</v>
      </c>
      <c r="I525" t="n">
        <v>0</v>
      </c>
      <c r="J525" t="n">
        <v>0</v>
      </c>
      <c r="K525" t="n">
        <v>0</v>
      </c>
      <c r="L525" t="n">
        <v>0</v>
      </c>
      <c r="M525" t="n">
        <v>0</v>
      </c>
      <c r="N525" t="n">
        <v>0</v>
      </c>
      <c r="O525" t="n">
        <v>0</v>
      </c>
      <c r="P525" t="n">
        <v>0</v>
      </c>
      <c r="Q525" t="n">
        <v>0</v>
      </c>
      <c r="R525" s="2" t="inlineStr"/>
    </row>
    <row r="526" ht="15" customHeight="1">
      <c r="A526" t="inlineStr">
        <is>
          <t>A 51050-2021</t>
        </is>
      </c>
      <c r="B526" s="1" t="n">
        <v>44459</v>
      </c>
      <c r="C526" s="1" t="n">
        <v>45719</v>
      </c>
      <c r="D526" t="inlineStr">
        <is>
          <t>UPPSALA LÄN</t>
        </is>
      </c>
      <c r="E526" t="inlineStr">
        <is>
          <t>UPPSALA</t>
        </is>
      </c>
      <c r="F526" t="inlineStr">
        <is>
          <t>Övriga Aktiebolag</t>
        </is>
      </c>
      <c r="G526" t="n">
        <v>7.5</v>
      </c>
      <c r="H526" t="n">
        <v>0</v>
      </c>
      <c r="I526" t="n">
        <v>0</v>
      </c>
      <c r="J526" t="n">
        <v>0</v>
      </c>
      <c r="K526" t="n">
        <v>0</v>
      </c>
      <c r="L526" t="n">
        <v>0</v>
      </c>
      <c r="M526" t="n">
        <v>0</v>
      </c>
      <c r="N526" t="n">
        <v>0</v>
      </c>
      <c r="O526" t="n">
        <v>0</v>
      </c>
      <c r="P526" t="n">
        <v>0</v>
      </c>
      <c r="Q526" t="n">
        <v>0</v>
      </c>
      <c r="R526" s="2" t="inlineStr"/>
    </row>
    <row r="527" ht="15" customHeight="1">
      <c r="A527" t="inlineStr">
        <is>
          <t>A 51821-2021</t>
        </is>
      </c>
      <c r="B527" s="1" t="n">
        <v>44461</v>
      </c>
      <c r="C527" s="1" t="n">
        <v>45719</v>
      </c>
      <c r="D527" t="inlineStr">
        <is>
          <t>UPPSALA LÄN</t>
        </is>
      </c>
      <c r="E527" t="inlineStr">
        <is>
          <t>UPPSALA</t>
        </is>
      </c>
      <c r="F527" t="inlineStr">
        <is>
          <t>Övriga Aktiebolag</t>
        </is>
      </c>
      <c r="G527" t="n">
        <v>5.3</v>
      </c>
      <c r="H527" t="n">
        <v>0</v>
      </c>
      <c r="I527" t="n">
        <v>0</v>
      </c>
      <c r="J527" t="n">
        <v>0</v>
      </c>
      <c r="K527" t="n">
        <v>0</v>
      </c>
      <c r="L527" t="n">
        <v>0</v>
      </c>
      <c r="M527" t="n">
        <v>0</v>
      </c>
      <c r="N527" t="n">
        <v>0</v>
      </c>
      <c r="O527" t="n">
        <v>0</v>
      </c>
      <c r="P527" t="n">
        <v>0</v>
      </c>
      <c r="Q527" t="n">
        <v>0</v>
      </c>
      <c r="R527" s="2" t="inlineStr"/>
    </row>
    <row r="528" ht="15" customHeight="1">
      <c r="A528" t="inlineStr">
        <is>
          <t>A 51396-2021</t>
        </is>
      </c>
      <c r="B528" s="1" t="n">
        <v>44461</v>
      </c>
      <c r="C528" s="1" t="n">
        <v>45719</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52083-2021</t>
        </is>
      </c>
      <c r="B529" s="1" t="n">
        <v>44463</v>
      </c>
      <c r="C529" s="1" t="n">
        <v>45719</v>
      </c>
      <c r="D529" t="inlineStr">
        <is>
          <t>UPPSALA LÄN</t>
        </is>
      </c>
      <c r="E529" t="inlineStr">
        <is>
          <t>UPPSALA</t>
        </is>
      </c>
      <c r="G529" t="n">
        <v>3.6</v>
      </c>
      <c r="H529" t="n">
        <v>0</v>
      </c>
      <c r="I529" t="n">
        <v>0</v>
      </c>
      <c r="J529" t="n">
        <v>0</v>
      </c>
      <c r="K529" t="n">
        <v>0</v>
      </c>
      <c r="L529" t="n">
        <v>0</v>
      </c>
      <c r="M529" t="n">
        <v>0</v>
      </c>
      <c r="N529" t="n">
        <v>0</v>
      </c>
      <c r="O529" t="n">
        <v>0</v>
      </c>
      <c r="P529" t="n">
        <v>0</v>
      </c>
      <c r="Q529" t="n">
        <v>0</v>
      </c>
      <c r="R529" s="2" t="inlineStr"/>
    </row>
    <row r="530" ht="15" customHeight="1">
      <c r="A530" t="inlineStr">
        <is>
          <t>A 54168-2021</t>
        </is>
      </c>
      <c r="B530" s="1" t="n">
        <v>44470</v>
      </c>
      <c r="C530" s="1" t="n">
        <v>45719</v>
      </c>
      <c r="D530" t="inlineStr">
        <is>
          <t>UPPSALA LÄN</t>
        </is>
      </c>
      <c r="E530" t="inlineStr">
        <is>
          <t>UPPSALA</t>
        </is>
      </c>
      <c r="G530" t="n">
        <v>7.5</v>
      </c>
      <c r="H530" t="n">
        <v>0</v>
      </c>
      <c r="I530" t="n">
        <v>0</v>
      </c>
      <c r="J530" t="n">
        <v>0</v>
      </c>
      <c r="K530" t="n">
        <v>0</v>
      </c>
      <c r="L530" t="n">
        <v>0</v>
      </c>
      <c r="M530" t="n">
        <v>0</v>
      </c>
      <c r="N530" t="n">
        <v>0</v>
      </c>
      <c r="O530" t="n">
        <v>0</v>
      </c>
      <c r="P530" t="n">
        <v>0</v>
      </c>
      <c r="Q530" t="n">
        <v>0</v>
      </c>
      <c r="R530" s="2" t="inlineStr"/>
    </row>
    <row r="531" ht="15" customHeight="1">
      <c r="A531" t="inlineStr">
        <is>
          <t>A 55823-2021</t>
        </is>
      </c>
      <c r="B531" s="1" t="n">
        <v>44476</v>
      </c>
      <c r="C531" s="1" t="n">
        <v>45719</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56042-2021</t>
        </is>
      </c>
      <c r="B532" s="1" t="n">
        <v>44477</v>
      </c>
      <c r="C532" s="1" t="n">
        <v>45719</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56049-2021</t>
        </is>
      </c>
      <c r="B533" s="1" t="n">
        <v>44477</v>
      </c>
      <c r="C533" s="1" t="n">
        <v>45719</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56463-2021</t>
        </is>
      </c>
      <c r="B534" s="1" t="n">
        <v>44479</v>
      </c>
      <c r="C534" s="1" t="n">
        <v>45719</v>
      </c>
      <c r="D534" t="inlineStr">
        <is>
          <t>UPPSALA LÄN</t>
        </is>
      </c>
      <c r="E534" t="inlineStr">
        <is>
          <t>UPPSALA</t>
        </is>
      </c>
      <c r="G534" t="n">
        <v>6.4</v>
      </c>
      <c r="H534" t="n">
        <v>0</v>
      </c>
      <c r="I534" t="n">
        <v>0</v>
      </c>
      <c r="J534" t="n">
        <v>0</v>
      </c>
      <c r="K534" t="n">
        <v>0</v>
      </c>
      <c r="L534" t="n">
        <v>0</v>
      </c>
      <c r="M534" t="n">
        <v>0</v>
      </c>
      <c r="N534" t="n">
        <v>0</v>
      </c>
      <c r="O534" t="n">
        <v>0</v>
      </c>
      <c r="P534" t="n">
        <v>0</v>
      </c>
      <c r="Q534" t="n">
        <v>0</v>
      </c>
      <c r="R534" s="2" t="inlineStr"/>
    </row>
    <row r="535" ht="15" customHeight="1">
      <c r="A535" t="inlineStr">
        <is>
          <t>A 56769-2021</t>
        </is>
      </c>
      <c r="B535" s="1" t="n">
        <v>44481</v>
      </c>
      <c r="C535" s="1" t="n">
        <v>45719</v>
      </c>
      <c r="D535" t="inlineStr">
        <is>
          <t>UPPSALA LÄN</t>
        </is>
      </c>
      <c r="E535" t="inlineStr">
        <is>
          <t>UPPSALA</t>
        </is>
      </c>
      <c r="G535" t="n">
        <v>3.8</v>
      </c>
      <c r="H535" t="n">
        <v>0</v>
      </c>
      <c r="I535" t="n">
        <v>0</v>
      </c>
      <c r="J535" t="n">
        <v>0</v>
      </c>
      <c r="K535" t="n">
        <v>0</v>
      </c>
      <c r="L535" t="n">
        <v>0</v>
      </c>
      <c r="M535" t="n">
        <v>0</v>
      </c>
      <c r="N535" t="n">
        <v>0</v>
      </c>
      <c r="O535" t="n">
        <v>0</v>
      </c>
      <c r="P535" t="n">
        <v>0</v>
      </c>
      <c r="Q535" t="n">
        <v>0</v>
      </c>
      <c r="R535" s="2" t="inlineStr"/>
    </row>
    <row r="536" ht="15" customHeight="1">
      <c r="A536" t="inlineStr">
        <is>
          <t>A 57647-2021</t>
        </is>
      </c>
      <c r="B536" s="1" t="n">
        <v>44484</v>
      </c>
      <c r="C536" s="1" t="n">
        <v>45719</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57890-2021</t>
        </is>
      </c>
      <c r="B537" s="1" t="n">
        <v>44486</v>
      </c>
      <c r="C537" s="1" t="n">
        <v>45719</v>
      </c>
      <c r="D537" t="inlineStr">
        <is>
          <t>UPPSALA LÄN</t>
        </is>
      </c>
      <c r="E537" t="inlineStr">
        <is>
          <t>UPPSALA</t>
        </is>
      </c>
      <c r="G537" t="n">
        <v>0.8</v>
      </c>
      <c r="H537" t="n">
        <v>0</v>
      </c>
      <c r="I537" t="n">
        <v>0</v>
      </c>
      <c r="J537" t="n">
        <v>0</v>
      </c>
      <c r="K537" t="n">
        <v>0</v>
      </c>
      <c r="L537" t="n">
        <v>0</v>
      </c>
      <c r="M537" t="n">
        <v>0</v>
      </c>
      <c r="N537" t="n">
        <v>0</v>
      </c>
      <c r="O537" t="n">
        <v>0</v>
      </c>
      <c r="P537" t="n">
        <v>0</v>
      </c>
      <c r="Q537" t="n">
        <v>0</v>
      </c>
      <c r="R537" s="2" t="inlineStr"/>
    </row>
    <row r="538" ht="15" customHeight="1">
      <c r="A538" t="inlineStr">
        <is>
          <t>A 58767-2021</t>
        </is>
      </c>
      <c r="B538" s="1" t="n">
        <v>44489</v>
      </c>
      <c r="C538" s="1" t="n">
        <v>45719</v>
      </c>
      <c r="D538" t="inlineStr">
        <is>
          <t>UPPSALA LÄN</t>
        </is>
      </c>
      <c r="E538" t="inlineStr">
        <is>
          <t>UPPSALA</t>
        </is>
      </c>
      <c r="G538" t="n">
        <v>4.8</v>
      </c>
      <c r="H538" t="n">
        <v>0</v>
      </c>
      <c r="I538" t="n">
        <v>0</v>
      </c>
      <c r="J538" t="n">
        <v>0</v>
      </c>
      <c r="K538" t="n">
        <v>0</v>
      </c>
      <c r="L538" t="n">
        <v>0</v>
      </c>
      <c r="M538" t="n">
        <v>0</v>
      </c>
      <c r="N538" t="n">
        <v>0</v>
      </c>
      <c r="O538" t="n">
        <v>0</v>
      </c>
      <c r="P538" t="n">
        <v>0</v>
      </c>
      <c r="Q538" t="n">
        <v>0</v>
      </c>
      <c r="R538" s="2" t="inlineStr"/>
    </row>
    <row r="539" ht="15" customHeight="1">
      <c r="A539" t="inlineStr">
        <is>
          <t>A 58897-2021</t>
        </is>
      </c>
      <c r="B539" s="1" t="n">
        <v>44489</v>
      </c>
      <c r="C539" s="1" t="n">
        <v>45719</v>
      </c>
      <c r="D539" t="inlineStr">
        <is>
          <t>UPPSALA LÄN</t>
        </is>
      </c>
      <c r="E539" t="inlineStr">
        <is>
          <t>UPPSALA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59241-2021</t>
        </is>
      </c>
      <c r="B540" s="1" t="n">
        <v>44490</v>
      </c>
      <c r="C540" s="1" t="n">
        <v>45719</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59484-2021</t>
        </is>
      </c>
      <c r="B541" s="1" t="n">
        <v>44491</v>
      </c>
      <c r="C541" s="1" t="n">
        <v>45719</v>
      </c>
      <c r="D541" t="inlineStr">
        <is>
          <t>UPPSALA LÄN</t>
        </is>
      </c>
      <c r="E541" t="inlineStr">
        <is>
          <t>UPPSALA</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59500-2021</t>
        </is>
      </c>
      <c r="B542" s="1" t="n">
        <v>44491</v>
      </c>
      <c r="C542" s="1" t="n">
        <v>45719</v>
      </c>
      <c r="D542" t="inlineStr">
        <is>
          <t>UPPSALA LÄN</t>
        </is>
      </c>
      <c r="E542" t="inlineStr">
        <is>
          <t>UPPSALA</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59479-2021</t>
        </is>
      </c>
      <c r="B543" s="1" t="n">
        <v>44491</v>
      </c>
      <c r="C543" s="1" t="n">
        <v>45719</v>
      </c>
      <c r="D543" t="inlineStr">
        <is>
          <t>UPPSALA LÄN</t>
        </is>
      </c>
      <c r="E543" t="inlineStr">
        <is>
          <t>UPPSALA</t>
        </is>
      </c>
      <c r="F543" t="inlineStr">
        <is>
          <t>Bergvik skog öst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59881-2021</t>
        </is>
      </c>
      <c r="B544" s="1" t="n">
        <v>44494</v>
      </c>
      <c r="C544" s="1" t="n">
        <v>45719</v>
      </c>
      <c r="D544" t="inlineStr">
        <is>
          <t>UPPSALA LÄN</t>
        </is>
      </c>
      <c r="E544" t="inlineStr">
        <is>
          <t>UPPSALA</t>
        </is>
      </c>
      <c r="F544" t="inlineStr">
        <is>
          <t>Allmännings- och besparingsskogar</t>
        </is>
      </c>
      <c r="G544" t="n">
        <v>1.6</v>
      </c>
      <c r="H544" t="n">
        <v>0</v>
      </c>
      <c r="I544" t="n">
        <v>0</v>
      </c>
      <c r="J544" t="n">
        <v>0</v>
      </c>
      <c r="K544" t="n">
        <v>0</v>
      </c>
      <c r="L544" t="n">
        <v>0</v>
      </c>
      <c r="M544" t="n">
        <v>0</v>
      </c>
      <c r="N544" t="n">
        <v>0</v>
      </c>
      <c r="O544" t="n">
        <v>0</v>
      </c>
      <c r="P544" t="n">
        <v>0</v>
      </c>
      <c r="Q544" t="n">
        <v>0</v>
      </c>
      <c r="R544" s="2" t="inlineStr"/>
    </row>
    <row r="545" ht="15" customHeight="1">
      <c r="A545" t="inlineStr">
        <is>
          <t>A 60032-2021</t>
        </is>
      </c>
      <c r="B545" s="1" t="n">
        <v>44495</v>
      </c>
      <c r="C545" s="1" t="n">
        <v>45719</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61008-2021</t>
        </is>
      </c>
      <c r="B546" s="1" t="n">
        <v>44497</v>
      </c>
      <c r="C546" s="1" t="n">
        <v>45719</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60917-2021</t>
        </is>
      </c>
      <c r="B547" s="1" t="n">
        <v>44497</v>
      </c>
      <c r="C547" s="1" t="n">
        <v>45719</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60925-2021</t>
        </is>
      </c>
      <c r="B548" s="1" t="n">
        <v>44497</v>
      </c>
      <c r="C548" s="1" t="n">
        <v>45719</v>
      </c>
      <c r="D548" t="inlineStr">
        <is>
          <t>UPPSALA LÄN</t>
        </is>
      </c>
      <c r="E548" t="inlineStr">
        <is>
          <t>UPPSALA</t>
        </is>
      </c>
      <c r="G548" t="n">
        <v>3.7</v>
      </c>
      <c r="H548" t="n">
        <v>0</v>
      </c>
      <c r="I548" t="n">
        <v>0</v>
      </c>
      <c r="J548" t="n">
        <v>0</v>
      </c>
      <c r="K548" t="n">
        <v>0</v>
      </c>
      <c r="L548" t="n">
        <v>0</v>
      </c>
      <c r="M548" t="n">
        <v>0</v>
      </c>
      <c r="N548" t="n">
        <v>0</v>
      </c>
      <c r="O548" t="n">
        <v>0</v>
      </c>
      <c r="P548" t="n">
        <v>0</v>
      </c>
      <c r="Q548" t="n">
        <v>0</v>
      </c>
      <c r="R548" s="2" t="inlineStr"/>
    </row>
    <row r="549" ht="15" customHeight="1">
      <c r="A549" t="inlineStr">
        <is>
          <t>A 61805-2021</t>
        </is>
      </c>
      <c r="B549" s="1" t="n">
        <v>44501</v>
      </c>
      <c r="C549" s="1" t="n">
        <v>45719</v>
      </c>
      <c r="D549" t="inlineStr">
        <is>
          <t>UPPSALA LÄN</t>
        </is>
      </c>
      <c r="E549" t="inlineStr">
        <is>
          <t>UPPSALA</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62471-2021</t>
        </is>
      </c>
      <c r="B550" s="1" t="n">
        <v>44503</v>
      </c>
      <c r="C550" s="1" t="n">
        <v>45719</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62865-2021</t>
        </is>
      </c>
      <c r="B551" s="1" t="n">
        <v>44504</v>
      </c>
      <c r="C551" s="1" t="n">
        <v>45719</v>
      </c>
      <c r="D551" t="inlineStr">
        <is>
          <t>UPPSALA LÄN</t>
        </is>
      </c>
      <c r="E551" t="inlineStr">
        <is>
          <t>UPPSALA</t>
        </is>
      </c>
      <c r="F551" t="inlineStr">
        <is>
          <t>Bergvik skog öst AB</t>
        </is>
      </c>
      <c r="G551" t="n">
        <v>1.7</v>
      </c>
      <c r="H551" t="n">
        <v>0</v>
      </c>
      <c r="I551" t="n">
        <v>0</v>
      </c>
      <c r="J551" t="n">
        <v>0</v>
      </c>
      <c r="K551" t="n">
        <v>0</v>
      </c>
      <c r="L551" t="n">
        <v>0</v>
      </c>
      <c r="M551" t="n">
        <v>0</v>
      </c>
      <c r="N551" t="n">
        <v>0</v>
      </c>
      <c r="O551" t="n">
        <v>0</v>
      </c>
      <c r="P551" t="n">
        <v>0</v>
      </c>
      <c r="Q551" t="n">
        <v>0</v>
      </c>
      <c r="R551" s="2" t="inlineStr"/>
    </row>
    <row r="552" ht="15" customHeight="1">
      <c r="A552" t="inlineStr">
        <is>
          <t>A 63011-2021</t>
        </is>
      </c>
      <c r="B552" s="1" t="n">
        <v>44504</v>
      </c>
      <c r="C552" s="1" t="n">
        <v>45719</v>
      </c>
      <c r="D552" t="inlineStr">
        <is>
          <t>UPPSALA LÄN</t>
        </is>
      </c>
      <c r="E552" t="inlineStr">
        <is>
          <t>UPPSALA</t>
        </is>
      </c>
      <c r="G552" t="n">
        <v>11.2</v>
      </c>
      <c r="H552" t="n">
        <v>0</v>
      </c>
      <c r="I552" t="n">
        <v>0</v>
      </c>
      <c r="J552" t="n">
        <v>0</v>
      </c>
      <c r="K552" t="n">
        <v>0</v>
      </c>
      <c r="L552" t="n">
        <v>0</v>
      </c>
      <c r="M552" t="n">
        <v>0</v>
      </c>
      <c r="N552" t="n">
        <v>0</v>
      </c>
      <c r="O552" t="n">
        <v>0</v>
      </c>
      <c r="P552" t="n">
        <v>0</v>
      </c>
      <c r="Q552" t="n">
        <v>0</v>
      </c>
      <c r="R552" s="2" t="inlineStr"/>
    </row>
    <row r="553" ht="15" customHeight="1">
      <c r="A553" t="inlineStr">
        <is>
          <t>A 63307-2021</t>
        </is>
      </c>
      <c r="B553" s="1" t="n">
        <v>44508</v>
      </c>
      <c r="C553" s="1" t="n">
        <v>45719</v>
      </c>
      <c r="D553" t="inlineStr">
        <is>
          <t>UPPSALA LÄN</t>
        </is>
      </c>
      <c r="E553" t="inlineStr">
        <is>
          <t>UPPSALA</t>
        </is>
      </c>
      <c r="F553" t="inlineStr">
        <is>
          <t>Bergvik skog öst AB</t>
        </is>
      </c>
      <c r="G553" t="n">
        <v>2.8</v>
      </c>
      <c r="H553" t="n">
        <v>0</v>
      </c>
      <c r="I553" t="n">
        <v>0</v>
      </c>
      <c r="J553" t="n">
        <v>0</v>
      </c>
      <c r="K553" t="n">
        <v>0</v>
      </c>
      <c r="L553" t="n">
        <v>0</v>
      </c>
      <c r="M553" t="n">
        <v>0</v>
      </c>
      <c r="N553" t="n">
        <v>0</v>
      </c>
      <c r="O553" t="n">
        <v>0</v>
      </c>
      <c r="P553" t="n">
        <v>0</v>
      </c>
      <c r="Q553" t="n">
        <v>0</v>
      </c>
      <c r="R553" s="2" t="inlineStr"/>
    </row>
    <row r="554" ht="15" customHeight="1">
      <c r="A554" t="inlineStr">
        <is>
          <t>A 64016-2021</t>
        </is>
      </c>
      <c r="B554" s="1" t="n">
        <v>44510</v>
      </c>
      <c r="C554" s="1" t="n">
        <v>45719</v>
      </c>
      <c r="D554" t="inlineStr">
        <is>
          <t>UPPSALA LÄN</t>
        </is>
      </c>
      <c r="E554" t="inlineStr">
        <is>
          <t>UPPSALA</t>
        </is>
      </c>
      <c r="G554" t="n">
        <v>2.1</v>
      </c>
      <c r="H554" t="n">
        <v>0</v>
      </c>
      <c r="I554" t="n">
        <v>0</v>
      </c>
      <c r="J554" t="n">
        <v>0</v>
      </c>
      <c r="K554" t="n">
        <v>0</v>
      </c>
      <c r="L554" t="n">
        <v>0</v>
      </c>
      <c r="M554" t="n">
        <v>0</v>
      </c>
      <c r="N554" t="n">
        <v>0</v>
      </c>
      <c r="O554" t="n">
        <v>0</v>
      </c>
      <c r="P554" t="n">
        <v>0</v>
      </c>
      <c r="Q554" t="n">
        <v>0</v>
      </c>
      <c r="R554" s="2" t="inlineStr"/>
    </row>
    <row r="555" ht="15" customHeight="1">
      <c r="A555" t="inlineStr">
        <is>
          <t>A 64857-2021</t>
        </is>
      </c>
      <c r="B555" s="1" t="n">
        <v>44512</v>
      </c>
      <c r="C555" s="1" t="n">
        <v>45719</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64856-2021</t>
        </is>
      </c>
      <c r="B556" s="1" t="n">
        <v>44512</v>
      </c>
      <c r="C556" s="1" t="n">
        <v>45719</v>
      </c>
      <c r="D556" t="inlineStr">
        <is>
          <t>UPPSALA LÄN</t>
        </is>
      </c>
      <c r="E556" t="inlineStr">
        <is>
          <t>UPPSALA</t>
        </is>
      </c>
      <c r="G556" t="n">
        <v>4.1</v>
      </c>
      <c r="H556" t="n">
        <v>0</v>
      </c>
      <c r="I556" t="n">
        <v>0</v>
      </c>
      <c r="J556" t="n">
        <v>0</v>
      </c>
      <c r="K556" t="n">
        <v>0</v>
      </c>
      <c r="L556" t="n">
        <v>0</v>
      </c>
      <c r="M556" t="n">
        <v>0</v>
      </c>
      <c r="N556" t="n">
        <v>0</v>
      </c>
      <c r="O556" t="n">
        <v>0</v>
      </c>
      <c r="P556" t="n">
        <v>0</v>
      </c>
      <c r="Q556" t="n">
        <v>0</v>
      </c>
      <c r="R556" s="2" t="inlineStr"/>
    </row>
    <row r="557" ht="15" customHeight="1">
      <c r="A557" t="inlineStr">
        <is>
          <t>A 64858-2021</t>
        </is>
      </c>
      <c r="B557" s="1" t="n">
        <v>44512</v>
      </c>
      <c r="C557" s="1" t="n">
        <v>45719</v>
      </c>
      <c r="D557" t="inlineStr">
        <is>
          <t>UPPSALA LÄN</t>
        </is>
      </c>
      <c r="E557" t="inlineStr">
        <is>
          <t>UPPSALA</t>
        </is>
      </c>
      <c r="G557" t="n">
        <v>1.2</v>
      </c>
      <c r="H557" t="n">
        <v>0</v>
      </c>
      <c r="I557" t="n">
        <v>0</v>
      </c>
      <c r="J557" t="n">
        <v>0</v>
      </c>
      <c r="K557" t="n">
        <v>0</v>
      </c>
      <c r="L557" t="n">
        <v>0</v>
      </c>
      <c r="M557" t="n">
        <v>0</v>
      </c>
      <c r="N557" t="n">
        <v>0</v>
      </c>
      <c r="O557" t="n">
        <v>0</v>
      </c>
      <c r="P557" t="n">
        <v>0</v>
      </c>
      <c r="Q557" t="n">
        <v>0</v>
      </c>
      <c r="R557" s="2" t="inlineStr"/>
    </row>
    <row r="558" ht="15" customHeight="1">
      <c r="A558" t="inlineStr">
        <is>
          <t>A 64855-2021</t>
        </is>
      </c>
      <c r="B558" s="1" t="n">
        <v>44512</v>
      </c>
      <c r="C558" s="1" t="n">
        <v>45719</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65132-2021</t>
        </is>
      </c>
      <c r="B559" s="1" t="n">
        <v>44515</v>
      </c>
      <c r="C559" s="1" t="n">
        <v>45719</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65659-2021</t>
        </is>
      </c>
      <c r="B560" s="1" t="n">
        <v>44516</v>
      </c>
      <c r="C560" s="1" t="n">
        <v>45719</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65695-2021</t>
        </is>
      </c>
      <c r="B561" s="1" t="n">
        <v>44516</v>
      </c>
      <c r="C561" s="1" t="n">
        <v>45719</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65809-2021</t>
        </is>
      </c>
      <c r="B562" s="1" t="n">
        <v>44517</v>
      </c>
      <c r="C562" s="1" t="n">
        <v>45719</v>
      </c>
      <c r="D562" t="inlineStr">
        <is>
          <t>UPPSALA LÄN</t>
        </is>
      </c>
      <c r="E562" t="inlineStr">
        <is>
          <t>UPPSALA</t>
        </is>
      </c>
      <c r="G562" t="n">
        <v>1.4</v>
      </c>
      <c r="H562" t="n">
        <v>0</v>
      </c>
      <c r="I562" t="n">
        <v>0</v>
      </c>
      <c r="J562" t="n">
        <v>0</v>
      </c>
      <c r="K562" t="n">
        <v>0</v>
      </c>
      <c r="L562" t="n">
        <v>0</v>
      </c>
      <c r="M562" t="n">
        <v>0</v>
      </c>
      <c r="N562" t="n">
        <v>0</v>
      </c>
      <c r="O562" t="n">
        <v>0</v>
      </c>
      <c r="P562" t="n">
        <v>0</v>
      </c>
      <c r="Q562" t="n">
        <v>0</v>
      </c>
      <c r="R562" s="2" t="inlineStr"/>
    </row>
    <row r="563" ht="15" customHeight="1">
      <c r="A563" t="inlineStr">
        <is>
          <t>A 65811-2021</t>
        </is>
      </c>
      <c r="B563" s="1" t="n">
        <v>44517</v>
      </c>
      <c r="C563" s="1" t="n">
        <v>45719</v>
      </c>
      <c r="D563" t="inlineStr">
        <is>
          <t>UPPSALA LÄN</t>
        </is>
      </c>
      <c r="E563" t="inlineStr">
        <is>
          <t>UPPSALA</t>
        </is>
      </c>
      <c r="G563" t="n">
        <v>0.3</v>
      </c>
      <c r="H563" t="n">
        <v>0</v>
      </c>
      <c r="I563" t="n">
        <v>0</v>
      </c>
      <c r="J563" t="n">
        <v>0</v>
      </c>
      <c r="K563" t="n">
        <v>0</v>
      </c>
      <c r="L563" t="n">
        <v>0</v>
      </c>
      <c r="M563" t="n">
        <v>0</v>
      </c>
      <c r="N563" t="n">
        <v>0</v>
      </c>
      <c r="O563" t="n">
        <v>0</v>
      </c>
      <c r="P563" t="n">
        <v>0</v>
      </c>
      <c r="Q563" t="n">
        <v>0</v>
      </c>
      <c r="R563" s="2" t="inlineStr"/>
    </row>
    <row r="564" ht="15" customHeight="1">
      <c r="A564" t="inlineStr">
        <is>
          <t>A 65964-2021</t>
        </is>
      </c>
      <c r="B564" s="1" t="n">
        <v>44517</v>
      </c>
      <c r="C564" s="1" t="n">
        <v>45719</v>
      </c>
      <c r="D564" t="inlineStr">
        <is>
          <t>UPPSALA LÄN</t>
        </is>
      </c>
      <c r="E564" t="inlineStr">
        <is>
          <t>UPPSALA</t>
        </is>
      </c>
      <c r="G564" t="n">
        <v>0.7</v>
      </c>
      <c r="H564" t="n">
        <v>0</v>
      </c>
      <c r="I564" t="n">
        <v>0</v>
      </c>
      <c r="J564" t="n">
        <v>0</v>
      </c>
      <c r="K564" t="n">
        <v>0</v>
      </c>
      <c r="L564" t="n">
        <v>0</v>
      </c>
      <c r="M564" t="n">
        <v>0</v>
      </c>
      <c r="N564" t="n">
        <v>0</v>
      </c>
      <c r="O564" t="n">
        <v>0</v>
      </c>
      <c r="P564" t="n">
        <v>0</v>
      </c>
      <c r="Q564" t="n">
        <v>0</v>
      </c>
      <c r="R564" s="2" t="inlineStr"/>
    </row>
    <row r="565" ht="15" customHeight="1">
      <c r="A565" t="inlineStr">
        <is>
          <t>A 66239-2021</t>
        </is>
      </c>
      <c r="B565" s="1" t="n">
        <v>44518</v>
      </c>
      <c r="C565" s="1" t="n">
        <v>45719</v>
      </c>
      <c r="D565" t="inlineStr">
        <is>
          <t>UPPSALA LÄN</t>
        </is>
      </c>
      <c r="E565" t="inlineStr">
        <is>
          <t>UPPSALA</t>
        </is>
      </c>
      <c r="G565" t="n">
        <v>4.2</v>
      </c>
      <c r="H565" t="n">
        <v>0</v>
      </c>
      <c r="I565" t="n">
        <v>0</v>
      </c>
      <c r="J565" t="n">
        <v>0</v>
      </c>
      <c r="K565" t="n">
        <v>0</v>
      </c>
      <c r="L565" t="n">
        <v>0</v>
      </c>
      <c r="M565" t="n">
        <v>0</v>
      </c>
      <c r="N565" t="n">
        <v>0</v>
      </c>
      <c r="O565" t="n">
        <v>0</v>
      </c>
      <c r="P565" t="n">
        <v>0</v>
      </c>
      <c r="Q565" t="n">
        <v>0</v>
      </c>
      <c r="R565" s="2" t="inlineStr"/>
    </row>
    <row r="566" ht="15" customHeight="1">
      <c r="A566" t="inlineStr">
        <is>
          <t>A 66690-2021</t>
        </is>
      </c>
      <c r="B566" s="1" t="n">
        <v>44519</v>
      </c>
      <c r="C566" s="1" t="n">
        <v>45719</v>
      </c>
      <c r="D566" t="inlineStr">
        <is>
          <t>UPPSALA LÄN</t>
        </is>
      </c>
      <c r="E566" t="inlineStr">
        <is>
          <t>UPPSALA</t>
        </is>
      </c>
      <c r="G566" t="n">
        <v>2.2</v>
      </c>
      <c r="H566" t="n">
        <v>0</v>
      </c>
      <c r="I566" t="n">
        <v>0</v>
      </c>
      <c r="J566" t="n">
        <v>0</v>
      </c>
      <c r="K566" t="n">
        <v>0</v>
      </c>
      <c r="L566" t="n">
        <v>0</v>
      </c>
      <c r="M566" t="n">
        <v>0</v>
      </c>
      <c r="N566" t="n">
        <v>0</v>
      </c>
      <c r="O566" t="n">
        <v>0</v>
      </c>
      <c r="P566" t="n">
        <v>0</v>
      </c>
      <c r="Q566" t="n">
        <v>0</v>
      </c>
      <c r="R566" s="2" t="inlineStr"/>
    </row>
    <row r="567" ht="15" customHeight="1">
      <c r="A567" t="inlineStr">
        <is>
          <t>A 66686-2021</t>
        </is>
      </c>
      <c r="B567" s="1" t="n">
        <v>44519</v>
      </c>
      <c r="C567" s="1" t="n">
        <v>45719</v>
      </c>
      <c r="D567" t="inlineStr">
        <is>
          <t>UPPSALA LÄN</t>
        </is>
      </c>
      <c r="E567" t="inlineStr">
        <is>
          <t>UPPSALA</t>
        </is>
      </c>
      <c r="G567" t="n">
        <v>6.4</v>
      </c>
      <c r="H567" t="n">
        <v>0</v>
      </c>
      <c r="I567" t="n">
        <v>0</v>
      </c>
      <c r="J567" t="n">
        <v>0</v>
      </c>
      <c r="K567" t="n">
        <v>0</v>
      </c>
      <c r="L567" t="n">
        <v>0</v>
      </c>
      <c r="M567" t="n">
        <v>0</v>
      </c>
      <c r="N567" t="n">
        <v>0</v>
      </c>
      <c r="O567" t="n">
        <v>0</v>
      </c>
      <c r="P567" t="n">
        <v>0</v>
      </c>
      <c r="Q567" t="n">
        <v>0</v>
      </c>
      <c r="R567" s="2" t="inlineStr"/>
    </row>
    <row r="568" ht="15" customHeight="1">
      <c r="A568" t="inlineStr">
        <is>
          <t>A 66794-2021</t>
        </is>
      </c>
      <c r="B568" s="1" t="n">
        <v>44522</v>
      </c>
      <c r="C568" s="1" t="n">
        <v>45719</v>
      </c>
      <c r="D568" t="inlineStr">
        <is>
          <t>UPPSALA LÄN</t>
        </is>
      </c>
      <c r="E568" t="inlineStr">
        <is>
          <t>UPPSALA</t>
        </is>
      </c>
      <c r="G568" t="n">
        <v>4.9</v>
      </c>
      <c r="H568" t="n">
        <v>0</v>
      </c>
      <c r="I568" t="n">
        <v>0</v>
      </c>
      <c r="J568" t="n">
        <v>0</v>
      </c>
      <c r="K568" t="n">
        <v>0</v>
      </c>
      <c r="L568" t="n">
        <v>0</v>
      </c>
      <c r="M568" t="n">
        <v>0</v>
      </c>
      <c r="N568" t="n">
        <v>0</v>
      </c>
      <c r="O568" t="n">
        <v>0</v>
      </c>
      <c r="P568" t="n">
        <v>0</v>
      </c>
      <c r="Q568" t="n">
        <v>0</v>
      </c>
      <c r="R568" s="2" t="inlineStr"/>
    </row>
    <row r="569" ht="15" customHeight="1">
      <c r="A569" t="inlineStr">
        <is>
          <t>A 66927-2021</t>
        </is>
      </c>
      <c r="B569" s="1" t="n">
        <v>44522</v>
      </c>
      <c r="C569" s="1" t="n">
        <v>45719</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66983-2021</t>
        </is>
      </c>
      <c r="B570" s="1" t="n">
        <v>44522</v>
      </c>
      <c r="C570" s="1" t="n">
        <v>45719</v>
      </c>
      <c r="D570" t="inlineStr">
        <is>
          <t>UPPSALA LÄN</t>
        </is>
      </c>
      <c r="E570" t="inlineStr">
        <is>
          <t>UPPSALA</t>
        </is>
      </c>
      <c r="G570" t="n">
        <v>2.5</v>
      </c>
      <c r="H570" t="n">
        <v>0</v>
      </c>
      <c r="I570" t="n">
        <v>0</v>
      </c>
      <c r="J570" t="n">
        <v>0</v>
      </c>
      <c r="K570" t="n">
        <v>0</v>
      </c>
      <c r="L570" t="n">
        <v>0</v>
      </c>
      <c r="M570" t="n">
        <v>0</v>
      </c>
      <c r="N570" t="n">
        <v>0</v>
      </c>
      <c r="O570" t="n">
        <v>0</v>
      </c>
      <c r="P570" t="n">
        <v>0</v>
      </c>
      <c r="Q570" t="n">
        <v>0</v>
      </c>
      <c r="R570" s="2" t="inlineStr"/>
    </row>
    <row r="571" ht="15" customHeight="1">
      <c r="A571" t="inlineStr">
        <is>
          <t>A 67991-2021</t>
        </is>
      </c>
      <c r="B571" s="1" t="n">
        <v>44525</v>
      </c>
      <c r="C571" s="1" t="n">
        <v>45719</v>
      </c>
      <c r="D571" t="inlineStr">
        <is>
          <t>UPPSALA LÄN</t>
        </is>
      </c>
      <c r="E571" t="inlineStr">
        <is>
          <t>UPPSALA</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68696-2021</t>
        </is>
      </c>
      <c r="B572" s="1" t="n">
        <v>44526</v>
      </c>
      <c r="C572" s="1" t="n">
        <v>45719</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68139-2021</t>
        </is>
      </c>
      <c r="B573" s="1" t="n">
        <v>44526</v>
      </c>
      <c r="C573" s="1" t="n">
        <v>45719</v>
      </c>
      <c r="D573" t="inlineStr">
        <is>
          <t>UPPSALA LÄN</t>
        </is>
      </c>
      <c r="E573" t="inlineStr">
        <is>
          <t>UPPSALA</t>
        </is>
      </c>
      <c r="F573" t="inlineStr">
        <is>
          <t>Bergvik skog öst AB</t>
        </is>
      </c>
      <c r="G573" t="n">
        <v>3.4</v>
      </c>
      <c r="H573" t="n">
        <v>0</v>
      </c>
      <c r="I573" t="n">
        <v>0</v>
      </c>
      <c r="J573" t="n">
        <v>0</v>
      </c>
      <c r="K573" t="n">
        <v>0</v>
      </c>
      <c r="L573" t="n">
        <v>0</v>
      </c>
      <c r="M573" t="n">
        <v>0</v>
      </c>
      <c r="N573" t="n">
        <v>0</v>
      </c>
      <c r="O573" t="n">
        <v>0</v>
      </c>
      <c r="P573" t="n">
        <v>0</v>
      </c>
      <c r="Q573" t="n">
        <v>0</v>
      </c>
      <c r="R573" s="2" t="inlineStr"/>
    </row>
    <row r="574" ht="15" customHeight="1">
      <c r="A574" t="inlineStr">
        <is>
          <t>A 68296-2021</t>
        </is>
      </c>
      <c r="B574" s="1" t="n">
        <v>44526</v>
      </c>
      <c r="C574" s="1" t="n">
        <v>45719</v>
      </c>
      <c r="D574" t="inlineStr">
        <is>
          <t>UPPSALA LÄN</t>
        </is>
      </c>
      <c r="E574" t="inlineStr">
        <is>
          <t>UPPSALA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69067-2021</t>
        </is>
      </c>
      <c r="B575" s="1" t="n">
        <v>44530</v>
      </c>
      <c r="C575" s="1" t="n">
        <v>45719</v>
      </c>
      <c r="D575" t="inlineStr">
        <is>
          <t>UPPSALA LÄN</t>
        </is>
      </c>
      <c r="E575" t="inlineStr">
        <is>
          <t>UPPSALA</t>
        </is>
      </c>
      <c r="F575" t="inlineStr">
        <is>
          <t>Holmen skog AB</t>
        </is>
      </c>
      <c r="G575" t="n">
        <v>2.8</v>
      </c>
      <c r="H575" t="n">
        <v>0</v>
      </c>
      <c r="I575" t="n">
        <v>0</v>
      </c>
      <c r="J575" t="n">
        <v>0</v>
      </c>
      <c r="K575" t="n">
        <v>0</v>
      </c>
      <c r="L575" t="n">
        <v>0</v>
      </c>
      <c r="M575" t="n">
        <v>0</v>
      </c>
      <c r="N575" t="n">
        <v>0</v>
      </c>
      <c r="O575" t="n">
        <v>0</v>
      </c>
      <c r="P575" t="n">
        <v>0</v>
      </c>
      <c r="Q575" t="n">
        <v>0</v>
      </c>
      <c r="R575" s="2" t="inlineStr"/>
    </row>
    <row r="576" ht="15" customHeight="1">
      <c r="A576" t="inlineStr">
        <is>
          <t>A 69432-2021</t>
        </is>
      </c>
      <c r="B576" s="1" t="n">
        <v>44531</v>
      </c>
      <c r="C576" s="1" t="n">
        <v>45719</v>
      </c>
      <c r="D576" t="inlineStr">
        <is>
          <t>UPPSALA LÄN</t>
        </is>
      </c>
      <c r="E576" t="inlineStr">
        <is>
          <t>UPPSALA</t>
        </is>
      </c>
      <c r="G576" t="n">
        <v>1.7</v>
      </c>
      <c r="H576" t="n">
        <v>0</v>
      </c>
      <c r="I576" t="n">
        <v>0</v>
      </c>
      <c r="J576" t="n">
        <v>0</v>
      </c>
      <c r="K576" t="n">
        <v>0</v>
      </c>
      <c r="L576" t="n">
        <v>0</v>
      </c>
      <c r="M576" t="n">
        <v>0</v>
      </c>
      <c r="N576" t="n">
        <v>0</v>
      </c>
      <c r="O576" t="n">
        <v>0</v>
      </c>
      <c r="P576" t="n">
        <v>0</v>
      </c>
      <c r="Q576" t="n">
        <v>0</v>
      </c>
      <c r="R576" s="2" t="inlineStr"/>
    </row>
    <row r="577" ht="15" customHeight="1">
      <c r="A577" t="inlineStr">
        <is>
          <t>A 69214-2021</t>
        </is>
      </c>
      <c r="B577" s="1" t="n">
        <v>44531</v>
      </c>
      <c r="C577" s="1" t="n">
        <v>45719</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69397-2021</t>
        </is>
      </c>
      <c r="B578" s="1" t="n">
        <v>44531</v>
      </c>
      <c r="C578" s="1" t="n">
        <v>45719</v>
      </c>
      <c r="D578" t="inlineStr">
        <is>
          <t>UPPSALA LÄN</t>
        </is>
      </c>
      <c r="E578" t="inlineStr">
        <is>
          <t>UPPSALA</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69436-2021</t>
        </is>
      </c>
      <c r="B579" s="1" t="n">
        <v>44531</v>
      </c>
      <c r="C579" s="1" t="n">
        <v>45719</v>
      </c>
      <c r="D579" t="inlineStr">
        <is>
          <t>UPPSALA LÄN</t>
        </is>
      </c>
      <c r="E579" t="inlineStr">
        <is>
          <t>UPPSALA</t>
        </is>
      </c>
      <c r="G579" t="n">
        <v>1.1</v>
      </c>
      <c r="H579" t="n">
        <v>0</v>
      </c>
      <c r="I579" t="n">
        <v>0</v>
      </c>
      <c r="J579" t="n">
        <v>0</v>
      </c>
      <c r="K579" t="n">
        <v>0</v>
      </c>
      <c r="L579" t="n">
        <v>0</v>
      </c>
      <c r="M579" t="n">
        <v>0</v>
      </c>
      <c r="N579" t="n">
        <v>0</v>
      </c>
      <c r="O579" t="n">
        <v>0</v>
      </c>
      <c r="P579" t="n">
        <v>0</v>
      </c>
      <c r="Q579" t="n">
        <v>0</v>
      </c>
      <c r="R579" s="2" t="inlineStr"/>
    </row>
    <row r="580" ht="15" customHeight="1">
      <c r="A580" t="inlineStr">
        <is>
          <t>A 69439-2021</t>
        </is>
      </c>
      <c r="B580" s="1" t="n">
        <v>44531</v>
      </c>
      <c r="C580" s="1" t="n">
        <v>45719</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69711-2021</t>
        </is>
      </c>
      <c r="B581" s="1" t="n">
        <v>44532</v>
      </c>
      <c r="C581" s="1" t="n">
        <v>45719</v>
      </c>
      <c r="D581" t="inlineStr">
        <is>
          <t>UPPSALA LÄN</t>
        </is>
      </c>
      <c r="E581" t="inlineStr">
        <is>
          <t>UPPSALA</t>
        </is>
      </c>
      <c r="G581" t="n">
        <v>10.2</v>
      </c>
      <c r="H581" t="n">
        <v>0</v>
      </c>
      <c r="I581" t="n">
        <v>0</v>
      </c>
      <c r="J581" t="n">
        <v>0</v>
      </c>
      <c r="K581" t="n">
        <v>0</v>
      </c>
      <c r="L581" t="n">
        <v>0</v>
      </c>
      <c r="M581" t="n">
        <v>0</v>
      </c>
      <c r="N581" t="n">
        <v>0</v>
      </c>
      <c r="O581" t="n">
        <v>0</v>
      </c>
      <c r="P581" t="n">
        <v>0</v>
      </c>
      <c r="Q581" t="n">
        <v>0</v>
      </c>
      <c r="R581" s="2" t="inlineStr"/>
    </row>
    <row r="582" ht="15" customHeight="1">
      <c r="A582" t="inlineStr">
        <is>
          <t>A 69595-2021</t>
        </is>
      </c>
      <c r="B582" s="1" t="n">
        <v>44532</v>
      </c>
      <c r="C582" s="1" t="n">
        <v>45719</v>
      </c>
      <c r="D582" t="inlineStr">
        <is>
          <t>UPPSALA LÄN</t>
        </is>
      </c>
      <c r="E582" t="inlineStr">
        <is>
          <t>UPPSALA</t>
        </is>
      </c>
      <c r="G582" t="n">
        <v>3.9</v>
      </c>
      <c r="H582" t="n">
        <v>0</v>
      </c>
      <c r="I582" t="n">
        <v>0</v>
      </c>
      <c r="J582" t="n">
        <v>0</v>
      </c>
      <c r="K582" t="n">
        <v>0</v>
      </c>
      <c r="L582" t="n">
        <v>0</v>
      </c>
      <c r="M582" t="n">
        <v>0</v>
      </c>
      <c r="N582" t="n">
        <v>0</v>
      </c>
      <c r="O582" t="n">
        <v>0</v>
      </c>
      <c r="P582" t="n">
        <v>0</v>
      </c>
      <c r="Q582" t="n">
        <v>0</v>
      </c>
      <c r="R582" s="2" t="inlineStr"/>
    </row>
    <row r="583" ht="15" customHeight="1">
      <c r="A583" t="inlineStr">
        <is>
          <t>A 69698-2021</t>
        </is>
      </c>
      <c r="B583" s="1" t="n">
        <v>44532</v>
      </c>
      <c r="C583" s="1" t="n">
        <v>45719</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69691-2021</t>
        </is>
      </c>
      <c r="B584" s="1" t="n">
        <v>44532</v>
      </c>
      <c r="C584" s="1" t="n">
        <v>45719</v>
      </c>
      <c r="D584" t="inlineStr">
        <is>
          <t>UPPSALA LÄN</t>
        </is>
      </c>
      <c r="E584" t="inlineStr">
        <is>
          <t>UPPSALA</t>
        </is>
      </c>
      <c r="G584" t="n">
        <v>2.3</v>
      </c>
      <c r="H584" t="n">
        <v>0</v>
      </c>
      <c r="I584" t="n">
        <v>0</v>
      </c>
      <c r="J584" t="n">
        <v>0</v>
      </c>
      <c r="K584" t="n">
        <v>0</v>
      </c>
      <c r="L584" t="n">
        <v>0</v>
      </c>
      <c r="M584" t="n">
        <v>0</v>
      </c>
      <c r="N584" t="n">
        <v>0</v>
      </c>
      <c r="O584" t="n">
        <v>0</v>
      </c>
      <c r="P584" t="n">
        <v>0</v>
      </c>
      <c r="Q584" t="n">
        <v>0</v>
      </c>
      <c r="R584" s="2" t="inlineStr"/>
    </row>
    <row r="585" ht="15" customHeight="1">
      <c r="A585" t="inlineStr">
        <is>
          <t>A 70032-2021</t>
        </is>
      </c>
      <c r="B585" s="1" t="n">
        <v>44533</v>
      </c>
      <c r="C585" s="1" t="n">
        <v>45719</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70031-2021</t>
        </is>
      </c>
      <c r="B586" s="1" t="n">
        <v>44533</v>
      </c>
      <c r="C586" s="1" t="n">
        <v>45719</v>
      </c>
      <c r="D586" t="inlineStr">
        <is>
          <t>UPPSALA LÄN</t>
        </is>
      </c>
      <c r="E586" t="inlineStr">
        <is>
          <t>UPPSALA</t>
        </is>
      </c>
      <c r="G586" t="n">
        <v>1.4</v>
      </c>
      <c r="H586" t="n">
        <v>0</v>
      </c>
      <c r="I586" t="n">
        <v>0</v>
      </c>
      <c r="J586" t="n">
        <v>0</v>
      </c>
      <c r="K586" t="n">
        <v>0</v>
      </c>
      <c r="L586" t="n">
        <v>0</v>
      </c>
      <c r="M586" t="n">
        <v>0</v>
      </c>
      <c r="N586" t="n">
        <v>0</v>
      </c>
      <c r="O586" t="n">
        <v>0</v>
      </c>
      <c r="P586" t="n">
        <v>0</v>
      </c>
      <c r="Q586" t="n">
        <v>0</v>
      </c>
      <c r="R586" s="2" t="inlineStr"/>
    </row>
    <row r="587" ht="15" customHeight="1">
      <c r="A587" t="inlineStr">
        <is>
          <t>A 70359-2021</t>
        </is>
      </c>
      <c r="B587" s="1" t="n">
        <v>44535</v>
      </c>
      <c r="C587" s="1" t="n">
        <v>45719</v>
      </c>
      <c r="D587" t="inlineStr">
        <is>
          <t>UPPSALA LÄN</t>
        </is>
      </c>
      <c r="E587" t="inlineStr">
        <is>
          <t>UPPSALA</t>
        </is>
      </c>
      <c r="G587" t="n">
        <v>3</v>
      </c>
      <c r="H587" t="n">
        <v>0</v>
      </c>
      <c r="I587" t="n">
        <v>0</v>
      </c>
      <c r="J587" t="n">
        <v>0</v>
      </c>
      <c r="K587" t="n">
        <v>0</v>
      </c>
      <c r="L587" t="n">
        <v>0</v>
      </c>
      <c r="M587" t="n">
        <v>0</v>
      </c>
      <c r="N587" t="n">
        <v>0</v>
      </c>
      <c r="O587" t="n">
        <v>0</v>
      </c>
      <c r="P587" t="n">
        <v>0</v>
      </c>
      <c r="Q587" t="n">
        <v>0</v>
      </c>
      <c r="R587" s="2" t="inlineStr"/>
    </row>
    <row r="588" ht="15" customHeight="1">
      <c r="A588" t="inlineStr">
        <is>
          <t>A 70228-2021</t>
        </is>
      </c>
      <c r="B588" s="1" t="n">
        <v>44535</v>
      </c>
      <c r="C588" s="1" t="n">
        <v>45719</v>
      </c>
      <c r="D588" t="inlineStr">
        <is>
          <t>UPPSALA LÄN</t>
        </is>
      </c>
      <c r="E588" t="inlineStr">
        <is>
          <t>UPPSALA</t>
        </is>
      </c>
      <c r="G588" t="n">
        <v>1.8</v>
      </c>
      <c r="H588" t="n">
        <v>0</v>
      </c>
      <c r="I588" t="n">
        <v>0</v>
      </c>
      <c r="J588" t="n">
        <v>0</v>
      </c>
      <c r="K588" t="n">
        <v>0</v>
      </c>
      <c r="L588" t="n">
        <v>0</v>
      </c>
      <c r="M588" t="n">
        <v>0</v>
      </c>
      <c r="N588" t="n">
        <v>0</v>
      </c>
      <c r="O588" t="n">
        <v>0</v>
      </c>
      <c r="P588" t="n">
        <v>0</v>
      </c>
      <c r="Q588" t="n">
        <v>0</v>
      </c>
      <c r="R588" s="2" t="inlineStr"/>
    </row>
    <row r="589" ht="15" customHeight="1">
      <c r="A589" t="inlineStr">
        <is>
          <t>A 70996-2021</t>
        </is>
      </c>
      <c r="B589" s="1" t="n">
        <v>44538</v>
      </c>
      <c r="C589" s="1" t="n">
        <v>45719</v>
      </c>
      <c r="D589" t="inlineStr">
        <is>
          <t>UPPSALA LÄN</t>
        </is>
      </c>
      <c r="E589" t="inlineStr">
        <is>
          <t>UPPSALA</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71563-2021</t>
        </is>
      </c>
      <c r="B590" s="1" t="n">
        <v>44540</v>
      </c>
      <c r="C590" s="1" t="n">
        <v>45719</v>
      </c>
      <c r="D590" t="inlineStr">
        <is>
          <t>UPPSALA LÄN</t>
        </is>
      </c>
      <c r="E590" t="inlineStr">
        <is>
          <t>UPPSALA</t>
        </is>
      </c>
      <c r="F590" t="inlineStr">
        <is>
          <t>Allmännings- och besparingsskogar</t>
        </is>
      </c>
      <c r="G590" t="n">
        <v>7.7</v>
      </c>
      <c r="H590" t="n">
        <v>0</v>
      </c>
      <c r="I590" t="n">
        <v>0</v>
      </c>
      <c r="J590" t="n">
        <v>0</v>
      </c>
      <c r="K590" t="n">
        <v>0</v>
      </c>
      <c r="L590" t="n">
        <v>0</v>
      </c>
      <c r="M590" t="n">
        <v>0</v>
      </c>
      <c r="N590" t="n">
        <v>0</v>
      </c>
      <c r="O590" t="n">
        <v>0</v>
      </c>
      <c r="P590" t="n">
        <v>0</v>
      </c>
      <c r="Q590" t="n">
        <v>0</v>
      </c>
      <c r="R590" s="2" t="inlineStr"/>
    </row>
    <row r="591" ht="15" customHeight="1">
      <c r="A591" t="inlineStr">
        <is>
          <t>A 71675-2021</t>
        </is>
      </c>
      <c r="B591" s="1" t="n">
        <v>44543</v>
      </c>
      <c r="C591" s="1" t="n">
        <v>45719</v>
      </c>
      <c r="D591" t="inlineStr">
        <is>
          <t>UPPSALA LÄN</t>
        </is>
      </c>
      <c r="E591" t="inlineStr">
        <is>
          <t>UPPSALA</t>
        </is>
      </c>
      <c r="F591" t="inlineStr">
        <is>
          <t>Bergvik skog öst AB</t>
        </is>
      </c>
      <c r="G591" t="n">
        <v>1.4</v>
      </c>
      <c r="H591" t="n">
        <v>0</v>
      </c>
      <c r="I591" t="n">
        <v>0</v>
      </c>
      <c r="J591" t="n">
        <v>0</v>
      </c>
      <c r="K591" t="n">
        <v>0</v>
      </c>
      <c r="L591" t="n">
        <v>0</v>
      </c>
      <c r="M591" t="n">
        <v>0</v>
      </c>
      <c r="N591" t="n">
        <v>0</v>
      </c>
      <c r="O591" t="n">
        <v>0</v>
      </c>
      <c r="P591" t="n">
        <v>0</v>
      </c>
      <c r="Q591" t="n">
        <v>0</v>
      </c>
      <c r="R591" s="2" t="inlineStr"/>
    </row>
    <row r="592" ht="15" customHeight="1">
      <c r="A592" t="inlineStr">
        <is>
          <t>A 71643-2021</t>
        </is>
      </c>
      <c r="B592" s="1" t="n">
        <v>44543</v>
      </c>
      <c r="C592" s="1" t="n">
        <v>45719</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71671-2021</t>
        </is>
      </c>
      <c r="B593" s="1" t="n">
        <v>44543</v>
      </c>
      <c r="C593" s="1" t="n">
        <v>45719</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72225-2021</t>
        </is>
      </c>
      <c r="B594" s="1" t="n">
        <v>44544</v>
      </c>
      <c r="C594" s="1" t="n">
        <v>45719</v>
      </c>
      <c r="D594" t="inlineStr">
        <is>
          <t>UPPSALA LÄN</t>
        </is>
      </c>
      <c r="E594" t="inlineStr">
        <is>
          <t>UPPSALA</t>
        </is>
      </c>
      <c r="G594" t="n">
        <v>6.2</v>
      </c>
      <c r="H594" t="n">
        <v>0</v>
      </c>
      <c r="I594" t="n">
        <v>0</v>
      </c>
      <c r="J594" t="n">
        <v>0</v>
      </c>
      <c r="K594" t="n">
        <v>0</v>
      </c>
      <c r="L594" t="n">
        <v>0</v>
      </c>
      <c r="M594" t="n">
        <v>0</v>
      </c>
      <c r="N594" t="n">
        <v>0</v>
      </c>
      <c r="O594" t="n">
        <v>0</v>
      </c>
      <c r="P594" t="n">
        <v>0</v>
      </c>
      <c r="Q594" t="n">
        <v>0</v>
      </c>
      <c r="R594" s="2" t="inlineStr"/>
    </row>
    <row r="595" ht="15" customHeight="1">
      <c r="A595" t="inlineStr">
        <is>
          <t>A 72224-2021</t>
        </is>
      </c>
      <c r="B595" s="1" t="n">
        <v>44544</v>
      </c>
      <c r="C595" s="1" t="n">
        <v>45719</v>
      </c>
      <c r="D595" t="inlineStr">
        <is>
          <t>UPPSALA LÄN</t>
        </is>
      </c>
      <c r="E595" t="inlineStr">
        <is>
          <t>UPPSALA</t>
        </is>
      </c>
      <c r="G595" t="n">
        <v>2.5</v>
      </c>
      <c r="H595" t="n">
        <v>0</v>
      </c>
      <c r="I595" t="n">
        <v>0</v>
      </c>
      <c r="J595" t="n">
        <v>0</v>
      </c>
      <c r="K595" t="n">
        <v>0</v>
      </c>
      <c r="L595" t="n">
        <v>0</v>
      </c>
      <c r="M595" t="n">
        <v>0</v>
      </c>
      <c r="N595" t="n">
        <v>0</v>
      </c>
      <c r="O595" t="n">
        <v>0</v>
      </c>
      <c r="P595" t="n">
        <v>0</v>
      </c>
      <c r="Q595" t="n">
        <v>0</v>
      </c>
      <c r="R595" s="2" t="inlineStr"/>
    </row>
    <row r="596" ht="15" customHeight="1">
      <c r="A596" t="inlineStr">
        <is>
          <t>A 72973-2021</t>
        </is>
      </c>
      <c r="B596" s="1" t="n">
        <v>44548</v>
      </c>
      <c r="C596" s="1" t="n">
        <v>45719</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73326-2021</t>
        </is>
      </c>
      <c r="B597" s="1" t="n">
        <v>44548</v>
      </c>
      <c r="C597" s="1" t="n">
        <v>45719</v>
      </c>
      <c r="D597" t="inlineStr">
        <is>
          <t>UPPSALA LÄN</t>
        </is>
      </c>
      <c r="E597" t="inlineStr">
        <is>
          <t>UPPSALA</t>
        </is>
      </c>
      <c r="G597" t="n">
        <v>4</v>
      </c>
      <c r="H597" t="n">
        <v>0</v>
      </c>
      <c r="I597" t="n">
        <v>0</v>
      </c>
      <c r="J597" t="n">
        <v>0</v>
      </c>
      <c r="K597" t="n">
        <v>0</v>
      </c>
      <c r="L597" t="n">
        <v>0</v>
      </c>
      <c r="M597" t="n">
        <v>0</v>
      </c>
      <c r="N597" t="n">
        <v>0</v>
      </c>
      <c r="O597" t="n">
        <v>0</v>
      </c>
      <c r="P597" t="n">
        <v>0</v>
      </c>
      <c r="Q597" t="n">
        <v>0</v>
      </c>
      <c r="R597" s="2" t="inlineStr"/>
    </row>
    <row r="598" ht="15" customHeight="1">
      <c r="A598" t="inlineStr">
        <is>
          <t>A 73044-2021</t>
        </is>
      </c>
      <c r="B598" s="1" t="n">
        <v>44550</v>
      </c>
      <c r="C598" s="1" t="n">
        <v>45719</v>
      </c>
      <c r="D598" t="inlineStr">
        <is>
          <t>UPPSALA LÄN</t>
        </is>
      </c>
      <c r="E598" t="inlineStr">
        <is>
          <t>UPPSALA</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73468-2021</t>
        </is>
      </c>
      <c r="B599" s="1" t="n">
        <v>44551</v>
      </c>
      <c r="C599" s="1" t="n">
        <v>45719</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73518-2021</t>
        </is>
      </c>
      <c r="B600" s="1" t="n">
        <v>44551</v>
      </c>
      <c r="C600" s="1" t="n">
        <v>45719</v>
      </c>
      <c r="D600" t="inlineStr">
        <is>
          <t>UPPSALA LÄN</t>
        </is>
      </c>
      <c r="E600" t="inlineStr">
        <is>
          <t>UPPSALA</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73531-2021</t>
        </is>
      </c>
      <c r="B601" s="1" t="n">
        <v>44551</v>
      </c>
      <c r="C601" s="1" t="n">
        <v>45719</v>
      </c>
      <c r="D601" t="inlineStr">
        <is>
          <t>UPPSALA LÄN</t>
        </is>
      </c>
      <c r="E601" t="inlineStr">
        <is>
          <t>UPPSALA</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74019-2021</t>
        </is>
      </c>
      <c r="B602" s="1" t="n">
        <v>44553</v>
      </c>
      <c r="C602" s="1" t="n">
        <v>45719</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74023-2021</t>
        </is>
      </c>
      <c r="B603" s="1" t="n">
        <v>44553</v>
      </c>
      <c r="C603" s="1" t="n">
        <v>45719</v>
      </c>
      <c r="D603" t="inlineStr">
        <is>
          <t>UPPSALA LÄN</t>
        </is>
      </c>
      <c r="E603" t="inlineStr">
        <is>
          <t>UPPSALA</t>
        </is>
      </c>
      <c r="G603" t="n">
        <v>5.4</v>
      </c>
      <c r="H603" t="n">
        <v>0</v>
      </c>
      <c r="I603" t="n">
        <v>0</v>
      </c>
      <c r="J603" t="n">
        <v>0</v>
      </c>
      <c r="K603" t="n">
        <v>0</v>
      </c>
      <c r="L603" t="n">
        <v>0</v>
      </c>
      <c r="M603" t="n">
        <v>0</v>
      </c>
      <c r="N603" t="n">
        <v>0</v>
      </c>
      <c r="O603" t="n">
        <v>0</v>
      </c>
      <c r="P603" t="n">
        <v>0</v>
      </c>
      <c r="Q603" t="n">
        <v>0</v>
      </c>
      <c r="R603" s="2" t="inlineStr"/>
    </row>
    <row r="604" ht="15" customHeight="1">
      <c r="A604" t="inlineStr">
        <is>
          <t>A 74493-2021</t>
        </is>
      </c>
      <c r="B604" s="1" t="n">
        <v>44560</v>
      </c>
      <c r="C604" s="1" t="n">
        <v>45719</v>
      </c>
      <c r="D604" t="inlineStr">
        <is>
          <t>UPPSALA LÄN</t>
        </is>
      </c>
      <c r="E604" t="inlineStr">
        <is>
          <t>UPPSALA</t>
        </is>
      </c>
      <c r="G604" t="n">
        <v>1.2</v>
      </c>
      <c r="H604" t="n">
        <v>0</v>
      </c>
      <c r="I604" t="n">
        <v>0</v>
      </c>
      <c r="J604" t="n">
        <v>0</v>
      </c>
      <c r="K604" t="n">
        <v>0</v>
      </c>
      <c r="L604" t="n">
        <v>0</v>
      </c>
      <c r="M604" t="n">
        <v>0</v>
      </c>
      <c r="N604" t="n">
        <v>0</v>
      </c>
      <c r="O604" t="n">
        <v>0</v>
      </c>
      <c r="P604" t="n">
        <v>0</v>
      </c>
      <c r="Q604" t="n">
        <v>0</v>
      </c>
      <c r="R604" s="2" t="inlineStr"/>
    </row>
    <row r="605" ht="15" customHeight="1">
      <c r="A605" t="inlineStr">
        <is>
          <t>A 74495-2021</t>
        </is>
      </c>
      <c r="B605" s="1" t="n">
        <v>44560</v>
      </c>
      <c r="C605" s="1" t="n">
        <v>45719</v>
      </c>
      <c r="D605" t="inlineStr">
        <is>
          <t>UPPSALA LÄN</t>
        </is>
      </c>
      <c r="E605" t="inlineStr">
        <is>
          <t>UPPSALA</t>
        </is>
      </c>
      <c r="G605" t="n">
        <v>1.9</v>
      </c>
      <c r="H605" t="n">
        <v>0</v>
      </c>
      <c r="I605" t="n">
        <v>0</v>
      </c>
      <c r="J605" t="n">
        <v>0</v>
      </c>
      <c r="K605" t="n">
        <v>0</v>
      </c>
      <c r="L605" t="n">
        <v>0</v>
      </c>
      <c r="M605" t="n">
        <v>0</v>
      </c>
      <c r="N605" t="n">
        <v>0</v>
      </c>
      <c r="O605" t="n">
        <v>0</v>
      </c>
      <c r="P605" t="n">
        <v>0</v>
      </c>
      <c r="Q605" t="n">
        <v>0</v>
      </c>
      <c r="R605" s="2" t="inlineStr"/>
    </row>
    <row r="606" ht="15" customHeight="1">
      <c r="A606" t="inlineStr">
        <is>
          <t>A 612-2022</t>
        </is>
      </c>
      <c r="B606" s="1" t="n">
        <v>44567</v>
      </c>
      <c r="C606" s="1" t="n">
        <v>45719</v>
      </c>
      <c r="D606" t="inlineStr">
        <is>
          <t>UPPSALA LÄN</t>
        </is>
      </c>
      <c r="E606" t="inlineStr">
        <is>
          <t>UPPSALA</t>
        </is>
      </c>
      <c r="F606" t="inlineStr">
        <is>
          <t>Holmen skog AB</t>
        </is>
      </c>
      <c r="G606" t="n">
        <v>6.6</v>
      </c>
      <c r="H606" t="n">
        <v>0</v>
      </c>
      <c r="I606" t="n">
        <v>0</v>
      </c>
      <c r="J606" t="n">
        <v>0</v>
      </c>
      <c r="K606" t="n">
        <v>0</v>
      </c>
      <c r="L606" t="n">
        <v>0</v>
      </c>
      <c r="M606" t="n">
        <v>0</v>
      </c>
      <c r="N606" t="n">
        <v>0</v>
      </c>
      <c r="O606" t="n">
        <v>0</v>
      </c>
      <c r="P606" t="n">
        <v>0</v>
      </c>
      <c r="Q606" t="n">
        <v>0</v>
      </c>
      <c r="R606" s="2" t="inlineStr"/>
    </row>
    <row r="607" ht="15" customHeight="1">
      <c r="A607" t="inlineStr">
        <is>
          <t>A 733-2022</t>
        </is>
      </c>
      <c r="B607" s="1" t="n">
        <v>44568</v>
      </c>
      <c r="C607" s="1" t="n">
        <v>45719</v>
      </c>
      <c r="D607" t="inlineStr">
        <is>
          <t>UPPSALA LÄN</t>
        </is>
      </c>
      <c r="E607" t="inlineStr">
        <is>
          <t>UPPSALA</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752-2022</t>
        </is>
      </c>
      <c r="B608" s="1" t="n">
        <v>44569</v>
      </c>
      <c r="C608" s="1" t="n">
        <v>45719</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750-2022</t>
        </is>
      </c>
      <c r="B609" s="1" t="n">
        <v>44569</v>
      </c>
      <c r="C609" s="1" t="n">
        <v>45719</v>
      </c>
      <c r="D609" t="inlineStr">
        <is>
          <t>UPPSALA LÄN</t>
        </is>
      </c>
      <c r="E609" t="inlineStr">
        <is>
          <t>UPPSALA</t>
        </is>
      </c>
      <c r="F609" t="inlineStr">
        <is>
          <t>Holmen skog AB</t>
        </is>
      </c>
      <c r="G609" t="n">
        <v>6</v>
      </c>
      <c r="H609" t="n">
        <v>0</v>
      </c>
      <c r="I609" t="n">
        <v>0</v>
      </c>
      <c r="J609" t="n">
        <v>0</v>
      </c>
      <c r="K609" t="n">
        <v>0</v>
      </c>
      <c r="L609" t="n">
        <v>0</v>
      </c>
      <c r="M609" t="n">
        <v>0</v>
      </c>
      <c r="N609" t="n">
        <v>0</v>
      </c>
      <c r="O609" t="n">
        <v>0</v>
      </c>
      <c r="P609" t="n">
        <v>0</v>
      </c>
      <c r="Q609" t="n">
        <v>0</v>
      </c>
      <c r="R609" s="2" t="inlineStr"/>
    </row>
    <row r="610" ht="15" customHeight="1">
      <c r="A610" t="inlineStr">
        <is>
          <t>A 759-2022</t>
        </is>
      </c>
      <c r="B610" s="1" t="n">
        <v>44569</v>
      </c>
      <c r="C610" s="1" t="n">
        <v>45719</v>
      </c>
      <c r="D610" t="inlineStr">
        <is>
          <t>UPPSALA LÄN</t>
        </is>
      </c>
      <c r="E610" t="inlineStr">
        <is>
          <t>UPPSALA</t>
        </is>
      </c>
      <c r="F610" t="inlineStr">
        <is>
          <t>Holmen skog AB</t>
        </is>
      </c>
      <c r="G610" t="n">
        <v>3.6</v>
      </c>
      <c r="H610" t="n">
        <v>0</v>
      </c>
      <c r="I610" t="n">
        <v>0</v>
      </c>
      <c r="J610" t="n">
        <v>0</v>
      </c>
      <c r="K610" t="n">
        <v>0</v>
      </c>
      <c r="L610" t="n">
        <v>0</v>
      </c>
      <c r="M610" t="n">
        <v>0</v>
      </c>
      <c r="N610" t="n">
        <v>0</v>
      </c>
      <c r="O610" t="n">
        <v>0</v>
      </c>
      <c r="P610" t="n">
        <v>0</v>
      </c>
      <c r="Q610" t="n">
        <v>0</v>
      </c>
      <c r="R610" s="2" t="inlineStr"/>
    </row>
    <row r="611" ht="15" customHeight="1">
      <c r="A611" t="inlineStr">
        <is>
          <t>A 758-2022</t>
        </is>
      </c>
      <c r="B611" s="1" t="n">
        <v>44569</v>
      </c>
      <c r="C611" s="1" t="n">
        <v>45719</v>
      </c>
      <c r="D611" t="inlineStr">
        <is>
          <t>UPPSALA LÄN</t>
        </is>
      </c>
      <c r="E611" t="inlineStr">
        <is>
          <t>UPPSALA</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917-2022</t>
        </is>
      </c>
      <c r="B612" s="1" t="n">
        <v>44571</v>
      </c>
      <c r="C612" s="1" t="n">
        <v>45719</v>
      </c>
      <c r="D612" t="inlineStr">
        <is>
          <t>UPPSALA LÄN</t>
        </is>
      </c>
      <c r="E612" t="inlineStr">
        <is>
          <t>UPPSALA</t>
        </is>
      </c>
      <c r="F612" t="inlineStr">
        <is>
          <t>Bergvik skog öst AB</t>
        </is>
      </c>
      <c r="G612" t="n">
        <v>4.1</v>
      </c>
      <c r="H612" t="n">
        <v>0</v>
      </c>
      <c r="I612" t="n">
        <v>0</v>
      </c>
      <c r="J612" t="n">
        <v>0</v>
      </c>
      <c r="K612" t="n">
        <v>0</v>
      </c>
      <c r="L612" t="n">
        <v>0</v>
      </c>
      <c r="M612" t="n">
        <v>0</v>
      </c>
      <c r="N612" t="n">
        <v>0</v>
      </c>
      <c r="O612" t="n">
        <v>0</v>
      </c>
      <c r="P612" t="n">
        <v>0</v>
      </c>
      <c r="Q612" t="n">
        <v>0</v>
      </c>
      <c r="R612" s="2" t="inlineStr"/>
    </row>
    <row r="613" ht="15" customHeight="1">
      <c r="A613" t="inlineStr">
        <is>
          <t>A 874-2022</t>
        </is>
      </c>
      <c r="B613" s="1" t="n">
        <v>44571</v>
      </c>
      <c r="C613" s="1" t="n">
        <v>45719</v>
      </c>
      <c r="D613" t="inlineStr">
        <is>
          <t>UPPSALA LÄN</t>
        </is>
      </c>
      <c r="E613" t="inlineStr">
        <is>
          <t>UPPSALA</t>
        </is>
      </c>
      <c r="G613" t="n">
        <v>7.2</v>
      </c>
      <c r="H613" t="n">
        <v>0</v>
      </c>
      <c r="I613" t="n">
        <v>0</v>
      </c>
      <c r="J613" t="n">
        <v>0</v>
      </c>
      <c r="K613" t="n">
        <v>0</v>
      </c>
      <c r="L613" t="n">
        <v>0</v>
      </c>
      <c r="M613" t="n">
        <v>0</v>
      </c>
      <c r="N613" t="n">
        <v>0</v>
      </c>
      <c r="O613" t="n">
        <v>0</v>
      </c>
      <c r="P613" t="n">
        <v>0</v>
      </c>
      <c r="Q613" t="n">
        <v>0</v>
      </c>
      <c r="R613" s="2" t="inlineStr"/>
    </row>
    <row r="614" ht="15" customHeight="1">
      <c r="A614" t="inlineStr">
        <is>
          <t>A 1037-2022</t>
        </is>
      </c>
      <c r="B614" s="1" t="n">
        <v>44571</v>
      </c>
      <c r="C614" s="1" t="n">
        <v>45719</v>
      </c>
      <c r="D614" t="inlineStr">
        <is>
          <t>UPPSALA LÄN</t>
        </is>
      </c>
      <c r="E614" t="inlineStr">
        <is>
          <t>UPPSALA</t>
        </is>
      </c>
      <c r="F614" t="inlineStr">
        <is>
          <t>Holmen skog AB</t>
        </is>
      </c>
      <c r="G614" t="n">
        <v>2.7</v>
      </c>
      <c r="H614" t="n">
        <v>0</v>
      </c>
      <c r="I614" t="n">
        <v>0</v>
      </c>
      <c r="J614" t="n">
        <v>0</v>
      </c>
      <c r="K614" t="n">
        <v>0</v>
      </c>
      <c r="L614" t="n">
        <v>0</v>
      </c>
      <c r="M614" t="n">
        <v>0</v>
      </c>
      <c r="N614" t="n">
        <v>0</v>
      </c>
      <c r="O614" t="n">
        <v>0</v>
      </c>
      <c r="P614" t="n">
        <v>0</v>
      </c>
      <c r="Q614" t="n">
        <v>0</v>
      </c>
      <c r="R614" s="2" t="inlineStr"/>
    </row>
    <row r="615" ht="15" customHeight="1">
      <c r="A615" t="inlineStr">
        <is>
          <t>A 1148-2022</t>
        </is>
      </c>
      <c r="B615" s="1" t="n">
        <v>44572</v>
      </c>
      <c r="C615" s="1" t="n">
        <v>45719</v>
      </c>
      <c r="D615" t="inlineStr">
        <is>
          <t>UPPSALA LÄN</t>
        </is>
      </c>
      <c r="E615" t="inlineStr">
        <is>
          <t>UPPSALA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1298-2022</t>
        </is>
      </c>
      <c r="B616" s="1" t="n">
        <v>44572</v>
      </c>
      <c r="C616" s="1" t="n">
        <v>45719</v>
      </c>
      <c r="D616" t="inlineStr">
        <is>
          <t>UPPSALA LÄN</t>
        </is>
      </c>
      <c r="E616" t="inlineStr">
        <is>
          <t>UPPSALA</t>
        </is>
      </c>
      <c r="F616" t="inlineStr">
        <is>
          <t>Holmen skog AB</t>
        </is>
      </c>
      <c r="G616" t="n">
        <v>5.3</v>
      </c>
      <c r="H616" t="n">
        <v>0</v>
      </c>
      <c r="I616" t="n">
        <v>0</v>
      </c>
      <c r="J616" t="n">
        <v>0</v>
      </c>
      <c r="K616" t="n">
        <v>0</v>
      </c>
      <c r="L616" t="n">
        <v>0</v>
      </c>
      <c r="M616" t="n">
        <v>0</v>
      </c>
      <c r="N616" t="n">
        <v>0</v>
      </c>
      <c r="O616" t="n">
        <v>0</v>
      </c>
      <c r="P616" t="n">
        <v>0</v>
      </c>
      <c r="Q616" t="n">
        <v>0</v>
      </c>
      <c r="R616" s="2" t="inlineStr"/>
    </row>
    <row r="617" ht="15" customHeight="1">
      <c r="A617" t="inlineStr">
        <is>
          <t>A 1731-2022</t>
        </is>
      </c>
      <c r="B617" s="1" t="n">
        <v>44574</v>
      </c>
      <c r="C617" s="1" t="n">
        <v>45719</v>
      </c>
      <c r="D617" t="inlineStr">
        <is>
          <t>UPPSALA LÄN</t>
        </is>
      </c>
      <c r="E617" t="inlineStr">
        <is>
          <t>UPPSALA</t>
        </is>
      </c>
      <c r="G617" t="n">
        <v>10.1</v>
      </c>
      <c r="H617" t="n">
        <v>0</v>
      </c>
      <c r="I617" t="n">
        <v>0</v>
      </c>
      <c r="J617" t="n">
        <v>0</v>
      </c>
      <c r="K617" t="n">
        <v>0</v>
      </c>
      <c r="L617" t="n">
        <v>0</v>
      </c>
      <c r="M617" t="n">
        <v>0</v>
      </c>
      <c r="N617" t="n">
        <v>0</v>
      </c>
      <c r="O617" t="n">
        <v>0</v>
      </c>
      <c r="P617" t="n">
        <v>0</v>
      </c>
      <c r="Q617" t="n">
        <v>0</v>
      </c>
      <c r="R617" s="2" t="inlineStr"/>
    </row>
    <row r="618" ht="15" customHeight="1">
      <c r="A618" t="inlineStr">
        <is>
          <t>A 1963-2022</t>
        </is>
      </c>
      <c r="B618" s="1" t="n">
        <v>44575</v>
      </c>
      <c r="C618" s="1" t="n">
        <v>45719</v>
      </c>
      <c r="D618" t="inlineStr">
        <is>
          <t>UPPSALA LÄN</t>
        </is>
      </c>
      <c r="E618" t="inlineStr">
        <is>
          <t>UPPSALA</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1975-2022</t>
        </is>
      </c>
      <c r="B619" s="1" t="n">
        <v>44575</v>
      </c>
      <c r="C619" s="1" t="n">
        <v>45719</v>
      </c>
      <c r="D619" t="inlineStr">
        <is>
          <t>UPPSALA LÄN</t>
        </is>
      </c>
      <c r="E619" t="inlineStr">
        <is>
          <t>UPPSALA</t>
        </is>
      </c>
      <c r="G619" t="n">
        <v>3.9</v>
      </c>
      <c r="H619" t="n">
        <v>0</v>
      </c>
      <c r="I619" t="n">
        <v>0</v>
      </c>
      <c r="J619" t="n">
        <v>0</v>
      </c>
      <c r="K619" t="n">
        <v>0</v>
      </c>
      <c r="L619" t="n">
        <v>0</v>
      </c>
      <c r="M619" t="n">
        <v>0</v>
      </c>
      <c r="N619" t="n">
        <v>0</v>
      </c>
      <c r="O619" t="n">
        <v>0</v>
      </c>
      <c r="P619" t="n">
        <v>0</v>
      </c>
      <c r="Q619" t="n">
        <v>0</v>
      </c>
      <c r="R619" s="2" t="inlineStr"/>
    </row>
    <row r="620" ht="15" customHeight="1">
      <c r="A620" t="inlineStr">
        <is>
          <t>A 1936-2022</t>
        </is>
      </c>
      <c r="B620" s="1" t="n">
        <v>44575</v>
      </c>
      <c r="C620" s="1" t="n">
        <v>45719</v>
      </c>
      <c r="D620" t="inlineStr">
        <is>
          <t>UPPSALA LÄN</t>
        </is>
      </c>
      <c r="E620" t="inlineStr">
        <is>
          <t>UPPSALA</t>
        </is>
      </c>
      <c r="F620" t="inlineStr">
        <is>
          <t>Bergvik skog öst AB</t>
        </is>
      </c>
      <c r="G620" t="n">
        <v>0.8</v>
      </c>
      <c r="H620" t="n">
        <v>0</v>
      </c>
      <c r="I620" t="n">
        <v>0</v>
      </c>
      <c r="J620" t="n">
        <v>0</v>
      </c>
      <c r="K620" t="n">
        <v>0</v>
      </c>
      <c r="L620" t="n">
        <v>0</v>
      </c>
      <c r="M620" t="n">
        <v>0</v>
      </c>
      <c r="N620" t="n">
        <v>0</v>
      </c>
      <c r="O620" t="n">
        <v>0</v>
      </c>
      <c r="P620" t="n">
        <v>0</v>
      </c>
      <c r="Q620" t="n">
        <v>0</v>
      </c>
      <c r="R620" s="2" t="inlineStr"/>
    </row>
    <row r="621" ht="15" customHeight="1">
      <c r="A621" t="inlineStr">
        <is>
          <t>A 1978-2022</t>
        </is>
      </c>
      <c r="B621" s="1" t="n">
        <v>44575</v>
      </c>
      <c r="C621" s="1" t="n">
        <v>45719</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2017-2022</t>
        </is>
      </c>
      <c r="B622" s="1" t="n">
        <v>44575</v>
      </c>
      <c r="C622" s="1" t="n">
        <v>45719</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2228-2022</t>
        </is>
      </c>
      <c r="B623" s="1" t="n">
        <v>44578</v>
      </c>
      <c r="C623" s="1" t="n">
        <v>45719</v>
      </c>
      <c r="D623" t="inlineStr">
        <is>
          <t>UPPSALA LÄN</t>
        </is>
      </c>
      <c r="E623" t="inlineStr">
        <is>
          <t>UPPSALA</t>
        </is>
      </c>
      <c r="F623" t="inlineStr">
        <is>
          <t>Bergvik skog öst AB</t>
        </is>
      </c>
      <c r="G623" t="n">
        <v>3.9</v>
      </c>
      <c r="H623" t="n">
        <v>0</v>
      </c>
      <c r="I623" t="n">
        <v>0</v>
      </c>
      <c r="J623" t="n">
        <v>0</v>
      </c>
      <c r="K623" t="n">
        <v>0</v>
      </c>
      <c r="L623" t="n">
        <v>0</v>
      </c>
      <c r="M623" t="n">
        <v>0</v>
      </c>
      <c r="N623" t="n">
        <v>0</v>
      </c>
      <c r="O623" t="n">
        <v>0</v>
      </c>
      <c r="P623" t="n">
        <v>0</v>
      </c>
      <c r="Q623" t="n">
        <v>0</v>
      </c>
      <c r="R623" s="2" t="inlineStr"/>
    </row>
    <row r="624" ht="15" customHeight="1">
      <c r="A624" t="inlineStr">
        <is>
          <t>A 2927-2022</t>
        </is>
      </c>
      <c r="B624" s="1" t="n">
        <v>44581</v>
      </c>
      <c r="C624" s="1" t="n">
        <v>45719</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3259-2022</t>
        </is>
      </c>
      <c r="B625" s="1" t="n">
        <v>44583</v>
      </c>
      <c r="C625" s="1" t="n">
        <v>45719</v>
      </c>
      <c r="D625" t="inlineStr">
        <is>
          <t>UPPSALA LÄN</t>
        </is>
      </c>
      <c r="E625" t="inlineStr">
        <is>
          <t>UPPSALA</t>
        </is>
      </c>
      <c r="F625" t="inlineStr">
        <is>
          <t>Holmen skog AB</t>
        </is>
      </c>
      <c r="G625" t="n">
        <v>2.4</v>
      </c>
      <c r="H625" t="n">
        <v>0</v>
      </c>
      <c r="I625" t="n">
        <v>0</v>
      </c>
      <c r="J625" t="n">
        <v>0</v>
      </c>
      <c r="K625" t="n">
        <v>0</v>
      </c>
      <c r="L625" t="n">
        <v>0</v>
      </c>
      <c r="M625" t="n">
        <v>0</v>
      </c>
      <c r="N625" t="n">
        <v>0</v>
      </c>
      <c r="O625" t="n">
        <v>0</v>
      </c>
      <c r="P625" t="n">
        <v>0</v>
      </c>
      <c r="Q625" t="n">
        <v>0</v>
      </c>
      <c r="R625" s="2" t="inlineStr"/>
    </row>
    <row r="626" ht="15" customHeight="1">
      <c r="A626" t="inlineStr">
        <is>
          <t>A 3261-2022</t>
        </is>
      </c>
      <c r="B626" s="1" t="n">
        <v>44583</v>
      </c>
      <c r="C626" s="1" t="n">
        <v>45719</v>
      </c>
      <c r="D626" t="inlineStr">
        <is>
          <t>UPPSALA LÄN</t>
        </is>
      </c>
      <c r="E626" t="inlineStr">
        <is>
          <t>UPPSALA</t>
        </is>
      </c>
      <c r="F626" t="inlineStr">
        <is>
          <t>Holmen skog AB</t>
        </is>
      </c>
      <c r="G626" t="n">
        <v>1.3</v>
      </c>
      <c r="H626" t="n">
        <v>0</v>
      </c>
      <c r="I626" t="n">
        <v>0</v>
      </c>
      <c r="J626" t="n">
        <v>0</v>
      </c>
      <c r="K626" t="n">
        <v>0</v>
      </c>
      <c r="L626" t="n">
        <v>0</v>
      </c>
      <c r="M626" t="n">
        <v>0</v>
      </c>
      <c r="N626" t="n">
        <v>0</v>
      </c>
      <c r="O626" t="n">
        <v>0</v>
      </c>
      <c r="P626" t="n">
        <v>0</v>
      </c>
      <c r="Q626" t="n">
        <v>0</v>
      </c>
      <c r="R626" s="2" t="inlineStr"/>
    </row>
    <row r="627" ht="15" customHeight="1">
      <c r="A627" t="inlineStr">
        <is>
          <t>A 3252-2022</t>
        </is>
      </c>
      <c r="B627" s="1" t="n">
        <v>44583</v>
      </c>
      <c r="C627" s="1" t="n">
        <v>45719</v>
      </c>
      <c r="D627" t="inlineStr">
        <is>
          <t>UPPSALA LÄN</t>
        </is>
      </c>
      <c r="E627" t="inlineStr">
        <is>
          <t>UPPSALA</t>
        </is>
      </c>
      <c r="F627" t="inlineStr">
        <is>
          <t>Holmen skog AB</t>
        </is>
      </c>
      <c r="G627" t="n">
        <v>3.7</v>
      </c>
      <c r="H627" t="n">
        <v>0</v>
      </c>
      <c r="I627" t="n">
        <v>0</v>
      </c>
      <c r="J627" t="n">
        <v>0</v>
      </c>
      <c r="K627" t="n">
        <v>0</v>
      </c>
      <c r="L627" t="n">
        <v>0</v>
      </c>
      <c r="M627" t="n">
        <v>0</v>
      </c>
      <c r="N627" t="n">
        <v>0</v>
      </c>
      <c r="O627" t="n">
        <v>0</v>
      </c>
      <c r="P627" t="n">
        <v>0</v>
      </c>
      <c r="Q627" t="n">
        <v>0</v>
      </c>
      <c r="R627" s="2" t="inlineStr"/>
    </row>
    <row r="628" ht="15" customHeight="1">
      <c r="A628" t="inlineStr">
        <is>
          <t>A 3258-2022</t>
        </is>
      </c>
      <c r="B628" s="1" t="n">
        <v>44583</v>
      </c>
      <c r="C628" s="1" t="n">
        <v>45719</v>
      </c>
      <c r="D628" t="inlineStr">
        <is>
          <t>UPPSALA LÄN</t>
        </is>
      </c>
      <c r="E628" t="inlineStr">
        <is>
          <t>UPPSALA</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3262-2022</t>
        </is>
      </c>
      <c r="B629" s="1" t="n">
        <v>44583</v>
      </c>
      <c r="C629" s="1" t="n">
        <v>45719</v>
      </c>
      <c r="D629" t="inlineStr">
        <is>
          <t>UPPSALA LÄN</t>
        </is>
      </c>
      <c r="E629" t="inlineStr">
        <is>
          <t>UPPSALA</t>
        </is>
      </c>
      <c r="F629" t="inlineStr">
        <is>
          <t>Holmen skog AB</t>
        </is>
      </c>
      <c r="G629" t="n">
        <v>5.4</v>
      </c>
      <c r="H629" t="n">
        <v>0</v>
      </c>
      <c r="I629" t="n">
        <v>0</v>
      </c>
      <c r="J629" t="n">
        <v>0</v>
      </c>
      <c r="K629" t="n">
        <v>0</v>
      </c>
      <c r="L629" t="n">
        <v>0</v>
      </c>
      <c r="M629" t="n">
        <v>0</v>
      </c>
      <c r="N629" t="n">
        <v>0</v>
      </c>
      <c r="O629" t="n">
        <v>0</v>
      </c>
      <c r="P629" t="n">
        <v>0</v>
      </c>
      <c r="Q629" t="n">
        <v>0</v>
      </c>
      <c r="R629" s="2" t="inlineStr"/>
    </row>
    <row r="630" ht="15" customHeight="1">
      <c r="A630" t="inlineStr">
        <is>
          <t>A 3255-2022</t>
        </is>
      </c>
      <c r="B630" s="1" t="n">
        <v>44583</v>
      </c>
      <c r="C630" s="1" t="n">
        <v>45719</v>
      </c>
      <c r="D630" t="inlineStr">
        <is>
          <t>UPPSALA LÄN</t>
        </is>
      </c>
      <c r="E630" t="inlineStr">
        <is>
          <t>UPPSALA</t>
        </is>
      </c>
      <c r="F630" t="inlineStr">
        <is>
          <t>Holmen skog AB</t>
        </is>
      </c>
      <c r="G630" t="n">
        <v>5.6</v>
      </c>
      <c r="H630" t="n">
        <v>0</v>
      </c>
      <c r="I630" t="n">
        <v>0</v>
      </c>
      <c r="J630" t="n">
        <v>0</v>
      </c>
      <c r="K630" t="n">
        <v>0</v>
      </c>
      <c r="L630" t="n">
        <v>0</v>
      </c>
      <c r="M630" t="n">
        <v>0</v>
      </c>
      <c r="N630" t="n">
        <v>0</v>
      </c>
      <c r="O630" t="n">
        <v>0</v>
      </c>
      <c r="P630" t="n">
        <v>0</v>
      </c>
      <c r="Q630" t="n">
        <v>0</v>
      </c>
      <c r="R630" s="2" t="inlineStr"/>
    </row>
    <row r="631" ht="15" customHeight="1">
      <c r="A631" t="inlineStr">
        <is>
          <t>A 3260-2022</t>
        </is>
      </c>
      <c r="B631" s="1" t="n">
        <v>44583</v>
      </c>
      <c r="C631" s="1" t="n">
        <v>45719</v>
      </c>
      <c r="D631" t="inlineStr">
        <is>
          <t>UPPSALA LÄN</t>
        </is>
      </c>
      <c r="E631" t="inlineStr">
        <is>
          <t>UPPSALA</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3284-2022</t>
        </is>
      </c>
      <c r="B632" s="1" t="n">
        <v>44584</v>
      </c>
      <c r="C632" s="1" t="n">
        <v>45719</v>
      </c>
      <c r="D632" t="inlineStr">
        <is>
          <t>UPPSALA LÄN</t>
        </is>
      </c>
      <c r="E632" t="inlineStr">
        <is>
          <t>UPPSALA</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3287-2022</t>
        </is>
      </c>
      <c r="B633" s="1" t="n">
        <v>44584</v>
      </c>
      <c r="C633" s="1" t="n">
        <v>45719</v>
      </c>
      <c r="D633" t="inlineStr">
        <is>
          <t>UPPSALA LÄN</t>
        </is>
      </c>
      <c r="E633" t="inlineStr">
        <is>
          <t>UPPSALA</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4059-2022</t>
        </is>
      </c>
      <c r="B634" s="1" t="n">
        <v>44588</v>
      </c>
      <c r="C634" s="1" t="n">
        <v>45719</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4312-2022</t>
        </is>
      </c>
      <c r="B635" s="1" t="n">
        <v>44588</v>
      </c>
      <c r="C635" s="1" t="n">
        <v>45719</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4444-2022</t>
        </is>
      </c>
      <c r="B636" s="1" t="n">
        <v>44589</v>
      </c>
      <c r="C636" s="1" t="n">
        <v>45719</v>
      </c>
      <c r="D636" t="inlineStr">
        <is>
          <t>UPPSALA LÄN</t>
        </is>
      </c>
      <c r="E636" t="inlineStr">
        <is>
          <t>UPPSALA</t>
        </is>
      </c>
      <c r="G636" t="n">
        <v>3.2</v>
      </c>
      <c r="H636" t="n">
        <v>0</v>
      </c>
      <c r="I636" t="n">
        <v>0</v>
      </c>
      <c r="J636" t="n">
        <v>0</v>
      </c>
      <c r="K636" t="n">
        <v>0</v>
      </c>
      <c r="L636" t="n">
        <v>0</v>
      </c>
      <c r="M636" t="n">
        <v>0</v>
      </c>
      <c r="N636" t="n">
        <v>0</v>
      </c>
      <c r="O636" t="n">
        <v>0</v>
      </c>
      <c r="P636" t="n">
        <v>0</v>
      </c>
      <c r="Q636" t="n">
        <v>0</v>
      </c>
      <c r="R636" s="2" t="inlineStr"/>
    </row>
    <row r="637" ht="15" customHeight="1">
      <c r="A637" t="inlineStr">
        <is>
          <t>A 4929-2022</t>
        </is>
      </c>
      <c r="B637" s="1" t="n">
        <v>44593</v>
      </c>
      <c r="C637" s="1" t="n">
        <v>45719</v>
      </c>
      <c r="D637" t="inlineStr">
        <is>
          <t>UPPSALA LÄN</t>
        </is>
      </c>
      <c r="E637" t="inlineStr">
        <is>
          <t>UPPSALA</t>
        </is>
      </c>
      <c r="G637" t="n">
        <v>2.4</v>
      </c>
      <c r="H637" t="n">
        <v>0</v>
      </c>
      <c r="I637" t="n">
        <v>0</v>
      </c>
      <c r="J637" t="n">
        <v>0</v>
      </c>
      <c r="K637" t="n">
        <v>0</v>
      </c>
      <c r="L637" t="n">
        <v>0</v>
      </c>
      <c r="M637" t="n">
        <v>0</v>
      </c>
      <c r="N637" t="n">
        <v>0</v>
      </c>
      <c r="O637" t="n">
        <v>0</v>
      </c>
      <c r="P637" t="n">
        <v>0</v>
      </c>
      <c r="Q637" t="n">
        <v>0</v>
      </c>
      <c r="R637" s="2" t="inlineStr"/>
    </row>
    <row r="638" ht="15" customHeight="1">
      <c r="A638" t="inlineStr">
        <is>
          <t>A 5027-2022</t>
        </is>
      </c>
      <c r="B638" s="1" t="n">
        <v>44593</v>
      </c>
      <c r="C638" s="1" t="n">
        <v>45719</v>
      </c>
      <c r="D638" t="inlineStr">
        <is>
          <t>UPPSALA LÄN</t>
        </is>
      </c>
      <c r="E638" t="inlineStr">
        <is>
          <t>UPPSALA</t>
        </is>
      </c>
      <c r="G638" t="n">
        <v>1.9</v>
      </c>
      <c r="H638" t="n">
        <v>0</v>
      </c>
      <c r="I638" t="n">
        <v>0</v>
      </c>
      <c r="J638" t="n">
        <v>0</v>
      </c>
      <c r="K638" t="n">
        <v>0</v>
      </c>
      <c r="L638" t="n">
        <v>0</v>
      </c>
      <c r="M638" t="n">
        <v>0</v>
      </c>
      <c r="N638" t="n">
        <v>0</v>
      </c>
      <c r="O638" t="n">
        <v>0</v>
      </c>
      <c r="P638" t="n">
        <v>0</v>
      </c>
      <c r="Q638" t="n">
        <v>0</v>
      </c>
      <c r="R638" s="2" t="inlineStr"/>
    </row>
    <row r="639" ht="15" customHeight="1">
      <c r="A639" t="inlineStr">
        <is>
          <t>A 5081-2022</t>
        </is>
      </c>
      <c r="B639" s="1" t="n">
        <v>44593</v>
      </c>
      <c r="C639" s="1" t="n">
        <v>45719</v>
      </c>
      <c r="D639" t="inlineStr">
        <is>
          <t>UPPSALA LÄN</t>
        </is>
      </c>
      <c r="E639" t="inlineStr">
        <is>
          <t>UPPSALA</t>
        </is>
      </c>
      <c r="G639" t="n">
        <v>3</v>
      </c>
      <c r="H639" t="n">
        <v>0</v>
      </c>
      <c r="I639" t="n">
        <v>0</v>
      </c>
      <c r="J639" t="n">
        <v>0</v>
      </c>
      <c r="K639" t="n">
        <v>0</v>
      </c>
      <c r="L639" t="n">
        <v>0</v>
      </c>
      <c r="M639" t="n">
        <v>0</v>
      </c>
      <c r="N639" t="n">
        <v>0</v>
      </c>
      <c r="O639" t="n">
        <v>0</v>
      </c>
      <c r="P639" t="n">
        <v>0</v>
      </c>
      <c r="Q639" t="n">
        <v>0</v>
      </c>
      <c r="R639" s="2" t="inlineStr"/>
    </row>
    <row r="640" ht="15" customHeight="1">
      <c r="A640" t="inlineStr">
        <is>
          <t>A 5007-2022</t>
        </is>
      </c>
      <c r="B640" s="1" t="n">
        <v>44593</v>
      </c>
      <c r="C640" s="1" t="n">
        <v>45719</v>
      </c>
      <c r="D640" t="inlineStr">
        <is>
          <t>UPPSALA LÄN</t>
        </is>
      </c>
      <c r="E640" t="inlineStr">
        <is>
          <t>UPPSALA</t>
        </is>
      </c>
      <c r="F640" t="inlineStr">
        <is>
          <t>BillerudKorsnäs AB</t>
        </is>
      </c>
      <c r="G640" t="n">
        <v>3.6</v>
      </c>
      <c r="H640" t="n">
        <v>0</v>
      </c>
      <c r="I640" t="n">
        <v>0</v>
      </c>
      <c r="J640" t="n">
        <v>0</v>
      </c>
      <c r="K640" t="n">
        <v>0</v>
      </c>
      <c r="L640" t="n">
        <v>0</v>
      </c>
      <c r="M640" t="n">
        <v>0</v>
      </c>
      <c r="N640" t="n">
        <v>0</v>
      </c>
      <c r="O640" t="n">
        <v>0</v>
      </c>
      <c r="P640" t="n">
        <v>0</v>
      </c>
      <c r="Q640" t="n">
        <v>0</v>
      </c>
      <c r="R640" s="2" t="inlineStr"/>
    </row>
    <row r="641" ht="15" customHeight="1">
      <c r="A641" t="inlineStr">
        <is>
          <t>A 5006-2022</t>
        </is>
      </c>
      <c r="B641" s="1" t="n">
        <v>44593</v>
      </c>
      <c r="C641" s="1" t="n">
        <v>45719</v>
      </c>
      <c r="D641" t="inlineStr">
        <is>
          <t>UPPSALA LÄN</t>
        </is>
      </c>
      <c r="E641" t="inlineStr">
        <is>
          <t>UPPSALA</t>
        </is>
      </c>
      <c r="F641" t="inlineStr">
        <is>
          <t>BillerudKorsnäs AB</t>
        </is>
      </c>
      <c r="G641" t="n">
        <v>1.4</v>
      </c>
      <c r="H641" t="n">
        <v>0</v>
      </c>
      <c r="I641" t="n">
        <v>0</v>
      </c>
      <c r="J641" t="n">
        <v>0</v>
      </c>
      <c r="K641" t="n">
        <v>0</v>
      </c>
      <c r="L641" t="n">
        <v>0</v>
      </c>
      <c r="M641" t="n">
        <v>0</v>
      </c>
      <c r="N641" t="n">
        <v>0</v>
      </c>
      <c r="O641" t="n">
        <v>0</v>
      </c>
      <c r="P641" t="n">
        <v>0</v>
      </c>
      <c r="Q641" t="n">
        <v>0</v>
      </c>
      <c r="R641" s="2" t="inlineStr"/>
    </row>
    <row r="642" ht="15" customHeight="1">
      <c r="A642" t="inlineStr">
        <is>
          <t>A 5028-2022</t>
        </is>
      </c>
      <c r="B642" s="1" t="n">
        <v>44593</v>
      </c>
      <c r="C642" s="1" t="n">
        <v>45719</v>
      </c>
      <c r="D642" t="inlineStr">
        <is>
          <t>UPPSALA LÄN</t>
        </is>
      </c>
      <c r="E642" t="inlineStr">
        <is>
          <t>UPPSALA</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5309-2022</t>
        </is>
      </c>
      <c r="B643" s="1" t="n">
        <v>44594</v>
      </c>
      <c r="C643" s="1" t="n">
        <v>45719</v>
      </c>
      <c r="D643" t="inlineStr">
        <is>
          <t>UPPSALA LÄN</t>
        </is>
      </c>
      <c r="E643" t="inlineStr">
        <is>
          <t>UPPSALA</t>
        </is>
      </c>
      <c r="G643" t="n">
        <v>4.8</v>
      </c>
      <c r="H643" t="n">
        <v>0</v>
      </c>
      <c r="I643" t="n">
        <v>0</v>
      </c>
      <c r="J643" t="n">
        <v>0</v>
      </c>
      <c r="K643" t="n">
        <v>0</v>
      </c>
      <c r="L643" t="n">
        <v>0</v>
      </c>
      <c r="M643" t="n">
        <v>0</v>
      </c>
      <c r="N643" t="n">
        <v>0</v>
      </c>
      <c r="O643" t="n">
        <v>0</v>
      </c>
      <c r="P643" t="n">
        <v>0</v>
      </c>
      <c r="Q643" t="n">
        <v>0</v>
      </c>
      <c r="R643" s="2" t="inlineStr"/>
    </row>
    <row r="644" ht="15" customHeight="1">
      <c r="A644" t="inlineStr">
        <is>
          <t>A 5189-2022</t>
        </is>
      </c>
      <c r="B644" s="1" t="n">
        <v>44594</v>
      </c>
      <c r="C644" s="1" t="n">
        <v>45719</v>
      </c>
      <c r="D644" t="inlineStr">
        <is>
          <t>UPPSALA LÄN</t>
        </is>
      </c>
      <c r="E644" t="inlineStr">
        <is>
          <t>UPPSALA</t>
        </is>
      </c>
      <c r="G644" t="n">
        <v>5.9</v>
      </c>
      <c r="H644" t="n">
        <v>0</v>
      </c>
      <c r="I644" t="n">
        <v>0</v>
      </c>
      <c r="J644" t="n">
        <v>0</v>
      </c>
      <c r="K644" t="n">
        <v>0</v>
      </c>
      <c r="L644" t="n">
        <v>0</v>
      </c>
      <c r="M644" t="n">
        <v>0</v>
      </c>
      <c r="N644" t="n">
        <v>0</v>
      </c>
      <c r="O644" t="n">
        <v>0</v>
      </c>
      <c r="P644" t="n">
        <v>0</v>
      </c>
      <c r="Q644" t="n">
        <v>0</v>
      </c>
      <c r="R644" s="2" t="inlineStr"/>
    </row>
    <row r="645" ht="15" customHeight="1">
      <c r="A645" t="inlineStr">
        <is>
          <t>A 5924-2022</t>
        </is>
      </c>
      <c r="B645" s="1" t="n">
        <v>44598</v>
      </c>
      <c r="C645" s="1" t="n">
        <v>45719</v>
      </c>
      <c r="D645" t="inlineStr">
        <is>
          <t>UPPSALA LÄN</t>
        </is>
      </c>
      <c r="E645" t="inlineStr">
        <is>
          <t>UPPSALA</t>
        </is>
      </c>
      <c r="G645" t="n">
        <v>6.8</v>
      </c>
      <c r="H645" t="n">
        <v>0</v>
      </c>
      <c r="I645" t="n">
        <v>0</v>
      </c>
      <c r="J645" t="n">
        <v>0</v>
      </c>
      <c r="K645" t="n">
        <v>0</v>
      </c>
      <c r="L645" t="n">
        <v>0</v>
      </c>
      <c r="M645" t="n">
        <v>0</v>
      </c>
      <c r="N645" t="n">
        <v>0</v>
      </c>
      <c r="O645" t="n">
        <v>0</v>
      </c>
      <c r="P645" t="n">
        <v>0</v>
      </c>
      <c r="Q645" t="n">
        <v>0</v>
      </c>
      <c r="R645" s="2" t="inlineStr"/>
    </row>
    <row r="646" ht="15" customHeight="1">
      <c r="A646" t="inlineStr">
        <is>
          <t>A 5989-2022</t>
        </is>
      </c>
      <c r="B646" s="1" t="n">
        <v>44599</v>
      </c>
      <c r="C646" s="1" t="n">
        <v>45719</v>
      </c>
      <c r="D646" t="inlineStr">
        <is>
          <t>UPPSALA LÄN</t>
        </is>
      </c>
      <c r="E646" t="inlineStr">
        <is>
          <t>UPPSALA</t>
        </is>
      </c>
      <c r="G646" t="n">
        <v>2.8</v>
      </c>
      <c r="H646" t="n">
        <v>0</v>
      </c>
      <c r="I646" t="n">
        <v>0</v>
      </c>
      <c r="J646" t="n">
        <v>0</v>
      </c>
      <c r="K646" t="n">
        <v>0</v>
      </c>
      <c r="L646" t="n">
        <v>0</v>
      </c>
      <c r="M646" t="n">
        <v>0</v>
      </c>
      <c r="N646" t="n">
        <v>0</v>
      </c>
      <c r="O646" t="n">
        <v>0</v>
      </c>
      <c r="P646" t="n">
        <v>0</v>
      </c>
      <c r="Q646" t="n">
        <v>0</v>
      </c>
      <c r="R646" s="2" t="inlineStr"/>
    </row>
    <row r="647" ht="15" customHeight="1">
      <c r="A647" t="inlineStr">
        <is>
          <t>A 6009-2022</t>
        </is>
      </c>
      <c r="B647" s="1" t="n">
        <v>44599</v>
      </c>
      <c r="C647" s="1" t="n">
        <v>45719</v>
      </c>
      <c r="D647" t="inlineStr">
        <is>
          <t>UPPSALA LÄN</t>
        </is>
      </c>
      <c r="E647" t="inlineStr">
        <is>
          <t>UPPSALA</t>
        </is>
      </c>
      <c r="G647" t="n">
        <v>0.9</v>
      </c>
      <c r="H647" t="n">
        <v>0</v>
      </c>
      <c r="I647" t="n">
        <v>0</v>
      </c>
      <c r="J647" t="n">
        <v>0</v>
      </c>
      <c r="K647" t="n">
        <v>0</v>
      </c>
      <c r="L647" t="n">
        <v>0</v>
      </c>
      <c r="M647" t="n">
        <v>0</v>
      </c>
      <c r="N647" t="n">
        <v>0</v>
      </c>
      <c r="O647" t="n">
        <v>0</v>
      </c>
      <c r="P647" t="n">
        <v>0</v>
      </c>
      <c r="Q647" t="n">
        <v>0</v>
      </c>
      <c r="R647" s="2" t="inlineStr"/>
    </row>
    <row r="648" ht="15" customHeight="1">
      <c r="A648" t="inlineStr">
        <is>
          <t>A 5996-2022</t>
        </is>
      </c>
      <c r="B648" s="1" t="n">
        <v>44599</v>
      </c>
      <c r="C648" s="1" t="n">
        <v>45719</v>
      </c>
      <c r="D648" t="inlineStr">
        <is>
          <t>UPPSALA LÄN</t>
        </is>
      </c>
      <c r="E648" t="inlineStr">
        <is>
          <t>UPPSALA</t>
        </is>
      </c>
      <c r="G648" t="n">
        <v>0.6</v>
      </c>
      <c r="H648" t="n">
        <v>0</v>
      </c>
      <c r="I648" t="n">
        <v>0</v>
      </c>
      <c r="J648" t="n">
        <v>0</v>
      </c>
      <c r="K648" t="n">
        <v>0</v>
      </c>
      <c r="L648" t="n">
        <v>0</v>
      </c>
      <c r="M648" t="n">
        <v>0</v>
      </c>
      <c r="N648" t="n">
        <v>0</v>
      </c>
      <c r="O648" t="n">
        <v>0</v>
      </c>
      <c r="P648" t="n">
        <v>0</v>
      </c>
      <c r="Q648" t="n">
        <v>0</v>
      </c>
      <c r="R648" s="2" t="inlineStr"/>
    </row>
    <row r="649" ht="15" customHeight="1">
      <c r="A649" t="inlineStr">
        <is>
          <t>A 6339-2022</t>
        </is>
      </c>
      <c r="B649" s="1" t="n">
        <v>44600</v>
      </c>
      <c r="C649" s="1" t="n">
        <v>45719</v>
      </c>
      <c r="D649" t="inlineStr">
        <is>
          <t>UPPSALA LÄN</t>
        </is>
      </c>
      <c r="E649" t="inlineStr">
        <is>
          <t>UPPSALA</t>
        </is>
      </c>
      <c r="G649" t="n">
        <v>18.7</v>
      </c>
      <c r="H649" t="n">
        <v>0</v>
      </c>
      <c r="I649" t="n">
        <v>0</v>
      </c>
      <c r="J649" t="n">
        <v>0</v>
      </c>
      <c r="K649" t="n">
        <v>0</v>
      </c>
      <c r="L649" t="n">
        <v>0</v>
      </c>
      <c r="M649" t="n">
        <v>0</v>
      </c>
      <c r="N649" t="n">
        <v>0</v>
      </c>
      <c r="O649" t="n">
        <v>0</v>
      </c>
      <c r="P649" t="n">
        <v>0</v>
      </c>
      <c r="Q649" t="n">
        <v>0</v>
      </c>
      <c r="R649" s="2" t="inlineStr"/>
    </row>
    <row r="650" ht="15" customHeight="1">
      <c r="A650" t="inlineStr">
        <is>
          <t>A 6408-2022</t>
        </is>
      </c>
      <c r="B650" s="1" t="n">
        <v>44600</v>
      </c>
      <c r="C650" s="1" t="n">
        <v>45719</v>
      </c>
      <c r="D650" t="inlineStr">
        <is>
          <t>UPPSALA LÄN</t>
        </is>
      </c>
      <c r="E650" t="inlineStr">
        <is>
          <t>UPPSALA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6717-2022</t>
        </is>
      </c>
      <c r="B651" s="1" t="n">
        <v>44602</v>
      </c>
      <c r="C651" s="1" t="n">
        <v>45719</v>
      </c>
      <c r="D651" t="inlineStr">
        <is>
          <t>UPPSALA LÄN</t>
        </is>
      </c>
      <c r="E651" t="inlineStr">
        <is>
          <t>UPPSALA</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6853-2022</t>
        </is>
      </c>
      <c r="B652" s="1" t="n">
        <v>44602</v>
      </c>
      <c r="C652" s="1" t="n">
        <v>45719</v>
      </c>
      <c r="D652" t="inlineStr">
        <is>
          <t>UPPSALA LÄN</t>
        </is>
      </c>
      <c r="E652" t="inlineStr">
        <is>
          <t>UPPSALA</t>
        </is>
      </c>
      <c r="G652" t="n">
        <v>12</v>
      </c>
      <c r="H652" t="n">
        <v>0</v>
      </c>
      <c r="I652" t="n">
        <v>0</v>
      </c>
      <c r="J652" t="n">
        <v>0</v>
      </c>
      <c r="K652" t="n">
        <v>0</v>
      </c>
      <c r="L652" t="n">
        <v>0</v>
      </c>
      <c r="M652" t="n">
        <v>0</v>
      </c>
      <c r="N652" t="n">
        <v>0</v>
      </c>
      <c r="O652" t="n">
        <v>0</v>
      </c>
      <c r="P652" t="n">
        <v>0</v>
      </c>
      <c r="Q652" t="n">
        <v>0</v>
      </c>
      <c r="R652" s="2" t="inlineStr"/>
    </row>
    <row r="653" ht="15" customHeight="1">
      <c r="A653" t="inlineStr">
        <is>
          <t>A 6863-2022</t>
        </is>
      </c>
      <c r="B653" s="1" t="n">
        <v>44602</v>
      </c>
      <c r="C653" s="1" t="n">
        <v>45719</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6850-2022</t>
        </is>
      </c>
      <c r="B654" s="1" t="n">
        <v>44602</v>
      </c>
      <c r="C654" s="1" t="n">
        <v>45719</v>
      </c>
      <c r="D654" t="inlineStr">
        <is>
          <t>UPPSALA LÄN</t>
        </is>
      </c>
      <c r="E654" t="inlineStr">
        <is>
          <t>UPPSALA</t>
        </is>
      </c>
      <c r="G654" t="n">
        <v>3.7</v>
      </c>
      <c r="H654" t="n">
        <v>0</v>
      </c>
      <c r="I654" t="n">
        <v>0</v>
      </c>
      <c r="J654" t="n">
        <v>0</v>
      </c>
      <c r="K654" t="n">
        <v>0</v>
      </c>
      <c r="L654" t="n">
        <v>0</v>
      </c>
      <c r="M654" t="n">
        <v>0</v>
      </c>
      <c r="N654" t="n">
        <v>0</v>
      </c>
      <c r="O654" t="n">
        <v>0</v>
      </c>
      <c r="P654" t="n">
        <v>0</v>
      </c>
      <c r="Q654" t="n">
        <v>0</v>
      </c>
      <c r="R654" s="2" t="inlineStr"/>
    </row>
    <row r="655" ht="15" customHeight="1">
      <c r="A655" t="inlineStr">
        <is>
          <t>A 6851-2022</t>
        </is>
      </c>
      <c r="B655" s="1" t="n">
        <v>44602</v>
      </c>
      <c r="C655" s="1" t="n">
        <v>45719</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6855-2022</t>
        </is>
      </c>
      <c r="B656" s="1" t="n">
        <v>44602</v>
      </c>
      <c r="C656" s="1" t="n">
        <v>45719</v>
      </c>
      <c r="D656" t="inlineStr">
        <is>
          <t>UPPSALA LÄN</t>
        </is>
      </c>
      <c r="E656" t="inlineStr">
        <is>
          <t>UPPSALA</t>
        </is>
      </c>
      <c r="G656" t="n">
        <v>4.6</v>
      </c>
      <c r="H656" t="n">
        <v>0</v>
      </c>
      <c r="I656" t="n">
        <v>0</v>
      </c>
      <c r="J656" t="n">
        <v>0</v>
      </c>
      <c r="K656" t="n">
        <v>0</v>
      </c>
      <c r="L656" t="n">
        <v>0</v>
      </c>
      <c r="M656" t="n">
        <v>0</v>
      </c>
      <c r="N656" t="n">
        <v>0</v>
      </c>
      <c r="O656" t="n">
        <v>0</v>
      </c>
      <c r="P656" t="n">
        <v>0</v>
      </c>
      <c r="Q656" t="n">
        <v>0</v>
      </c>
      <c r="R656" s="2" t="inlineStr"/>
    </row>
    <row r="657" ht="15" customHeight="1">
      <c r="A657" t="inlineStr">
        <is>
          <t>A 6860-2022</t>
        </is>
      </c>
      <c r="B657" s="1" t="n">
        <v>44602</v>
      </c>
      <c r="C657" s="1" t="n">
        <v>45719</v>
      </c>
      <c r="D657" t="inlineStr">
        <is>
          <t>UPPSALA LÄN</t>
        </is>
      </c>
      <c r="E657" t="inlineStr">
        <is>
          <t>UPPSALA</t>
        </is>
      </c>
      <c r="G657" t="n">
        <v>14.8</v>
      </c>
      <c r="H657" t="n">
        <v>0</v>
      </c>
      <c r="I657" t="n">
        <v>0</v>
      </c>
      <c r="J657" t="n">
        <v>0</v>
      </c>
      <c r="K657" t="n">
        <v>0</v>
      </c>
      <c r="L657" t="n">
        <v>0</v>
      </c>
      <c r="M657" t="n">
        <v>0</v>
      </c>
      <c r="N657" t="n">
        <v>0</v>
      </c>
      <c r="O657" t="n">
        <v>0</v>
      </c>
      <c r="P657" t="n">
        <v>0</v>
      </c>
      <c r="Q657" t="n">
        <v>0</v>
      </c>
      <c r="R657" s="2" t="inlineStr"/>
    </row>
    <row r="658" ht="15" customHeight="1">
      <c r="A658" t="inlineStr">
        <is>
          <t>A 6989-2022</t>
        </is>
      </c>
      <c r="B658" s="1" t="n">
        <v>44603</v>
      </c>
      <c r="C658" s="1" t="n">
        <v>45719</v>
      </c>
      <c r="D658" t="inlineStr">
        <is>
          <t>UPPSALA LÄN</t>
        </is>
      </c>
      <c r="E658" t="inlineStr">
        <is>
          <t>UPPSALA</t>
        </is>
      </c>
      <c r="G658" t="n">
        <v>3.1</v>
      </c>
      <c r="H658" t="n">
        <v>0</v>
      </c>
      <c r="I658" t="n">
        <v>0</v>
      </c>
      <c r="J658" t="n">
        <v>0</v>
      </c>
      <c r="K658" t="n">
        <v>0</v>
      </c>
      <c r="L658" t="n">
        <v>0</v>
      </c>
      <c r="M658" t="n">
        <v>0</v>
      </c>
      <c r="N658" t="n">
        <v>0</v>
      </c>
      <c r="O658" t="n">
        <v>0</v>
      </c>
      <c r="P658" t="n">
        <v>0</v>
      </c>
      <c r="Q658" t="n">
        <v>0</v>
      </c>
      <c r="R658" s="2" t="inlineStr"/>
    </row>
    <row r="659" ht="15" customHeight="1">
      <c r="A659" t="inlineStr">
        <is>
          <t>A 7040-2022</t>
        </is>
      </c>
      <c r="B659" s="1" t="n">
        <v>44603</v>
      </c>
      <c r="C659" s="1" t="n">
        <v>45719</v>
      </c>
      <c r="D659" t="inlineStr">
        <is>
          <t>UPPSALA LÄN</t>
        </is>
      </c>
      <c r="E659" t="inlineStr">
        <is>
          <t>UPPSALA</t>
        </is>
      </c>
      <c r="G659" t="n">
        <v>3.9</v>
      </c>
      <c r="H659" t="n">
        <v>0</v>
      </c>
      <c r="I659" t="n">
        <v>0</v>
      </c>
      <c r="J659" t="n">
        <v>0</v>
      </c>
      <c r="K659" t="n">
        <v>0</v>
      </c>
      <c r="L659" t="n">
        <v>0</v>
      </c>
      <c r="M659" t="n">
        <v>0</v>
      </c>
      <c r="N659" t="n">
        <v>0</v>
      </c>
      <c r="O659" t="n">
        <v>0</v>
      </c>
      <c r="P659" t="n">
        <v>0</v>
      </c>
      <c r="Q659" t="n">
        <v>0</v>
      </c>
      <c r="R659" s="2" t="inlineStr"/>
    </row>
    <row r="660" ht="15" customHeight="1">
      <c r="A660" t="inlineStr">
        <is>
          <t>A 7124-2022</t>
        </is>
      </c>
      <c r="B660" s="1" t="n">
        <v>44603</v>
      </c>
      <c r="C660" s="1" t="n">
        <v>45719</v>
      </c>
      <c r="D660" t="inlineStr">
        <is>
          <t>UPPSALA LÄN</t>
        </is>
      </c>
      <c r="E660" t="inlineStr">
        <is>
          <t>UPPSALA</t>
        </is>
      </c>
      <c r="G660" t="n">
        <v>0.5</v>
      </c>
      <c r="H660" t="n">
        <v>0</v>
      </c>
      <c r="I660" t="n">
        <v>0</v>
      </c>
      <c r="J660" t="n">
        <v>0</v>
      </c>
      <c r="K660" t="n">
        <v>0</v>
      </c>
      <c r="L660" t="n">
        <v>0</v>
      </c>
      <c r="M660" t="n">
        <v>0</v>
      </c>
      <c r="N660" t="n">
        <v>0</v>
      </c>
      <c r="O660" t="n">
        <v>0</v>
      </c>
      <c r="P660" t="n">
        <v>0</v>
      </c>
      <c r="Q660" t="n">
        <v>0</v>
      </c>
      <c r="R660" s="2" t="inlineStr"/>
    </row>
    <row r="661" ht="15" customHeight="1">
      <c r="A661" t="inlineStr">
        <is>
          <t>A 7409-2022</t>
        </is>
      </c>
      <c r="B661" s="1" t="n">
        <v>44606</v>
      </c>
      <c r="C661" s="1" t="n">
        <v>45719</v>
      </c>
      <c r="D661" t="inlineStr">
        <is>
          <t>UPPSALA LÄN</t>
        </is>
      </c>
      <c r="E661" t="inlineStr">
        <is>
          <t>UPPSALA</t>
        </is>
      </c>
      <c r="G661" t="n">
        <v>4.3</v>
      </c>
      <c r="H661" t="n">
        <v>0</v>
      </c>
      <c r="I661" t="n">
        <v>0</v>
      </c>
      <c r="J661" t="n">
        <v>0</v>
      </c>
      <c r="K661" t="n">
        <v>0</v>
      </c>
      <c r="L661" t="n">
        <v>0</v>
      </c>
      <c r="M661" t="n">
        <v>0</v>
      </c>
      <c r="N661" t="n">
        <v>0</v>
      </c>
      <c r="O661" t="n">
        <v>0</v>
      </c>
      <c r="P661" t="n">
        <v>0</v>
      </c>
      <c r="Q661" t="n">
        <v>0</v>
      </c>
      <c r="R661" s="2" t="inlineStr"/>
    </row>
    <row r="662" ht="15" customHeight="1">
      <c r="A662" t="inlineStr">
        <is>
          <t>A 7899-2022</t>
        </is>
      </c>
      <c r="B662" s="1" t="n">
        <v>44608</v>
      </c>
      <c r="C662" s="1" t="n">
        <v>45719</v>
      </c>
      <c r="D662" t="inlineStr">
        <is>
          <t>UPPSALA LÄN</t>
        </is>
      </c>
      <c r="E662" t="inlineStr">
        <is>
          <t>UPPSALA</t>
        </is>
      </c>
      <c r="F662" t="inlineStr">
        <is>
          <t>Övriga Aktiebolag</t>
        </is>
      </c>
      <c r="G662" t="n">
        <v>7.1</v>
      </c>
      <c r="H662" t="n">
        <v>0</v>
      </c>
      <c r="I662" t="n">
        <v>0</v>
      </c>
      <c r="J662" t="n">
        <v>0</v>
      </c>
      <c r="K662" t="n">
        <v>0</v>
      </c>
      <c r="L662" t="n">
        <v>0</v>
      </c>
      <c r="M662" t="n">
        <v>0</v>
      </c>
      <c r="N662" t="n">
        <v>0</v>
      </c>
      <c r="O662" t="n">
        <v>0</v>
      </c>
      <c r="P662" t="n">
        <v>0</v>
      </c>
      <c r="Q662" t="n">
        <v>0</v>
      </c>
      <c r="R662" s="2" t="inlineStr"/>
    </row>
    <row r="663" ht="15" customHeight="1">
      <c r="A663" t="inlineStr">
        <is>
          <t>A 8090-2022</t>
        </is>
      </c>
      <c r="B663" s="1" t="n">
        <v>44608</v>
      </c>
      <c r="C663" s="1" t="n">
        <v>45719</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7996-2022</t>
        </is>
      </c>
      <c r="B664" s="1" t="n">
        <v>44609</v>
      </c>
      <c r="C664" s="1" t="n">
        <v>45719</v>
      </c>
      <c r="D664" t="inlineStr">
        <is>
          <t>UPPSALA LÄN</t>
        </is>
      </c>
      <c r="E664" t="inlineStr">
        <is>
          <t>UPPSALA</t>
        </is>
      </c>
      <c r="F664" t="inlineStr">
        <is>
          <t>Övriga Aktiebolag</t>
        </is>
      </c>
      <c r="G664" t="n">
        <v>2.9</v>
      </c>
      <c r="H664" t="n">
        <v>0</v>
      </c>
      <c r="I664" t="n">
        <v>0</v>
      </c>
      <c r="J664" t="n">
        <v>0</v>
      </c>
      <c r="K664" t="n">
        <v>0</v>
      </c>
      <c r="L664" t="n">
        <v>0</v>
      </c>
      <c r="M664" t="n">
        <v>0</v>
      </c>
      <c r="N664" t="n">
        <v>0</v>
      </c>
      <c r="O664" t="n">
        <v>0</v>
      </c>
      <c r="P664" t="n">
        <v>0</v>
      </c>
      <c r="Q664" t="n">
        <v>0</v>
      </c>
      <c r="R664" s="2" t="inlineStr"/>
    </row>
    <row r="665" ht="15" customHeight="1">
      <c r="A665" t="inlineStr">
        <is>
          <t>A 8007-2022</t>
        </is>
      </c>
      <c r="B665" s="1" t="n">
        <v>44609</v>
      </c>
      <c r="C665" s="1" t="n">
        <v>45719</v>
      </c>
      <c r="D665" t="inlineStr">
        <is>
          <t>UPPSALA LÄN</t>
        </is>
      </c>
      <c r="E665" t="inlineStr">
        <is>
          <t>UPPSALA</t>
        </is>
      </c>
      <c r="F665" t="inlineStr">
        <is>
          <t>Övriga Aktiebolag</t>
        </is>
      </c>
      <c r="G665" t="n">
        <v>2.3</v>
      </c>
      <c r="H665" t="n">
        <v>0</v>
      </c>
      <c r="I665" t="n">
        <v>0</v>
      </c>
      <c r="J665" t="n">
        <v>0</v>
      </c>
      <c r="K665" t="n">
        <v>0</v>
      </c>
      <c r="L665" t="n">
        <v>0</v>
      </c>
      <c r="M665" t="n">
        <v>0</v>
      </c>
      <c r="N665" t="n">
        <v>0</v>
      </c>
      <c r="O665" t="n">
        <v>0</v>
      </c>
      <c r="P665" t="n">
        <v>0</v>
      </c>
      <c r="Q665" t="n">
        <v>0</v>
      </c>
      <c r="R665" s="2" t="inlineStr"/>
    </row>
    <row r="666" ht="15" customHeight="1">
      <c r="A666" t="inlineStr">
        <is>
          <t>A 8132-2022</t>
        </is>
      </c>
      <c r="B666" s="1" t="n">
        <v>44609</v>
      </c>
      <c r="C666" s="1" t="n">
        <v>45719</v>
      </c>
      <c r="D666" t="inlineStr">
        <is>
          <t>UPPSALA LÄN</t>
        </is>
      </c>
      <c r="E666" t="inlineStr">
        <is>
          <t>UPPSALA</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8139-2022</t>
        </is>
      </c>
      <c r="B667" s="1" t="n">
        <v>44609</v>
      </c>
      <c r="C667" s="1" t="n">
        <v>45719</v>
      </c>
      <c r="D667" t="inlineStr">
        <is>
          <t>UPPSALA LÄN</t>
        </is>
      </c>
      <c r="E667" t="inlineStr">
        <is>
          <t>UPPSALA</t>
        </is>
      </c>
      <c r="G667" t="n">
        <v>0.6</v>
      </c>
      <c r="H667" t="n">
        <v>0</v>
      </c>
      <c r="I667" t="n">
        <v>0</v>
      </c>
      <c r="J667" t="n">
        <v>0</v>
      </c>
      <c r="K667" t="n">
        <v>0</v>
      </c>
      <c r="L667" t="n">
        <v>0</v>
      </c>
      <c r="M667" t="n">
        <v>0</v>
      </c>
      <c r="N667" t="n">
        <v>0</v>
      </c>
      <c r="O667" t="n">
        <v>0</v>
      </c>
      <c r="P667" t="n">
        <v>0</v>
      </c>
      <c r="Q667" t="n">
        <v>0</v>
      </c>
      <c r="R667" s="2" t="inlineStr"/>
    </row>
    <row r="668" ht="15" customHeight="1">
      <c r="A668" t="inlineStr">
        <is>
          <t>A 8404-2022</t>
        </is>
      </c>
      <c r="B668" s="1" t="n">
        <v>44610</v>
      </c>
      <c r="C668" s="1" t="n">
        <v>45719</v>
      </c>
      <c r="D668" t="inlineStr">
        <is>
          <t>UPPSALA LÄN</t>
        </is>
      </c>
      <c r="E668" t="inlineStr">
        <is>
          <t>UPPSALA</t>
        </is>
      </c>
      <c r="F668" t="inlineStr">
        <is>
          <t>Allmännings- och besparingsskogar</t>
        </is>
      </c>
      <c r="G668" t="n">
        <v>5.4</v>
      </c>
      <c r="H668" t="n">
        <v>0</v>
      </c>
      <c r="I668" t="n">
        <v>0</v>
      </c>
      <c r="J668" t="n">
        <v>0</v>
      </c>
      <c r="K668" t="n">
        <v>0</v>
      </c>
      <c r="L668" t="n">
        <v>0</v>
      </c>
      <c r="M668" t="n">
        <v>0</v>
      </c>
      <c r="N668" t="n">
        <v>0</v>
      </c>
      <c r="O668" t="n">
        <v>0</v>
      </c>
      <c r="P668" t="n">
        <v>0</v>
      </c>
      <c r="Q668" t="n">
        <v>0</v>
      </c>
      <c r="R668" s="2" t="inlineStr"/>
    </row>
    <row r="669" ht="15" customHeight="1">
      <c r="A669" t="inlineStr">
        <is>
          <t>A 8475-2022</t>
        </is>
      </c>
      <c r="B669" s="1" t="n">
        <v>44610</v>
      </c>
      <c r="C669" s="1" t="n">
        <v>45719</v>
      </c>
      <c r="D669" t="inlineStr">
        <is>
          <t>UPPSALA LÄN</t>
        </is>
      </c>
      <c r="E669" t="inlineStr">
        <is>
          <t>UPPSALA</t>
        </is>
      </c>
      <c r="F669" t="inlineStr">
        <is>
          <t>Allmännings- och besparingsskogar</t>
        </is>
      </c>
      <c r="G669" t="n">
        <v>32.7</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45719</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8451-2022</t>
        </is>
      </c>
      <c r="B671" s="1" t="n">
        <v>44612</v>
      </c>
      <c r="C671" s="1" t="n">
        <v>45719</v>
      </c>
      <c r="D671" t="inlineStr">
        <is>
          <t>UPPSALA LÄN</t>
        </is>
      </c>
      <c r="E671" t="inlineStr">
        <is>
          <t>UPPSALA</t>
        </is>
      </c>
      <c r="G671" t="n">
        <v>1.8</v>
      </c>
      <c r="H671" t="n">
        <v>0</v>
      </c>
      <c r="I671" t="n">
        <v>0</v>
      </c>
      <c r="J671" t="n">
        <v>0</v>
      </c>
      <c r="K671" t="n">
        <v>0</v>
      </c>
      <c r="L671" t="n">
        <v>0</v>
      </c>
      <c r="M671" t="n">
        <v>0</v>
      </c>
      <c r="N671" t="n">
        <v>0</v>
      </c>
      <c r="O671" t="n">
        <v>0</v>
      </c>
      <c r="P671" t="n">
        <v>0</v>
      </c>
      <c r="Q671" t="n">
        <v>0</v>
      </c>
      <c r="R671" s="2" t="inlineStr"/>
    </row>
    <row r="672" ht="15" customHeight="1">
      <c r="A672" t="inlineStr">
        <is>
          <t>A 8877-2022</t>
        </is>
      </c>
      <c r="B672" s="1" t="n">
        <v>44614</v>
      </c>
      <c r="C672" s="1" t="n">
        <v>45719</v>
      </c>
      <c r="D672" t="inlineStr">
        <is>
          <t>UPPSALA LÄN</t>
        </is>
      </c>
      <c r="E672" t="inlineStr">
        <is>
          <t>UPPSALA</t>
        </is>
      </c>
      <c r="G672" t="n">
        <v>1.4</v>
      </c>
      <c r="H672" t="n">
        <v>0</v>
      </c>
      <c r="I672" t="n">
        <v>0</v>
      </c>
      <c r="J672" t="n">
        <v>0</v>
      </c>
      <c r="K672" t="n">
        <v>0</v>
      </c>
      <c r="L672" t="n">
        <v>0</v>
      </c>
      <c r="M672" t="n">
        <v>0</v>
      </c>
      <c r="N672" t="n">
        <v>0</v>
      </c>
      <c r="O672" t="n">
        <v>0</v>
      </c>
      <c r="P672" t="n">
        <v>0</v>
      </c>
      <c r="Q672" t="n">
        <v>0</v>
      </c>
      <c r="R672" s="2" t="inlineStr"/>
    </row>
    <row r="673" ht="15" customHeight="1">
      <c r="A673" t="inlineStr">
        <is>
          <t>A 8933-2022</t>
        </is>
      </c>
      <c r="B673" s="1" t="n">
        <v>44614</v>
      </c>
      <c r="C673" s="1" t="n">
        <v>45719</v>
      </c>
      <c r="D673" t="inlineStr">
        <is>
          <t>UPPSALA LÄN</t>
        </is>
      </c>
      <c r="E673" t="inlineStr">
        <is>
          <t>UPPSALA</t>
        </is>
      </c>
      <c r="F673" t="inlineStr">
        <is>
          <t>Holmen skog AB</t>
        </is>
      </c>
      <c r="G673" t="n">
        <v>3.6</v>
      </c>
      <c r="H673" t="n">
        <v>0</v>
      </c>
      <c r="I673" t="n">
        <v>0</v>
      </c>
      <c r="J673" t="n">
        <v>0</v>
      </c>
      <c r="K673" t="n">
        <v>0</v>
      </c>
      <c r="L673" t="n">
        <v>0</v>
      </c>
      <c r="M673" t="n">
        <v>0</v>
      </c>
      <c r="N673" t="n">
        <v>0</v>
      </c>
      <c r="O673" t="n">
        <v>0</v>
      </c>
      <c r="P673" t="n">
        <v>0</v>
      </c>
      <c r="Q673" t="n">
        <v>0</v>
      </c>
      <c r="R673" s="2" t="inlineStr"/>
    </row>
    <row r="674" ht="15" customHeight="1">
      <c r="A674" t="inlineStr">
        <is>
          <t>A 9206-2022</t>
        </is>
      </c>
      <c r="B674" s="1" t="n">
        <v>44616</v>
      </c>
      <c r="C674" s="1" t="n">
        <v>45719</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9242-2022</t>
        </is>
      </c>
      <c r="B675" s="1" t="n">
        <v>44616</v>
      </c>
      <c r="C675" s="1" t="n">
        <v>45719</v>
      </c>
      <c r="D675" t="inlineStr">
        <is>
          <t>UPPSALA LÄN</t>
        </is>
      </c>
      <c r="E675" t="inlineStr">
        <is>
          <t>UPPSALA</t>
        </is>
      </c>
      <c r="F675" t="inlineStr">
        <is>
          <t>Övriga Aktiebolag</t>
        </is>
      </c>
      <c r="G675" t="n">
        <v>5.9</v>
      </c>
      <c r="H675" t="n">
        <v>0</v>
      </c>
      <c r="I675" t="n">
        <v>0</v>
      </c>
      <c r="J675" t="n">
        <v>0</v>
      </c>
      <c r="K675" t="n">
        <v>0</v>
      </c>
      <c r="L675" t="n">
        <v>0</v>
      </c>
      <c r="M675" t="n">
        <v>0</v>
      </c>
      <c r="N675" t="n">
        <v>0</v>
      </c>
      <c r="O675" t="n">
        <v>0</v>
      </c>
      <c r="P675" t="n">
        <v>0</v>
      </c>
      <c r="Q675" t="n">
        <v>0</v>
      </c>
      <c r="R675" s="2" t="inlineStr"/>
    </row>
    <row r="676" ht="15" customHeight="1">
      <c r="A676" t="inlineStr">
        <is>
          <t>A 9592-2022</t>
        </is>
      </c>
      <c r="B676" s="1" t="n">
        <v>44617</v>
      </c>
      <c r="C676" s="1" t="n">
        <v>45719</v>
      </c>
      <c r="D676" t="inlineStr">
        <is>
          <t>UPPSALA LÄN</t>
        </is>
      </c>
      <c r="E676" t="inlineStr">
        <is>
          <t>UPPSALA</t>
        </is>
      </c>
      <c r="G676" t="n">
        <v>7.5</v>
      </c>
      <c r="H676" t="n">
        <v>0</v>
      </c>
      <c r="I676" t="n">
        <v>0</v>
      </c>
      <c r="J676" t="n">
        <v>0</v>
      </c>
      <c r="K676" t="n">
        <v>0</v>
      </c>
      <c r="L676" t="n">
        <v>0</v>
      </c>
      <c r="M676" t="n">
        <v>0</v>
      </c>
      <c r="N676" t="n">
        <v>0</v>
      </c>
      <c r="O676" t="n">
        <v>0</v>
      </c>
      <c r="P676" t="n">
        <v>0</v>
      </c>
      <c r="Q676" t="n">
        <v>0</v>
      </c>
      <c r="R676" s="2" t="inlineStr"/>
    </row>
    <row r="677" ht="15" customHeight="1">
      <c r="A677" t="inlineStr">
        <is>
          <t>A 10411-2022</t>
        </is>
      </c>
      <c r="B677" s="1" t="n">
        <v>44623</v>
      </c>
      <c r="C677" s="1" t="n">
        <v>45719</v>
      </c>
      <c r="D677" t="inlineStr">
        <is>
          <t>UPPSALA LÄN</t>
        </is>
      </c>
      <c r="E677" t="inlineStr">
        <is>
          <t>UPPSALA</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10383-2022</t>
        </is>
      </c>
      <c r="B678" s="1" t="n">
        <v>44623</v>
      </c>
      <c r="C678" s="1" t="n">
        <v>45719</v>
      </c>
      <c r="D678" t="inlineStr">
        <is>
          <t>UPPSALA LÄN</t>
        </is>
      </c>
      <c r="E678" t="inlineStr">
        <is>
          <t>UPPSALA</t>
        </is>
      </c>
      <c r="F678" t="inlineStr">
        <is>
          <t>Övriga Aktiebolag</t>
        </is>
      </c>
      <c r="G678" t="n">
        <v>2.8</v>
      </c>
      <c r="H678" t="n">
        <v>0</v>
      </c>
      <c r="I678" t="n">
        <v>0</v>
      </c>
      <c r="J678" t="n">
        <v>0</v>
      </c>
      <c r="K678" t="n">
        <v>0</v>
      </c>
      <c r="L678" t="n">
        <v>0</v>
      </c>
      <c r="M678" t="n">
        <v>0</v>
      </c>
      <c r="N678" t="n">
        <v>0</v>
      </c>
      <c r="O678" t="n">
        <v>0</v>
      </c>
      <c r="P678" t="n">
        <v>0</v>
      </c>
      <c r="Q678" t="n">
        <v>0</v>
      </c>
      <c r="R678" s="2" t="inlineStr"/>
    </row>
    <row r="679" ht="15" customHeight="1">
      <c r="A679" t="inlineStr">
        <is>
          <t>A 10456-2022</t>
        </is>
      </c>
      <c r="B679" s="1" t="n">
        <v>44623</v>
      </c>
      <c r="C679" s="1" t="n">
        <v>45719</v>
      </c>
      <c r="D679" t="inlineStr">
        <is>
          <t>UPPSALA LÄN</t>
        </is>
      </c>
      <c r="E679" t="inlineStr">
        <is>
          <t>UPPSALA</t>
        </is>
      </c>
      <c r="F679" t="inlineStr">
        <is>
          <t>Övriga Aktiebolag</t>
        </is>
      </c>
      <c r="G679" t="n">
        <v>12.6</v>
      </c>
      <c r="H679" t="n">
        <v>0</v>
      </c>
      <c r="I679" t="n">
        <v>0</v>
      </c>
      <c r="J679" t="n">
        <v>0</v>
      </c>
      <c r="K679" t="n">
        <v>0</v>
      </c>
      <c r="L679" t="n">
        <v>0</v>
      </c>
      <c r="M679" t="n">
        <v>0</v>
      </c>
      <c r="N679" t="n">
        <v>0</v>
      </c>
      <c r="O679" t="n">
        <v>0</v>
      </c>
      <c r="P679" t="n">
        <v>0</v>
      </c>
      <c r="Q679" t="n">
        <v>0</v>
      </c>
      <c r="R679" s="2" t="inlineStr"/>
    </row>
    <row r="680" ht="15" customHeight="1">
      <c r="A680" t="inlineStr">
        <is>
          <t>A 10464-2022</t>
        </is>
      </c>
      <c r="B680" s="1" t="n">
        <v>44623</v>
      </c>
      <c r="C680" s="1" t="n">
        <v>45719</v>
      </c>
      <c r="D680" t="inlineStr">
        <is>
          <t>UPPSALA LÄN</t>
        </is>
      </c>
      <c r="E680" t="inlineStr">
        <is>
          <t>UPPSALA</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10565-2022</t>
        </is>
      </c>
      <c r="B681" s="1" t="n">
        <v>44624</v>
      </c>
      <c r="C681" s="1" t="n">
        <v>45719</v>
      </c>
      <c r="D681" t="inlineStr">
        <is>
          <t>UPPSALA LÄN</t>
        </is>
      </c>
      <c r="E681" t="inlineStr">
        <is>
          <t>UPPSALA</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10674-2022</t>
        </is>
      </c>
      <c r="B682" s="1" t="n">
        <v>44624</v>
      </c>
      <c r="C682" s="1" t="n">
        <v>45719</v>
      </c>
      <c r="D682" t="inlineStr">
        <is>
          <t>UPPSALA LÄN</t>
        </is>
      </c>
      <c r="E682" t="inlineStr">
        <is>
          <t>UPPSALA</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11162-2022</t>
        </is>
      </c>
      <c r="B683" s="1" t="n">
        <v>44629</v>
      </c>
      <c r="C683" s="1" t="n">
        <v>45719</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11224-2022</t>
        </is>
      </c>
      <c r="B684" s="1" t="n">
        <v>44629</v>
      </c>
      <c r="C684" s="1" t="n">
        <v>45719</v>
      </c>
      <c r="D684" t="inlineStr">
        <is>
          <t>UPPSALA LÄN</t>
        </is>
      </c>
      <c r="E684" t="inlineStr">
        <is>
          <t>UPPSALA</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11787-2022</t>
        </is>
      </c>
      <c r="B685" s="1" t="n">
        <v>44634</v>
      </c>
      <c r="C685" s="1" t="n">
        <v>45719</v>
      </c>
      <c r="D685" t="inlineStr">
        <is>
          <t>UPPSALA LÄN</t>
        </is>
      </c>
      <c r="E685" t="inlineStr">
        <is>
          <t>UPPSALA</t>
        </is>
      </c>
      <c r="F685" t="inlineStr">
        <is>
          <t>Holmen skog AB</t>
        </is>
      </c>
      <c r="G685" t="n">
        <v>6.2</v>
      </c>
      <c r="H685" t="n">
        <v>0</v>
      </c>
      <c r="I685" t="n">
        <v>0</v>
      </c>
      <c r="J685" t="n">
        <v>0</v>
      </c>
      <c r="K685" t="n">
        <v>0</v>
      </c>
      <c r="L685" t="n">
        <v>0</v>
      </c>
      <c r="M685" t="n">
        <v>0</v>
      </c>
      <c r="N685" t="n">
        <v>0</v>
      </c>
      <c r="O685" t="n">
        <v>0</v>
      </c>
      <c r="P685" t="n">
        <v>0</v>
      </c>
      <c r="Q685" t="n">
        <v>0</v>
      </c>
      <c r="R685" s="2" t="inlineStr"/>
    </row>
    <row r="686" ht="15" customHeight="1">
      <c r="A686" t="inlineStr">
        <is>
          <t>A 11693-2022</t>
        </is>
      </c>
      <c r="B686" s="1" t="n">
        <v>44634</v>
      </c>
      <c r="C686" s="1" t="n">
        <v>45719</v>
      </c>
      <c r="D686" t="inlineStr">
        <is>
          <t>UPPSALA LÄN</t>
        </is>
      </c>
      <c r="E686" t="inlineStr">
        <is>
          <t>UPPSALA</t>
        </is>
      </c>
      <c r="G686" t="n">
        <v>4</v>
      </c>
      <c r="H686" t="n">
        <v>0</v>
      </c>
      <c r="I686" t="n">
        <v>0</v>
      </c>
      <c r="J686" t="n">
        <v>0</v>
      </c>
      <c r="K686" t="n">
        <v>0</v>
      </c>
      <c r="L686" t="n">
        <v>0</v>
      </c>
      <c r="M686" t="n">
        <v>0</v>
      </c>
      <c r="N686" t="n">
        <v>0</v>
      </c>
      <c r="O686" t="n">
        <v>0</v>
      </c>
      <c r="P686" t="n">
        <v>0</v>
      </c>
      <c r="Q686" t="n">
        <v>0</v>
      </c>
      <c r="R686" s="2" t="inlineStr"/>
    </row>
    <row r="687" ht="15" customHeight="1">
      <c r="A687" t="inlineStr">
        <is>
          <t>A 12221-2022</t>
        </is>
      </c>
      <c r="B687" s="1" t="n">
        <v>44637</v>
      </c>
      <c r="C687" s="1" t="n">
        <v>45719</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12293-2022</t>
        </is>
      </c>
      <c r="B688" s="1" t="n">
        <v>44637</v>
      </c>
      <c r="C688" s="1" t="n">
        <v>45719</v>
      </c>
      <c r="D688" t="inlineStr">
        <is>
          <t>UPPSALA LÄN</t>
        </is>
      </c>
      <c r="E688" t="inlineStr">
        <is>
          <t>UPPSALA</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13009-2022</t>
        </is>
      </c>
      <c r="B689" s="1" t="n">
        <v>44643</v>
      </c>
      <c r="C689" s="1" t="n">
        <v>45719</v>
      </c>
      <c r="D689" t="inlineStr">
        <is>
          <t>UPPSALA LÄN</t>
        </is>
      </c>
      <c r="E689" t="inlineStr">
        <is>
          <t>UPPSALA</t>
        </is>
      </c>
      <c r="G689" t="n">
        <v>2.2</v>
      </c>
      <c r="H689" t="n">
        <v>0</v>
      </c>
      <c r="I689" t="n">
        <v>0</v>
      </c>
      <c r="J689" t="n">
        <v>0</v>
      </c>
      <c r="K689" t="n">
        <v>0</v>
      </c>
      <c r="L689" t="n">
        <v>0</v>
      </c>
      <c r="M689" t="n">
        <v>0</v>
      </c>
      <c r="N689" t="n">
        <v>0</v>
      </c>
      <c r="O689" t="n">
        <v>0</v>
      </c>
      <c r="P689" t="n">
        <v>0</v>
      </c>
      <c r="Q689" t="n">
        <v>0</v>
      </c>
      <c r="R689" s="2" t="inlineStr"/>
    </row>
    <row r="690" ht="15" customHeight="1">
      <c r="A690" t="inlineStr">
        <is>
          <t>A 13134-2022</t>
        </is>
      </c>
      <c r="B690" s="1" t="n">
        <v>44644</v>
      </c>
      <c r="C690" s="1" t="n">
        <v>45719</v>
      </c>
      <c r="D690" t="inlineStr">
        <is>
          <t>UPPSALA LÄN</t>
        </is>
      </c>
      <c r="E690" t="inlineStr">
        <is>
          <t>UPPSALA</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13128-2022</t>
        </is>
      </c>
      <c r="B691" s="1" t="n">
        <v>44644</v>
      </c>
      <c r="C691" s="1" t="n">
        <v>45719</v>
      </c>
      <c r="D691" t="inlineStr">
        <is>
          <t>UPPSALA LÄN</t>
        </is>
      </c>
      <c r="E691" t="inlineStr">
        <is>
          <t>UPPSALA</t>
        </is>
      </c>
      <c r="F691" t="inlineStr">
        <is>
          <t>Övriga Aktiebolag</t>
        </is>
      </c>
      <c r="G691" t="n">
        <v>3.7</v>
      </c>
      <c r="H691" t="n">
        <v>0</v>
      </c>
      <c r="I691" t="n">
        <v>0</v>
      </c>
      <c r="J691" t="n">
        <v>0</v>
      </c>
      <c r="K691" t="n">
        <v>0</v>
      </c>
      <c r="L691" t="n">
        <v>0</v>
      </c>
      <c r="M691" t="n">
        <v>0</v>
      </c>
      <c r="N691" t="n">
        <v>0</v>
      </c>
      <c r="O691" t="n">
        <v>0</v>
      </c>
      <c r="P691" t="n">
        <v>0</v>
      </c>
      <c r="Q691" t="n">
        <v>0</v>
      </c>
      <c r="R691" s="2" t="inlineStr"/>
    </row>
    <row r="692" ht="15" customHeight="1">
      <c r="A692" t="inlineStr">
        <is>
          <t>A 13386-2022</t>
        </is>
      </c>
      <c r="B692" s="1" t="n">
        <v>44645</v>
      </c>
      <c r="C692" s="1" t="n">
        <v>45719</v>
      </c>
      <c r="D692" t="inlineStr">
        <is>
          <t>UPPSALA LÄN</t>
        </is>
      </c>
      <c r="E692" t="inlineStr">
        <is>
          <t>UPPSALA</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13343-2022</t>
        </is>
      </c>
      <c r="B693" s="1" t="n">
        <v>44645</v>
      </c>
      <c r="C693" s="1" t="n">
        <v>45719</v>
      </c>
      <c r="D693" t="inlineStr">
        <is>
          <t>UPPSALA LÄN</t>
        </is>
      </c>
      <c r="E693" t="inlineStr">
        <is>
          <t>UPPSALA</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13892-2022</t>
        </is>
      </c>
      <c r="B694" s="1" t="n">
        <v>44649</v>
      </c>
      <c r="C694" s="1" t="n">
        <v>45719</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13901-2022</t>
        </is>
      </c>
      <c r="B695" s="1" t="n">
        <v>44649</v>
      </c>
      <c r="C695" s="1" t="n">
        <v>45719</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14337-2022</t>
        </is>
      </c>
      <c r="B696" s="1" t="n">
        <v>44652</v>
      </c>
      <c r="C696" s="1" t="n">
        <v>45719</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14355-2022</t>
        </is>
      </c>
      <c r="B697" s="1" t="n">
        <v>44652</v>
      </c>
      <c r="C697" s="1" t="n">
        <v>45719</v>
      </c>
      <c r="D697" t="inlineStr">
        <is>
          <t>UPPSALA LÄN</t>
        </is>
      </c>
      <c r="E697" t="inlineStr">
        <is>
          <t>UPPSALA</t>
        </is>
      </c>
      <c r="F697" t="inlineStr">
        <is>
          <t>Bergvik skog öst AB</t>
        </is>
      </c>
      <c r="G697" t="n">
        <v>7.8</v>
      </c>
      <c r="H697" t="n">
        <v>0</v>
      </c>
      <c r="I697" t="n">
        <v>0</v>
      </c>
      <c r="J697" t="n">
        <v>0</v>
      </c>
      <c r="K697" t="n">
        <v>0</v>
      </c>
      <c r="L697" t="n">
        <v>0</v>
      </c>
      <c r="M697" t="n">
        <v>0</v>
      </c>
      <c r="N697" t="n">
        <v>0</v>
      </c>
      <c r="O697" t="n">
        <v>0</v>
      </c>
      <c r="P697" t="n">
        <v>0</v>
      </c>
      <c r="Q697" t="n">
        <v>0</v>
      </c>
      <c r="R697" s="2" t="inlineStr"/>
    </row>
    <row r="698" ht="15" customHeight="1">
      <c r="A698" t="inlineStr">
        <is>
          <t>A 14340-2022</t>
        </is>
      </c>
      <c r="B698" s="1" t="n">
        <v>44652</v>
      </c>
      <c r="C698" s="1" t="n">
        <v>45719</v>
      </c>
      <c r="D698" t="inlineStr">
        <is>
          <t>UPPSALA LÄN</t>
        </is>
      </c>
      <c r="E698" t="inlineStr">
        <is>
          <t>UPPSALA</t>
        </is>
      </c>
      <c r="F698" t="inlineStr">
        <is>
          <t>Bergvik skog öst AB</t>
        </is>
      </c>
      <c r="G698" t="n">
        <v>4</v>
      </c>
      <c r="H698" t="n">
        <v>0</v>
      </c>
      <c r="I698" t="n">
        <v>0</v>
      </c>
      <c r="J698" t="n">
        <v>0</v>
      </c>
      <c r="K698" t="n">
        <v>0</v>
      </c>
      <c r="L698" t="n">
        <v>0</v>
      </c>
      <c r="M698" t="n">
        <v>0</v>
      </c>
      <c r="N698" t="n">
        <v>0</v>
      </c>
      <c r="O698" t="n">
        <v>0</v>
      </c>
      <c r="P698" t="n">
        <v>0</v>
      </c>
      <c r="Q698" t="n">
        <v>0</v>
      </c>
      <c r="R698" s="2" t="inlineStr"/>
    </row>
    <row r="699" ht="15" customHeight="1">
      <c r="A699" t="inlineStr">
        <is>
          <t>A 14622-2022</t>
        </is>
      </c>
      <c r="B699" s="1" t="n">
        <v>44655</v>
      </c>
      <c r="C699" s="1" t="n">
        <v>45719</v>
      </c>
      <c r="D699" t="inlineStr">
        <is>
          <t>UPPSALA LÄN</t>
        </is>
      </c>
      <c r="E699" t="inlineStr">
        <is>
          <t>UPPSALA</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15436-2022</t>
        </is>
      </c>
      <c r="B700" s="1" t="n">
        <v>44659</v>
      </c>
      <c r="C700" s="1" t="n">
        <v>45719</v>
      </c>
      <c r="D700" t="inlineStr">
        <is>
          <t>UPPSALA LÄN</t>
        </is>
      </c>
      <c r="E700" t="inlineStr">
        <is>
          <t>UPPSALA</t>
        </is>
      </c>
      <c r="G700" t="n">
        <v>14.4</v>
      </c>
      <c r="H700" t="n">
        <v>0</v>
      </c>
      <c r="I700" t="n">
        <v>0</v>
      </c>
      <c r="J700" t="n">
        <v>0</v>
      </c>
      <c r="K700" t="n">
        <v>0</v>
      </c>
      <c r="L700" t="n">
        <v>0</v>
      </c>
      <c r="M700" t="n">
        <v>0</v>
      </c>
      <c r="N700" t="n">
        <v>0</v>
      </c>
      <c r="O700" t="n">
        <v>0</v>
      </c>
      <c r="P700" t="n">
        <v>0</v>
      </c>
      <c r="Q700" t="n">
        <v>0</v>
      </c>
      <c r="R700" s="2" t="inlineStr"/>
    </row>
    <row r="701" ht="15" customHeight="1">
      <c r="A701" t="inlineStr">
        <is>
          <t>A 15377-2022</t>
        </is>
      </c>
      <c r="B701" s="1" t="n">
        <v>44659</v>
      </c>
      <c r="C701" s="1" t="n">
        <v>45719</v>
      </c>
      <c r="D701" t="inlineStr">
        <is>
          <t>UPPSALA LÄN</t>
        </is>
      </c>
      <c r="E701" t="inlineStr">
        <is>
          <t>UPPSALA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15310-2022</t>
        </is>
      </c>
      <c r="B702" s="1" t="n">
        <v>44659</v>
      </c>
      <c r="C702" s="1" t="n">
        <v>45719</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15583-2022</t>
        </is>
      </c>
      <c r="B703" s="1" t="n">
        <v>44662</v>
      </c>
      <c r="C703" s="1" t="n">
        <v>45719</v>
      </c>
      <c r="D703" t="inlineStr">
        <is>
          <t>UPPSALA LÄN</t>
        </is>
      </c>
      <c r="E703" t="inlineStr">
        <is>
          <t>UPPSALA</t>
        </is>
      </c>
      <c r="F703" t="inlineStr">
        <is>
          <t>Övriga Aktiebolag</t>
        </is>
      </c>
      <c r="G703" t="n">
        <v>4.3</v>
      </c>
      <c r="H703" t="n">
        <v>0</v>
      </c>
      <c r="I703" t="n">
        <v>0</v>
      </c>
      <c r="J703" t="n">
        <v>0</v>
      </c>
      <c r="K703" t="n">
        <v>0</v>
      </c>
      <c r="L703" t="n">
        <v>0</v>
      </c>
      <c r="M703" t="n">
        <v>0</v>
      </c>
      <c r="N703" t="n">
        <v>0</v>
      </c>
      <c r="O703" t="n">
        <v>0</v>
      </c>
      <c r="P703" t="n">
        <v>0</v>
      </c>
      <c r="Q703" t="n">
        <v>0</v>
      </c>
      <c r="R703" s="2" t="inlineStr"/>
    </row>
    <row r="704" ht="15" customHeight="1">
      <c r="A704" t="inlineStr">
        <is>
          <t>A 15735-2022</t>
        </is>
      </c>
      <c r="B704" s="1" t="n">
        <v>44663</v>
      </c>
      <c r="C704" s="1" t="n">
        <v>45719</v>
      </c>
      <c r="D704" t="inlineStr">
        <is>
          <t>UPPSALA LÄN</t>
        </is>
      </c>
      <c r="E704" t="inlineStr">
        <is>
          <t>UPPSALA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16126-2022</t>
        </is>
      </c>
      <c r="B705" s="1" t="n">
        <v>44665</v>
      </c>
      <c r="C705" s="1" t="n">
        <v>45719</v>
      </c>
      <c r="D705" t="inlineStr">
        <is>
          <t>UPPSALA LÄN</t>
        </is>
      </c>
      <c r="E705" t="inlineStr">
        <is>
          <t>UPPSALA</t>
        </is>
      </c>
      <c r="F705" t="inlineStr">
        <is>
          <t>Bergvik skog öst AB</t>
        </is>
      </c>
      <c r="G705" t="n">
        <v>4.4</v>
      </c>
      <c r="H705" t="n">
        <v>0</v>
      </c>
      <c r="I705" t="n">
        <v>0</v>
      </c>
      <c r="J705" t="n">
        <v>0</v>
      </c>
      <c r="K705" t="n">
        <v>0</v>
      </c>
      <c r="L705" t="n">
        <v>0</v>
      </c>
      <c r="M705" t="n">
        <v>0</v>
      </c>
      <c r="N705" t="n">
        <v>0</v>
      </c>
      <c r="O705" t="n">
        <v>0</v>
      </c>
      <c r="P705" t="n">
        <v>0</v>
      </c>
      <c r="Q705" t="n">
        <v>0</v>
      </c>
      <c r="R705" s="2" t="inlineStr"/>
    </row>
    <row r="706" ht="15" customHeight="1">
      <c r="A706" t="inlineStr">
        <is>
          <t>A 16804-2022</t>
        </is>
      </c>
      <c r="B706" s="1" t="n">
        <v>44673</v>
      </c>
      <c r="C706" s="1" t="n">
        <v>45719</v>
      </c>
      <c r="D706" t="inlineStr">
        <is>
          <t>UPPSALA LÄN</t>
        </is>
      </c>
      <c r="E706" t="inlineStr">
        <is>
          <t>UPPSALA</t>
        </is>
      </c>
      <c r="F706" t="inlineStr">
        <is>
          <t>Bergvik skog öst AB</t>
        </is>
      </c>
      <c r="G706" t="n">
        <v>3.5</v>
      </c>
      <c r="H706" t="n">
        <v>0</v>
      </c>
      <c r="I706" t="n">
        <v>0</v>
      </c>
      <c r="J706" t="n">
        <v>0</v>
      </c>
      <c r="K706" t="n">
        <v>0</v>
      </c>
      <c r="L706" t="n">
        <v>0</v>
      </c>
      <c r="M706" t="n">
        <v>0</v>
      </c>
      <c r="N706" t="n">
        <v>0</v>
      </c>
      <c r="O706" t="n">
        <v>0</v>
      </c>
      <c r="P706" t="n">
        <v>0</v>
      </c>
      <c r="Q706" t="n">
        <v>0</v>
      </c>
      <c r="R706" s="2" t="inlineStr"/>
    </row>
    <row r="707" ht="15" customHeight="1">
      <c r="A707" t="inlineStr">
        <is>
          <t>A 16828-2022</t>
        </is>
      </c>
      <c r="B707" s="1" t="n">
        <v>44673</v>
      </c>
      <c r="C707" s="1" t="n">
        <v>45719</v>
      </c>
      <c r="D707" t="inlineStr">
        <is>
          <t>UPPSALA LÄN</t>
        </is>
      </c>
      <c r="E707" t="inlineStr">
        <is>
          <t>UPPSALA</t>
        </is>
      </c>
      <c r="F707" t="inlineStr">
        <is>
          <t>Bergvik skog öst AB</t>
        </is>
      </c>
      <c r="G707" t="n">
        <v>4.1</v>
      </c>
      <c r="H707" t="n">
        <v>0</v>
      </c>
      <c r="I707" t="n">
        <v>0</v>
      </c>
      <c r="J707" t="n">
        <v>0</v>
      </c>
      <c r="K707" t="n">
        <v>0</v>
      </c>
      <c r="L707" t="n">
        <v>0</v>
      </c>
      <c r="M707" t="n">
        <v>0</v>
      </c>
      <c r="N707" t="n">
        <v>0</v>
      </c>
      <c r="O707" t="n">
        <v>0</v>
      </c>
      <c r="P707" t="n">
        <v>0</v>
      </c>
      <c r="Q707" t="n">
        <v>0</v>
      </c>
      <c r="R707" s="2" t="inlineStr"/>
    </row>
    <row r="708" ht="15" customHeight="1">
      <c r="A708" t="inlineStr">
        <is>
          <t>A 16827-2022</t>
        </is>
      </c>
      <c r="B708" s="1" t="n">
        <v>44673</v>
      </c>
      <c r="C708" s="1" t="n">
        <v>45719</v>
      </c>
      <c r="D708" t="inlineStr">
        <is>
          <t>UPPSALA LÄN</t>
        </is>
      </c>
      <c r="E708" t="inlineStr">
        <is>
          <t>UPPSALA</t>
        </is>
      </c>
      <c r="F708" t="inlineStr">
        <is>
          <t>Bergvik skog öst AB</t>
        </is>
      </c>
      <c r="G708" t="n">
        <v>0.8</v>
      </c>
      <c r="H708" t="n">
        <v>0</v>
      </c>
      <c r="I708" t="n">
        <v>0</v>
      </c>
      <c r="J708" t="n">
        <v>0</v>
      </c>
      <c r="K708" t="n">
        <v>0</v>
      </c>
      <c r="L708" t="n">
        <v>0</v>
      </c>
      <c r="M708" t="n">
        <v>0</v>
      </c>
      <c r="N708" t="n">
        <v>0</v>
      </c>
      <c r="O708" t="n">
        <v>0</v>
      </c>
      <c r="P708" t="n">
        <v>0</v>
      </c>
      <c r="Q708" t="n">
        <v>0</v>
      </c>
      <c r="R708" s="2" t="inlineStr"/>
    </row>
    <row r="709" ht="15" customHeight="1">
      <c r="A709" t="inlineStr">
        <is>
          <t>A 16831-2022</t>
        </is>
      </c>
      <c r="B709" s="1" t="n">
        <v>44673</v>
      </c>
      <c r="C709" s="1" t="n">
        <v>45719</v>
      </c>
      <c r="D709" t="inlineStr">
        <is>
          <t>UPPSALA LÄN</t>
        </is>
      </c>
      <c r="E709" t="inlineStr">
        <is>
          <t>UPPSALA</t>
        </is>
      </c>
      <c r="F709" t="inlineStr">
        <is>
          <t>Bergvik skog öst AB</t>
        </is>
      </c>
      <c r="G709" t="n">
        <v>5.8</v>
      </c>
      <c r="H709" t="n">
        <v>0</v>
      </c>
      <c r="I709" t="n">
        <v>0</v>
      </c>
      <c r="J709" t="n">
        <v>0</v>
      </c>
      <c r="K709" t="n">
        <v>0</v>
      </c>
      <c r="L709" t="n">
        <v>0</v>
      </c>
      <c r="M709" t="n">
        <v>0</v>
      </c>
      <c r="N709" t="n">
        <v>0</v>
      </c>
      <c r="O709" t="n">
        <v>0</v>
      </c>
      <c r="P709" t="n">
        <v>0</v>
      </c>
      <c r="Q709" t="n">
        <v>0</v>
      </c>
      <c r="R709" s="2" t="inlineStr"/>
    </row>
    <row r="710" ht="15" customHeight="1">
      <c r="A710" t="inlineStr">
        <is>
          <t>A 16826-2022</t>
        </is>
      </c>
      <c r="B710" s="1" t="n">
        <v>44673</v>
      </c>
      <c r="C710" s="1" t="n">
        <v>45719</v>
      </c>
      <c r="D710" t="inlineStr">
        <is>
          <t>UPPSALA LÄN</t>
        </is>
      </c>
      <c r="E710" t="inlineStr">
        <is>
          <t>UPPSALA</t>
        </is>
      </c>
      <c r="F710" t="inlineStr">
        <is>
          <t>Bergvik skog öst AB</t>
        </is>
      </c>
      <c r="G710" t="n">
        <v>7.1</v>
      </c>
      <c r="H710" t="n">
        <v>0</v>
      </c>
      <c r="I710" t="n">
        <v>0</v>
      </c>
      <c r="J710" t="n">
        <v>0</v>
      </c>
      <c r="K710" t="n">
        <v>0</v>
      </c>
      <c r="L710" t="n">
        <v>0</v>
      </c>
      <c r="M710" t="n">
        <v>0</v>
      </c>
      <c r="N710" t="n">
        <v>0</v>
      </c>
      <c r="O710" t="n">
        <v>0</v>
      </c>
      <c r="P710" t="n">
        <v>0</v>
      </c>
      <c r="Q710" t="n">
        <v>0</v>
      </c>
      <c r="R710" s="2" t="inlineStr"/>
    </row>
    <row r="711" ht="15" customHeight="1">
      <c r="A711" t="inlineStr">
        <is>
          <t>A 16761-2022</t>
        </is>
      </c>
      <c r="B711" s="1" t="n">
        <v>44673</v>
      </c>
      <c r="C711" s="1" t="n">
        <v>45719</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16942-2022</t>
        </is>
      </c>
      <c r="B712" s="1" t="n">
        <v>44676</v>
      </c>
      <c r="C712" s="1" t="n">
        <v>45719</v>
      </c>
      <c r="D712" t="inlineStr">
        <is>
          <t>UPPSALA LÄN</t>
        </is>
      </c>
      <c r="E712" t="inlineStr">
        <is>
          <t>UPPSALA</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16892-2022</t>
        </is>
      </c>
      <c r="B713" s="1" t="n">
        <v>44676</v>
      </c>
      <c r="C713" s="1" t="n">
        <v>45719</v>
      </c>
      <c r="D713" t="inlineStr">
        <is>
          <t>UPPSALA LÄN</t>
        </is>
      </c>
      <c r="E713" t="inlineStr">
        <is>
          <t>UPPSALA</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16978-2022</t>
        </is>
      </c>
      <c r="B714" s="1" t="n">
        <v>44676</v>
      </c>
      <c r="C714" s="1" t="n">
        <v>45719</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16898-2022</t>
        </is>
      </c>
      <c r="B715" s="1" t="n">
        <v>44676</v>
      </c>
      <c r="C715" s="1" t="n">
        <v>45719</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17232-2022</t>
        </is>
      </c>
      <c r="B716" s="1" t="n">
        <v>44678</v>
      </c>
      <c r="C716" s="1" t="n">
        <v>45719</v>
      </c>
      <c r="D716" t="inlineStr">
        <is>
          <t>UPPSALA LÄN</t>
        </is>
      </c>
      <c r="E716" t="inlineStr">
        <is>
          <t>UPPSALA</t>
        </is>
      </c>
      <c r="F716" t="inlineStr">
        <is>
          <t>Övriga Aktiebolag</t>
        </is>
      </c>
      <c r="G716" t="n">
        <v>7.4</v>
      </c>
      <c r="H716" t="n">
        <v>0</v>
      </c>
      <c r="I716" t="n">
        <v>0</v>
      </c>
      <c r="J716" t="n">
        <v>0</v>
      </c>
      <c r="K716" t="n">
        <v>0</v>
      </c>
      <c r="L716" t="n">
        <v>0</v>
      </c>
      <c r="M716" t="n">
        <v>0</v>
      </c>
      <c r="N716" t="n">
        <v>0</v>
      </c>
      <c r="O716" t="n">
        <v>0</v>
      </c>
      <c r="P716" t="n">
        <v>0</v>
      </c>
      <c r="Q716" t="n">
        <v>0</v>
      </c>
      <c r="R716" s="2" t="inlineStr"/>
    </row>
    <row r="717" ht="15" customHeight="1">
      <c r="A717" t="inlineStr">
        <is>
          <t>A 17562-2022</t>
        </is>
      </c>
      <c r="B717" s="1" t="n">
        <v>44679</v>
      </c>
      <c r="C717" s="1" t="n">
        <v>45719</v>
      </c>
      <c r="D717" t="inlineStr">
        <is>
          <t>UPPSALA LÄN</t>
        </is>
      </c>
      <c r="E717" t="inlineStr">
        <is>
          <t>UPPSALA</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17558-2022</t>
        </is>
      </c>
      <c r="B718" s="1" t="n">
        <v>44679</v>
      </c>
      <c r="C718" s="1" t="n">
        <v>45719</v>
      </c>
      <c r="D718" t="inlineStr">
        <is>
          <t>UPPSALA LÄN</t>
        </is>
      </c>
      <c r="E718" t="inlineStr">
        <is>
          <t>UPPSALA</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17981-2022</t>
        </is>
      </c>
      <c r="B719" s="1" t="n">
        <v>44683</v>
      </c>
      <c r="C719" s="1" t="n">
        <v>45719</v>
      </c>
      <c r="D719" t="inlineStr">
        <is>
          <t>UPPSALA LÄN</t>
        </is>
      </c>
      <c r="E719" t="inlineStr">
        <is>
          <t>UPPSALA</t>
        </is>
      </c>
      <c r="F719" t="inlineStr">
        <is>
          <t>Bergvik skog öst AB</t>
        </is>
      </c>
      <c r="G719" t="n">
        <v>6.7</v>
      </c>
      <c r="H719" t="n">
        <v>0</v>
      </c>
      <c r="I719" t="n">
        <v>0</v>
      </c>
      <c r="J719" t="n">
        <v>0</v>
      </c>
      <c r="K719" t="n">
        <v>0</v>
      </c>
      <c r="L719" t="n">
        <v>0</v>
      </c>
      <c r="M719" t="n">
        <v>0</v>
      </c>
      <c r="N719" t="n">
        <v>0</v>
      </c>
      <c r="O719" t="n">
        <v>0</v>
      </c>
      <c r="P719" t="n">
        <v>0</v>
      </c>
      <c r="Q719" t="n">
        <v>0</v>
      </c>
      <c r="R719" s="2" t="inlineStr"/>
    </row>
    <row r="720" ht="15" customHeight="1">
      <c r="A720" t="inlineStr">
        <is>
          <t>A 18330-2022</t>
        </is>
      </c>
      <c r="B720" s="1" t="n">
        <v>44685</v>
      </c>
      <c r="C720" s="1" t="n">
        <v>45719</v>
      </c>
      <c r="D720" t="inlineStr">
        <is>
          <t>UPPSALA LÄN</t>
        </is>
      </c>
      <c r="E720" t="inlineStr">
        <is>
          <t>UPPSALA</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18521-2022</t>
        </is>
      </c>
      <c r="B721" s="1" t="n">
        <v>44686</v>
      </c>
      <c r="C721" s="1" t="n">
        <v>45719</v>
      </c>
      <c r="D721" t="inlineStr">
        <is>
          <t>UPPSALA LÄN</t>
        </is>
      </c>
      <c r="E721" t="inlineStr">
        <is>
          <t>UPPSALA</t>
        </is>
      </c>
      <c r="F721" t="inlineStr">
        <is>
          <t>Bergvik skog öst AB</t>
        </is>
      </c>
      <c r="G721" t="n">
        <v>1.8</v>
      </c>
      <c r="H721" t="n">
        <v>0</v>
      </c>
      <c r="I721" t="n">
        <v>0</v>
      </c>
      <c r="J721" t="n">
        <v>0</v>
      </c>
      <c r="K721" t="n">
        <v>0</v>
      </c>
      <c r="L721" t="n">
        <v>0</v>
      </c>
      <c r="M721" t="n">
        <v>0</v>
      </c>
      <c r="N721" t="n">
        <v>0</v>
      </c>
      <c r="O721" t="n">
        <v>0</v>
      </c>
      <c r="P721" t="n">
        <v>0</v>
      </c>
      <c r="Q721" t="n">
        <v>0</v>
      </c>
      <c r="R721" s="2" t="inlineStr"/>
    </row>
    <row r="722" ht="15" customHeight="1">
      <c r="A722" t="inlineStr">
        <is>
          <t>A 18583-2022</t>
        </is>
      </c>
      <c r="B722" s="1" t="n">
        <v>44687</v>
      </c>
      <c r="C722" s="1" t="n">
        <v>45719</v>
      </c>
      <c r="D722" t="inlineStr">
        <is>
          <t>UPPSALA LÄN</t>
        </is>
      </c>
      <c r="E722" t="inlineStr">
        <is>
          <t>UPPSALA</t>
        </is>
      </c>
      <c r="F722" t="inlineStr">
        <is>
          <t>Övriga Aktiebolag</t>
        </is>
      </c>
      <c r="G722" t="n">
        <v>6.4</v>
      </c>
      <c r="H722" t="n">
        <v>0</v>
      </c>
      <c r="I722" t="n">
        <v>0</v>
      </c>
      <c r="J722" t="n">
        <v>0</v>
      </c>
      <c r="K722" t="n">
        <v>0</v>
      </c>
      <c r="L722" t="n">
        <v>0</v>
      </c>
      <c r="M722" t="n">
        <v>0</v>
      </c>
      <c r="N722" t="n">
        <v>0</v>
      </c>
      <c r="O722" t="n">
        <v>0</v>
      </c>
      <c r="P722" t="n">
        <v>0</v>
      </c>
      <c r="Q722" t="n">
        <v>0</v>
      </c>
      <c r="R722" s="2" t="inlineStr"/>
    </row>
    <row r="723" ht="15" customHeight="1">
      <c r="A723" t="inlineStr">
        <is>
          <t>A 18960-2022</t>
        </is>
      </c>
      <c r="B723" s="1" t="n">
        <v>44690</v>
      </c>
      <c r="C723" s="1" t="n">
        <v>45719</v>
      </c>
      <c r="D723" t="inlineStr">
        <is>
          <t>UPPSALA LÄN</t>
        </is>
      </c>
      <c r="E723" t="inlineStr">
        <is>
          <t>UPPSALA</t>
        </is>
      </c>
      <c r="F723" t="inlineStr">
        <is>
          <t>Bergvik skog öst AB</t>
        </is>
      </c>
      <c r="G723" t="n">
        <v>2.7</v>
      </c>
      <c r="H723" t="n">
        <v>0</v>
      </c>
      <c r="I723" t="n">
        <v>0</v>
      </c>
      <c r="J723" t="n">
        <v>0</v>
      </c>
      <c r="K723" t="n">
        <v>0</v>
      </c>
      <c r="L723" t="n">
        <v>0</v>
      </c>
      <c r="M723" t="n">
        <v>0</v>
      </c>
      <c r="N723" t="n">
        <v>0</v>
      </c>
      <c r="O723" t="n">
        <v>0</v>
      </c>
      <c r="P723" t="n">
        <v>0</v>
      </c>
      <c r="Q723" t="n">
        <v>0</v>
      </c>
      <c r="R723" s="2" t="inlineStr"/>
    </row>
    <row r="724" ht="15" customHeight="1">
      <c r="A724" t="inlineStr">
        <is>
          <t>A 19034-2022</t>
        </is>
      </c>
      <c r="B724" s="1" t="n">
        <v>44691</v>
      </c>
      <c r="C724" s="1" t="n">
        <v>45719</v>
      </c>
      <c r="D724" t="inlineStr">
        <is>
          <t>UPPSALA LÄN</t>
        </is>
      </c>
      <c r="E724" t="inlineStr">
        <is>
          <t>UPPSALA</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19240-2022</t>
        </is>
      </c>
      <c r="B725" s="1" t="n">
        <v>44692</v>
      </c>
      <c r="C725" s="1" t="n">
        <v>45719</v>
      </c>
      <c r="D725" t="inlineStr">
        <is>
          <t>UPPSALA LÄN</t>
        </is>
      </c>
      <c r="E725" t="inlineStr">
        <is>
          <t>UPPSALA</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19375-2022</t>
        </is>
      </c>
      <c r="B726" s="1" t="n">
        <v>44692</v>
      </c>
      <c r="C726" s="1" t="n">
        <v>45719</v>
      </c>
      <c r="D726" t="inlineStr">
        <is>
          <t>UPPSALA LÄN</t>
        </is>
      </c>
      <c r="E726" t="inlineStr">
        <is>
          <t>UPPSALA</t>
        </is>
      </c>
      <c r="F726" t="inlineStr">
        <is>
          <t>Bergvik skog öst AB</t>
        </is>
      </c>
      <c r="G726" t="n">
        <v>5</v>
      </c>
      <c r="H726" t="n">
        <v>0</v>
      </c>
      <c r="I726" t="n">
        <v>0</v>
      </c>
      <c r="J726" t="n">
        <v>0</v>
      </c>
      <c r="K726" t="n">
        <v>0</v>
      </c>
      <c r="L726" t="n">
        <v>0</v>
      </c>
      <c r="M726" t="n">
        <v>0</v>
      </c>
      <c r="N726" t="n">
        <v>0</v>
      </c>
      <c r="O726" t="n">
        <v>0</v>
      </c>
      <c r="P726" t="n">
        <v>0</v>
      </c>
      <c r="Q726" t="n">
        <v>0</v>
      </c>
      <c r="R726" s="2" t="inlineStr"/>
    </row>
    <row r="727" ht="15" customHeight="1">
      <c r="A727" t="inlineStr">
        <is>
          <t>A 19380-2022</t>
        </is>
      </c>
      <c r="B727" s="1" t="n">
        <v>44692</v>
      </c>
      <c r="C727" s="1" t="n">
        <v>45719</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19382-2022</t>
        </is>
      </c>
      <c r="B728" s="1" t="n">
        <v>44692</v>
      </c>
      <c r="C728" s="1" t="n">
        <v>45719</v>
      </c>
      <c r="D728" t="inlineStr">
        <is>
          <t>UPPSALA LÄN</t>
        </is>
      </c>
      <c r="E728" t="inlineStr">
        <is>
          <t>UPPSALA</t>
        </is>
      </c>
      <c r="G728" t="n">
        <v>4.3</v>
      </c>
      <c r="H728" t="n">
        <v>0</v>
      </c>
      <c r="I728" t="n">
        <v>0</v>
      </c>
      <c r="J728" t="n">
        <v>0</v>
      </c>
      <c r="K728" t="n">
        <v>0</v>
      </c>
      <c r="L728" t="n">
        <v>0</v>
      </c>
      <c r="M728" t="n">
        <v>0</v>
      </c>
      <c r="N728" t="n">
        <v>0</v>
      </c>
      <c r="O728" t="n">
        <v>0</v>
      </c>
      <c r="P728" t="n">
        <v>0</v>
      </c>
      <c r="Q728" t="n">
        <v>0</v>
      </c>
      <c r="R728" s="2" t="inlineStr"/>
    </row>
    <row r="729" ht="15" customHeight="1">
      <c r="A729" t="inlineStr">
        <is>
          <t>A 20265-2022</t>
        </is>
      </c>
      <c r="B729" s="1" t="n">
        <v>44698</v>
      </c>
      <c r="C729" s="1" t="n">
        <v>45719</v>
      </c>
      <c r="D729" t="inlineStr">
        <is>
          <t>UPPSALA LÄN</t>
        </is>
      </c>
      <c r="E729" t="inlineStr">
        <is>
          <t>UPPSALA</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20497-2022</t>
        </is>
      </c>
      <c r="B730" s="1" t="n">
        <v>44699</v>
      </c>
      <c r="C730" s="1" t="n">
        <v>45719</v>
      </c>
      <c r="D730" t="inlineStr">
        <is>
          <t>UPPSALA LÄN</t>
        </is>
      </c>
      <c r="E730" t="inlineStr">
        <is>
          <t>UPPSALA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20770-2022</t>
        </is>
      </c>
      <c r="B731" s="1" t="n">
        <v>44700</v>
      </c>
      <c r="C731" s="1" t="n">
        <v>45719</v>
      </c>
      <c r="D731" t="inlineStr">
        <is>
          <t>UPPSALA LÄN</t>
        </is>
      </c>
      <c r="E731" t="inlineStr">
        <is>
          <t>UPPSALA</t>
        </is>
      </c>
      <c r="G731" t="n">
        <v>3.7</v>
      </c>
      <c r="H731" t="n">
        <v>0</v>
      </c>
      <c r="I731" t="n">
        <v>0</v>
      </c>
      <c r="J731" t="n">
        <v>0</v>
      </c>
      <c r="K731" t="n">
        <v>0</v>
      </c>
      <c r="L731" t="n">
        <v>0</v>
      </c>
      <c r="M731" t="n">
        <v>0</v>
      </c>
      <c r="N731" t="n">
        <v>0</v>
      </c>
      <c r="O731" t="n">
        <v>0</v>
      </c>
      <c r="P731" t="n">
        <v>0</v>
      </c>
      <c r="Q731" t="n">
        <v>0</v>
      </c>
      <c r="R731" s="2" t="inlineStr"/>
    </row>
    <row r="732" ht="15" customHeight="1">
      <c r="A732" t="inlineStr">
        <is>
          <t>A 20764-2022</t>
        </is>
      </c>
      <c r="B732" s="1" t="n">
        <v>44700</v>
      </c>
      <c r="C732" s="1" t="n">
        <v>45719</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20938-2022</t>
        </is>
      </c>
      <c r="B733" s="1" t="n">
        <v>44701</v>
      </c>
      <c r="C733" s="1" t="n">
        <v>45719</v>
      </c>
      <c r="D733" t="inlineStr">
        <is>
          <t>UPPSALA LÄN</t>
        </is>
      </c>
      <c r="E733" t="inlineStr">
        <is>
          <t>UPPSALA</t>
        </is>
      </c>
      <c r="F733" t="inlineStr">
        <is>
          <t>Bergvik skog öst AB</t>
        </is>
      </c>
      <c r="G733" t="n">
        <v>7.2</v>
      </c>
      <c r="H733" t="n">
        <v>0</v>
      </c>
      <c r="I733" t="n">
        <v>0</v>
      </c>
      <c r="J733" t="n">
        <v>0</v>
      </c>
      <c r="K733" t="n">
        <v>0</v>
      </c>
      <c r="L733" t="n">
        <v>0</v>
      </c>
      <c r="M733" t="n">
        <v>0</v>
      </c>
      <c r="N733" t="n">
        <v>0</v>
      </c>
      <c r="O733" t="n">
        <v>0</v>
      </c>
      <c r="P733" t="n">
        <v>0</v>
      </c>
      <c r="Q733" t="n">
        <v>0</v>
      </c>
      <c r="R733" s="2" t="inlineStr"/>
    </row>
    <row r="734" ht="15" customHeight="1">
      <c r="A734" t="inlineStr">
        <is>
          <t>A 20936-2022</t>
        </is>
      </c>
      <c r="B734" s="1" t="n">
        <v>44701</v>
      </c>
      <c r="C734" s="1" t="n">
        <v>45719</v>
      </c>
      <c r="D734" t="inlineStr">
        <is>
          <t>UPPSALA LÄN</t>
        </is>
      </c>
      <c r="E734" t="inlineStr">
        <is>
          <t>UPPSALA</t>
        </is>
      </c>
      <c r="G734" t="n">
        <v>4.8</v>
      </c>
      <c r="H734" t="n">
        <v>0</v>
      </c>
      <c r="I734" t="n">
        <v>0</v>
      </c>
      <c r="J734" t="n">
        <v>0</v>
      </c>
      <c r="K734" t="n">
        <v>0</v>
      </c>
      <c r="L734" t="n">
        <v>0</v>
      </c>
      <c r="M734" t="n">
        <v>0</v>
      </c>
      <c r="N734" t="n">
        <v>0</v>
      </c>
      <c r="O734" t="n">
        <v>0</v>
      </c>
      <c r="P734" t="n">
        <v>0</v>
      </c>
      <c r="Q734" t="n">
        <v>0</v>
      </c>
      <c r="R734" s="2" t="inlineStr"/>
    </row>
    <row r="735" ht="15" customHeight="1">
      <c r="A735" t="inlineStr">
        <is>
          <t>A 20980-2022</t>
        </is>
      </c>
      <c r="B735" s="1" t="n">
        <v>44702</v>
      </c>
      <c r="C735" s="1" t="n">
        <v>45719</v>
      </c>
      <c r="D735" t="inlineStr">
        <is>
          <t>UPPSALA LÄN</t>
        </is>
      </c>
      <c r="E735" t="inlineStr">
        <is>
          <t>UPPSALA</t>
        </is>
      </c>
      <c r="G735" t="n">
        <v>0.8</v>
      </c>
      <c r="H735" t="n">
        <v>0</v>
      </c>
      <c r="I735" t="n">
        <v>0</v>
      </c>
      <c r="J735" t="n">
        <v>0</v>
      </c>
      <c r="K735" t="n">
        <v>0</v>
      </c>
      <c r="L735" t="n">
        <v>0</v>
      </c>
      <c r="M735" t="n">
        <v>0</v>
      </c>
      <c r="N735" t="n">
        <v>0</v>
      </c>
      <c r="O735" t="n">
        <v>0</v>
      </c>
      <c r="P735" t="n">
        <v>0</v>
      </c>
      <c r="Q735" t="n">
        <v>0</v>
      </c>
      <c r="R735" s="2" t="inlineStr"/>
    </row>
    <row r="736" ht="15" customHeight="1">
      <c r="A736" t="inlineStr">
        <is>
          <t>A 21181-2022</t>
        </is>
      </c>
      <c r="B736" s="1" t="n">
        <v>44704</v>
      </c>
      <c r="C736" s="1" t="n">
        <v>45719</v>
      </c>
      <c r="D736" t="inlineStr">
        <is>
          <t>UPPSALA LÄN</t>
        </is>
      </c>
      <c r="E736" t="inlineStr">
        <is>
          <t>UPPSALA</t>
        </is>
      </c>
      <c r="F736" t="inlineStr">
        <is>
          <t>Bergvik skog öst AB</t>
        </is>
      </c>
      <c r="G736" t="n">
        <v>2.8</v>
      </c>
      <c r="H736" t="n">
        <v>0</v>
      </c>
      <c r="I736" t="n">
        <v>0</v>
      </c>
      <c r="J736" t="n">
        <v>0</v>
      </c>
      <c r="K736" t="n">
        <v>0</v>
      </c>
      <c r="L736" t="n">
        <v>0</v>
      </c>
      <c r="M736" t="n">
        <v>0</v>
      </c>
      <c r="N736" t="n">
        <v>0</v>
      </c>
      <c r="O736" t="n">
        <v>0</v>
      </c>
      <c r="P736" t="n">
        <v>0</v>
      </c>
      <c r="Q736" t="n">
        <v>0</v>
      </c>
      <c r="R736" s="2" t="inlineStr"/>
    </row>
    <row r="737" ht="15" customHeight="1">
      <c r="A737" t="inlineStr">
        <is>
          <t>A 21228-2022</t>
        </is>
      </c>
      <c r="B737" s="1" t="n">
        <v>44704</v>
      </c>
      <c r="C737" s="1" t="n">
        <v>45719</v>
      </c>
      <c r="D737" t="inlineStr">
        <is>
          <t>UPPSALA LÄN</t>
        </is>
      </c>
      <c r="E737" t="inlineStr">
        <is>
          <t>UPPSALA</t>
        </is>
      </c>
      <c r="G737" t="n">
        <v>0.2</v>
      </c>
      <c r="H737" t="n">
        <v>0</v>
      </c>
      <c r="I737" t="n">
        <v>0</v>
      </c>
      <c r="J737" t="n">
        <v>0</v>
      </c>
      <c r="K737" t="n">
        <v>0</v>
      </c>
      <c r="L737" t="n">
        <v>0</v>
      </c>
      <c r="M737" t="n">
        <v>0</v>
      </c>
      <c r="N737" t="n">
        <v>0</v>
      </c>
      <c r="O737" t="n">
        <v>0</v>
      </c>
      <c r="P737" t="n">
        <v>0</v>
      </c>
      <c r="Q737" t="n">
        <v>0</v>
      </c>
      <c r="R737" s="2" t="inlineStr"/>
    </row>
    <row r="738" ht="15" customHeight="1">
      <c r="A738" t="inlineStr">
        <is>
          <t>A 21387-2022</t>
        </is>
      </c>
      <c r="B738" s="1" t="n">
        <v>44705</v>
      </c>
      <c r="C738" s="1" t="n">
        <v>45719</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21391-2022</t>
        </is>
      </c>
      <c r="B739" s="1" t="n">
        <v>44705</v>
      </c>
      <c r="C739" s="1" t="n">
        <v>45719</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21394-2022</t>
        </is>
      </c>
      <c r="B740" s="1" t="n">
        <v>44705</v>
      </c>
      <c r="C740" s="1" t="n">
        <v>45719</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22021-2022</t>
        </is>
      </c>
      <c r="B741" s="1" t="n">
        <v>44711</v>
      </c>
      <c r="C741" s="1" t="n">
        <v>45719</v>
      </c>
      <c r="D741" t="inlineStr">
        <is>
          <t>UPPSALA LÄN</t>
        </is>
      </c>
      <c r="E741" t="inlineStr">
        <is>
          <t>UPPSALA</t>
        </is>
      </c>
      <c r="F741" t="inlineStr">
        <is>
          <t>Allmännings- och besparingsskogar</t>
        </is>
      </c>
      <c r="G741" t="n">
        <v>2.1</v>
      </c>
      <c r="H741" t="n">
        <v>0</v>
      </c>
      <c r="I741" t="n">
        <v>0</v>
      </c>
      <c r="J741" t="n">
        <v>0</v>
      </c>
      <c r="K741" t="n">
        <v>0</v>
      </c>
      <c r="L741" t="n">
        <v>0</v>
      </c>
      <c r="M741" t="n">
        <v>0</v>
      </c>
      <c r="N741" t="n">
        <v>0</v>
      </c>
      <c r="O741" t="n">
        <v>0</v>
      </c>
      <c r="P741" t="n">
        <v>0</v>
      </c>
      <c r="Q741" t="n">
        <v>0</v>
      </c>
      <c r="R741" s="2" t="inlineStr"/>
    </row>
    <row r="742" ht="15" customHeight="1">
      <c r="A742" t="inlineStr">
        <is>
          <t>A 22390-2022</t>
        </is>
      </c>
      <c r="B742" s="1" t="n">
        <v>44713</v>
      </c>
      <c r="C742" s="1" t="n">
        <v>45719</v>
      </c>
      <c r="D742" t="inlineStr">
        <is>
          <t>UPPSALA LÄN</t>
        </is>
      </c>
      <c r="E742" t="inlineStr">
        <is>
          <t>UPPSALA</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22429-2022</t>
        </is>
      </c>
      <c r="B743" s="1" t="n">
        <v>44713</v>
      </c>
      <c r="C743" s="1" t="n">
        <v>45719</v>
      </c>
      <c r="D743" t="inlineStr">
        <is>
          <t>UPPSALA LÄN</t>
        </is>
      </c>
      <c r="E743" t="inlineStr">
        <is>
          <t>UPPSALA</t>
        </is>
      </c>
      <c r="F743" t="inlineStr">
        <is>
          <t>Bergvik skog öst AB</t>
        </is>
      </c>
      <c r="G743" t="n">
        <v>3.6</v>
      </c>
      <c r="H743" t="n">
        <v>0</v>
      </c>
      <c r="I743" t="n">
        <v>0</v>
      </c>
      <c r="J743" t="n">
        <v>0</v>
      </c>
      <c r="K743" t="n">
        <v>0</v>
      </c>
      <c r="L743" t="n">
        <v>0</v>
      </c>
      <c r="M743" t="n">
        <v>0</v>
      </c>
      <c r="N743" t="n">
        <v>0</v>
      </c>
      <c r="O743" t="n">
        <v>0</v>
      </c>
      <c r="P743" t="n">
        <v>0</v>
      </c>
      <c r="Q743" t="n">
        <v>0</v>
      </c>
      <c r="R743" s="2" t="inlineStr"/>
    </row>
    <row r="744" ht="15" customHeight="1">
      <c r="A744" t="inlineStr">
        <is>
          <t>A 22645-2022</t>
        </is>
      </c>
      <c r="B744" s="1" t="n">
        <v>44714</v>
      </c>
      <c r="C744" s="1" t="n">
        <v>45719</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23324-2022</t>
        </is>
      </c>
      <c r="B745" s="1" t="n">
        <v>44720</v>
      </c>
      <c r="C745" s="1" t="n">
        <v>45719</v>
      </c>
      <c r="D745" t="inlineStr">
        <is>
          <t>UPPSALA LÄN</t>
        </is>
      </c>
      <c r="E745" t="inlineStr">
        <is>
          <t>UPPSALA</t>
        </is>
      </c>
      <c r="G745" t="n">
        <v>1.5</v>
      </c>
      <c r="H745" t="n">
        <v>0</v>
      </c>
      <c r="I745" t="n">
        <v>0</v>
      </c>
      <c r="J745" t="n">
        <v>0</v>
      </c>
      <c r="K745" t="n">
        <v>0</v>
      </c>
      <c r="L745" t="n">
        <v>0</v>
      </c>
      <c r="M745" t="n">
        <v>0</v>
      </c>
      <c r="N745" t="n">
        <v>0</v>
      </c>
      <c r="O745" t="n">
        <v>0</v>
      </c>
      <c r="P745" t="n">
        <v>0</v>
      </c>
      <c r="Q745" t="n">
        <v>0</v>
      </c>
      <c r="R745" s="2" t="inlineStr"/>
    </row>
    <row r="746" ht="15" customHeight="1">
      <c r="A746" t="inlineStr">
        <is>
          <t>A 23289-2022</t>
        </is>
      </c>
      <c r="B746" s="1" t="n">
        <v>44720</v>
      </c>
      <c r="C746" s="1" t="n">
        <v>45719</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23761-2022</t>
        </is>
      </c>
      <c r="B747" s="1" t="n">
        <v>44722</v>
      </c>
      <c r="C747" s="1" t="n">
        <v>45719</v>
      </c>
      <c r="D747" t="inlineStr">
        <is>
          <t>UPPSALA LÄN</t>
        </is>
      </c>
      <c r="E747" t="inlineStr">
        <is>
          <t>UPPSALA</t>
        </is>
      </c>
      <c r="F747" t="inlineStr">
        <is>
          <t>Bergvik skog öst AB</t>
        </is>
      </c>
      <c r="G747" t="n">
        <v>7.3</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v>
      </c>
      <c r="C748" s="1" t="n">
        <v>45719</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23717-2022</t>
        </is>
      </c>
      <c r="B749" s="1" t="n">
        <v>44722</v>
      </c>
      <c r="C749" s="1" t="n">
        <v>45719</v>
      </c>
      <c r="D749" t="inlineStr">
        <is>
          <t>UPPSALA LÄN</t>
        </is>
      </c>
      <c r="E749" t="inlineStr">
        <is>
          <t>UPPSALA</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23730-2022</t>
        </is>
      </c>
      <c r="B750" s="1" t="n">
        <v>44722</v>
      </c>
      <c r="C750" s="1" t="n">
        <v>45719</v>
      </c>
      <c r="D750" t="inlineStr">
        <is>
          <t>UPPSALA LÄN</t>
        </is>
      </c>
      <c r="E750" t="inlineStr">
        <is>
          <t>UPPSALA</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24420-2022</t>
        </is>
      </c>
      <c r="B751" s="1" t="n">
        <v>44726</v>
      </c>
      <c r="C751" s="1" t="n">
        <v>45719</v>
      </c>
      <c r="D751" t="inlineStr">
        <is>
          <t>UPPSALA LÄN</t>
        </is>
      </c>
      <c r="E751" t="inlineStr">
        <is>
          <t>UPPSALA</t>
        </is>
      </c>
      <c r="F751" t="inlineStr">
        <is>
          <t>Bergvik skog öst AB</t>
        </is>
      </c>
      <c r="G751" t="n">
        <v>2.9</v>
      </c>
      <c r="H751" t="n">
        <v>0</v>
      </c>
      <c r="I751" t="n">
        <v>0</v>
      </c>
      <c r="J751" t="n">
        <v>0</v>
      </c>
      <c r="K751" t="n">
        <v>0</v>
      </c>
      <c r="L751" t="n">
        <v>0</v>
      </c>
      <c r="M751" t="n">
        <v>0</v>
      </c>
      <c r="N751" t="n">
        <v>0</v>
      </c>
      <c r="O751" t="n">
        <v>0</v>
      </c>
      <c r="P751" t="n">
        <v>0</v>
      </c>
      <c r="Q751" t="n">
        <v>0</v>
      </c>
      <c r="R751" s="2" t="inlineStr"/>
    </row>
    <row r="752" ht="15" customHeight="1">
      <c r="A752" t="inlineStr">
        <is>
          <t>A 24401-2022</t>
        </is>
      </c>
      <c r="B752" s="1" t="n">
        <v>44726</v>
      </c>
      <c r="C752" s="1" t="n">
        <v>45719</v>
      </c>
      <c r="D752" t="inlineStr">
        <is>
          <t>UPPSALA LÄN</t>
        </is>
      </c>
      <c r="E752" t="inlineStr">
        <is>
          <t>UPPSALA</t>
        </is>
      </c>
      <c r="F752" t="inlineStr">
        <is>
          <t>Bergvik skog öst AB</t>
        </is>
      </c>
      <c r="G752" t="n">
        <v>4.8</v>
      </c>
      <c r="H752" t="n">
        <v>0</v>
      </c>
      <c r="I752" t="n">
        <v>0</v>
      </c>
      <c r="J752" t="n">
        <v>0</v>
      </c>
      <c r="K752" t="n">
        <v>0</v>
      </c>
      <c r="L752" t="n">
        <v>0</v>
      </c>
      <c r="M752" t="n">
        <v>0</v>
      </c>
      <c r="N752" t="n">
        <v>0</v>
      </c>
      <c r="O752" t="n">
        <v>0</v>
      </c>
      <c r="P752" t="n">
        <v>0</v>
      </c>
      <c r="Q752" t="n">
        <v>0</v>
      </c>
      <c r="R752" s="2" t="inlineStr"/>
    </row>
    <row r="753" ht="15" customHeight="1">
      <c r="A753" t="inlineStr">
        <is>
          <t>A 24409-2022</t>
        </is>
      </c>
      <c r="B753" s="1" t="n">
        <v>44726</v>
      </c>
      <c r="C753" s="1" t="n">
        <v>45719</v>
      </c>
      <c r="D753" t="inlineStr">
        <is>
          <t>UPPSALA LÄN</t>
        </is>
      </c>
      <c r="E753" t="inlineStr">
        <is>
          <t>UPPSALA</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25178-2022</t>
        </is>
      </c>
      <c r="B754" s="1" t="n">
        <v>44729</v>
      </c>
      <c r="C754" s="1" t="n">
        <v>45719</v>
      </c>
      <c r="D754" t="inlineStr">
        <is>
          <t>UPPSALA LÄN</t>
        </is>
      </c>
      <c r="E754" t="inlineStr">
        <is>
          <t>UPPSALA</t>
        </is>
      </c>
      <c r="F754" t="inlineStr">
        <is>
          <t>Holmen skog AB</t>
        </is>
      </c>
      <c r="G754" t="n">
        <v>4.6</v>
      </c>
      <c r="H754" t="n">
        <v>0</v>
      </c>
      <c r="I754" t="n">
        <v>0</v>
      </c>
      <c r="J754" t="n">
        <v>0</v>
      </c>
      <c r="K754" t="n">
        <v>0</v>
      </c>
      <c r="L754" t="n">
        <v>0</v>
      </c>
      <c r="M754" t="n">
        <v>0</v>
      </c>
      <c r="N754" t="n">
        <v>0</v>
      </c>
      <c r="O754" t="n">
        <v>0</v>
      </c>
      <c r="P754" t="n">
        <v>0</v>
      </c>
      <c r="Q754" t="n">
        <v>0</v>
      </c>
      <c r="R754" s="2" t="inlineStr"/>
    </row>
    <row r="755" ht="15" customHeight="1">
      <c r="A755" t="inlineStr">
        <is>
          <t>A 25120-2022</t>
        </is>
      </c>
      <c r="B755" s="1" t="n">
        <v>44729</v>
      </c>
      <c r="C755" s="1" t="n">
        <v>45719</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25759-2022</t>
        </is>
      </c>
      <c r="B756" s="1" t="n">
        <v>44733</v>
      </c>
      <c r="C756" s="1" t="n">
        <v>45719</v>
      </c>
      <c r="D756" t="inlineStr">
        <is>
          <t>UPPSALA LÄN</t>
        </is>
      </c>
      <c r="E756" t="inlineStr">
        <is>
          <t>UPPSALA</t>
        </is>
      </c>
      <c r="F756" t="inlineStr">
        <is>
          <t>Bergvik skog öst AB</t>
        </is>
      </c>
      <c r="G756" t="n">
        <v>1.3</v>
      </c>
      <c r="H756" t="n">
        <v>0</v>
      </c>
      <c r="I756" t="n">
        <v>0</v>
      </c>
      <c r="J756" t="n">
        <v>0</v>
      </c>
      <c r="K756" t="n">
        <v>0</v>
      </c>
      <c r="L756" t="n">
        <v>0</v>
      </c>
      <c r="M756" t="n">
        <v>0</v>
      </c>
      <c r="N756" t="n">
        <v>0</v>
      </c>
      <c r="O756" t="n">
        <v>0</v>
      </c>
      <c r="P756" t="n">
        <v>0</v>
      </c>
      <c r="Q756" t="n">
        <v>0</v>
      </c>
      <c r="R756" s="2" t="inlineStr"/>
    </row>
    <row r="757" ht="15" customHeight="1">
      <c r="A757" t="inlineStr">
        <is>
          <t>A 25809-2022</t>
        </is>
      </c>
      <c r="B757" s="1" t="n">
        <v>44733</v>
      </c>
      <c r="C757" s="1" t="n">
        <v>45719</v>
      </c>
      <c r="D757" t="inlineStr">
        <is>
          <t>UPPSALA LÄN</t>
        </is>
      </c>
      <c r="E757" t="inlineStr">
        <is>
          <t>UPPSALA</t>
        </is>
      </c>
      <c r="F757" t="inlineStr">
        <is>
          <t>Bergvik skog öst AB</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25745-2022</t>
        </is>
      </c>
      <c r="B758" s="1" t="n">
        <v>44733</v>
      </c>
      <c r="C758" s="1" t="n">
        <v>45719</v>
      </c>
      <c r="D758" t="inlineStr">
        <is>
          <t>UPPSALA LÄN</t>
        </is>
      </c>
      <c r="E758" t="inlineStr">
        <is>
          <t>UPPSALA</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25776-2022</t>
        </is>
      </c>
      <c r="B759" s="1" t="n">
        <v>44733</v>
      </c>
      <c r="C759" s="1" t="n">
        <v>45719</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26609-2022</t>
        </is>
      </c>
      <c r="B760" s="1" t="n">
        <v>44739</v>
      </c>
      <c r="C760" s="1" t="n">
        <v>45719</v>
      </c>
      <c r="D760" t="inlineStr">
        <is>
          <t>UPPSALA LÄN</t>
        </is>
      </c>
      <c r="E760" t="inlineStr">
        <is>
          <t>UPPSALA</t>
        </is>
      </c>
      <c r="F760" t="inlineStr">
        <is>
          <t>Bergvik skog öst AB</t>
        </is>
      </c>
      <c r="G760" t="n">
        <v>1.5</v>
      </c>
      <c r="H760" t="n">
        <v>0</v>
      </c>
      <c r="I760" t="n">
        <v>0</v>
      </c>
      <c r="J760" t="n">
        <v>0</v>
      </c>
      <c r="K760" t="n">
        <v>0</v>
      </c>
      <c r="L760" t="n">
        <v>0</v>
      </c>
      <c r="M760" t="n">
        <v>0</v>
      </c>
      <c r="N760" t="n">
        <v>0</v>
      </c>
      <c r="O760" t="n">
        <v>0</v>
      </c>
      <c r="P760" t="n">
        <v>0</v>
      </c>
      <c r="Q760" t="n">
        <v>0</v>
      </c>
      <c r="R760" s="2" t="inlineStr"/>
    </row>
    <row r="761" ht="15" customHeight="1">
      <c r="A761" t="inlineStr">
        <is>
          <t>A 26958-2022</t>
        </is>
      </c>
      <c r="B761" s="1" t="n">
        <v>44740</v>
      </c>
      <c r="C761" s="1" t="n">
        <v>45719</v>
      </c>
      <c r="D761" t="inlineStr">
        <is>
          <t>UPPSALA LÄN</t>
        </is>
      </c>
      <c r="E761" t="inlineStr">
        <is>
          <t>UPPSALA</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26972-2022</t>
        </is>
      </c>
      <c r="B762" s="1" t="n">
        <v>44740</v>
      </c>
      <c r="C762" s="1" t="n">
        <v>45719</v>
      </c>
      <c r="D762" t="inlineStr">
        <is>
          <t>UPPSALA LÄN</t>
        </is>
      </c>
      <c r="E762" t="inlineStr">
        <is>
          <t>UPPSALA</t>
        </is>
      </c>
      <c r="F762" t="inlineStr">
        <is>
          <t>Bergvik skog öst AB</t>
        </is>
      </c>
      <c r="G762" t="n">
        <v>1.2</v>
      </c>
      <c r="H762" t="n">
        <v>0</v>
      </c>
      <c r="I762" t="n">
        <v>0</v>
      </c>
      <c r="J762" t="n">
        <v>0</v>
      </c>
      <c r="K762" t="n">
        <v>0</v>
      </c>
      <c r="L762" t="n">
        <v>0</v>
      </c>
      <c r="M762" t="n">
        <v>0</v>
      </c>
      <c r="N762" t="n">
        <v>0</v>
      </c>
      <c r="O762" t="n">
        <v>0</v>
      </c>
      <c r="P762" t="n">
        <v>0</v>
      </c>
      <c r="Q762" t="n">
        <v>0</v>
      </c>
      <c r="R762" s="2" t="inlineStr"/>
    </row>
    <row r="763" ht="15" customHeight="1">
      <c r="A763" t="inlineStr">
        <is>
          <t>A 27372-2022</t>
        </is>
      </c>
      <c r="B763" s="1" t="n">
        <v>44742</v>
      </c>
      <c r="C763" s="1" t="n">
        <v>45719</v>
      </c>
      <c r="D763" t="inlineStr">
        <is>
          <t>UPPSALA LÄN</t>
        </is>
      </c>
      <c r="E763" t="inlineStr">
        <is>
          <t>UPPSALA</t>
        </is>
      </c>
      <c r="G763" t="n">
        <v>1.6</v>
      </c>
      <c r="H763" t="n">
        <v>0</v>
      </c>
      <c r="I763" t="n">
        <v>0</v>
      </c>
      <c r="J763" t="n">
        <v>0</v>
      </c>
      <c r="K763" t="n">
        <v>0</v>
      </c>
      <c r="L763" t="n">
        <v>0</v>
      </c>
      <c r="M763" t="n">
        <v>0</v>
      </c>
      <c r="N763" t="n">
        <v>0</v>
      </c>
      <c r="O763" t="n">
        <v>0</v>
      </c>
      <c r="P763" t="n">
        <v>0</v>
      </c>
      <c r="Q763" t="n">
        <v>0</v>
      </c>
      <c r="R763" s="2" t="inlineStr"/>
    </row>
    <row r="764" ht="15" customHeight="1">
      <c r="A764" t="inlineStr">
        <is>
          <t>A 27369-2022</t>
        </is>
      </c>
      <c r="B764" s="1" t="n">
        <v>44742</v>
      </c>
      <c r="C764" s="1" t="n">
        <v>45719</v>
      </c>
      <c r="D764" t="inlineStr">
        <is>
          <t>UPPSALA LÄN</t>
        </is>
      </c>
      <c r="E764" t="inlineStr">
        <is>
          <t>UPPSALA</t>
        </is>
      </c>
      <c r="G764" t="n">
        <v>4.5</v>
      </c>
      <c r="H764" t="n">
        <v>0</v>
      </c>
      <c r="I764" t="n">
        <v>0</v>
      </c>
      <c r="J764" t="n">
        <v>0</v>
      </c>
      <c r="K764" t="n">
        <v>0</v>
      </c>
      <c r="L764" t="n">
        <v>0</v>
      </c>
      <c r="M764" t="n">
        <v>0</v>
      </c>
      <c r="N764" t="n">
        <v>0</v>
      </c>
      <c r="O764" t="n">
        <v>0</v>
      </c>
      <c r="P764" t="n">
        <v>0</v>
      </c>
      <c r="Q764" t="n">
        <v>0</v>
      </c>
      <c r="R764" s="2" t="inlineStr"/>
    </row>
    <row r="765" ht="15" customHeight="1">
      <c r="A765" t="inlineStr">
        <is>
          <t>A 27390-2022</t>
        </is>
      </c>
      <c r="B765" s="1" t="n">
        <v>44742</v>
      </c>
      <c r="C765" s="1" t="n">
        <v>45719</v>
      </c>
      <c r="D765" t="inlineStr">
        <is>
          <t>UPPSALA LÄN</t>
        </is>
      </c>
      <c r="E765" t="inlineStr">
        <is>
          <t>UPPSALA</t>
        </is>
      </c>
      <c r="G765" t="n">
        <v>3.3</v>
      </c>
      <c r="H765" t="n">
        <v>0</v>
      </c>
      <c r="I765" t="n">
        <v>0</v>
      </c>
      <c r="J765" t="n">
        <v>0</v>
      </c>
      <c r="K765" t="n">
        <v>0</v>
      </c>
      <c r="L765" t="n">
        <v>0</v>
      </c>
      <c r="M765" t="n">
        <v>0</v>
      </c>
      <c r="N765" t="n">
        <v>0</v>
      </c>
      <c r="O765" t="n">
        <v>0</v>
      </c>
      <c r="P765" t="n">
        <v>0</v>
      </c>
      <c r="Q765" t="n">
        <v>0</v>
      </c>
      <c r="R765" s="2" t="inlineStr"/>
    </row>
    <row r="766" ht="15" customHeight="1">
      <c r="A766" t="inlineStr">
        <is>
          <t>A 27397-2022</t>
        </is>
      </c>
      <c r="B766" s="1" t="n">
        <v>44742</v>
      </c>
      <c r="C766" s="1" t="n">
        <v>45719</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27546-2022</t>
        </is>
      </c>
      <c r="B767" s="1" t="n">
        <v>44742</v>
      </c>
      <c r="C767" s="1" t="n">
        <v>45719</v>
      </c>
      <c r="D767" t="inlineStr">
        <is>
          <t>UPPSALA LÄN</t>
        </is>
      </c>
      <c r="E767" t="inlineStr">
        <is>
          <t>UPPSALA</t>
        </is>
      </c>
      <c r="G767" t="n">
        <v>3.4</v>
      </c>
      <c r="H767" t="n">
        <v>0</v>
      </c>
      <c r="I767" t="n">
        <v>0</v>
      </c>
      <c r="J767" t="n">
        <v>0</v>
      </c>
      <c r="K767" t="n">
        <v>0</v>
      </c>
      <c r="L767" t="n">
        <v>0</v>
      </c>
      <c r="M767" t="n">
        <v>0</v>
      </c>
      <c r="N767" t="n">
        <v>0</v>
      </c>
      <c r="O767" t="n">
        <v>0</v>
      </c>
      <c r="P767" t="n">
        <v>0</v>
      </c>
      <c r="Q767" t="n">
        <v>0</v>
      </c>
      <c r="R767" s="2" t="inlineStr"/>
    </row>
    <row r="768" ht="15" customHeight="1">
      <c r="A768" t="inlineStr">
        <is>
          <t>A 27543-2022</t>
        </is>
      </c>
      <c r="B768" s="1" t="n">
        <v>44742</v>
      </c>
      <c r="C768" s="1" t="n">
        <v>45719</v>
      </c>
      <c r="D768" t="inlineStr">
        <is>
          <t>UPPSALA LÄN</t>
        </is>
      </c>
      <c r="E768" t="inlineStr">
        <is>
          <t>UPPSALA</t>
        </is>
      </c>
      <c r="F768" t="inlineStr">
        <is>
          <t>Kyrkan</t>
        </is>
      </c>
      <c r="G768" t="n">
        <v>2.6</v>
      </c>
      <c r="H768" t="n">
        <v>0</v>
      </c>
      <c r="I768" t="n">
        <v>0</v>
      </c>
      <c r="J768" t="n">
        <v>0</v>
      </c>
      <c r="K768" t="n">
        <v>0</v>
      </c>
      <c r="L768" t="n">
        <v>0</v>
      </c>
      <c r="M768" t="n">
        <v>0</v>
      </c>
      <c r="N768" t="n">
        <v>0</v>
      </c>
      <c r="O768" t="n">
        <v>0</v>
      </c>
      <c r="P768" t="n">
        <v>0</v>
      </c>
      <c r="Q768" t="n">
        <v>0</v>
      </c>
      <c r="R768" s="2" t="inlineStr"/>
    </row>
    <row r="769" ht="15" customHeight="1">
      <c r="A769" t="inlineStr">
        <is>
          <t>A 27763-2022</t>
        </is>
      </c>
      <c r="B769" s="1" t="n">
        <v>44743</v>
      </c>
      <c r="C769" s="1" t="n">
        <v>45719</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27762-2022</t>
        </is>
      </c>
      <c r="B770" s="1" t="n">
        <v>44743</v>
      </c>
      <c r="C770" s="1" t="n">
        <v>45719</v>
      </c>
      <c r="D770" t="inlineStr">
        <is>
          <t>UPPSALA LÄN</t>
        </is>
      </c>
      <c r="E770" t="inlineStr">
        <is>
          <t>UPPSALA</t>
        </is>
      </c>
      <c r="G770" t="n">
        <v>3.5</v>
      </c>
      <c r="H770" t="n">
        <v>0</v>
      </c>
      <c r="I770" t="n">
        <v>0</v>
      </c>
      <c r="J770" t="n">
        <v>0</v>
      </c>
      <c r="K770" t="n">
        <v>0</v>
      </c>
      <c r="L770" t="n">
        <v>0</v>
      </c>
      <c r="M770" t="n">
        <v>0</v>
      </c>
      <c r="N770" t="n">
        <v>0</v>
      </c>
      <c r="O770" t="n">
        <v>0</v>
      </c>
      <c r="P770" t="n">
        <v>0</v>
      </c>
      <c r="Q770" t="n">
        <v>0</v>
      </c>
      <c r="R770" s="2" t="inlineStr"/>
    </row>
    <row r="771" ht="15" customHeight="1">
      <c r="A771" t="inlineStr">
        <is>
          <t>A 29277-2022</t>
        </is>
      </c>
      <c r="B771" s="1" t="n">
        <v>44750</v>
      </c>
      <c r="C771" s="1" t="n">
        <v>45719</v>
      </c>
      <c r="D771" t="inlineStr">
        <is>
          <t>UPPSALA LÄN</t>
        </is>
      </c>
      <c r="E771" t="inlineStr">
        <is>
          <t>UPPSALA</t>
        </is>
      </c>
      <c r="F771" t="inlineStr">
        <is>
          <t>Bergvik skog öst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v>
      </c>
      <c r="C772" s="1" t="n">
        <v>45719</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29986-2022</t>
        </is>
      </c>
      <c r="B773" s="1" t="n">
        <v>44756</v>
      </c>
      <c r="C773" s="1" t="n">
        <v>45719</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29991-2022</t>
        </is>
      </c>
      <c r="B774" s="1" t="n">
        <v>44756</v>
      </c>
      <c r="C774" s="1" t="n">
        <v>45719</v>
      </c>
      <c r="D774" t="inlineStr">
        <is>
          <t>UPPSALA LÄN</t>
        </is>
      </c>
      <c r="E774" t="inlineStr">
        <is>
          <t>UPPSALA</t>
        </is>
      </c>
      <c r="F774" t="inlineStr">
        <is>
          <t>Bergvik skog öst AB</t>
        </is>
      </c>
      <c r="G774" t="n">
        <v>4.1</v>
      </c>
      <c r="H774" t="n">
        <v>0</v>
      </c>
      <c r="I774" t="n">
        <v>0</v>
      </c>
      <c r="J774" t="n">
        <v>0</v>
      </c>
      <c r="K774" t="n">
        <v>0</v>
      </c>
      <c r="L774" t="n">
        <v>0</v>
      </c>
      <c r="M774" t="n">
        <v>0</v>
      </c>
      <c r="N774" t="n">
        <v>0</v>
      </c>
      <c r="O774" t="n">
        <v>0</v>
      </c>
      <c r="P774" t="n">
        <v>0</v>
      </c>
      <c r="Q774" t="n">
        <v>0</v>
      </c>
      <c r="R774" s="2" t="inlineStr"/>
    </row>
    <row r="775" ht="15" customHeight="1">
      <c r="A775" t="inlineStr">
        <is>
          <t>A 30052-2022</t>
        </is>
      </c>
      <c r="B775" s="1" t="n">
        <v>44757</v>
      </c>
      <c r="C775" s="1" t="n">
        <v>45719</v>
      </c>
      <c r="D775" t="inlineStr">
        <is>
          <t>UPPSALA LÄN</t>
        </is>
      </c>
      <c r="E775" t="inlineStr">
        <is>
          <t>UPPSALA</t>
        </is>
      </c>
      <c r="F775" t="inlineStr">
        <is>
          <t>Bergvik skog öst AB</t>
        </is>
      </c>
      <c r="G775" t="n">
        <v>9.6</v>
      </c>
      <c r="H775" t="n">
        <v>0</v>
      </c>
      <c r="I775" t="n">
        <v>0</v>
      </c>
      <c r="J775" t="n">
        <v>0</v>
      </c>
      <c r="K775" t="n">
        <v>0</v>
      </c>
      <c r="L775" t="n">
        <v>0</v>
      </c>
      <c r="M775" t="n">
        <v>0</v>
      </c>
      <c r="N775" t="n">
        <v>0</v>
      </c>
      <c r="O775" t="n">
        <v>0</v>
      </c>
      <c r="P775" t="n">
        <v>0</v>
      </c>
      <c r="Q775" t="n">
        <v>0</v>
      </c>
      <c r="R775" s="2" t="inlineStr"/>
    </row>
    <row r="776" ht="15" customHeight="1">
      <c r="A776" t="inlineStr">
        <is>
          <t>A 30580-2022</t>
        </is>
      </c>
      <c r="B776" s="1" t="n">
        <v>44762</v>
      </c>
      <c r="C776" s="1" t="n">
        <v>45719</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30783-2022</t>
        </is>
      </c>
      <c r="B777" s="1" t="n">
        <v>44764</v>
      </c>
      <c r="C777" s="1" t="n">
        <v>45719</v>
      </c>
      <c r="D777" t="inlineStr">
        <is>
          <t>UPPSALA LÄN</t>
        </is>
      </c>
      <c r="E777" t="inlineStr">
        <is>
          <t>UPPSALA</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30775-2022</t>
        </is>
      </c>
      <c r="B778" s="1" t="n">
        <v>44764</v>
      </c>
      <c r="C778" s="1" t="n">
        <v>45719</v>
      </c>
      <c r="D778" t="inlineStr">
        <is>
          <t>UPPSALA LÄN</t>
        </is>
      </c>
      <c r="E778" t="inlineStr">
        <is>
          <t>UPPSALA</t>
        </is>
      </c>
      <c r="F778" t="inlineStr">
        <is>
          <t>Bergvik skog öst AB</t>
        </is>
      </c>
      <c r="G778" t="n">
        <v>4.5</v>
      </c>
      <c r="H778" t="n">
        <v>0</v>
      </c>
      <c r="I778" t="n">
        <v>0</v>
      </c>
      <c r="J778" t="n">
        <v>0</v>
      </c>
      <c r="K778" t="n">
        <v>0</v>
      </c>
      <c r="L778" t="n">
        <v>0</v>
      </c>
      <c r="M778" t="n">
        <v>0</v>
      </c>
      <c r="N778" t="n">
        <v>0</v>
      </c>
      <c r="O778" t="n">
        <v>0</v>
      </c>
      <c r="P778" t="n">
        <v>0</v>
      </c>
      <c r="Q778" t="n">
        <v>0</v>
      </c>
      <c r="R778" s="2" t="inlineStr"/>
    </row>
    <row r="779" ht="15" customHeight="1">
      <c r="A779" t="inlineStr">
        <is>
          <t>A 31113-2022</t>
        </is>
      </c>
      <c r="B779" s="1" t="n">
        <v>44769</v>
      </c>
      <c r="C779" s="1" t="n">
        <v>45719</v>
      </c>
      <c r="D779" t="inlineStr">
        <is>
          <t>UPPSALA LÄN</t>
        </is>
      </c>
      <c r="E779" t="inlineStr">
        <is>
          <t>UPPSALA</t>
        </is>
      </c>
      <c r="F779" t="inlineStr">
        <is>
          <t>Bergvik skog öst AB</t>
        </is>
      </c>
      <c r="G779" t="n">
        <v>4.7</v>
      </c>
      <c r="H779" t="n">
        <v>0</v>
      </c>
      <c r="I779" t="n">
        <v>0</v>
      </c>
      <c r="J779" t="n">
        <v>0</v>
      </c>
      <c r="K779" t="n">
        <v>0</v>
      </c>
      <c r="L779" t="n">
        <v>0</v>
      </c>
      <c r="M779" t="n">
        <v>0</v>
      </c>
      <c r="N779" t="n">
        <v>0</v>
      </c>
      <c r="O779" t="n">
        <v>0</v>
      </c>
      <c r="P779" t="n">
        <v>0</v>
      </c>
      <c r="Q779" t="n">
        <v>0</v>
      </c>
      <c r="R779" s="2" t="inlineStr"/>
    </row>
    <row r="780" ht="15" customHeight="1">
      <c r="A780" t="inlineStr">
        <is>
          <t>A 31263-2022</t>
        </is>
      </c>
      <c r="B780" s="1" t="n">
        <v>44771</v>
      </c>
      <c r="C780" s="1" t="n">
        <v>45719</v>
      </c>
      <c r="D780" t="inlineStr">
        <is>
          <t>UPPSALA LÄN</t>
        </is>
      </c>
      <c r="E780" t="inlineStr">
        <is>
          <t>UPPSALA</t>
        </is>
      </c>
      <c r="F780" t="inlineStr">
        <is>
          <t>Bergvik skog öst AB</t>
        </is>
      </c>
      <c r="G780" t="n">
        <v>2.5</v>
      </c>
      <c r="H780" t="n">
        <v>0</v>
      </c>
      <c r="I780" t="n">
        <v>0</v>
      </c>
      <c r="J780" t="n">
        <v>0</v>
      </c>
      <c r="K780" t="n">
        <v>0</v>
      </c>
      <c r="L780" t="n">
        <v>0</v>
      </c>
      <c r="M780" t="n">
        <v>0</v>
      </c>
      <c r="N780" t="n">
        <v>0</v>
      </c>
      <c r="O780" t="n">
        <v>0</v>
      </c>
      <c r="P780" t="n">
        <v>0</v>
      </c>
      <c r="Q780" t="n">
        <v>0</v>
      </c>
      <c r="R780" s="2" t="inlineStr"/>
    </row>
    <row r="781" ht="15" customHeight="1">
      <c r="A781" t="inlineStr">
        <is>
          <t>A 31261-2022</t>
        </is>
      </c>
      <c r="B781" s="1" t="n">
        <v>44771</v>
      </c>
      <c r="C781" s="1" t="n">
        <v>45719</v>
      </c>
      <c r="D781" t="inlineStr">
        <is>
          <t>UPPSALA LÄN</t>
        </is>
      </c>
      <c r="E781" t="inlineStr">
        <is>
          <t>UPPSALA</t>
        </is>
      </c>
      <c r="F781" t="inlineStr">
        <is>
          <t>Bergvik skog öst AB</t>
        </is>
      </c>
      <c r="G781" t="n">
        <v>2.6</v>
      </c>
      <c r="H781" t="n">
        <v>0</v>
      </c>
      <c r="I781" t="n">
        <v>0</v>
      </c>
      <c r="J781" t="n">
        <v>0</v>
      </c>
      <c r="K781" t="n">
        <v>0</v>
      </c>
      <c r="L781" t="n">
        <v>0</v>
      </c>
      <c r="M781" t="n">
        <v>0</v>
      </c>
      <c r="N781" t="n">
        <v>0</v>
      </c>
      <c r="O781" t="n">
        <v>0</v>
      </c>
      <c r="P781" t="n">
        <v>0</v>
      </c>
      <c r="Q781" t="n">
        <v>0</v>
      </c>
      <c r="R781" s="2" t="inlineStr"/>
    </row>
    <row r="782" ht="15" customHeight="1">
      <c r="A782" t="inlineStr">
        <is>
          <t>A 31249-2022</t>
        </is>
      </c>
      <c r="B782" s="1" t="n">
        <v>44771</v>
      </c>
      <c r="C782" s="1" t="n">
        <v>45719</v>
      </c>
      <c r="D782" t="inlineStr">
        <is>
          <t>UPPSALA LÄN</t>
        </is>
      </c>
      <c r="E782" t="inlineStr">
        <is>
          <t>UPPSALA</t>
        </is>
      </c>
      <c r="F782" t="inlineStr">
        <is>
          <t>Bergvik skog öst AB</t>
        </is>
      </c>
      <c r="G782" t="n">
        <v>0.9</v>
      </c>
      <c r="H782" t="n">
        <v>0</v>
      </c>
      <c r="I782" t="n">
        <v>0</v>
      </c>
      <c r="J782" t="n">
        <v>0</v>
      </c>
      <c r="K782" t="n">
        <v>0</v>
      </c>
      <c r="L782" t="n">
        <v>0</v>
      </c>
      <c r="M782" t="n">
        <v>0</v>
      </c>
      <c r="N782" t="n">
        <v>0</v>
      </c>
      <c r="O782" t="n">
        <v>0</v>
      </c>
      <c r="P782" t="n">
        <v>0</v>
      </c>
      <c r="Q782" t="n">
        <v>0</v>
      </c>
      <c r="R782" s="2" t="inlineStr"/>
    </row>
    <row r="783" ht="15" customHeight="1">
      <c r="A783" t="inlineStr">
        <is>
          <t>A 31253-2022</t>
        </is>
      </c>
      <c r="B783" s="1" t="n">
        <v>44771</v>
      </c>
      <c r="C783" s="1" t="n">
        <v>45719</v>
      </c>
      <c r="D783" t="inlineStr">
        <is>
          <t>UPPSALA LÄN</t>
        </is>
      </c>
      <c r="E783" t="inlineStr">
        <is>
          <t>UPPSALA</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32954-2022</t>
        </is>
      </c>
      <c r="B784" s="1" t="n">
        <v>44784</v>
      </c>
      <c r="C784" s="1" t="n">
        <v>45719</v>
      </c>
      <c r="D784" t="inlineStr">
        <is>
          <t>UPPSALA LÄN</t>
        </is>
      </c>
      <c r="E784" t="inlineStr">
        <is>
          <t>UPPSALA</t>
        </is>
      </c>
      <c r="G784" t="n">
        <v>2.6</v>
      </c>
      <c r="H784" t="n">
        <v>0</v>
      </c>
      <c r="I784" t="n">
        <v>0</v>
      </c>
      <c r="J784" t="n">
        <v>0</v>
      </c>
      <c r="K784" t="n">
        <v>0</v>
      </c>
      <c r="L784" t="n">
        <v>0</v>
      </c>
      <c r="M784" t="n">
        <v>0</v>
      </c>
      <c r="N784" t="n">
        <v>0</v>
      </c>
      <c r="O784" t="n">
        <v>0</v>
      </c>
      <c r="P784" t="n">
        <v>0</v>
      </c>
      <c r="Q784" t="n">
        <v>0</v>
      </c>
      <c r="R784" s="2" t="inlineStr"/>
    </row>
    <row r="785" ht="15" customHeight="1">
      <c r="A785" t="inlineStr">
        <is>
          <t>A 33332-2022</t>
        </is>
      </c>
      <c r="B785" s="1" t="n">
        <v>44788</v>
      </c>
      <c r="C785" s="1" t="n">
        <v>45719</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33283-2022</t>
        </is>
      </c>
      <c r="B786" s="1" t="n">
        <v>44788</v>
      </c>
      <c r="C786" s="1" t="n">
        <v>45719</v>
      </c>
      <c r="D786" t="inlineStr">
        <is>
          <t>UPPSALA LÄN</t>
        </is>
      </c>
      <c r="E786" t="inlineStr">
        <is>
          <t>UPPSALA</t>
        </is>
      </c>
      <c r="G786" t="n">
        <v>20.2</v>
      </c>
      <c r="H786" t="n">
        <v>0</v>
      </c>
      <c r="I786" t="n">
        <v>0</v>
      </c>
      <c r="J786" t="n">
        <v>0</v>
      </c>
      <c r="K786" t="n">
        <v>0</v>
      </c>
      <c r="L786" t="n">
        <v>0</v>
      </c>
      <c r="M786" t="n">
        <v>0</v>
      </c>
      <c r="N786" t="n">
        <v>0</v>
      </c>
      <c r="O786" t="n">
        <v>0</v>
      </c>
      <c r="P786" t="n">
        <v>0</v>
      </c>
      <c r="Q786" t="n">
        <v>0</v>
      </c>
      <c r="R786" s="2" t="inlineStr"/>
    </row>
    <row r="787" ht="15" customHeight="1">
      <c r="A787" t="inlineStr">
        <is>
          <t>A 34061-2022</t>
        </is>
      </c>
      <c r="B787" s="1" t="n">
        <v>44791</v>
      </c>
      <c r="C787" s="1" t="n">
        <v>45719</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34770-2022</t>
        </is>
      </c>
      <c r="B788" s="1" t="n">
        <v>44795</v>
      </c>
      <c r="C788" s="1" t="n">
        <v>45719</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35212-2022</t>
        </is>
      </c>
      <c r="B789" s="1" t="n">
        <v>44797</v>
      </c>
      <c r="C789" s="1" t="n">
        <v>45719</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35411-2022</t>
        </is>
      </c>
      <c r="B790" s="1" t="n">
        <v>44798</v>
      </c>
      <c r="C790" s="1" t="n">
        <v>45719</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35539-2022</t>
        </is>
      </c>
      <c r="B791" s="1" t="n">
        <v>44799</v>
      </c>
      <c r="C791" s="1" t="n">
        <v>45719</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35544-2022</t>
        </is>
      </c>
      <c r="B792" s="1" t="n">
        <v>44799</v>
      </c>
      <c r="C792" s="1" t="n">
        <v>45719</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35542-2022</t>
        </is>
      </c>
      <c r="B793" s="1" t="n">
        <v>44799</v>
      </c>
      <c r="C793" s="1" t="n">
        <v>45719</v>
      </c>
      <c r="D793" t="inlineStr">
        <is>
          <t>UPPSALA LÄN</t>
        </is>
      </c>
      <c r="E793" t="inlineStr">
        <is>
          <t>UPPSALA</t>
        </is>
      </c>
      <c r="G793" t="n">
        <v>3.2</v>
      </c>
      <c r="H793" t="n">
        <v>0</v>
      </c>
      <c r="I793" t="n">
        <v>0</v>
      </c>
      <c r="J793" t="n">
        <v>0</v>
      </c>
      <c r="K793" t="n">
        <v>0</v>
      </c>
      <c r="L793" t="n">
        <v>0</v>
      </c>
      <c r="M793" t="n">
        <v>0</v>
      </c>
      <c r="N793" t="n">
        <v>0</v>
      </c>
      <c r="O793" t="n">
        <v>0</v>
      </c>
      <c r="P793" t="n">
        <v>0</v>
      </c>
      <c r="Q793" t="n">
        <v>0</v>
      </c>
      <c r="R793" s="2" t="inlineStr"/>
    </row>
    <row r="794" ht="15" customHeight="1">
      <c r="A794" t="inlineStr">
        <is>
          <t>A 37187-2022</t>
        </is>
      </c>
      <c r="B794" s="1" t="n">
        <v>44806</v>
      </c>
      <c r="C794" s="1" t="n">
        <v>45719</v>
      </c>
      <c r="D794" t="inlineStr">
        <is>
          <t>UPPSALA LÄN</t>
        </is>
      </c>
      <c r="E794" t="inlineStr">
        <is>
          <t>UPPSALA</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37316-2022</t>
        </is>
      </c>
      <c r="B795" s="1" t="n">
        <v>44806</v>
      </c>
      <c r="C795" s="1" t="n">
        <v>45719</v>
      </c>
      <c r="D795" t="inlineStr">
        <is>
          <t>UPPSALA LÄN</t>
        </is>
      </c>
      <c r="E795" t="inlineStr">
        <is>
          <t>UPPSALA</t>
        </is>
      </c>
      <c r="G795" t="n">
        <v>10.6</v>
      </c>
      <c r="H795" t="n">
        <v>0</v>
      </c>
      <c r="I795" t="n">
        <v>0</v>
      </c>
      <c r="J795" t="n">
        <v>0</v>
      </c>
      <c r="K795" t="n">
        <v>0</v>
      </c>
      <c r="L795" t="n">
        <v>0</v>
      </c>
      <c r="M795" t="n">
        <v>0</v>
      </c>
      <c r="N795" t="n">
        <v>0</v>
      </c>
      <c r="O795" t="n">
        <v>0</v>
      </c>
      <c r="P795" t="n">
        <v>0</v>
      </c>
      <c r="Q795" t="n">
        <v>0</v>
      </c>
      <c r="R795" s="2" t="inlineStr"/>
    </row>
    <row r="796" ht="15" customHeight="1">
      <c r="A796" t="inlineStr">
        <is>
          <t>A 37188-2022</t>
        </is>
      </c>
      <c r="B796" s="1" t="n">
        <v>44806</v>
      </c>
      <c r="C796" s="1" t="n">
        <v>45719</v>
      </c>
      <c r="D796" t="inlineStr">
        <is>
          <t>UPPSALA LÄN</t>
        </is>
      </c>
      <c r="E796" t="inlineStr">
        <is>
          <t>UPPSALA</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37588-2022</t>
        </is>
      </c>
      <c r="B797" s="1" t="n">
        <v>44810</v>
      </c>
      <c r="C797" s="1" t="n">
        <v>45719</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37761-2022</t>
        </is>
      </c>
      <c r="B798" s="1" t="n">
        <v>44810</v>
      </c>
      <c r="C798" s="1" t="n">
        <v>45719</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37670-2022</t>
        </is>
      </c>
      <c r="B799" s="1" t="n">
        <v>44810</v>
      </c>
      <c r="C799" s="1" t="n">
        <v>45719</v>
      </c>
      <c r="D799" t="inlineStr">
        <is>
          <t>UPPSALA LÄN</t>
        </is>
      </c>
      <c r="E799" t="inlineStr">
        <is>
          <t>UPPSALA</t>
        </is>
      </c>
      <c r="G799" t="n">
        <v>2.4</v>
      </c>
      <c r="H799" t="n">
        <v>0</v>
      </c>
      <c r="I799" t="n">
        <v>0</v>
      </c>
      <c r="J799" t="n">
        <v>0</v>
      </c>
      <c r="K799" t="n">
        <v>0</v>
      </c>
      <c r="L799" t="n">
        <v>0</v>
      </c>
      <c r="M799" t="n">
        <v>0</v>
      </c>
      <c r="N799" t="n">
        <v>0</v>
      </c>
      <c r="O799" t="n">
        <v>0</v>
      </c>
      <c r="P799" t="n">
        <v>0</v>
      </c>
      <c r="Q799" t="n">
        <v>0</v>
      </c>
      <c r="R799" s="2" t="inlineStr"/>
    </row>
    <row r="800" ht="15" customHeight="1">
      <c r="A800" t="inlineStr">
        <is>
          <t>A 38078-2022</t>
        </is>
      </c>
      <c r="B800" s="1" t="n">
        <v>44811</v>
      </c>
      <c r="C800" s="1" t="n">
        <v>45719</v>
      </c>
      <c r="D800" t="inlineStr">
        <is>
          <t>UPPSALA LÄN</t>
        </is>
      </c>
      <c r="E800" t="inlineStr">
        <is>
          <t>UPPSALA</t>
        </is>
      </c>
      <c r="G800" t="n">
        <v>1.6</v>
      </c>
      <c r="H800" t="n">
        <v>0</v>
      </c>
      <c r="I800" t="n">
        <v>0</v>
      </c>
      <c r="J800" t="n">
        <v>0</v>
      </c>
      <c r="K800" t="n">
        <v>0</v>
      </c>
      <c r="L800" t="n">
        <v>0</v>
      </c>
      <c r="M800" t="n">
        <v>0</v>
      </c>
      <c r="N800" t="n">
        <v>0</v>
      </c>
      <c r="O800" t="n">
        <v>0</v>
      </c>
      <c r="P800" t="n">
        <v>0</v>
      </c>
      <c r="Q800" t="n">
        <v>0</v>
      </c>
      <c r="R800" s="2" t="inlineStr"/>
    </row>
    <row r="801" ht="15" customHeight="1">
      <c r="A801" t="inlineStr">
        <is>
          <t>A 38524-2022</t>
        </is>
      </c>
      <c r="B801" s="1" t="n">
        <v>44813</v>
      </c>
      <c r="C801" s="1" t="n">
        <v>45719</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38865-2022</t>
        </is>
      </c>
      <c r="B802" s="1" t="n">
        <v>44816</v>
      </c>
      <c r="C802" s="1" t="n">
        <v>45719</v>
      </c>
      <c r="D802" t="inlineStr">
        <is>
          <t>UPPSALA LÄN</t>
        </is>
      </c>
      <c r="E802" t="inlineStr">
        <is>
          <t>UPPSALA</t>
        </is>
      </c>
      <c r="G802" t="n">
        <v>14.6</v>
      </c>
      <c r="H802" t="n">
        <v>0</v>
      </c>
      <c r="I802" t="n">
        <v>0</v>
      </c>
      <c r="J802" t="n">
        <v>0</v>
      </c>
      <c r="K802" t="n">
        <v>0</v>
      </c>
      <c r="L802" t="n">
        <v>0</v>
      </c>
      <c r="M802" t="n">
        <v>0</v>
      </c>
      <c r="N802" t="n">
        <v>0</v>
      </c>
      <c r="O802" t="n">
        <v>0</v>
      </c>
      <c r="P802" t="n">
        <v>0</v>
      </c>
      <c r="Q802" t="n">
        <v>0</v>
      </c>
      <c r="R802" s="2" t="inlineStr"/>
    </row>
    <row r="803" ht="15" customHeight="1">
      <c r="A803" t="inlineStr">
        <is>
          <t>A 38892-2022</t>
        </is>
      </c>
      <c r="B803" s="1" t="n">
        <v>44816</v>
      </c>
      <c r="C803" s="1" t="n">
        <v>45719</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38909-2022</t>
        </is>
      </c>
      <c r="B804" s="1" t="n">
        <v>44816</v>
      </c>
      <c r="C804" s="1" t="n">
        <v>45719</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39148-2022</t>
        </is>
      </c>
      <c r="B805" s="1" t="n">
        <v>44816</v>
      </c>
      <c r="C805" s="1" t="n">
        <v>45719</v>
      </c>
      <c r="D805" t="inlineStr">
        <is>
          <t>UPPSALA LÄN</t>
        </is>
      </c>
      <c r="E805" t="inlineStr">
        <is>
          <t>UPPSALA</t>
        </is>
      </c>
      <c r="F805" t="inlineStr">
        <is>
          <t>Övriga statliga verk och myndigheter</t>
        </is>
      </c>
      <c r="G805" t="n">
        <v>1.7</v>
      </c>
      <c r="H805" t="n">
        <v>0</v>
      </c>
      <c r="I805" t="n">
        <v>0</v>
      </c>
      <c r="J805" t="n">
        <v>0</v>
      </c>
      <c r="K805" t="n">
        <v>0</v>
      </c>
      <c r="L805" t="n">
        <v>0</v>
      </c>
      <c r="M805" t="n">
        <v>0</v>
      </c>
      <c r="N805" t="n">
        <v>0</v>
      </c>
      <c r="O805" t="n">
        <v>0</v>
      </c>
      <c r="P805" t="n">
        <v>0</v>
      </c>
      <c r="Q805" t="n">
        <v>0</v>
      </c>
      <c r="R805" s="2" t="inlineStr"/>
    </row>
    <row r="806" ht="15" customHeight="1">
      <c r="A806" t="inlineStr">
        <is>
          <t>A 39144-2022</t>
        </is>
      </c>
      <c r="B806" s="1" t="n">
        <v>44816</v>
      </c>
      <c r="C806" s="1" t="n">
        <v>45719</v>
      </c>
      <c r="D806" t="inlineStr">
        <is>
          <t>UPPSALA LÄN</t>
        </is>
      </c>
      <c r="E806" t="inlineStr">
        <is>
          <t>UPPSALA</t>
        </is>
      </c>
      <c r="G806" t="n">
        <v>8.4</v>
      </c>
      <c r="H806" t="n">
        <v>0</v>
      </c>
      <c r="I806" t="n">
        <v>0</v>
      </c>
      <c r="J806" t="n">
        <v>0</v>
      </c>
      <c r="K806" t="n">
        <v>0</v>
      </c>
      <c r="L806" t="n">
        <v>0</v>
      </c>
      <c r="M806" t="n">
        <v>0</v>
      </c>
      <c r="N806" t="n">
        <v>0</v>
      </c>
      <c r="O806" t="n">
        <v>0</v>
      </c>
      <c r="P806" t="n">
        <v>0</v>
      </c>
      <c r="Q806" t="n">
        <v>0</v>
      </c>
      <c r="R806" s="2" t="inlineStr"/>
    </row>
    <row r="807" ht="15" customHeight="1">
      <c r="A807" t="inlineStr">
        <is>
          <t>A 39454-2022</t>
        </is>
      </c>
      <c r="B807" s="1" t="n">
        <v>44817</v>
      </c>
      <c r="C807" s="1" t="n">
        <v>45719</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39608-2022</t>
        </is>
      </c>
      <c r="B808" s="1" t="n">
        <v>44817</v>
      </c>
      <c r="C808" s="1" t="n">
        <v>45719</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39599-2022</t>
        </is>
      </c>
      <c r="B809" s="1" t="n">
        <v>44817</v>
      </c>
      <c r="C809" s="1" t="n">
        <v>45719</v>
      </c>
      <c r="D809" t="inlineStr">
        <is>
          <t>UPPSALA LÄN</t>
        </is>
      </c>
      <c r="E809" t="inlineStr">
        <is>
          <t>UPPSALA</t>
        </is>
      </c>
      <c r="G809" t="n">
        <v>4.8</v>
      </c>
      <c r="H809" t="n">
        <v>0</v>
      </c>
      <c r="I809" t="n">
        <v>0</v>
      </c>
      <c r="J809" t="n">
        <v>0</v>
      </c>
      <c r="K809" t="n">
        <v>0</v>
      </c>
      <c r="L809" t="n">
        <v>0</v>
      </c>
      <c r="M809" t="n">
        <v>0</v>
      </c>
      <c r="N809" t="n">
        <v>0</v>
      </c>
      <c r="O809" t="n">
        <v>0</v>
      </c>
      <c r="P809" t="n">
        <v>0</v>
      </c>
      <c r="Q809" t="n">
        <v>0</v>
      </c>
      <c r="R809" s="2" t="inlineStr"/>
    </row>
    <row r="810" ht="15" customHeight="1">
      <c r="A810" t="inlineStr">
        <is>
          <t>A 39795-2022</t>
        </is>
      </c>
      <c r="B810" s="1" t="n">
        <v>44819</v>
      </c>
      <c r="C810" s="1" t="n">
        <v>45719</v>
      </c>
      <c r="D810" t="inlineStr">
        <is>
          <t>UPPSALA LÄN</t>
        </is>
      </c>
      <c r="E810" t="inlineStr">
        <is>
          <t>UPPSALA</t>
        </is>
      </c>
      <c r="F810" t="inlineStr">
        <is>
          <t>Övriga Aktiebolag</t>
        </is>
      </c>
      <c r="G810" t="n">
        <v>3.5</v>
      </c>
      <c r="H810" t="n">
        <v>0</v>
      </c>
      <c r="I810" t="n">
        <v>0</v>
      </c>
      <c r="J810" t="n">
        <v>0</v>
      </c>
      <c r="K810" t="n">
        <v>0</v>
      </c>
      <c r="L810" t="n">
        <v>0</v>
      </c>
      <c r="M810" t="n">
        <v>0</v>
      </c>
      <c r="N810" t="n">
        <v>0</v>
      </c>
      <c r="O810" t="n">
        <v>0</v>
      </c>
      <c r="P810" t="n">
        <v>0</v>
      </c>
      <c r="Q810" t="n">
        <v>0</v>
      </c>
      <c r="R810" s="2" t="inlineStr"/>
    </row>
    <row r="811" ht="15" customHeight="1">
      <c r="A811" t="inlineStr">
        <is>
          <t>A 39915-2022</t>
        </is>
      </c>
      <c r="B811" s="1" t="n">
        <v>44819</v>
      </c>
      <c r="C811" s="1" t="n">
        <v>45719</v>
      </c>
      <c r="D811" t="inlineStr">
        <is>
          <t>UPPSALA LÄN</t>
        </is>
      </c>
      <c r="E811" t="inlineStr">
        <is>
          <t>UPPSALA</t>
        </is>
      </c>
      <c r="F811" t="inlineStr">
        <is>
          <t>Allmännings- och besparingsskogar</t>
        </is>
      </c>
      <c r="G811" t="n">
        <v>20.1</v>
      </c>
      <c r="H811" t="n">
        <v>0</v>
      </c>
      <c r="I811" t="n">
        <v>0</v>
      </c>
      <c r="J811" t="n">
        <v>0</v>
      </c>
      <c r="K811" t="n">
        <v>0</v>
      </c>
      <c r="L811" t="n">
        <v>0</v>
      </c>
      <c r="M811" t="n">
        <v>0</v>
      </c>
      <c r="N811" t="n">
        <v>0</v>
      </c>
      <c r="O811" t="n">
        <v>0</v>
      </c>
      <c r="P811" t="n">
        <v>0</v>
      </c>
      <c r="Q811" t="n">
        <v>0</v>
      </c>
      <c r="R811" s="2" t="inlineStr"/>
    </row>
    <row r="812" ht="15" customHeight="1">
      <c r="A812" t="inlineStr">
        <is>
          <t>A 39865-2022</t>
        </is>
      </c>
      <c r="B812" s="1" t="n">
        <v>44819</v>
      </c>
      <c r="C812" s="1" t="n">
        <v>45719</v>
      </c>
      <c r="D812" t="inlineStr">
        <is>
          <t>UPPSALA LÄN</t>
        </is>
      </c>
      <c r="E812" t="inlineStr">
        <is>
          <t>UPPSALA</t>
        </is>
      </c>
      <c r="G812" t="n">
        <v>2.5</v>
      </c>
      <c r="H812" t="n">
        <v>0</v>
      </c>
      <c r="I812" t="n">
        <v>0</v>
      </c>
      <c r="J812" t="n">
        <v>0</v>
      </c>
      <c r="K812" t="n">
        <v>0</v>
      </c>
      <c r="L812" t="n">
        <v>0</v>
      </c>
      <c r="M812" t="n">
        <v>0</v>
      </c>
      <c r="N812" t="n">
        <v>0</v>
      </c>
      <c r="O812" t="n">
        <v>0</v>
      </c>
      <c r="P812" t="n">
        <v>0</v>
      </c>
      <c r="Q812" t="n">
        <v>0</v>
      </c>
      <c r="R812" s="2" t="inlineStr"/>
    </row>
    <row r="813" ht="15" customHeight="1">
      <c r="A813" t="inlineStr">
        <is>
          <t>A 40100-2022</t>
        </is>
      </c>
      <c r="B813" s="1" t="n">
        <v>44820</v>
      </c>
      <c r="C813" s="1" t="n">
        <v>45719</v>
      </c>
      <c r="D813" t="inlineStr">
        <is>
          <t>UPPSALA LÄN</t>
        </is>
      </c>
      <c r="E813" t="inlineStr">
        <is>
          <t>UPPSALA</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42622-2022</t>
        </is>
      </c>
      <c r="B814" s="1" t="n">
        <v>44831</v>
      </c>
      <c r="C814" s="1" t="n">
        <v>45719</v>
      </c>
      <c r="D814" t="inlineStr">
        <is>
          <t>UPPSALA LÄN</t>
        </is>
      </c>
      <c r="E814" t="inlineStr">
        <is>
          <t>UPPSALA</t>
        </is>
      </c>
      <c r="G814" t="n">
        <v>2.4</v>
      </c>
      <c r="H814" t="n">
        <v>0</v>
      </c>
      <c r="I814" t="n">
        <v>0</v>
      </c>
      <c r="J814" t="n">
        <v>0</v>
      </c>
      <c r="K814" t="n">
        <v>0</v>
      </c>
      <c r="L814" t="n">
        <v>0</v>
      </c>
      <c r="M814" t="n">
        <v>0</v>
      </c>
      <c r="N814" t="n">
        <v>0</v>
      </c>
      <c r="O814" t="n">
        <v>0</v>
      </c>
      <c r="P814" t="n">
        <v>0</v>
      </c>
      <c r="Q814" t="n">
        <v>0</v>
      </c>
      <c r="R814" s="2" t="inlineStr"/>
    </row>
    <row r="815" ht="15" customHeight="1">
      <c r="A815" t="inlineStr">
        <is>
          <t>A 42772-2022</t>
        </is>
      </c>
      <c r="B815" s="1" t="n">
        <v>44832</v>
      </c>
      <c r="C815" s="1" t="n">
        <v>45719</v>
      </c>
      <c r="D815" t="inlineStr">
        <is>
          <t>UPPSALA LÄN</t>
        </is>
      </c>
      <c r="E815" t="inlineStr">
        <is>
          <t>UPPSALA</t>
        </is>
      </c>
      <c r="G815" t="n">
        <v>17.7</v>
      </c>
      <c r="H815" t="n">
        <v>0</v>
      </c>
      <c r="I815" t="n">
        <v>0</v>
      </c>
      <c r="J815" t="n">
        <v>0</v>
      </c>
      <c r="K815" t="n">
        <v>0</v>
      </c>
      <c r="L815" t="n">
        <v>0</v>
      </c>
      <c r="M815" t="n">
        <v>0</v>
      </c>
      <c r="N815" t="n">
        <v>0</v>
      </c>
      <c r="O815" t="n">
        <v>0</v>
      </c>
      <c r="P815" t="n">
        <v>0</v>
      </c>
      <c r="Q815" t="n">
        <v>0</v>
      </c>
      <c r="R815" s="2" t="inlineStr"/>
    </row>
    <row r="816" ht="15" customHeight="1">
      <c r="A816" t="inlineStr">
        <is>
          <t>A 43032-2022</t>
        </is>
      </c>
      <c r="B816" s="1" t="n">
        <v>44832</v>
      </c>
      <c r="C816" s="1" t="n">
        <v>45719</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43850-2022</t>
        </is>
      </c>
      <c r="B817" s="1" t="n">
        <v>44838</v>
      </c>
      <c r="C817" s="1" t="n">
        <v>45719</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44265-2022</t>
        </is>
      </c>
      <c r="B818" s="1" t="n">
        <v>44839</v>
      </c>
      <c r="C818" s="1" t="n">
        <v>45719</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44817-2022</t>
        </is>
      </c>
      <c r="B819" s="1" t="n">
        <v>44841</v>
      </c>
      <c r="C819" s="1" t="n">
        <v>45719</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45195-2022</t>
        </is>
      </c>
      <c r="B820" s="1" t="n">
        <v>44844</v>
      </c>
      <c r="C820" s="1" t="n">
        <v>45719</v>
      </c>
      <c r="D820" t="inlineStr">
        <is>
          <t>UPPSALA LÄN</t>
        </is>
      </c>
      <c r="E820" t="inlineStr">
        <is>
          <t>UPPSALA</t>
        </is>
      </c>
      <c r="G820" t="n">
        <v>3.3</v>
      </c>
      <c r="H820" t="n">
        <v>0</v>
      </c>
      <c r="I820" t="n">
        <v>0</v>
      </c>
      <c r="J820" t="n">
        <v>0</v>
      </c>
      <c r="K820" t="n">
        <v>0</v>
      </c>
      <c r="L820" t="n">
        <v>0</v>
      </c>
      <c r="M820" t="n">
        <v>0</v>
      </c>
      <c r="N820" t="n">
        <v>0</v>
      </c>
      <c r="O820" t="n">
        <v>0</v>
      </c>
      <c r="P820" t="n">
        <v>0</v>
      </c>
      <c r="Q820" t="n">
        <v>0</v>
      </c>
      <c r="R820" s="2" t="inlineStr"/>
    </row>
    <row r="821" ht="15" customHeight="1">
      <c r="A821" t="inlineStr">
        <is>
          <t>A 45780-2022</t>
        </is>
      </c>
      <c r="B821" s="1" t="n">
        <v>44846</v>
      </c>
      <c r="C821" s="1" t="n">
        <v>45719</v>
      </c>
      <c r="D821" t="inlineStr">
        <is>
          <t>UPPSALA LÄN</t>
        </is>
      </c>
      <c r="E821" t="inlineStr">
        <is>
          <t>UPPSALA</t>
        </is>
      </c>
      <c r="G821" t="n">
        <v>5.8</v>
      </c>
      <c r="H821" t="n">
        <v>0</v>
      </c>
      <c r="I821" t="n">
        <v>0</v>
      </c>
      <c r="J821" t="n">
        <v>0</v>
      </c>
      <c r="K821" t="n">
        <v>0</v>
      </c>
      <c r="L821" t="n">
        <v>0</v>
      </c>
      <c r="M821" t="n">
        <v>0</v>
      </c>
      <c r="N821" t="n">
        <v>0</v>
      </c>
      <c r="O821" t="n">
        <v>0</v>
      </c>
      <c r="P821" t="n">
        <v>0</v>
      </c>
      <c r="Q821" t="n">
        <v>0</v>
      </c>
      <c r="R821" s="2" t="inlineStr"/>
    </row>
    <row r="822" ht="15" customHeight="1">
      <c r="A822" t="inlineStr">
        <is>
          <t>A 45849-2022</t>
        </is>
      </c>
      <c r="B822" s="1" t="n">
        <v>44846</v>
      </c>
      <c r="C822" s="1" t="n">
        <v>45719</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46077-2022</t>
        </is>
      </c>
      <c r="B823" s="1" t="n">
        <v>44847</v>
      </c>
      <c r="C823" s="1" t="n">
        <v>45719</v>
      </c>
      <c r="D823" t="inlineStr">
        <is>
          <t>UPPSALA LÄN</t>
        </is>
      </c>
      <c r="E823" t="inlineStr">
        <is>
          <t>UPPSALA</t>
        </is>
      </c>
      <c r="G823" t="n">
        <v>2.1</v>
      </c>
      <c r="H823" t="n">
        <v>0</v>
      </c>
      <c r="I823" t="n">
        <v>0</v>
      </c>
      <c r="J823" t="n">
        <v>0</v>
      </c>
      <c r="K823" t="n">
        <v>0</v>
      </c>
      <c r="L823" t="n">
        <v>0</v>
      </c>
      <c r="M823" t="n">
        <v>0</v>
      </c>
      <c r="N823" t="n">
        <v>0</v>
      </c>
      <c r="O823" t="n">
        <v>0</v>
      </c>
      <c r="P823" t="n">
        <v>0</v>
      </c>
      <c r="Q823" t="n">
        <v>0</v>
      </c>
      <c r="R823" s="2" t="inlineStr"/>
    </row>
    <row r="824" ht="15" customHeight="1">
      <c r="A824" t="inlineStr">
        <is>
          <t>A 46069-2022</t>
        </is>
      </c>
      <c r="B824" s="1" t="n">
        <v>44847</v>
      </c>
      <c r="C824" s="1" t="n">
        <v>45719</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46079-2022</t>
        </is>
      </c>
      <c r="B825" s="1" t="n">
        <v>44847</v>
      </c>
      <c r="C825" s="1" t="n">
        <v>45719</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46293-2022</t>
        </is>
      </c>
      <c r="B826" s="1" t="n">
        <v>44847</v>
      </c>
      <c r="C826" s="1" t="n">
        <v>45719</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46805-2022</t>
        </is>
      </c>
      <c r="B827" s="1" t="n">
        <v>44847</v>
      </c>
      <c r="C827" s="1" t="n">
        <v>45719</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46807-2022</t>
        </is>
      </c>
      <c r="B828" s="1" t="n">
        <v>44848</v>
      </c>
      <c r="C828" s="1" t="n">
        <v>45719</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46635-2022</t>
        </is>
      </c>
      <c r="B829" s="1" t="n">
        <v>44849</v>
      </c>
      <c r="C829" s="1" t="n">
        <v>45719</v>
      </c>
      <c r="D829" t="inlineStr">
        <is>
          <t>UPPSALA LÄN</t>
        </is>
      </c>
      <c r="E829" t="inlineStr">
        <is>
          <t>UPPSALA</t>
        </is>
      </c>
      <c r="G829" t="n">
        <v>3.4</v>
      </c>
      <c r="H829" t="n">
        <v>0</v>
      </c>
      <c r="I829" t="n">
        <v>0</v>
      </c>
      <c r="J829" t="n">
        <v>0</v>
      </c>
      <c r="K829" t="n">
        <v>0</v>
      </c>
      <c r="L829" t="n">
        <v>0</v>
      </c>
      <c r="M829" t="n">
        <v>0</v>
      </c>
      <c r="N829" t="n">
        <v>0</v>
      </c>
      <c r="O829" t="n">
        <v>0</v>
      </c>
      <c r="P829" t="n">
        <v>0</v>
      </c>
      <c r="Q829" t="n">
        <v>0</v>
      </c>
      <c r="R829" s="2" t="inlineStr"/>
    </row>
    <row r="830" ht="15" customHeight="1">
      <c r="A830" t="inlineStr">
        <is>
          <t>A 47413-2022</t>
        </is>
      </c>
      <c r="B830" s="1" t="n">
        <v>44853</v>
      </c>
      <c r="C830" s="1" t="n">
        <v>45719</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48686-2022</t>
        </is>
      </c>
      <c r="B831" s="1" t="n">
        <v>44859</v>
      </c>
      <c r="C831" s="1" t="n">
        <v>45719</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48588-2022</t>
        </is>
      </c>
      <c r="B832" s="1" t="n">
        <v>44859</v>
      </c>
      <c r="C832" s="1" t="n">
        <v>45719</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48692-2022</t>
        </is>
      </c>
      <c r="B833" s="1" t="n">
        <v>44859</v>
      </c>
      <c r="C833" s="1" t="n">
        <v>45719</v>
      </c>
      <c r="D833" t="inlineStr">
        <is>
          <t>UPPSALA LÄN</t>
        </is>
      </c>
      <c r="E833" t="inlineStr">
        <is>
          <t>UPPSALA</t>
        </is>
      </c>
      <c r="G833" t="n">
        <v>3.1</v>
      </c>
      <c r="H833" t="n">
        <v>0</v>
      </c>
      <c r="I833" t="n">
        <v>0</v>
      </c>
      <c r="J833" t="n">
        <v>0</v>
      </c>
      <c r="K833" t="n">
        <v>0</v>
      </c>
      <c r="L833" t="n">
        <v>0</v>
      </c>
      <c r="M833" t="n">
        <v>0</v>
      </c>
      <c r="N833" t="n">
        <v>0</v>
      </c>
      <c r="O833" t="n">
        <v>0</v>
      </c>
      <c r="P833" t="n">
        <v>0</v>
      </c>
      <c r="Q833" t="n">
        <v>0</v>
      </c>
      <c r="R833" s="2" t="inlineStr"/>
    </row>
    <row r="834" ht="15" customHeight="1">
      <c r="A834" t="inlineStr">
        <is>
          <t>A 48688-2022</t>
        </is>
      </c>
      <c r="B834" s="1" t="n">
        <v>44859</v>
      </c>
      <c r="C834" s="1" t="n">
        <v>45719</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50006-2022</t>
        </is>
      </c>
      <c r="B835" s="1" t="n">
        <v>44865</v>
      </c>
      <c r="C835" s="1" t="n">
        <v>45719</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50092-2022</t>
        </is>
      </c>
      <c r="B836" s="1" t="n">
        <v>44865</v>
      </c>
      <c r="C836" s="1" t="n">
        <v>45719</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50954-2022</t>
        </is>
      </c>
      <c r="B837" s="1" t="n">
        <v>44866</v>
      </c>
      <c r="C837" s="1" t="n">
        <v>45719</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51661-2022</t>
        </is>
      </c>
      <c r="B838" s="1" t="n">
        <v>44872</v>
      </c>
      <c r="C838" s="1" t="n">
        <v>45719</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51899-2022</t>
        </is>
      </c>
      <c r="B839" s="1" t="n">
        <v>44872</v>
      </c>
      <c r="C839" s="1" t="n">
        <v>45719</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54715-2022</t>
        </is>
      </c>
      <c r="B840" s="1" t="n">
        <v>44883</v>
      </c>
      <c r="C840" s="1" t="n">
        <v>45719</v>
      </c>
      <c r="D840" t="inlineStr">
        <is>
          <t>UPPSALA LÄN</t>
        </is>
      </c>
      <c r="E840" t="inlineStr">
        <is>
          <t>UPPSALA</t>
        </is>
      </c>
      <c r="F840" t="inlineStr">
        <is>
          <t>Övriga Aktiebolag</t>
        </is>
      </c>
      <c r="G840" t="n">
        <v>9.5</v>
      </c>
      <c r="H840" t="n">
        <v>0</v>
      </c>
      <c r="I840" t="n">
        <v>0</v>
      </c>
      <c r="J840" t="n">
        <v>0</v>
      </c>
      <c r="K840" t="n">
        <v>0</v>
      </c>
      <c r="L840" t="n">
        <v>0</v>
      </c>
      <c r="M840" t="n">
        <v>0</v>
      </c>
      <c r="N840" t="n">
        <v>0</v>
      </c>
      <c r="O840" t="n">
        <v>0</v>
      </c>
      <c r="P840" t="n">
        <v>0</v>
      </c>
      <c r="Q840" t="n">
        <v>0</v>
      </c>
      <c r="R840" s="2" t="inlineStr"/>
    </row>
    <row r="841" ht="15" customHeight="1">
      <c r="A841" t="inlineStr">
        <is>
          <t>A 54732-2022</t>
        </is>
      </c>
      <c r="B841" s="1" t="n">
        <v>44883</v>
      </c>
      <c r="C841" s="1" t="n">
        <v>45719</v>
      </c>
      <c r="D841" t="inlineStr">
        <is>
          <t>UPPSALA LÄN</t>
        </is>
      </c>
      <c r="E841" t="inlineStr">
        <is>
          <t>UPPSALA</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54813-2022</t>
        </is>
      </c>
      <c r="B842" s="1" t="n">
        <v>44883</v>
      </c>
      <c r="C842" s="1" t="n">
        <v>45719</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55021-2022</t>
        </is>
      </c>
      <c r="B843" s="1" t="n">
        <v>44886</v>
      </c>
      <c r="C843" s="1" t="n">
        <v>45719</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55040-2022</t>
        </is>
      </c>
      <c r="B844" s="1" t="n">
        <v>44886</v>
      </c>
      <c r="C844" s="1" t="n">
        <v>45719</v>
      </c>
      <c r="D844" t="inlineStr">
        <is>
          <t>UPPSALA LÄN</t>
        </is>
      </c>
      <c r="E844" t="inlineStr">
        <is>
          <t>UPPSALA</t>
        </is>
      </c>
      <c r="F844" t="inlineStr">
        <is>
          <t>Sveaskog</t>
        </is>
      </c>
      <c r="G844" t="n">
        <v>5.3</v>
      </c>
      <c r="H844" t="n">
        <v>0</v>
      </c>
      <c r="I844" t="n">
        <v>0</v>
      </c>
      <c r="J844" t="n">
        <v>0</v>
      </c>
      <c r="K844" t="n">
        <v>0</v>
      </c>
      <c r="L844" t="n">
        <v>0</v>
      </c>
      <c r="M844" t="n">
        <v>0</v>
      </c>
      <c r="N844" t="n">
        <v>0</v>
      </c>
      <c r="O844" t="n">
        <v>0</v>
      </c>
      <c r="P844" t="n">
        <v>0</v>
      </c>
      <c r="Q844" t="n">
        <v>0</v>
      </c>
      <c r="R844" s="2" t="inlineStr"/>
    </row>
    <row r="845" ht="15" customHeight="1">
      <c r="A845" t="inlineStr">
        <is>
          <t>A 55073-2022</t>
        </is>
      </c>
      <c r="B845" s="1" t="n">
        <v>44886</v>
      </c>
      <c r="C845" s="1" t="n">
        <v>45719</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55066-2022</t>
        </is>
      </c>
      <c r="B846" s="1" t="n">
        <v>44886</v>
      </c>
      <c r="C846" s="1" t="n">
        <v>45719</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55401-2022</t>
        </is>
      </c>
      <c r="B847" s="1" t="n">
        <v>44887</v>
      </c>
      <c r="C847" s="1" t="n">
        <v>45719</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55862-2022</t>
        </is>
      </c>
      <c r="B848" s="1" t="n">
        <v>44888</v>
      </c>
      <c r="C848" s="1" t="n">
        <v>45719</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56679-2022</t>
        </is>
      </c>
      <c r="B849" s="1" t="n">
        <v>44893</v>
      </c>
      <c r="C849" s="1" t="n">
        <v>45719</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56889-2022</t>
        </is>
      </c>
      <c r="B850" s="1" t="n">
        <v>44894</v>
      </c>
      <c r="C850" s="1" t="n">
        <v>45719</v>
      </c>
      <c r="D850" t="inlineStr">
        <is>
          <t>UPPSALA LÄN</t>
        </is>
      </c>
      <c r="E850" t="inlineStr">
        <is>
          <t>UPPSALA</t>
        </is>
      </c>
      <c r="F850" t="inlineStr">
        <is>
          <t>Övriga Aktiebolag</t>
        </is>
      </c>
      <c r="G850" t="n">
        <v>21.6</v>
      </c>
      <c r="H850" t="n">
        <v>0</v>
      </c>
      <c r="I850" t="n">
        <v>0</v>
      </c>
      <c r="J850" t="n">
        <v>0</v>
      </c>
      <c r="K850" t="n">
        <v>0</v>
      </c>
      <c r="L850" t="n">
        <v>0</v>
      </c>
      <c r="M850" t="n">
        <v>0</v>
      </c>
      <c r="N850" t="n">
        <v>0</v>
      </c>
      <c r="O850" t="n">
        <v>0</v>
      </c>
      <c r="P850" t="n">
        <v>0</v>
      </c>
      <c r="Q850" t="n">
        <v>0</v>
      </c>
      <c r="R850" s="2" t="inlineStr"/>
    </row>
    <row r="851" ht="15" customHeight="1">
      <c r="A851" t="inlineStr">
        <is>
          <t>A 56795-2022</t>
        </is>
      </c>
      <c r="B851" s="1" t="n">
        <v>44894</v>
      </c>
      <c r="C851" s="1" t="n">
        <v>45719</v>
      </c>
      <c r="D851" t="inlineStr">
        <is>
          <t>UPPSALA LÄN</t>
        </is>
      </c>
      <c r="E851" t="inlineStr">
        <is>
          <t>UPPSALA</t>
        </is>
      </c>
      <c r="F851" t="inlineStr">
        <is>
          <t>Holmen skog AB</t>
        </is>
      </c>
      <c r="G851" t="n">
        <v>4.1</v>
      </c>
      <c r="H851" t="n">
        <v>0</v>
      </c>
      <c r="I851" t="n">
        <v>0</v>
      </c>
      <c r="J851" t="n">
        <v>0</v>
      </c>
      <c r="K851" t="n">
        <v>0</v>
      </c>
      <c r="L851" t="n">
        <v>0</v>
      </c>
      <c r="M851" t="n">
        <v>0</v>
      </c>
      <c r="N851" t="n">
        <v>0</v>
      </c>
      <c r="O851" t="n">
        <v>0</v>
      </c>
      <c r="P851" t="n">
        <v>0</v>
      </c>
      <c r="Q851" t="n">
        <v>0</v>
      </c>
      <c r="R851" s="2" t="inlineStr"/>
    </row>
    <row r="852" ht="15" customHeight="1">
      <c r="A852" t="inlineStr">
        <is>
          <t>A 56779-2022</t>
        </is>
      </c>
      <c r="B852" s="1" t="n">
        <v>44894</v>
      </c>
      <c r="C852" s="1" t="n">
        <v>45719</v>
      </c>
      <c r="D852" t="inlineStr">
        <is>
          <t>UPPSALA LÄN</t>
        </is>
      </c>
      <c r="E852" t="inlineStr">
        <is>
          <t>UPPSALA</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57495-2022</t>
        </is>
      </c>
      <c r="B853" s="1" t="n">
        <v>44896</v>
      </c>
      <c r="C853" s="1" t="n">
        <v>45719</v>
      </c>
      <c r="D853" t="inlineStr">
        <is>
          <t>UPPSALA LÄN</t>
        </is>
      </c>
      <c r="E853" t="inlineStr">
        <is>
          <t>UPPSALA</t>
        </is>
      </c>
      <c r="G853" t="n">
        <v>7</v>
      </c>
      <c r="H853" t="n">
        <v>0</v>
      </c>
      <c r="I853" t="n">
        <v>0</v>
      </c>
      <c r="J853" t="n">
        <v>0</v>
      </c>
      <c r="K853" t="n">
        <v>0</v>
      </c>
      <c r="L853" t="n">
        <v>0</v>
      </c>
      <c r="M853" t="n">
        <v>0</v>
      </c>
      <c r="N853" t="n">
        <v>0</v>
      </c>
      <c r="O853" t="n">
        <v>0</v>
      </c>
      <c r="P853" t="n">
        <v>0</v>
      </c>
      <c r="Q853" t="n">
        <v>0</v>
      </c>
      <c r="R853" s="2" t="inlineStr"/>
    </row>
    <row r="854" ht="15" customHeight="1">
      <c r="A854" t="inlineStr">
        <is>
          <t>A 57714-2022</t>
        </is>
      </c>
      <c r="B854" s="1" t="n">
        <v>44897</v>
      </c>
      <c r="C854" s="1" t="n">
        <v>45719</v>
      </c>
      <c r="D854" t="inlineStr">
        <is>
          <t>UPPSALA LÄN</t>
        </is>
      </c>
      <c r="E854" t="inlineStr">
        <is>
          <t>UPPSALA</t>
        </is>
      </c>
      <c r="G854" t="n">
        <v>8.9</v>
      </c>
      <c r="H854" t="n">
        <v>0</v>
      </c>
      <c r="I854" t="n">
        <v>0</v>
      </c>
      <c r="J854" t="n">
        <v>0</v>
      </c>
      <c r="K854" t="n">
        <v>0</v>
      </c>
      <c r="L854" t="n">
        <v>0</v>
      </c>
      <c r="M854" t="n">
        <v>0</v>
      </c>
      <c r="N854" t="n">
        <v>0</v>
      </c>
      <c r="O854" t="n">
        <v>0</v>
      </c>
      <c r="P854" t="n">
        <v>0</v>
      </c>
      <c r="Q854" t="n">
        <v>0</v>
      </c>
      <c r="R854" s="2" t="inlineStr"/>
    </row>
    <row r="855" ht="15" customHeight="1">
      <c r="A855" t="inlineStr">
        <is>
          <t>A 57809-2022</t>
        </is>
      </c>
      <c r="B855" s="1" t="n">
        <v>44897</v>
      </c>
      <c r="C855" s="1" t="n">
        <v>45719</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58023-2022</t>
        </is>
      </c>
      <c r="B856" s="1" t="n">
        <v>44900</v>
      </c>
      <c r="C856" s="1" t="n">
        <v>45719</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58096-2022</t>
        </is>
      </c>
      <c r="B857" s="1" t="n">
        <v>44900</v>
      </c>
      <c r="C857" s="1" t="n">
        <v>45719</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58243-2022</t>
        </is>
      </c>
      <c r="B858" s="1" t="n">
        <v>44901</v>
      </c>
      <c r="C858" s="1" t="n">
        <v>45719</v>
      </c>
      <c r="D858" t="inlineStr">
        <is>
          <t>UPPSALA LÄN</t>
        </is>
      </c>
      <c r="E858" t="inlineStr">
        <is>
          <t>UPPSALA</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59133-2022</t>
        </is>
      </c>
      <c r="B859" s="1" t="n">
        <v>44904</v>
      </c>
      <c r="C859" s="1" t="n">
        <v>45719</v>
      </c>
      <c r="D859" t="inlineStr">
        <is>
          <t>UPPSALA LÄN</t>
        </is>
      </c>
      <c r="E859" t="inlineStr">
        <is>
          <t>UPPSALA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59730-2022</t>
        </is>
      </c>
      <c r="B860" s="1" t="n">
        <v>44908</v>
      </c>
      <c r="C860" s="1" t="n">
        <v>45719</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59719-2022</t>
        </is>
      </c>
      <c r="B861" s="1" t="n">
        <v>44908</v>
      </c>
      <c r="C861" s="1" t="n">
        <v>45719</v>
      </c>
      <c r="D861" t="inlineStr">
        <is>
          <t>UPPSALA LÄN</t>
        </is>
      </c>
      <c r="E861" t="inlineStr">
        <is>
          <t>UPPSALA</t>
        </is>
      </c>
      <c r="G861" t="n">
        <v>3.6</v>
      </c>
      <c r="H861" t="n">
        <v>0</v>
      </c>
      <c r="I861" t="n">
        <v>0</v>
      </c>
      <c r="J861" t="n">
        <v>0</v>
      </c>
      <c r="K861" t="n">
        <v>0</v>
      </c>
      <c r="L861" t="n">
        <v>0</v>
      </c>
      <c r="M861" t="n">
        <v>0</v>
      </c>
      <c r="N861" t="n">
        <v>0</v>
      </c>
      <c r="O861" t="n">
        <v>0</v>
      </c>
      <c r="P861" t="n">
        <v>0</v>
      </c>
      <c r="Q861" t="n">
        <v>0</v>
      </c>
      <c r="R861" s="2" t="inlineStr"/>
    </row>
    <row r="862" ht="15" customHeight="1">
      <c r="A862" t="inlineStr">
        <is>
          <t>A 59727-2022</t>
        </is>
      </c>
      <c r="B862" s="1" t="n">
        <v>44908</v>
      </c>
      <c r="C862" s="1" t="n">
        <v>45719</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60056-2022</t>
        </is>
      </c>
      <c r="B863" s="1" t="n">
        <v>44909</v>
      </c>
      <c r="C863" s="1" t="n">
        <v>45719</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60047-2022</t>
        </is>
      </c>
      <c r="B864" s="1" t="n">
        <v>44909</v>
      </c>
      <c r="C864" s="1" t="n">
        <v>45719</v>
      </c>
      <c r="D864" t="inlineStr">
        <is>
          <t>UPPSALA LÄN</t>
        </is>
      </c>
      <c r="E864" t="inlineStr">
        <is>
          <t>UPPSALA</t>
        </is>
      </c>
      <c r="F864" t="inlineStr">
        <is>
          <t>Kyrkan</t>
        </is>
      </c>
      <c r="G864" t="n">
        <v>0.7</v>
      </c>
      <c r="H864" t="n">
        <v>0</v>
      </c>
      <c r="I864" t="n">
        <v>0</v>
      </c>
      <c r="J864" t="n">
        <v>0</v>
      </c>
      <c r="K864" t="n">
        <v>0</v>
      </c>
      <c r="L864" t="n">
        <v>0</v>
      </c>
      <c r="M864" t="n">
        <v>0</v>
      </c>
      <c r="N864" t="n">
        <v>0</v>
      </c>
      <c r="O864" t="n">
        <v>0</v>
      </c>
      <c r="P864" t="n">
        <v>0</v>
      </c>
      <c r="Q864" t="n">
        <v>0</v>
      </c>
      <c r="R864" s="2" t="inlineStr"/>
    </row>
    <row r="865" ht="15" customHeight="1">
      <c r="A865" t="inlineStr">
        <is>
          <t>A 60702-2022</t>
        </is>
      </c>
      <c r="B865" s="1" t="n">
        <v>44912</v>
      </c>
      <c r="C865" s="1" t="n">
        <v>45719</v>
      </c>
      <c r="D865" t="inlineStr">
        <is>
          <t>UPPSALA LÄN</t>
        </is>
      </c>
      <c r="E865" t="inlineStr">
        <is>
          <t>UPPSALA</t>
        </is>
      </c>
      <c r="G865" t="n">
        <v>0.9</v>
      </c>
      <c r="H865" t="n">
        <v>0</v>
      </c>
      <c r="I865" t="n">
        <v>0</v>
      </c>
      <c r="J865" t="n">
        <v>0</v>
      </c>
      <c r="K865" t="n">
        <v>0</v>
      </c>
      <c r="L865" t="n">
        <v>0</v>
      </c>
      <c r="M865" t="n">
        <v>0</v>
      </c>
      <c r="N865" t="n">
        <v>0</v>
      </c>
      <c r="O865" t="n">
        <v>0</v>
      </c>
      <c r="P865" t="n">
        <v>0</v>
      </c>
      <c r="Q865" t="n">
        <v>0</v>
      </c>
      <c r="R865" s="2" t="inlineStr"/>
    </row>
    <row r="866" ht="15" customHeight="1">
      <c r="A866" t="inlineStr">
        <is>
          <t>A 60701-2022</t>
        </is>
      </c>
      <c r="B866" s="1" t="n">
        <v>44912</v>
      </c>
      <c r="C866" s="1" t="n">
        <v>45719</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60984-2022</t>
        </is>
      </c>
      <c r="B867" s="1" t="n">
        <v>44914</v>
      </c>
      <c r="C867" s="1" t="n">
        <v>45719</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60986-2022</t>
        </is>
      </c>
      <c r="B868" s="1" t="n">
        <v>44914</v>
      </c>
      <c r="C868" s="1" t="n">
        <v>45719</v>
      </c>
      <c r="D868" t="inlineStr">
        <is>
          <t>UPPSALA LÄN</t>
        </is>
      </c>
      <c r="E868" t="inlineStr">
        <is>
          <t>UPPSALA</t>
        </is>
      </c>
      <c r="G868" t="n">
        <v>1.6</v>
      </c>
      <c r="H868" t="n">
        <v>0</v>
      </c>
      <c r="I868" t="n">
        <v>0</v>
      </c>
      <c r="J868" t="n">
        <v>0</v>
      </c>
      <c r="K868" t="n">
        <v>0</v>
      </c>
      <c r="L868" t="n">
        <v>0</v>
      </c>
      <c r="M868" t="n">
        <v>0</v>
      </c>
      <c r="N868" t="n">
        <v>0</v>
      </c>
      <c r="O868" t="n">
        <v>0</v>
      </c>
      <c r="P868" t="n">
        <v>0</v>
      </c>
      <c r="Q868" t="n">
        <v>0</v>
      </c>
      <c r="R868" s="2" t="inlineStr"/>
    </row>
    <row r="869" ht="15" customHeight="1">
      <c r="A869" t="inlineStr">
        <is>
          <t>A 60988-2022</t>
        </is>
      </c>
      <c r="B869" s="1" t="n">
        <v>44914</v>
      </c>
      <c r="C869" s="1" t="n">
        <v>45719</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61526-2022</t>
        </is>
      </c>
      <c r="B870" s="1" t="n">
        <v>44916</v>
      </c>
      <c r="C870" s="1" t="n">
        <v>45719</v>
      </c>
      <c r="D870" t="inlineStr">
        <is>
          <t>UPPSALA LÄN</t>
        </is>
      </c>
      <c r="E870" t="inlineStr">
        <is>
          <t>UPPSALA</t>
        </is>
      </c>
      <c r="F870" t="inlineStr">
        <is>
          <t>Kyrkan</t>
        </is>
      </c>
      <c r="G870" t="n">
        <v>1.2</v>
      </c>
      <c r="H870" t="n">
        <v>0</v>
      </c>
      <c r="I870" t="n">
        <v>0</v>
      </c>
      <c r="J870" t="n">
        <v>0</v>
      </c>
      <c r="K870" t="n">
        <v>0</v>
      </c>
      <c r="L870" t="n">
        <v>0</v>
      </c>
      <c r="M870" t="n">
        <v>0</v>
      </c>
      <c r="N870" t="n">
        <v>0</v>
      </c>
      <c r="O870" t="n">
        <v>0</v>
      </c>
      <c r="P870" t="n">
        <v>0</v>
      </c>
      <c r="Q870" t="n">
        <v>0</v>
      </c>
      <c r="R870" s="2" t="inlineStr"/>
    </row>
    <row r="871" ht="15" customHeight="1">
      <c r="A871" t="inlineStr">
        <is>
          <t>A 61578-2022</t>
        </is>
      </c>
      <c r="B871" s="1" t="n">
        <v>44916</v>
      </c>
      <c r="C871" s="1" t="n">
        <v>45719</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62311-2022</t>
        </is>
      </c>
      <c r="B872" s="1" t="n">
        <v>44916</v>
      </c>
      <c r="C872" s="1" t="n">
        <v>45719</v>
      </c>
      <c r="D872" t="inlineStr">
        <is>
          <t>UPPSALA LÄN</t>
        </is>
      </c>
      <c r="E872" t="inlineStr">
        <is>
          <t>UPPSALA</t>
        </is>
      </c>
      <c r="G872" t="n">
        <v>7.6</v>
      </c>
      <c r="H872" t="n">
        <v>0</v>
      </c>
      <c r="I872" t="n">
        <v>0</v>
      </c>
      <c r="J872" t="n">
        <v>0</v>
      </c>
      <c r="K872" t="n">
        <v>0</v>
      </c>
      <c r="L872" t="n">
        <v>0</v>
      </c>
      <c r="M872" t="n">
        <v>0</v>
      </c>
      <c r="N872" t="n">
        <v>0</v>
      </c>
      <c r="O872" t="n">
        <v>0</v>
      </c>
      <c r="P872" t="n">
        <v>0</v>
      </c>
      <c r="Q872" t="n">
        <v>0</v>
      </c>
      <c r="R872" s="2" t="inlineStr"/>
    </row>
    <row r="873" ht="15" customHeight="1">
      <c r="A873" t="inlineStr">
        <is>
          <t>A 111-2023</t>
        </is>
      </c>
      <c r="B873" s="1" t="n">
        <v>44928</v>
      </c>
      <c r="C873" s="1" t="n">
        <v>45719</v>
      </c>
      <c r="D873" t="inlineStr">
        <is>
          <t>UPPSALA LÄN</t>
        </is>
      </c>
      <c r="E873" t="inlineStr">
        <is>
          <t>UPPSALA</t>
        </is>
      </c>
      <c r="F873" t="inlineStr">
        <is>
          <t>Kommuner</t>
        </is>
      </c>
      <c r="G873" t="n">
        <v>4.8</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45719</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367-2023</t>
        </is>
      </c>
      <c r="B875" s="1" t="n">
        <v>44929</v>
      </c>
      <c r="C875" s="1" t="n">
        <v>45719</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554-2023</t>
        </is>
      </c>
      <c r="B876" s="1" t="n">
        <v>44930</v>
      </c>
      <c r="C876" s="1" t="n">
        <v>45719</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686-2023</t>
        </is>
      </c>
      <c r="B877" s="1" t="n">
        <v>44930</v>
      </c>
      <c r="C877" s="1" t="n">
        <v>45719</v>
      </c>
      <c r="D877" t="inlineStr">
        <is>
          <t>UPPSALA LÄN</t>
        </is>
      </c>
      <c r="E877" t="inlineStr">
        <is>
          <t>UPPSALA</t>
        </is>
      </c>
      <c r="F877" t="inlineStr">
        <is>
          <t>Bergvik skog öst AB</t>
        </is>
      </c>
      <c r="G877" t="n">
        <v>4.6</v>
      </c>
      <c r="H877" t="n">
        <v>0</v>
      </c>
      <c r="I877" t="n">
        <v>0</v>
      </c>
      <c r="J877" t="n">
        <v>0</v>
      </c>
      <c r="K877" t="n">
        <v>0</v>
      </c>
      <c r="L877" t="n">
        <v>0</v>
      </c>
      <c r="M877" t="n">
        <v>0</v>
      </c>
      <c r="N877" t="n">
        <v>0</v>
      </c>
      <c r="O877" t="n">
        <v>0</v>
      </c>
      <c r="P877" t="n">
        <v>0</v>
      </c>
      <c r="Q877" t="n">
        <v>0</v>
      </c>
      <c r="R877" s="2" t="inlineStr"/>
    </row>
    <row r="878" ht="15" customHeight="1">
      <c r="A878" t="inlineStr">
        <is>
          <t>A 1032-2023</t>
        </is>
      </c>
      <c r="B878" s="1" t="n">
        <v>44935</v>
      </c>
      <c r="C878" s="1" t="n">
        <v>45719</v>
      </c>
      <c r="D878" t="inlineStr">
        <is>
          <t>UPPSALA LÄN</t>
        </is>
      </c>
      <c r="E878" t="inlineStr">
        <is>
          <t>UPPSALA</t>
        </is>
      </c>
      <c r="G878" t="n">
        <v>0.8</v>
      </c>
      <c r="H878" t="n">
        <v>0</v>
      </c>
      <c r="I878" t="n">
        <v>0</v>
      </c>
      <c r="J878" t="n">
        <v>0</v>
      </c>
      <c r="K878" t="n">
        <v>0</v>
      </c>
      <c r="L878" t="n">
        <v>0</v>
      </c>
      <c r="M878" t="n">
        <v>0</v>
      </c>
      <c r="N878" t="n">
        <v>0</v>
      </c>
      <c r="O878" t="n">
        <v>0</v>
      </c>
      <c r="P878" t="n">
        <v>0</v>
      </c>
      <c r="Q878" t="n">
        <v>0</v>
      </c>
      <c r="R878" s="2" t="inlineStr"/>
    </row>
    <row r="879" ht="15" customHeight="1">
      <c r="A879" t="inlineStr">
        <is>
          <t>A 1357-2023</t>
        </is>
      </c>
      <c r="B879" s="1" t="n">
        <v>44936</v>
      </c>
      <c r="C879" s="1" t="n">
        <v>45719</v>
      </c>
      <c r="D879" t="inlineStr">
        <is>
          <t>UPPSALA LÄN</t>
        </is>
      </c>
      <c r="E879" t="inlineStr">
        <is>
          <t>UPPSALA</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2186-2023</t>
        </is>
      </c>
      <c r="B880" s="1" t="n">
        <v>44942</v>
      </c>
      <c r="C880" s="1" t="n">
        <v>45719</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2622-2023</t>
        </is>
      </c>
      <c r="B881" s="1" t="n">
        <v>44944</v>
      </c>
      <c r="C881" s="1" t="n">
        <v>45719</v>
      </c>
      <c r="D881" t="inlineStr">
        <is>
          <t>UPPSALA LÄN</t>
        </is>
      </c>
      <c r="E881" t="inlineStr">
        <is>
          <t>UPPSALA</t>
        </is>
      </c>
      <c r="F881" t="inlineStr">
        <is>
          <t>Kommuner</t>
        </is>
      </c>
      <c r="G881" t="n">
        <v>1.3</v>
      </c>
      <c r="H881" t="n">
        <v>0</v>
      </c>
      <c r="I881" t="n">
        <v>0</v>
      </c>
      <c r="J881" t="n">
        <v>0</v>
      </c>
      <c r="K881" t="n">
        <v>0</v>
      </c>
      <c r="L881" t="n">
        <v>0</v>
      </c>
      <c r="M881" t="n">
        <v>0</v>
      </c>
      <c r="N881" t="n">
        <v>0</v>
      </c>
      <c r="O881" t="n">
        <v>0</v>
      </c>
      <c r="P881" t="n">
        <v>0</v>
      </c>
      <c r="Q881" t="n">
        <v>0</v>
      </c>
      <c r="R881" s="2" t="inlineStr"/>
    </row>
    <row r="882" ht="15" customHeight="1">
      <c r="A882" t="inlineStr">
        <is>
          <t>A 2624-2023</t>
        </is>
      </c>
      <c r="B882" s="1" t="n">
        <v>44944</v>
      </c>
      <c r="C882" s="1" t="n">
        <v>45719</v>
      </c>
      <c r="D882" t="inlineStr">
        <is>
          <t>UPPSALA LÄN</t>
        </is>
      </c>
      <c r="E882" t="inlineStr">
        <is>
          <t>UPPSALA</t>
        </is>
      </c>
      <c r="F882" t="inlineStr">
        <is>
          <t>Kommuner</t>
        </is>
      </c>
      <c r="G882" t="n">
        <v>2.9</v>
      </c>
      <c r="H882" t="n">
        <v>0</v>
      </c>
      <c r="I882" t="n">
        <v>0</v>
      </c>
      <c r="J882" t="n">
        <v>0</v>
      </c>
      <c r="K882" t="n">
        <v>0</v>
      </c>
      <c r="L882" t="n">
        <v>0</v>
      </c>
      <c r="M882" t="n">
        <v>0</v>
      </c>
      <c r="N882" t="n">
        <v>0</v>
      </c>
      <c r="O882" t="n">
        <v>0</v>
      </c>
      <c r="P882" t="n">
        <v>0</v>
      </c>
      <c r="Q882" t="n">
        <v>0</v>
      </c>
      <c r="R882" s="2" t="inlineStr"/>
    </row>
    <row r="883" ht="15" customHeight="1">
      <c r="A883" t="inlineStr">
        <is>
          <t>A 5362-2023</t>
        </is>
      </c>
      <c r="B883" s="1" t="n">
        <v>44944</v>
      </c>
      <c r="C883" s="1" t="n">
        <v>45719</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3214-2023</t>
        </is>
      </c>
      <c r="B884" s="1" t="n">
        <v>44944</v>
      </c>
      <c r="C884" s="1" t="n">
        <v>45719</v>
      </c>
      <c r="D884" t="inlineStr">
        <is>
          <t>UPPSALA LÄN</t>
        </is>
      </c>
      <c r="E884" t="inlineStr">
        <is>
          <t>UPPSALA</t>
        </is>
      </c>
      <c r="G884" t="n">
        <v>4.1</v>
      </c>
      <c r="H884" t="n">
        <v>0</v>
      </c>
      <c r="I884" t="n">
        <v>0</v>
      </c>
      <c r="J884" t="n">
        <v>0</v>
      </c>
      <c r="K884" t="n">
        <v>0</v>
      </c>
      <c r="L884" t="n">
        <v>0</v>
      </c>
      <c r="M884" t="n">
        <v>0</v>
      </c>
      <c r="N884" t="n">
        <v>0</v>
      </c>
      <c r="O884" t="n">
        <v>0</v>
      </c>
      <c r="P884" t="n">
        <v>0</v>
      </c>
      <c r="Q884" t="n">
        <v>0</v>
      </c>
      <c r="R884" s="2" t="inlineStr"/>
    </row>
    <row r="885" ht="15" customHeight="1">
      <c r="A885" t="inlineStr">
        <is>
          <t>A 5374-2023</t>
        </is>
      </c>
      <c r="B885" s="1" t="n">
        <v>44944</v>
      </c>
      <c r="C885" s="1" t="n">
        <v>45719</v>
      </c>
      <c r="D885" t="inlineStr">
        <is>
          <t>UPPSALA LÄN</t>
        </is>
      </c>
      <c r="E885" t="inlineStr">
        <is>
          <t>UPPSALA</t>
        </is>
      </c>
      <c r="G885" t="n">
        <v>3.5</v>
      </c>
      <c r="H885" t="n">
        <v>0</v>
      </c>
      <c r="I885" t="n">
        <v>0</v>
      </c>
      <c r="J885" t="n">
        <v>0</v>
      </c>
      <c r="K885" t="n">
        <v>0</v>
      </c>
      <c r="L885" t="n">
        <v>0</v>
      </c>
      <c r="M885" t="n">
        <v>0</v>
      </c>
      <c r="N885" t="n">
        <v>0</v>
      </c>
      <c r="O885" t="n">
        <v>0</v>
      </c>
      <c r="P885" t="n">
        <v>0</v>
      </c>
      <c r="Q885" t="n">
        <v>0</v>
      </c>
      <c r="R885" s="2" t="inlineStr"/>
    </row>
    <row r="886" ht="15" customHeight="1">
      <c r="A886" t="inlineStr">
        <is>
          <t>A 2942-2023</t>
        </is>
      </c>
      <c r="B886" s="1" t="n">
        <v>44945</v>
      </c>
      <c r="C886" s="1" t="n">
        <v>45719</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3040-2023</t>
        </is>
      </c>
      <c r="B887" s="1" t="n">
        <v>44946</v>
      </c>
      <c r="C887" s="1" t="n">
        <v>45719</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3089-2023</t>
        </is>
      </c>
      <c r="B888" s="1" t="n">
        <v>44946</v>
      </c>
      <c r="C888" s="1" t="n">
        <v>45719</v>
      </c>
      <c r="D888" t="inlineStr">
        <is>
          <t>UPPSALA LÄN</t>
        </is>
      </c>
      <c r="E888" t="inlineStr">
        <is>
          <t>UPPSALA</t>
        </is>
      </c>
      <c r="G888" t="n">
        <v>3.7</v>
      </c>
      <c r="H888" t="n">
        <v>0</v>
      </c>
      <c r="I888" t="n">
        <v>0</v>
      </c>
      <c r="J888" t="n">
        <v>0</v>
      </c>
      <c r="K888" t="n">
        <v>0</v>
      </c>
      <c r="L888" t="n">
        <v>0</v>
      </c>
      <c r="M888" t="n">
        <v>0</v>
      </c>
      <c r="N888" t="n">
        <v>0</v>
      </c>
      <c r="O888" t="n">
        <v>0</v>
      </c>
      <c r="P888" t="n">
        <v>0</v>
      </c>
      <c r="Q888" t="n">
        <v>0</v>
      </c>
      <c r="R888" s="2" t="inlineStr"/>
    </row>
    <row r="889" ht="15" customHeight="1">
      <c r="A889" t="inlineStr">
        <is>
          <t>A 3086-2023</t>
        </is>
      </c>
      <c r="B889" s="1" t="n">
        <v>44946</v>
      </c>
      <c r="C889" s="1" t="n">
        <v>45719</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3092-2023</t>
        </is>
      </c>
      <c r="B890" s="1" t="n">
        <v>44946</v>
      </c>
      <c r="C890" s="1" t="n">
        <v>45719</v>
      </c>
      <c r="D890" t="inlineStr">
        <is>
          <t>UPPSALA LÄN</t>
        </is>
      </c>
      <c r="E890" t="inlineStr">
        <is>
          <t>UPPSALA</t>
        </is>
      </c>
      <c r="G890" t="n">
        <v>2.7</v>
      </c>
      <c r="H890" t="n">
        <v>0</v>
      </c>
      <c r="I890" t="n">
        <v>0</v>
      </c>
      <c r="J890" t="n">
        <v>0</v>
      </c>
      <c r="K890" t="n">
        <v>0</v>
      </c>
      <c r="L890" t="n">
        <v>0</v>
      </c>
      <c r="M890" t="n">
        <v>0</v>
      </c>
      <c r="N890" t="n">
        <v>0</v>
      </c>
      <c r="O890" t="n">
        <v>0</v>
      </c>
      <c r="P890" t="n">
        <v>0</v>
      </c>
      <c r="Q890" t="n">
        <v>0</v>
      </c>
      <c r="R890" s="2" t="inlineStr"/>
    </row>
    <row r="891" ht="15" customHeight="1">
      <c r="A891" t="inlineStr">
        <is>
          <t>A 3343-2023</t>
        </is>
      </c>
      <c r="B891" s="1" t="n">
        <v>44949</v>
      </c>
      <c r="C891" s="1" t="n">
        <v>45719</v>
      </c>
      <c r="D891" t="inlineStr">
        <is>
          <t>UPPSALA LÄN</t>
        </is>
      </c>
      <c r="E891" t="inlineStr">
        <is>
          <t>UPPSALA</t>
        </is>
      </c>
      <c r="F891" t="inlineStr">
        <is>
          <t>Allmännings- och besparingsskogar</t>
        </is>
      </c>
      <c r="G891" t="n">
        <v>2.3</v>
      </c>
      <c r="H891" t="n">
        <v>0</v>
      </c>
      <c r="I891" t="n">
        <v>0</v>
      </c>
      <c r="J891" t="n">
        <v>0</v>
      </c>
      <c r="K891" t="n">
        <v>0</v>
      </c>
      <c r="L891" t="n">
        <v>0</v>
      </c>
      <c r="M891" t="n">
        <v>0</v>
      </c>
      <c r="N891" t="n">
        <v>0</v>
      </c>
      <c r="O891" t="n">
        <v>0</v>
      </c>
      <c r="P891" t="n">
        <v>0</v>
      </c>
      <c r="Q891" t="n">
        <v>0</v>
      </c>
      <c r="R891" s="2" t="inlineStr"/>
    </row>
    <row r="892" ht="15" customHeight="1">
      <c r="A892" t="inlineStr">
        <is>
          <t>A 3353-2023</t>
        </is>
      </c>
      <c r="B892" s="1" t="n">
        <v>44949</v>
      </c>
      <c r="C892" s="1" t="n">
        <v>45719</v>
      </c>
      <c r="D892" t="inlineStr">
        <is>
          <t>UPPSALA LÄN</t>
        </is>
      </c>
      <c r="E892" t="inlineStr">
        <is>
          <t>UPPSALA</t>
        </is>
      </c>
      <c r="G892" t="n">
        <v>3</v>
      </c>
      <c r="H892" t="n">
        <v>0</v>
      </c>
      <c r="I892" t="n">
        <v>0</v>
      </c>
      <c r="J892" t="n">
        <v>0</v>
      </c>
      <c r="K892" t="n">
        <v>0</v>
      </c>
      <c r="L892" t="n">
        <v>0</v>
      </c>
      <c r="M892" t="n">
        <v>0</v>
      </c>
      <c r="N892" t="n">
        <v>0</v>
      </c>
      <c r="O892" t="n">
        <v>0</v>
      </c>
      <c r="P892" t="n">
        <v>0</v>
      </c>
      <c r="Q892" t="n">
        <v>0</v>
      </c>
      <c r="R892" s="2" t="inlineStr"/>
    </row>
    <row r="893" ht="15" customHeight="1">
      <c r="A893" t="inlineStr">
        <is>
          <t>A 3661-2023</t>
        </is>
      </c>
      <c r="B893" s="1" t="n">
        <v>44950</v>
      </c>
      <c r="C893" s="1" t="n">
        <v>45719</v>
      </c>
      <c r="D893" t="inlineStr">
        <is>
          <t>UPPSALA LÄN</t>
        </is>
      </c>
      <c r="E893" t="inlineStr">
        <is>
          <t>UPPSALA</t>
        </is>
      </c>
      <c r="F893" t="inlineStr">
        <is>
          <t>Allmännings- och besparingsskogar</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3940-2023</t>
        </is>
      </c>
      <c r="B894" s="1" t="n">
        <v>44952</v>
      </c>
      <c r="C894" s="1" t="n">
        <v>45719</v>
      </c>
      <c r="D894" t="inlineStr">
        <is>
          <t>UPPSALA LÄN</t>
        </is>
      </c>
      <c r="E894" t="inlineStr">
        <is>
          <t>UPPSALA</t>
        </is>
      </c>
      <c r="F894" t="inlineStr">
        <is>
          <t>Bergvik skog öst AB</t>
        </is>
      </c>
      <c r="G894" t="n">
        <v>20.6</v>
      </c>
      <c r="H894" t="n">
        <v>0</v>
      </c>
      <c r="I894" t="n">
        <v>0</v>
      </c>
      <c r="J894" t="n">
        <v>0</v>
      </c>
      <c r="K894" t="n">
        <v>0</v>
      </c>
      <c r="L894" t="n">
        <v>0</v>
      </c>
      <c r="M894" t="n">
        <v>0</v>
      </c>
      <c r="N894" t="n">
        <v>0</v>
      </c>
      <c r="O894" t="n">
        <v>0</v>
      </c>
      <c r="P894" t="n">
        <v>0</v>
      </c>
      <c r="Q894" t="n">
        <v>0</v>
      </c>
      <c r="R894" s="2" t="inlineStr"/>
    </row>
    <row r="895" ht="15" customHeight="1">
      <c r="A895" t="inlineStr">
        <is>
          <t>A 3939-2023</t>
        </is>
      </c>
      <c r="B895" s="1" t="n">
        <v>44952</v>
      </c>
      <c r="C895" s="1" t="n">
        <v>45719</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5254-2023</t>
        </is>
      </c>
      <c r="B896" s="1" t="n">
        <v>44959</v>
      </c>
      <c r="C896" s="1" t="n">
        <v>45719</v>
      </c>
      <c r="D896" t="inlineStr">
        <is>
          <t>UPPSALA LÄN</t>
        </is>
      </c>
      <c r="E896" t="inlineStr">
        <is>
          <t>UPPSALA</t>
        </is>
      </c>
      <c r="G896" t="n">
        <v>2.6</v>
      </c>
      <c r="H896" t="n">
        <v>0</v>
      </c>
      <c r="I896" t="n">
        <v>0</v>
      </c>
      <c r="J896" t="n">
        <v>0</v>
      </c>
      <c r="K896" t="n">
        <v>0</v>
      </c>
      <c r="L896" t="n">
        <v>0</v>
      </c>
      <c r="M896" t="n">
        <v>0</v>
      </c>
      <c r="N896" t="n">
        <v>0</v>
      </c>
      <c r="O896" t="n">
        <v>0</v>
      </c>
      <c r="P896" t="n">
        <v>0</v>
      </c>
      <c r="Q896" t="n">
        <v>0</v>
      </c>
      <c r="R896" s="2" t="inlineStr"/>
    </row>
    <row r="897" ht="15" customHeight="1">
      <c r="A897" t="inlineStr">
        <is>
          <t>A 5258-2023</t>
        </is>
      </c>
      <c r="B897" s="1" t="n">
        <v>44959</v>
      </c>
      <c r="C897" s="1" t="n">
        <v>45719</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5247-2023</t>
        </is>
      </c>
      <c r="B898" s="1" t="n">
        <v>44959</v>
      </c>
      <c r="C898" s="1" t="n">
        <v>45719</v>
      </c>
      <c r="D898" t="inlineStr">
        <is>
          <t>UPPSALA LÄN</t>
        </is>
      </c>
      <c r="E898" t="inlineStr">
        <is>
          <t>UPPSALA</t>
        </is>
      </c>
      <c r="G898" t="n">
        <v>11.1</v>
      </c>
      <c r="H898" t="n">
        <v>0</v>
      </c>
      <c r="I898" t="n">
        <v>0</v>
      </c>
      <c r="J898" t="n">
        <v>0</v>
      </c>
      <c r="K898" t="n">
        <v>0</v>
      </c>
      <c r="L898" t="n">
        <v>0</v>
      </c>
      <c r="M898" t="n">
        <v>0</v>
      </c>
      <c r="N898" t="n">
        <v>0</v>
      </c>
      <c r="O898" t="n">
        <v>0</v>
      </c>
      <c r="P898" t="n">
        <v>0</v>
      </c>
      <c r="Q898" t="n">
        <v>0</v>
      </c>
      <c r="R898" s="2" t="inlineStr"/>
    </row>
    <row r="899" ht="15" customHeight="1">
      <c r="A899" t="inlineStr">
        <is>
          <t>A 5678-2023</t>
        </is>
      </c>
      <c r="B899" s="1" t="n">
        <v>44960</v>
      </c>
      <c r="C899" s="1" t="n">
        <v>45719</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5682-2023</t>
        </is>
      </c>
      <c r="B900" s="1" t="n">
        <v>44960</v>
      </c>
      <c r="C900" s="1" t="n">
        <v>45719</v>
      </c>
      <c r="D900" t="inlineStr">
        <is>
          <t>UPPSALA LÄN</t>
        </is>
      </c>
      <c r="E900" t="inlineStr">
        <is>
          <t>UPPSALA</t>
        </is>
      </c>
      <c r="F900" t="inlineStr">
        <is>
          <t>Allmännings- och besparingsskogar</t>
        </is>
      </c>
      <c r="G900" t="n">
        <v>14.2</v>
      </c>
      <c r="H900" t="n">
        <v>0</v>
      </c>
      <c r="I900" t="n">
        <v>0</v>
      </c>
      <c r="J900" t="n">
        <v>0</v>
      </c>
      <c r="K900" t="n">
        <v>0</v>
      </c>
      <c r="L900" t="n">
        <v>0</v>
      </c>
      <c r="M900" t="n">
        <v>0</v>
      </c>
      <c r="N900" t="n">
        <v>0</v>
      </c>
      <c r="O900" t="n">
        <v>0</v>
      </c>
      <c r="P900" t="n">
        <v>0</v>
      </c>
      <c r="Q900" t="n">
        <v>0</v>
      </c>
      <c r="R900" s="2" t="inlineStr"/>
    </row>
    <row r="901" ht="15" customHeight="1">
      <c r="A901" t="inlineStr">
        <is>
          <t>A 5663-2023</t>
        </is>
      </c>
      <c r="B901" s="1" t="n">
        <v>44960</v>
      </c>
      <c r="C901" s="1" t="n">
        <v>45719</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5669-2023</t>
        </is>
      </c>
      <c r="B902" s="1" t="n">
        <v>44960</v>
      </c>
      <c r="C902" s="1" t="n">
        <v>45719</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5675-2023</t>
        </is>
      </c>
      <c r="B903" s="1" t="n">
        <v>44960</v>
      </c>
      <c r="C903" s="1" t="n">
        <v>45719</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6213-2023</t>
        </is>
      </c>
      <c r="B904" s="1" t="n">
        <v>44964</v>
      </c>
      <c r="C904" s="1" t="n">
        <v>45719</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6155-2023</t>
        </is>
      </c>
      <c r="B905" s="1" t="n">
        <v>44964</v>
      </c>
      <c r="C905" s="1" t="n">
        <v>45719</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6215-2023</t>
        </is>
      </c>
      <c r="B906" s="1" t="n">
        <v>44964</v>
      </c>
      <c r="C906" s="1" t="n">
        <v>45719</v>
      </c>
      <c r="D906" t="inlineStr">
        <is>
          <t>UPPSALA LÄN</t>
        </is>
      </c>
      <c r="E906" t="inlineStr">
        <is>
          <t>UPPSALA</t>
        </is>
      </c>
      <c r="G906" t="n">
        <v>3.1</v>
      </c>
      <c r="H906" t="n">
        <v>0</v>
      </c>
      <c r="I906" t="n">
        <v>0</v>
      </c>
      <c r="J906" t="n">
        <v>0</v>
      </c>
      <c r="K906" t="n">
        <v>0</v>
      </c>
      <c r="L906" t="n">
        <v>0</v>
      </c>
      <c r="M906" t="n">
        <v>0</v>
      </c>
      <c r="N906" t="n">
        <v>0</v>
      </c>
      <c r="O906" t="n">
        <v>0</v>
      </c>
      <c r="P906" t="n">
        <v>0</v>
      </c>
      <c r="Q906" t="n">
        <v>0</v>
      </c>
      <c r="R906" s="2" t="inlineStr"/>
    </row>
    <row r="907" ht="15" customHeight="1">
      <c r="A907" t="inlineStr">
        <is>
          <t>A 6422-2023</t>
        </is>
      </c>
      <c r="B907" s="1" t="n">
        <v>44965</v>
      </c>
      <c r="C907" s="1" t="n">
        <v>45719</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6423-2023</t>
        </is>
      </c>
      <c r="B908" s="1" t="n">
        <v>44965</v>
      </c>
      <c r="C908" s="1" t="n">
        <v>45719</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6602-2023</t>
        </is>
      </c>
      <c r="B909" s="1" t="n">
        <v>44966</v>
      </c>
      <c r="C909" s="1" t="n">
        <v>45719</v>
      </c>
      <c r="D909" t="inlineStr">
        <is>
          <t>UPPSALA LÄN</t>
        </is>
      </c>
      <c r="E909" t="inlineStr">
        <is>
          <t>UPPSALA</t>
        </is>
      </c>
      <c r="F909" t="inlineStr">
        <is>
          <t>Allmännings- och besparingsskogar</t>
        </is>
      </c>
      <c r="G909" t="n">
        <v>20.2</v>
      </c>
      <c r="H909" t="n">
        <v>0</v>
      </c>
      <c r="I909" t="n">
        <v>0</v>
      </c>
      <c r="J909" t="n">
        <v>0</v>
      </c>
      <c r="K909" t="n">
        <v>0</v>
      </c>
      <c r="L909" t="n">
        <v>0</v>
      </c>
      <c r="M909" t="n">
        <v>0</v>
      </c>
      <c r="N909" t="n">
        <v>0</v>
      </c>
      <c r="O909" t="n">
        <v>0</v>
      </c>
      <c r="P909" t="n">
        <v>0</v>
      </c>
      <c r="Q909" t="n">
        <v>0</v>
      </c>
      <c r="R909" s="2" t="inlineStr"/>
    </row>
    <row r="910" ht="15" customHeight="1">
      <c r="A910" t="inlineStr">
        <is>
          <t>A 6749-2023</t>
        </is>
      </c>
      <c r="B910" s="1" t="n">
        <v>44966</v>
      </c>
      <c r="C910" s="1" t="n">
        <v>45719</v>
      </c>
      <c r="D910" t="inlineStr">
        <is>
          <t>UPPSALA LÄN</t>
        </is>
      </c>
      <c r="E910" t="inlineStr">
        <is>
          <t>UPPSALA</t>
        </is>
      </c>
      <c r="F910" t="inlineStr">
        <is>
          <t>Allmännings- och besparingsskogar</t>
        </is>
      </c>
      <c r="G910" t="n">
        <v>13.5</v>
      </c>
      <c r="H910" t="n">
        <v>0</v>
      </c>
      <c r="I910" t="n">
        <v>0</v>
      </c>
      <c r="J910" t="n">
        <v>0</v>
      </c>
      <c r="K910" t="n">
        <v>0</v>
      </c>
      <c r="L910" t="n">
        <v>0</v>
      </c>
      <c r="M910" t="n">
        <v>0</v>
      </c>
      <c r="N910" t="n">
        <v>0</v>
      </c>
      <c r="O910" t="n">
        <v>0</v>
      </c>
      <c r="P910" t="n">
        <v>0</v>
      </c>
      <c r="Q910" t="n">
        <v>0</v>
      </c>
      <c r="R910" s="2" t="inlineStr"/>
    </row>
    <row r="911" ht="15" customHeight="1">
      <c r="A911" t="inlineStr">
        <is>
          <t>A 6930-2023</t>
        </is>
      </c>
      <c r="B911" s="1" t="n">
        <v>44967</v>
      </c>
      <c r="C911" s="1" t="n">
        <v>45719</v>
      </c>
      <c r="D911" t="inlineStr">
        <is>
          <t>UPPSALA LÄN</t>
        </is>
      </c>
      <c r="E911" t="inlineStr">
        <is>
          <t>UPPSALA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7000-2023</t>
        </is>
      </c>
      <c r="B912" s="1" t="n">
        <v>44967</v>
      </c>
      <c r="C912" s="1" t="n">
        <v>45719</v>
      </c>
      <c r="D912" t="inlineStr">
        <is>
          <t>UPPSALA LÄN</t>
        </is>
      </c>
      <c r="E912" t="inlineStr">
        <is>
          <t>UPPSALA</t>
        </is>
      </c>
      <c r="G912" t="n">
        <v>7.1</v>
      </c>
      <c r="H912" t="n">
        <v>0</v>
      </c>
      <c r="I912" t="n">
        <v>0</v>
      </c>
      <c r="J912" t="n">
        <v>0</v>
      </c>
      <c r="K912" t="n">
        <v>0</v>
      </c>
      <c r="L912" t="n">
        <v>0</v>
      </c>
      <c r="M912" t="n">
        <v>0</v>
      </c>
      <c r="N912" t="n">
        <v>0</v>
      </c>
      <c r="O912" t="n">
        <v>0</v>
      </c>
      <c r="P912" t="n">
        <v>0</v>
      </c>
      <c r="Q912" t="n">
        <v>0</v>
      </c>
      <c r="R912" s="2" t="inlineStr"/>
    </row>
    <row r="913" ht="15" customHeight="1">
      <c r="A913" t="inlineStr">
        <is>
          <t>A 6999-2023</t>
        </is>
      </c>
      <c r="B913" s="1" t="n">
        <v>44967</v>
      </c>
      <c r="C913" s="1" t="n">
        <v>45719</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6997-2023</t>
        </is>
      </c>
      <c r="B914" s="1" t="n">
        <v>44967</v>
      </c>
      <c r="C914" s="1" t="n">
        <v>45719</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7001-2023</t>
        </is>
      </c>
      <c r="B915" s="1" t="n">
        <v>44967</v>
      </c>
      <c r="C915" s="1" t="n">
        <v>45719</v>
      </c>
      <c r="D915" t="inlineStr">
        <is>
          <t>UPPSALA LÄN</t>
        </is>
      </c>
      <c r="E915" t="inlineStr">
        <is>
          <t>UPPSALA</t>
        </is>
      </c>
      <c r="G915" t="n">
        <v>4.3</v>
      </c>
      <c r="H915" t="n">
        <v>0</v>
      </c>
      <c r="I915" t="n">
        <v>0</v>
      </c>
      <c r="J915" t="n">
        <v>0</v>
      </c>
      <c r="K915" t="n">
        <v>0</v>
      </c>
      <c r="L915" t="n">
        <v>0</v>
      </c>
      <c r="M915" t="n">
        <v>0</v>
      </c>
      <c r="N915" t="n">
        <v>0</v>
      </c>
      <c r="O915" t="n">
        <v>0</v>
      </c>
      <c r="P915" t="n">
        <v>0</v>
      </c>
      <c r="Q915" t="n">
        <v>0</v>
      </c>
      <c r="R915" s="2" t="inlineStr"/>
    </row>
    <row r="916" ht="15" customHeight="1">
      <c r="A916" t="inlineStr">
        <is>
          <t>A 7002-2023</t>
        </is>
      </c>
      <c r="B916" s="1" t="n">
        <v>44967</v>
      </c>
      <c r="C916" s="1" t="n">
        <v>45719</v>
      </c>
      <c r="D916" t="inlineStr">
        <is>
          <t>UPPSALA LÄN</t>
        </is>
      </c>
      <c r="E916" t="inlineStr">
        <is>
          <t>UPPSALA</t>
        </is>
      </c>
      <c r="G916" t="n">
        <v>5</v>
      </c>
      <c r="H916" t="n">
        <v>0</v>
      </c>
      <c r="I916" t="n">
        <v>0</v>
      </c>
      <c r="J916" t="n">
        <v>0</v>
      </c>
      <c r="K916" t="n">
        <v>0</v>
      </c>
      <c r="L916" t="n">
        <v>0</v>
      </c>
      <c r="M916" t="n">
        <v>0</v>
      </c>
      <c r="N916" t="n">
        <v>0</v>
      </c>
      <c r="O916" t="n">
        <v>0</v>
      </c>
      <c r="P916" t="n">
        <v>0</v>
      </c>
      <c r="Q916" t="n">
        <v>0</v>
      </c>
      <c r="R916" s="2" t="inlineStr"/>
    </row>
    <row r="917" ht="15" customHeight="1">
      <c r="A917" t="inlineStr">
        <is>
          <t>A 7611-2023</t>
        </is>
      </c>
      <c r="B917" s="1" t="n">
        <v>44967</v>
      </c>
      <c r="C917" s="1" t="n">
        <v>45719</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7607-2023</t>
        </is>
      </c>
      <c r="B918" s="1" t="n">
        <v>44967</v>
      </c>
      <c r="C918" s="1" t="n">
        <v>45719</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7058-2023</t>
        </is>
      </c>
      <c r="B919" s="1" t="n">
        <v>44969</v>
      </c>
      <c r="C919" s="1" t="n">
        <v>45719</v>
      </c>
      <c r="D919" t="inlineStr">
        <is>
          <t>UPPSALA LÄN</t>
        </is>
      </c>
      <c r="E919" t="inlineStr">
        <is>
          <t>UPPSALA</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7084-2023</t>
        </is>
      </c>
      <c r="B920" s="1" t="n">
        <v>44970</v>
      </c>
      <c r="C920" s="1" t="n">
        <v>45719</v>
      </c>
      <c r="D920" t="inlineStr">
        <is>
          <t>UPPSALA LÄN</t>
        </is>
      </c>
      <c r="E920" t="inlineStr">
        <is>
          <t>UPPSALA</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8384-2023</t>
        </is>
      </c>
      <c r="B921" s="1" t="n">
        <v>44971</v>
      </c>
      <c r="C921" s="1" t="n">
        <v>45719</v>
      </c>
      <c r="D921" t="inlineStr">
        <is>
          <t>UPPSALA LÄN</t>
        </is>
      </c>
      <c r="E921" t="inlineStr">
        <is>
          <t>UPPSALA</t>
        </is>
      </c>
      <c r="G921" t="n">
        <v>4</v>
      </c>
      <c r="H921" t="n">
        <v>0</v>
      </c>
      <c r="I921" t="n">
        <v>0</v>
      </c>
      <c r="J921" t="n">
        <v>0</v>
      </c>
      <c r="K921" t="n">
        <v>0</v>
      </c>
      <c r="L921" t="n">
        <v>0</v>
      </c>
      <c r="M921" t="n">
        <v>0</v>
      </c>
      <c r="N921" t="n">
        <v>0</v>
      </c>
      <c r="O921" t="n">
        <v>0</v>
      </c>
      <c r="P921" t="n">
        <v>0</v>
      </c>
      <c r="Q921" t="n">
        <v>0</v>
      </c>
      <c r="R921" s="2" t="inlineStr"/>
    </row>
    <row r="922" ht="15" customHeight="1">
      <c r="A922" t="inlineStr">
        <is>
          <t>A 8286-2023</t>
        </is>
      </c>
      <c r="B922" s="1" t="n">
        <v>44971</v>
      </c>
      <c r="C922" s="1" t="n">
        <v>45719</v>
      </c>
      <c r="D922" t="inlineStr">
        <is>
          <t>UPPSALA LÄN</t>
        </is>
      </c>
      <c r="E922" t="inlineStr">
        <is>
          <t>UPPSALA</t>
        </is>
      </c>
      <c r="G922" t="n">
        <v>9</v>
      </c>
      <c r="H922" t="n">
        <v>0</v>
      </c>
      <c r="I922" t="n">
        <v>0</v>
      </c>
      <c r="J922" t="n">
        <v>0</v>
      </c>
      <c r="K922" t="n">
        <v>0</v>
      </c>
      <c r="L922" t="n">
        <v>0</v>
      </c>
      <c r="M922" t="n">
        <v>0</v>
      </c>
      <c r="N922" t="n">
        <v>0</v>
      </c>
      <c r="O922" t="n">
        <v>0</v>
      </c>
      <c r="P922" t="n">
        <v>0</v>
      </c>
      <c r="Q922" t="n">
        <v>0</v>
      </c>
      <c r="R922" s="2" t="inlineStr"/>
    </row>
    <row r="923" ht="15" customHeight="1">
      <c r="A923" t="inlineStr">
        <is>
          <t>A 7577-2023</t>
        </is>
      </c>
      <c r="B923" s="1" t="n">
        <v>44972</v>
      </c>
      <c r="C923" s="1" t="n">
        <v>45719</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7663-2023</t>
        </is>
      </c>
      <c r="B924" s="1" t="n">
        <v>44972</v>
      </c>
      <c r="C924" s="1" t="n">
        <v>45719</v>
      </c>
      <c r="D924" t="inlineStr">
        <is>
          <t>UPPSALA LÄN</t>
        </is>
      </c>
      <c r="E924" t="inlineStr">
        <is>
          <t>UPPSALA</t>
        </is>
      </c>
      <c r="G924" t="n">
        <v>1.7</v>
      </c>
      <c r="H924" t="n">
        <v>0</v>
      </c>
      <c r="I924" t="n">
        <v>0</v>
      </c>
      <c r="J924" t="n">
        <v>0</v>
      </c>
      <c r="K924" t="n">
        <v>0</v>
      </c>
      <c r="L924" t="n">
        <v>0</v>
      </c>
      <c r="M924" t="n">
        <v>0</v>
      </c>
      <c r="N924" t="n">
        <v>0</v>
      </c>
      <c r="O924" t="n">
        <v>0</v>
      </c>
      <c r="P924" t="n">
        <v>0</v>
      </c>
      <c r="Q924" t="n">
        <v>0</v>
      </c>
      <c r="R924" s="2" t="inlineStr"/>
    </row>
    <row r="925" ht="15" customHeight="1">
      <c r="A925" t="inlineStr">
        <is>
          <t>A 7894-2023</t>
        </is>
      </c>
      <c r="B925" s="1" t="n">
        <v>44973</v>
      </c>
      <c r="C925" s="1" t="n">
        <v>45719</v>
      </c>
      <c r="D925" t="inlineStr">
        <is>
          <t>UPPSALA LÄN</t>
        </is>
      </c>
      <c r="E925" t="inlineStr">
        <is>
          <t>UPPSALA</t>
        </is>
      </c>
      <c r="G925" t="n">
        <v>4.4</v>
      </c>
      <c r="H925" t="n">
        <v>0</v>
      </c>
      <c r="I925" t="n">
        <v>0</v>
      </c>
      <c r="J925" t="n">
        <v>0</v>
      </c>
      <c r="K925" t="n">
        <v>0</v>
      </c>
      <c r="L925" t="n">
        <v>0</v>
      </c>
      <c r="M925" t="n">
        <v>0</v>
      </c>
      <c r="N925" t="n">
        <v>0</v>
      </c>
      <c r="O925" t="n">
        <v>0</v>
      </c>
      <c r="P925" t="n">
        <v>0</v>
      </c>
      <c r="Q925" t="n">
        <v>0</v>
      </c>
      <c r="R925" s="2" t="inlineStr"/>
    </row>
    <row r="926" ht="15" customHeight="1">
      <c r="A926" t="inlineStr">
        <is>
          <t>A 8162-2023</t>
        </is>
      </c>
      <c r="B926" s="1" t="n">
        <v>44974</v>
      </c>
      <c r="C926" s="1" t="n">
        <v>45719</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8473-2023</t>
        </is>
      </c>
      <c r="B927" s="1" t="n">
        <v>44977</v>
      </c>
      <c r="C927" s="1" t="n">
        <v>45719</v>
      </c>
      <c r="D927" t="inlineStr">
        <is>
          <t>UPPSALA LÄN</t>
        </is>
      </c>
      <c r="E927" t="inlineStr">
        <is>
          <t>UPPSALA</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9426-2023</t>
        </is>
      </c>
      <c r="B928" s="1" t="n">
        <v>44977</v>
      </c>
      <c r="C928" s="1" t="n">
        <v>45719</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9398-2023</t>
        </is>
      </c>
      <c r="B929" s="1" t="n">
        <v>44977</v>
      </c>
      <c r="C929" s="1" t="n">
        <v>45719</v>
      </c>
      <c r="D929" t="inlineStr">
        <is>
          <t>UPPSALA LÄN</t>
        </is>
      </c>
      <c r="E929" t="inlineStr">
        <is>
          <t>UPPSALA</t>
        </is>
      </c>
      <c r="G929" t="n">
        <v>5.1</v>
      </c>
      <c r="H929" t="n">
        <v>0</v>
      </c>
      <c r="I929" t="n">
        <v>0</v>
      </c>
      <c r="J929" t="n">
        <v>0</v>
      </c>
      <c r="K929" t="n">
        <v>0</v>
      </c>
      <c r="L929" t="n">
        <v>0</v>
      </c>
      <c r="M929" t="n">
        <v>0</v>
      </c>
      <c r="N929" t="n">
        <v>0</v>
      </c>
      <c r="O929" t="n">
        <v>0</v>
      </c>
      <c r="P929" t="n">
        <v>0</v>
      </c>
      <c r="Q929" t="n">
        <v>0</v>
      </c>
      <c r="R929" s="2" t="inlineStr"/>
    </row>
    <row r="930" ht="15" customHeight="1">
      <c r="A930" t="inlineStr">
        <is>
          <t>A 9295-2023</t>
        </is>
      </c>
      <c r="B930" s="1" t="n">
        <v>44980</v>
      </c>
      <c r="C930" s="1" t="n">
        <v>45719</v>
      </c>
      <c r="D930" t="inlineStr">
        <is>
          <t>UPPSALA LÄN</t>
        </is>
      </c>
      <c r="E930" t="inlineStr">
        <is>
          <t>UPPSALA</t>
        </is>
      </c>
      <c r="G930" t="n">
        <v>2.1</v>
      </c>
      <c r="H930" t="n">
        <v>0</v>
      </c>
      <c r="I930" t="n">
        <v>0</v>
      </c>
      <c r="J930" t="n">
        <v>0</v>
      </c>
      <c r="K930" t="n">
        <v>0</v>
      </c>
      <c r="L930" t="n">
        <v>0</v>
      </c>
      <c r="M930" t="n">
        <v>0</v>
      </c>
      <c r="N930" t="n">
        <v>0</v>
      </c>
      <c r="O930" t="n">
        <v>0</v>
      </c>
      <c r="P930" t="n">
        <v>0</v>
      </c>
      <c r="Q930" t="n">
        <v>0</v>
      </c>
      <c r="R930" s="2" t="inlineStr"/>
    </row>
    <row r="931" ht="15" customHeight="1">
      <c r="A931" t="inlineStr">
        <is>
          <t>A 9261-2023</t>
        </is>
      </c>
      <c r="B931" s="1" t="n">
        <v>44980</v>
      </c>
      <c r="C931" s="1" t="n">
        <v>45719</v>
      </c>
      <c r="D931" t="inlineStr">
        <is>
          <t>UPPSALA LÄN</t>
        </is>
      </c>
      <c r="E931" t="inlineStr">
        <is>
          <t>UPPSALA</t>
        </is>
      </c>
      <c r="G931" t="n">
        <v>5.3</v>
      </c>
      <c r="H931" t="n">
        <v>0</v>
      </c>
      <c r="I931" t="n">
        <v>0</v>
      </c>
      <c r="J931" t="n">
        <v>0</v>
      </c>
      <c r="K931" t="n">
        <v>0</v>
      </c>
      <c r="L931" t="n">
        <v>0</v>
      </c>
      <c r="M931" t="n">
        <v>0</v>
      </c>
      <c r="N931" t="n">
        <v>0</v>
      </c>
      <c r="O931" t="n">
        <v>0</v>
      </c>
      <c r="P931" t="n">
        <v>0</v>
      </c>
      <c r="Q931" t="n">
        <v>0</v>
      </c>
      <c r="R931" s="2" t="inlineStr"/>
    </row>
    <row r="932" ht="15" customHeight="1">
      <c r="A932" t="inlineStr">
        <is>
          <t>A 9291-2023</t>
        </is>
      </c>
      <c r="B932" s="1" t="n">
        <v>44980</v>
      </c>
      <c r="C932" s="1" t="n">
        <v>45719</v>
      </c>
      <c r="D932" t="inlineStr">
        <is>
          <t>UPPSALA LÄN</t>
        </is>
      </c>
      <c r="E932" t="inlineStr">
        <is>
          <t>UPPSALA</t>
        </is>
      </c>
      <c r="G932" t="n">
        <v>12.9</v>
      </c>
      <c r="H932" t="n">
        <v>0</v>
      </c>
      <c r="I932" t="n">
        <v>0</v>
      </c>
      <c r="J932" t="n">
        <v>0</v>
      </c>
      <c r="K932" t="n">
        <v>0</v>
      </c>
      <c r="L932" t="n">
        <v>0</v>
      </c>
      <c r="M932" t="n">
        <v>0</v>
      </c>
      <c r="N932" t="n">
        <v>0</v>
      </c>
      <c r="O932" t="n">
        <v>0</v>
      </c>
      <c r="P932" t="n">
        <v>0</v>
      </c>
      <c r="Q932" t="n">
        <v>0</v>
      </c>
      <c r="R932" s="2" t="inlineStr"/>
    </row>
    <row r="933" ht="15" customHeight="1">
      <c r="A933" t="inlineStr">
        <is>
          <t>A 9313-2023</t>
        </is>
      </c>
      <c r="B933" s="1" t="n">
        <v>44980</v>
      </c>
      <c r="C933" s="1" t="n">
        <v>45719</v>
      </c>
      <c r="D933" t="inlineStr">
        <is>
          <t>UPPSALA LÄN</t>
        </is>
      </c>
      <c r="E933" t="inlineStr">
        <is>
          <t>UPPSALA</t>
        </is>
      </c>
      <c r="G933" t="n">
        <v>2.6</v>
      </c>
      <c r="H933" t="n">
        <v>0</v>
      </c>
      <c r="I933" t="n">
        <v>0</v>
      </c>
      <c r="J933" t="n">
        <v>0</v>
      </c>
      <c r="K933" t="n">
        <v>0</v>
      </c>
      <c r="L933" t="n">
        <v>0</v>
      </c>
      <c r="M933" t="n">
        <v>0</v>
      </c>
      <c r="N933" t="n">
        <v>0</v>
      </c>
      <c r="O933" t="n">
        <v>0</v>
      </c>
      <c r="P933" t="n">
        <v>0</v>
      </c>
      <c r="Q933" t="n">
        <v>0</v>
      </c>
      <c r="R933" s="2" t="inlineStr"/>
    </row>
    <row r="934" ht="15" customHeight="1">
      <c r="A934" t="inlineStr">
        <is>
          <t>A 9817-2023</t>
        </is>
      </c>
      <c r="B934" s="1" t="n">
        <v>44984</v>
      </c>
      <c r="C934" s="1" t="n">
        <v>45719</v>
      </c>
      <c r="D934" t="inlineStr">
        <is>
          <t>UPPSALA LÄN</t>
        </is>
      </c>
      <c r="E934" t="inlineStr">
        <is>
          <t>UPPSALA</t>
        </is>
      </c>
      <c r="F934" t="inlineStr">
        <is>
          <t>Kyrkan</t>
        </is>
      </c>
      <c r="G934" t="n">
        <v>5.3</v>
      </c>
      <c r="H934" t="n">
        <v>0</v>
      </c>
      <c r="I934" t="n">
        <v>0</v>
      </c>
      <c r="J934" t="n">
        <v>0</v>
      </c>
      <c r="K934" t="n">
        <v>0</v>
      </c>
      <c r="L934" t="n">
        <v>0</v>
      </c>
      <c r="M934" t="n">
        <v>0</v>
      </c>
      <c r="N934" t="n">
        <v>0</v>
      </c>
      <c r="O934" t="n">
        <v>0</v>
      </c>
      <c r="P934" t="n">
        <v>0</v>
      </c>
      <c r="Q934" t="n">
        <v>0</v>
      </c>
      <c r="R934" s="2" t="inlineStr"/>
    </row>
    <row r="935" ht="15" customHeight="1">
      <c r="A935" t="inlineStr">
        <is>
          <t>A 9814-2023</t>
        </is>
      </c>
      <c r="B935" s="1" t="n">
        <v>44984</v>
      </c>
      <c r="C935" s="1" t="n">
        <v>45719</v>
      </c>
      <c r="D935" t="inlineStr">
        <is>
          <t>UPPSALA LÄN</t>
        </is>
      </c>
      <c r="E935" t="inlineStr">
        <is>
          <t>UPPSALA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9811-2023</t>
        </is>
      </c>
      <c r="B936" s="1" t="n">
        <v>44984</v>
      </c>
      <c r="C936" s="1" t="n">
        <v>45719</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9820-2023</t>
        </is>
      </c>
      <c r="B937" s="1" t="n">
        <v>44984</v>
      </c>
      <c r="C937" s="1" t="n">
        <v>45719</v>
      </c>
      <c r="D937" t="inlineStr">
        <is>
          <t>UPPSALA LÄN</t>
        </is>
      </c>
      <c r="E937" t="inlineStr">
        <is>
          <t>UPPSALA</t>
        </is>
      </c>
      <c r="F937" t="inlineStr">
        <is>
          <t>Kyrkan</t>
        </is>
      </c>
      <c r="G937" t="n">
        <v>2</v>
      </c>
      <c r="H937" t="n">
        <v>0</v>
      </c>
      <c r="I937" t="n">
        <v>0</v>
      </c>
      <c r="J937" t="n">
        <v>0</v>
      </c>
      <c r="K937" t="n">
        <v>0</v>
      </c>
      <c r="L937" t="n">
        <v>0</v>
      </c>
      <c r="M937" t="n">
        <v>0</v>
      </c>
      <c r="N937" t="n">
        <v>0</v>
      </c>
      <c r="O937" t="n">
        <v>0</v>
      </c>
      <c r="P937" t="n">
        <v>0</v>
      </c>
      <c r="Q937" t="n">
        <v>0</v>
      </c>
      <c r="R937" s="2" t="inlineStr"/>
    </row>
    <row r="938" ht="15" customHeight="1">
      <c r="A938" t="inlineStr">
        <is>
          <t>A 10005-2023</t>
        </is>
      </c>
      <c r="B938" s="1" t="n">
        <v>44985</v>
      </c>
      <c r="C938" s="1" t="n">
        <v>45719</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10669-2023</t>
        </is>
      </c>
      <c r="B939" s="1" t="n">
        <v>44988</v>
      </c>
      <c r="C939" s="1" t="n">
        <v>45719</v>
      </c>
      <c r="D939" t="inlineStr">
        <is>
          <t>UPPSALA LÄN</t>
        </is>
      </c>
      <c r="E939" t="inlineStr">
        <is>
          <t>UPPSALA</t>
        </is>
      </c>
      <c r="G939" t="n">
        <v>4.9</v>
      </c>
      <c r="H939" t="n">
        <v>0</v>
      </c>
      <c r="I939" t="n">
        <v>0</v>
      </c>
      <c r="J939" t="n">
        <v>0</v>
      </c>
      <c r="K939" t="n">
        <v>0</v>
      </c>
      <c r="L939" t="n">
        <v>0</v>
      </c>
      <c r="M939" t="n">
        <v>0</v>
      </c>
      <c r="N939" t="n">
        <v>0</v>
      </c>
      <c r="O939" t="n">
        <v>0</v>
      </c>
      <c r="P939" t="n">
        <v>0</v>
      </c>
      <c r="Q939" t="n">
        <v>0</v>
      </c>
      <c r="R939" s="2" t="inlineStr"/>
    </row>
    <row r="940" ht="15" customHeight="1">
      <c r="A940" t="inlineStr">
        <is>
          <t>A 11484-2023</t>
        </is>
      </c>
      <c r="B940" s="1" t="n">
        <v>44991</v>
      </c>
      <c r="C940" s="1" t="n">
        <v>45719</v>
      </c>
      <c r="D940" t="inlineStr">
        <is>
          <t>UPPSALA LÄN</t>
        </is>
      </c>
      <c r="E940" t="inlineStr">
        <is>
          <t>UPPSALA</t>
        </is>
      </c>
      <c r="G940" t="n">
        <v>10.3</v>
      </c>
      <c r="H940" t="n">
        <v>0</v>
      </c>
      <c r="I940" t="n">
        <v>0</v>
      </c>
      <c r="J940" t="n">
        <v>0</v>
      </c>
      <c r="K940" t="n">
        <v>0</v>
      </c>
      <c r="L940" t="n">
        <v>0</v>
      </c>
      <c r="M940" t="n">
        <v>0</v>
      </c>
      <c r="N940" t="n">
        <v>0</v>
      </c>
      <c r="O940" t="n">
        <v>0</v>
      </c>
      <c r="P940" t="n">
        <v>0</v>
      </c>
      <c r="Q940" t="n">
        <v>0</v>
      </c>
      <c r="R940" s="2" t="inlineStr"/>
    </row>
    <row r="941" ht="15" customHeight="1">
      <c r="A941" t="inlineStr">
        <is>
          <t>A 11739-2023</t>
        </is>
      </c>
      <c r="B941" s="1" t="n">
        <v>44993</v>
      </c>
      <c r="C941" s="1" t="n">
        <v>45719</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11744-2023</t>
        </is>
      </c>
      <c r="B942" s="1" t="n">
        <v>44993</v>
      </c>
      <c r="C942" s="1" t="n">
        <v>45719</v>
      </c>
      <c r="D942" t="inlineStr">
        <is>
          <t>UPPSALA LÄN</t>
        </is>
      </c>
      <c r="E942" t="inlineStr">
        <is>
          <t>UPPSALA</t>
        </is>
      </c>
      <c r="G942" t="n">
        <v>1.4</v>
      </c>
      <c r="H942" t="n">
        <v>0</v>
      </c>
      <c r="I942" t="n">
        <v>0</v>
      </c>
      <c r="J942" t="n">
        <v>0</v>
      </c>
      <c r="K942" t="n">
        <v>0</v>
      </c>
      <c r="L942" t="n">
        <v>0</v>
      </c>
      <c r="M942" t="n">
        <v>0</v>
      </c>
      <c r="N942" t="n">
        <v>0</v>
      </c>
      <c r="O942" t="n">
        <v>0</v>
      </c>
      <c r="P942" t="n">
        <v>0</v>
      </c>
      <c r="Q942" t="n">
        <v>0</v>
      </c>
      <c r="R942" s="2" t="inlineStr"/>
    </row>
    <row r="943" ht="15" customHeight="1">
      <c r="A943" t="inlineStr">
        <is>
          <t>A 11568-2023</t>
        </is>
      </c>
      <c r="B943" s="1" t="n">
        <v>44994</v>
      </c>
      <c r="C943" s="1" t="n">
        <v>45719</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12158-2023</t>
        </is>
      </c>
      <c r="B944" s="1" t="n">
        <v>44998</v>
      </c>
      <c r="C944" s="1" t="n">
        <v>45719</v>
      </c>
      <c r="D944" t="inlineStr">
        <is>
          <t>UPPSALA LÄN</t>
        </is>
      </c>
      <c r="E944" t="inlineStr">
        <is>
          <t>UPPSALA</t>
        </is>
      </c>
      <c r="G944" t="n">
        <v>2.4</v>
      </c>
      <c r="H944" t="n">
        <v>0</v>
      </c>
      <c r="I944" t="n">
        <v>0</v>
      </c>
      <c r="J944" t="n">
        <v>0</v>
      </c>
      <c r="K944" t="n">
        <v>0</v>
      </c>
      <c r="L944" t="n">
        <v>0</v>
      </c>
      <c r="M944" t="n">
        <v>0</v>
      </c>
      <c r="N944" t="n">
        <v>0</v>
      </c>
      <c r="O944" t="n">
        <v>0</v>
      </c>
      <c r="P944" t="n">
        <v>0</v>
      </c>
      <c r="Q944" t="n">
        <v>0</v>
      </c>
      <c r="R944" s="2" t="inlineStr"/>
    </row>
    <row r="945" ht="15" customHeight="1">
      <c r="A945" t="inlineStr">
        <is>
          <t>A 12604-2023</t>
        </is>
      </c>
      <c r="B945" s="1" t="n">
        <v>45000</v>
      </c>
      <c r="C945" s="1" t="n">
        <v>45719</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12603-2023</t>
        </is>
      </c>
      <c r="B946" s="1" t="n">
        <v>45000</v>
      </c>
      <c r="C946" s="1" t="n">
        <v>45719</v>
      </c>
      <c r="D946" t="inlineStr">
        <is>
          <t>UPPSALA LÄN</t>
        </is>
      </c>
      <c r="E946" t="inlineStr">
        <is>
          <t>UPPSALA</t>
        </is>
      </c>
      <c r="G946" t="n">
        <v>3.1</v>
      </c>
      <c r="H946" t="n">
        <v>0</v>
      </c>
      <c r="I946" t="n">
        <v>0</v>
      </c>
      <c r="J946" t="n">
        <v>0</v>
      </c>
      <c r="K946" t="n">
        <v>0</v>
      </c>
      <c r="L946" t="n">
        <v>0</v>
      </c>
      <c r="M946" t="n">
        <v>0</v>
      </c>
      <c r="N946" t="n">
        <v>0</v>
      </c>
      <c r="O946" t="n">
        <v>0</v>
      </c>
      <c r="P946" t="n">
        <v>0</v>
      </c>
      <c r="Q946" t="n">
        <v>0</v>
      </c>
      <c r="R946" s="2" t="inlineStr"/>
    </row>
    <row r="947" ht="15" customHeight="1">
      <c r="A947" t="inlineStr">
        <is>
          <t>A 12602-2023</t>
        </is>
      </c>
      <c r="B947" s="1" t="n">
        <v>45000</v>
      </c>
      <c r="C947" s="1" t="n">
        <v>45719</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12703-2023</t>
        </is>
      </c>
      <c r="B948" s="1" t="n">
        <v>45000</v>
      </c>
      <c r="C948" s="1" t="n">
        <v>45719</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12606-2023</t>
        </is>
      </c>
      <c r="B949" s="1" t="n">
        <v>45000</v>
      </c>
      <c r="C949" s="1" t="n">
        <v>45719</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13526-2023</t>
        </is>
      </c>
      <c r="B950" s="1" t="n">
        <v>45006</v>
      </c>
      <c r="C950" s="1" t="n">
        <v>45719</v>
      </c>
      <c r="D950" t="inlineStr">
        <is>
          <t>UPPSALA LÄN</t>
        </is>
      </c>
      <c r="E950" t="inlineStr">
        <is>
          <t>UPPSALA</t>
        </is>
      </c>
      <c r="G950" t="n">
        <v>0.7</v>
      </c>
      <c r="H950" t="n">
        <v>0</v>
      </c>
      <c r="I950" t="n">
        <v>0</v>
      </c>
      <c r="J950" t="n">
        <v>0</v>
      </c>
      <c r="K950" t="n">
        <v>0</v>
      </c>
      <c r="L950" t="n">
        <v>0</v>
      </c>
      <c r="M950" t="n">
        <v>0</v>
      </c>
      <c r="N950" t="n">
        <v>0</v>
      </c>
      <c r="O950" t="n">
        <v>0</v>
      </c>
      <c r="P950" t="n">
        <v>0</v>
      </c>
      <c r="Q950" t="n">
        <v>0</v>
      </c>
      <c r="R950" s="2" t="inlineStr"/>
    </row>
    <row r="951" ht="15" customHeight="1">
      <c r="A951" t="inlineStr">
        <is>
          <t>A 14253-2023</t>
        </is>
      </c>
      <c r="B951" s="1" t="n">
        <v>45009</v>
      </c>
      <c r="C951" s="1" t="n">
        <v>45719</v>
      </c>
      <c r="D951" t="inlineStr">
        <is>
          <t>UPPSALA LÄN</t>
        </is>
      </c>
      <c r="E951" t="inlineStr">
        <is>
          <t>UPPSALA</t>
        </is>
      </c>
      <c r="F951" t="inlineStr">
        <is>
          <t>Allmännings- och besparingsskogar</t>
        </is>
      </c>
      <c r="G951" t="n">
        <v>14</v>
      </c>
      <c r="H951" t="n">
        <v>0</v>
      </c>
      <c r="I951" t="n">
        <v>0</v>
      </c>
      <c r="J951" t="n">
        <v>0</v>
      </c>
      <c r="K951" t="n">
        <v>0</v>
      </c>
      <c r="L951" t="n">
        <v>0</v>
      </c>
      <c r="M951" t="n">
        <v>0</v>
      </c>
      <c r="N951" t="n">
        <v>0</v>
      </c>
      <c r="O951" t="n">
        <v>0</v>
      </c>
      <c r="P951" t="n">
        <v>0</v>
      </c>
      <c r="Q951" t="n">
        <v>0</v>
      </c>
      <c r="R951" s="2" t="inlineStr"/>
    </row>
    <row r="952" ht="15" customHeight="1">
      <c r="A952" t="inlineStr">
        <is>
          <t>A 14784-2023</t>
        </is>
      </c>
      <c r="B952" s="1" t="n">
        <v>45014</v>
      </c>
      <c r="C952" s="1" t="n">
        <v>45719</v>
      </c>
      <c r="D952" t="inlineStr">
        <is>
          <t>UPPSALA LÄN</t>
        </is>
      </c>
      <c r="E952" t="inlineStr">
        <is>
          <t>UPPSALA</t>
        </is>
      </c>
      <c r="G952" t="n">
        <v>4.7</v>
      </c>
      <c r="H952" t="n">
        <v>0</v>
      </c>
      <c r="I952" t="n">
        <v>0</v>
      </c>
      <c r="J952" t="n">
        <v>0</v>
      </c>
      <c r="K952" t="n">
        <v>0</v>
      </c>
      <c r="L952" t="n">
        <v>0</v>
      </c>
      <c r="M952" t="n">
        <v>0</v>
      </c>
      <c r="N952" t="n">
        <v>0</v>
      </c>
      <c r="O952" t="n">
        <v>0</v>
      </c>
      <c r="P952" t="n">
        <v>0</v>
      </c>
      <c r="Q952" t="n">
        <v>0</v>
      </c>
      <c r="R952" s="2" t="inlineStr"/>
    </row>
    <row r="953" ht="15" customHeight="1">
      <c r="A953" t="inlineStr">
        <is>
          <t>A 14988-2023</t>
        </is>
      </c>
      <c r="B953" s="1" t="n">
        <v>45015</v>
      </c>
      <c r="C953" s="1" t="n">
        <v>45719</v>
      </c>
      <c r="D953" t="inlineStr">
        <is>
          <t>UPPSALA LÄN</t>
        </is>
      </c>
      <c r="E953" t="inlineStr">
        <is>
          <t>UPPSALA</t>
        </is>
      </c>
      <c r="G953" t="n">
        <v>4.2</v>
      </c>
      <c r="H953" t="n">
        <v>0</v>
      </c>
      <c r="I953" t="n">
        <v>0</v>
      </c>
      <c r="J953" t="n">
        <v>0</v>
      </c>
      <c r="K953" t="n">
        <v>0</v>
      </c>
      <c r="L953" t="n">
        <v>0</v>
      </c>
      <c r="M953" t="n">
        <v>0</v>
      </c>
      <c r="N953" t="n">
        <v>0</v>
      </c>
      <c r="O953" t="n">
        <v>0</v>
      </c>
      <c r="P953" t="n">
        <v>0</v>
      </c>
      <c r="Q953" t="n">
        <v>0</v>
      </c>
      <c r="R953" s="2" t="inlineStr"/>
    </row>
    <row r="954" ht="15" customHeight="1">
      <c r="A954" t="inlineStr">
        <is>
          <t>A 15547-2023</t>
        </is>
      </c>
      <c r="B954" s="1" t="n">
        <v>45020</v>
      </c>
      <c r="C954" s="1" t="n">
        <v>45719</v>
      </c>
      <c r="D954" t="inlineStr">
        <is>
          <t>UPPSALA LÄN</t>
        </is>
      </c>
      <c r="E954" t="inlineStr">
        <is>
          <t>UPPSALA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15551-2023</t>
        </is>
      </c>
      <c r="B955" s="1" t="n">
        <v>45020</v>
      </c>
      <c r="C955" s="1" t="n">
        <v>45719</v>
      </c>
      <c r="D955" t="inlineStr">
        <is>
          <t>UPPSALA LÄN</t>
        </is>
      </c>
      <c r="E955" t="inlineStr">
        <is>
          <t>UPPSALA</t>
        </is>
      </c>
      <c r="G955" t="n">
        <v>3.3</v>
      </c>
      <c r="H955" t="n">
        <v>0</v>
      </c>
      <c r="I955" t="n">
        <v>0</v>
      </c>
      <c r="J955" t="n">
        <v>0</v>
      </c>
      <c r="K955" t="n">
        <v>0</v>
      </c>
      <c r="L955" t="n">
        <v>0</v>
      </c>
      <c r="M955" t="n">
        <v>0</v>
      </c>
      <c r="N955" t="n">
        <v>0</v>
      </c>
      <c r="O955" t="n">
        <v>0</v>
      </c>
      <c r="P955" t="n">
        <v>0</v>
      </c>
      <c r="Q955" t="n">
        <v>0</v>
      </c>
      <c r="R955" s="2" t="inlineStr"/>
    </row>
    <row r="956" ht="15" customHeight="1">
      <c r="A956" t="inlineStr">
        <is>
          <t>A 15629-2023</t>
        </is>
      </c>
      <c r="B956" s="1" t="n">
        <v>45021</v>
      </c>
      <c r="C956" s="1" t="n">
        <v>45719</v>
      </c>
      <c r="D956" t="inlineStr">
        <is>
          <t>UPPSALA LÄN</t>
        </is>
      </c>
      <c r="E956" t="inlineStr">
        <is>
          <t>UPPSALA</t>
        </is>
      </c>
      <c r="F956" t="inlineStr">
        <is>
          <t>Övriga Aktiebolag</t>
        </is>
      </c>
      <c r="G956" t="n">
        <v>7</v>
      </c>
      <c r="H956" t="n">
        <v>0</v>
      </c>
      <c r="I956" t="n">
        <v>0</v>
      </c>
      <c r="J956" t="n">
        <v>0</v>
      </c>
      <c r="K956" t="n">
        <v>0</v>
      </c>
      <c r="L956" t="n">
        <v>0</v>
      </c>
      <c r="M956" t="n">
        <v>0</v>
      </c>
      <c r="N956" t="n">
        <v>0</v>
      </c>
      <c r="O956" t="n">
        <v>0</v>
      </c>
      <c r="P956" t="n">
        <v>0</v>
      </c>
      <c r="Q956" t="n">
        <v>0</v>
      </c>
      <c r="R956" s="2" t="inlineStr"/>
    </row>
    <row r="957" ht="15" customHeight="1">
      <c r="A957" t="inlineStr">
        <is>
          <t>A 16346-2023</t>
        </is>
      </c>
      <c r="B957" s="1" t="n">
        <v>45028</v>
      </c>
      <c r="C957" s="1" t="n">
        <v>45719</v>
      </c>
      <c r="D957" t="inlineStr">
        <is>
          <t>UPPSALA LÄN</t>
        </is>
      </c>
      <c r="E957" t="inlineStr">
        <is>
          <t>UPPSALA</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16811-2023</t>
        </is>
      </c>
      <c r="B958" s="1" t="n">
        <v>45033</v>
      </c>
      <c r="C958" s="1" t="n">
        <v>45719</v>
      </c>
      <c r="D958" t="inlineStr">
        <is>
          <t>UPPSALA LÄN</t>
        </is>
      </c>
      <c r="E958" t="inlineStr">
        <is>
          <t>UPPSALA</t>
        </is>
      </c>
      <c r="G958" t="n">
        <v>10.1</v>
      </c>
      <c r="H958" t="n">
        <v>0</v>
      </c>
      <c r="I958" t="n">
        <v>0</v>
      </c>
      <c r="J958" t="n">
        <v>0</v>
      </c>
      <c r="K958" t="n">
        <v>0</v>
      </c>
      <c r="L958" t="n">
        <v>0</v>
      </c>
      <c r="M958" t="n">
        <v>0</v>
      </c>
      <c r="N958" t="n">
        <v>0</v>
      </c>
      <c r="O958" t="n">
        <v>0</v>
      </c>
      <c r="P958" t="n">
        <v>0</v>
      </c>
      <c r="Q958" t="n">
        <v>0</v>
      </c>
      <c r="R958" s="2" t="inlineStr"/>
    </row>
    <row r="959" ht="15" customHeight="1">
      <c r="A959" t="inlineStr">
        <is>
          <t>A 17229-2023</t>
        </is>
      </c>
      <c r="B959" s="1" t="n">
        <v>45035</v>
      </c>
      <c r="C959" s="1" t="n">
        <v>45719</v>
      </c>
      <c r="D959" t="inlineStr">
        <is>
          <t>UPPSALA LÄN</t>
        </is>
      </c>
      <c r="E959" t="inlineStr">
        <is>
          <t>UPPSALA</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17280-2023</t>
        </is>
      </c>
      <c r="B960" s="1" t="n">
        <v>45035</v>
      </c>
      <c r="C960" s="1" t="n">
        <v>45719</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17481-2023</t>
        </is>
      </c>
      <c r="B961" s="1" t="n">
        <v>45036</v>
      </c>
      <c r="C961" s="1" t="n">
        <v>45719</v>
      </c>
      <c r="D961" t="inlineStr">
        <is>
          <t>UPPSALA LÄN</t>
        </is>
      </c>
      <c r="E961" t="inlineStr">
        <is>
          <t>UPPSALA</t>
        </is>
      </c>
      <c r="G961" t="n">
        <v>1.9</v>
      </c>
      <c r="H961" t="n">
        <v>0</v>
      </c>
      <c r="I961" t="n">
        <v>0</v>
      </c>
      <c r="J961" t="n">
        <v>0</v>
      </c>
      <c r="K961" t="n">
        <v>0</v>
      </c>
      <c r="L961" t="n">
        <v>0</v>
      </c>
      <c r="M961" t="n">
        <v>0</v>
      </c>
      <c r="N961" t="n">
        <v>0</v>
      </c>
      <c r="O961" t="n">
        <v>0</v>
      </c>
      <c r="P961" t="n">
        <v>0</v>
      </c>
      <c r="Q961" t="n">
        <v>0</v>
      </c>
      <c r="R961" s="2" t="inlineStr"/>
    </row>
    <row r="962" ht="15" customHeight="1">
      <c r="A962" t="inlineStr">
        <is>
          <t>A 17788-2023</t>
        </is>
      </c>
      <c r="B962" s="1" t="n">
        <v>45037</v>
      </c>
      <c r="C962" s="1" t="n">
        <v>45719</v>
      </c>
      <c r="D962" t="inlineStr">
        <is>
          <t>UPPSALA LÄN</t>
        </is>
      </c>
      <c r="E962" t="inlineStr">
        <is>
          <t>UPPSALA</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17938-2023</t>
        </is>
      </c>
      <c r="B963" s="1" t="n">
        <v>45040</v>
      </c>
      <c r="C963" s="1" t="n">
        <v>45719</v>
      </c>
      <c r="D963" t="inlineStr">
        <is>
          <t>UPPSALA LÄN</t>
        </is>
      </c>
      <c r="E963" t="inlineStr">
        <is>
          <t>UPPSALA</t>
        </is>
      </c>
      <c r="G963" t="n">
        <v>2.9</v>
      </c>
      <c r="H963" t="n">
        <v>0</v>
      </c>
      <c r="I963" t="n">
        <v>0</v>
      </c>
      <c r="J963" t="n">
        <v>0</v>
      </c>
      <c r="K963" t="n">
        <v>0</v>
      </c>
      <c r="L963" t="n">
        <v>0</v>
      </c>
      <c r="M963" t="n">
        <v>0</v>
      </c>
      <c r="N963" t="n">
        <v>0</v>
      </c>
      <c r="O963" t="n">
        <v>0</v>
      </c>
      <c r="P963" t="n">
        <v>0</v>
      </c>
      <c r="Q963" t="n">
        <v>0</v>
      </c>
      <c r="R963" s="2" t="inlineStr"/>
    </row>
    <row r="964" ht="15" customHeight="1">
      <c r="A964" t="inlineStr">
        <is>
          <t>A 18277-2023</t>
        </is>
      </c>
      <c r="B964" s="1" t="n">
        <v>45041</v>
      </c>
      <c r="C964" s="1" t="n">
        <v>45719</v>
      </c>
      <c r="D964" t="inlineStr">
        <is>
          <t>UPPSALA LÄN</t>
        </is>
      </c>
      <c r="E964" t="inlineStr">
        <is>
          <t>UPPSALA</t>
        </is>
      </c>
      <c r="G964" t="n">
        <v>1.3</v>
      </c>
      <c r="H964" t="n">
        <v>0</v>
      </c>
      <c r="I964" t="n">
        <v>0</v>
      </c>
      <c r="J964" t="n">
        <v>0</v>
      </c>
      <c r="K964" t="n">
        <v>0</v>
      </c>
      <c r="L964" t="n">
        <v>0</v>
      </c>
      <c r="M964" t="n">
        <v>0</v>
      </c>
      <c r="N964" t="n">
        <v>0</v>
      </c>
      <c r="O964" t="n">
        <v>0</v>
      </c>
      <c r="P964" t="n">
        <v>0</v>
      </c>
      <c r="Q964" t="n">
        <v>0</v>
      </c>
      <c r="R964" s="2" t="inlineStr"/>
    </row>
    <row r="965" ht="15" customHeight="1">
      <c r="A965" t="inlineStr">
        <is>
          <t>A 18275-2023</t>
        </is>
      </c>
      <c r="B965" s="1" t="n">
        <v>45041</v>
      </c>
      <c r="C965" s="1" t="n">
        <v>45719</v>
      </c>
      <c r="D965" t="inlineStr">
        <is>
          <t>UPPSALA LÄN</t>
        </is>
      </c>
      <c r="E965" t="inlineStr">
        <is>
          <t>UPPSALA</t>
        </is>
      </c>
      <c r="G965" t="n">
        <v>2.7</v>
      </c>
      <c r="H965" t="n">
        <v>0</v>
      </c>
      <c r="I965" t="n">
        <v>0</v>
      </c>
      <c r="J965" t="n">
        <v>0</v>
      </c>
      <c r="K965" t="n">
        <v>0</v>
      </c>
      <c r="L965" t="n">
        <v>0</v>
      </c>
      <c r="M965" t="n">
        <v>0</v>
      </c>
      <c r="N965" t="n">
        <v>0</v>
      </c>
      <c r="O965" t="n">
        <v>0</v>
      </c>
      <c r="P965" t="n">
        <v>0</v>
      </c>
      <c r="Q965" t="n">
        <v>0</v>
      </c>
      <c r="R965" s="2" t="inlineStr"/>
    </row>
    <row r="966" ht="15" customHeight="1">
      <c r="A966" t="inlineStr">
        <is>
          <t>A 18278-2023</t>
        </is>
      </c>
      <c r="B966" s="1" t="n">
        <v>45041</v>
      </c>
      <c r="C966" s="1" t="n">
        <v>45719</v>
      </c>
      <c r="D966" t="inlineStr">
        <is>
          <t>UPPSALA LÄN</t>
        </is>
      </c>
      <c r="E966" t="inlineStr">
        <is>
          <t>UPPSALA</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18276-2023</t>
        </is>
      </c>
      <c r="B967" s="1" t="n">
        <v>45041</v>
      </c>
      <c r="C967" s="1" t="n">
        <v>45719</v>
      </c>
      <c r="D967" t="inlineStr">
        <is>
          <t>UPPSALA LÄN</t>
        </is>
      </c>
      <c r="E967" t="inlineStr">
        <is>
          <t>UPPSALA</t>
        </is>
      </c>
      <c r="G967" t="n">
        <v>6.6</v>
      </c>
      <c r="H967" t="n">
        <v>0</v>
      </c>
      <c r="I967" t="n">
        <v>0</v>
      </c>
      <c r="J967" t="n">
        <v>0</v>
      </c>
      <c r="K967" t="n">
        <v>0</v>
      </c>
      <c r="L967" t="n">
        <v>0</v>
      </c>
      <c r="M967" t="n">
        <v>0</v>
      </c>
      <c r="N967" t="n">
        <v>0</v>
      </c>
      <c r="O967" t="n">
        <v>0</v>
      </c>
      <c r="P967" t="n">
        <v>0</v>
      </c>
      <c r="Q967" t="n">
        <v>0</v>
      </c>
      <c r="R967" s="2" t="inlineStr"/>
    </row>
    <row r="968" ht="15" customHeight="1">
      <c r="A968" t="inlineStr">
        <is>
          <t>A 18443-2023</t>
        </is>
      </c>
      <c r="B968" s="1" t="n">
        <v>45042</v>
      </c>
      <c r="C968" s="1" t="n">
        <v>45719</v>
      </c>
      <c r="D968" t="inlineStr">
        <is>
          <t>UPPSALA LÄN</t>
        </is>
      </c>
      <c r="E968" t="inlineStr">
        <is>
          <t>UPPSALA</t>
        </is>
      </c>
      <c r="G968" t="n">
        <v>0.4</v>
      </c>
      <c r="H968" t="n">
        <v>0</v>
      </c>
      <c r="I968" t="n">
        <v>0</v>
      </c>
      <c r="J968" t="n">
        <v>0</v>
      </c>
      <c r="K968" t="n">
        <v>0</v>
      </c>
      <c r="L968" t="n">
        <v>0</v>
      </c>
      <c r="M968" t="n">
        <v>0</v>
      </c>
      <c r="N968" t="n">
        <v>0</v>
      </c>
      <c r="O968" t="n">
        <v>0</v>
      </c>
      <c r="P968" t="n">
        <v>0</v>
      </c>
      <c r="Q968" t="n">
        <v>0</v>
      </c>
      <c r="R968" s="2" t="inlineStr"/>
    </row>
    <row r="969" ht="15" customHeight="1">
      <c r="A969" t="inlineStr">
        <is>
          <t>A 18496-2023</t>
        </is>
      </c>
      <c r="B969" s="1" t="n">
        <v>45042</v>
      </c>
      <c r="C969" s="1" t="n">
        <v>45719</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18507-2023</t>
        </is>
      </c>
      <c r="B970" s="1" t="n">
        <v>45042</v>
      </c>
      <c r="C970" s="1" t="n">
        <v>45719</v>
      </c>
      <c r="D970" t="inlineStr">
        <is>
          <t>UPPSALA LÄN</t>
        </is>
      </c>
      <c r="E970" t="inlineStr">
        <is>
          <t>UPPSALA</t>
        </is>
      </c>
      <c r="F970" t="inlineStr">
        <is>
          <t>Övriga Aktiebolag</t>
        </is>
      </c>
      <c r="G970" t="n">
        <v>0.9</v>
      </c>
      <c r="H970" t="n">
        <v>0</v>
      </c>
      <c r="I970" t="n">
        <v>0</v>
      </c>
      <c r="J970" t="n">
        <v>0</v>
      </c>
      <c r="K970" t="n">
        <v>0</v>
      </c>
      <c r="L970" t="n">
        <v>0</v>
      </c>
      <c r="M970" t="n">
        <v>0</v>
      </c>
      <c r="N970" t="n">
        <v>0</v>
      </c>
      <c r="O970" t="n">
        <v>0</v>
      </c>
      <c r="P970" t="n">
        <v>0</v>
      </c>
      <c r="Q970" t="n">
        <v>0</v>
      </c>
      <c r="R970" s="2" t="inlineStr"/>
    </row>
    <row r="971" ht="15" customHeight="1">
      <c r="A971" t="inlineStr">
        <is>
          <t>A 18472-2023</t>
        </is>
      </c>
      <c r="B971" s="1" t="n">
        <v>45042</v>
      </c>
      <c r="C971" s="1" t="n">
        <v>45719</v>
      </c>
      <c r="D971" t="inlineStr">
        <is>
          <t>UPPSALA LÄN</t>
        </is>
      </c>
      <c r="E971" t="inlineStr">
        <is>
          <t>UPPSALA</t>
        </is>
      </c>
      <c r="F971" t="inlineStr">
        <is>
          <t>Övriga Aktiebolag</t>
        </is>
      </c>
      <c r="G971" t="n">
        <v>3</v>
      </c>
      <c r="H971" t="n">
        <v>0</v>
      </c>
      <c r="I971" t="n">
        <v>0</v>
      </c>
      <c r="J971" t="n">
        <v>0</v>
      </c>
      <c r="K971" t="n">
        <v>0</v>
      </c>
      <c r="L971" t="n">
        <v>0</v>
      </c>
      <c r="M971" t="n">
        <v>0</v>
      </c>
      <c r="N971" t="n">
        <v>0</v>
      </c>
      <c r="O971" t="n">
        <v>0</v>
      </c>
      <c r="P971" t="n">
        <v>0</v>
      </c>
      <c r="Q971" t="n">
        <v>0</v>
      </c>
      <c r="R971" s="2" t="inlineStr"/>
    </row>
    <row r="972" ht="15" customHeight="1">
      <c r="A972" t="inlineStr">
        <is>
          <t>A 18710-2023</t>
        </is>
      </c>
      <c r="B972" s="1" t="n">
        <v>45043</v>
      </c>
      <c r="C972" s="1" t="n">
        <v>45719</v>
      </c>
      <c r="D972" t="inlineStr">
        <is>
          <t>UPPSALA LÄN</t>
        </is>
      </c>
      <c r="E972" t="inlineStr">
        <is>
          <t>UPPSALA</t>
        </is>
      </c>
      <c r="G972" t="n">
        <v>3.3</v>
      </c>
      <c r="H972" t="n">
        <v>0</v>
      </c>
      <c r="I972" t="n">
        <v>0</v>
      </c>
      <c r="J972" t="n">
        <v>0</v>
      </c>
      <c r="K972" t="n">
        <v>0</v>
      </c>
      <c r="L972" t="n">
        <v>0</v>
      </c>
      <c r="M972" t="n">
        <v>0</v>
      </c>
      <c r="N972" t="n">
        <v>0</v>
      </c>
      <c r="O972" t="n">
        <v>0</v>
      </c>
      <c r="P972" t="n">
        <v>0</v>
      </c>
      <c r="Q972" t="n">
        <v>0</v>
      </c>
      <c r="R972" s="2" t="inlineStr"/>
    </row>
    <row r="973" ht="15" customHeight="1">
      <c r="A973" t="inlineStr">
        <is>
          <t>A 19017-2023</t>
        </is>
      </c>
      <c r="B973" s="1" t="n">
        <v>45047</v>
      </c>
      <c r="C973" s="1" t="n">
        <v>45719</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19135-2023</t>
        </is>
      </c>
      <c r="B974" s="1" t="n">
        <v>45048</v>
      </c>
      <c r="C974" s="1" t="n">
        <v>45719</v>
      </c>
      <c r="D974" t="inlineStr">
        <is>
          <t>UPPSALA LÄN</t>
        </is>
      </c>
      <c r="E974" t="inlineStr">
        <is>
          <t>UPPSALA</t>
        </is>
      </c>
      <c r="G974" t="n">
        <v>4.2</v>
      </c>
      <c r="H974" t="n">
        <v>0</v>
      </c>
      <c r="I974" t="n">
        <v>0</v>
      </c>
      <c r="J974" t="n">
        <v>0</v>
      </c>
      <c r="K974" t="n">
        <v>0</v>
      </c>
      <c r="L974" t="n">
        <v>0</v>
      </c>
      <c r="M974" t="n">
        <v>0</v>
      </c>
      <c r="N974" t="n">
        <v>0</v>
      </c>
      <c r="O974" t="n">
        <v>0</v>
      </c>
      <c r="P974" t="n">
        <v>0</v>
      </c>
      <c r="Q974" t="n">
        <v>0</v>
      </c>
      <c r="R974" s="2" t="inlineStr"/>
    </row>
    <row r="975" ht="15" customHeight="1">
      <c r="A975" t="inlineStr">
        <is>
          <t>A 19139-2023</t>
        </is>
      </c>
      <c r="B975" s="1" t="n">
        <v>45048</v>
      </c>
      <c r="C975" s="1" t="n">
        <v>45719</v>
      </c>
      <c r="D975" t="inlineStr">
        <is>
          <t>UPPSALA LÄN</t>
        </is>
      </c>
      <c r="E975" t="inlineStr">
        <is>
          <t>UPPSALA</t>
        </is>
      </c>
      <c r="G975" t="n">
        <v>3</v>
      </c>
      <c r="H975" t="n">
        <v>0</v>
      </c>
      <c r="I975" t="n">
        <v>0</v>
      </c>
      <c r="J975" t="n">
        <v>0</v>
      </c>
      <c r="K975" t="n">
        <v>0</v>
      </c>
      <c r="L975" t="n">
        <v>0</v>
      </c>
      <c r="M975" t="n">
        <v>0</v>
      </c>
      <c r="N975" t="n">
        <v>0</v>
      </c>
      <c r="O975" t="n">
        <v>0</v>
      </c>
      <c r="P975" t="n">
        <v>0</v>
      </c>
      <c r="Q975" t="n">
        <v>0</v>
      </c>
      <c r="R975" s="2" t="inlineStr"/>
    </row>
    <row r="976" ht="15" customHeight="1">
      <c r="A976" t="inlineStr">
        <is>
          <t>A 19279-2023</t>
        </is>
      </c>
      <c r="B976" s="1" t="n">
        <v>45049</v>
      </c>
      <c r="C976" s="1" t="n">
        <v>45719</v>
      </c>
      <c r="D976" t="inlineStr">
        <is>
          <t>UPPSALA LÄN</t>
        </is>
      </c>
      <c r="E976" t="inlineStr">
        <is>
          <t>UPPSALA</t>
        </is>
      </c>
      <c r="G976" t="n">
        <v>5.8</v>
      </c>
      <c r="H976" t="n">
        <v>0</v>
      </c>
      <c r="I976" t="n">
        <v>0</v>
      </c>
      <c r="J976" t="n">
        <v>0</v>
      </c>
      <c r="K976" t="n">
        <v>0</v>
      </c>
      <c r="L976" t="n">
        <v>0</v>
      </c>
      <c r="M976" t="n">
        <v>0</v>
      </c>
      <c r="N976" t="n">
        <v>0</v>
      </c>
      <c r="O976" t="n">
        <v>0</v>
      </c>
      <c r="P976" t="n">
        <v>0</v>
      </c>
      <c r="Q976" t="n">
        <v>0</v>
      </c>
      <c r="R976" s="2" t="inlineStr"/>
    </row>
    <row r="977" ht="15" customHeight="1">
      <c r="A977" t="inlineStr">
        <is>
          <t>A 19269-2023</t>
        </is>
      </c>
      <c r="B977" s="1" t="n">
        <v>45049</v>
      </c>
      <c r="C977" s="1" t="n">
        <v>45719</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19314-2023</t>
        </is>
      </c>
      <c r="B978" s="1" t="n">
        <v>45049</v>
      </c>
      <c r="C978" s="1" t="n">
        <v>45719</v>
      </c>
      <c r="D978" t="inlineStr">
        <is>
          <t>UPPSALA LÄN</t>
        </is>
      </c>
      <c r="E978" t="inlineStr">
        <is>
          <t>UPPSALA</t>
        </is>
      </c>
      <c r="G978" t="n">
        <v>9</v>
      </c>
      <c r="H978" t="n">
        <v>0</v>
      </c>
      <c r="I978" t="n">
        <v>0</v>
      </c>
      <c r="J978" t="n">
        <v>0</v>
      </c>
      <c r="K978" t="n">
        <v>0</v>
      </c>
      <c r="L978" t="n">
        <v>0</v>
      </c>
      <c r="M978" t="n">
        <v>0</v>
      </c>
      <c r="N978" t="n">
        <v>0</v>
      </c>
      <c r="O978" t="n">
        <v>0</v>
      </c>
      <c r="P978" t="n">
        <v>0</v>
      </c>
      <c r="Q978" t="n">
        <v>0</v>
      </c>
      <c r="R978" s="2" t="inlineStr"/>
    </row>
    <row r="979" ht="15" customHeight="1">
      <c r="A979" t="inlineStr">
        <is>
          <t>A 19320-2023</t>
        </is>
      </c>
      <c r="B979" s="1" t="n">
        <v>45049</v>
      </c>
      <c r="C979" s="1" t="n">
        <v>45719</v>
      </c>
      <c r="D979" t="inlineStr">
        <is>
          <t>UPPSALA LÄN</t>
        </is>
      </c>
      <c r="E979" t="inlineStr">
        <is>
          <t>UPPSALA</t>
        </is>
      </c>
      <c r="G979" t="n">
        <v>17.5</v>
      </c>
      <c r="H979" t="n">
        <v>0</v>
      </c>
      <c r="I979" t="n">
        <v>0</v>
      </c>
      <c r="J979" t="n">
        <v>0</v>
      </c>
      <c r="K979" t="n">
        <v>0</v>
      </c>
      <c r="L979" t="n">
        <v>0</v>
      </c>
      <c r="M979" t="n">
        <v>0</v>
      </c>
      <c r="N979" t="n">
        <v>0</v>
      </c>
      <c r="O979" t="n">
        <v>0</v>
      </c>
      <c r="P979" t="n">
        <v>0</v>
      </c>
      <c r="Q979" t="n">
        <v>0</v>
      </c>
      <c r="R979" s="2" t="inlineStr"/>
    </row>
    <row r="980" ht="15" customHeight="1">
      <c r="A980" t="inlineStr">
        <is>
          <t>A 19339-2023</t>
        </is>
      </c>
      <c r="B980" s="1" t="n">
        <v>45049</v>
      </c>
      <c r="C980" s="1" t="n">
        <v>45719</v>
      </c>
      <c r="D980" t="inlineStr">
        <is>
          <t>UPPSALA LÄN</t>
        </is>
      </c>
      <c r="E980" t="inlineStr">
        <is>
          <t>UPPSALA</t>
        </is>
      </c>
      <c r="G980" t="n">
        <v>6.9</v>
      </c>
      <c r="H980" t="n">
        <v>0</v>
      </c>
      <c r="I980" t="n">
        <v>0</v>
      </c>
      <c r="J980" t="n">
        <v>0</v>
      </c>
      <c r="K980" t="n">
        <v>0</v>
      </c>
      <c r="L980" t="n">
        <v>0</v>
      </c>
      <c r="M980" t="n">
        <v>0</v>
      </c>
      <c r="N980" t="n">
        <v>0</v>
      </c>
      <c r="O980" t="n">
        <v>0</v>
      </c>
      <c r="P980" t="n">
        <v>0</v>
      </c>
      <c r="Q980" t="n">
        <v>0</v>
      </c>
      <c r="R980" s="2" t="inlineStr"/>
    </row>
    <row r="981" ht="15" customHeight="1">
      <c r="A981" t="inlineStr">
        <is>
          <t>A 19380-2023</t>
        </is>
      </c>
      <c r="B981" s="1" t="n">
        <v>45049</v>
      </c>
      <c r="C981" s="1" t="n">
        <v>45719</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19411-2023</t>
        </is>
      </c>
      <c r="B982" s="1" t="n">
        <v>45049</v>
      </c>
      <c r="C982" s="1" t="n">
        <v>45719</v>
      </c>
      <c r="D982" t="inlineStr">
        <is>
          <t>UPPSALA LÄN</t>
        </is>
      </c>
      <c r="E982" t="inlineStr">
        <is>
          <t>UPPSALA</t>
        </is>
      </c>
      <c r="G982" t="n">
        <v>12.6</v>
      </c>
      <c r="H982" t="n">
        <v>0</v>
      </c>
      <c r="I982" t="n">
        <v>0</v>
      </c>
      <c r="J982" t="n">
        <v>0</v>
      </c>
      <c r="K982" t="n">
        <v>0</v>
      </c>
      <c r="L982" t="n">
        <v>0</v>
      </c>
      <c r="M982" t="n">
        <v>0</v>
      </c>
      <c r="N982" t="n">
        <v>0</v>
      </c>
      <c r="O982" t="n">
        <v>0</v>
      </c>
      <c r="P982" t="n">
        <v>0</v>
      </c>
      <c r="Q982" t="n">
        <v>0</v>
      </c>
      <c r="R982" s="2" t="inlineStr"/>
    </row>
    <row r="983" ht="15" customHeight="1">
      <c r="A983" t="inlineStr">
        <is>
          <t>A 19272-2023</t>
        </is>
      </c>
      <c r="B983" s="1" t="n">
        <v>45049</v>
      </c>
      <c r="C983" s="1" t="n">
        <v>45719</v>
      </c>
      <c r="D983" t="inlineStr">
        <is>
          <t>UPPSALA LÄN</t>
        </is>
      </c>
      <c r="E983" t="inlineStr">
        <is>
          <t>UPPSALA</t>
        </is>
      </c>
      <c r="G983" t="n">
        <v>4.9</v>
      </c>
      <c r="H983" t="n">
        <v>0</v>
      </c>
      <c r="I983" t="n">
        <v>0</v>
      </c>
      <c r="J983" t="n">
        <v>0</v>
      </c>
      <c r="K983" t="n">
        <v>0</v>
      </c>
      <c r="L983" t="n">
        <v>0</v>
      </c>
      <c r="M983" t="n">
        <v>0</v>
      </c>
      <c r="N983" t="n">
        <v>0</v>
      </c>
      <c r="O983" t="n">
        <v>0</v>
      </c>
      <c r="P983" t="n">
        <v>0</v>
      </c>
      <c r="Q983" t="n">
        <v>0</v>
      </c>
      <c r="R983" s="2" t="inlineStr"/>
    </row>
    <row r="984" ht="15" customHeight="1">
      <c r="A984" t="inlineStr">
        <is>
          <t>A 19276-2023</t>
        </is>
      </c>
      <c r="B984" s="1" t="n">
        <v>45049</v>
      </c>
      <c r="C984" s="1" t="n">
        <v>45719</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19317-2023</t>
        </is>
      </c>
      <c r="B985" s="1" t="n">
        <v>45049</v>
      </c>
      <c r="C985" s="1" t="n">
        <v>45719</v>
      </c>
      <c r="D985" t="inlineStr">
        <is>
          <t>UPPSALA LÄN</t>
        </is>
      </c>
      <c r="E985" t="inlineStr">
        <is>
          <t>UPPSALA</t>
        </is>
      </c>
      <c r="G985" t="n">
        <v>15.4</v>
      </c>
      <c r="H985" t="n">
        <v>0</v>
      </c>
      <c r="I985" t="n">
        <v>0</v>
      </c>
      <c r="J985" t="n">
        <v>0</v>
      </c>
      <c r="K985" t="n">
        <v>0</v>
      </c>
      <c r="L985" t="n">
        <v>0</v>
      </c>
      <c r="M985" t="n">
        <v>0</v>
      </c>
      <c r="N985" t="n">
        <v>0</v>
      </c>
      <c r="O985" t="n">
        <v>0</v>
      </c>
      <c r="P985" t="n">
        <v>0</v>
      </c>
      <c r="Q985" t="n">
        <v>0</v>
      </c>
      <c r="R985" s="2" t="inlineStr"/>
    </row>
    <row r="986" ht="15" customHeight="1">
      <c r="A986" t="inlineStr">
        <is>
          <t>A 19409-2023</t>
        </is>
      </c>
      <c r="B986" s="1" t="n">
        <v>45049</v>
      </c>
      <c r="C986" s="1" t="n">
        <v>45719</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19455-2023</t>
        </is>
      </c>
      <c r="B987" s="1" t="n">
        <v>45050</v>
      </c>
      <c r="C987" s="1" t="n">
        <v>45719</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19515-2023</t>
        </is>
      </c>
      <c r="B988" s="1" t="n">
        <v>45050</v>
      </c>
      <c r="C988" s="1" t="n">
        <v>45719</v>
      </c>
      <c r="D988" t="inlineStr">
        <is>
          <t>UPPSALA LÄN</t>
        </is>
      </c>
      <c r="E988" t="inlineStr">
        <is>
          <t>UPPSALA</t>
        </is>
      </c>
      <c r="G988" t="n">
        <v>11.2</v>
      </c>
      <c r="H988" t="n">
        <v>0</v>
      </c>
      <c r="I988" t="n">
        <v>0</v>
      </c>
      <c r="J988" t="n">
        <v>0</v>
      </c>
      <c r="K988" t="n">
        <v>0</v>
      </c>
      <c r="L988" t="n">
        <v>0</v>
      </c>
      <c r="M988" t="n">
        <v>0</v>
      </c>
      <c r="N988" t="n">
        <v>0</v>
      </c>
      <c r="O988" t="n">
        <v>0</v>
      </c>
      <c r="P988" t="n">
        <v>0</v>
      </c>
      <c r="Q988" t="n">
        <v>0</v>
      </c>
      <c r="R988" s="2" t="inlineStr"/>
    </row>
    <row r="989" ht="15" customHeight="1">
      <c r="A989" t="inlineStr">
        <is>
          <t>A 19447-2023</t>
        </is>
      </c>
      <c r="B989" s="1" t="n">
        <v>45050</v>
      </c>
      <c r="C989" s="1" t="n">
        <v>45719</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19513-2023</t>
        </is>
      </c>
      <c r="B990" s="1" t="n">
        <v>45050</v>
      </c>
      <c r="C990" s="1" t="n">
        <v>45719</v>
      </c>
      <c r="D990" t="inlineStr">
        <is>
          <t>UPPSALA LÄN</t>
        </is>
      </c>
      <c r="E990" t="inlineStr">
        <is>
          <t>UPPSALA</t>
        </is>
      </c>
      <c r="G990" t="n">
        <v>6.6</v>
      </c>
      <c r="H990" t="n">
        <v>0</v>
      </c>
      <c r="I990" t="n">
        <v>0</v>
      </c>
      <c r="J990" t="n">
        <v>0</v>
      </c>
      <c r="K990" t="n">
        <v>0</v>
      </c>
      <c r="L990" t="n">
        <v>0</v>
      </c>
      <c r="M990" t="n">
        <v>0</v>
      </c>
      <c r="N990" t="n">
        <v>0</v>
      </c>
      <c r="O990" t="n">
        <v>0</v>
      </c>
      <c r="P990" t="n">
        <v>0</v>
      </c>
      <c r="Q990" t="n">
        <v>0</v>
      </c>
      <c r="R990" s="2" t="inlineStr"/>
    </row>
    <row r="991" ht="15" customHeight="1">
      <c r="A991" t="inlineStr">
        <is>
          <t>A 19516-2023</t>
        </is>
      </c>
      <c r="B991" s="1" t="n">
        <v>45050</v>
      </c>
      <c r="C991" s="1" t="n">
        <v>45719</v>
      </c>
      <c r="D991" t="inlineStr">
        <is>
          <t>UPPSALA LÄN</t>
        </is>
      </c>
      <c r="E991" t="inlineStr">
        <is>
          <t>UPPSALA</t>
        </is>
      </c>
      <c r="G991" t="n">
        <v>4.5</v>
      </c>
      <c r="H991" t="n">
        <v>0</v>
      </c>
      <c r="I991" t="n">
        <v>0</v>
      </c>
      <c r="J991" t="n">
        <v>0</v>
      </c>
      <c r="K991" t="n">
        <v>0</v>
      </c>
      <c r="L991" t="n">
        <v>0</v>
      </c>
      <c r="M991" t="n">
        <v>0</v>
      </c>
      <c r="N991" t="n">
        <v>0</v>
      </c>
      <c r="O991" t="n">
        <v>0</v>
      </c>
      <c r="P991" t="n">
        <v>0</v>
      </c>
      <c r="Q991" t="n">
        <v>0</v>
      </c>
      <c r="R991" s="2" t="inlineStr"/>
    </row>
    <row r="992" ht="15" customHeight="1">
      <c r="A992" t="inlineStr">
        <is>
          <t>A 19920-2023</t>
        </is>
      </c>
      <c r="B992" s="1" t="n">
        <v>45054</v>
      </c>
      <c r="C992" s="1" t="n">
        <v>45719</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20087-2023</t>
        </is>
      </c>
      <c r="B993" s="1" t="n">
        <v>45055</v>
      </c>
      <c r="C993" s="1" t="n">
        <v>45719</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20102-2023</t>
        </is>
      </c>
      <c r="B994" s="1" t="n">
        <v>45055</v>
      </c>
      <c r="C994" s="1" t="n">
        <v>45719</v>
      </c>
      <c r="D994" t="inlineStr">
        <is>
          <t>UPPSALA LÄN</t>
        </is>
      </c>
      <c r="E994" t="inlineStr">
        <is>
          <t>UPPSALA</t>
        </is>
      </c>
      <c r="G994" t="n">
        <v>0.5</v>
      </c>
      <c r="H994" t="n">
        <v>0</v>
      </c>
      <c r="I994" t="n">
        <v>0</v>
      </c>
      <c r="J994" t="n">
        <v>0</v>
      </c>
      <c r="K994" t="n">
        <v>0</v>
      </c>
      <c r="L994" t="n">
        <v>0</v>
      </c>
      <c r="M994" t="n">
        <v>0</v>
      </c>
      <c r="N994" t="n">
        <v>0</v>
      </c>
      <c r="O994" t="n">
        <v>0</v>
      </c>
      <c r="P994" t="n">
        <v>0</v>
      </c>
      <c r="Q994" t="n">
        <v>0</v>
      </c>
      <c r="R994" s="2" t="inlineStr"/>
    </row>
    <row r="995" ht="15" customHeight="1">
      <c r="A995" t="inlineStr">
        <is>
          <t>A 20105-2023</t>
        </is>
      </c>
      <c r="B995" s="1" t="n">
        <v>45055</v>
      </c>
      <c r="C995" s="1" t="n">
        <v>45719</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20206-2023</t>
        </is>
      </c>
      <c r="B996" s="1" t="n">
        <v>45055</v>
      </c>
      <c r="C996" s="1" t="n">
        <v>45719</v>
      </c>
      <c r="D996" t="inlineStr">
        <is>
          <t>UPPSALA LÄN</t>
        </is>
      </c>
      <c r="E996" t="inlineStr">
        <is>
          <t>UPPSALA</t>
        </is>
      </c>
      <c r="G996" t="n">
        <v>5.7</v>
      </c>
      <c r="H996" t="n">
        <v>0</v>
      </c>
      <c r="I996" t="n">
        <v>0</v>
      </c>
      <c r="J996" t="n">
        <v>0</v>
      </c>
      <c r="K996" t="n">
        <v>0</v>
      </c>
      <c r="L996" t="n">
        <v>0</v>
      </c>
      <c r="M996" t="n">
        <v>0</v>
      </c>
      <c r="N996" t="n">
        <v>0</v>
      </c>
      <c r="O996" t="n">
        <v>0</v>
      </c>
      <c r="P996" t="n">
        <v>0</v>
      </c>
      <c r="Q996" t="n">
        <v>0</v>
      </c>
      <c r="R996" s="2" t="inlineStr"/>
    </row>
    <row r="997" ht="15" customHeight="1">
      <c r="A997" t="inlineStr">
        <is>
          <t>A 20438-2023</t>
        </is>
      </c>
      <c r="B997" s="1" t="n">
        <v>45056</v>
      </c>
      <c r="C997" s="1" t="n">
        <v>45719</v>
      </c>
      <c r="D997" t="inlineStr">
        <is>
          <t>UPPSALA LÄN</t>
        </is>
      </c>
      <c r="E997" t="inlineStr">
        <is>
          <t>UPPSALA</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20440-2023</t>
        </is>
      </c>
      <c r="B998" s="1" t="n">
        <v>45056</v>
      </c>
      <c r="C998" s="1" t="n">
        <v>45719</v>
      </c>
      <c r="D998" t="inlineStr">
        <is>
          <t>UPPSALA LÄN</t>
        </is>
      </c>
      <c r="E998" t="inlineStr">
        <is>
          <t>UPPSALA</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20437-2023</t>
        </is>
      </c>
      <c r="B999" s="1" t="n">
        <v>45056</v>
      </c>
      <c r="C999" s="1" t="n">
        <v>45719</v>
      </c>
      <c r="D999" t="inlineStr">
        <is>
          <t>UPPSALA LÄN</t>
        </is>
      </c>
      <c r="E999" t="inlineStr">
        <is>
          <t>UPPSALA</t>
        </is>
      </c>
      <c r="F999" t="inlineStr">
        <is>
          <t>Holmen skog AB</t>
        </is>
      </c>
      <c r="G999" t="n">
        <v>20.1</v>
      </c>
      <c r="H999" t="n">
        <v>0</v>
      </c>
      <c r="I999" t="n">
        <v>0</v>
      </c>
      <c r="J999" t="n">
        <v>0</v>
      </c>
      <c r="K999" t="n">
        <v>0</v>
      </c>
      <c r="L999" t="n">
        <v>0</v>
      </c>
      <c r="M999" t="n">
        <v>0</v>
      </c>
      <c r="N999" t="n">
        <v>0</v>
      </c>
      <c r="O999" t="n">
        <v>0</v>
      </c>
      <c r="P999" t="n">
        <v>0</v>
      </c>
      <c r="Q999" t="n">
        <v>0</v>
      </c>
      <c r="R999" s="2" t="inlineStr"/>
    </row>
    <row r="1000" ht="15" customHeight="1">
      <c r="A1000" t="inlineStr">
        <is>
          <t>A 20550-2023</t>
        </is>
      </c>
      <c r="B1000" s="1" t="n">
        <v>45057</v>
      </c>
      <c r="C1000" s="1" t="n">
        <v>45719</v>
      </c>
      <c r="D1000" t="inlineStr">
        <is>
          <t>UPPSALA LÄN</t>
        </is>
      </c>
      <c r="E1000" t="inlineStr">
        <is>
          <t>UPPSALA</t>
        </is>
      </c>
      <c r="F1000" t="inlineStr">
        <is>
          <t>Övriga Aktiebolag</t>
        </is>
      </c>
      <c r="G1000" t="n">
        <v>12.2</v>
      </c>
      <c r="H1000" t="n">
        <v>0</v>
      </c>
      <c r="I1000" t="n">
        <v>0</v>
      </c>
      <c r="J1000" t="n">
        <v>0</v>
      </c>
      <c r="K1000" t="n">
        <v>0</v>
      </c>
      <c r="L1000" t="n">
        <v>0</v>
      </c>
      <c r="M1000" t="n">
        <v>0</v>
      </c>
      <c r="N1000" t="n">
        <v>0</v>
      </c>
      <c r="O1000" t="n">
        <v>0</v>
      </c>
      <c r="P1000" t="n">
        <v>0</v>
      </c>
      <c r="Q1000" t="n">
        <v>0</v>
      </c>
      <c r="R1000" s="2" t="inlineStr"/>
    </row>
    <row r="1001" ht="15" customHeight="1">
      <c r="A1001" t="inlineStr">
        <is>
          <t>A 20670-2023</t>
        </is>
      </c>
      <c r="B1001" s="1" t="n">
        <v>45058</v>
      </c>
      <c r="C1001" s="1" t="n">
        <v>45719</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20692-2023</t>
        </is>
      </c>
      <c r="B1002" s="1" t="n">
        <v>45058</v>
      </c>
      <c r="C1002" s="1" t="n">
        <v>45719</v>
      </c>
      <c r="D1002" t="inlineStr">
        <is>
          <t>UPPSALA LÄN</t>
        </is>
      </c>
      <c r="E1002" t="inlineStr">
        <is>
          <t>UPPSALA</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20667-2023</t>
        </is>
      </c>
      <c r="B1003" s="1" t="n">
        <v>45058</v>
      </c>
      <c r="C1003" s="1" t="n">
        <v>45719</v>
      </c>
      <c r="D1003" t="inlineStr">
        <is>
          <t>UPPSALA LÄN</t>
        </is>
      </c>
      <c r="E1003" t="inlineStr">
        <is>
          <t>UPPSALA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20708-2023</t>
        </is>
      </c>
      <c r="B1004" s="1" t="n">
        <v>45058</v>
      </c>
      <c r="C1004" s="1" t="n">
        <v>45719</v>
      </c>
      <c r="D1004" t="inlineStr">
        <is>
          <t>UPPSALA LÄN</t>
        </is>
      </c>
      <c r="E1004" t="inlineStr">
        <is>
          <t>UPPSALA</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20669-2023</t>
        </is>
      </c>
      <c r="B1005" s="1" t="n">
        <v>45058</v>
      </c>
      <c r="C1005" s="1" t="n">
        <v>45719</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20786-2023</t>
        </is>
      </c>
      <c r="B1006" s="1" t="n">
        <v>45058</v>
      </c>
      <c r="C1006" s="1" t="n">
        <v>45719</v>
      </c>
      <c r="D1006" t="inlineStr">
        <is>
          <t>UPPSALA LÄN</t>
        </is>
      </c>
      <c r="E1006" t="inlineStr">
        <is>
          <t>UPPSALA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20900-2023</t>
        </is>
      </c>
      <c r="B1007" s="1" t="n">
        <v>45060</v>
      </c>
      <c r="C1007" s="1" t="n">
        <v>45719</v>
      </c>
      <c r="D1007" t="inlineStr">
        <is>
          <t>UPPSALA LÄN</t>
        </is>
      </c>
      <c r="E1007" t="inlineStr">
        <is>
          <t>UPPSALA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21052-2023</t>
        </is>
      </c>
      <c r="B1008" s="1" t="n">
        <v>45061</v>
      </c>
      <c r="C1008" s="1" t="n">
        <v>45719</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21416-2023</t>
        </is>
      </c>
      <c r="B1009" s="1" t="n">
        <v>45063</v>
      </c>
      <c r="C1009" s="1" t="n">
        <v>45719</v>
      </c>
      <c r="D1009" t="inlineStr">
        <is>
          <t>UPPSALA LÄN</t>
        </is>
      </c>
      <c r="E1009" t="inlineStr">
        <is>
          <t>UPPSALA</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21424-2023</t>
        </is>
      </c>
      <c r="B1010" s="1" t="n">
        <v>45063</v>
      </c>
      <c r="C1010" s="1" t="n">
        <v>45719</v>
      </c>
      <c r="D1010" t="inlineStr">
        <is>
          <t>UPPSALA LÄN</t>
        </is>
      </c>
      <c r="E1010" t="inlineStr">
        <is>
          <t>UPPSALA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21727-2023</t>
        </is>
      </c>
      <c r="B1011" s="1" t="n">
        <v>45065</v>
      </c>
      <c r="C1011" s="1" t="n">
        <v>45719</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21935-2023</t>
        </is>
      </c>
      <c r="B1012" s="1" t="n">
        <v>45068</v>
      </c>
      <c r="C1012" s="1" t="n">
        <v>45719</v>
      </c>
      <c r="D1012" t="inlineStr">
        <is>
          <t>UPPSALA LÄN</t>
        </is>
      </c>
      <c r="E1012" t="inlineStr">
        <is>
          <t>UPPSALA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22450-2023</t>
        </is>
      </c>
      <c r="B1013" s="1" t="n">
        <v>45070</v>
      </c>
      <c r="C1013" s="1" t="n">
        <v>45719</v>
      </c>
      <c r="D1013" t="inlineStr">
        <is>
          <t>UPPSALA LÄN</t>
        </is>
      </c>
      <c r="E1013" t="inlineStr">
        <is>
          <t>UPPSALA</t>
        </is>
      </c>
      <c r="F1013" t="inlineStr">
        <is>
          <t>Allmännings- och besparingsskogar</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23159-2023</t>
        </is>
      </c>
      <c r="B1014" s="1" t="n">
        <v>45075</v>
      </c>
      <c r="C1014" s="1" t="n">
        <v>45719</v>
      </c>
      <c r="D1014" t="inlineStr">
        <is>
          <t>UPPSALA LÄN</t>
        </is>
      </c>
      <c r="E1014" t="inlineStr">
        <is>
          <t>UPPSALA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23157-2023</t>
        </is>
      </c>
      <c r="B1015" s="1" t="n">
        <v>45075</v>
      </c>
      <c r="C1015" s="1" t="n">
        <v>45719</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23929-2023</t>
        </is>
      </c>
      <c r="B1016" s="1" t="n">
        <v>45078</v>
      </c>
      <c r="C1016" s="1" t="n">
        <v>45719</v>
      </c>
      <c r="D1016" t="inlineStr">
        <is>
          <t>UPPSALA LÄN</t>
        </is>
      </c>
      <c r="E1016" t="inlineStr">
        <is>
          <t>UPPSALA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24012-2023</t>
        </is>
      </c>
      <c r="B1017" s="1" t="n">
        <v>45078</v>
      </c>
      <c r="C1017" s="1" t="n">
        <v>45719</v>
      </c>
      <c r="D1017" t="inlineStr">
        <is>
          <t>UPPSALA LÄN</t>
        </is>
      </c>
      <c r="E1017" t="inlineStr">
        <is>
          <t>UPPSALA</t>
        </is>
      </c>
      <c r="F1017" t="inlineStr">
        <is>
          <t>Kyrkan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24016-2023</t>
        </is>
      </c>
      <c r="B1018" s="1" t="n">
        <v>45078</v>
      </c>
      <c r="C1018" s="1" t="n">
        <v>45719</v>
      </c>
      <c r="D1018" t="inlineStr">
        <is>
          <t>UPPSALA LÄN</t>
        </is>
      </c>
      <c r="E1018" t="inlineStr">
        <is>
          <t>UPPSALA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24009-2023</t>
        </is>
      </c>
      <c r="B1019" s="1" t="n">
        <v>45078</v>
      </c>
      <c r="C1019" s="1" t="n">
        <v>45719</v>
      </c>
      <c r="D1019" t="inlineStr">
        <is>
          <t>UPPSALA LÄN</t>
        </is>
      </c>
      <c r="E1019" t="inlineStr">
        <is>
          <t>UPPSALA</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24174-2023</t>
        </is>
      </c>
      <c r="B1020" s="1" t="n">
        <v>45079</v>
      </c>
      <c r="C1020" s="1" t="n">
        <v>45719</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24670-2023</t>
        </is>
      </c>
      <c r="B1021" s="1" t="n">
        <v>45084</v>
      </c>
      <c r="C1021" s="1" t="n">
        <v>45719</v>
      </c>
      <c r="D1021" t="inlineStr">
        <is>
          <t>UPPSALA LÄN</t>
        </is>
      </c>
      <c r="E1021" t="inlineStr">
        <is>
          <t>UPPSALA</t>
        </is>
      </c>
      <c r="F1021" t="inlineStr">
        <is>
          <t>Holmen skog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25264-2023</t>
        </is>
      </c>
      <c r="B1022" s="1" t="n">
        <v>45086</v>
      </c>
      <c r="C1022" s="1" t="n">
        <v>45719</v>
      </c>
      <c r="D1022" t="inlineStr">
        <is>
          <t>UPPSALA LÄN</t>
        </is>
      </c>
      <c r="E1022" t="inlineStr">
        <is>
          <t>UPPSALA</t>
        </is>
      </c>
      <c r="F1022" t="inlineStr">
        <is>
          <t>Holmen skog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25280-2023</t>
        </is>
      </c>
      <c r="B1023" s="1" t="n">
        <v>45086</v>
      </c>
      <c r="C1023" s="1" t="n">
        <v>45719</v>
      </c>
      <c r="D1023" t="inlineStr">
        <is>
          <t>UPPSALA LÄN</t>
        </is>
      </c>
      <c r="E1023" t="inlineStr">
        <is>
          <t>UPPSALA</t>
        </is>
      </c>
      <c r="F1023" t="inlineStr">
        <is>
          <t>Holmen skog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25380-2023</t>
        </is>
      </c>
      <c r="B1024" s="1" t="n">
        <v>45089</v>
      </c>
      <c r="C1024" s="1" t="n">
        <v>45719</v>
      </c>
      <c r="D1024" t="inlineStr">
        <is>
          <t>UPPSALA LÄN</t>
        </is>
      </c>
      <c r="E1024" t="inlineStr">
        <is>
          <t>UPPSALA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25381-2023</t>
        </is>
      </c>
      <c r="B1025" s="1" t="n">
        <v>45089</v>
      </c>
      <c r="C1025" s="1" t="n">
        <v>45719</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25446-2023</t>
        </is>
      </c>
      <c r="B1026" s="1" t="n">
        <v>45089</v>
      </c>
      <c r="C1026" s="1" t="n">
        <v>45719</v>
      </c>
      <c r="D1026" t="inlineStr">
        <is>
          <t>UPPSALA LÄN</t>
        </is>
      </c>
      <c r="E1026" t="inlineStr">
        <is>
          <t>UPPSALA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25462-2023</t>
        </is>
      </c>
      <c r="B1027" s="1" t="n">
        <v>45089</v>
      </c>
      <c r="C1027" s="1" t="n">
        <v>45719</v>
      </c>
      <c r="D1027" t="inlineStr">
        <is>
          <t>UPPSALA LÄN</t>
        </is>
      </c>
      <c r="E1027" t="inlineStr">
        <is>
          <t>UPPSALA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25939-2023</t>
        </is>
      </c>
      <c r="B1028" s="1" t="n">
        <v>45090</v>
      </c>
      <c r="C1028" s="1" t="n">
        <v>45719</v>
      </c>
      <c r="D1028" t="inlineStr">
        <is>
          <t>UPPSALA LÄN</t>
        </is>
      </c>
      <c r="E1028" t="inlineStr">
        <is>
          <t>UPPSALA</t>
        </is>
      </c>
      <c r="F1028" t="inlineStr">
        <is>
          <t>Holmen skog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26208-2023</t>
        </is>
      </c>
      <c r="B1029" s="1" t="n">
        <v>45091</v>
      </c>
      <c r="C1029" s="1" t="n">
        <v>45719</v>
      </c>
      <c r="D1029" t="inlineStr">
        <is>
          <t>UPPSALA LÄN</t>
        </is>
      </c>
      <c r="E1029" t="inlineStr">
        <is>
          <t>UPPSALA</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26298-2023</t>
        </is>
      </c>
      <c r="B1030" s="1" t="n">
        <v>45091</v>
      </c>
      <c r="C1030" s="1" t="n">
        <v>45719</v>
      </c>
      <c r="D1030" t="inlineStr">
        <is>
          <t>UPPSALA LÄN</t>
        </is>
      </c>
      <c r="E1030" t="inlineStr">
        <is>
          <t>UPPSALA</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26323-2023</t>
        </is>
      </c>
      <c r="B1031" s="1" t="n">
        <v>45091</v>
      </c>
      <c r="C1031" s="1" t="n">
        <v>45719</v>
      </c>
      <c r="D1031" t="inlineStr">
        <is>
          <t>UPPSALA LÄN</t>
        </is>
      </c>
      <c r="E1031" t="inlineStr">
        <is>
          <t>UPPSALA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26081-2023</t>
        </is>
      </c>
      <c r="B1032" s="1" t="n">
        <v>45091</v>
      </c>
      <c r="C1032" s="1" t="n">
        <v>45719</v>
      </c>
      <c r="D1032" t="inlineStr">
        <is>
          <t>UPPSALA LÄN</t>
        </is>
      </c>
      <c r="E1032" t="inlineStr">
        <is>
          <t>UPPSALA</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26143-2023</t>
        </is>
      </c>
      <c r="B1033" s="1" t="n">
        <v>45091</v>
      </c>
      <c r="C1033" s="1" t="n">
        <v>45719</v>
      </c>
      <c r="D1033" t="inlineStr">
        <is>
          <t>UPPSALA LÄN</t>
        </is>
      </c>
      <c r="E1033" t="inlineStr">
        <is>
          <t>UPPSALA</t>
        </is>
      </c>
      <c r="F1033" t="inlineStr">
        <is>
          <t>Holmen skog AB</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26134-2023</t>
        </is>
      </c>
      <c r="B1034" s="1" t="n">
        <v>45091</v>
      </c>
      <c r="C1034" s="1" t="n">
        <v>45719</v>
      </c>
      <c r="D1034" t="inlineStr">
        <is>
          <t>UPPSALA LÄN</t>
        </is>
      </c>
      <c r="E1034" t="inlineStr">
        <is>
          <t>UPPSALA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26759-2023</t>
        </is>
      </c>
      <c r="B1035" s="1" t="n">
        <v>45093</v>
      </c>
      <c r="C1035" s="1" t="n">
        <v>45719</v>
      </c>
      <c r="D1035" t="inlineStr">
        <is>
          <t>UPPSALA LÄN</t>
        </is>
      </c>
      <c r="E1035" t="inlineStr">
        <is>
          <t>UPPSALA</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26762-2023</t>
        </is>
      </c>
      <c r="B1036" s="1" t="n">
        <v>45093</v>
      </c>
      <c r="C1036" s="1" t="n">
        <v>45719</v>
      </c>
      <c r="D1036" t="inlineStr">
        <is>
          <t>UPPSALA LÄN</t>
        </is>
      </c>
      <c r="E1036" t="inlineStr">
        <is>
          <t>UPPSALA</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27128-2023</t>
        </is>
      </c>
      <c r="B1037" s="1" t="n">
        <v>45096</v>
      </c>
      <c r="C1037" s="1" t="n">
        <v>45719</v>
      </c>
      <c r="D1037" t="inlineStr">
        <is>
          <t>UPPSALA LÄN</t>
        </is>
      </c>
      <c r="E1037" t="inlineStr">
        <is>
          <t>UPPSALA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27068-2023</t>
        </is>
      </c>
      <c r="B1038" s="1" t="n">
        <v>45096</v>
      </c>
      <c r="C1038" s="1" t="n">
        <v>45719</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27119-2023</t>
        </is>
      </c>
      <c r="B1039" s="1" t="n">
        <v>45096</v>
      </c>
      <c r="C1039" s="1" t="n">
        <v>45719</v>
      </c>
      <c r="D1039" t="inlineStr">
        <is>
          <t>UPPSALA LÄN</t>
        </is>
      </c>
      <c r="E1039" t="inlineStr">
        <is>
          <t>UPPSALA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27123-2023</t>
        </is>
      </c>
      <c r="B1040" s="1" t="n">
        <v>45096</v>
      </c>
      <c r="C1040" s="1" t="n">
        <v>45719</v>
      </c>
      <c r="D1040" t="inlineStr">
        <is>
          <t>UPPSALA LÄN</t>
        </is>
      </c>
      <c r="E1040" t="inlineStr">
        <is>
          <t>UPPSALA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27126-2023</t>
        </is>
      </c>
      <c r="B1041" s="1" t="n">
        <v>45096</v>
      </c>
      <c r="C1041" s="1" t="n">
        <v>45719</v>
      </c>
      <c r="D1041" t="inlineStr">
        <is>
          <t>UPPSALA LÄN</t>
        </is>
      </c>
      <c r="E1041" t="inlineStr">
        <is>
          <t>UPPSALA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27104-2023</t>
        </is>
      </c>
      <c r="B1042" s="1" t="n">
        <v>45096</v>
      </c>
      <c r="C1042" s="1" t="n">
        <v>45719</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27121-2023</t>
        </is>
      </c>
      <c r="B1043" s="1" t="n">
        <v>45096</v>
      </c>
      <c r="C1043" s="1" t="n">
        <v>45719</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27125-2023</t>
        </is>
      </c>
      <c r="B1044" s="1" t="n">
        <v>45096</v>
      </c>
      <c r="C1044" s="1" t="n">
        <v>45719</v>
      </c>
      <c r="D1044" t="inlineStr">
        <is>
          <t>UPPSALA LÄN</t>
        </is>
      </c>
      <c r="E1044" t="inlineStr">
        <is>
          <t>UPPSALA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27254-2023</t>
        </is>
      </c>
      <c r="B1045" s="1" t="n">
        <v>45096</v>
      </c>
      <c r="C1045" s="1" t="n">
        <v>45719</v>
      </c>
      <c r="D1045" t="inlineStr">
        <is>
          <t>UPPSALA LÄN</t>
        </is>
      </c>
      <c r="E1045" t="inlineStr">
        <is>
          <t>UPPSALA</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27467-2023</t>
        </is>
      </c>
      <c r="B1046" s="1" t="n">
        <v>45097</v>
      </c>
      <c r="C1046" s="1" t="n">
        <v>45719</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27617-2023</t>
        </is>
      </c>
      <c r="B1047" s="1" t="n">
        <v>45097</v>
      </c>
      <c r="C1047" s="1" t="n">
        <v>45719</v>
      </c>
      <c r="D1047" t="inlineStr">
        <is>
          <t>UPPSALA LÄN</t>
        </is>
      </c>
      <c r="E1047" t="inlineStr">
        <is>
          <t>UPPSALA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27622-2023</t>
        </is>
      </c>
      <c r="B1048" s="1" t="n">
        <v>45097</v>
      </c>
      <c r="C1048" s="1" t="n">
        <v>45719</v>
      </c>
      <c r="D1048" t="inlineStr">
        <is>
          <t>UPPSALA LÄN</t>
        </is>
      </c>
      <c r="E1048" t="inlineStr">
        <is>
          <t>UPPSALA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27599-2023</t>
        </is>
      </c>
      <c r="B1049" s="1" t="n">
        <v>45097</v>
      </c>
      <c r="C1049" s="1" t="n">
        <v>45719</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27620-2023</t>
        </is>
      </c>
      <c r="B1050" s="1" t="n">
        <v>45097</v>
      </c>
      <c r="C1050" s="1" t="n">
        <v>45719</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27912-2023</t>
        </is>
      </c>
      <c r="B1051" s="1" t="n">
        <v>45098</v>
      </c>
      <c r="C1051" s="1" t="n">
        <v>45719</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27903-2023</t>
        </is>
      </c>
      <c r="B1052" s="1" t="n">
        <v>45098</v>
      </c>
      <c r="C1052" s="1" t="n">
        <v>45719</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27930-2023</t>
        </is>
      </c>
      <c r="B1053" s="1" t="n">
        <v>45098</v>
      </c>
      <c r="C1053" s="1" t="n">
        <v>45719</v>
      </c>
      <c r="D1053" t="inlineStr">
        <is>
          <t>UPPSALA LÄN</t>
        </is>
      </c>
      <c r="E1053" t="inlineStr">
        <is>
          <t>UPPSALA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28186-2023</t>
        </is>
      </c>
      <c r="B1054" s="1" t="n">
        <v>45099</v>
      </c>
      <c r="C1054" s="1" t="n">
        <v>45719</v>
      </c>
      <c r="D1054" t="inlineStr">
        <is>
          <t>UPPSALA LÄN</t>
        </is>
      </c>
      <c r="E1054" t="inlineStr">
        <is>
          <t>UPPSALA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28577-2023</t>
        </is>
      </c>
      <c r="B1055" s="1" t="n">
        <v>45103</v>
      </c>
      <c r="C1055" s="1" t="n">
        <v>45719</v>
      </c>
      <c r="D1055" t="inlineStr">
        <is>
          <t>UPPSALA LÄN</t>
        </is>
      </c>
      <c r="E1055" t="inlineStr">
        <is>
          <t>UPPSALA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28701-2023</t>
        </is>
      </c>
      <c r="B1056" s="1" t="n">
        <v>45103</v>
      </c>
      <c r="C1056" s="1" t="n">
        <v>45719</v>
      </c>
      <c r="D1056" t="inlineStr">
        <is>
          <t>UPPSALA LÄN</t>
        </is>
      </c>
      <c r="E1056" t="inlineStr">
        <is>
          <t>UPPSALA</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29019-2023</t>
        </is>
      </c>
      <c r="B1057" s="1" t="n">
        <v>45104</v>
      </c>
      <c r="C1057" s="1" t="n">
        <v>45719</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31599-2023</t>
        </is>
      </c>
      <c r="B1058" s="1" t="n">
        <v>45105</v>
      </c>
      <c r="C1058" s="1" t="n">
        <v>45719</v>
      </c>
      <c r="D1058" t="inlineStr">
        <is>
          <t>UPPSALA LÄN</t>
        </is>
      </c>
      <c r="E1058" t="inlineStr">
        <is>
          <t>UPPSALA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29282-2023</t>
        </is>
      </c>
      <c r="B1059" s="1" t="n">
        <v>45105</v>
      </c>
      <c r="C1059" s="1" t="n">
        <v>45719</v>
      </c>
      <c r="D1059" t="inlineStr">
        <is>
          <t>UPPSALA LÄN</t>
        </is>
      </c>
      <c r="E1059" t="inlineStr">
        <is>
          <t>UPPSALA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31630-2023</t>
        </is>
      </c>
      <c r="B1060" s="1" t="n">
        <v>45105</v>
      </c>
      <c r="C1060" s="1" t="n">
        <v>45719</v>
      </c>
      <c r="D1060" t="inlineStr">
        <is>
          <t>UPPSALA LÄN</t>
        </is>
      </c>
      <c r="E1060" t="inlineStr">
        <is>
          <t>UPPSALA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29579-2023</t>
        </is>
      </c>
      <c r="B1061" s="1" t="n">
        <v>45106</v>
      </c>
      <c r="C1061" s="1" t="n">
        <v>45719</v>
      </c>
      <c r="D1061" t="inlineStr">
        <is>
          <t>UPPSALA LÄN</t>
        </is>
      </c>
      <c r="E1061" t="inlineStr">
        <is>
          <t>UPPSALA</t>
        </is>
      </c>
      <c r="F1061" t="inlineStr">
        <is>
          <t>Kyrkan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29815-2023</t>
        </is>
      </c>
      <c r="B1062" s="1" t="n">
        <v>45107</v>
      </c>
      <c r="C1062" s="1" t="n">
        <v>45719</v>
      </c>
      <c r="D1062" t="inlineStr">
        <is>
          <t>UPPSALA LÄN</t>
        </is>
      </c>
      <c r="E1062" t="inlineStr">
        <is>
          <t>UPPSALA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29901-2023</t>
        </is>
      </c>
      <c r="B1063" s="1" t="n">
        <v>45107</v>
      </c>
      <c r="C1063" s="1" t="n">
        <v>45719</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29868-2023</t>
        </is>
      </c>
      <c r="B1064" s="1" t="n">
        <v>45107</v>
      </c>
      <c r="C1064" s="1" t="n">
        <v>45719</v>
      </c>
      <c r="D1064" t="inlineStr">
        <is>
          <t>UPPSALA LÄN</t>
        </is>
      </c>
      <c r="E1064" t="inlineStr">
        <is>
          <t>UPPSALA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29799-2023</t>
        </is>
      </c>
      <c r="B1065" s="1" t="n">
        <v>45107</v>
      </c>
      <c r="C1065" s="1" t="n">
        <v>45719</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29808-2023</t>
        </is>
      </c>
      <c r="B1066" s="1" t="n">
        <v>45107</v>
      </c>
      <c r="C1066" s="1" t="n">
        <v>45719</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29926-2023</t>
        </is>
      </c>
      <c r="B1067" s="1" t="n">
        <v>45107</v>
      </c>
      <c r="C1067" s="1" t="n">
        <v>45719</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29927-2023</t>
        </is>
      </c>
      <c r="B1068" s="1" t="n">
        <v>45107</v>
      </c>
      <c r="C1068" s="1" t="n">
        <v>45719</v>
      </c>
      <c r="D1068" t="inlineStr">
        <is>
          <t>UPPSALA LÄN</t>
        </is>
      </c>
      <c r="E1068" t="inlineStr">
        <is>
          <t>UPPSALA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32428-2023</t>
        </is>
      </c>
      <c r="B1069" s="1" t="n">
        <v>45110</v>
      </c>
      <c r="C1069" s="1" t="n">
        <v>45719</v>
      </c>
      <c r="D1069" t="inlineStr">
        <is>
          <t>UPPSALA LÄN</t>
        </is>
      </c>
      <c r="E1069" t="inlineStr">
        <is>
          <t>UPPSALA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30629-2023</t>
        </is>
      </c>
      <c r="B1070" s="1" t="n">
        <v>45112</v>
      </c>
      <c r="C1070" s="1" t="n">
        <v>45719</v>
      </c>
      <c r="D1070" t="inlineStr">
        <is>
          <t>UPPSALA LÄN</t>
        </is>
      </c>
      <c r="E1070" t="inlineStr">
        <is>
          <t>UPPSALA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32689-2023</t>
        </is>
      </c>
      <c r="B1071" s="1" t="n">
        <v>45112</v>
      </c>
      <c r="C1071" s="1" t="n">
        <v>45719</v>
      </c>
      <c r="D1071" t="inlineStr">
        <is>
          <t>UPPSALA LÄN</t>
        </is>
      </c>
      <c r="E1071" t="inlineStr">
        <is>
          <t>UPPSALA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31157-2023</t>
        </is>
      </c>
      <c r="B1072" s="1" t="n">
        <v>45113</v>
      </c>
      <c r="C1072" s="1" t="n">
        <v>45719</v>
      </c>
      <c r="D1072" t="inlineStr">
        <is>
          <t>UPPSALA LÄN</t>
        </is>
      </c>
      <c r="E1072" t="inlineStr">
        <is>
          <t>UPPSALA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31161-2023</t>
        </is>
      </c>
      <c r="B1073" s="1" t="n">
        <v>45113</v>
      </c>
      <c r="C1073" s="1" t="n">
        <v>45719</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33689-2023</t>
        </is>
      </c>
      <c r="B1074" s="1" t="n">
        <v>45119</v>
      </c>
      <c r="C1074" s="1" t="n">
        <v>45719</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32413-2023</t>
        </is>
      </c>
      <c r="B1075" s="1" t="n">
        <v>45120</v>
      </c>
      <c r="C1075" s="1" t="n">
        <v>45719</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32640-2023</t>
        </is>
      </c>
      <c r="B1076" s="1" t="n">
        <v>45121</v>
      </c>
      <c r="C1076" s="1" t="n">
        <v>45719</v>
      </c>
      <c r="D1076" t="inlineStr">
        <is>
          <t>UPPSALA LÄN</t>
        </is>
      </c>
      <c r="E1076" t="inlineStr">
        <is>
          <t>UPPSALA</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32674-2023</t>
        </is>
      </c>
      <c r="B1077" s="1" t="n">
        <v>45121</v>
      </c>
      <c r="C1077" s="1" t="n">
        <v>45719</v>
      </c>
      <c r="D1077" t="inlineStr">
        <is>
          <t>UPPSALA LÄN</t>
        </is>
      </c>
      <c r="E1077" t="inlineStr">
        <is>
          <t>UPPSALA</t>
        </is>
      </c>
      <c r="F1077" t="inlineStr">
        <is>
          <t>Holmen skog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32688-2023</t>
        </is>
      </c>
      <c r="B1078" s="1" t="n">
        <v>45121</v>
      </c>
      <c r="C1078" s="1" t="n">
        <v>45719</v>
      </c>
      <c r="D1078" t="inlineStr">
        <is>
          <t>UPPSALA LÄN</t>
        </is>
      </c>
      <c r="E1078" t="inlineStr">
        <is>
          <t>UPPSALA</t>
        </is>
      </c>
      <c r="F1078" t="inlineStr">
        <is>
          <t>Holmen skog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33191-2023</t>
        </is>
      </c>
      <c r="B1079" s="1" t="n">
        <v>45127</v>
      </c>
      <c r="C1079" s="1" t="n">
        <v>45719</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33189-2023</t>
        </is>
      </c>
      <c r="B1080" s="1" t="n">
        <v>45127</v>
      </c>
      <c r="C1080" s="1" t="n">
        <v>45719</v>
      </c>
      <c r="D1080" t="inlineStr">
        <is>
          <t>UPPSALA LÄN</t>
        </is>
      </c>
      <c r="E1080" t="inlineStr">
        <is>
          <t>UPPSALA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34282-2023</t>
        </is>
      </c>
      <c r="B1081" s="1" t="n">
        <v>45128</v>
      </c>
      <c r="C1081" s="1" t="n">
        <v>45719</v>
      </c>
      <c r="D1081" t="inlineStr">
        <is>
          <t>UPPSALA LÄN</t>
        </is>
      </c>
      <c r="E1081" t="inlineStr">
        <is>
          <t>UPPSALA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33562-2023</t>
        </is>
      </c>
      <c r="B1082" s="1" t="n">
        <v>45131</v>
      </c>
      <c r="C1082" s="1" t="n">
        <v>45719</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33700-2023</t>
        </is>
      </c>
      <c r="B1083" s="1" t="n">
        <v>45132</v>
      </c>
      <c r="C1083" s="1" t="n">
        <v>45719</v>
      </c>
      <c r="D1083" t="inlineStr">
        <is>
          <t>UPPSALA LÄN</t>
        </is>
      </c>
      <c r="E1083" t="inlineStr">
        <is>
          <t>UPPSALA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34509-2023</t>
        </is>
      </c>
      <c r="B1084" s="1" t="n">
        <v>45133</v>
      </c>
      <c r="C1084" s="1" t="n">
        <v>45719</v>
      </c>
      <c r="D1084" t="inlineStr">
        <is>
          <t>UPPSALA LÄN</t>
        </is>
      </c>
      <c r="E1084" t="inlineStr">
        <is>
          <t>UPPSALA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33941-2023</t>
        </is>
      </c>
      <c r="B1085" s="1" t="n">
        <v>45134</v>
      </c>
      <c r="C1085" s="1" t="n">
        <v>45719</v>
      </c>
      <c r="D1085" t="inlineStr">
        <is>
          <t>UPPSALA LÄN</t>
        </is>
      </c>
      <c r="E1085" t="inlineStr">
        <is>
          <t>UPPSALA</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33982-2023</t>
        </is>
      </c>
      <c r="B1086" s="1" t="n">
        <v>45134</v>
      </c>
      <c r="C1086" s="1" t="n">
        <v>45719</v>
      </c>
      <c r="D1086" t="inlineStr">
        <is>
          <t>UPPSALA LÄN</t>
        </is>
      </c>
      <c r="E1086" t="inlineStr">
        <is>
          <t>UPPSALA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35142-2023</t>
        </is>
      </c>
      <c r="B1087" s="1" t="n">
        <v>45145</v>
      </c>
      <c r="C1087" s="1" t="n">
        <v>45719</v>
      </c>
      <c r="D1087" t="inlineStr">
        <is>
          <t>UPPSALA LÄN</t>
        </is>
      </c>
      <c r="E1087" t="inlineStr">
        <is>
          <t>UPPSALA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35471-2023</t>
        </is>
      </c>
      <c r="B1088" s="1" t="n">
        <v>45146</v>
      </c>
      <c r="C1088" s="1" t="n">
        <v>45719</v>
      </c>
      <c r="D1088" t="inlineStr">
        <is>
          <t>UPPSALA LÄN</t>
        </is>
      </c>
      <c r="E1088" t="inlineStr">
        <is>
          <t>UPPSALA</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35472-2023</t>
        </is>
      </c>
      <c r="B1089" s="1" t="n">
        <v>45146</v>
      </c>
      <c r="C1089" s="1" t="n">
        <v>45719</v>
      </c>
      <c r="D1089" t="inlineStr">
        <is>
          <t>UPPSALA LÄN</t>
        </is>
      </c>
      <c r="E1089" t="inlineStr">
        <is>
          <t>UPPSALA</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35473-2023</t>
        </is>
      </c>
      <c r="B1090" s="1" t="n">
        <v>45146</v>
      </c>
      <c r="C1090" s="1" t="n">
        <v>45719</v>
      </c>
      <c r="D1090" t="inlineStr">
        <is>
          <t>UPPSALA LÄN</t>
        </is>
      </c>
      <c r="E1090" t="inlineStr">
        <is>
          <t>UPPSALA</t>
        </is>
      </c>
      <c r="F1090" t="inlineStr">
        <is>
          <t>Sveaskog</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35549-2023</t>
        </is>
      </c>
      <c r="B1091" s="1" t="n">
        <v>45147</v>
      </c>
      <c r="C1091" s="1" t="n">
        <v>45719</v>
      </c>
      <c r="D1091" t="inlineStr">
        <is>
          <t>UPPSALA LÄN</t>
        </is>
      </c>
      <c r="E1091" t="inlineStr">
        <is>
          <t>UPPSALA</t>
        </is>
      </c>
      <c r="F1091" t="inlineStr">
        <is>
          <t>Allmännings- och besparingsskogar</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35902-2023</t>
        </is>
      </c>
      <c r="B1092" s="1" t="n">
        <v>45148</v>
      </c>
      <c r="C1092" s="1" t="n">
        <v>45719</v>
      </c>
      <c r="D1092" t="inlineStr">
        <is>
          <t>UPPSALA LÄN</t>
        </is>
      </c>
      <c r="E1092" t="inlineStr">
        <is>
          <t>UPPSALA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35906-2023</t>
        </is>
      </c>
      <c r="B1093" s="1" t="n">
        <v>45148</v>
      </c>
      <c r="C1093" s="1" t="n">
        <v>45719</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35914-2023</t>
        </is>
      </c>
      <c r="B1094" s="1" t="n">
        <v>45148</v>
      </c>
      <c r="C1094" s="1" t="n">
        <v>45719</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35922-2023</t>
        </is>
      </c>
      <c r="B1095" s="1" t="n">
        <v>45148</v>
      </c>
      <c r="C1095" s="1" t="n">
        <v>45719</v>
      </c>
      <c r="D1095" t="inlineStr">
        <is>
          <t>UPPSALA LÄN</t>
        </is>
      </c>
      <c r="E1095" t="inlineStr">
        <is>
          <t>UPPSALA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35916-2023</t>
        </is>
      </c>
      <c r="B1096" s="1" t="n">
        <v>45148</v>
      </c>
      <c r="C1096" s="1" t="n">
        <v>45719</v>
      </c>
      <c r="D1096" t="inlineStr">
        <is>
          <t>UPPSALA LÄN</t>
        </is>
      </c>
      <c r="E1096" t="inlineStr">
        <is>
          <t>UPPSALA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36028-2023</t>
        </is>
      </c>
      <c r="B1097" s="1" t="n">
        <v>45149</v>
      </c>
      <c r="C1097" s="1" t="n">
        <v>45719</v>
      </c>
      <c r="D1097" t="inlineStr">
        <is>
          <t>UPPSALA LÄN</t>
        </is>
      </c>
      <c r="E1097" t="inlineStr">
        <is>
          <t>UPPSALA</t>
        </is>
      </c>
      <c r="F1097" t="inlineStr">
        <is>
          <t>Allmännings- och besparingsskogar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36123-2023</t>
        </is>
      </c>
      <c r="B1098" s="1" t="n">
        <v>45149</v>
      </c>
      <c r="C1098" s="1" t="n">
        <v>45719</v>
      </c>
      <c r="D1098" t="inlineStr">
        <is>
          <t>UPPSALA LÄN</t>
        </is>
      </c>
      <c r="E1098" t="inlineStr">
        <is>
          <t>UPPSALA</t>
        </is>
      </c>
      <c r="F1098" t="inlineStr">
        <is>
          <t>Allmännings- och besparingsskogar</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36159-2023</t>
        </is>
      </c>
      <c r="B1099" s="1" t="n">
        <v>45149</v>
      </c>
      <c r="C1099" s="1" t="n">
        <v>45719</v>
      </c>
      <c r="D1099" t="inlineStr">
        <is>
          <t>UPPSALA LÄN</t>
        </is>
      </c>
      <c r="E1099" t="inlineStr">
        <is>
          <t>UPPSALA</t>
        </is>
      </c>
      <c r="F1099" t="inlineStr">
        <is>
          <t>Övriga statliga verk och myndigheter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36388-2023</t>
        </is>
      </c>
      <c r="B1100" s="1" t="n">
        <v>45152</v>
      </c>
      <c r="C1100" s="1" t="n">
        <v>45719</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36392-2023</t>
        </is>
      </c>
      <c r="B1101" s="1" t="n">
        <v>45152</v>
      </c>
      <c r="C1101" s="1" t="n">
        <v>45719</v>
      </c>
      <c r="D1101" t="inlineStr">
        <is>
          <t>UPPSALA LÄN</t>
        </is>
      </c>
      <c r="E1101" t="inlineStr">
        <is>
          <t>UPPSALA</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36479-2023</t>
        </is>
      </c>
      <c r="B1102" s="1" t="n">
        <v>45152</v>
      </c>
      <c r="C1102" s="1" t="n">
        <v>45719</v>
      </c>
      <c r="D1102" t="inlineStr">
        <is>
          <t>UPPSALA LÄN</t>
        </is>
      </c>
      <c r="E1102" t="inlineStr">
        <is>
          <t>UPPSALA</t>
        </is>
      </c>
      <c r="F1102" t="inlineStr">
        <is>
          <t>Allmännings- och besparingsskogar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36478-2023</t>
        </is>
      </c>
      <c r="B1103" s="1" t="n">
        <v>45152</v>
      </c>
      <c r="C1103" s="1" t="n">
        <v>45719</v>
      </c>
      <c r="D1103" t="inlineStr">
        <is>
          <t>UPPSALA LÄN</t>
        </is>
      </c>
      <c r="E1103" t="inlineStr">
        <is>
          <t>UPPSALA</t>
        </is>
      </c>
      <c r="F1103" t="inlineStr">
        <is>
          <t>Allmännings- och besparingsskogar</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36438-2023</t>
        </is>
      </c>
      <c r="B1104" s="1" t="n">
        <v>45152</v>
      </c>
      <c r="C1104" s="1" t="n">
        <v>45719</v>
      </c>
      <c r="D1104" t="inlineStr">
        <is>
          <t>UPPSALA LÄN</t>
        </is>
      </c>
      <c r="E1104" t="inlineStr">
        <is>
          <t>UPPSALA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36738-2023</t>
        </is>
      </c>
      <c r="B1105" s="1" t="n">
        <v>45153</v>
      </c>
      <c r="C1105" s="1" t="n">
        <v>45719</v>
      </c>
      <c r="D1105" t="inlineStr">
        <is>
          <t>UPPSALA LÄN</t>
        </is>
      </c>
      <c r="E1105" t="inlineStr">
        <is>
          <t>UPPSALA</t>
        </is>
      </c>
      <c r="F1105" t="inlineStr">
        <is>
          <t>Allmännings- och besparingsskogar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36739-2023</t>
        </is>
      </c>
      <c r="B1106" s="1" t="n">
        <v>45153</v>
      </c>
      <c r="C1106" s="1" t="n">
        <v>45719</v>
      </c>
      <c r="D1106" t="inlineStr">
        <is>
          <t>UPPSALA LÄN</t>
        </is>
      </c>
      <c r="E1106" t="inlineStr">
        <is>
          <t>UPPSALA</t>
        </is>
      </c>
      <c r="F1106" t="inlineStr">
        <is>
          <t>Allmännings- och besparingsskogar</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36781-2023</t>
        </is>
      </c>
      <c r="B1107" s="1" t="n">
        <v>45154</v>
      </c>
      <c r="C1107" s="1" t="n">
        <v>45719</v>
      </c>
      <c r="D1107" t="inlineStr">
        <is>
          <t>UPPSALA LÄN</t>
        </is>
      </c>
      <c r="E1107" t="inlineStr">
        <is>
          <t>UPPSALA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36782-2023</t>
        </is>
      </c>
      <c r="B1108" s="1" t="n">
        <v>45154</v>
      </c>
      <c r="C1108" s="1" t="n">
        <v>45719</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36860-2023</t>
        </is>
      </c>
      <c r="B1109" s="1" t="n">
        <v>45154</v>
      </c>
      <c r="C1109" s="1" t="n">
        <v>45719</v>
      </c>
      <c r="D1109" t="inlineStr">
        <is>
          <t>UPPSALA LÄN</t>
        </is>
      </c>
      <c r="E1109" t="inlineStr">
        <is>
          <t>UPPSALA</t>
        </is>
      </c>
      <c r="F1109" t="inlineStr">
        <is>
          <t>Allmännings- och besparingsskogar</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37626-2023</t>
        </is>
      </c>
      <c r="B1110" s="1" t="n">
        <v>45159</v>
      </c>
      <c r="C1110" s="1" t="n">
        <v>45719</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37618-2023</t>
        </is>
      </c>
      <c r="B1111" s="1" t="n">
        <v>45159</v>
      </c>
      <c r="C1111" s="1" t="n">
        <v>45719</v>
      </c>
      <c r="D1111" t="inlineStr">
        <is>
          <t>UPPSALA LÄN</t>
        </is>
      </c>
      <c r="E1111" t="inlineStr">
        <is>
          <t>UPPSALA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38016-2023</t>
        </is>
      </c>
      <c r="B1112" s="1" t="n">
        <v>45160</v>
      </c>
      <c r="C1112" s="1" t="n">
        <v>45719</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38190-2023</t>
        </is>
      </c>
      <c r="B1113" s="1" t="n">
        <v>45161</v>
      </c>
      <c r="C1113" s="1" t="n">
        <v>45719</v>
      </c>
      <c r="D1113" t="inlineStr">
        <is>
          <t>UPPSALA LÄN</t>
        </is>
      </c>
      <c r="E1113" t="inlineStr">
        <is>
          <t>UPPSALA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38493-2023</t>
        </is>
      </c>
      <c r="B1114" s="1" t="n">
        <v>45162</v>
      </c>
      <c r="C1114" s="1" t="n">
        <v>45719</v>
      </c>
      <c r="D1114" t="inlineStr">
        <is>
          <t>UPPSALA LÄN</t>
        </is>
      </c>
      <c r="E1114" t="inlineStr">
        <is>
          <t>UPPSALA</t>
        </is>
      </c>
      <c r="F1114" t="inlineStr">
        <is>
          <t>Allmännings- och besparingsskogar</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38644-2023</t>
        </is>
      </c>
      <c r="B1115" s="1" t="n">
        <v>45162</v>
      </c>
      <c r="C1115" s="1" t="n">
        <v>45719</v>
      </c>
      <c r="D1115" t="inlineStr">
        <is>
          <t>UPPSALA LÄN</t>
        </is>
      </c>
      <c r="E1115" t="inlineStr">
        <is>
          <t>UPPSALA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38645-2023</t>
        </is>
      </c>
      <c r="B1116" s="1" t="n">
        <v>45162</v>
      </c>
      <c r="C1116" s="1" t="n">
        <v>45719</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38664-2023</t>
        </is>
      </c>
      <c r="B1117" s="1" t="n">
        <v>45162</v>
      </c>
      <c r="C1117" s="1" t="n">
        <v>45719</v>
      </c>
      <c r="D1117" t="inlineStr">
        <is>
          <t>UPPSALA LÄN</t>
        </is>
      </c>
      <c r="E1117" t="inlineStr">
        <is>
          <t>UPPSALA</t>
        </is>
      </c>
      <c r="F1117" t="inlineStr">
        <is>
          <t>Bergvik skog öst AB</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38663-2023</t>
        </is>
      </c>
      <c r="B1118" s="1" t="n">
        <v>45162</v>
      </c>
      <c r="C1118" s="1" t="n">
        <v>45719</v>
      </c>
      <c r="D1118" t="inlineStr">
        <is>
          <t>UPPSALA LÄN</t>
        </is>
      </c>
      <c r="E1118" t="inlineStr">
        <is>
          <t>UPPSALA</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38665-2023</t>
        </is>
      </c>
      <c r="B1119" s="1" t="n">
        <v>45162</v>
      </c>
      <c r="C1119" s="1" t="n">
        <v>45719</v>
      </c>
      <c r="D1119" t="inlineStr">
        <is>
          <t>UPPSALA LÄN</t>
        </is>
      </c>
      <c r="E1119" t="inlineStr">
        <is>
          <t>UPPSALA</t>
        </is>
      </c>
      <c r="F1119" t="inlineStr">
        <is>
          <t>Bergvik skog öst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38661-2023</t>
        </is>
      </c>
      <c r="B1120" s="1" t="n">
        <v>45162</v>
      </c>
      <c r="C1120" s="1" t="n">
        <v>45719</v>
      </c>
      <c r="D1120" t="inlineStr">
        <is>
          <t>UPPSALA LÄN</t>
        </is>
      </c>
      <c r="E1120" t="inlineStr">
        <is>
          <t>UPPSALA</t>
        </is>
      </c>
      <c r="F1120" t="inlineStr">
        <is>
          <t>Bergvik skog öst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38643-2023</t>
        </is>
      </c>
      <c r="B1121" s="1" t="n">
        <v>45162</v>
      </c>
      <c r="C1121" s="1" t="n">
        <v>45719</v>
      </c>
      <c r="D1121" t="inlineStr">
        <is>
          <t>UPPSALA LÄN</t>
        </is>
      </c>
      <c r="E1121" t="inlineStr">
        <is>
          <t>UPPSALA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38934-2023</t>
        </is>
      </c>
      <c r="B1122" s="1" t="n">
        <v>45163</v>
      </c>
      <c r="C1122" s="1" t="n">
        <v>45719</v>
      </c>
      <c r="D1122" t="inlineStr">
        <is>
          <t>UPPSALA LÄN</t>
        </is>
      </c>
      <c r="E1122" t="inlineStr">
        <is>
          <t>UPPSALA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39108-2023</t>
        </is>
      </c>
      <c r="B1123" s="1" t="n">
        <v>45164</v>
      </c>
      <c r="C1123" s="1" t="n">
        <v>45719</v>
      </c>
      <c r="D1123" t="inlineStr">
        <is>
          <t>UPPSALA LÄN</t>
        </is>
      </c>
      <c r="E1123" t="inlineStr">
        <is>
          <t>UPPSALA</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39107-2023</t>
        </is>
      </c>
      <c r="B1124" s="1" t="n">
        <v>45164</v>
      </c>
      <c r="C1124" s="1" t="n">
        <v>45719</v>
      </c>
      <c r="D1124" t="inlineStr">
        <is>
          <t>UPPSALA LÄN</t>
        </is>
      </c>
      <c r="E1124" t="inlineStr">
        <is>
          <t>UPPSALA</t>
        </is>
      </c>
      <c r="F1124" t="inlineStr">
        <is>
          <t>Bergvik skog öst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39548-2023</t>
        </is>
      </c>
      <c r="B1125" s="1" t="n">
        <v>45167</v>
      </c>
      <c r="C1125" s="1" t="n">
        <v>45719</v>
      </c>
      <c r="D1125" t="inlineStr">
        <is>
          <t>UPPSALA LÄN</t>
        </is>
      </c>
      <c r="E1125" t="inlineStr">
        <is>
          <t>UPPSALA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39592-2023</t>
        </is>
      </c>
      <c r="B1126" s="1" t="n">
        <v>45167</v>
      </c>
      <c r="C1126" s="1" t="n">
        <v>45719</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39739-2023</t>
        </is>
      </c>
      <c r="B1127" s="1" t="n">
        <v>45167</v>
      </c>
      <c r="C1127" s="1" t="n">
        <v>45719</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39926-2023</t>
        </is>
      </c>
      <c r="B1128" s="1" t="n">
        <v>45168</v>
      </c>
      <c r="C1128" s="1" t="n">
        <v>45719</v>
      </c>
      <c r="D1128" t="inlineStr">
        <is>
          <t>UPPSALA LÄN</t>
        </is>
      </c>
      <c r="E1128" t="inlineStr">
        <is>
          <t>UPPSALA</t>
        </is>
      </c>
      <c r="F1128" t="inlineStr">
        <is>
          <t>Holmen skog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39918-2023</t>
        </is>
      </c>
      <c r="B1129" s="1" t="n">
        <v>45168</v>
      </c>
      <c r="C1129" s="1" t="n">
        <v>45719</v>
      </c>
      <c r="D1129" t="inlineStr">
        <is>
          <t>UPPSALA LÄN</t>
        </is>
      </c>
      <c r="E1129" t="inlineStr">
        <is>
          <t>UPPSALA</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40369-2023</t>
        </is>
      </c>
      <c r="B1130" s="1" t="n">
        <v>45169</v>
      </c>
      <c r="C1130" s="1" t="n">
        <v>45719</v>
      </c>
      <c r="D1130" t="inlineStr">
        <is>
          <t>UPPSALA LÄN</t>
        </is>
      </c>
      <c r="E1130" t="inlineStr">
        <is>
          <t>UPPSALA</t>
        </is>
      </c>
      <c r="F1130" t="inlineStr">
        <is>
          <t>Allmännings- och besparingsskogar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40312-2023</t>
        </is>
      </c>
      <c r="B1131" s="1" t="n">
        <v>45169</v>
      </c>
      <c r="C1131" s="1" t="n">
        <v>45719</v>
      </c>
      <c r="D1131" t="inlineStr">
        <is>
          <t>UPPSALA LÄN</t>
        </is>
      </c>
      <c r="E1131" t="inlineStr">
        <is>
          <t>UPPSALA</t>
        </is>
      </c>
      <c r="F1131" t="inlineStr">
        <is>
          <t>Kommuner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40124-2023</t>
        </is>
      </c>
      <c r="B1132" s="1" t="n">
        <v>45169</v>
      </c>
      <c r="C1132" s="1" t="n">
        <v>45719</v>
      </c>
      <c r="D1132" t="inlineStr">
        <is>
          <t>UPPSALA LÄN</t>
        </is>
      </c>
      <c r="E1132" t="inlineStr">
        <is>
          <t>UPPSALA</t>
        </is>
      </c>
      <c r="F1132" t="inlineStr">
        <is>
          <t>Allmännings- och besparingsskogar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40325-2023</t>
        </is>
      </c>
      <c r="B1133" s="1" t="n">
        <v>45169</v>
      </c>
      <c r="C1133" s="1" t="n">
        <v>45719</v>
      </c>
      <c r="D1133" t="inlineStr">
        <is>
          <t>UPPSALA LÄN</t>
        </is>
      </c>
      <c r="E1133" t="inlineStr">
        <is>
          <t>UPPSALA</t>
        </is>
      </c>
      <c r="F1133" t="inlineStr">
        <is>
          <t>Kommuner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40872-2023</t>
        </is>
      </c>
      <c r="B1134" s="1" t="n">
        <v>45173</v>
      </c>
      <c r="C1134" s="1" t="n">
        <v>45719</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41002-2023</t>
        </is>
      </c>
      <c r="B1135" s="1" t="n">
        <v>45173</v>
      </c>
      <c r="C1135" s="1" t="n">
        <v>45719</v>
      </c>
      <c r="D1135" t="inlineStr">
        <is>
          <t>UPPSALA LÄN</t>
        </is>
      </c>
      <c r="E1135" t="inlineStr">
        <is>
          <t>UPPSALA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41349-2023</t>
        </is>
      </c>
      <c r="B1136" s="1" t="n">
        <v>45174</v>
      </c>
      <c r="C1136" s="1" t="n">
        <v>45719</v>
      </c>
      <c r="D1136" t="inlineStr">
        <is>
          <t>UPPSALA LÄN</t>
        </is>
      </c>
      <c r="E1136" t="inlineStr">
        <is>
          <t>UPPSALA</t>
        </is>
      </c>
      <c r="F1136" t="inlineStr">
        <is>
          <t>Allmännings- och besparingsskogar</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41346-2023</t>
        </is>
      </c>
      <c r="B1137" s="1" t="n">
        <v>45174</v>
      </c>
      <c r="C1137" s="1" t="n">
        <v>45719</v>
      </c>
      <c r="D1137" t="inlineStr">
        <is>
          <t>UPPSALA LÄN</t>
        </is>
      </c>
      <c r="E1137" t="inlineStr">
        <is>
          <t>UPPSALA</t>
        </is>
      </c>
      <c r="F1137" t="inlineStr">
        <is>
          <t>Allmännings- och besparingsskogar</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41506-2023</t>
        </is>
      </c>
      <c r="B1138" s="1" t="n">
        <v>45175</v>
      </c>
      <c r="C1138" s="1" t="n">
        <v>45719</v>
      </c>
      <c r="D1138" t="inlineStr">
        <is>
          <t>UPPSALA LÄN</t>
        </is>
      </c>
      <c r="E1138" t="inlineStr">
        <is>
          <t>UPPSALA</t>
        </is>
      </c>
      <c r="F1138" t="inlineStr">
        <is>
          <t>Kyrkan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41541-2023</t>
        </is>
      </c>
      <c r="B1139" s="1" t="n">
        <v>45175</v>
      </c>
      <c r="C1139" s="1" t="n">
        <v>45719</v>
      </c>
      <c r="D1139" t="inlineStr">
        <is>
          <t>UPPSALA LÄN</t>
        </is>
      </c>
      <c r="E1139" t="inlineStr">
        <is>
          <t>UPPSALA</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41545-2023</t>
        </is>
      </c>
      <c r="B1140" s="1" t="n">
        <v>45175</v>
      </c>
      <c r="C1140" s="1" t="n">
        <v>45719</v>
      </c>
      <c r="D1140" t="inlineStr">
        <is>
          <t>UPPSALA LÄN</t>
        </is>
      </c>
      <c r="E1140" t="inlineStr">
        <is>
          <t>UPPSALA</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41422-2023</t>
        </is>
      </c>
      <c r="B1141" s="1" t="n">
        <v>45175</v>
      </c>
      <c r="C1141" s="1" t="n">
        <v>45719</v>
      </c>
      <c r="D1141" t="inlineStr">
        <is>
          <t>UPPSALA LÄN</t>
        </is>
      </c>
      <c r="E1141" t="inlineStr">
        <is>
          <t>UPPSALA</t>
        </is>
      </c>
      <c r="F1141" t="inlineStr">
        <is>
          <t>Kyrkan</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41538-2023</t>
        </is>
      </c>
      <c r="B1142" s="1" t="n">
        <v>45175</v>
      </c>
      <c r="C1142" s="1" t="n">
        <v>45719</v>
      </c>
      <c r="D1142" t="inlineStr">
        <is>
          <t>UPPSALA LÄN</t>
        </is>
      </c>
      <c r="E1142" t="inlineStr">
        <is>
          <t>UPPSALA</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42283-2023</t>
        </is>
      </c>
      <c r="B1143" s="1" t="n">
        <v>45175</v>
      </c>
      <c r="C1143" s="1" t="n">
        <v>45719</v>
      </c>
      <c r="D1143" t="inlineStr">
        <is>
          <t>UPPSALA LÄN</t>
        </is>
      </c>
      <c r="E1143" t="inlineStr">
        <is>
          <t>UPPSALA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41669-2023</t>
        </is>
      </c>
      <c r="B1144" s="1" t="n">
        <v>45176</v>
      </c>
      <c r="C1144" s="1" t="n">
        <v>45719</v>
      </c>
      <c r="D1144" t="inlineStr">
        <is>
          <t>UPPSALA LÄN</t>
        </is>
      </c>
      <c r="E1144" t="inlineStr">
        <is>
          <t>UPPSALA</t>
        </is>
      </c>
      <c r="F1144" t="inlineStr">
        <is>
          <t>Övriga Aktiebolag</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41802-2023</t>
        </is>
      </c>
      <c r="B1145" s="1" t="n">
        <v>45176</v>
      </c>
      <c r="C1145" s="1" t="n">
        <v>45719</v>
      </c>
      <c r="D1145" t="inlineStr">
        <is>
          <t>UPPSALA LÄN</t>
        </is>
      </c>
      <c r="E1145" t="inlineStr">
        <is>
          <t>UPPSALA</t>
        </is>
      </c>
      <c r="G1145" t="n">
        <v>23.9</v>
      </c>
      <c r="H1145" t="n">
        <v>0</v>
      </c>
      <c r="I1145" t="n">
        <v>0</v>
      </c>
      <c r="J1145" t="n">
        <v>0</v>
      </c>
      <c r="K1145" t="n">
        <v>0</v>
      </c>
      <c r="L1145" t="n">
        <v>0</v>
      </c>
      <c r="M1145" t="n">
        <v>0</v>
      </c>
      <c r="N1145" t="n">
        <v>0</v>
      </c>
      <c r="O1145" t="n">
        <v>0</v>
      </c>
      <c r="P1145" t="n">
        <v>0</v>
      </c>
      <c r="Q1145" t="n">
        <v>0</v>
      </c>
      <c r="R1145" s="2" t="inlineStr"/>
    </row>
    <row r="1146" ht="15" customHeight="1">
      <c r="A1146" t="inlineStr">
        <is>
          <t>A 41816-2023</t>
        </is>
      </c>
      <c r="B1146" s="1" t="n">
        <v>45176</v>
      </c>
      <c r="C1146" s="1" t="n">
        <v>45719</v>
      </c>
      <c r="D1146" t="inlineStr">
        <is>
          <t>UPPSALA LÄN</t>
        </is>
      </c>
      <c r="E1146" t="inlineStr">
        <is>
          <t>UPPSALA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41950-2023</t>
        </is>
      </c>
      <c r="B1147" s="1" t="n">
        <v>45177</v>
      </c>
      <c r="C1147" s="1" t="n">
        <v>45719</v>
      </c>
      <c r="D1147" t="inlineStr">
        <is>
          <t>UPPSALA LÄN</t>
        </is>
      </c>
      <c r="E1147" t="inlineStr">
        <is>
          <t>UPPSALA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42134-2023</t>
        </is>
      </c>
      <c r="B1148" s="1" t="n">
        <v>45177</v>
      </c>
      <c r="C1148" s="1" t="n">
        <v>45719</v>
      </c>
      <c r="D1148" t="inlineStr">
        <is>
          <t>UPPSALA LÄN</t>
        </is>
      </c>
      <c r="E1148" t="inlineStr">
        <is>
          <t>UPPSALA</t>
        </is>
      </c>
      <c r="F1148" t="inlineStr">
        <is>
          <t>Allmännings- och besparingsskogar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42063-2023</t>
        </is>
      </c>
      <c r="B1149" s="1" t="n">
        <v>45177</v>
      </c>
      <c r="C1149" s="1" t="n">
        <v>45719</v>
      </c>
      <c r="D1149" t="inlineStr">
        <is>
          <t>UPPSALA LÄN</t>
        </is>
      </c>
      <c r="E1149" t="inlineStr">
        <is>
          <t>UPPSALA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42131-2023</t>
        </is>
      </c>
      <c r="B1150" s="1" t="n">
        <v>45177</v>
      </c>
      <c r="C1150" s="1" t="n">
        <v>45719</v>
      </c>
      <c r="D1150" t="inlineStr">
        <is>
          <t>UPPSALA LÄN</t>
        </is>
      </c>
      <c r="E1150" t="inlineStr">
        <is>
          <t>UPPSALA</t>
        </is>
      </c>
      <c r="F1150" t="inlineStr">
        <is>
          <t>Allmännings- och besparingsskogar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42273-2023</t>
        </is>
      </c>
      <c r="B1151" s="1" t="n">
        <v>45180</v>
      </c>
      <c r="C1151" s="1" t="n">
        <v>45719</v>
      </c>
      <c r="D1151" t="inlineStr">
        <is>
          <t>UPPSALA LÄN</t>
        </is>
      </c>
      <c r="E1151" t="inlineStr">
        <is>
          <t>UPPSALA</t>
        </is>
      </c>
      <c r="F1151" t="inlineStr">
        <is>
          <t>Bergvik skog öst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42436-2023</t>
        </is>
      </c>
      <c r="B1152" s="1" t="n">
        <v>45180</v>
      </c>
      <c r="C1152" s="1" t="n">
        <v>45719</v>
      </c>
      <c r="D1152" t="inlineStr">
        <is>
          <t>UPPSALA LÄN</t>
        </is>
      </c>
      <c r="E1152" t="inlineStr">
        <is>
          <t>UPPSALA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42282-2023</t>
        </is>
      </c>
      <c r="B1153" s="1" t="n">
        <v>45180</v>
      </c>
      <c r="C1153" s="1" t="n">
        <v>45719</v>
      </c>
      <c r="D1153" t="inlineStr">
        <is>
          <t>UPPSALA LÄN</t>
        </is>
      </c>
      <c r="E1153" t="inlineStr">
        <is>
          <t>UPPSALA</t>
        </is>
      </c>
      <c r="F1153" t="inlineStr">
        <is>
          <t>Bergvik skog öst AB</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42274-2023</t>
        </is>
      </c>
      <c r="B1154" s="1" t="n">
        <v>45180</v>
      </c>
      <c r="C1154" s="1" t="n">
        <v>45719</v>
      </c>
      <c r="D1154" t="inlineStr">
        <is>
          <t>UPPSALA LÄN</t>
        </is>
      </c>
      <c r="E1154" t="inlineStr">
        <is>
          <t>UPPSALA</t>
        </is>
      </c>
      <c r="F1154" t="inlineStr">
        <is>
          <t>Bergvik skog öst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42285-2023</t>
        </is>
      </c>
      <c r="B1155" s="1" t="n">
        <v>45180</v>
      </c>
      <c r="C1155" s="1" t="n">
        <v>45719</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42376-2023</t>
        </is>
      </c>
      <c r="B1156" s="1" t="n">
        <v>45180</v>
      </c>
      <c r="C1156" s="1" t="n">
        <v>45719</v>
      </c>
      <c r="D1156" t="inlineStr">
        <is>
          <t>UPPSALA LÄN</t>
        </is>
      </c>
      <c r="E1156" t="inlineStr">
        <is>
          <t>UPPSALA</t>
        </is>
      </c>
      <c r="F1156" t="inlineStr">
        <is>
          <t>Bergvik skog öst AB</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42495-2023</t>
        </is>
      </c>
      <c r="B1157" s="1" t="n">
        <v>45180</v>
      </c>
      <c r="C1157" s="1" t="n">
        <v>45719</v>
      </c>
      <c r="D1157" t="inlineStr">
        <is>
          <t>UPPSALA LÄN</t>
        </is>
      </c>
      <c r="E1157" t="inlineStr">
        <is>
          <t>UPPSALA</t>
        </is>
      </c>
      <c r="F1157" t="inlineStr">
        <is>
          <t>Allmännings- och besparingsskogar</t>
        </is>
      </c>
      <c r="G1157" t="n">
        <v>13.7</v>
      </c>
      <c r="H1157" t="n">
        <v>0</v>
      </c>
      <c r="I1157" t="n">
        <v>0</v>
      </c>
      <c r="J1157" t="n">
        <v>0</v>
      </c>
      <c r="K1157" t="n">
        <v>0</v>
      </c>
      <c r="L1157" t="n">
        <v>0</v>
      </c>
      <c r="M1157" t="n">
        <v>0</v>
      </c>
      <c r="N1157" t="n">
        <v>0</v>
      </c>
      <c r="O1157" t="n">
        <v>0</v>
      </c>
      <c r="P1157" t="n">
        <v>0</v>
      </c>
      <c r="Q1157" t="n">
        <v>0</v>
      </c>
      <c r="R1157" s="2" t="inlineStr"/>
    </row>
    <row r="1158" ht="15" customHeight="1">
      <c r="A1158" t="inlineStr">
        <is>
          <t>A 42379-2023</t>
        </is>
      </c>
      <c r="B1158" s="1" t="n">
        <v>45180</v>
      </c>
      <c r="C1158" s="1" t="n">
        <v>45719</v>
      </c>
      <c r="D1158" t="inlineStr">
        <is>
          <t>UPPSALA LÄN</t>
        </is>
      </c>
      <c r="E1158" t="inlineStr">
        <is>
          <t>UPPSALA</t>
        </is>
      </c>
      <c r="F1158" t="inlineStr">
        <is>
          <t>Bergvik skog öst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42528-2023</t>
        </is>
      </c>
      <c r="B1159" s="1" t="n">
        <v>45181</v>
      </c>
      <c r="C1159" s="1" t="n">
        <v>45719</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42630-2023</t>
        </is>
      </c>
      <c r="B1160" s="1" t="n">
        <v>45181</v>
      </c>
      <c r="C1160" s="1" t="n">
        <v>45719</v>
      </c>
      <c r="D1160" t="inlineStr">
        <is>
          <t>UPPSALA LÄN</t>
        </is>
      </c>
      <c r="E1160" t="inlineStr">
        <is>
          <t>UPPSALA</t>
        </is>
      </c>
      <c r="F1160" t="inlineStr">
        <is>
          <t>Holmen skog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42681-2023</t>
        </is>
      </c>
      <c r="B1161" s="1" t="n">
        <v>45181</v>
      </c>
      <c r="C1161" s="1" t="n">
        <v>45719</v>
      </c>
      <c r="D1161" t="inlineStr">
        <is>
          <t>UPPSALA LÄN</t>
        </is>
      </c>
      <c r="E1161" t="inlineStr">
        <is>
          <t>UPPSALA</t>
        </is>
      </c>
      <c r="F1161" t="inlineStr">
        <is>
          <t>Bergvik skog öst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42543-2023</t>
        </is>
      </c>
      <c r="B1162" s="1" t="n">
        <v>45181</v>
      </c>
      <c r="C1162" s="1" t="n">
        <v>45719</v>
      </c>
      <c r="D1162" t="inlineStr">
        <is>
          <t>UPPSALA LÄN</t>
        </is>
      </c>
      <c r="E1162" t="inlineStr">
        <is>
          <t>UPPSALA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42730-2023</t>
        </is>
      </c>
      <c r="B1163" s="1" t="n">
        <v>45181</v>
      </c>
      <c r="C1163" s="1" t="n">
        <v>45719</v>
      </c>
      <c r="D1163" t="inlineStr">
        <is>
          <t>UPPSALA LÄN</t>
        </is>
      </c>
      <c r="E1163" t="inlineStr">
        <is>
          <t>UPPSALA</t>
        </is>
      </c>
      <c r="F1163" t="inlineStr">
        <is>
          <t>Holmen skog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42734-2023</t>
        </is>
      </c>
      <c r="B1164" s="1" t="n">
        <v>45181</v>
      </c>
      <c r="C1164" s="1" t="n">
        <v>45719</v>
      </c>
      <c r="D1164" t="inlineStr">
        <is>
          <t>UPPSALA LÄN</t>
        </is>
      </c>
      <c r="E1164" t="inlineStr">
        <is>
          <t>UPPSALA</t>
        </is>
      </c>
      <c r="F1164" t="inlineStr">
        <is>
          <t>Bergvik skog öst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42682-2023</t>
        </is>
      </c>
      <c r="B1165" s="1" t="n">
        <v>45181</v>
      </c>
      <c r="C1165" s="1" t="n">
        <v>45719</v>
      </c>
      <c r="D1165" t="inlineStr">
        <is>
          <t>UPPSALA LÄN</t>
        </is>
      </c>
      <c r="E1165" t="inlineStr">
        <is>
          <t>UPPSALA</t>
        </is>
      </c>
      <c r="F1165" t="inlineStr">
        <is>
          <t>Bergvik skog öst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42722-2023</t>
        </is>
      </c>
      <c r="B1166" s="1" t="n">
        <v>45181</v>
      </c>
      <c r="C1166" s="1" t="n">
        <v>45719</v>
      </c>
      <c r="D1166" t="inlineStr">
        <is>
          <t>UPPSALA LÄN</t>
        </is>
      </c>
      <c r="E1166" t="inlineStr">
        <is>
          <t>UPPSALA</t>
        </is>
      </c>
      <c r="F1166" t="inlineStr">
        <is>
          <t>Holmen skog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42756-2023</t>
        </is>
      </c>
      <c r="B1167" s="1" t="n">
        <v>45181</v>
      </c>
      <c r="C1167" s="1" t="n">
        <v>45719</v>
      </c>
      <c r="D1167" t="inlineStr">
        <is>
          <t>UPPSALA LÄN</t>
        </is>
      </c>
      <c r="E1167" t="inlineStr">
        <is>
          <t>UPPSALA</t>
        </is>
      </c>
      <c r="F1167" t="inlineStr">
        <is>
          <t>Holmen skog AB</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42971-2023</t>
        </is>
      </c>
      <c r="B1168" s="1" t="n">
        <v>45182</v>
      </c>
      <c r="C1168" s="1" t="n">
        <v>45719</v>
      </c>
      <c r="D1168" t="inlineStr">
        <is>
          <t>UPPSALA LÄN</t>
        </is>
      </c>
      <c r="E1168" t="inlineStr">
        <is>
          <t>UPPSALA</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43026-2023</t>
        </is>
      </c>
      <c r="B1169" s="1" t="n">
        <v>45182</v>
      </c>
      <c r="C1169" s="1" t="n">
        <v>45719</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42963-2023</t>
        </is>
      </c>
      <c r="B1170" s="1" t="n">
        <v>45182</v>
      </c>
      <c r="C1170" s="1" t="n">
        <v>45719</v>
      </c>
      <c r="D1170" t="inlineStr">
        <is>
          <t>UPPSALA LÄN</t>
        </is>
      </c>
      <c r="E1170" t="inlineStr">
        <is>
          <t>UPPSALA</t>
        </is>
      </c>
      <c r="F1170" t="inlineStr">
        <is>
          <t>Sveaskog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42967-2023</t>
        </is>
      </c>
      <c r="B1171" s="1" t="n">
        <v>45182</v>
      </c>
      <c r="C1171" s="1" t="n">
        <v>45719</v>
      </c>
      <c r="D1171" t="inlineStr">
        <is>
          <t>UPPSALA LÄN</t>
        </is>
      </c>
      <c r="E1171" t="inlineStr">
        <is>
          <t>UPPSALA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43031-2023</t>
        </is>
      </c>
      <c r="B1172" s="1" t="n">
        <v>45182</v>
      </c>
      <c r="C1172" s="1" t="n">
        <v>45719</v>
      </c>
      <c r="D1172" t="inlineStr">
        <is>
          <t>UPPSALA LÄN</t>
        </is>
      </c>
      <c r="E1172" t="inlineStr">
        <is>
          <t>UPPSALA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43035-2023</t>
        </is>
      </c>
      <c r="B1173" s="1" t="n">
        <v>45182</v>
      </c>
      <c r="C1173" s="1" t="n">
        <v>45719</v>
      </c>
      <c r="D1173" t="inlineStr">
        <is>
          <t>UPPSALA LÄN</t>
        </is>
      </c>
      <c r="E1173" t="inlineStr">
        <is>
          <t>UPPSALA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43049-2023</t>
        </is>
      </c>
      <c r="B1174" s="1" t="n">
        <v>45182</v>
      </c>
      <c r="C1174" s="1" t="n">
        <v>45719</v>
      </c>
      <c r="D1174" t="inlineStr">
        <is>
          <t>UPPSALA LÄN</t>
        </is>
      </c>
      <c r="E1174" t="inlineStr">
        <is>
          <t>UPPSALA</t>
        </is>
      </c>
      <c r="F1174" t="inlineStr">
        <is>
          <t>Allmännings- och besparingsskogar</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42974-2023</t>
        </is>
      </c>
      <c r="B1175" s="1" t="n">
        <v>45182</v>
      </c>
      <c r="C1175" s="1" t="n">
        <v>45719</v>
      </c>
      <c r="D1175" t="inlineStr">
        <is>
          <t>UPPSALA LÄN</t>
        </is>
      </c>
      <c r="E1175" t="inlineStr">
        <is>
          <t>UPPSALA</t>
        </is>
      </c>
      <c r="F1175" t="inlineStr">
        <is>
          <t>Sveaskog</t>
        </is>
      </c>
      <c r="G1175" t="n">
        <v>3.7</v>
      </c>
      <c r="H1175" t="n">
        <v>0</v>
      </c>
      <c r="I1175" t="n">
        <v>0</v>
      </c>
      <c r="J1175" t="n">
        <v>0</v>
      </c>
      <c r="K1175" t="n">
        <v>0</v>
      </c>
      <c r="L1175" t="n">
        <v>0</v>
      </c>
      <c r="M1175" t="n">
        <v>0</v>
      </c>
      <c r="N1175" t="n">
        <v>0</v>
      </c>
      <c r="O1175" t="n">
        <v>0</v>
      </c>
      <c r="P1175" t="n">
        <v>0</v>
      </c>
      <c r="Q1175" t="n">
        <v>0</v>
      </c>
      <c r="R1175" s="2" t="inlineStr"/>
      <c r="U1175">
        <f>HYPERLINK("https://klasma.github.io/Logging_0380/knärot/A 42974-2023 karta knärot.png", "A 42974-2023")</f>
        <v/>
      </c>
      <c r="V1175">
        <f>HYPERLINK("https://klasma.github.io/Logging_0380/klagomål/A 42974-2023 FSC-klagomål.docx", "A 42974-2023")</f>
        <v/>
      </c>
      <c r="W1175">
        <f>HYPERLINK("https://klasma.github.io/Logging_0380/klagomålsmail/A 42974-2023 FSC-klagomål mail.docx", "A 42974-2023")</f>
        <v/>
      </c>
      <c r="X1175">
        <f>HYPERLINK("https://klasma.github.io/Logging_0380/tillsyn/A 42974-2023 tillsynsbegäran.docx", "A 42974-2023")</f>
        <v/>
      </c>
      <c r="Y1175">
        <f>HYPERLINK("https://klasma.github.io/Logging_0380/tillsynsmail/A 42974-2023 tillsynsbegäran mail.docx", "A 42974-2023")</f>
        <v/>
      </c>
    </row>
    <row r="1176" ht="15" customHeight="1">
      <c r="A1176" t="inlineStr">
        <is>
          <t>A 42978-2023</t>
        </is>
      </c>
      <c r="B1176" s="1" t="n">
        <v>45182</v>
      </c>
      <c r="C1176" s="1" t="n">
        <v>45719</v>
      </c>
      <c r="D1176" t="inlineStr">
        <is>
          <t>UPPSALA LÄN</t>
        </is>
      </c>
      <c r="E1176" t="inlineStr">
        <is>
          <t>UPPSALA</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43029-2023</t>
        </is>
      </c>
      <c r="B1177" s="1" t="n">
        <v>45182</v>
      </c>
      <c r="C1177" s="1" t="n">
        <v>45719</v>
      </c>
      <c r="D1177" t="inlineStr">
        <is>
          <t>UPPSALA LÄN</t>
        </is>
      </c>
      <c r="E1177" t="inlineStr">
        <is>
          <t>UPPSALA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43818-2023</t>
        </is>
      </c>
      <c r="B1178" s="1" t="n">
        <v>45182</v>
      </c>
      <c r="C1178" s="1" t="n">
        <v>45719</v>
      </c>
      <c r="D1178" t="inlineStr">
        <is>
          <t>UPPSALA LÄN</t>
        </is>
      </c>
      <c r="E1178" t="inlineStr">
        <is>
          <t>UPPSALA</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43795-2023</t>
        </is>
      </c>
      <c r="B1179" s="1" t="n">
        <v>45182</v>
      </c>
      <c r="C1179" s="1" t="n">
        <v>45719</v>
      </c>
      <c r="D1179" t="inlineStr">
        <is>
          <t>UPPSALA LÄN</t>
        </is>
      </c>
      <c r="E1179" t="inlineStr">
        <is>
          <t>UPPSALA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43316-2023</t>
        </is>
      </c>
      <c r="B1180" s="1" t="n">
        <v>45183</v>
      </c>
      <c r="C1180" s="1" t="n">
        <v>45719</v>
      </c>
      <c r="D1180" t="inlineStr">
        <is>
          <t>UPPSALA LÄN</t>
        </is>
      </c>
      <c r="E1180" t="inlineStr">
        <is>
          <t>UPPSALA</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43944-2023</t>
        </is>
      </c>
      <c r="B1181" s="1" t="n">
        <v>45187</v>
      </c>
      <c r="C1181" s="1" t="n">
        <v>45719</v>
      </c>
      <c r="D1181" t="inlineStr">
        <is>
          <t>UPPSALA LÄN</t>
        </is>
      </c>
      <c r="E1181" t="inlineStr">
        <is>
          <t>UPPSALA</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43775-2023</t>
        </is>
      </c>
      <c r="B1182" s="1" t="n">
        <v>45187</v>
      </c>
      <c r="C1182" s="1" t="n">
        <v>45719</v>
      </c>
      <c r="D1182" t="inlineStr">
        <is>
          <t>UPPSALA LÄN</t>
        </is>
      </c>
      <c r="E1182" t="inlineStr">
        <is>
          <t>UPPSALA</t>
        </is>
      </c>
      <c r="F1182" t="inlineStr">
        <is>
          <t>Bergvik skog öst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43779-2023</t>
        </is>
      </c>
      <c r="B1183" s="1" t="n">
        <v>45187</v>
      </c>
      <c r="C1183" s="1" t="n">
        <v>45719</v>
      </c>
      <c r="D1183" t="inlineStr">
        <is>
          <t>UPPSALA LÄN</t>
        </is>
      </c>
      <c r="E1183" t="inlineStr">
        <is>
          <t>UPPSALA</t>
        </is>
      </c>
      <c r="F1183" t="inlineStr">
        <is>
          <t>Bergvik skog öst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43776-2023</t>
        </is>
      </c>
      <c r="B1184" s="1" t="n">
        <v>45187</v>
      </c>
      <c r="C1184" s="1" t="n">
        <v>45719</v>
      </c>
      <c r="D1184" t="inlineStr">
        <is>
          <t>UPPSALA LÄN</t>
        </is>
      </c>
      <c r="E1184" t="inlineStr">
        <is>
          <t>UPPSALA</t>
        </is>
      </c>
      <c r="F1184" t="inlineStr">
        <is>
          <t>Bergvik skog öst AB</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43855-2023</t>
        </is>
      </c>
      <c r="B1185" s="1" t="n">
        <v>45187</v>
      </c>
      <c r="C1185" s="1" t="n">
        <v>45719</v>
      </c>
      <c r="D1185" t="inlineStr">
        <is>
          <t>UPPSALA LÄN</t>
        </is>
      </c>
      <c r="E1185" t="inlineStr">
        <is>
          <t>UPPSALA</t>
        </is>
      </c>
      <c r="F1185" t="inlineStr">
        <is>
          <t>Bergvik skog öst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43778-2023</t>
        </is>
      </c>
      <c r="B1186" s="1" t="n">
        <v>45187</v>
      </c>
      <c r="C1186" s="1" t="n">
        <v>45719</v>
      </c>
      <c r="D1186" t="inlineStr">
        <is>
          <t>UPPSALA LÄN</t>
        </is>
      </c>
      <c r="E1186" t="inlineStr">
        <is>
          <t>UPPSALA</t>
        </is>
      </c>
      <c r="F1186" t="inlineStr">
        <is>
          <t>Bergvik skog öst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44875-2023</t>
        </is>
      </c>
      <c r="B1187" s="1" t="n">
        <v>45187</v>
      </c>
      <c r="C1187" s="1" t="n">
        <v>45719</v>
      </c>
      <c r="D1187" t="inlineStr">
        <is>
          <t>UPPSALA LÄN</t>
        </is>
      </c>
      <c r="E1187" t="inlineStr">
        <is>
          <t>UPPSALA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44080-2023</t>
        </is>
      </c>
      <c r="B1188" s="1" t="n">
        <v>45188</v>
      </c>
      <c r="C1188" s="1" t="n">
        <v>45719</v>
      </c>
      <c r="D1188" t="inlineStr">
        <is>
          <t>UPPSALA LÄN</t>
        </is>
      </c>
      <c r="E1188" t="inlineStr">
        <is>
          <t>UPPSALA</t>
        </is>
      </c>
      <c r="G1188" t="n">
        <v>13.3</v>
      </c>
      <c r="H1188" t="n">
        <v>0</v>
      </c>
      <c r="I1188" t="n">
        <v>0</v>
      </c>
      <c r="J1188" t="n">
        <v>0</v>
      </c>
      <c r="K1188" t="n">
        <v>0</v>
      </c>
      <c r="L1188" t="n">
        <v>0</v>
      </c>
      <c r="M1188" t="n">
        <v>0</v>
      </c>
      <c r="N1188" t="n">
        <v>0</v>
      </c>
      <c r="O1188" t="n">
        <v>0</v>
      </c>
      <c r="P1188" t="n">
        <v>0</v>
      </c>
      <c r="Q1188" t="n">
        <v>0</v>
      </c>
      <c r="R1188" s="2" t="inlineStr"/>
    </row>
    <row r="1189" ht="15" customHeight="1">
      <c r="A1189" t="inlineStr">
        <is>
          <t>A 44115-2023</t>
        </is>
      </c>
      <c r="B1189" s="1" t="n">
        <v>45188</v>
      </c>
      <c r="C1189" s="1" t="n">
        <v>45719</v>
      </c>
      <c r="D1189" t="inlineStr">
        <is>
          <t>UPPSALA LÄN</t>
        </is>
      </c>
      <c r="E1189" t="inlineStr">
        <is>
          <t>UPPSALA</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44232-2023</t>
        </is>
      </c>
      <c r="B1190" s="1" t="n">
        <v>45188</v>
      </c>
      <c r="C1190" s="1" t="n">
        <v>45719</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44105-2023</t>
        </is>
      </c>
      <c r="B1191" s="1" t="n">
        <v>45188</v>
      </c>
      <c r="C1191" s="1" t="n">
        <v>45719</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44333-2023</t>
        </is>
      </c>
      <c r="B1192" s="1" t="n">
        <v>45188</v>
      </c>
      <c r="C1192" s="1" t="n">
        <v>45719</v>
      </c>
      <c r="D1192" t="inlineStr">
        <is>
          <t>UPPSALA LÄN</t>
        </is>
      </c>
      <c r="E1192" t="inlineStr">
        <is>
          <t>UPPSALA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44337-2023</t>
        </is>
      </c>
      <c r="B1193" s="1" t="n">
        <v>45188</v>
      </c>
      <c r="C1193" s="1" t="n">
        <v>45719</v>
      </c>
      <c r="D1193" t="inlineStr">
        <is>
          <t>UPPSALA LÄN</t>
        </is>
      </c>
      <c r="E1193" t="inlineStr">
        <is>
          <t>UPPSALA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44257-2023</t>
        </is>
      </c>
      <c r="B1194" s="1" t="n">
        <v>45188</v>
      </c>
      <c r="C1194" s="1" t="n">
        <v>45719</v>
      </c>
      <c r="D1194" t="inlineStr">
        <is>
          <t>UPPSALA LÄN</t>
        </is>
      </c>
      <c r="E1194" t="inlineStr">
        <is>
          <t>UPPSALA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44815-2023</t>
        </is>
      </c>
      <c r="B1195" s="1" t="n">
        <v>45190</v>
      </c>
      <c r="C1195" s="1" t="n">
        <v>45719</v>
      </c>
      <c r="D1195" t="inlineStr">
        <is>
          <t>UPPSALA LÄN</t>
        </is>
      </c>
      <c r="E1195" t="inlineStr">
        <is>
          <t>UPPSALA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44830-2023</t>
        </is>
      </c>
      <c r="B1196" s="1" t="n">
        <v>45190</v>
      </c>
      <c r="C1196" s="1" t="n">
        <v>45719</v>
      </c>
      <c r="D1196" t="inlineStr">
        <is>
          <t>UPPSALA LÄN</t>
        </is>
      </c>
      <c r="E1196" t="inlineStr">
        <is>
          <t>UPPSALA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44785-2023</t>
        </is>
      </c>
      <c r="B1197" s="1" t="n">
        <v>45190</v>
      </c>
      <c r="C1197" s="1" t="n">
        <v>45719</v>
      </c>
      <c r="D1197" t="inlineStr">
        <is>
          <t>UPPSALA LÄN</t>
        </is>
      </c>
      <c r="E1197" t="inlineStr">
        <is>
          <t>UPPSALA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45244-2023</t>
        </is>
      </c>
      <c r="B1198" s="1" t="n">
        <v>45191</v>
      </c>
      <c r="C1198" s="1" t="n">
        <v>45719</v>
      </c>
      <c r="D1198" t="inlineStr">
        <is>
          <t>UPPSALA LÄN</t>
        </is>
      </c>
      <c r="E1198" t="inlineStr">
        <is>
          <t>UPPSALA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45223-2023</t>
        </is>
      </c>
      <c r="B1199" s="1" t="n">
        <v>45191</v>
      </c>
      <c r="C1199" s="1" t="n">
        <v>45719</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45489-2023</t>
        </is>
      </c>
      <c r="B1200" s="1" t="n">
        <v>45194</v>
      </c>
      <c r="C1200" s="1" t="n">
        <v>45719</v>
      </c>
      <c r="D1200" t="inlineStr">
        <is>
          <t>UPPSALA LÄN</t>
        </is>
      </c>
      <c r="E1200" t="inlineStr">
        <is>
          <t>UPPSALA</t>
        </is>
      </c>
      <c r="F1200" t="inlineStr">
        <is>
          <t>Allmännings- och besparingsskogar</t>
        </is>
      </c>
      <c r="G1200" t="n">
        <v>15.8</v>
      </c>
      <c r="H1200" t="n">
        <v>0</v>
      </c>
      <c r="I1200" t="n">
        <v>0</v>
      </c>
      <c r="J1200" t="n">
        <v>0</v>
      </c>
      <c r="K1200" t="n">
        <v>0</v>
      </c>
      <c r="L1200" t="n">
        <v>0</v>
      </c>
      <c r="M1200" t="n">
        <v>0</v>
      </c>
      <c r="N1200" t="n">
        <v>0</v>
      </c>
      <c r="O1200" t="n">
        <v>0</v>
      </c>
      <c r="P1200" t="n">
        <v>0</v>
      </c>
      <c r="Q1200" t="n">
        <v>0</v>
      </c>
      <c r="R1200" s="2" t="inlineStr"/>
    </row>
    <row r="1201" ht="15" customHeight="1">
      <c r="A1201" t="inlineStr">
        <is>
          <t>A 45575-2023</t>
        </is>
      </c>
      <c r="B1201" s="1" t="n">
        <v>45194</v>
      </c>
      <c r="C1201" s="1" t="n">
        <v>45719</v>
      </c>
      <c r="D1201" t="inlineStr">
        <is>
          <t>UPPSALA LÄN</t>
        </is>
      </c>
      <c r="E1201" t="inlineStr">
        <is>
          <t>UPPSALA</t>
        </is>
      </c>
      <c r="F1201" t="inlineStr">
        <is>
          <t>Bergvik skog öst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45578-2023</t>
        </is>
      </c>
      <c r="B1202" s="1" t="n">
        <v>45194</v>
      </c>
      <c r="C1202" s="1" t="n">
        <v>45719</v>
      </c>
      <c r="D1202" t="inlineStr">
        <is>
          <t>UPPSALA LÄN</t>
        </is>
      </c>
      <c r="E1202" t="inlineStr">
        <is>
          <t>UPPSALA</t>
        </is>
      </c>
      <c r="F1202" t="inlineStr">
        <is>
          <t>Bergvik skog öst AB</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45592-2023</t>
        </is>
      </c>
      <c r="B1203" s="1" t="n">
        <v>45194</v>
      </c>
      <c r="C1203" s="1" t="n">
        <v>45719</v>
      </c>
      <c r="D1203" t="inlineStr">
        <is>
          <t>UPPSALA LÄN</t>
        </is>
      </c>
      <c r="E1203" t="inlineStr">
        <is>
          <t>UPPSALA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45662-2023</t>
        </is>
      </c>
      <c r="B1204" s="1" t="n">
        <v>45194</v>
      </c>
      <c r="C1204" s="1" t="n">
        <v>45719</v>
      </c>
      <c r="D1204" t="inlineStr">
        <is>
          <t>UPPSALA LÄN</t>
        </is>
      </c>
      <c r="E1204" t="inlineStr">
        <is>
          <t>UPPSALA</t>
        </is>
      </c>
      <c r="F1204" t="inlineStr">
        <is>
          <t>Bergvik skog öst AB</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45661-2023</t>
        </is>
      </c>
      <c r="B1205" s="1" t="n">
        <v>45194</v>
      </c>
      <c r="C1205" s="1" t="n">
        <v>45719</v>
      </c>
      <c r="D1205" t="inlineStr">
        <is>
          <t>UPPSALA LÄN</t>
        </is>
      </c>
      <c r="E1205" t="inlineStr">
        <is>
          <t>UPPSALA</t>
        </is>
      </c>
      <c r="F1205" t="inlineStr">
        <is>
          <t>Bergvik skog öst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45892-2023</t>
        </is>
      </c>
      <c r="B1206" s="1" t="n">
        <v>45195</v>
      </c>
      <c r="C1206" s="1" t="n">
        <v>45719</v>
      </c>
      <c r="D1206" t="inlineStr">
        <is>
          <t>UPPSALA LÄN</t>
        </is>
      </c>
      <c r="E1206" t="inlineStr">
        <is>
          <t>UPPSALA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45885-2023</t>
        </is>
      </c>
      <c r="B1207" s="1" t="n">
        <v>45195</v>
      </c>
      <c r="C1207" s="1" t="n">
        <v>45719</v>
      </c>
      <c r="D1207" t="inlineStr">
        <is>
          <t>UPPSALA LÄN</t>
        </is>
      </c>
      <c r="E1207" t="inlineStr">
        <is>
          <t>UPPSALA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46335-2023</t>
        </is>
      </c>
      <c r="B1208" s="1" t="n">
        <v>45197</v>
      </c>
      <c r="C1208" s="1" t="n">
        <v>45719</v>
      </c>
      <c r="D1208" t="inlineStr">
        <is>
          <t>UPPSALA LÄN</t>
        </is>
      </c>
      <c r="E1208" t="inlineStr">
        <is>
          <t>UPPSALA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46869-2023</t>
        </is>
      </c>
      <c r="B1209" s="1" t="n">
        <v>45200</v>
      </c>
      <c r="C1209" s="1" t="n">
        <v>45719</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46995-2023</t>
        </is>
      </c>
      <c r="B1210" s="1" t="n">
        <v>45201</v>
      </c>
      <c r="C1210" s="1" t="n">
        <v>45719</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47083-2023</t>
        </is>
      </c>
      <c r="B1211" s="1" t="n">
        <v>45201</v>
      </c>
      <c r="C1211" s="1" t="n">
        <v>45719</v>
      </c>
      <c r="D1211" t="inlineStr">
        <is>
          <t>UPPSALA LÄN</t>
        </is>
      </c>
      <c r="E1211" t="inlineStr">
        <is>
          <t>UPPSALA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47221-2023</t>
        </is>
      </c>
      <c r="B1212" s="1" t="n">
        <v>45202</v>
      </c>
      <c r="C1212" s="1" t="n">
        <v>45719</v>
      </c>
      <c r="D1212" t="inlineStr">
        <is>
          <t>UPPSALA LÄN</t>
        </is>
      </c>
      <c r="E1212" t="inlineStr">
        <is>
          <t>UPPSALA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47314-2023</t>
        </is>
      </c>
      <c r="B1213" s="1" t="n">
        <v>45202</v>
      </c>
      <c r="C1213" s="1" t="n">
        <v>45719</v>
      </c>
      <c r="D1213" t="inlineStr">
        <is>
          <t>UPPSALA LÄN</t>
        </is>
      </c>
      <c r="E1213" t="inlineStr">
        <is>
          <t>UPPSALA</t>
        </is>
      </c>
      <c r="F1213" t="inlineStr">
        <is>
          <t>Bergvik skog öst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47287-2023</t>
        </is>
      </c>
      <c r="B1214" s="1" t="n">
        <v>45202</v>
      </c>
      <c r="C1214" s="1" t="n">
        <v>45719</v>
      </c>
      <c r="D1214" t="inlineStr">
        <is>
          <t>UPPSALA LÄN</t>
        </is>
      </c>
      <c r="E1214" t="inlineStr">
        <is>
          <t>UPPSALA</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47316-2023</t>
        </is>
      </c>
      <c r="B1215" s="1" t="n">
        <v>45202</v>
      </c>
      <c r="C1215" s="1" t="n">
        <v>45719</v>
      </c>
      <c r="D1215" t="inlineStr">
        <is>
          <t>UPPSALA LÄN</t>
        </is>
      </c>
      <c r="E1215" t="inlineStr">
        <is>
          <t>UPPSALA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47618-2023</t>
        </is>
      </c>
      <c r="B1216" s="1" t="n">
        <v>45203</v>
      </c>
      <c r="C1216" s="1" t="n">
        <v>45719</v>
      </c>
      <c r="D1216" t="inlineStr">
        <is>
          <t>UPPSALA LÄN</t>
        </is>
      </c>
      <c r="E1216" t="inlineStr">
        <is>
          <t>UPPSALA</t>
        </is>
      </c>
      <c r="F1216" t="inlineStr">
        <is>
          <t>Bergvik skog öst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48562-2023</t>
        </is>
      </c>
      <c r="B1217" s="1" t="n">
        <v>45208</v>
      </c>
      <c r="C1217" s="1" t="n">
        <v>45719</v>
      </c>
      <c r="D1217" t="inlineStr">
        <is>
          <t>UPPSALA LÄN</t>
        </is>
      </c>
      <c r="E1217" t="inlineStr">
        <is>
          <t>UPPSALA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48564-2023</t>
        </is>
      </c>
      <c r="B1218" s="1" t="n">
        <v>45208</v>
      </c>
      <c r="C1218" s="1" t="n">
        <v>45719</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48571-2023</t>
        </is>
      </c>
      <c r="B1219" s="1" t="n">
        <v>45208</v>
      </c>
      <c r="C1219" s="1" t="n">
        <v>45719</v>
      </c>
      <c r="D1219" t="inlineStr">
        <is>
          <t>UPPSALA LÄN</t>
        </is>
      </c>
      <c r="E1219" t="inlineStr">
        <is>
          <t>UPPSALA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48584-2023</t>
        </is>
      </c>
      <c r="B1220" s="1" t="n">
        <v>45208</v>
      </c>
      <c r="C1220" s="1" t="n">
        <v>45719</v>
      </c>
      <c r="D1220" t="inlineStr">
        <is>
          <t>UPPSALA LÄN</t>
        </is>
      </c>
      <c r="E1220" t="inlineStr">
        <is>
          <t>UPPSALA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49189-2023</t>
        </is>
      </c>
      <c r="B1221" s="1" t="n">
        <v>45210</v>
      </c>
      <c r="C1221" s="1" t="n">
        <v>45719</v>
      </c>
      <c r="D1221" t="inlineStr">
        <is>
          <t>UPPSALA LÄN</t>
        </is>
      </c>
      <c r="E1221" t="inlineStr">
        <is>
          <t>UPPSALA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49201-2023</t>
        </is>
      </c>
      <c r="B1222" s="1" t="n">
        <v>45210</v>
      </c>
      <c r="C1222" s="1" t="n">
        <v>45719</v>
      </c>
      <c r="D1222" t="inlineStr">
        <is>
          <t>UPPSALA LÄN</t>
        </is>
      </c>
      <c r="E1222" t="inlineStr">
        <is>
          <t>UPPSALA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49682-2023</t>
        </is>
      </c>
      <c r="B1223" s="1" t="n">
        <v>45212</v>
      </c>
      <c r="C1223" s="1" t="n">
        <v>45719</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49996-2023</t>
        </is>
      </c>
      <c r="B1224" s="1" t="n">
        <v>45215</v>
      </c>
      <c r="C1224" s="1" t="n">
        <v>45719</v>
      </c>
      <c r="D1224" t="inlineStr">
        <is>
          <t>UPPSALA LÄN</t>
        </is>
      </c>
      <c r="E1224" t="inlineStr">
        <is>
          <t>UPPSALA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50118-2023</t>
        </is>
      </c>
      <c r="B1225" s="1" t="n">
        <v>45215</v>
      </c>
      <c r="C1225" s="1" t="n">
        <v>45719</v>
      </c>
      <c r="D1225" t="inlineStr">
        <is>
          <t>UPPSALA LÄN</t>
        </is>
      </c>
      <c r="E1225" t="inlineStr">
        <is>
          <t>UPPSALA</t>
        </is>
      </c>
      <c r="G1225" t="n">
        <v>12.7</v>
      </c>
      <c r="H1225" t="n">
        <v>0</v>
      </c>
      <c r="I1225" t="n">
        <v>0</v>
      </c>
      <c r="J1225" t="n">
        <v>0</v>
      </c>
      <c r="K1225" t="n">
        <v>0</v>
      </c>
      <c r="L1225" t="n">
        <v>0</v>
      </c>
      <c r="M1225" t="n">
        <v>0</v>
      </c>
      <c r="N1225" t="n">
        <v>0</v>
      </c>
      <c r="O1225" t="n">
        <v>0</v>
      </c>
      <c r="P1225" t="n">
        <v>0</v>
      </c>
      <c r="Q1225" t="n">
        <v>0</v>
      </c>
      <c r="R1225" s="2" t="inlineStr"/>
    </row>
    <row r="1226" ht="15" customHeight="1">
      <c r="A1226" t="inlineStr">
        <is>
          <t>A 51843-2023</t>
        </is>
      </c>
      <c r="B1226" s="1" t="n">
        <v>45215</v>
      </c>
      <c r="C1226" s="1" t="n">
        <v>45719</v>
      </c>
      <c r="D1226" t="inlineStr">
        <is>
          <t>UPPSALA LÄN</t>
        </is>
      </c>
      <c r="E1226" t="inlineStr">
        <is>
          <t>UPPSALA</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50267-2023</t>
        </is>
      </c>
      <c r="B1227" s="1" t="n">
        <v>45216</v>
      </c>
      <c r="C1227" s="1" t="n">
        <v>45719</v>
      </c>
      <c r="D1227" t="inlineStr">
        <is>
          <t>UPPSALA LÄN</t>
        </is>
      </c>
      <c r="E1227" t="inlineStr">
        <is>
          <t>UPPSALA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50473-2023</t>
        </is>
      </c>
      <c r="B1228" s="1" t="n">
        <v>45216</v>
      </c>
      <c r="C1228" s="1" t="n">
        <v>45719</v>
      </c>
      <c r="D1228" t="inlineStr">
        <is>
          <t>UPPSALA LÄN</t>
        </is>
      </c>
      <c r="E1228" t="inlineStr">
        <is>
          <t>UPPSALA</t>
        </is>
      </c>
      <c r="F1228" t="inlineStr">
        <is>
          <t>Allmännings- och besparingsskogar</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50395-2023</t>
        </is>
      </c>
      <c r="B1229" s="1" t="n">
        <v>45216</v>
      </c>
      <c r="C1229" s="1" t="n">
        <v>45719</v>
      </c>
      <c r="D1229" t="inlineStr">
        <is>
          <t>UPPSALA LÄN</t>
        </is>
      </c>
      <c r="E1229" t="inlineStr">
        <is>
          <t>UPPSALA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51016-2023</t>
        </is>
      </c>
      <c r="B1230" s="1" t="n">
        <v>45218</v>
      </c>
      <c r="C1230" s="1" t="n">
        <v>45719</v>
      </c>
      <c r="D1230" t="inlineStr">
        <is>
          <t>UPPSALA LÄN</t>
        </is>
      </c>
      <c r="E1230" t="inlineStr">
        <is>
          <t>UPPSALA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51006-2023</t>
        </is>
      </c>
      <c r="B1231" s="1" t="n">
        <v>45218</v>
      </c>
      <c r="C1231" s="1" t="n">
        <v>45719</v>
      </c>
      <c r="D1231" t="inlineStr">
        <is>
          <t>UPPSALA LÄN</t>
        </is>
      </c>
      <c r="E1231" t="inlineStr">
        <is>
          <t>UPPSALA</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51542-2023</t>
        </is>
      </c>
      <c r="B1232" s="1" t="n">
        <v>45222</v>
      </c>
      <c r="C1232" s="1" t="n">
        <v>45719</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51734-2023</t>
        </is>
      </c>
      <c r="B1233" s="1" t="n">
        <v>45222</v>
      </c>
      <c r="C1233" s="1" t="n">
        <v>45719</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51731-2023</t>
        </is>
      </c>
      <c r="B1234" s="1" t="n">
        <v>45222</v>
      </c>
      <c r="C1234" s="1" t="n">
        <v>45719</v>
      </c>
      <c r="D1234" t="inlineStr">
        <is>
          <t>UPPSALA LÄN</t>
        </is>
      </c>
      <c r="E1234" t="inlineStr">
        <is>
          <t>UPPSALA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51576-2023</t>
        </is>
      </c>
      <c r="B1235" s="1" t="n">
        <v>45222</v>
      </c>
      <c r="C1235" s="1" t="n">
        <v>45719</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51697-2023</t>
        </is>
      </c>
      <c r="B1236" s="1" t="n">
        <v>45222</v>
      </c>
      <c r="C1236" s="1" t="n">
        <v>45719</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51935-2023</t>
        </is>
      </c>
      <c r="B1237" s="1" t="n">
        <v>45223</v>
      </c>
      <c r="C1237" s="1" t="n">
        <v>45719</v>
      </c>
      <c r="D1237" t="inlineStr">
        <is>
          <t>UPPSALA LÄN</t>
        </is>
      </c>
      <c r="E1237" t="inlineStr">
        <is>
          <t>UPPSALA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52273-2023</t>
        </is>
      </c>
      <c r="B1238" s="1" t="n">
        <v>45224</v>
      </c>
      <c r="C1238" s="1" t="n">
        <v>45719</v>
      </c>
      <c r="D1238" t="inlineStr">
        <is>
          <t>UPPSALA LÄN</t>
        </is>
      </c>
      <c r="E1238" t="inlineStr">
        <is>
          <t>UPPSALA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52492-2023</t>
        </is>
      </c>
      <c r="B1239" s="1" t="n">
        <v>45225</v>
      </c>
      <c r="C1239" s="1" t="n">
        <v>45719</v>
      </c>
      <c r="D1239" t="inlineStr">
        <is>
          <t>UPPSALA LÄN</t>
        </is>
      </c>
      <c r="E1239" t="inlineStr">
        <is>
          <t>UPPSALA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52503-2023</t>
        </is>
      </c>
      <c r="B1240" s="1" t="n">
        <v>45225</v>
      </c>
      <c r="C1240" s="1" t="n">
        <v>45719</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52518-2023</t>
        </is>
      </c>
      <c r="B1241" s="1" t="n">
        <v>45225</v>
      </c>
      <c r="C1241" s="1" t="n">
        <v>45719</v>
      </c>
      <c r="D1241" t="inlineStr">
        <is>
          <t>UPPSALA LÄN</t>
        </is>
      </c>
      <c r="E1241" t="inlineStr">
        <is>
          <t>UPPSALA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53893-2023</t>
        </is>
      </c>
      <c r="B1242" s="1" t="n">
        <v>45231</v>
      </c>
      <c r="C1242" s="1" t="n">
        <v>45719</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53919-2023</t>
        </is>
      </c>
      <c r="B1243" s="1" t="n">
        <v>45231</v>
      </c>
      <c r="C1243" s="1" t="n">
        <v>45719</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53982-2023</t>
        </is>
      </c>
      <c r="B1244" s="1" t="n">
        <v>45231</v>
      </c>
      <c r="C1244" s="1" t="n">
        <v>45719</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53882-2023</t>
        </is>
      </c>
      <c r="B1245" s="1" t="n">
        <v>45231</v>
      </c>
      <c r="C1245" s="1" t="n">
        <v>45719</v>
      </c>
      <c r="D1245" t="inlineStr">
        <is>
          <t>UPPSALA LÄN</t>
        </is>
      </c>
      <c r="E1245" t="inlineStr">
        <is>
          <t>UPPSALA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53900-2023</t>
        </is>
      </c>
      <c r="B1246" s="1" t="n">
        <v>45231</v>
      </c>
      <c r="C1246" s="1" t="n">
        <v>45719</v>
      </c>
      <c r="D1246" t="inlineStr">
        <is>
          <t>UPPSALA LÄN</t>
        </is>
      </c>
      <c r="E1246" t="inlineStr">
        <is>
          <t>UPPSALA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53963-2023</t>
        </is>
      </c>
      <c r="B1247" s="1" t="n">
        <v>45231</v>
      </c>
      <c r="C1247" s="1" t="n">
        <v>45719</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53967-2023</t>
        </is>
      </c>
      <c r="B1248" s="1" t="n">
        <v>45231</v>
      </c>
      <c r="C1248" s="1" t="n">
        <v>45719</v>
      </c>
      <c r="D1248" t="inlineStr">
        <is>
          <t>UPPSALA LÄN</t>
        </is>
      </c>
      <c r="E1248" t="inlineStr">
        <is>
          <t>UPPSALA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53803-2023</t>
        </is>
      </c>
      <c r="B1249" s="1" t="n">
        <v>45231</v>
      </c>
      <c r="C1249" s="1" t="n">
        <v>45719</v>
      </c>
      <c r="D1249" t="inlineStr">
        <is>
          <t>UPPSALA LÄN</t>
        </is>
      </c>
      <c r="E1249" t="inlineStr">
        <is>
          <t>UPPSALA</t>
        </is>
      </c>
      <c r="G1249" t="n">
        <v>17.6</v>
      </c>
      <c r="H1249" t="n">
        <v>0</v>
      </c>
      <c r="I1249" t="n">
        <v>0</v>
      </c>
      <c r="J1249" t="n">
        <v>0</v>
      </c>
      <c r="K1249" t="n">
        <v>0</v>
      </c>
      <c r="L1249" t="n">
        <v>0</v>
      </c>
      <c r="M1249" t="n">
        <v>0</v>
      </c>
      <c r="N1249" t="n">
        <v>0</v>
      </c>
      <c r="O1249" t="n">
        <v>0</v>
      </c>
      <c r="P1249" t="n">
        <v>0</v>
      </c>
      <c r="Q1249" t="n">
        <v>0</v>
      </c>
      <c r="R1249" s="2" t="inlineStr"/>
    </row>
    <row r="1250" ht="15" customHeight="1">
      <c r="A1250" t="inlineStr">
        <is>
          <t>A 53906-2023</t>
        </is>
      </c>
      <c r="B1250" s="1" t="n">
        <v>45231</v>
      </c>
      <c r="C1250" s="1" t="n">
        <v>45719</v>
      </c>
      <c r="D1250" t="inlineStr">
        <is>
          <t>UPPSALA LÄN</t>
        </is>
      </c>
      <c r="E1250" t="inlineStr">
        <is>
          <t>UPPSALA</t>
        </is>
      </c>
      <c r="G1250" t="n">
        <v>13.2</v>
      </c>
      <c r="H1250" t="n">
        <v>0</v>
      </c>
      <c r="I1250" t="n">
        <v>0</v>
      </c>
      <c r="J1250" t="n">
        <v>0</v>
      </c>
      <c r="K1250" t="n">
        <v>0</v>
      </c>
      <c r="L1250" t="n">
        <v>0</v>
      </c>
      <c r="M1250" t="n">
        <v>0</v>
      </c>
      <c r="N1250" t="n">
        <v>0</v>
      </c>
      <c r="O1250" t="n">
        <v>0</v>
      </c>
      <c r="P1250" t="n">
        <v>0</v>
      </c>
      <c r="Q1250" t="n">
        <v>0</v>
      </c>
      <c r="R1250" s="2" t="inlineStr"/>
    </row>
    <row r="1251" ht="15" customHeight="1">
      <c r="A1251" t="inlineStr">
        <is>
          <t>A 54231-2023</t>
        </is>
      </c>
      <c r="B1251" s="1" t="n">
        <v>45232</v>
      </c>
      <c r="C1251" s="1" t="n">
        <v>45719</v>
      </c>
      <c r="D1251" t="inlineStr">
        <is>
          <t>UPPSALA LÄN</t>
        </is>
      </c>
      <c r="E1251" t="inlineStr">
        <is>
          <t>UPPSALA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55529-2023</t>
        </is>
      </c>
      <c r="B1252" s="1" t="n">
        <v>45232</v>
      </c>
      <c r="C1252" s="1" t="n">
        <v>45719</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54375-2023</t>
        </is>
      </c>
      <c r="B1253" s="1" t="n">
        <v>45233</v>
      </c>
      <c r="C1253" s="1" t="n">
        <v>45719</v>
      </c>
      <c r="D1253" t="inlineStr">
        <is>
          <t>UPPSALA LÄN</t>
        </is>
      </c>
      <c r="E1253" t="inlineStr">
        <is>
          <t>UPPSALA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54474-2023</t>
        </is>
      </c>
      <c r="B1254" s="1" t="n">
        <v>45233</v>
      </c>
      <c r="C1254" s="1" t="n">
        <v>45719</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54461-2023</t>
        </is>
      </c>
      <c r="B1255" s="1" t="n">
        <v>45233</v>
      </c>
      <c r="C1255" s="1" t="n">
        <v>45719</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54808-2023</t>
        </is>
      </c>
      <c r="B1256" s="1" t="n">
        <v>45236</v>
      </c>
      <c r="C1256" s="1" t="n">
        <v>45719</v>
      </c>
      <c r="D1256" t="inlineStr">
        <is>
          <t>UPPSALA LÄN</t>
        </is>
      </c>
      <c r="E1256" t="inlineStr">
        <is>
          <t>UPPSALA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54704-2023</t>
        </is>
      </c>
      <c r="B1257" s="1" t="n">
        <v>45236</v>
      </c>
      <c r="C1257" s="1" t="n">
        <v>45719</v>
      </c>
      <c r="D1257" t="inlineStr">
        <is>
          <t>UPPSALA LÄN</t>
        </is>
      </c>
      <c r="E1257" t="inlineStr">
        <is>
          <t>UPPSALA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54783-2023</t>
        </is>
      </c>
      <c r="B1258" s="1" t="n">
        <v>45236</v>
      </c>
      <c r="C1258" s="1" t="n">
        <v>45719</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55598-2023</t>
        </is>
      </c>
      <c r="B1259" s="1" t="n">
        <v>45238</v>
      </c>
      <c r="C1259" s="1" t="n">
        <v>45719</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56084-2023</t>
        </is>
      </c>
      <c r="B1260" s="1" t="n">
        <v>45240</v>
      </c>
      <c r="C1260" s="1" t="n">
        <v>45719</v>
      </c>
      <c r="D1260" t="inlineStr">
        <is>
          <t>UPPSALA LÄN</t>
        </is>
      </c>
      <c r="E1260" t="inlineStr">
        <is>
          <t>UPPSALA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56082-2023</t>
        </is>
      </c>
      <c r="B1261" s="1" t="n">
        <v>45240</v>
      </c>
      <c r="C1261" s="1" t="n">
        <v>45719</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56105-2023</t>
        </is>
      </c>
      <c r="B1262" s="1" t="n">
        <v>45240</v>
      </c>
      <c r="C1262" s="1" t="n">
        <v>45719</v>
      </c>
      <c r="D1262" t="inlineStr">
        <is>
          <t>UPPSALA LÄN</t>
        </is>
      </c>
      <c r="E1262" t="inlineStr">
        <is>
          <t>UPPSALA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56077-2023</t>
        </is>
      </c>
      <c r="B1263" s="1" t="n">
        <v>45240</v>
      </c>
      <c r="C1263" s="1" t="n">
        <v>45719</v>
      </c>
      <c r="D1263" t="inlineStr">
        <is>
          <t>UPPSALA LÄN</t>
        </is>
      </c>
      <c r="E1263" t="inlineStr">
        <is>
          <t>UPPSALA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56278-2023</t>
        </is>
      </c>
      <c r="B1264" s="1" t="n">
        <v>45241</v>
      </c>
      <c r="C1264" s="1" t="n">
        <v>45719</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56642-2023</t>
        </is>
      </c>
      <c r="B1265" s="1" t="n">
        <v>45243</v>
      </c>
      <c r="C1265" s="1" t="n">
        <v>45719</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56852-2023</t>
        </is>
      </c>
      <c r="B1266" s="1" t="n">
        <v>45244</v>
      </c>
      <c r="C1266" s="1" t="n">
        <v>45719</v>
      </c>
      <c r="D1266" t="inlineStr">
        <is>
          <t>UPPSALA LÄN</t>
        </is>
      </c>
      <c r="E1266" t="inlineStr">
        <is>
          <t>UPPSALA</t>
        </is>
      </c>
      <c r="F1266" t="inlineStr">
        <is>
          <t>Holmen skog AB</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56872-2023</t>
        </is>
      </c>
      <c r="B1267" s="1" t="n">
        <v>45244</v>
      </c>
      <c r="C1267" s="1" t="n">
        <v>45719</v>
      </c>
      <c r="D1267" t="inlineStr">
        <is>
          <t>UPPSALA LÄN</t>
        </is>
      </c>
      <c r="E1267" t="inlineStr">
        <is>
          <t>UPPSALA</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57186-2023</t>
        </is>
      </c>
      <c r="B1268" s="1" t="n">
        <v>45245</v>
      </c>
      <c r="C1268" s="1" t="n">
        <v>45719</v>
      </c>
      <c r="D1268" t="inlineStr">
        <is>
          <t>UPPSALA LÄN</t>
        </is>
      </c>
      <c r="E1268" t="inlineStr">
        <is>
          <t>UPPSALA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57182-2023</t>
        </is>
      </c>
      <c r="B1269" s="1" t="n">
        <v>45245</v>
      </c>
      <c r="C1269" s="1" t="n">
        <v>45719</v>
      </c>
      <c r="D1269" t="inlineStr">
        <is>
          <t>UPPSALA LÄN</t>
        </is>
      </c>
      <c r="E1269" t="inlineStr">
        <is>
          <t>UPPSALA</t>
        </is>
      </c>
      <c r="F1269" t="inlineStr">
        <is>
          <t>Övriga Aktiebolag</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59240-2023</t>
        </is>
      </c>
      <c r="B1270" s="1" t="n">
        <v>45253</v>
      </c>
      <c r="C1270" s="1" t="n">
        <v>45719</v>
      </c>
      <c r="D1270" t="inlineStr">
        <is>
          <t>UPPSALA LÄN</t>
        </is>
      </c>
      <c r="E1270" t="inlineStr">
        <is>
          <t>UPPSALA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59511-2023</t>
        </is>
      </c>
      <c r="B1271" s="1" t="n">
        <v>45254</v>
      </c>
      <c r="C1271" s="1" t="n">
        <v>45719</v>
      </c>
      <c r="D1271" t="inlineStr">
        <is>
          <t>UPPSALA LÄN</t>
        </is>
      </c>
      <c r="E1271" t="inlineStr">
        <is>
          <t>UPPSALA</t>
        </is>
      </c>
      <c r="G1271" t="n">
        <v>14.6</v>
      </c>
      <c r="H1271" t="n">
        <v>0</v>
      </c>
      <c r="I1271" t="n">
        <v>0</v>
      </c>
      <c r="J1271" t="n">
        <v>0</v>
      </c>
      <c r="K1271" t="n">
        <v>0</v>
      </c>
      <c r="L1271" t="n">
        <v>0</v>
      </c>
      <c r="M1271" t="n">
        <v>0</v>
      </c>
      <c r="N1271" t="n">
        <v>0</v>
      </c>
      <c r="O1271" t="n">
        <v>0</v>
      </c>
      <c r="P1271" t="n">
        <v>0</v>
      </c>
      <c r="Q1271" t="n">
        <v>0</v>
      </c>
      <c r="R1271" s="2" t="inlineStr"/>
    </row>
    <row r="1272" ht="15" customHeight="1">
      <c r="A1272" t="inlineStr">
        <is>
          <t>A 59521-2023</t>
        </is>
      </c>
      <c r="B1272" s="1" t="n">
        <v>45254</v>
      </c>
      <c r="C1272" s="1" t="n">
        <v>45719</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59564-2023</t>
        </is>
      </c>
      <c r="B1273" s="1" t="n">
        <v>45254</v>
      </c>
      <c r="C1273" s="1" t="n">
        <v>45719</v>
      </c>
      <c r="D1273" t="inlineStr">
        <is>
          <t>UPPSALA LÄN</t>
        </is>
      </c>
      <c r="E1273" t="inlineStr">
        <is>
          <t>UPPSALA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59570-2023</t>
        </is>
      </c>
      <c r="B1274" s="1" t="n">
        <v>45254</v>
      </c>
      <c r="C1274" s="1" t="n">
        <v>45719</v>
      </c>
      <c r="D1274" t="inlineStr">
        <is>
          <t>UPPSALA LÄN</t>
        </is>
      </c>
      <c r="E1274" t="inlineStr">
        <is>
          <t>UPPSALA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59585-2023</t>
        </is>
      </c>
      <c r="B1275" s="1" t="n">
        <v>45254</v>
      </c>
      <c r="C1275" s="1" t="n">
        <v>45719</v>
      </c>
      <c r="D1275" t="inlineStr">
        <is>
          <t>UPPSALA LÄN</t>
        </is>
      </c>
      <c r="E1275" t="inlineStr">
        <is>
          <t>UPPSALA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59489-2023</t>
        </is>
      </c>
      <c r="B1276" s="1" t="n">
        <v>45254</v>
      </c>
      <c r="C1276" s="1" t="n">
        <v>45719</v>
      </c>
      <c r="D1276" t="inlineStr">
        <is>
          <t>UPPSALA LÄN</t>
        </is>
      </c>
      <c r="E1276" t="inlineStr">
        <is>
          <t>UPPSALA</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59856-2023</t>
        </is>
      </c>
      <c r="B1277" s="1" t="n">
        <v>45257</v>
      </c>
      <c r="C1277" s="1" t="n">
        <v>45719</v>
      </c>
      <c r="D1277" t="inlineStr">
        <is>
          <t>UPPSALA LÄN</t>
        </is>
      </c>
      <c r="E1277" t="inlineStr">
        <is>
          <t>UPPSALA</t>
        </is>
      </c>
      <c r="F1277" t="inlineStr">
        <is>
          <t>Allmännings- och besparingsskogar</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59810-2023</t>
        </is>
      </c>
      <c r="B1278" s="1" t="n">
        <v>45257</v>
      </c>
      <c r="C1278" s="1" t="n">
        <v>45719</v>
      </c>
      <c r="D1278" t="inlineStr">
        <is>
          <t>UPPSALA LÄN</t>
        </is>
      </c>
      <c r="E1278" t="inlineStr">
        <is>
          <t>UPPSALA</t>
        </is>
      </c>
      <c r="F1278" t="inlineStr">
        <is>
          <t>Allmännings- och besparingsskogar</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60444-2023</t>
        </is>
      </c>
      <c r="B1279" s="1" t="n">
        <v>45259</v>
      </c>
      <c r="C1279" s="1" t="n">
        <v>45719</v>
      </c>
      <c r="D1279" t="inlineStr">
        <is>
          <t>UPPSALA LÄN</t>
        </is>
      </c>
      <c r="E1279" t="inlineStr">
        <is>
          <t>UPPSALA</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60447-2023</t>
        </is>
      </c>
      <c r="B1280" s="1" t="n">
        <v>45259</v>
      </c>
      <c r="C1280" s="1" t="n">
        <v>45719</v>
      </c>
      <c r="D1280" t="inlineStr">
        <is>
          <t>UPPSALA LÄN</t>
        </is>
      </c>
      <c r="E1280" t="inlineStr">
        <is>
          <t>UPPSALA</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60714-2023</t>
        </is>
      </c>
      <c r="B1281" s="1" t="n">
        <v>45259</v>
      </c>
      <c r="C1281" s="1" t="n">
        <v>45719</v>
      </c>
      <c r="D1281" t="inlineStr">
        <is>
          <t>UPPSALA LÄN</t>
        </is>
      </c>
      <c r="E1281" t="inlineStr">
        <is>
          <t>UPPSALA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60814-2023</t>
        </is>
      </c>
      <c r="B1282" s="1" t="n">
        <v>45259</v>
      </c>
      <c r="C1282" s="1" t="n">
        <v>45719</v>
      </c>
      <c r="D1282" t="inlineStr">
        <is>
          <t>UPPSALA LÄN</t>
        </is>
      </c>
      <c r="E1282" t="inlineStr">
        <is>
          <t>UPPSALA</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60781-2023</t>
        </is>
      </c>
      <c r="B1283" s="1" t="n">
        <v>45259</v>
      </c>
      <c r="C1283" s="1" t="n">
        <v>45719</v>
      </c>
      <c r="D1283" t="inlineStr">
        <is>
          <t>UPPSALA LÄN</t>
        </is>
      </c>
      <c r="E1283" t="inlineStr">
        <is>
          <t>UPPSALA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61067-2023</t>
        </is>
      </c>
      <c r="B1284" s="1" t="n">
        <v>45259</v>
      </c>
      <c r="C1284" s="1" t="n">
        <v>45719</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60707-2023</t>
        </is>
      </c>
      <c r="B1285" s="1" t="n">
        <v>45260</v>
      </c>
      <c r="C1285" s="1" t="n">
        <v>45719</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61947-2023</t>
        </is>
      </c>
      <c r="B1286" s="1" t="n">
        <v>45266</v>
      </c>
      <c r="C1286" s="1" t="n">
        <v>45719</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62287-2023</t>
        </is>
      </c>
      <c r="B1287" s="1" t="n">
        <v>45267</v>
      </c>
      <c r="C1287" s="1" t="n">
        <v>45719</v>
      </c>
      <c r="D1287" t="inlineStr">
        <is>
          <t>UPPSALA LÄN</t>
        </is>
      </c>
      <c r="E1287" t="inlineStr">
        <is>
          <t>UPPSALA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62627-2023</t>
        </is>
      </c>
      <c r="B1288" s="1" t="n">
        <v>45268</v>
      </c>
      <c r="C1288" s="1" t="n">
        <v>45719</v>
      </c>
      <c r="D1288" t="inlineStr">
        <is>
          <t>UPPSALA LÄN</t>
        </is>
      </c>
      <c r="E1288" t="inlineStr">
        <is>
          <t>UPPSALA</t>
        </is>
      </c>
      <c r="G1288" t="n">
        <v>7.6</v>
      </c>
      <c r="H1288" t="n">
        <v>0</v>
      </c>
      <c r="I1288" t="n">
        <v>0</v>
      </c>
      <c r="J1288" t="n">
        <v>0</v>
      </c>
      <c r="K1288" t="n">
        <v>0</v>
      </c>
      <c r="L1288" t="n">
        <v>0</v>
      </c>
      <c r="M1288" t="n">
        <v>0</v>
      </c>
      <c r="N1288" t="n">
        <v>0</v>
      </c>
      <c r="O1288" t="n">
        <v>0</v>
      </c>
      <c r="P1288" t="n">
        <v>0</v>
      </c>
      <c r="Q1288" t="n">
        <v>0</v>
      </c>
      <c r="R1288" s="2" t="inlineStr"/>
      <c r="U1288">
        <f>HYPERLINK("https://klasma.github.io/Logging_0380/knärot/A 62627-2023 karta knärot.png", "A 62627-2023")</f>
        <v/>
      </c>
      <c r="V1288">
        <f>HYPERLINK("https://klasma.github.io/Logging_0380/klagomål/A 62627-2023 FSC-klagomål.docx", "A 62627-2023")</f>
        <v/>
      </c>
      <c r="W1288">
        <f>HYPERLINK("https://klasma.github.io/Logging_0380/klagomålsmail/A 62627-2023 FSC-klagomål mail.docx", "A 62627-2023")</f>
        <v/>
      </c>
      <c r="X1288">
        <f>HYPERLINK("https://klasma.github.io/Logging_0380/tillsyn/A 62627-2023 tillsynsbegäran.docx", "A 62627-2023")</f>
        <v/>
      </c>
      <c r="Y1288">
        <f>HYPERLINK("https://klasma.github.io/Logging_0380/tillsynsmail/A 62627-2023 tillsynsbegäran mail.docx", "A 62627-2023")</f>
        <v/>
      </c>
    </row>
    <row r="1289" ht="15" customHeight="1">
      <c r="A1289" t="inlineStr">
        <is>
          <t>A 62636-2023</t>
        </is>
      </c>
      <c r="B1289" s="1" t="n">
        <v>45268</v>
      </c>
      <c r="C1289" s="1" t="n">
        <v>45719</v>
      </c>
      <c r="D1289" t="inlineStr">
        <is>
          <t>UPPSALA LÄN</t>
        </is>
      </c>
      <c r="E1289" t="inlineStr">
        <is>
          <t>UPPSALA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62691-2023</t>
        </is>
      </c>
      <c r="B1290" s="1" t="n">
        <v>45268</v>
      </c>
      <c r="C1290" s="1" t="n">
        <v>45719</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62694-2023</t>
        </is>
      </c>
      <c r="B1291" s="1" t="n">
        <v>45268</v>
      </c>
      <c r="C1291" s="1" t="n">
        <v>45719</v>
      </c>
      <c r="D1291" t="inlineStr">
        <is>
          <t>UPPSALA LÄN</t>
        </is>
      </c>
      <c r="E1291" t="inlineStr">
        <is>
          <t>UPPSALA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62714-2023</t>
        </is>
      </c>
      <c r="B1292" s="1" t="n">
        <v>45271</v>
      </c>
      <c r="C1292" s="1" t="n">
        <v>45719</v>
      </c>
      <c r="D1292" t="inlineStr">
        <is>
          <t>UPPSALA LÄN</t>
        </is>
      </c>
      <c r="E1292" t="inlineStr">
        <is>
          <t>UPPSALA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63163-2023</t>
        </is>
      </c>
      <c r="B1293" s="1" t="n">
        <v>45273</v>
      </c>
      <c r="C1293" s="1" t="n">
        <v>45719</v>
      </c>
      <c r="D1293" t="inlineStr">
        <is>
          <t>UPPSALA LÄN</t>
        </is>
      </c>
      <c r="E1293" t="inlineStr">
        <is>
          <t>UPPSALA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63578-2023</t>
        </is>
      </c>
      <c r="B1294" s="1" t="n">
        <v>45275</v>
      </c>
      <c r="C1294" s="1" t="n">
        <v>45719</v>
      </c>
      <c r="D1294" t="inlineStr">
        <is>
          <t>UPPSALA LÄN</t>
        </is>
      </c>
      <c r="E1294" t="inlineStr">
        <is>
          <t>UPPSALA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63579-2023</t>
        </is>
      </c>
      <c r="B1295" s="1" t="n">
        <v>45275</v>
      </c>
      <c r="C1295" s="1" t="n">
        <v>45719</v>
      </c>
      <c r="D1295" t="inlineStr">
        <is>
          <t>UPPSALA LÄN</t>
        </is>
      </c>
      <c r="E1295" t="inlineStr">
        <is>
          <t>UPPSALA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63576-2023</t>
        </is>
      </c>
      <c r="B1296" s="1" t="n">
        <v>45275</v>
      </c>
      <c r="C1296" s="1" t="n">
        <v>45719</v>
      </c>
      <c r="D1296" t="inlineStr">
        <is>
          <t>UPPSALA LÄN</t>
        </is>
      </c>
      <c r="E1296" t="inlineStr">
        <is>
          <t>UPPSALA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63588-2023</t>
        </is>
      </c>
      <c r="B1297" s="1" t="n">
        <v>45275</v>
      </c>
      <c r="C1297" s="1" t="n">
        <v>45719</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63698-2023</t>
        </is>
      </c>
      <c r="B1298" s="1" t="n">
        <v>45275</v>
      </c>
      <c r="C1298" s="1" t="n">
        <v>45719</v>
      </c>
      <c r="D1298" t="inlineStr">
        <is>
          <t>UPPSALA LÄN</t>
        </is>
      </c>
      <c r="E1298" t="inlineStr">
        <is>
          <t>UPPSALA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64079-2023</t>
        </is>
      </c>
      <c r="B1299" s="1" t="n">
        <v>45279</v>
      </c>
      <c r="C1299" s="1" t="n">
        <v>45719</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64806-2023</t>
        </is>
      </c>
      <c r="B1300" s="1" t="n">
        <v>45282</v>
      </c>
      <c r="C1300" s="1" t="n">
        <v>45719</v>
      </c>
      <c r="D1300" t="inlineStr">
        <is>
          <t>UPPSALA LÄN</t>
        </is>
      </c>
      <c r="E1300" t="inlineStr">
        <is>
          <t>UPPSALA</t>
        </is>
      </c>
      <c r="F1300" t="inlineStr">
        <is>
          <t>Kyrkan</t>
        </is>
      </c>
      <c r="G1300" t="n">
        <v>19.3</v>
      </c>
      <c r="H1300" t="n">
        <v>0</v>
      </c>
      <c r="I1300" t="n">
        <v>0</v>
      </c>
      <c r="J1300" t="n">
        <v>0</v>
      </c>
      <c r="K1300" t="n">
        <v>0</v>
      </c>
      <c r="L1300" t="n">
        <v>0</v>
      </c>
      <c r="M1300" t="n">
        <v>0</v>
      </c>
      <c r="N1300" t="n">
        <v>0</v>
      </c>
      <c r="O1300" t="n">
        <v>0</v>
      </c>
      <c r="P1300" t="n">
        <v>0</v>
      </c>
      <c r="Q1300" t="n">
        <v>0</v>
      </c>
      <c r="R1300" s="2" t="inlineStr"/>
    </row>
    <row r="1301" ht="15" customHeight="1">
      <c r="A1301" t="inlineStr">
        <is>
          <t>A 64880-2023</t>
        </is>
      </c>
      <c r="B1301" s="1" t="n">
        <v>45282</v>
      </c>
      <c r="C1301" s="1" t="n">
        <v>45719</v>
      </c>
      <c r="D1301" t="inlineStr">
        <is>
          <t>UPPSALA LÄN</t>
        </is>
      </c>
      <c r="E1301" t="inlineStr">
        <is>
          <t>UPPSALA</t>
        </is>
      </c>
      <c r="F1301" t="inlineStr">
        <is>
          <t>Kommuner</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65149-2023</t>
        </is>
      </c>
      <c r="B1302" s="1" t="n">
        <v>45288</v>
      </c>
      <c r="C1302" s="1" t="n">
        <v>45719</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45-2024</t>
        </is>
      </c>
      <c r="B1303" s="1" t="n">
        <v>45293</v>
      </c>
      <c r="C1303" s="1" t="n">
        <v>45719</v>
      </c>
      <c r="D1303" t="inlineStr">
        <is>
          <t>UPPSALA LÄN</t>
        </is>
      </c>
      <c r="E1303" t="inlineStr">
        <is>
          <t>UPPSALA</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43-2024</t>
        </is>
      </c>
      <c r="B1304" s="1" t="n">
        <v>45293</v>
      </c>
      <c r="C1304" s="1" t="n">
        <v>45719</v>
      </c>
      <c r="D1304" t="inlineStr">
        <is>
          <t>UPPSALA LÄN</t>
        </is>
      </c>
      <c r="E1304" t="inlineStr">
        <is>
          <t>UPPSALA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179-2024</t>
        </is>
      </c>
      <c r="B1305" s="1" t="n">
        <v>45294</v>
      </c>
      <c r="C1305" s="1" t="n">
        <v>45719</v>
      </c>
      <c r="D1305" t="inlineStr">
        <is>
          <t>UPPSALA LÄN</t>
        </is>
      </c>
      <c r="E1305" t="inlineStr">
        <is>
          <t>UPPSALA</t>
        </is>
      </c>
      <c r="F1305" t="inlineStr">
        <is>
          <t>Bergvik skog öst AB</t>
        </is>
      </c>
      <c r="G1305" t="n">
        <v>12.7</v>
      </c>
      <c r="H1305" t="n">
        <v>0</v>
      </c>
      <c r="I1305" t="n">
        <v>0</v>
      </c>
      <c r="J1305" t="n">
        <v>0</v>
      </c>
      <c r="K1305" t="n">
        <v>0</v>
      </c>
      <c r="L1305" t="n">
        <v>0</v>
      </c>
      <c r="M1305" t="n">
        <v>0</v>
      </c>
      <c r="N1305" t="n">
        <v>0</v>
      </c>
      <c r="O1305" t="n">
        <v>0</v>
      </c>
      <c r="P1305" t="n">
        <v>0</v>
      </c>
      <c r="Q1305" t="n">
        <v>0</v>
      </c>
      <c r="R1305" s="2" t="inlineStr"/>
    </row>
    <row r="1306" ht="15" customHeight="1">
      <c r="A1306" t="inlineStr">
        <is>
          <t>A 341-2024</t>
        </is>
      </c>
      <c r="B1306" s="1" t="n">
        <v>45295</v>
      </c>
      <c r="C1306" s="1" t="n">
        <v>45719</v>
      </c>
      <c r="D1306" t="inlineStr">
        <is>
          <t>UPPSALA LÄN</t>
        </is>
      </c>
      <c r="E1306" t="inlineStr">
        <is>
          <t>UPPSALA</t>
        </is>
      </c>
      <c r="F1306" t="inlineStr">
        <is>
          <t>Allmännings- och besparingsskogar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358-2024</t>
        </is>
      </c>
      <c r="B1307" s="1" t="n">
        <v>45295</v>
      </c>
      <c r="C1307" s="1" t="n">
        <v>45719</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446-2024</t>
        </is>
      </c>
      <c r="B1308" s="1" t="n">
        <v>45296</v>
      </c>
      <c r="C1308" s="1" t="n">
        <v>45719</v>
      </c>
      <c r="D1308" t="inlineStr">
        <is>
          <t>UPPSALA LÄN</t>
        </is>
      </c>
      <c r="E1308" t="inlineStr">
        <is>
          <t>UPPSALA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449-2024</t>
        </is>
      </c>
      <c r="B1309" s="1" t="n">
        <v>45296</v>
      </c>
      <c r="C1309" s="1" t="n">
        <v>45719</v>
      </c>
      <c r="D1309" t="inlineStr">
        <is>
          <t>UPPSALA LÄN</t>
        </is>
      </c>
      <c r="E1309" t="inlineStr">
        <is>
          <t>UPPSALA</t>
        </is>
      </c>
      <c r="G1309" t="n">
        <v>1</v>
      </c>
      <c r="H1309" t="n">
        <v>0</v>
      </c>
      <c r="I1309" t="n">
        <v>0</v>
      </c>
      <c r="J1309" t="n">
        <v>0</v>
      </c>
      <c r="K1309" t="n">
        <v>0</v>
      </c>
      <c r="L1309" t="n">
        <v>0</v>
      </c>
      <c r="M1309" t="n">
        <v>0</v>
      </c>
      <c r="N1309" t="n">
        <v>0</v>
      </c>
      <c r="O1309" t="n">
        <v>0</v>
      </c>
      <c r="P1309" t="n">
        <v>0</v>
      </c>
      <c r="Q1309" t="n">
        <v>0</v>
      </c>
      <c r="R1309" s="2" t="inlineStr"/>
      <c r="U1309">
        <f>HYPERLINK("https://klasma.github.io/Logging_0380/knärot/A 449-2024 karta knärot.png", "A 449-2024")</f>
        <v/>
      </c>
      <c r="V1309">
        <f>HYPERLINK("https://klasma.github.io/Logging_0380/klagomål/A 449-2024 FSC-klagomål.docx", "A 449-2024")</f>
        <v/>
      </c>
      <c r="W1309">
        <f>HYPERLINK("https://klasma.github.io/Logging_0380/klagomålsmail/A 449-2024 FSC-klagomål mail.docx", "A 449-2024")</f>
        <v/>
      </c>
      <c r="X1309">
        <f>HYPERLINK("https://klasma.github.io/Logging_0380/tillsyn/A 449-2024 tillsynsbegäran.docx", "A 449-2024")</f>
        <v/>
      </c>
      <c r="Y1309">
        <f>HYPERLINK("https://klasma.github.io/Logging_0380/tillsynsmail/A 449-2024 tillsynsbegäran mail.docx", "A 449-2024")</f>
        <v/>
      </c>
    </row>
    <row r="1310" ht="15" customHeight="1">
      <c r="A1310" t="inlineStr">
        <is>
          <t>A 600-2024</t>
        </is>
      </c>
      <c r="B1310" s="1" t="n">
        <v>45299</v>
      </c>
      <c r="C1310" s="1" t="n">
        <v>45719</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787-2024</t>
        </is>
      </c>
      <c r="B1311" s="1" t="n">
        <v>45300</v>
      </c>
      <c r="C1311" s="1" t="n">
        <v>45719</v>
      </c>
      <c r="D1311" t="inlineStr">
        <is>
          <t>UPPSALA LÄN</t>
        </is>
      </c>
      <c r="E1311" t="inlineStr">
        <is>
          <t>UPPSALA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784-2024</t>
        </is>
      </c>
      <c r="B1312" s="1" t="n">
        <v>45300</v>
      </c>
      <c r="C1312" s="1" t="n">
        <v>45719</v>
      </c>
      <c r="D1312" t="inlineStr">
        <is>
          <t>UPPSALA LÄN</t>
        </is>
      </c>
      <c r="E1312" t="inlineStr">
        <is>
          <t>UPPSALA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781-2024</t>
        </is>
      </c>
      <c r="B1313" s="1" t="n">
        <v>45300</v>
      </c>
      <c r="C1313" s="1" t="n">
        <v>45719</v>
      </c>
      <c r="D1313" t="inlineStr">
        <is>
          <t>UPPSALA LÄN</t>
        </is>
      </c>
      <c r="E1313" t="inlineStr">
        <is>
          <t>UPPSALA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1825-2024</t>
        </is>
      </c>
      <c r="B1314" s="1" t="n">
        <v>45307</v>
      </c>
      <c r="C1314" s="1" t="n">
        <v>45719</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1806-2024</t>
        </is>
      </c>
      <c r="B1315" s="1" t="n">
        <v>45307</v>
      </c>
      <c r="C1315" s="1" t="n">
        <v>45719</v>
      </c>
      <c r="D1315" t="inlineStr">
        <is>
          <t>UPPSALA LÄN</t>
        </is>
      </c>
      <c r="E1315" t="inlineStr">
        <is>
          <t>UPPSALA</t>
        </is>
      </c>
      <c r="F1315" t="inlineStr">
        <is>
          <t>Holmen skog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1838-2024</t>
        </is>
      </c>
      <c r="B1316" s="1" t="n">
        <v>45307</v>
      </c>
      <c r="C1316" s="1" t="n">
        <v>45719</v>
      </c>
      <c r="D1316" t="inlineStr">
        <is>
          <t>UPPSALA LÄN</t>
        </is>
      </c>
      <c r="E1316" t="inlineStr">
        <is>
          <t>UPPSALA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1994-2024</t>
        </is>
      </c>
      <c r="B1317" s="1" t="n">
        <v>45308</v>
      </c>
      <c r="C1317" s="1" t="n">
        <v>45719</v>
      </c>
      <c r="D1317" t="inlineStr">
        <is>
          <t>UPPSALA LÄN</t>
        </is>
      </c>
      <c r="E1317" t="inlineStr">
        <is>
          <t>UPPSALA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2294-2024</t>
        </is>
      </c>
      <c r="B1318" s="1" t="n">
        <v>45310</v>
      </c>
      <c r="C1318" s="1" t="n">
        <v>45719</v>
      </c>
      <c r="D1318" t="inlineStr">
        <is>
          <t>UPPSALA LÄN</t>
        </is>
      </c>
      <c r="E1318" t="inlineStr">
        <is>
          <t>UPPSALA</t>
        </is>
      </c>
      <c r="F1318" t="inlineStr">
        <is>
          <t>Allmännings- och besparingsskogar</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2327-2024</t>
        </is>
      </c>
      <c r="B1319" s="1" t="n">
        <v>45310</v>
      </c>
      <c r="C1319" s="1" t="n">
        <v>45719</v>
      </c>
      <c r="D1319" t="inlineStr">
        <is>
          <t>UPPSALA LÄN</t>
        </is>
      </c>
      <c r="E1319" t="inlineStr">
        <is>
          <t>UPPSALA</t>
        </is>
      </c>
      <c r="F1319" t="inlineStr">
        <is>
          <t>Kyrkan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2339-2024</t>
        </is>
      </c>
      <c r="B1320" s="1" t="n">
        <v>45310</v>
      </c>
      <c r="C1320" s="1" t="n">
        <v>45719</v>
      </c>
      <c r="D1320" t="inlineStr">
        <is>
          <t>UPPSALA LÄN</t>
        </is>
      </c>
      <c r="E1320" t="inlineStr">
        <is>
          <t>UPPSALA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2357-2024</t>
        </is>
      </c>
      <c r="B1321" s="1" t="n">
        <v>45310</v>
      </c>
      <c r="C1321" s="1" t="n">
        <v>45719</v>
      </c>
      <c r="D1321" t="inlineStr">
        <is>
          <t>UPPSALA LÄN</t>
        </is>
      </c>
      <c r="E1321" t="inlineStr">
        <is>
          <t>UPPSALA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2740-2024</t>
        </is>
      </c>
      <c r="B1322" s="1" t="n">
        <v>45314</v>
      </c>
      <c r="C1322" s="1" t="n">
        <v>45719</v>
      </c>
      <c r="D1322" t="inlineStr">
        <is>
          <t>UPPSALA LÄN</t>
        </is>
      </c>
      <c r="E1322" t="inlineStr">
        <is>
          <t>UPPSALA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2735-2024</t>
        </is>
      </c>
      <c r="B1323" s="1" t="n">
        <v>45314</v>
      </c>
      <c r="C1323" s="1" t="n">
        <v>45719</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2769-2024</t>
        </is>
      </c>
      <c r="B1324" s="1" t="n">
        <v>45314</v>
      </c>
      <c r="C1324" s="1" t="n">
        <v>45719</v>
      </c>
      <c r="D1324" t="inlineStr">
        <is>
          <t>UPPSALA LÄN</t>
        </is>
      </c>
      <c r="E1324" t="inlineStr">
        <is>
          <t>UPPSALA</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2785-2024</t>
        </is>
      </c>
      <c r="B1325" s="1" t="n">
        <v>45314</v>
      </c>
      <c r="C1325" s="1" t="n">
        <v>45719</v>
      </c>
      <c r="D1325" t="inlineStr">
        <is>
          <t>UPPSALA LÄN</t>
        </is>
      </c>
      <c r="E1325" t="inlineStr">
        <is>
          <t>UPPSALA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3175-2024</t>
        </is>
      </c>
      <c r="B1326" s="1" t="n">
        <v>45316</v>
      </c>
      <c r="C1326" s="1" t="n">
        <v>45719</v>
      </c>
      <c r="D1326" t="inlineStr">
        <is>
          <t>UPPSALA LÄN</t>
        </is>
      </c>
      <c r="E1326" t="inlineStr">
        <is>
          <t>UPPSALA</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3183-2024</t>
        </is>
      </c>
      <c r="B1327" s="1" t="n">
        <v>45316</v>
      </c>
      <c r="C1327" s="1" t="n">
        <v>45719</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3261-2024</t>
        </is>
      </c>
      <c r="B1328" s="1" t="n">
        <v>45317</v>
      </c>
      <c r="C1328" s="1" t="n">
        <v>45719</v>
      </c>
      <c r="D1328" t="inlineStr">
        <is>
          <t>UPPSALA LÄN</t>
        </is>
      </c>
      <c r="E1328" t="inlineStr">
        <is>
          <t>UPPSALA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3260-2024</t>
        </is>
      </c>
      <c r="B1329" s="1" t="n">
        <v>45317</v>
      </c>
      <c r="C1329" s="1" t="n">
        <v>45719</v>
      </c>
      <c r="D1329" t="inlineStr">
        <is>
          <t>UPPSALA LÄN</t>
        </is>
      </c>
      <c r="E1329" t="inlineStr">
        <is>
          <t>UPPSALA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3813-2024</t>
        </is>
      </c>
      <c r="B1330" s="1" t="n">
        <v>45321</v>
      </c>
      <c r="C1330" s="1" t="n">
        <v>45719</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4065-2024</t>
        </is>
      </c>
      <c r="B1331" s="1" t="n">
        <v>45323</v>
      </c>
      <c r="C1331" s="1" t="n">
        <v>45719</v>
      </c>
      <c r="D1331" t="inlineStr">
        <is>
          <t>UPPSALA LÄN</t>
        </is>
      </c>
      <c r="E1331" t="inlineStr">
        <is>
          <t>UPPSALA</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4216-2024</t>
        </is>
      </c>
      <c r="B1332" s="1" t="n">
        <v>45324</v>
      </c>
      <c r="C1332" s="1" t="n">
        <v>45719</v>
      </c>
      <c r="D1332" t="inlineStr">
        <is>
          <t>UPPSALA LÄN</t>
        </is>
      </c>
      <c r="E1332" t="inlineStr">
        <is>
          <t>UPPSALA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4412-2024</t>
        </is>
      </c>
      <c r="B1333" s="1" t="n">
        <v>45327</v>
      </c>
      <c r="C1333" s="1" t="n">
        <v>45719</v>
      </c>
      <c r="D1333" t="inlineStr">
        <is>
          <t>UPPSALA LÄN</t>
        </is>
      </c>
      <c r="E1333" t="inlineStr">
        <is>
          <t>UPPSALA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4425-2024</t>
        </is>
      </c>
      <c r="B1334" s="1" t="n">
        <v>45327</v>
      </c>
      <c r="C1334" s="1" t="n">
        <v>45719</v>
      </c>
      <c r="D1334" t="inlineStr">
        <is>
          <t>UPPSALA LÄN</t>
        </is>
      </c>
      <c r="E1334" t="inlineStr">
        <is>
          <t>UPPSALA</t>
        </is>
      </c>
      <c r="F1334" t="inlineStr">
        <is>
          <t>Allmännings- och besparingsskogar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4461-2024</t>
        </is>
      </c>
      <c r="B1335" s="1" t="n">
        <v>45327</v>
      </c>
      <c r="C1335" s="1" t="n">
        <v>45719</v>
      </c>
      <c r="D1335" t="inlineStr">
        <is>
          <t>UPPSALA LÄN</t>
        </is>
      </c>
      <c r="E1335" t="inlineStr">
        <is>
          <t>UPPSALA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4503-2024</t>
        </is>
      </c>
      <c r="B1336" s="1" t="n">
        <v>45327</v>
      </c>
      <c r="C1336" s="1" t="n">
        <v>45719</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4509-2024</t>
        </is>
      </c>
      <c r="B1337" s="1" t="n">
        <v>45327</v>
      </c>
      <c r="C1337" s="1" t="n">
        <v>45719</v>
      </c>
      <c r="D1337" t="inlineStr">
        <is>
          <t>UPPSALA LÄN</t>
        </is>
      </c>
      <c r="E1337" t="inlineStr">
        <is>
          <t>UPPSALA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4980-2024</t>
        </is>
      </c>
      <c r="B1338" s="1" t="n">
        <v>45329</v>
      </c>
      <c r="C1338" s="1" t="n">
        <v>45719</v>
      </c>
      <c r="D1338" t="inlineStr">
        <is>
          <t>UPPSALA LÄN</t>
        </is>
      </c>
      <c r="E1338" t="inlineStr">
        <is>
          <t>UPPSALA</t>
        </is>
      </c>
      <c r="G1338" t="n">
        <v>10.8</v>
      </c>
      <c r="H1338" t="n">
        <v>0</v>
      </c>
      <c r="I1338" t="n">
        <v>0</v>
      </c>
      <c r="J1338" t="n">
        <v>0</v>
      </c>
      <c r="K1338" t="n">
        <v>0</v>
      </c>
      <c r="L1338" t="n">
        <v>0</v>
      </c>
      <c r="M1338" t="n">
        <v>0</v>
      </c>
      <c r="N1338" t="n">
        <v>0</v>
      </c>
      <c r="O1338" t="n">
        <v>0</v>
      </c>
      <c r="P1338" t="n">
        <v>0</v>
      </c>
      <c r="Q1338" t="n">
        <v>0</v>
      </c>
      <c r="R1338" s="2" t="inlineStr"/>
    </row>
    <row r="1339" ht="15" customHeight="1">
      <c r="A1339" t="inlineStr">
        <is>
          <t>A 5475-2024</t>
        </is>
      </c>
      <c r="B1339" s="1" t="n">
        <v>45333</v>
      </c>
      <c r="C1339" s="1" t="n">
        <v>45719</v>
      </c>
      <c r="D1339" t="inlineStr">
        <is>
          <t>UPPSALA LÄN</t>
        </is>
      </c>
      <c r="E1339" t="inlineStr">
        <is>
          <t>UPPSALA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5848-2024</t>
        </is>
      </c>
      <c r="B1340" s="1" t="n">
        <v>45335</v>
      </c>
      <c r="C1340" s="1" t="n">
        <v>45719</v>
      </c>
      <c r="D1340" t="inlineStr">
        <is>
          <t>UPPSALA LÄN</t>
        </is>
      </c>
      <c r="E1340" t="inlineStr">
        <is>
          <t>UPPSALA</t>
        </is>
      </c>
      <c r="F1340" t="inlineStr">
        <is>
          <t>Kyrkan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5899-2024</t>
        </is>
      </c>
      <c r="B1341" s="1" t="n">
        <v>45335</v>
      </c>
      <c r="C1341" s="1" t="n">
        <v>45719</v>
      </c>
      <c r="D1341" t="inlineStr">
        <is>
          <t>UPPSALA LÄN</t>
        </is>
      </c>
      <c r="E1341" t="inlineStr">
        <is>
          <t>UPPSALA</t>
        </is>
      </c>
      <c r="F1341" t="inlineStr">
        <is>
          <t>Allmännings- och besparingsskogar</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5876-2024</t>
        </is>
      </c>
      <c r="B1342" s="1" t="n">
        <v>45335</v>
      </c>
      <c r="C1342" s="1" t="n">
        <v>45719</v>
      </c>
      <c r="D1342" t="inlineStr">
        <is>
          <t>UPPSALA LÄN</t>
        </is>
      </c>
      <c r="E1342" t="inlineStr">
        <is>
          <t>UPPSALA</t>
        </is>
      </c>
      <c r="F1342" t="inlineStr">
        <is>
          <t>Kyrkan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5896-2024</t>
        </is>
      </c>
      <c r="B1343" s="1" t="n">
        <v>45335</v>
      </c>
      <c r="C1343" s="1" t="n">
        <v>45719</v>
      </c>
      <c r="D1343" t="inlineStr">
        <is>
          <t>UPPSALA LÄN</t>
        </is>
      </c>
      <c r="E1343" t="inlineStr">
        <is>
          <t>UPPSALA</t>
        </is>
      </c>
      <c r="F1343" t="inlineStr">
        <is>
          <t>Allmännings- och besparingsskogar</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5974-2024</t>
        </is>
      </c>
      <c r="B1344" s="1" t="n">
        <v>45336</v>
      </c>
      <c r="C1344" s="1" t="n">
        <v>45719</v>
      </c>
      <c r="D1344" t="inlineStr">
        <is>
          <t>UPPSALA LÄN</t>
        </is>
      </c>
      <c r="E1344" t="inlineStr">
        <is>
          <t>UPPSALA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5975-2024</t>
        </is>
      </c>
      <c r="B1345" s="1" t="n">
        <v>45336</v>
      </c>
      <c r="C1345" s="1" t="n">
        <v>45719</v>
      </c>
      <c r="D1345" t="inlineStr">
        <is>
          <t>UPPSALA LÄN</t>
        </is>
      </c>
      <c r="E1345" t="inlineStr">
        <is>
          <t>UPPSALA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6024-2024</t>
        </is>
      </c>
      <c r="B1346" s="1" t="n">
        <v>45336</v>
      </c>
      <c r="C1346" s="1" t="n">
        <v>45719</v>
      </c>
      <c r="D1346" t="inlineStr">
        <is>
          <t>UPPSALA LÄN</t>
        </is>
      </c>
      <c r="E1346" t="inlineStr">
        <is>
          <t>UPPSALA</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6199-2024</t>
        </is>
      </c>
      <c r="B1347" s="1" t="n">
        <v>45337</v>
      </c>
      <c r="C1347" s="1" t="n">
        <v>45719</v>
      </c>
      <c r="D1347" t="inlineStr">
        <is>
          <t>UPPSALA LÄN</t>
        </is>
      </c>
      <c r="E1347" t="inlineStr">
        <is>
          <t>UPPSALA</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6211-2024</t>
        </is>
      </c>
      <c r="B1348" s="1" t="n">
        <v>45337</v>
      </c>
      <c r="C1348" s="1" t="n">
        <v>45719</v>
      </c>
      <c r="D1348" t="inlineStr">
        <is>
          <t>UPPSALA LÄN</t>
        </is>
      </c>
      <c r="E1348" t="inlineStr">
        <is>
          <t>UPPSALA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6098-2024</t>
        </is>
      </c>
      <c r="B1349" s="1" t="n">
        <v>45337</v>
      </c>
      <c r="C1349" s="1" t="n">
        <v>45719</v>
      </c>
      <c r="D1349" t="inlineStr">
        <is>
          <t>UPPSALA LÄN</t>
        </is>
      </c>
      <c r="E1349" t="inlineStr">
        <is>
          <t>UPPSALA</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6363-2024</t>
        </is>
      </c>
      <c r="B1350" s="1" t="n">
        <v>45338</v>
      </c>
      <c r="C1350" s="1" t="n">
        <v>45719</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6501-2024</t>
        </is>
      </c>
      <c r="B1351" s="1" t="n">
        <v>45339</v>
      </c>
      <c r="C1351" s="1" t="n">
        <v>45719</v>
      </c>
      <c r="D1351" t="inlineStr">
        <is>
          <t>UPPSALA LÄN</t>
        </is>
      </c>
      <c r="E1351" t="inlineStr">
        <is>
          <t>UPPSALA</t>
        </is>
      </c>
      <c r="F1351" t="inlineStr">
        <is>
          <t>Bergvik skog öst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6506-2024</t>
        </is>
      </c>
      <c r="B1352" s="1" t="n">
        <v>45339</v>
      </c>
      <c r="C1352" s="1" t="n">
        <v>45719</v>
      </c>
      <c r="D1352" t="inlineStr">
        <is>
          <t>UPPSALA LÄN</t>
        </is>
      </c>
      <c r="E1352" t="inlineStr">
        <is>
          <t>UPPSALA</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6505-2024</t>
        </is>
      </c>
      <c r="B1353" s="1" t="n">
        <v>45339</v>
      </c>
      <c r="C1353" s="1" t="n">
        <v>45719</v>
      </c>
      <c r="D1353" t="inlineStr">
        <is>
          <t>UPPSALA LÄN</t>
        </is>
      </c>
      <c r="E1353" t="inlineStr">
        <is>
          <t>UPPSALA</t>
        </is>
      </c>
      <c r="F1353" t="inlineStr">
        <is>
          <t>Bergvik skog öst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6500-2024</t>
        </is>
      </c>
      <c r="B1354" s="1" t="n">
        <v>45339</v>
      </c>
      <c r="C1354" s="1" t="n">
        <v>45719</v>
      </c>
      <c r="D1354" t="inlineStr">
        <is>
          <t>UPPSALA LÄN</t>
        </is>
      </c>
      <c r="E1354" t="inlineStr">
        <is>
          <t>UPPSALA</t>
        </is>
      </c>
      <c r="F1354" t="inlineStr">
        <is>
          <t>Bergvik skog öst AB</t>
        </is>
      </c>
      <c r="G1354" t="n">
        <v>23.7</v>
      </c>
      <c r="H1354" t="n">
        <v>0</v>
      </c>
      <c r="I1354" t="n">
        <v>0</v>
      </c>
      <c r="J1354" t="n">
        <v>0</v>
      </c>
      <c r="K1354" t="n">
        <v>0</v>
      </c>
      <c r="L1354" t="n">
        <v>0</v>
      </c>
      <c r="M1354" t="n">
        <v>0</v>
      </c>
      <c r="N1354" t="n">
        <v>0</v>
      </c>
      <c r="O1354" t="n">
        <v>0</v>
      </c>
      <c r="P1354" t="n">
        <v>0</v>
      </c>
      <c r="Q1354" t="n">
        <v>0</v>
      </c>
      <c r="R1354" s="2" t="inlineStr"/>
    </row>
    <row r="1355" ht="15" customHeight="1">
      <c r="A1355" t="inlineStr">
        <is>
          <t>A 6504-2024</t>
        </is>
      </c>
      <c r="B1355" s="1" t="n">
        <v>45339</v>
      </c>
      <c r="C1355" s="1" t="n">
        <v>45719</v>
      </c>
      <c r="D1355" t="inlineStr">
        <is>
          <t>UPPSALA LÄN</t>
        </is>
      </c>
      <c r="E1355" t="inlineStr">
        <is>
          <t>UPPSALA</t>
        </is>
      </c>
      <c r="F1355" t="inlineStr">
        <is>
          <t>Bergvik skog öst AB</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6503-2024</t>
        </is>
      </c>
      <c r="B1356" s="1" t="n">
        <v>45339</v>
      </c>
      <c r="C1356" s="1" t="n">
        <v>45719</v>
      </c>
      <c r="D1356" t="inlineStr">
        <is>
          <t>UPPSALA LÄN</t>
        </is>
      </c>
      <c r="E1356" t="inlineStr">
        <is>
          <t>UPPSALA</t>
        </is>
      </c>
      <c r="F1356" t="inlineStr">
        <is>
          <t>Bergvik skog öst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6507-2024</t>
        </is>
      </c>
      <c r="B1357" s="1" t="n">
        <v>45339</v>
      </c>
      <c r="C1357" s="1" t="n">
        <v>45719</v>
      </c>
      <c r="D1357" t="inlineStr">
        <is>
          <t>UPPSALA LÄN</t>
        </is>
      </c>
      <c r="E1357" t="inlineStr">
        <is>
          <t>UPPSALA</t>
        </is>
      </c>
      <c r="F1357" t="inlineStr">
        <is>
          <t>Bergvik skog öst AB</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6628-2024</t>
        </is>
      </c>
      <c r="B1358" s="1" t="n">
        <v>45341</v>
      </c>
      <c r="C1358" s="1" t="n">
        <v>45719</v>
      </c>
      <c r="D1358" t="inlineStr">
        <is>
          <t>UPPSALA LÄN</t>
        </is>
      </c>
      <c r="E1358" t="inlineStr">
        <is>
          <t>UPPSALA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6630-2024</t>
        </is>
      </c>
      <c r="B1359" s="1" t="n">
        <v>45341</v>
      </c>
      <c r="C1359" s="1" t="n">
        <v>45719</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6650-2024</t>
        </is>
      </c>
      <c r="B1360" s="1" t="n">
        <v>45341</v>
      </c>
      <c r="C1360" s="1" t="n">
        <v>45719</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6676-2024</t>
        </is>
      </c>
      <c r="B1361" s="1" t="n">
        <v>45341</v>
      </c>
      <c r="C1361" s="1" t="n">
        <v>45719</v>
      </c>
      <c r="D1361" t="inlineStr">
        <is>
          <t>UPPSALA LÄN</t>
        </is>
      </c>
      <c r="E1361" t="inlineStr">
        <is>
          <t>UPPSALA</t>
        </is>
      </c>
      <c r="F1361" t="inlineStr">
        <is>
          <t>Bergvik skog öst AB</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6609-2024</t>
        </is>
      </c>
      <c r="B1362" s="1" t="n">
        <v>45341</v>
      </c>
      <c r="C1362" s="1" t="n">
        <v>45719</v>
      </c>
      <c r="D1362" t="inlineStr">
        <is>
          <t>UPPSALA LÄN</t>
        </is>
      </c>
      <c r="E1362" t="inlineStr">
        <is>
          <t>UPPSALA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6679-2024</t>
        </is>
      </c>
      <c r="B1363" s="1" t="n">
        <v>45341</v>
      </c>
      <c r="C1363" s="1" t="n">
        <v>45719</v>
      </c>
      <c r="D1363" t="inlineStr">
        <is>
          <t>UPPSALA LÄN</t>
        </is>
      </c>
      <c r="E1363" t="inlineStr">
        <is>
          <t>UPPSALA</t>
        </is>
      </c>
      <c r="F1363" t="inlineStr">
        <is>
          <t>Bergvik skog öst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6677-2024</t>
        </is>
      </c>
      <c r="B1364" s="1" t="n">
        <v>45341</v>
      </c>
      <c r="C1364" s="1" t="n">
        <v>45719</v>
      </c>
      <c r="D1364" t="inlineStr">
        <is>
          <t>UPPSALA LÄN</t>
        </is>
      </c>
      <c r="E1364" t="inlineStr">
        <is>
          <t>UPPSALA</t>
        </is>
      </c>
      <c r="F1364" t="inlineStr">
        <is>
          <t>Bergvik skog öst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6678-2024</t>
        </is>
      </c>
      <c r="B1365" s="1" t="n">
        <v>45341</v>
      </c>
      <c r="C1365" s="1" t="n">
        <v>45719</v>
      </c>
      <c r="D1365" t="inlineStr">
        <is>
          <t>UPPSALA LÄN</t>
        </is>
      </c>
      <c r="E1365" t="inlineStr">
        <is>
          <t>UPPSALA</t>
        </is>
      </c>
      <c r="F1365" t="inlineStr">
        <is>
          <t>Bergvik skog öst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6966-2024</t>
        </is>
      </c>
      <c r="B1366" s="1" t="n">
        <v>45343</v>
      </c>
      <c r="C1366" s="1" t="n">
        <v>45719</v>
      </c>
      <c r="D1366" t="inlineStr">
        <is>
          <t>UPPSALA LÄN</t>
        </is>
      </c>
      <c r="E1366" t="inlineStr">
        <is>
          <t>UPPSALA</t>
        </is>
      </c>
      <c r="F1366" t="inlineStr">
        <is>
          <t>Holmen skog AB</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7253-2024</t>
        </is>
      </c>
      <c r="B1367" s="1" t="n">
        <v>45344</v>
      </c>
      <c r="C1367" s="1" t="n">
        <v>45719</v>
      </c>
      <c r="D1367" t="inlineStr">
        <is>
          <t>UPPSALA LÄN</t>
        </is>
      </c>
      <c r="E1367" t="inlineStr">
        <is>
          <t>UPPSALA</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7158-2024</t>
        </is>
      </c>
      <c r="B1368" s="1" t="n">
        <v>45344</v>
      </c>
      <c r="C1368" s="1" t="n">
        <v>45719</v>
      </c>
      <c r="D1368" t="inlineStr">
        <is>
          <t>UPPSALA LÄN</t>
        </is>
      </c>
      <c r="E1368" t="inlineStr">
        <is>
          <t>UPPSALA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7175-2024</t>
        </is>
      </c>
      <c r="B1369" s="1" t="n">
        <v>45344</v>
      </c>
      <c r="C1369" s="1" t="n">
        <v>45719</v>
      </c>
      <c r="D1369" t="inlineStr">
        <is>
          <t>UPPSALA LÄN</t>
        </is>
      </c>
      <c r="E1369" t="inlineStr">
        <is>
          <t>UPPSALA</t>
        </is>
      </c>
      <c r="F1369" t="inlineStr">
        <is>
          <t>Kyrkan</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7275-2024</t>
        </is>
      </c>
      <c r="B1370" s="1" t="n">
        <v>45344</v>
      </c>
      <c r="C1370" s="1" t="n">
        <v>45719</v>
      </c>
      <c r="D1370" t="inlineStr">
        <is>
          <t>UPPSALA LÄN</t>
        </is>
      </c>
      <c r="E1370" t="inlineStr">
        <is>
          <t>UPPSALA</t>
        </is>
      </c>
      <c r="F1370" t="inlineStr">
        <is>
          <t>Bergvik skog öst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7226-2024</t>
        </is>
      </c>
      <c r="B1371" s="1" t="n">
        <v>45344</v>
      </c>
      <c r="C1371" s="1" t="n">
        <v>45719</v>
      </c>
      <c r="D1371" t="inlineStr">
        <is>
          <t>UPPSALA LÄN</t>
        </is>
      </c>
      <c r="E1371" t="inlineStr">
        <is>
          <t>UPPSALA</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7274-2024</t>
        </is>
      </c>
      <c r="B1372" s="1" t="n">
        <v>45344</v>
      </c>
      <c r="C1372" s="1" t="n">
        <v>45719</v>
      </c>
      <c r="D1372" t="inlineStr">
        <is>
          <t>UPPSALA LÄN</t>
        </is>
      </c>
      <c r="E1372" t="inlineStr">
        <is>
          <t>UPPSALA</t>
        </is>
      </c>
      <c r="F1372" t="inlineStr">
        <is>
          <t>Bergvik skog öst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7278-2024</t>
        </is>
      </c>
      <c r="B1373" s="1" t="n">
        <v>45344</v>
      </c>
      <c r="C1373" s="1" t="n">
        <v>45719</v>
      </c>
      <c r="D1373" t="inlineStr">
        <is>
          <t>UPPSALA LÄN</t>
        </is>
      </c>
      <c r="E1373" t="inlineStr">
        <is>
          <t>UPPSALA</t>
        </is>
      </c>
      <c r="F1373" t="inlineStr">
        <is>
          <t>Bergvik skog öst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7276-2024</t>
        </is>
      </c>
      <c r="B1374" s="1" t="n">
        <v>45344</v>
      </c>
      <c r="C1374" s="1" t="n">
        <v>45719</v>
      </c>
      <c r="D1374" t="inlineStr">
        <is>
          <t>UPPSALA LÄN</t>
        </is>
      </c>
      <c r="E1374" t="inlineStr">
        <is>
          <t>UPPSALA</t>
        </is>
      </c>
      <c r="F1374" t="inlineStr">
        <is>
          <t>Bergvik skog öst AB</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7389-2024</t>
        </is>
      </c>
      <c r="B1375" s="1" t="n">
        <v>45345</v>
      </c>
      <c r="C1375" s="1" t="n">
        <v>45719</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7390-2024</t>
        </is>
      </c>
      <c r="B1376" s="1" t="n">
        <v>45345</v>
      </c>
      <c r="C1376" s="1" t="n">
        <v>45719</v>
      </c>
      <c r="D1376" t="inlineStr">
        <is>
          <t>UPPSALA LÄN</t>
        </is>
      </c>
      <c r="E1376" t="inlineStr">
        <is>
          <t>UPPSALA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7400-2024</t>
        </is>
      </c>
      <c r="B1377" s="1" t="n">
        <v>45345</v>
      </c>
      <c r="C1377" s="1" t="n">
        <v>45719</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7388-2024</t>
        </is>
      </c>
      <c r="B1378" s="1" t="n">
        <v>45345</v>
      </c>
      <c r="C1378" s="1" t="n">
        <v>45719</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7407-2024</t>
        </is>
      </c>
      <c r="B1379" s="1" t="n">
        <v>45345</v>
      </c>
      <c r="C1379" s="1" t="n">
        <v>45719</v>
      </c>
      <c r="D1379" t="inlineStr">
        <is>
          <t>UPPSALA LÄN</t>
        </is>
      </c>
      <c r="E1379" t="inlineStr">
        <is>
          <t>UPPSALA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7403-2024</t>
        </is>
      </c>
      <c r="B1380" s="1" t="n">
        <v>45345</v>
      </c>
      <c r="C1380" s="1" t="n">
        <v>45719</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7649-2024</t>
        </is>
      </c>
      <c r="B1381" s="1" t="n">
        <v>45348</v>
      </c>
      <c r="C1381" s="1" t="n">
        <v>45719</v>
      </c>
      <c r="D1381" t="inlineStr">
        <is>
          <t>UPPSALA LÄN</t>
        </is>
      </c>
      <c r="E1381" t="inlineStr">
        <is>
          <t>UPPSALA</t>
        </is>
      </c>
      <c r="F1381" t="inlineStr">
        <is>
          <t>Kyrkan</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7654-2024</t>
        </is>
      </c>
      <c r="B1382" s="1" t="n">
        <v>45348</v>
      </c>
      <c r="C1382" s="1" t="n">
        <v>45719</v>
      </c>
      <c r="D1382" t="inlineStr">
        <is>
          <t>UPPSALA LÄN</t>
        </is>
      </c>
      <c r="E1382" t="inlineStr">
        <is>
          <t>UPPSALA</t>
        </is>
      </c>
      <c r="F1382" t="inlineStr">
        <is>
          <t>Kyrkan</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7732-2024</t>
        </is>
      </c>
      <c r="B1383" s="1" t="n">
        <v>45349</v>
      </c>
      <c r="C1383" s="1" t="n">
        <v>45719</v>
      </c>
      <c r="D1383" t="inlineStr">
        <is>
          <t>UPPSALA LÄN</t>
        </is>
      </c>
      <c r="E1383" t="inlineStr">
        <is>
          <t>UPPSALA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7727-2024</t>
        </is>
      </c>
      <c r="B1384" s="1" t="n">
        <v>45349</v>
      </c>
      <c r="C1384" s="1" t="n">
        <v>45719</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7750-2024</t>
        </is>
      </c>
      <c r="B1385" s="1" t="n">
        <v>45349</v>
      </c>
      <c r="C1385" s="1" t="n">
        <v>45719</v>
      </c>
      <c r="D1385" t="inlineStr">
        <is>
          <t>UPPSALA LÄN</t>
        </is>
      </c>
      <c r="E1385" t="inlineStr">
        <is>
          <t>UPPSALA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7974-2024</t>
        </is>
      </c>
      <c r="B1386" s="1" t="n">
        <v>45350</v>
      </c>
      <c r="C1386" s="1" t="n">
        <v>45719</v>
      </c>
      <c r="D1386" t="inlineStr">
        <is>
          <t>UPPSALA LÄN</t>
        </is>
      </c>
      <c r="E1386" t="inlineStr">
        <is>
          <t>UPPSALA</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8132-2024</t>
        </is>
      </c>
      <c r="B1387" s="1" t="n">
        <v>45351</v>
      </c>
      <c r="C1387" s="1" t="n">
        <v>45719</v>
      </c>
      <c r="D1387" t="inlineStr">
        <is>
          <t>UPPSALA LÄN</t>
        </is>
      </c>
      <c r="E1387" t="inlineStr">
        <is>
          <t>UPPSALA</t>
        </is>
      </c>
      <c r="F1387" t="inlineStr">
        <is>
          <t>Övriga Aktiebolag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8109-2024</t>
        </is>
      </c>
      <c r="B1388" s="1" t="n">
        <v>45351</v>
      </c>
      <c r="C1388" s="1" t="n">
        <v>45719</v>
      </c>
      <c r="D1388" t="inlineStr">
        <is>
          <t>UPPSALA LÄN</t>
        </is>
      </c>
      <c r="E1388" t="inlineStr">
        <is>
          <t>UPPSALA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8672-2024</t>
        </is>
      </c>
      <c r="B1389" s="1" t="n">
        <v>45352</v>
      </c>
      <c r="C1389" s="1" t="n">
        <v>45719</v>
      </c>
      <c r="D1389" t="inlineStr">
        <is>
          <t>UPPSALA LÄN</t>
        </is>
      </c>
      <c r="E1389" t="inlineStr">
        <is>
          <t>UPPSALA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8338-2024</t>
        </is>
      </c>
      <c r="B1390" s="1" t="n">
        <v>45352</v>
      </c>
      <c r="C1390" s="1" t="n">
        <v>45719</v>
      </c>
      <c r="D1390" t="inlineStr">
        <is>
          <t>UPPSALA LÄN</t>
        </is>
      </c>
      <c r="E1390" t="inlineStr">
        <is>
          <t>UPPSALA</t>
        </is>
      </c>
      <c r="F1390" t="inlineStr">
        <is>
          <t>Kyrkan</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9235-2024</t>
        </is>
      </c>
      <c r="B1391" s="1" t="n">
        <v>45357</v>
      </c>
      <c r="C1391" s="1" t="n">
        <v>45719</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9201-2024</t>
        </is>
      </c>
      <c r="B1392" s="1" t="n">
        <v>45358</v>
      </c>
      <c r="C1392" s="1" t="n">
        <v>45719</v>
      </c>
      <c r="D1392" t="inlineStr">
        <is>
          <t>UPPSALA LÄN</t>
        </is>
      </c>
      <c r="E1392" t="inlineStr">
        <is>
          <t>UPPSALA</t>
        </is>
      </c>
      <c r="F1392" t="inlineStr">
        <is>
          <t>Allmännings- och besparingsskogar</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9195-2024</t>
        </is>
      </c>
      <c r="B1393" s="1" t="n">
        <v>45358</v>
      </c>
      <c r="C1393" s="1" t="n">
        <v>45719</v>
      </c>
      <c r="D1393" t="inlineStr">
        <is>
          <t>UPPSALA LÄN</t>
        </is>
      </c>
      <c r="E1393" t="inlineStr">
        <is>
          <t>UPPSALA</t>
        </is>
      </c>
      <c r="F1393" t="inlineStr">
        <is>
          <t>Allmännings- och besparingsskogar</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9255-2024</t>
        </is>
      </c>
      <c r="B1394" s="1" t="n">
        <v>45358</v>
      </c>
      <c r="C1394" s="1" t="n">
        <v>45719</v>
      </c>
      <c r="D1394" t="inlineStr">
        <is>
          <t>UPPSALA LÄN</t>
        </is>
      </c>
      <c r="E1394" t="inlineStr">
        <is>
          <t>UPPSALA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9428-2024</t>
        </is>
      </c>
      <c r="B1395" s="1" t="n">
        <v>45359</v>
      </c>
      <c r="C1395" s="1" t="n">
        <v>45719</v>
      </c>
      <c r="D1395" t="inlineStr">
        <is>
          <t>UPPSALA LÄN</t>
        </is>
      </c>
      <c r="E1395" t="inlineStr">
        <is>
          <t>UPPSALA</t>
        </is>
      </c>
      <c r="F1395" t="inlineStr">
        <is>
          <t>Bergvik skog öst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9453-2024</t>
        </is>
      </c>
      <c r="B1396" s="1" t="n">
        <v>45359</v>
      </c>
      <c r="C1396" s="1" t="n">
        <v>45719</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9608-2024</t>
        </is>
      </c>
      <c r="B1397" s="1" t="n">
        <v>45361</v>
      </c>
      <c r="C1397" s="1" t="n">
        <v>45719</v>
      </c>
      <c r="D1397" t="inlineStr">
        <is>
          <t>UPPSALA LÄN</t>
        </is>
      </c>
      <c r="E1397" t="inlineStr">
        <is>
          <t>UPPSALA</t>
        </is>
      </c>
      <c r="F1397" t="inlineStr">
        <is>
          <t>Bergvik skog öst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9609-2024</t>
        </is>
      </c>
      <c r="B1398" s="1" t="n">
        <v>45361</v>
      </c>
      <c r="C1398" s="1" t="n">
        <v>45719</v>
      </c>
      <c r="D1398" t="inlineStr">
        <is>
          <t>UPPSALA LÄN</t>
        </is>
      </c>
      <c r="E1398" t="inlineStr">
        <is>
          <t>UPPSALA</t>
        </is>
      </c>
      <c r="F1398" t="inlineStr">
        <is>
          <t>Bergvik skog öst AB</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9610-2024</t>
        </is>
      </c>
      <c r="B1399" s="1" t="n">
        <v>45361</v>
      </c>
      <c r="C1399" s="1" t="n">
        <v>45719</v>
      </c>
      <c r="D1399" t="inlineStr">
        <is>
          <t>UPPSALA LÄN</t>
        </is>
      </c>
      <c r="E1399" t="inlineStr">
        <is>
          <t>UPPSALA</t>
        </is>
      </c>
      <c r="F1399" t="inlineStr">
        <is>
          <t>Bergvik skog öst AB</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9625-2024</t>
        </is>
      </c>
      <c r="B1400" s="1" t="n">
        <v>45361</v>
      </c>
      <c r="C1400" s="1" t="n">
        <v>45719</v>
      </c>
      <c r="D1400" t="inlineStr">
        <is>
          <t>UPPSALA LÄN</t>
        </is>
      </c>
      <c r="E1400" t="inlineStr">
        <is>
          <t>UPPSALA</t>
        </is>
      </c>
      <c r="F1400" t="inlineStr">
        <is>
          <t>Bergvik skog öst AB</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9611-2024</t>
        </is>
      </c>
      <c r="B1401" s="1" t="n">
        <v>45361</v>
      </c>
      <c r="C1401" s="1" t="n">
        <v>45719</v>
      </c>
      <c r="D1401" t="inlineStr">
        <is>
          <t>UPPSALA LÄN</t>
        </is>
      </c>
      <c r="E1401" t="inlineStr">
        <is>
          <t>UPPSALA</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9735-2024</t>
        </is>
      </c>
      <c r="B1402" s="1" t="n">
        <v>45362</v>
      </c>
      <c r="C1402" s="1" t="n">
        <v>45719</v>
      </c>
      <c r="D1402" t="inlineStr">
        <is>
          <t>UPPSALA LÄN</t>
        </is>
      </c>
      <c r="E1402" t="inlineStr">
        <is>
          <t>UPPSALA</t>
        </is>
      </c>
      <c r="F1402" t="inlineStr">
        <is>
          <t>Bergvik skog öst AB</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9675-2024</t>
        </is>
      </c>
      <c r="B1403" s="1" t="n">
        <v>45362</v>
      </c>
      <c r="C1403" s="1" t="n">
        <v>45719</v>
      </c>
      <c r="D1403" t="inlineStr">
        <is>
          <t>UPPSALA LÄN</t>
        </is>
      </c>
      <c r="E1403" t="inlineStr">
        <is>
          <t>UPPSALA</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9914-2024</t>
        </is>
      </c>
      <c r="B1404" s="1" t="n">
        <v>45363</v>
      </c>
      <c r="C1404" s="1" t="n">
        <v>45719</v>
      </c>
      <c r="D1404" t="inlineStr">
        <is>
          <t>UPPSALA LÄN</t>
        </is>
      </c>
      <c r="E1404" t="inlineStr">
        <is>
          <t>UPPSALA</t>
        </is>
      </c>
      <c r="F1404" t="inlineStr">
        <is>
          <t>Bergvik skog väst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9917-2024</t>
        </is>
      </c>
      <c r="B1405" s="1" t="n">
        <v>45363</v>
      </c>
      <c r="C1405" s="1" t="n">
        <v>45719</v>
      </c>
      <c r="D1405" t="inlineStr">
        <is>
          <t>UPPSALA LÄN</t>
        </is>
      </c>
      <c r="E1405" t="inlineStr">
        <is>
          <t>UPPSALA</t>
        </is>
      </c>
      <c r="F1405" t="inlineStr">
        <is>
          <t>Bergvik skog väst AB</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10086-2024</t>
        </is>
      </c>
      <c r="B1406" s="1" t="n">
        <v>45364</v>
      </c>
      <c r="C1406" s="1" t="n">
        <v>45719</v>
      </c>
      <c r="D1406" t="inlineStr">
        <is>
          <t>UPPSALA LÄN</t>
        </is>
      </c>
      <c r="E1406" t="inlineStr">
        <is>
          <t>UPPSALA</t>
        </is>
      </c>
      <c r="F1406" t="inlineStr">
        <is>
          <t>Bergvik skog öst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10146-2024</t>
        </is>
      </c>
      <c r="B1407" s="1" t="n">
        <v>45364</v>
      </c>
      <c r="C1407" s="1" t="n">
        <v>45719</v>
      </c>
      <c r="D1407" t="inlineStr">
        <is>
          <t>UPPSALA LÄN</t>
        </is>
      </c>
      <c r="E1407" t="inlineStr">
        <is>
          <t>UPPSALA</t>
        </is>
      </c>
      <c r="F1407" t="inlineStr">
        <is>
          <t>Bergvik skog öst AB</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10477-2024</t>
        </is>
      </c>
      <c r="B1408" s="1" t="n">
        <v>45366</v>
      </c>
      <c r="C1408" s="1" t="n">
        <v>45719</v>
      </c>
      <c r="D1408" t="inlineStr">
        <is>
          <t>UPPSALA LÄN</t>
        </is>
      </c>
      <c r="E1408" t="inlineStr">
        <is>
          <t>UPPSALA</t>
        </is>
      </c>
      <c r="F1408" t="inlineStr">
        <is>
          <t>Holmen skog AB</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10474-2024</t>
        </is>
      </c>
      <c r="B1409" s="1" t="n">
        <v>45366</v>
      </c>
      <c r="C1409" s="1" t="n">
        <v>45719</v>
      </c>
      <c r="D1409" t="inlineStr">
        <is>
          <t>UPPSALA LÄN</t>
        </is>
      </c>
      <c r="E1409" t="inlineStr">
        <is>
          <t>UPPSALA</t>
        </is>
      </c>
      <c r="F1409" t="inlineStr">
        <is>
          <t>Holmen skog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10650-2024</t>
        </is>
      </c>
      <c r="B1410" s="1" t="n">
        <v>45368</v>
      </c>
      <c r="C1410" s="1" t="n">
        <v>45719</v>
      </c>
      <c r="D1410" t="inlineStr">
        <is>
          <t>UPPSALA LÄN</t>
        </is>
      </c>
      <c r="E1410" t="inlineStr">
        <is>
          <t>UPPSALA</t>
        </is>
      </c>
      <c r="F1410" t="inlineStr">
        <is>
          <t>Bergvik skog öst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10651-2024</t>
        </is>
      </c>
      <c r="B1411" s="1" t="n">
        <v>45368</v>
      </c>
      <c r="C1411" s="1" t="n">
        <v>45719</v>
      </c>
      <c r="D1411" t="inlineStr">
        <is>
          <t>UPPSALA LÄN</t>
        </is>
      </c>
      <c r="E1411" t="inlineStr">
        <is>
          <t>UPPSALA</t>
        </is>
      </c>
      <c r="F1411" t="inlineStr">
        <is>
          <t>Bergvik skog öst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10653-2024</t>
        </is>
      </c>
      <c r="B1412" s="1" t="n">
        <v>45368</v>
      </c>
      <c r="C1412" s="1" t="n">
        <v>45719</v>
      </c>
      <c r="D1412" t="inlineStr">
        <is>
          <t>UPPSALA LÄN</t>
        </is>
      </c>
      <c r="E1412" t="inlineStr">
        <is>
          <t>UPPSALA</t>
        </is>
      </c>
      <c r="F1412" t="inlineStr">
        <is>
          <t>Bergvik skog öst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10652-2024</t>
        </is>
      </c>
      <c r="B1413" s="1" t="n">
        <v>45368</v>
      </c>
      <c r="C1413" s="1" t="n">
        <v>45719</v>
      </c>
      <c r="D1413" t="inlineStr">
        <is>
          <t>UPPSALA LÄN</t>
        </is>
      </c>
      <c r="E1413" t="inlineStr">
        <is>
          <t>UPPSALA</t>
        </is>
      </c>
      <c r="F1413" t="inlineStr">
        <is>
          <t>Bergvik skog öst AB</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10827-2024</t>
        </is>
      </c>
      <c r="B1414" s="1" t="n">
        <v>45369</v>
      </c>
      <c r="C1414" s="1" t="n">
        <v>45719</v>
      </c>
      <c r="D1414" t="inlineStr">
        <is>
          <t>UPPSALA LÄN</t>
        </is>
      </c>
      <c r="E1414" t="inlineStr">
        <is>
          <t>UPPSALA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10782-2024</t>
        </is>
      </c>
      <c r="B1415" s="1" t="n">
        <v>45369</v>
      </c>
      <c r="C1415" s="1" t="n">
        <v>45719</v>
      </c>
      <c r="D1415" t="inlineStr">
        <is>
          <t>UPPSALA LÄN</t>
        </is>
      </c>
      <c r="E1415" t="inlineStr">
        <is>
          <t>UPPSALA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11169-2024</t>
        </is>
      </c>
      <c r="B1416" s="1" t="n">
        <v>45371</v>
      </c>
      <c r="C1416" s="1" t="n">
        <v>45719</v>
      </c>
      <c r="D1416" t="inlineStr">
        <is>
          <t>UPPSALA LÄN</t>
        </is>
      </c>
      <c r="E1416" t="inlineStr">
        <is>
          <t>UPPSALA</t>
        </is>
      </c>
      <c r="F1416" t="inlineStr">
        <is>
          <t>Bergvik skog öst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11173-2024</t>
        </is>
      </c>
      <c r="B1417" s="1" t="n">
        <v>45371</v>
      </c>
      <c r="C1417" s="1" t="n">
        <v>45719</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11159-2024</t>
        </is>
      </c>
      <c r="B1418" s="1" t="n">
        <v>45371</v>
      </c>
      <c r="C1418" s="1" t="n">
        <v>45719</v>
      </c>
      <c r="D1418" t="inlineStr">
        <is>
          <t>UPPSALA LÄN</t>
        </is>
      </c>
      <c r="E1418" t="inlineStr">
        <is>
          <t>UPPSALA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11191-2024</t>
        </is>
      </c>
      <c r="B1419" s="1" t="n">
        <v>45371</v>
      </c>
      <c r="C1419" s="1" t="n">
        <v>45719</v>
      </c>
      <c r="D1419" t="inlineStr">
        <is>
          <t>UPPSALA LÄN</t>
        </is>
      </c>
      <c r="E1419" t="inlineStr">
        <is>
          <t>UPPSALA</t>
        </is>
      </c>
      <c r="F1419" t="inlineStr">
        <is>
          <t>Allmännings- och besparingsskogar</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11166-2024</t>
        </is>
      </c>
      <c r="B1420" s="1" t="n">
        <v>45371</v>
      </c>
      <c r="C1420" s="1" t="n">
        <v>45719</v>
      </c>
      <c r="D1420" t="inlineStr">
        <is>
          <t>UPPSALA LÄN</t>
        </is>
      </c>
      <c r="E1420" t="inlineStr">
        <is>
          <t>UPPSALA</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11201-2024</t>
        </is>
      </c>
      <c r="B1421" s="1" t="n">
        <v>45371</v>
      </c>
      <c r="C1421" s="1" t="n">
        <v>45719</v>
      </c>
      <c r="D1421" t="inlineStr">
        <is>
          <t>UPPSALA LÄN</t>
        </is>
      </c>
      <c r="E1421" t="inlineStr">
        <is>
          <t>UPPSALA</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11277-2024</t>
        </is>
      </c>
      <c r="B1422" s="1" t="n">
        <v>45371</v>
      </c>
      <c r="C1422" s="1" t="n">
        <v>45719</v>
      </c>
      <c r="D1422" t="inlineStr">
        <is>
          <t>UPPSALA LÄN</t>
        </is>
      </c>
      <c r="E1422" t="inlineStr">
        <is>
          <t>UPPSALA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11289-2024</t>
        </is>
      </c>
      <c r="B1423" s="1" t="n">
        <v>45371</v>
      </c>
      <c r="C1423" s="1" t="n">
        <v>45719</v>
      </c>
      <c r="D1423" t="inlineStr">
        <is>
          <t>UPPSALA LÄN</t>
        </is>
      </c>
      <c r="E1423" t="inlineStr">
        <is>
          <t>UPPSALA</t>
        </is>
      </c>
      <c r="F1423" t="inlineStr">
        <is>
          <t>Allmännings- och besparingsskogar</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11200-2024</t>
        </is>
      </c>
      <c r="B1424" s="1" t="n">
        <v>45371</v>
      </c>
      <c r="C1424" s="1" t="n">
        <v>45719</v>
      </c>
      <c r="D1424" t="inlineStr">
        <is>
          <t>UPPSALA LÄN</t>
        </is>
      </c>
      <c r="E1424" t="inlineStr">
        <is>
          <t>UPPSALA</t>
        </is>
      </c>
      <c r="F1424" t="inlineStr">
        <is>
          <t>Allmännings- och besparingsskogar</t>
        </is>
      </c>
      <c r="G1424" t="n">
        <v>22.8</v>
      </c>
      <c r="H1424" t="n">
        <v>0</v>
      </c>
      <c r="I1424" t="n">
        <v>0</v>
      </c>
      <c r="J1424" t="n">
        <v>0</v>
      </c>
      <c r="K1424" t="n">
        <v>0</v>
      </c>
      <c r="L1424" t="n">
        <v>0</v>
      </c>
      <c r="M1424" t="n">
        <v>0</v>
      </c>
      <c r="N1424" t="n">
        <v>0</v>
      </c>
      <c r="O1424" t="n">
        <v>0</v>
      </c>
      <c r="P1424" t="n">
        <v>0</v>
      </c>
      <c r="Q1424" t="n">
        <v>0</v>
      </c>
      <c r="R1424" s="2" t="inlineStr"/>
    </row>
    <row r="1425" ht="15" customHeight="1">
      <c r="A1425" t="inlineStr">
        <is>
          <t>A 11260-2024</t>
        </is>
      </c>
      <c r="B1425" s="1" t="n">
        <v>45371</v>
      </c>
      <c r="C1425" s="1" t="n">
        <v>45719</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11457-2024</t>
        </is>
      </c>
      <c r="B1426" s="1" t="n">
        <v>45372</v>
      </c>
      <c r="C1426" s="1" t="n">
        <v>45719</v>
      </c>
      <c r="D1426" t="inlineStr">
        <is>
          <t>UPPSALA LÄN</t>
        </is>
      </c>
      <c r="E1426" t="inlineStr">
        <is>
          <t>UPPSALA</t>
        </is>
      </c>
      <c r="F1426" t="inlineStr">
        <is>
          <t>Bergvik skog öst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11677-2024</t>
        </is>
      </c>
      <c r="B1427" s="1" t="n">
        <v>45373</v>
      </c>
      <c r="C1427" s="1" t="n">
        <v>45719</v>
      </c>
      <c r="D1427" t="inlineStr">
        <is>
          <t>UPPSALA LÄN</t>
        </is>
      </c>
      <c r="E1427" t="inlineStr">
        <is>
          <t>UPPSALA</t>
        </is>
      </c>
      <c r="F1427" t="inlineStr">
        <is>
          <t>Holmen skog AB</t>
        </is>
      </c>
      <c r="G1427" t="n">
        <v>14.4</v>
      </c>
      <c r="H1427" t="n">
        <v>0</v>
      </c>
      <c r="I1427" t="n">
        <v>0</v>
      </c>
      <c r="J1427" t="n">
        <v>0</v>
      </c>
      <c r="K1427" t="n">
        <v>0</v>
      </c>
      <c r="L1427" t="n">
        <v>0</v>
      </c>
      <c r="M1427" t="n">
        <v>0</v>
      </c>
      <c r="N1427" t="n">
        <v>0</v>
      </c>
      <c r="O1427" t="n">
        <v>0</v>
      </c>
      <c r="P1427" t="n">
        <v>0</v>
      </c>
      <c r="Q1427" t="n">
        <v>0</v>
      </c>
      <c r="R1427" s="2" t="inlineStr"/>
    </row>
    <row r="1428" ht="15" customHeight="1">
      <c r="A1428" t="inlineStr">
        <is>
          <t>A 11719-2024</t>
        </is>
      </c>
      <c r="B1428" s="1" t="n">
        <v>45373</v>
      </c>
      <c r="C1428" s="1" t="n">
        <v>45719</v>
      </c>
      <c r="D1428" t="inlineStr">
        <is>
          <t>UPPSALA LÄN</t>
        </is>
      </c>
      <c r="E1428" t="inlineStr">
        <is>
          <t>UPPSALA</t>
        </is>
      </c>
      <c r="F1428" t="inlineStr">
        <is>
          <t>Holmen skog AB</t>
        </is>
      </c>
      <c r="G1428" t="n">
        <v>18.3</v>
      </c>
      <c r="H1428" t="n">
        <v>0</v>
      </c>
      <c r="I1428" t="n">
        <v>0</v>
      </c>
      <c r="J1428" t="n">
        <v>0</v>
      </c>
      <c r="K1428" t="n">
        <v>0</v>
      </c>
      <c r="L1428" t="n">
        <v>0</v>
      </c>
      <c r="M1428" t="n">
        <v>0</v>
      </c>
      <c r="N1428" t="n">
        <v>0</v>
      </c>
      <c r="O1428" t="n">
        <v>0</v>
      </c>
      <c r="P1428" t="n">
        <v>0</v>
      </c>
      <c r="Q1428" t="n">
        <v>0</v>
      </c>
      <c r="R1428" s="2" t="inlineStr"/>
    </row>
    <row r="1429" ht="15" customHeight="1">
      <c r="A1429" t="inlineStr">
        <is>
          <t>A 12345-2024</t>
        </is>
      </c>
      <c r="B1429" s="1" t="n">
        <v>45378</v>
      </c>
      <c r="C1429" s="1" t="n">
        <v>45719</v>
      </c>
      <c r="D1429" t="inlineStr">
        <is>
          <t>UPPSALA LÄN</t>
        </is>
      </c>
      <c r="E1429" t="inlineStr">
        <is>
          <t>UPPSALA</t>
        </is>
      </c>
      <c r="F1429" t="inlineStr">
        <is>
          <t>Bergvik skog öst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12346-2024</t>
        </is>
      </c>
      <c r="B1430" s="1" t="n">
        <v>45378</v>
      </c>
      <c r="C1430" s="1" t="n">
        <v>45719</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12347-2024</t>
        </is>
      </c>
      <c r="B1431" s="1" t="n">
        <v>45378</v>
      </c>
      <c r="C1431" s="1" t="n">
        <v>45719</v>
      </c>
      <c r="D1431" t="inlineStr">
        <is>
          <t>UPPSALA LÄN</t>
        </is>
      </c>
      <c r="E1431" t="inlineStr">
        <is>
          <t>UPPSALA</t>
        </is>
      </c>
      <c r="F1431" t="inlineStr">
        <is>
          <t>Bergvik skog öst AB</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12507-2024</t>
        </is>
      </c>
      <c r="B1432" s="1" t="n">
        <v>45379</v>
      </c>
      <c r="C1432" s="1" t="n">
        <v>45719</v>
      </c>
      <c r="D1432" t="inlineStr">
        <is>
          <t>UPPSALA LÄN</t>
        </is>
      </c>
      <c r="E1432" t="inlineStr">
        <is>
          <t>UPPSALA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13100-2024</t>
        </is>
      </c>
      <c r="B1433" s="1" t="n">
        <v>45385</v>
      </c>
      <c r="C1433" s="1" t="n">
        <v>45719</v>
      </c>
      <c r="D1433" t="inlineStr">
        <is>
          <t>UPPSALA LÄN</t>
        </is>
      </c>
      <c r="E1433" t="inlineStr">
        <is>
          <t>UPPSALA</t>
        </is>
      </c>
      <c r="F1433" t="inlineStr">
        <is>
          <t>Holmen skog AB</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13305-2024</t>
        </is>
      </c>
      <c r="B1434" s="1" t="n">
        <v>45386</v>
      </c>
      <c r="C1434" s="1" t="n">
        <v>45719</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13303-2024</t>
        </is>
      </c>
      <c r="B1435" s="1" t="n">
        <v>45386</v>
      </c>
      <c r="C1435" s="1" t="n">
        <v>45719</v>
      </c>
      <c r="D1435" t="inlineStr">
        <is>
          <t>UPPSALA LÄN</t>
        </is>
      </c>
      <c r="E1435" t="inlineStr">
        <is>
          <t>UPPSALA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13302-2024</t>
        </is>
      </c>
      <c r="B1436" s="1" t="n">
        <v>45386</v>
      </c>
      <c r="C1436" s="1" t="n">
        <v>45719</v>
      </c>
      <c r="D1436" t="inlineStr">
        <is>
          <t>UPPSALA LÄN</t>
        </is>
      </c>
      <c r="E1436" t="inlineStr">
        <is>
          <t>UPPSALA</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13379-2024</t>
        </is>
      </c>
      <c r="B1437" s="1" t="n">
        <v>45387</v>
      </c>
      <c r="C1437" s="1" t="n">
        <v>45719</v>
      </c>
      <c r="D1437" t="inlineStr">
        <is>
          <t>UPPSALA LÄN</t>
        </is>
      </c>
      <c r="E1437" t="inlineStr">
        <is>
          <t>UPPSALA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13644-2024</t>
        </is>
      </c>
      <c r="B1438" s="1" t="n">
        <v>45390</v>
      </c>
      <c r="C1438" s="1" t="n">
        <v>45719</v>
      </c>
      <c r="D1438" t="inlineStr">
        <is>
          <t>UPPSALA LÄN</t>
        </is>
      </c>
      <c r="E1438" t="inlineStr">
        <is>
          <t>UPPSALA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13799-2024</t>
        </is>
      </c>
      <c r="B1439" s="1" t="n">
        <v>45391</v>
      </c>
      <c r="C1439" s="1" t="n">
        <v>45719</v>
      </c>
      <c r="D1439" t="inlineStr">
        <is>
          <t>UPPSALA LÄN</t>
        </is>
      </c>
      <c r="E1439" t="inlineStr">
        <is>
          <t>UPPSALA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14533-2024</t>
        </is>
      </c>
      <c r="B1440" s="1" t="n">
        <v>45394</v>
      </c>
      <c r="C1440" s="1" t="n">
        <v>45719</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14401-2024</t>
        </is>
      </c>
      <c r="B1441" s="1" t="n">
        <v>45394</v>
      </c>
      <c r="C1441" s="1" t="n">
        <v>45719</v>
      </c>
      <c r="D1441" t="inlineStr">
        <is>
          <t>UPPSALA LÄN</t>
        </is>
      </c>
      <c r="E1441" t="inlineStr">
        <is>
          <t>UPPSALA</t>
        </is>
      </c>
      <c r="F1441" t="inlineStr">
        <is>
          <t>Övriga statliga verk och myndigheter</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14528-2024</t>
        </is>
      </c>
      <c r="B1442" s="1" t="n">
        <v>45394</v>
      </c>
      <c r="C1442" s="1" t="n">
        <v>45719</v>
      </c>
      <c r="D1442" t="inlineStr">
        <is>
          <t>UPPSALA LÄN</t>
        </is>
      </c>
      <c r="E1442" t="inlineStr">
        <is>
          <t>UPPSALA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14404-2024</t>
        </is>
      </c>
      <c r="B1443" s="1" t="n">
        <v>45394</v>
      </c>
      <c r="C1443" s="1" t="n">
        <v>45719</v>
      </c>
      <c r="D1443" t="inlineStr">
        <is>
          <t>UPPSALA LÄN</t>
        </is>
      </c>
      <c r="E1443" t="inlineStr">
        <is>
          <t>UPPSALA</t>
        </is>
      </c>
      <c r="F1443" t="inlineStr">
        <is>
          <t>Övriga statliga verk och myndigheter</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14523-2024</t>
        </is>
      </c>
      <c r="B1444" s="1" t="n">
        <v>45394</v>
      </c>
      <c r="C1444" s="1" t="n">
        <v>45719</v>
      </c>
      <c r="D1444" t="inlineStr">
        <is>
          <t>UPPSALA LÄN</t>
        </is>
      </c>
      <c r="E1444" t="inlineStr">
        <is>
          <t>UPPSALA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14643-2024</t>
        </is>
      </c>
      <c r="B1445" s="1" t="n">
        <v>45397</v>
      </c>
      <c r="C1445" s="1" t="n">
        <v>45719</v>
      </c>
      <c r="D1445" t="inlineStr">
        <is>
          <t>UPPSALA LÄN</t>
        </is>
      </c>
      <c r="E1445" t="inlineStr">
        <is>
          <t>UPPSALA</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14672-2024</t>
        </is>
      </c>
      <c r="B1446" s="1" t="n">
        <v>45397</v>
      </c>
      <c r="C1446" s="1" t="n">
        <v>45719</v>
      </c>
      <c r="D1446" t="inlineStr">
        <is>
          <t>UPPSALA LÄN</t>
        </is>
      </c>
      <c r="E1446" t="inlineStr">
        <is>
          <t>UPPSALA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15254-2024</t>
        </is>
      </c>
      <c r="B1447" s="1" t="n">
        <v>45400</v>
      </c>
      <c r="C1447" s="1" t="n">
        <v>45719</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15255-2024</t>
        </is>
      </c>
      <c r="B1448" s="1" t="n">
        <v>45400</v>
      </c>
      <c r="C1448" s="1" t="n">
        <v>45719</v>
      </c>
      <c r="D1448" t="inlineStr">
        <is>
          <t>UPPSALA LÄN</t>
        </is>
      </c>
      <c r="E1448" t="inlineStr">
        <is>
          <t>UPPSALA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15544-2024</t>
        </is>
      </c>
      <c r="B1449" s="1" t="n">
        <v>45401</v>
      </c>
      <c r="C1449" s="1" t="n">
        <v>45719</v>
      </c>
      <c r="D1449" t="inlineStr">
        <is>
          <t>UPPSALA LÄN</t>
        </is>
      </c>
      <c r="E1449" t="inlineStr">
        <is>
          <t>UPPSALA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16434-2024</t>
        </is>
      </c>
      <c r="B1450" s="1" t="n">
        <v>45407</v>
      </c>
      <c r="C1450" s="1" t="n">
        <v>45719</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16324-2024</t>
        </is>
      </c>
      <c r="B1451" s="1" t="n">
        <v>45407</v>
      </c>
      <c r="C1451" s="1" t="n">
        <v>45719</v>
      </c>
      <c r="D1451" t="inlineStr">
        <is>
          <t>UPPSALA LÄN</t>
        </is>
      </c>
      <c r="E1451" t="inlineStr">
        <is>
          <t>UPPSALA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17146-2024</t>
        </is>
      </c>
      <c r="B1452" s="1" t="n">
        <v>45412</v>
      </c>
      <c r="C1452" s="1" t="n">
        <v>45719</v>
      </c>
      <c r="D1452" t="inlineStr">
        <is>
          <t>UPPSALA LÄN</t>
        </is>
      </c>
      <c r="E1452" t="inlineStr">
        <is>
          <t>UPPSALA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17287-2024</t>
        </is>
      </c>
      <c r="B1453" s="1" t="n">
        <v>45414</v>
      </c>
      <c r="C1453" s="1" t="n">
        <v>45719</v>
      </c>
      <c r="D1453" t="inlineStr">
        <is>
          <t>UPPSALA LÄN</t>
        </is>
      </c>
      <c r="E1453" t="inlineStr">
        <is>
          <t>UPPSALA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17761-2024</t>
        </is>
      </c>
      <c r="B1454" s="1" t="n">
        <v>45418</v>
      </c>
      <c r="C1454" s="1" t="n">
        <v>45719</v>
      </c>
      <c r="D1454" t="inlineStr">
        <is>
          <t>UPPSALA LÄN</t>
        </is>
      </c>
      <c r="E1454" t="inlineStr">
        <is>
          <t>UPPSALA</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18069-2024</t>
        </is>
      </c>
      <c r="B1455" s="1" t="n">
        <v>45420</v>
      </c>
      <c r="C1455" s="1" t="n">
        <v>45719</v>
      </c>
      <c r="D1455" t="inlineStr">
        <is>
          <t>UPPSALA LÄN</t>
        </is>
      </c>
      <c r="E1455" t="inlineStr">
        <is>
          <t>UPPSALA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18354-2024</t>
        </is>
      </c>
      <c r="B1456" s="1" t="n">
        <v>45422</v>
      </c>
      <c r="C1456" s="1" t="n">
        <v>45719</v>
      </c>
      <c r="D1456" t="inlineStr">
        <is>
          <t>UPPSALA LÄN</t>
        </is>
      </c>
      <c r="E1456" t="inlineStr">
        <is>
          <t>UPPSALA</t>
        </is>
      </c>
      <c r="F1456" t="inlineStr">
        <is>
          <t>Holmen skog AB</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18607-2024</t>
        </is>
      </c>
      <c r="B1457" s="1" t="n">
        <v>45426</v>
      </c>
      <c r="C1457" s="1" t="n">
        <v>45719</v>
      </c>
      <c r="D1457" t="inlineStr">
        <is>
          <t>UPPSALA LÄN</t>
        </is>
      </c>
      <c r="E1457" t="inlineStr">
        <is>
          <t>UPPSALA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18677-2024</t>
        </is>
      </c>
      <c r="B1458" s="1" t="n">
        <v>45426</v>
      </c>
      <c r="C1458" s="1" t="n">
        <v>45719</v>
      </c>
      <c r="D1458" t="inlineStr">
        <is>
          <t>UPPSALA LÄN</t>
        </is>
      </c>
      <c r="E1458" t="inlineStr">
        <is>
          <t>UPPSALA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18667-2024</t>
        </is>
      </c>
      <c r="B1459" s="1" t="n">
        <v>45426</v>
      </c>
      <c r="C1459" s="1" t="n">
        <v>45719</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18670-2024</t>
        </is>
      </c>
      <c r="B1460" s="1" t="n">
        <v>45426</v>
      </c>
      <c r="C1460" s="1" t="n">
        <v>45719</v>
      </c>
      <c r="D1460" t="inlineStr">
        <is>
          <t>UPPSALA LÄN</t>
        </is>
      </c>
      <c r="E1460" t="inlineStr">
        <is>
          <t>UPPSALA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18675-2024</t>
        </is>
      </c>
      <c r="B1461" s="1" t="n">
        <v>45426</v>
      </c>
      <c r="C1461" s="1" t="n">
        <v>45719</v>
      </c>
      <c r="D1461" t="inlineStr">
        <is>
          <t>UPPSALA LÄN</t>
        </is>
      </c>
      <c r="E1461" t="inlineStr">
        <is>
          <t>UPPSALA</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18808-2024</t>
        </is>
      </c>
      <c r="B1462" s="1" t="n">
        <v>45426</v>
      </c>
      <c r="C1462" s="1" t="n">
        <v>45719</v>
      </c>
      <c r="D1462" t="inlineStr">
        <is>
          <t>UPPSALA LÄN</t>
        </is>
      </c>
      <c r="E1462" t="inlineStr">
        <is>
          <t>UPPSALA</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18668-2024</t>
        </is>
      </c>
      <c r="B1463" s="1" t="n">
        <v>45426</v>
      </c>
      <c r="C1463" s="1" t="n">
        <v>45719</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19164-2024</t>
        </is>
      </c>
      <c r="B1464" s="1" t="n">
        <v>45428</v>
      </c>
      <c r="C1464" s="1" t="n">
        <v>45719</v>
      </c>
      <c r="D1464" t="inlineStr">
        <is>
          <t>UPPSALA LÄN</t>
        </is>
      </c>
      <c r="E1464" t="inlineStr">
        <is>
          <t>UPPSALA</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19126-2024</t>
        </is>
      </c>
      <c r="B1465" s="1" t="n">
        <v>45428</v>
      </c>
      <c r="C1465" s="1" t="n">
        <v>45719</v>
      </c>
      <c r="D1465" t="inlineStr">
        <is>
          <t>UPPSALA LÄN</t>
        </is>
      </c>
      <c r="E1465" t="inlineStr">
        <is>
          <t>UPPSALA</t>
        </is>
      </c>
      <c r="F1465" t="inlineStr">
        <is>
          <t>Allmännings- och besparingsskogar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19414-2024</t>
        </is>
      </c>
      <c r="B1466" s="1" t="n">
        <v>45429</v>
      </c>
      <c r="C1466" s="1" t="n">
        <v>45719</v>
      </c>
      <c r="D1466" t="inlineStr">
        <is>
          <t>UPPSALA LÄN</t>
        </is>
      </c>
      <c r="E1466" t="inlineStr">
        <is>
          <t>UPPSALA</t>
        </is>
      </c>
      <c r="F1466" t="inlineStr">
        <is>
          <t>Kyrkan</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19539-2024</t>
        </is>
      </c>
      <c r="B1467" s="1" t="n">
        <v>45429</v>
      </c>
      <c r="C1467" s="1" t="n">
        <v>45719</v>
      </c>
      <c r="D1467" t="inlineStr">
        <is>
          <t>UPPSALA LÄN</t>
        </is>
      </c>
      <c r="E1467" t="inlineStr">
        <is>
          <t>UPPSALA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20466-2024</t>
        </is>
      </c>
      <c r="B1468" s="1" t="n">
        <v>45435</v>
      </c>
      <c r="C1468" s="1" t="n">
        <v>45719</v>
      </c>
      <c r="D1468" t="inlineStr">
        <is>
          <t>UPPSALA LÄN</t>
        </is>
      </c>
      <c r="E1468" t="inlineStr">
        <is>
          <t>UPPSALA</t>
        </is>
      </c>
      <c r="F1468" t="inlineStr">
        <is>
          <t>Holmen skog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20297-2024</t>
        </is>
      </c>
      <c r="B1469" s="1" t="n">
        <v>45435</v>
      </c>
      <c r="C1469" s="1" t="n">
        <v>45719</v>
      </c>
      <c r="D1469" t="inlineStr">
        <is>
          <t>UPPSALA LÄN</t>
        </is>
      </c>
      <c r="E1469" t="inlineStr">
        <is>
          <t>UPPSALA</t>
        </is>
      </c>
      <c r="F1469" t="inlineStr">
        <is>
          <t>Kyrkan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20301-2024</t>
        </is>
      </c>
      <c r="B1470" s="1" t="n">
        <v>45435</v>
      </c>
      <c r="C1470" s="1" t="n">
        <v>45719</v>
      </c>
      <c r="D1470" t="inlineStr">
        <is>
          <t>UPPSALA LÄN</t>
        </is>
      </c>
      <c r="E1470" t="inlineStr">
        <is>
          <t>UPPSALA</t>
        </is>
      </c>
      <c r="F1470" t="inlineStr">
        <is>
          <t>Kyrkan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20375-2024</t>
        </is>
      </c>
      <c r="B1471" s="1" t="n">
        <v>45435</v>
      </c>
      <c r="C1471" s="1" t="n">
        <v>45719</v>
      </c>
      <c r="D1471" t="inlineStr">
        <is>
          <t>UPPSALA LÄN</t>
        </is>
      </c>
      <c r="E1471" t="inlineStr">
        <is>
          <t>UPPSALA</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20459-2024</t>
        </is>
      </c>
      <c r="B1472" s="1" t="n">
        <v>45435</v>
      </c>
      <c r="C1472" s="1" t="n">
        <v>45719</v>
      </c>
      <c r="D1472" t="inlineStr">
        <is>
          <t>UPPSALA LÄN</t>
        </is>
      </c>
      <c r="E1472" t="inlineStr">
        <is>
          <t>UPPSALA</t>
        </is>
      </c>
      <c r="F1472" t="inlineStr">
        <is>
          <t>Kyrkan</t>
        </is>
      </c>
      <c r="G1472" t="n">
        <v>15.8</v>
      </c>
      <c r="H1472" t="n">
        <v>0</v>
      </c>
      <c r="I1472" t="n">
        <v>0</v>
      </c>
      <c r="J1472" t="n">
        <v>0</v>
      </c>
      <c r="K1472" t="n">
        <v>0</v>
      </c>
      <c r="L1472" t="n">
        <v>0</v>
      </c>
      <c r="M1472" t="n">
        <v>0</v>
      </c>
      <c r="N1472" t="n">
        <v>0</v>
      </c>
      <c r="O1472" t="n">
        <v>0</v>
      </c>
      <c r="P1472" t="n">
        <v>0</v>
      </c>
      <c r="Q1472" t="n">
        <v>0</v>
      </c>
      <c r="R1472" s="2" t="inlineStr"/>
    </row>
    <row r="1473" ht="15" customHeight="1">
      <c r="A1473" t="inlineStr">
        <is>
          <t>A 20458-2024</t>
        </is>
      </c>
      <c r="B1473" s="1" t="n">
        <v>45435</v>
      </c>
      <c r="C1473" s="1" t="n">
        <v>45719</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20711-2024</t>
        </is>
      </c>
      <c r="B1474" s="1" t="n">
        <v>45436</v>
      </c>
      <c r="C1474" s="1" t="n">
        <v>45719</v>
      </c>
      <c r="D1474" t="inlineStr">
        <is>
          <t>UPPSALA LÄN</t>
        </is>
      </c>
      <c r="E1474" t="inlineStr">
        <is>
          <t>UPPSALA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20851-2024</t>
        </is>
      </c>
      <c r="B1475" s="1" t="n">
        <v>45439</v>
      </c>
      <c r="C1475" s="1" t="n">
        <v>45719</v>
      </c>
      <c r="D1475" t="inlineStr">
        <is>
          <t>UPPSALA LÄN</t>
        </is>
      </c>
      <c r="E1475" t="inlineStr">
        <is>
          <t>UPPSALA</t>
        </is>
      </c>
      <c r="F1475" t="inlineStr">
        <is>
          <t>Holmen skog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21015-2024</t>
        </is>
      </c>
      <c r="B1476" s="1" t="n">
        <v>45439</v>
      </c>
      <c r="C1476" s="1" t="n">
        <v>45719</v>
      </c>
      <c r="D1476" t="inlineStr">
        <is>
          <t>UPPSALA LÄN</t>
        </is>
      </c>
      <c r="E1476" t="inlineStr">
        <is>
          <t>UPPSALA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20903-2024</t>
        </is>
      </c>
      <c r="B1477" s="1" t="n">
        <v>45439</v>
      </c>
      <c r="C1477" s="1" t="n">
        <v>45719</v>
      </c>
      <c r="D1477" t="inlineStr">
        <is>
          <t>UPPSALA LÄN</t>
        </is>
      </c>
      <c r="E1477" t="inlineStr">
        <is>
          <t>UPPSALA</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21182-2024</t>
        </is>
      </c>
      <c r="B1478" s="1" t="n">
        <v>45440</v>
      </c>
      <c r="C1478" s="1" t="n">
        <v>45719</v>
      </c>
      <c r="D1478" t="inlineStr">
        <is>
          <t>UPPSALA LÄN</t>
        </is>
      </c>
      <c r="E1478" t="inlineStr">
        <is>
          <t>UPPSALA</t>
        </is>
      </c>
      <c r="F1478" t="inlineStr">
        <is>
          <t>Holmen skog AB</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21310-2024</t>
        </is>
      </c>
      <c r="B1479" s="1" t="n">
        <v>45440</v>
      </c>
      <c r="C1479" s="1" t="n">
        <v>45719</v>
      </c>
      <c r="D1479" t="inlineStr">
        <is>
          <t>UPPSALA LÄN</t>
        </is>
      </c>
      <c r="E1479" t="inlineStr">
        <is>
          <t>UPPSALA</t>
        </is>
      </c>
      <c r="F1479" t="inlineStr">
        <is>
          <t>Holmen skog AB</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21526-2024</t>
        </is>
      </c>
      <c r="B1480" s="1" t="n">
        <v>45441</v>
      </c>
      <c r="C1480" s="1" t="n">
        <v>45719</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21555-2024</t>
        </is>
      </c>
      <c r="B1481" s="1" t="n">
        <v>45441</v>
      </c>
      <c r="C1481" s="1" t="n">
        <v>45719</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21657-2024</t>
        </is>
      </c>
      <c r="B1482" s="1" t="n">
        <v>45442</v>
      </c>
      <c r="C1482" s="1" t="n">
        <v>45719</v>
      </c>
      <c r="D1482" t="inlineStr">
        <is>
          <t>UPPSALA LÄN</t>
        </is>
      </c>
      <c r="E1482" t="inlineStr">
        <is>
          <t>UPPSALA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21786-2024</t>
        </is>
      </c>
      <c r="B1483" s="1" t="n">
        <v>45442</v>
      </c>
      <c r="C1483" s="1" t="n">
        <v>45719</v>
      </c>
      <c r="D1483" t="inlineStr">
        <is>
          <t>UPPSALA LÄN</t>
        </is>
      </c>
      <c r="E1483" t="inlineStr">
        <is>
          <t>UPPSALA</t>
        </is>
      </c>
      <c r="F1483" t="inlineStr">
        <is>
          <t>Allmännings- och besparingsskogar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21641-2024</t>
        </is>
      </c>
      <c r="B1484" s="1" t="n">
        <v>45442</v>
      </c>
      <c r="C1484" s="1" t="n">
        <v>45719</v>
      </c>
      <c r="D1484" t="inlineStr">
        <is>
          <t>UPPSALA LÄN</t>
        </is>
      </c>
      <c r="E1484" t="inlineStr">
        <is>
          <t>UPPSALA</t>
        </is>
      </c>
      <c r="F1484" t="inlineStr">
        <is>
          <t>Kyrkan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21859-2024</t>
        </is>
      </c>
      <c r="B1485" s="1" t="n">
        <v>45443</v>
      </c>
      <c r="C1485" s="1" t="n">
        <v>45719</v>
      </c>
      <c r="D1485" t="inlineStr">
        <is>
          <t>UPPSALA LÄN</t>
        </is>
      </c>
      <c r="E1485" t="inlineStr">
        <is>
          <t>UPPSALA</t>
        </is>
      </c>
      <c r="F1485" t="inlineStr">
        <is>
          <t>Kyrkan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22431-2024</t>
        </is>
      </c>
      <c r="B1486" s="1" t="n">
        <v>45446</v>
      </c>
      <c r="C1486" s="1" t="n">
        <v>45719</v>
      </c>
      <c r="D1486" t="inlineStr">
        <is>
          <t>UPPSALA LÄN</t>
        </is>
      </c>
      <c r="E1486" t="inlineStr">
        <is>
          <t>UPPSALA</t>
        </is>
      </c>
      <c r="F1486" t="inlineStr">
        <is>
          <t>Bergvik skog öst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22437-2024</t>
        </is>
      </c>
      <c r="B1487" s="1" t="n">
        <v>45446</v>
      </c>
      <c r="C1487" s="1" t="n">
        <v>45719</v>
      </c>
      <c r="D1487" t="inlineStr">
        <is>
          <t>UPPSALA LÄN</t>
        </is>
      </c>
      <c r="E1487" t="inlineStr">
        <is>
          <t>UPPSALA</t>
        </is>
      </c>
      <c r="F1487" t="inlineStr">
        <is>
          <t>Bergvik skog öst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22433-2024</t>
        </is>
      </c>
      <c r="B1488" s="1" t="n">
        <v>45446</v>
      </c>
      <c r="C1488" s="1" t="n">
        <v>45719</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22432-2024</t>
        </is>
      </c>
      <c r="B1489" s="1" t="n">
        <v>45446</v>
      </c>
      <c r="C1489" s="1" t="n">
        <v>45719</v>
      </c>
      <c r="D1489" t="inlineStr">
        <is>
          <t>UPPSALA LÄN</t>
        </is>
      </c>
      <c r="E1489" t="inlineStr">
        <is>
          <t>UPPSALA</t>
        </is>
      </c>
      <c r="F1489" t="inlineStr">
        <is>
          <t>Bergvik skog öst AB</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22900-2024</t>
        </is>
      </c>
      <c r="B1490" s="1" t="n">
        <v>45448</v>
      </c>
      <c r="C1490" s="1" t="n">
        <v>45719</v>
      </c>
      <c r="D1490" t="inlineStr">
        <is>
          <t>UPPSALA LÄN</t>
        </is>
      </c>
      <c r="E1490" t="inlineStr">
        <is>
          <t>UPPSALA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23291-2024</t>
        </is>
      </c>
      <c r="B1491" s="1" t="n">
        <v>45453</v>
      </c>
      <c r="C1491" s="1" t="n">
        <v>45719</v>
      </c>
      <c r="D1491" t="inlineStr">
        <is>
          <t>UPPSALA LÄN</t>
        </is>
      </c>
      <c r="E1491" t="inlineStr">
        <is>
          <t>UPPSALA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23494-2024</t>
        </is>
      </c>
      <c r="B1492" s="1" t="n">
        <v>45453</v>
      </c>
      <c r="C1492" s="1" t="n">
        <v>45719</v>
      </c>
      <c r="D1492" t="inlineStr">
        <is>
          <t>UPPSALA LÄN</t>
        </is>
      </c>
      <c r="E1492" t="inlineStr">
        <is>
          <t>UPPSALA</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24098-2024</t>
        </is>
      </c>
      <c r="B1493" s="1" t="n">
        <v>45456</v>
      </c>
      <c r="C1493" s="1" t="n">
        <v>45719</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24091-2024</t>
        </is>
      </c>
      <c r="B1494" s="1" t="n">
        <v>45456</v>
      </c>
      <c r="C1494" s="1" t="n">
        <v>45719</v>
      </c>
      <c r="D1494" t="inlineStr">
        <is>
          <t>UPPSALA LÄN</t>
        </is>
      </c>
      <c r="E1494" t="inlineStr">
        <is>
          <t>UPPSALA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24787-2024</t>
        </is>
      </c>
      <c r="B1495" s="1" t="n">
        <v>45460</v>
      </c>
      <c r="C1495" s="1" t="n">
        <v>45719</v>
      </c>
      <c r="D1495" t="inlineStr">
        <is>
          <t>UPPSALA LÄN</t>
        </is>
      </c>
      <c r="E1495" t="inlineStr">
        <is>
          <t>UPPSALA</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25539-2024</t>
        </is>
      </c>
      <c r="B1496" s="1" t="n">
        <v>45463</v>
      </c>
      <c r="C1496" s="1" t="n">
        <v>45719</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25537-2024</t>
        </is>
      </c>
      <c r="B1497" s="1" t="n">
        <v>45463</v>
      </c>
      <c r="C1497" s="1" t="n">
        <v>45719</v>
      </c>
      <c r="D1497" t="inlineStr">
        <is>
          <t>UPPSALA LÄN</t>
        </is>
      </c>
      <c r="E1497" t="inlineStr">
        <is>
          <t>UPPSALA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25536-2024</t>
        </is>
      </c>
      <c r="B1498" s="1" t="n">
        <v>45463</v>
      </c>
      <c r="C1498" s="1" t="n">
        <v>45719</v>
      </c>
      <c r="D1498" t="inlineStr">
        <is>
          <t>UPPSALA LÄN</t>
        </is>
      </c>
      <c r="E1498" t="inlineStr">
        <is>
          <t>UPPSALA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25487-2024</t>
        </is>
      </c>
      <c r="B1499" s="1" t="n">
        <v>45463</v>
      </c>
      <c r="C1499" s="1" t="n">
        <v>45719</v>
      </c>
      <c r="D1499" t="inlineStr">
        <is>
          <t>UPPSALA LÄN</t>
        </is>
      </c>
      <c r="E1499" t="inlineStr">
        <is>
          <t>UPPSALA</t>
        </is>
      </c>
      <c r="F1499" t="inlineStr">
        <is>
          <t>Övriga Aktiebolag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25403-2024</t>
        </is>
      </c>
      <c r="B1500" s="1" t="n">
        <v>45463</v>
      </c>
      <c r="C1500" s="1" t="n">
        <v>45719</v>
      </c>
      <c r="D1500" t="inlineStr">
        <is>
          <t>UPPSALA LÄN</t>
        </is>
      </c>
      <c r="E1500" t="inlineStr">
        <is>
          <t>UPPSALA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25490-2024</t>
        </is>
      </c>
      <c r="B1501" s="1" t="n">
        <v>45463</v>
      </c>
      <c r="C1501" s="1" t="n">
        <v>45719</v>
      </c>
      <c r="D1501" t="inlineStr">
        <is>
          <t>UPPSALA LÄN</t>
        </is>
      </c>
      <c r="E1501" t="inlineStr">
        <is>
          <t>UPPSALA</t>
        </is>
      </c>
      <c r="F1501" t="inlineStr">
        <is>
          <t>Övriga Aktiebolag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26099-2024</t>
        </is>
      </c>
      <c r="B1502" s="1" t="n">
        <v>45468</v>
      </c>
      <c r="C1502" s="1" t="n">
        <v>45719</v>
      </c>
      <c r="D1502" t="inlineStr">
        <is>
          <t>UPPSALA LÄN</t>
        </is>
      </c>
      <c r="E1502" t="inlineStr">
        <is>
          <t>UPPSALA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27476-2024</t>
        </is>
      </c>
      <c r="B1503" s="1" t="n">
        <v>45474</v>
      </c>
      <c r="C1503" s="1" t="n">
        <v>45719</v>
      </c>
      <c r="D1503" t="inlineStr">
        <is>
          <t>UPPSALA LÄN</t>
        </is>
      </c>
      <c r="E1503" t="inlineStr">
        <is>
          <t>UPPSALA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27473-2024</t>
        </is>
      </c>
      <c r="B1504" s="1" t="n">
        <v>45474</v>
      </c>
      <c r="C1504" s="1" t="n">
        <v>45719</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27442-2024</t>
        </is>
      </c>
      <c r="B1505" s="1" t="n">
        <v>45474</v>
      </c>
      <c r="C1505" s="1" t="n">
        <v>45719</v>
      </c>
      <c r="D1505" t="inlineStr">
        <is>
          <t>UPPSALA LÄN</t>
        </is>
      </c>
      <c r="E1505" t="inlineStr">
        <is>
          <t>UPPSALA</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27474-2024</t>
        </is>
      </c>
      <c r="B1506" s="1" t="n">
        <v>45474</v>
      </c>
      <c r="C1506" s="1" t="n">
        <v>45719</v>
      </c>
      <c r="D1506" t="inlineStr">
        <is>
          <t>UPPSALA LÄN</t>
        </is>
      </c>
      <c r="E1506" t="inlineStr">
        <is>
          <t>UPPSALA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27498-2024</t>
        </is>
      </c>
      <c r="B1507" s="1" t="n">
        <v>45474</v>
      </c>
      <c r="C1507" s="1" t="n">
        <v>45719</v>
      </c>
      <c r="D1507" t="inlineStr">
        <is>
          <t>UPPSALA LÄN</t>
        </is>
      </c>
      <c r="E1507" t="inlineStr">
        <is>
          <t>UPPSALA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27857-2024</t>
        </is>
      </c>
      <c r="B1508" s="1" t="n">
        <v>45475</v>
      </c>
      <c r="C1508" s="1" t="n">
        <v>45719</v>
      </c>
      <c r="D1508" t="inlineStr">
        <is>
          <t>UPPSALA LÄN</t>
        </is>
      </c>
      <c r="E1508" t="inlineStr">
        <is>
          <t>UPPSALA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27994-2024</t>
        </is>
      </c>
      <c r="B1509" s="1" t="n">
        <v>45476</v>
      </c>
      <c r="C1509" s="1" t="n">
        <v>45719</v>
      </c>
      <c r="D1509" t="inlineStr">
        <is>
          <t>UPPSALA LÄN</t>
        </is>
      </c>
      <c r="E1509" t="inlineStr">
        <is>
          <t>UPPSALA</t>
        </is>
      </c>
      <c r="F1509" t="inlineStr">
        <is>
          <t>Holmen skog AB</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27981-2024</t>
        </is>
      </c>
      <c r="B1510" s="1" t="n">
        <v>45476</v>
      </c>
      <c r="C1510" s="1" t="n">
        <v>45719</v>
      </c>
      <c r="D1510" t="inlineStr">
        <is>
          <t>UPPSALA LÄN</t>
        </is>
      </c>
      <c r="E1510" t="inlineStr">
        <is>
          <t>UPPSALA</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27973-2024</t>
        </is>
      </c>
      <c r="B1511" s="1" t="n">
        <v>45476</v>
      </c>
      <c r="C1511" s="1" t="n">
        <v>45719</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28453-2024</t>
        </is>
      </c>
      <c r="B1512" s="1" t="n">
        <v>45477</v>
      </c>
      <c r="C1512" s="1" t="n">
        <v>45719</v>
      </c>
      <c r="D1512" t="inlineStr">
        <is>
          <t>UPPSALA LÄN</t>
        </is>
      </c>
      <c r="E1512" t="inlineStr">
        <is>
          <t>UPPSALA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28825-2024</t>
        </is>
      </c>
      <c r="B1513" s="1" t="n">
        <v>45478</v>
      </c>
      <c r="C1513" s="1" t="n">
        <v>45719</v>
      </c>
      <c r="D1513" t="inlineStr">
        <is>
          <t>UPPSALA LÄN</t>
        </is>
      </c>
      <c r="E1513" t="inlineStr">
        <is>
          <t>UPPSALA</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28782-2024</t>
        </is>
      </c>
      <c r="B1514" s="1" t="n">
        <v>45478</v>
      </c>
      <c r="C1514" s="1" t="n">
        <v>45719</v>
      </c>
      <c r="D1514" t="inlineStr">
        <is>
          <t>UPPSALA LÄN</t>
        </is>
      </c>
      <c r="E1514" t="inlineStr">
        <is>
          <t>UPPSALA</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29081-2024</t>
        </is>
      </c>
      <c r="B1515" s="1" t="n">
        <v>45481</v>
      </c>
      <c r="C1515" s="1" t="n">
        <v>45719</v>
      </c>
      <c r="D1515" t="inlineStr">
        <is>
          <t>UPPSALA LÄN</t>
        </is>
      </c>
      <c r="E1515" t="inlineStr">
        <is>
          <t>UPPSALA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29082-2024</t>
        </is>
      </c>
      <c r="B1516" s="1" t="n">
        <v>45481</v>
      </c>
      <c r="C1516" s="1" t="n">
        <v>45719</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29164-2024</t>
        </is>
      </c>
      <c r="B1517" s="1" t="n">
        <v>45482</v>
      </c>
      <c r="C1517" s="1" t="n">
        <v>45719</v>
      </c>
      <c r="D1517" t="inlineStr">
        <is>
          <t>UPPSALA LÄN</t>
        </is>
      </c>
      <c r="E1517" t="inlineStr">
        <is>
          <t>UPPSALA</t>
        </is>
      </c>
      <c r="F1517" t="inlineStr">
        <is>
          <t>Allmännings- och besparingsskogar</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30079-2024</t>
        </is>
      </c>
      <c r="B1518" s="1" t="n">
        <v>45489</v>
      </c>
      <c r="C1518" s="1" t="n">
        <v>45719</v>
      </c>
      <c r="D1518" t="inlineStr">
        <is>
          <t>UPPSALA LÄN</t>
        </is>
      </c>
      <c r="E1518" t="inlineStr">
        <is>
          <t>UPPSALA</t>
        </is>
      </c>
      <c r="F1518" t="inlineStr">
        <is>
          <t>Holmen skog AB</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30319-2024</t>
        </is>
      </c>
      <c r="B1519" s="1" t="n">
        <v>45490</v>
      </c>
      <c r="C1519" s="1" t="n">
        <v>45719</v>
      </c>
      <c r="D1519" t="inlineStr">
        <is>
          <t>UPPSALA LÄN</t>
        </is>
      </c>
      <c r="E1519" t="inlineStr">
        <is>
          <t>UPPSALA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31717-2024</t>
        </is>
      </c>
      <c r="B1520" s="1" t="n">
        <v>45509</v>
      </c>
      <c r="C1520" s="1" t="n">
        <v>45719</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32119-2024</t>
        </is>
      </c>
      <c r="B1521" s="1" t="n">
        <v>45511</v>
      </c>
      <c r="C1521" s="1" t="n">
        <v>45719</v>
      </c>
      <c r="D1521" t="inlineStr">
        <is>
          <t>UPPSALA LÄN</t>
        </is>
      </c>
      <c r="E1521" t="inlineStr">
        <is>
          <t>UPPSALA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32127-2024</t>
        </is>
      </c>
      <c r="B1522" s="1" t="n">
        <v>45511</v>
      </c>
      <c r="C1522" s="1" t="n">
        <v>45719</v>
      </c>
      <c r="D1522" t="inlineStr">
        <is>
          <t>UPPSALA LÄN</t>
        </is>
      </c>
      <c r="E1522" t="inlineStr">
        <is>
          <t>UPPSALA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32106-2024</t>
        </is>
      </c>
      <c r="B1523" s="1" t="n">
        <v>45511</v>
      </c>
      <c r="C1523" s="1" t="n">
        <v>45719</v>
      </c>
      <c r="D1523" t="inlineStr">
        <is>
          <t>UPPSALA LÄN</t>
        </is>
      </c>
      <c r="E1523" t="inlineStr">
        <is>
          <t>UPPSALA</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32117-2024</t>
        </is>
      </c>
      <c r="B1524" s="1" t="n">
        <v>45511</v>
      </c>
      <c r="C1524" s="1" t="n">
        <v>45719</v>
      </c>
      <c r="D1524" t="inlineStr">
        <is>
          <t>UPPSALA LÄN</t>
        </is>
      </c>
      <c r="E1524" t="inlineStr">
        <is>
          <t>UPPSALA</t>
        </is>
      </c>
      <c r="F1524" t="inlineStr">
        <is>
          <t>Allmännings- och besparingsskogar</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32554-2024</t>
        </is>
      </c>
      <c r="B1525" s="1" t="n">
        <v>45513</v>
      </c>
      <c r="C1525" s="1" t="n">
        <v>45719</v>
      </c>
      <c r="D1525" t="inlineStr">
        <is>
          <t>UPPSALA LÄN</t>
        </is>
      </c>
      <c r="E1525" t="inlineStr">
        <is>
          <t>UPPSALA</t>
        </is>
      </c>
      <c r="F1525" t="inlineStr">
        <is>
          <t>Bergvik skog öst AB</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32553-2024</t>
        </is>
      </c>
      <c r="B1526" s="1" t="n">
        <v>45513</v>
      </c>
      <c r="C1526" s="1" t="n">
        <v>45719</v>
      </c>
      <c r="D1526" t="inlineStr">
        <is>
          <t>UPPSALA LÄN</t>
        </is>
      </c>
      <c r="E1526" t="inlineStr">
        <is>
          <t>UPPSALA</t>
        </is>
      </c>
      <c r="F1526" t="inlineStr">
        <is>
          <t>Bergvik skog öst AB</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33622-2024</t>
        </is>
      </c>
      <c r="B1527" s="1" t="n">
        <v>45520</v>
      </c>
      <c r="C1527" s="1" t="n">
        <v>45719</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33667-2024</t>
        </is>
      </c>
      <c r="B1528" s="1" t="n">
        <v>45520</v>
      </c>
      <c r="C1528" s="1" t="n">
        <v>45719</v>
      </c>
      <c r="D1528" t="inlineStr">
        <is>
          <t>UPPSALA LÄN</t>
        </is>
      </c>
      <c r="E1528" t="inlineStr">
        <is>
          <t>UPPSALA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33816-2024</t>
        </is>
      </c>
      <c r="B1529" s="1" t="n">
        <v>45520</v>
      </c>
      <c r="C1529" s="1" t="n">
        <v>45719</v>
      </c>
      <c r="D1529" t="inlineStr">
        <is>
          <t>UPPSALA LÄN</t>
        </is>
      </c>
      <c r="E1529" t="inlineStr">
        <is>
          <t>UPPSALA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33939-2024</t>
        </is>
      </c>
      <c r="B1530" s="1" t="n">
        <v>45523</v>
      </c>
      <c r="C1530" s="1" t="n">
        <v>45719</v>
      </c>
      <c r="D1530" t="inlineStr">
        <is>
          <t>UPPSALA LÄN</t>
        </is>
      </c>
      <c r="E1530" t="inlineStr">
        <is>
          <t>UPPSALA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34147-2024</t>
        </is>
      </c>
      <c r="B1531" s="1" t="n">
        <v>45524</v>
      </c>
      <c r="C1531" s="1" t="n">
        <v>45719</v>
      </c>
      <c r="D1531" t="inlineStr">
        <is>
          <t>UPPSALA LÄN</t>
        </is>
      </c>
      <c r="E1531" t="inlineStr">
        <is>
          <t>UPPSALA</t>
        </is>
      </c>
      <c r="F1531" t="inlineStr">
        <is>
          <t>Allmännings- och besparingsskogar</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34114-2024</t>
        </is>
      </c>
      <c r="B1532" s="1" t="n">
        <v>45524</v>
      </c>
      <c r="C1532" s="1" t="n">
        <v>45719</v>
      </c>
      <c r="D1532" t="inlineStr">
        <is>
          <t>UPPSALA LÄN</t>
        </is>
      </c>
      <c r="E1532" t="inlineStr">
        <is>
          <t>UPPSALA</t>
        </is>
      </c>
      <c r="F1532" t="inlineStr">
        <is>
          <t>Allmännings- och besparingsskogar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34520-2024</t>
        </is>
      </c>
      <c r="B1533" s="1" t="n">
        <v>45525</v>
      </c>
      <c r="C1533" s="1" t="n">
        <v>45719</v>
      </c>
      <c r="D1533" t="inlineStr">
        <is>
          <t>UPPSALA LÄN</t>
        </is>
      </c>
      <c r="E1533" t="inlineStr">
        <is>
          <t>UPPSALA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34656-2024</t>
        </is>
      </c>
      <c r="B1534" s="1" t="n">
        <v>45526</v>
      </c>
      <c r="C1534" s="1" t="n">
        <v>45719</v>
      </c>
      <c r="D1534" t="inlineStr">
        <is>
          <t>UPPSALA LÄN</t>
        </is>
      </c>
      <c r="E1534" t="inlineStr">
        <is>
          <t>UPPSALA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34623-2024</t>
        </is>
      </c>
      <c r="B1535" s="1" t="n">
        <v>45526</v>
      </c>
      <c r="C1535" s="1" t="n">
        <v>45719</v>
      </c>
      <c r="D1535" t="inlineStr">
        <is>
          <t>UPPSALA LÄN</t>
        </is>
      </c>
      <c r="E1535" t="inlineStr">
        <is>
          <t>UPPSALA</t>
        </is>
      </c>
      <c r="G1535" t="n">
        <v>21.5</v>
      </c>
      <c r="H1535" t="n">
        <v>0</v>
      </c>
      <c r="I1535" t="n">
        <v>0</v>
      </c>
      <c r="J1535" t="n">
        <v>0</v>
      </c>
      <c r="K1535" t="n">
        <v>0</v>
      </c>
      <c r="L1535" t="n">
        <v>0</v>
      </c>
      <c r="M1535" t="n">
        <v>0</v>
      </c>
      <c r="N1535" t="n">
        <v>0</v>
      </c>
      <c r="O1535" t="n">
        <v>0</v>
      </c>
      <c r="P1535" t="n">
        <v>0</v>
      </c>
      <c r="Q1535" t="n">
        <v>0</v>
      </c>
      <c r="R1535" s="2" t="inlineStr"/>
    </row>
    <row r="1536" ht="15" customHeight="1">
      <c r="A1536" t="inlineStr">
        <is>
          <t>A 35830-2024</t>
        </is>
      </c>
      <c r="B1536" s="1" t="n">
        <v>45532</v>
      </c>
      <c r="C1536" s="1" t="n">
        <v>45719</v>
      </c>
      <c r="D1536" t="inlineStr">
        <is>
          <t>UPPSALA LÄN</t>
        </is>
      </c>
      <c r="E1536" t="inlineStr">
        <is>
          <t>UPPSALA</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36015-2024</t>
        </is>
      </c>
      <c r="B1537" s="1" t="n">
        <v>45533</v>
      </c>
      <c r="C1537" s="1" t="n">
        <v>45719</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36029-2024</t>
        </is>
      </c>
      <c r="B1538" s="1" t="n">
        <v>45533</v>
      </c>
      <c r="C1538" s="1" t="n">
        <v>45719</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36041-2024</t>
        </is>
      </c>
      <c r="B1539" s="1" t="n">
        <v>45533</v>
      </c>
      <c r="C1539" s="1" t="n">
        <v>45719</v>
      </c>
      <c r="D1539" t="inlineStr">
        <is>
          <t>UPPSALA LÄN</t>
        </is>
      </c>
      <c r="E1539" t="inlineStr">
        <is>
          <t>UPPSALA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37032-2024</t>
        </is>
      </c>
      <c r="B1540" s="1" t="n">
        <v>45539</v>
      </c>
      <c r="C1540" s="1" t="n">
        <v>45719</v>
      </c>
      <c r="D1540" t="inlineStr">
        <is>
          <t>UPPSALA LÄN</t>
        </is>
      </c>
      <c r="E1540" t="inlineStr">
        <is>
          <t>UPPSALA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37033-2024</t>
        </is>
      </c>
      <c r="B1541" s="1" t="n">
        <v>45539</v>
      </c>
      <c r="C1541" s="1" t="n">
        <v>45719</v>
      </c>
      <c r="D1541" t="inlineStr">
        <is>
          <t>UPPSALA LÄN</t>
        </is>
      </c>
      <c r="E1541" t="inlineStr">
        <is>
          <t>UPPSALA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37307-2024</t>
        </is>
      </c>
      <c r="B1542" s="1" t="n">
        <v>45540</v>
      </c>
      <c r="C1542" s="1" t="n">
        <v>45719</v>
      </c>
      <c r="D1542" t="inlineStr">
        <is>
          <t>UPPSALA LÄN</t>
        </is>
      </c>
      <c r="E1542" t="inlineStr">
        <is>
          <t>UPPSALA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37568-2024</t>
        </is>
      </c>
      <c r="B1543" s="1" t="n">
        <v>45541</v>
      </c>
      <c r="C1543" s="1" t="n">
        <v>45719</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37666-2024</t>
        </is>
      </c>
      <c r="B1544" s="1" t="n">
        <v>45541</v>
      </c>
      <c r="C1544" s="1" t="n">
        <v>45719</v>
      </c>
      <c r="D1544" t="inlineStr">
        <is>
          <t>UPPSALA LÄN</t>
        </is>
      </c>
      <c r="E1544" t="inlineStr">
        <is>
          <t>UPPSALA</t>
        </is>
      </c>
      <c r="F1544" t="inlineStr">
        <is>
          <t>Övriga Aktiebolag</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37579-2024</t>
        </is>
      </c>
      <c r="B1545" s="1" t="n">
        <v>45541</v>
      </c>
      <c r="C1545" s="1" t="n">
        <v>45719</v>
      </c>
      <c r="D1545" t="inlineStr">
        <is>
          <t>UPPSALA LÄN</t>
        </is>
      </c>
      <c r="E1545" t="inlineStr">
        <is>
          <t>UPPSALA</t>
        </is>
      </c>
      <c r="G1545" t="n">
        <v>22.8</v>
      </c>
      <c r="H1545" t="n">
        <v>0</v>
      </c>
      <c r="I1545" t="n">
        <v>0</v>
      </c>
      <c r="J1545" t="n">
        <v>0</v>
      </c>
      <c r="K1545" t="n">
        <v>0</v>
      </c>
      <c r="L1545" t="n">
        <v>0</v>
      </c>
      <c r="M1545" t="n">
        <v>0</v>
      </c>
      <c r="N1545" t="n">
        <v>0</v>
      </c>
      <c r="O1545" t="n">
        <v>0</v>
      </c>
      <c r="P1545" t="n">
        <v>0</v>
      </c>
      <c r="Q1545" t="n">
        <v>0</v>
      </c>
      <c r="R1545" s="2" t="inlineStr"/>
    </row>
    <row r="1546" ht="15" customHeight="1">
      <c r="A1546" t="inlineStr">
        <is>
          <t>A 37671-2024</t>
        </is>
      </c>
      <c r="B1546" s="1" t="n">
        <v>45541</v>
      </c>
      <c r="C1546" s="1" t="n">
        <v>45719</v>
      </c>
      <c r="D1546" t="inlineStr">
        <is>
          <t>UPPSALA LÄN</t>
        </is>
      </c>
      <c r="E1546" t="inlineStr">
        <is>
          <t>UPPSALA</t>
        </is>
      </c>
      <c r="F1546" t="inlineStr">
        <is>
          <t>Övriga Aktiebolag</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38119-2024</t>
        </is>
      </c>
      <c r="B1547" s="1" t="n">
        <v>45545</v>
      </c>
      <c r="C1547" s="1" t="n">
        <v>45719</v>
      </c>
      <c r="D1547" t="inlineStr">
        <is>
          <t>UPPSALA LÄN</t>
        </is>
      </c>
      <c r="E1547" t="inlineStr">
        <is>
          <t>UPPSALA</t>
        </is>
      </c>
      <c r="F1547" t="inlineStr">
        <is>
          <t>Övriga Aktiebolag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38958-2024</t>
        </is>
      </c>
      <c r="B1548" s="1" t="n">
        <v>45548</v>
      </c>
      <c r="C1548" s="1" t="n">
        <v>45719</v>
      </c>
      <c r="D1548" t="inlineStr">
        <is>
          <t>UPPSALA LÄN</t>
        </is>
      </c>
      <c r="E1548" t="inlineStr">
        <is>
          <t>UPPSALA</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39007-2024</t>
        </is>
      </c>
      <c r="B1549" s="1" t="n">
        <v>45548</v>
      </c>
      <c r="C1549" s="1" t="n">
        <v>45719</v>
      </c>
      <c r="D1549" t="inlineStr">
        <is>
          <t>UPPSALA LÄN</t>
        </is>
      </c>
      <c r="E1549" t="inlineStr">
        <is>
          <t>UPPSALA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39359-2024</t>
        </is>
      </c>
      <c r="B1550" s="1" t="n">
        <v>45551</v>
      </c>
      <c r="C1550" s="1" t="n">
        <v>45719</v>
      </c>
      <c r="D1550" t="inlineStr">
        <is>
          <t>UPPSALA LÄN</t>
        </is>
      </c>
      <c r="E1550" t="inlineStr">
        <is>
          <t>UPPSALA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39818-2024</t>
        </is>
      </c>
      <c r="B1551" s="1" t="n">
        <v>45552</v>
      </c>
      <c r="C1551" s="1" t="n">
        <v>45719</v>
      </c>
      <c r="D1551" t="inlineStr">
        <is>
          <t>UPPSALA LÄN</t>
        </is>
      </c>
      <c r="E1551" t="inlineStr">
        <is>
          <t>UPPSALA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39812-2024</t>
        </is>
      </c>
      <c r="B1552" s="1" t="n">
        <v>45552</v>
      </c>
      <c r="C1552" s="1" t="n">
        <v>45719</v>
      </c>
      <c r="D1552" t="inlineStr">
        <is>
          <t>UPPSALA LÄN</t>
        </is>
      </c>
      <c r="E1552" t="inlineStr">
        <is>
          <t>UPPSALA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39926-2024</t>
        </is>
      </c>
      <c r="B1553" s="1" t="n">
        <v>45553</v>
      </c>
      <c r="C1553" s="1" t="n">
        <v>45719</v>
      </c>
      <c r="D1553" t="inlineStr">
        <is>
          <t>UPPSALA LÄN</t>
        </is>
      </c>
      <c r="E1553" t="inlineStr">
        <is>
          <t>UPPSALA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40111-2024</t>
        </is>
      </c>
      <c r="B1554" s="1" t="n">
        <v>45554</v>
      </c>
      <c r="C1554" s="1" t="n">
        <v>45719</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40326-2024</t>
        </is>
      </c>
      <c r="B1555" s="1" t="n">
        <v>45554</v>
      </c>
      <c r="C1555" s="1" t="n">
        <v>45719</v>
      </c>
      <c r="D1555" t="inlineStr">
        <is>
          <t>UPPSALA LÄN</t>
        </is>
      </c>
      <c r="E1555" t="inlineStr">
        <is>
          <t>UPPSALA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40491-2024</t>
        </is>
      </c>
      <c r="B1556" s="1" t="n">
        <v>45555</v>
      </c>
      <c r="C1556" s="1" t="n">
        <v>45719</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40503-2024</t>
        </is>
      </c>
      <c r="B1557" s="1" t="n">
        <v>45555</v>
      </c>
      <c r="C1557" s="1" t="n">
        <v>45719</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40701-2024</t>
        </is>
      </c>
      <c r="B1558" s="1" t="n">
        <v>45558</v>
      </c>
      <c r="C1558" s="1" t="n">
        <v>45719</v>
      </c>
      <c r="D1558" t="inlineStr">
        <is>
          <t>UPPSALA LÄN</t>
        </is>
      </c>
      <c r="E1558" t="inlineStr">
        <is>
          <t>UPPSALA</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40753-2024</t>
        </is>
      </c>
      <c r="B1559" s="1" t="n">
        <v>45558</v>
      </c>
      <c r="C1559" s="1" t="n">
        <v>45719</v>
      </c>
      <c r="D1559" t="inlineStr">
        <is>
          <t>UPPSALA LÄN</t>
        </is>
      </c>
      <c r="E1559" t="inlineStr">
        <is>
          <t>UPPSALA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42276-2024</t>
        </is>
      </c>
      <c r="B1560" s="1" t="n">
        <v>45562</v>
      </c>
      <c r="C1560" s="1" t="n">
        <v>45719</v>
      </c>
      <c r="D1560" t="inlineStr">
        <is>
          <t>UPPSALA LÄN</t>
        </is>
      </c>
      <c r="E1560" t="inlineStr">
        <is>
          <t>UPPSALA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42146-2024</t>
        </is>
      </c>
      <c r="B1561" s="1" t="n">
        <v>45562</v>
      </c>
      <c r="C1561" s="1" t="n">
        <v>45719</v>
      </c>
      <c r="D1561" t="inlineStr">
        <is>
          <t>UPPSALA LÄN</t>
        </is>
      </c>
      <c r="E1561" t="inlineStr">
        <is>
          <t>UPPSALA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42259-2024</t>
        </is>
      </c>
      <c r="B1562" s="1" t="n">
        <v>45562</v>
      </c>
      <c r="C1562" s="1" t="n">
        <v>45719</v>
      </c>
      <c r="D1562" t="inlineStr">
        <is>
          <t>UPPSALA LÄN</t>
        </is>
      </c>
      <c r="E1562" t="inlineStr">
        <is>
          <t>UPPSALA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42143-2024</t>
        </is>
      </c>
      <c r="B1563" s="1" t="n">
        <v>45562</v>
      </c>
      <c r="C1563" s="1" t="n">
        <v>45719</v>
      </c>
      <c r="D1563" t="inlineStr">
        <is>
          <t>UPPSALA LÄN</t>
        </is>
      </c>
      <c r="E1563" t="inlineStr">
        <is>
          <t>UPPSALA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43361-2024</t>
        </is>
      </c>
      <c r="B1564" s="1" t="n">
        <v>45568</v>
      </c>
      <c r="C1564" s="1" t="n">
        <v>45719</v>
      </c>
      <c r="D1564" t="inlineStr">
        <is>
          <t>UPPSALA LÄN</t>
        </is>
      </c>
      <c r="E1564" t="inlineStr">
        <is>
          <t>UPPSALA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43959-2024</t>
        </is>
      </c>
      <c r="B1565" s="1" t="n">
        <v>45572</v>
      </c>
      <c r="C1565" s="1" t="n">
        <v>45719</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43960-2024</t>
        </is>
      </c>
      <c r="B1566" s="1" t="n">
        <v>45572</v>
      </c>
      <c r="C1566" s="1" t="n">
        <v>45719</v>
      </c>
      <c r="D1566" t="inlineStr">
        <is>
          <t>UPPSALA LÄN</t>
        </is>
      </c>
      <c r="E1566" t="inlineStr">
        <is>
          <t>UPPSALA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43951-2024</t>
        </is>
      </c>
      <c r="B1567" s="1" t="n">
        <v>45572</v>
      </c>
      <c r="C1567" s="1" t="n">
        <v>45719</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44562-2024</t>
        </is>
      </c>
      <c r="B1568" s="1" t="n">
        <v>45574</v>
      </c>
      <c r="C1568" s="1" t="n">
        <v>45719</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44550-2024</t>
        </is>
      </c>
      <c r="B1569" s="1" t="n">
        <v>45574</v>
      </c>
      <c r="C1569" s="1" t="n">
        <v>45719</v>
      </c>
      <c r="D1569" t="inlineStr">
        <is>
          <t>UPPSALA LÄN</t>
        </is>
      </c>
      <c r="E1569" t="inlineStr">
        <is>
          <t>UPPSALA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44563-2024</t>
        </is>
      </c>
      <c r="B1570" s="1" t="n">
        <v>45574</v>
      </c>
      <c r="C1570" s="1" t="n">
        <v>45719</v>
      </c>
      <c r="D1570" t="inlineStr">
        <is>
          <t>UPPSALA LÄN</t>
        </is>
      </c>
      <c r="E1570" t="inlineStr">
        <is>
          <t>UPPSALA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44847-2024</t>
        </is>
      </c>
      <c r="B1571" s="1" t="n">
        <v>45574</v>
      </c>
      <c r="C1571" s="1" t="n">
        <v>45719</v>
      </c>
      <c r="D1571" t="inlineStr">
        <is>
          <t>UPPSALA LÄN</t>
        </is>
      </c>
      <c r="E1571" t="inlineStr">
        <is>
          <t>UPPSALA</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44560-2024</t>
        </is>
      </c>
      <c r="B1572" s="1" t="n">
        <v>45574</v>
      </c>
      <c r="C1572" s="1" t="n">
        <v>45719</v>
      </c>
      <c r="D1572" t="inlineStr">
        <is>
          <t>UPPSALA LÄN</t>
        </is>
      </c>
      <c r="E1572" t="inlineStr">
        <is>
          <t>UPPSALA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44946-2024</t>
        </is>
      </c>
      <c r="B1573" s="1" t="n">
        <v>45575</v>
      </c>
      <c r="C1573" s="1" t="n">
        <v>45719</v>
      </c>
      <c r="D1573" t="inlineStr">
        <is>
          <t>UPPSALA LÄN</t>
        </is>
      </c>
      <c r="E1573" t="inlineStr">
        <is>
          <t>UPPSALA</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45878-2024</t>
        </is>
      </c>
      <c r="B1574" s="1" t="n">
        <v>45580</v>
      </c>
      <c r="C1574" s="1" t="n">
        <v>45719</v>
      </c>
      <c r="D1574" t="inlineStr">
        <is>
          <t>UPPSALA LÄN</t>
        </is>
      </c>
      <c r="E1574" t="inlineStr">
        <is>
          <t>UPPSALA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46728-2024</t>
        </is>
      </c>
      <c r="B1575" s="1" t="n">
        <v>45583</v>
      </c>
      <c r="C1575" s="1" t="n">
        <v>45719</v>
      </c>
      <c r="D1575" t="inlineStr">
        <is>
          <t>UPPSALA LÄN</t>
        </is>
      </c>
      <c r="E1575" t="inlineStr">
        <is>
          <t>UPPSALA</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46796-2024</t>
        </is>
      </c>
      <c r="B1576" s="1" t="n">
        <v>45583</v>
      </c>
      <c r="C1576" s="1" t="n">
        <v>45719</v>
      </c>
      <c r="D1576" t="inlineStr">
        <is>
          <t>UPPSALA LÄN</t>
        </is>
      </c>
      <c r="E1576" t="inlineStr">
        <is>
          <t>UPPSALA</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46745-2024</t>
        </is>
      </c>
      <c r="B1577" s="1" t="n">
        <v>45583</v>
      </c>
      <c r="C1577" s="1" t="n">
        <v>45719</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46743-2024</t>
        </is>
      </c>
      <c r="B1578" s="1" t="n">
        <v>45583</v>
      </c>
      <c r="C1578" s="1" t="n">
        <v>45719</v>
      </c>
      <c r="D1578" t="inlineStr">
        <is>
          <t>UPPSALA LÄN</t>
        </is>
      </c>
      <c r="E1578" t="inlineStr">
        <is>
          <t>UPPSALA</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46751-2024</t>
        </is>
      </c>
      <c r="B1579" s="1" t="n">
        <v>45583</v>
      </c>
      <c r="C1579" s="1" t="n">
        <v>45719</v>
      </c>
      <c r="D1579" t="inlineStr">
        <is>
          <t>UPPSALA LÄN</t>
        </is>
      </c>
      <c r="E1579" t="inlineStr">
        <is>
          <t>UPPSALA</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46794-2024</t>
        </is>
      </c>
      <c r="B1580" s="1" t="n">
        <v>45583</v>
      </c>
      <c r="C1580" s="1" t="n">
        <v>45719</v>
      </c>
      <c r="D1580" t="inlineStr">
        <is>
          <t>UPPSALA LÄN</t>
        </is>
      </c>
      <c r="E1580" t="inlineStr">
        <is>
          <t>UPPSALA</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46791-2024</t>
        </is>
      </c>
      <c r="B1581" s="1" t="n">
        <v>45583</v>
      </c>
      <c r="C1581" s="1" t="n">
        <v>45719</v>
      </c>
      <c r="D1581" t="inlineStr">
        <is>
          <t>UPPSALA LÄN</t>
        </is>
      </c>
      <c r="E1581" t="inlineStr">
        <is>
          <t>UPPSALA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46730-2024</t>
        </is>
      </c>
      <c r="B1582" s="1" t="n">
        <v>45583</v>
      </c>
      <c r="C1582" s="1" t="n">
        <v>45719</v>
      </c>
      <c r="D1582" t="inlineStr">
        <is>
          <t>UPPSALA LÄN</t>
        </is>
      </c>
      <c r="E1582" t="inlineStr">
        <is>
          <t>UPPSALA</t>
        </is>
      </c>
      <c r="F1582" t="inlineStr">
        <is>
          <t>Sveaskog</t>
        </is>
      </c>
      <c r="G1582" t="n">
        <v>6.5</v>
      </c>
      <c r="H1582" t="n">
        <v>0</v>
      </c>
      <c r="I1582" t="n">
        <v>0</v>
      </c>
      <c r="J1582" t="n">
        <v>0</v>
      </c>
      <c r="K1582" t="n">
        <v>0</v>
      </c>
      <c r="L1582" t="n">
        <v>0</v>
      </c>
      <c r="M1582" t="n">
        <v>0</v>
      </c>
      <c r="N1582" t="n">
        <v>0</v>
      </c>
      <c r="O1582" t="n">
        <v>0</v>
      </c>
      <c r="P1582" t="n">
        <v>0</v>
      </c>
      <c r="Q1582" t="n">
        <v>0</v>
      </c>
      <c r="R1582" s="2" t="inlineStr"/>
      <c r="U1582">
        <f>HYPERLINK("https://klasma.github.io/Logging_0380/knärot/A 46730-2024 karta knärot.png", "A 46730-2024")</f>
        <v/>
      </c>
      <c r="V1582">
        <f>HYPERLINK("https://klasma.github.io/Logging_0380/klagomål/A 46730-2024 FSC-klagomål.docx", "A 46730-2024")</f>
        <v/>
      </c>
      <c r="W1582">
        <f>HYPERLINK("https://klasma.github.io/Logging_0380/klagomålsmail/A 46730-2024 FSC-klagomål mail.docx", "A 46730-2024")</f>
        <v/>
      </c>
      <c r="X1582">
        <f>HYPERLINK("https://klasma.github.io/Logging_0380/tillsyn/A 46730-2024 tillsynsbegäran.docx", "A 46730-2024")</f>
        <v/>
      </c>
      <c r="Y1582">
        <f>HYPERLINK("https://klasma.github.io/Logging_0380/tillsynsmail/A 46730-2024 tillsynsbegäran mail.docx", "A 46730-2024")</f>
        <v/>
      </c>
    </row>
    <row r="1583" ht="15" customHeight="1">
      <c r="A1583" t="inlineStr">
        <is>
          <t>A 46821-2024</t>
        </is>
      </c>
      <c r="B1583" s="1" t="n">
        <v>45583</v>
      </c>
      <c r="C1583" s="1" t="n">
        <v>45719</v>
      </c>
      <c r="D1583" t="inlineStr">
        <is>
          <t>UPPSALA LÄN</t>
        </is>
      </c>
      <c r="E1583" t="inlineStr">
        <is>
          <t>UPPSALA</t>
        </is>
      </c>
      <c r="F1583" t="inlineStr">
        <is>
          <t>Holmen skog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46748-2024</t>
        </is>
      </c>
      <c r="B1584" s="1" t="n">
        <v>45583</v>
      </c>
      <c r="C1584" s="1" t="n">
        <v>45719</v>
      </c>
      <c r="D1584" t="inlineStr">
        <is>
          <t>UPPSALA LÄN</t>
        </is>
      </c>
      <c r="E1584" t="inlineStr">
        <is>
          <t>UPPSALA</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46700-2024</t>
        </is>
      </c>
      <c r="B1585" s="1" t="n">
        <v>45583</v>
      </c>
      <c r="C1585" s="1" t="n">
        <v>45719</v>
      </c>
      <c r="D1585" t="inlineStr">
        <is>
          <t>UPPSALA LÄN</t>
        </is>
      </c>
      <c r="E1585" t="inlineStr">
        <is>
          <t>UPPSALA</t>
        </is>
      </c>
      <c r="F1585" t="inlineStr">
        <is>
          <t>Sveaskog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46925-2024</t>
        </is>
      </c>
      <c r="B1586" s="1" t="n">
        <v>45584</v>
      </c>
      <c r="C1586" s="1" t="n">
        <v>45719</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47169-2024</t>
        </is>
      </c>
      <c r="B1587" s="1" t="n">
        <v>45586</v>
      </c>
      <c r="C1587" s="1" t="n">
        <v>45719</v>
      </c>
      <c r="D1587" t="inlineStr">
        <is>
          <t>UPPSALA LÄN</t>
        </is>
      </c>
      <c r="E1587" t="inlineStr">
        <is>
          <t>UPPSALA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47052-2024</t>
        </is>
      </c>
      <c r="B1588" s="1" t="n">
        <v>45586</v>
      </c>
      <c r="C1588" s="1" t="n">
        <v>45719</v>
      </c>
      <c r="D1588" t="inlineStr">
        <is>
          <t>UPPSALA LÄN</t>
        </is>
      </c>
      <c r="E1588" t="inlineStr">
        <is>
          <t>UPPSALA</t>
        </is>
      </c>
      <c r="F1588" t="inlineStr">
        <is>
          <t>Holmen skog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47288-2024</t>
        </is>
      </c>
      <c r="B1589" s="1" t="n">
        <v>45587</v>
      </c>
      <c r="C1589" s="1" t="n">
        <v>45719</v>
      </c>
      <c r="D1589" t="inlineStr">
        <is>
          <t>UPPSALA LÄN</t>
        </is>
      </c>
      <c r="E1589" t="inlineStr">
        <is>
          <t>UPPSALA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48154-2024</t>
        </is>
      </c>
      <c r="B1590" s="1" t="n">
        <v>45589</v>
      </c>
      <c r="C1590" s="1" t="n">
        <v>45719</v>
      </c>
      <c r="D1590" t="inlineStr">
        <is>
          <t>UPPSALA LÄN</t>
        </is>
      </c>
      <c r="E1590" t="inlineStr">
        <is>
          <t>UPPSALA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48153-2024</t>
        </is>
      </c>
      <c r="B1591" s="1" t="n">
        <v>45589</v>
      </c>
      <c r="C1591" s="1" t="n">
        <v>45719</v>
      </c>
      <c r="D1591" t="inlineStr">
        <is>
          <t>UPPSALA LÄN</t>
        </is>
      </c>
      <c r="E1591" t="inlineStr">
        <is>
          <t>UPPSALA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48073-2024</t>
        </is>
      </c>
      <c r="B1592" s="1" t="n">
        <v>45589</v>
      </c>
      <c r="C1592" s="1" t="n">
        <v>45719</v>
      </c>
      <c r="D1592" t="inlineStr">
        <is>
          <t>UPPSALA LÄN</t>
        </is>
      </c>
      <c r="E1592" t="inlineStr">
        <is>
          <t>UPPSALA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49158-2024</t>
        </is>
      </c>
      <c r="B1593" s="1" t="n">
        <v>45594</v>
      </c>
      <c r="C1593" s="1" t="n">
        <v>45719</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49012-2024</t>
        </is>
      </c>
      <c r="B1594" s="1" t="n">
        <v>45594</v>
      </c>
      <c r="C1594" s="1" t="n">
        <v>45719</v>
      </c>
      <c r="D1594" t="inlineStr">
        <is>
          <t>UPPSALA LÄN</t>
        </is>
      </c>
      <c r="E1594" t="inlineStr">
        <is>
          <t>UPPSALA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49050-2024</t>
        </is>
      </c>
      <c r="B1595" s="1" t="n">
        <v>45594</v>
      </c>
      <c r="C1595" s="1" t="n">
        <v>45719</v>
      </c>
      <c r="D1595" t="inlineStr">
        <is>
          <t>UPPSALA LÄN</t>
        </is>
      </c>
      <c r="E1595" t="inlineStr">
        <is>
          <t>UPPSALA</t>
        </is>
      </c>
      <c r="F1595" t="inlineStr">
        <is>
          <t>Övriga statliga verk och myndigheter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49180-2024</t>
        </is>
      </c>
      <c r="B1596" s="1" t="n">
        <v>45595</v>
      </c>
      <c r="C1596" s="1" t="n">
        <v>45719</v>
      </c>
      <c r="D1596" t="inlineStr">
        <is>
          <t>UPPSALA LÄN</t>
        </is>
      </c>
      <c r="E1596" t="inlineStr">
        <is>
          <t>UPPSALA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50037-2024</t>
        </is>
      </c>
      <c r="B1597" s="1" t="n">
        <v>45599</v>
      </c>
      <c r="C1597" s="1" t="n">
        <v>45719</v>
      </c>
      <c r="D1597" t="inlineStr">
        <is>
          <t>UPPSALA LÄN</t>
        </is>
      </c>
      <c r="E1597" t="inlineStr">
        <is>
          <t>UPPSALA</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50535-2024</t>
        </is>
      </c>
      <c r="B1598" s="1" t="n">
        <v>45600</v>
      </c>
      <c r="C1598" s="1" t="n">
        <v>45719</v>
      </c>
      <c r="D1598" t="inlineStr">
        <is>
          <t>UPPSALA LÄN</t>
        </is>
      </c>
      <c r="E1598" t="inlineStr">
        <is>
          <t>UPPSALA</t>
        </is>
      </c>
      <c r="F1598" t="inlineStr">
        <is>
          <t>Övriga statliga verk och myndigheter</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50196-2024</t>
        </is>
      </c>
      <c r="B1599" s="1" t="n">
        <v>45600</v>
      </c>
      <c r="C1599" s="1" t="n">
        <v>45719</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50463-2024</t>
        </is>
      </c>
      <c r="B1600" s="1" t="n">
        <v>45601</v>
      </c>
      <c r="C1600" s="1" t="n">
        <v>45719</v>
      </c>
      <c r="D1600" t="inlineStr">
        <is>
          <t>UPPSALA LÄN</t>
        </is>
      </c>
      <c r="E1600" t="inlineStr">
        <is>
          <t>UPPSALA</t>
        </is>
      </c>
      <c r="F1600" t="inlineStr">
        <is>
          <t>Allmännings- och besparingsskogar</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50669-2024</t>
        </is>
      </c>
      <c r="B1601" s="1" t="n">
        <v>45601</v>
      </c>
      <c r="C1601" s="1" t="n">
        <v>45719</v>
      </c>
      <c r="D1601" t="inlineStr">
        <is>
          <t>UPPSALA LÄN</t>
        </is>
      </c>
      <c r="E1601" t="inlineStr">
        <is>
          <t>UPPSALA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50834-2024</t>
        </is>
      </c>
      <c r="B1602" s="1" t="n">
        <v>45602</v>
      </c>
      <c r="C1602" s="1" t="n">
        <v>45719</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51482-2024</t>
        </is>
      </c>
      <c r="B1603" s="1" t="n">
        <v>45604</v>
      </c>
      <c r="C1603" s="1" t="n">
        <v>45719</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51483-2024</t>
        </is>
      </c>
      <c r="B1604" s="1" t="n">
        <v>45604</v>
      </c>
      <c r="C1604" s="1" t="n">
        <v>45719</v>
      </c>
      <c r="D1604" t="inlineStr">
        <is>
          <t>UPPSALA LÄN</t>
        </is>
      </c>
      <c r="E1604" t="inlineStr">
        <is>
          <t>UPPSALA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51485-2024</t>
        </is>
      </c>
      <c r="B1605" s="1" t="n">
        <v>45604</v>
      </c>
      <c r="C1605" s="1" t="n">
        <v>45719</v>
      </c>
      <c r="D1605" t="inlineStr">
        <is>
          <t>UPPSALA LÄN</t>
        </is>
      </c>
      <c r="E1605" t="inlineStr">
        <is>
          <t>UPPSALA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52197-2024</t>
        </is>
      </c>
      <c r="B1606" s="1" t="n">
        <v>45608</v>
      </c>
      <c r="C1606" s="1" t="n">
        <v>45719</v>
      </c>
      <c r="D1606" t="inlineStr">
        <is>
          <t>UPPSALA LÄN</t>
        </is>
      </c>
      <c r="E1606" t="inlineStr">
        <is>
          <t>UPPSALA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52094-2024</t>
        </is>
      </c>
      <c r="B1607" s="1" t="n">
        <v>45608</v>
      </c>
      <c r="C1607" s="1" t="n">
        <v>45719</v>
      </c>
      <c r="D1607" t="inlineStr">
        <is>
          <t>UPPSALA LÄN</t>
        </is>
      </c>
      <c r="E1607" t="inlineStr">
        <is>
          <t>UPPSALA</t>
        </is>
      </c>
      <c r="F1607" t="inlineStr">
        <is>
          <t>Bergvik skog öst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52093-2024</t>
        </is>
      </c>
      <c r="B1608" s="1" t="n">
        <v>45608</v>
      </c>
      <c r="C1608" s="1" t="n">
        <v>45719</v>
      </c>
      <c r="D1608" t="inlineStr">
        <is>
          <t>UPPSALA LÄN</t>
        </is>
      </c>
      <c r="E1608" t="inlineStr">
        <is>
          <t>UPPSALA</t>
        </is>
      </c>
      <c r="F1608" t="inlineStr">
        <is>
          <t>Bergvik skog öst AB</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52456-2024</t>
        </is>
      </c>
      <c r="B1609" s="1" t="n">
        <v>45609</v>
      </c>
      <c r="C1609" s="1" t="n">
        <v>45719</v>
      </c>
      <c r="D1609" t="inlineStr">
        <is>
          <t>UPPSALA LÄN</t>
        </is>
      </c>
      <c r="E1609" t="inlineStr">
        <is>
          <t>UPPSALA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52466-2024</t>
        </is>
      </c>
      <c r="B1610" s="1" t="n">
        <v>45609</v>
      </c>
      <c r="C1610" s="1" t="n">
        <v>45719</v>
      </c>
      <c r="D1610" t="inlineStr">
        <is>
          <t>UPPSALA LÄN</t>
        </is>
      </c>
      <c r="E1610" t="inlineStr">
        <is>
          <t>UPPSALA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53614-2024</t>
        </is>
      </c>
      <c r="B1611" s="1" t="n">
        <v>45611</v>
      </c>
      <c r="C1611" s="1" t="n">
        <v>45719</v>
      </c>
      <c r="D1611" t="inlineStr">
        <is>
          <t>UPPSALA LÄN</t>
        </is>
      </c>
      <c r="E1611" t="inlineStr">
        <is>
          <t>UPPSALA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53058-2024</t>
        </is>
      </c>
      <c r="B1612" s="1" t="n">
        <v>45611</v>
      </c>
      <c r="C1612" s="1" t="n">
        <v>45719</v>
      </c>
      <c r="D1612" t="inlineStr">
        <is>
          <t>UPPSALA LÄN</t>
        </is>
      </c>
      <c r="E1612" t="inlineStr">
        <is>
          <t>UPPSALA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53615-2024</t>
        </is>
      </c>
      <c r="B1613" s="1" t="n">
        <v>45611</v>
      </c>
      <c r="C1613" s="1" t="n">
        <v>45719</v>
      </c>
      <c r="D1613" t="inlineStr">
        <is>
          <t>UPPSALA LÄN</t>
        </is>
      </c>
      <c r="E1613" t="inlineStr">
        <is>
          <t>UPPSALA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53365-2024</t>
        </is>
      </c>
      <c r="B1614" s="1" t="n">
        <v>45614</v>
      </c>
      <c r="C1614" s="1" t="n">
        <v>45719</v>
      </c>
      <c r="D1614" t="inlineStr">
        <is>
          <t>UPPSALA LÄN</t>
        </is>
      </c>
      <c r="E1614" t="inlineStr">
        <is>
          <t>UPPSALA</t>
        </is>
      </c>
      <c r="F1614" t="inlineStr">
        <is>
          <t>Allmännings- och besparingsskogar</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53588-2024</t>
        </is>
      </c>
      <c r="B1615" s="1" t="n">
        <v>45614</v>
      </c>
      <c r="C1615" s="1" t="n">
        <v>45719</v>
      </c>
      <c r="D1615" t="inlineStr">
        <is>
          <t>UPPSALA LÄN</t>
        </is>
      </c>
      <c r="E1615" t="inlineStr">
        <is>
          <t>UPPSALA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53589-2024</t>
        </is>
      </c>
      <c r="B1616" s="1" t="n">
        <v>45614</v>
      </c>
      <c r="C1616" s="1" t="n">
        <v>45719</v>
      </c>
      <c r="D1616" t="inlineStr">
        <is>
          <t>UPPSALA LÄN</t>
        </is>
      </c>
      <c r="E1616" t="inlineStr">
        <is>
          <t>UPPSALA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53569-2024</t>
        </is>
      </c>
      <c r="B1617" s="1" t="n">
        <v>45614</v>
      </c>
      <c r="C1617" s="1" t="n">
        <v>45719</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53384-2024</t>
        </is>
      </c>
      <c r="B1618" s="1" t="n">
        <v>45614</v>
      </c>
      <c r="C1618" s="1" t="n">
        <v>45719</v>
      </c>
      <c r="D1618" t="inlineStr">
        <is>
          <t>UPPSALA LÄN</t>
        </is>
      </c>
      <c r="E1618" t="inlineStr">
        <is>
          <t>UPPSALA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53266-2024</t>
        </is>
      </c>
      <c r="B1619" s="1" t="n">
        <v>45614</v>
      </c>
      <c r="C1619" s="1" t="n">
        <v>45719</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53921-2024</t>
        </is>
      </c>
      <c r="B1620" s="1" t="n">
        <v>45615</v>
      </c>
      <c r="C1620" s="1" t="n">
        <v>45719</v>
      </c>
      <c r="D1620" t="inlineStr">
        <is>
          <t>UPPSALA LÄN</t>
        </is>
      </c>
      <c r="E1620" t="inlineStr">
        <is>
          <t>UPPSALA</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54512-2024</t>
        </is>
      </c>
      <c r="B1621" s="1" t="n">
        <v>45617</v>
      </c>
      <c r="C1621" s="1" t="n">
        <v>45719</v>
      </c>
      <c r="D1621" t="inlineStr">
        <is>
          <t>UPPSALA LÄN</t>
        </is>
      </c>
      <c r="E1621" t="inlineStr">
        <is>
          <t>UPPSALA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54924-2024</t>
        </is>
      </c>
      <c r="B1622" s="1" t="n">
        <v>45618</v>
      </c>
      <c r="C1622" s="1" t="n">
        <v>45719</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56050-2024</t>
        </is>
      </c>
      <c r="B1623" s="1" t="n">
        <v>45624</v>
      </c>
      <c r="C1623" s="1" t="n">
        <v>45719</v>
      </c>
      <c r="D1623" t="inlineStr">
        <is>
          <t>UPPSALA LÄN</t>
        </is>
      </c>
      <c r="E1623" t="inlineStr">
        <is>
          <t>UPPSALA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56067-2024</t>
        </is>
      </c>
      <c r="B1624" s="1" t="n">
        <v>45624</v>
      </c>
      <c r="C1624" s="1" t="n">
        <v>45719</v>
      </c>
      <c r="D1624" t="inlineStr">
        <is>
          <t>UPPSALA LÄN</t>
        </is>
      </c>
      <c r="E1624" t="inlineStr">
        <is>
          <t>UPPSALA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56084-2024</t>
        </is>
      </c>
      <c r="B1625" s="1" t="n">
        <v>45624</v>
      </c>
      <c r="C1625" s="1" t="n">
        <v>45719</v>
      </c>
      <c r="D1625" t="inlineStr">
        <is>
          <t>UPPSALA LÄN</t>
        </is>
      </c>
      <c r="E1625" t="inlineStr">
        <is>
          <t>UPPSALA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56564-2024</t>
        </is>
      </c>
      <c r="B1626" s="1" t="n">
        <v>45625</v>
      </c>
      <c r="C1626" s="1" t="n">
        <v>45719</v>
      </c>
      <c r="D1626" t="inlineStr">
        <is>
          <t>UPPSALA LÄN</t>
        </is>
      </c>
      <c r="E1626" t="inlineStr">
        <is>
          <t>UPPSALA</t>
        </is>
      </c>
      <c r="F1626" t="inlineStr">
        <is>
          <t>Övriga Aktiebolag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57614-2024</t>
        </is>
      </c>
      <c r="B1627" s="1" t="n">
        <v>45630</v>
      </c>
      <c r="C1627" s="1" t="n">
        <v>45719</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57618-2024</t>
        </is>
      </c>
      <c r="B1628" s="1" t="n">
        <v>45630</v>
      </c>
      <c r="C1628" s="1" t="n">
        <v>45719</v>
      </c>
      <c r="D1628" t="inlineStr">
        <is>
          <t>UPPSALA LÄN</t>
        </is>
      </c>
      <c r="E1628" t="inlineStr">
        <is>
          <t>UPPSALA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57643-2024</t>
        </is>
      </c>
      <c r="B1629" s="1" t="n">
        <v>45630</v>
      </c>
      <c r="C1629" s="1" t="n">
        <v>45719</v>
      </c>
      <c r="D1629" t="inlineStr">
        <is>
          <t>UPPSALA LÄN</t>
        </is>
      </c>
      <c r="E1629" t="inlineStr">
        <is>
          <t>UPPSALA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57871-2024</t>
        </is>
      </c>
      <c r="B1630" s="1" t="n">
        <v>45631</v>
      </c>
      <c r="C1630" s="1" t="n">
        <v>45719</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58187-2024</t>
        </is>
      </c>
      <c r="B1631" s="1" t="n">
        <v>45632</v>
      </c>
      <c r="C1631" s="1" t="n">
        <v>45719</v>
      </c>
      <c r="D1631" t="inlineStr">
        <is>
          <t>UPPSALA LÄN</t>
        </is>
      </c>
      <c r="E1631" t="inlineStr">
        <is>
          <t>UPPSALA</t>
        </is>
      </c>
      <c r="F1631" t="inlineStr">
        <is>
          <t>Bergvik skog väst AB</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58188-2024</t>
        </is>
      </c>
      <c r="B1632" s="1" t="n">
        <v>45632</v>
      </c>
      <c r="C1632" s="1" t="n">
        <v>45719</v>
      </c>
      <c r="D1632" t="inlineStr">
        <is>
          <t>UPPSALA LÄN</t>
        </is>
      </c>
      <c r="E1632" t="inlineStr">
        <is>
          <t>UPPSALA</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59098-2024</t>
        </is>
      </c>
      <c r="B1633" s="1" t="n">
        <v>45636</v>
      </c>
      <c r="C1633" s="1" t="n">
        <v>45719</v>
      </c>
      <c r="D1633" t="inlineStr">
        <is>
          <t>UPPSALA LÄN</t>
        </is>
      </c>
      <c r="E1633" t="inlineStr">
        <is>
          <t>UPPSALA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59114-2024</t>
        </is>
      </c>
      <c r="B1634" s="1" t="n">
        <v>45637</v>
      </c>
      <c r="C1634" s="1" t="n">
        <v>45719</v>
      </c>
      <c r="D1634" t="inlineStr">
        <is>
          <t>UPPSALA LÄN</t>
        </is>
      </c>
      <c r="E1634" t="inlineStr">
        <is>
          <t>UPPSALA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59116-2024</t>
        </is>
      </c>
      <c r="B1635" s="1" t="n">
        <v>45637</v>
      </c>
      <c r="C1635" s="1" t="n">
        <v>45719</v>
      </c>
      <c r="D1635" t="inlineStr">
        <is>
          <t>UPPSALA LÄN</t>
        </is>
      </c>
      <c r="E1635" t="inlineStr">
        <is>
          <t>UPPSALA</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59158-2024</t>
        </is>
      </c>
      <c r="B1636" s="1" t="n">
        <v>45637</v>
      </c>
      <c r="C1636" s="1" t="n">
        <v>45719</v>
      </c>
      <c r="D1636" t="inlineStr">
        <is>
          <t>UPPSALA LÄN</t>
        </is>
      </c>
      <c r="E1636" t="inlineStr">
        <is>
          <t>UPPSALA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59358-2024</t>
        </is>
      </c>
      <c r="B1637" s="1" t="n">
        <v>45638</v>
      </c>
      <c r="C1637" s="1" t="n">
        <v>45719</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59549-2024</t>
        </is>
      </c>
      <c r="B1638" s="1" t="n">
        <v>45638</v>
      </c>
      <c r="C1638" s="1" t="n">
        <v>45719</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59562-2024</t>
        </is>
      </c>
      <c r="B1639" s="1" t="n">
        <v>45638</v>
      </c>
      <c r="C1639" s="1" t="n">
        <v>45719</v>
      </c>
      <c r="D1639" t="inlineStr">
        <is>
          <t>UPPSALA LÄN</t>
        </is>
      </c>
      <c r="E1639" t="inlineStr">
        <is>
          <t>UPPSALA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59547-2024</t>
        </is>
      </c>
      <c r="B1640" s="1" t="n">
        <v>45638</v>
      </c>
      <c r="C1640" s="1" t="n">
        <v>45719</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59587-2024</t>
        </is>
      </c>
      <c r="B1641" s="1" t="n">
        <v>45638</v>
      </c>
      <c r="C1641" s="1" t="n">
        <v>45719</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60167-2024</t>
        </is>
      </c>
      <c r="B1642" s="1" t="n">
        <v>45642</v>
      </c>
      <c r="C1642" s="1" t="n">
        <v>45719</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60003-2024</t>
        </is>
      </c>
      <c r="B1643" s="1" t="n">
        <v>45642</v>
      </c>
      <c r="C1643" s="1" t="n">
        <v>45719</v>
      </c>
      <c r="D1643" t="inlineStr">
        <is>
          <t>UPPSALA LÄN</t>
        </is>
      </c>
      <c r="E1643" t="inlineStr">
        <is>
          <t>UPPSALA</t>
        </is>
      </c>
      <c r="F1643" t="inlineStr">
        <is>
          <t>Bergvik skog väst AB</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59996-2024</t>
        </is>
      </c>
      <c r="B1644" s="1" t="n">
        <v>45642</v>
      </c>
      <c r="C1644" s="1" t="n">
        <v>45719</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60445-2024</t>
        </is>
      </c>
      <c r="B1645" s="1" t="n">
        <v>45643</v>
      </c>
      <c r="C1645" s="1" t="n">
        <v>45719</v>
      </c>
      <c r="D1645" t="inlineStr">
        <is>
          <t>UPPSALA LÄN</t>
        </is>
      </c>
      <c r="E1645" t="inlineStr">
        <is>
          <t>UPPSALA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60698-2024</t>
        </is>
      </c>
      <c r="B1646" s="1" t="n">
        <v>45644</v>
      </c>
      <c r="C1646" s="1" t="n">
        <v>45719</v>
      </c>
      <c r="D1646" t="inlineStr">
        <is>
          <t>UPPSALA LÄN</t>
        </is>
      </c>
      <c r="E1646" t="inlineStr">
        <is>
          <t>UPPSALA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60735-2024</t>
        </is>
      </c>
      <c r="B1647" s="1" t="n">
        <v>45644</v>
      </c>
      <c r="C1647" s="1" t="n">
        <v>45719</v>
      </c>
      <c r="D1647" t="inlineStr">
        <is>
          <t>UPPSALA LÄN</t>
        </is>
      </c>
      <c r="E1647" t="inlineStr">
        <is>
          <t>UPPSALA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60807-2024</t>
        </is>
      </c>
      <c r="B1648" s="1" t="n">
        <v>45644</v>
      </c>
      <c r="C1648" s="1" t="n">
        <v>45719</v>
      </c>
      <c r="D1648" t="inlineStr">
        <is>
          <t>UPPSALA LÄN</t>
        </is>
      </c>
      <c r="E1648" t="inlineStr">
        <is>
          <t>UPPSALA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60820-2024</t>
        </is>
      </c>
      <c r="B1649" s="1" t="n">
        <v>45644</v>
      </c>
      <c r="C1649" s="1" t="n">
        <v>45719</v>
      </c>
      <c r="D1649" t="inlineStr">
        <is>
          <t>UPPSALA LÄN</t>
        </is>
      </c>
      <c r="E1649" t="inlineStr">
        <is>
          <t>UPPSALA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60729-2024</t>
        </is>
      </c>
      <c r="B1650" s="1" t="n">
        <v>45644</v>
      </c>
      <c r="C1650" s="1" t="n">
        <v>45719</v>
      </c>
      <c r="D1650" t="inlineStr">
        <is>
          <t>UPPSALA LÄN</t>
        </is>
      </c>
      <c r="E1650" t="inlineStr">
        <is>
          <t>UPPSALA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60691-2024</t>
        </is>
      </c>
      <c r="B1651" s="1" t="n">
        <v>45644</v>
      </c>
      <c r="C1651" s="1" t="n">
        <v>45719</v>
      </c>
      <c r="D1651" t="inlineStr">
        <is>
          <t>UPPSALA LÄN</t>
        </is>
      </c>
      <c r="E1651" t="inlineStr">
        <is>
          <t>UPPSALA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60811-2024</t>
        </is>
      </c>
      <c r="B1652" s="1" t="n">
        <v>45644</v>
      </c>
      <c r="C1652" s="1" t="n">
        <v>45719</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60949-2024</t>
        </is>
      </c>
      <c r="B1653" s="1" t="n">
        <v>45645</v>
      </c>
      <c r="C1653" s="1" t="n">
        <v>45719</v>
      </c>
      <c r="D1653" t="inlineStr">
        <is>
          <t>UPPSALA LÄN</t>
        </is>
      </c>
      <c r="E1653" t="inlineStr">
        <is>
          <t>UPPSALA</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60954-2024</t>
        </is>
      </c>
      <c r="B1654" s="1" t="n">
        <v>45645</v>
      </c>
      <c r="C1654" s="1" t="n">
        <v>45719</v>
      </c>
      <c r="D1654" t="inlineStr">
        <is>
          <t>UPPSALA LÄN</t>
        </is>
      </c>
      <c r="E1654" t="inlineStr">
        <is>
          <t>UPPSALA</t>
        </is>
      </c>
      <c r="F1654" t="inlineStr">
        <is>
          <t>Kommuner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61071-2024</t>
        </is>
      </c>
      <c r="B1655" s="1" t="n">
        <v>45645</v>
      </c>
      <c r="C1655" s="1" t="n">
        <v>45719</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61463-2024</t>
        </is>
      </c>
      <c r="B1656" s="1" t="n">
        <v>45646</v>
      </c>
      <c r="C1656" s="1" t="n">
        <v>45719</v>
      </c>
      <c r="D1656" t="inlineStr">
        <is>
          <t>UPPSALA LÄN</t>
        </is>
      </c>
      <c r="E1656" t="inlineStr">
        <is>
          <t>UPPSALA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61574-2024</t>
        </is>
      </c>
      <c r="B1657" s="1" t="n">
        <v>45646</v>
      </c>
      <c r="C1657" s="1" t="n">
        <v>45719</v>
      </c>
      <c r="D1657" t="inlineStr">
        <is>
          <t>UPPSALA LÄN</t>
        </is>
      </c>
      <c r="E1657" t="inlineStr">
        <is>
          <t>UPPSALA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62044-2024</t>
        </is>
      </c>
      <c r="B1658" s="1" t="n">
        <v>45656</v>
      </c>
      <c r="C1658" s="1" t="n">
        <v>45719</v>
      </c>
      <c r="D1658" t="inlineStr">
        <is>
          <t>UPPSALA LÄN</t>
        </is>
      </c>
      <c r="E1658" t="inlineStr">
        <is>
          <t>UPPSALA</t>
        </is>
      </c>
      <c r="F1658" t="inlineStr">
        <is>
          <t>Övriga statliga verk och myndigheter</t>
        </is>
      </c>
      <c r="G1658" t="n">
        <v>11.6</v>
      </c>
      <c r="H1658" t="n">
        <v>0</v>
      </c>
      <c r="I1658" t="n">
        <v>0</v>
      </c>
      <c r="J1658" t="n">
        <v>0</v>
      </c>
      <c r="K1658" t="n">
        <v>0</v>
      </c>
      <c r="L1658" t="n">
        <v>0</v>
      </c>
      <c r="M1658" t="n">
        <v>0</v>
      </c>
      <c r="N1658" t="n">
        <v>0</v>
      </c>
      <c r="O1658" t="n">
        <v>0</v>
      </c>
      <c r="P1658" t="n">
        <v>0</v>
      </c>
      <c r="Q1658" t="n">
        <v>0</v>
      </c>
      <c r="R1658" s="2" t="inlineStr"/>
    </row>
    <row r="1659" ht="15" customHeight="1">
      <c r="A1659" t="inlineStr">
        <is>
          <t>A 62054-2024</t>
        </is>
      </c>
      <c r="B1659" s="1" t="n">
        <v>45656</v>
      </c>
      <c r="C1659" s="1" t="n">
        <v>45719</v>
      </c>
      <c r="D1659" t="inlineStr">
        <is>
          <t>UPPSALA LÄN</t>
        </is>
      </c>
      <c r="E1659" t="inlineStr">
        <is>
          <t>UPPSALA</t>
        </is>
      </c>
      <c r="F1659" t="inlineStr">
        <is>
          <t>Övriga statliga verk och myndigheter</t>
        </is>
      </c>
      <c r="G1659" t="n">
        <v>29.3</v>
      </c>
      <c r="H1659" t="n">
        <v>0</v>
      </c>
      <c r="I1659" t="n">
        <v>0</v>
      </c>
      <c r="J1659" t="n">
        <v>0</v>
      </c>
      <c r="K1659" t="n">
        <v>0</v>
      </c>
      <c r="L1659" t="n">
        <v>0</v>
      </c>
      <c r="M1659" t="n">
        <v>0</v>
      </c>
      <c r="N1659" t="n">
        <v>0</v>
      </c>
      <c r="O1659" t="n">
        <v>0</v>
      </c>
      <c r="P1659" t="n">
        <v>0</v>
      </c>
      <c r="Q1659" t="n">
        <v>0</v>
      </c>
      <c r="R1659" s="2" t="inlineStr"/>
    </row>
    <row r="1660" ht="15" customHeight="1">
      <c r="A1660" t="inlineStr">
        <is>
          <t>A 668-2025</t>
        </is>
      </c>
      <c r="B1660" s="1" t="n">
        <v>45664</v>
      </c>
      <c r="C1660" s="1" t="n">
        <v>45719</v>
      </c>
      <c r="D1660" t="inlineStr">
        <is>
          <t>UPPSALA LÄN</t>
        </is>
      </c>
      <c r="E1660" t="inlineStr">
        <is>
          <t>UPPSALA</t>
        </is>
      </c>
      <c r="F1660" t="inlineStr">
        <is>
          <t>Bergvik skog öst AB</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842-2025</t>
        </is>
      </c>
      <c r="B1661" s="1" t="n">
        <v>45665</v>
      </c>
      <c r="C1661" s="1" t="n">
        <v>45719</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844-2025</t>
        </is>
      </c>
      <c r="B1662" s="1" t="n">
        <v>45665</v>
      </c>
      <c r="C1662" s="1" t="n">
        <v>45719</v>
      </c>
      <c r="D1662" t="inlineStr">
        <is>
          <t>UPPSALA LÄN</t>
        </is>
      </c>
      <c r="E1662" t="inlineStr">
        <is>
          <t>UPPSALA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1588-2025</t>
        </is>
      </c>
      <c r="B1663" s="1" t="n">
        <v>45670</v>
      </c>
      <c r="C1663" s="1" t="n">
        <v>45719</v>
      </c>
      <c r="D1663" t="inlineStr">
        <is>
          <t>UPPSALA LÄN</t>
        </is>
      </c>
      <c r="E1663" t="inlineStr">
        <is>
          <t>UPPSALA</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1592-2025</t>
        </is>
      </c>
      <c r="B1664" s="1" t="n">
        <v>45670</v>
      </c>
      <c r="C1664" s="1" t="n">
        <v>45719</v>
      </c>
      <c r="D1664" t="inlineStr">
        <is>
          <t>UPPSALA LÄN</t>
        </is>
      </c>
      <c r="E1664" t="inlineStr">
        <is>
          <t>UPPSALA</t>
        </is>
      </c>
      <c r="F1664" t="inlineStr">
        <is>
          <t>Bergvik skog väst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2790-2025</t>
        </is>
      </c>
      <c r="B1665" s="1" t="n">
        <v>45677</v>
      </c>
      <c r="C1665" s="1" t="n">
        <v>45719</v>
      </c>
      <c r="D1665" t="inlineStr">
        <is>
          <t>UPPSALA LÄN</t>
        </is>
      </c>
      <c r="E1665" t="inlineStr">
        <is>
          <t>UPPSALA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2695-2025</t>
        </is>
      </c>
      <c r="B1666" s="1" t="n">
        <v>45677</v>
      </c>
      <c r="C1666" s="1" t="n">
        <v>45719</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2897-2025</t>
        </is>
      </c>
      <c r="B1667" s="1" t="n">
        <v>45677</v>
      </c>
      <c r="C1667" s="1" t="n">
        <v>45719</v>
      </c>
      <c r="D1667" t="inlineStr">
        <is>
          <t>UPPSALA LÄN</t>
        </is>
      </c>
      <c r="E1667" t="inlineStr">
        <is>
          <t>UPPSALA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45719</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3315-2025</t>
        </is>
      </c>
      <c r="B1669" s="1" t="n">
        <v>45679</v>
      </c>
      <c r="C1669" s="1" t="n">
        <v>45719</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3287-2025</t>
        </is>
      </c>
      <c r="B1670" s="1" t="n">
        <v>45679</v>
      </c>
      <c r="C1670" s="1" t="n">
        <v>45719</v>
      </c>
      <c r="D1670" t="inlineStr">
        <is>
          <t>UPPSALA LÄN</t>
        </is>
      </c>
      <c r="E1670" t="inlineStr">
        <is>
          <t>UPPSALA</t>
        </is>
      </c>
      <c r="F1670" t="inlineStr">
        <is>
          <t>Kyrkan</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3973-2025</t>
        </is>
      </c>
      <c r="B1671" s="1" t="n">
        <v>45684</v>
      </c>
      <c r="C1671" s="1" t="n">
        <v>45719</v>
      </c>
      <c r="D1671" t="inlineStr">
        <is>
          <t>UPPSALA LÄN</t>
        </is>
      </c>
      <c r="E1671" t="inlineStr">
        <is>
          <t>UPPSALA</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4014-2025</t>
        </is>
      </c>
      <c r="B1672" s="1" t="n">
        <v>45684</v>
      </c>
      <c r="C1672" s="1" t="n">
        <v>45719</v>
      </c>
      <c r="D1672" t="inlineStr">
        <is>
          <t>UPPSALA LÄN</t>
        </is>
      </c>
      <c r="E1672" t="inlineStr">
        <is>
          <t>UPPSALA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4293-2025</t>
        </is>
      </c>
      <c r="B1673" s="1" t="n">
        <v>45685</v>
      </c>
      <c r="C1673" s="1" t="n">
        <v>45719</v>
      </c>
      <c r="D1673" t="inlineStr">
        <is>
          <t>UPPSALA LÄN</t>
        </is>
      </c>
      <c r="E1673" t="inlineStr">
        <is>
          <t>UPPSALA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45719</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4244-2025</t>
        </is>
      </c>
      <c r="B1675" s="1" t="n">
        <v>45685</v>
      </c>
      <c r="C1675" s="1" t="n">
        <v>45719</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4240-2025</t>
        </is>
      </c>
      <c r="B1676" s="1" t="n">
        <v>45685</v>
      </c>
      <c r="C1676" s="1" t="n">
        <v>45719</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4569-2025</t>
        </is>
      </c>
      <c r="B1677" s="1" t="n">
        <v>45687</v>
      </c>
      <c r="C1677" s="1" t="n">
        <v>45719</v>
      </c>
      <c r="D1677" t="inlineStr">
        <is>
          <t>UPPSALA LÄN</t>
        </is>
      </c>
      <c r="E1677" t="inlineStr">
        <is>
          <t>UPPSALA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4993-2025</t>
        </is>
      </c>
      <c r="B1678" s="1" t="n">
        <v>45691</v>
      </c>
      <c r="C1678" s="1" t="n">
        <v>45719</v>
      </c>
      <c r="D1678" t="inlineStr">
        <is>
          <t>UPPSALA LÄN</t>
        </is>
      </c>
      <c r="E1678" t="inlineStr">
        <is>
          <t>UPPSALA</t>
        </is>
      </c>
      <c r="F1678" t="inlineStr">
        <is>
          <t>Kyrkan</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45719</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5204-2025</t>
        </is>
      </c>
      <c r="B1680" s="1" t="n">
        <v>45691</v>
      </c>
      <c r="C1680" s="1" t="n">
        <v>45719</v>
      </c>
      <c r="D1680" t="inlineStr">
        <is>
          <t>UPPSALA LÄN</t>
        </is>
      </c>
      <c r="E1680" t="inlineStr">
        <is>
          <t>UPPSALA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5371-2025</t>
        </is>
      </c>
      <c r="B1681" s="1" t="n">
        <v>45692</v>
      </c>
      <c r="C1681" s="1" t="n">
        <v>45719</v>
      </c>
      <c r="D1681" t="inlineStr">
        <is>
          <t>UPPSALA LÄN</t>
        </is>
      </c>
      <c r="E1681" t="inlineStr">
        <is>
          <t>UPPSALA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5373-2025</t>
        </is>
      </c>
      <c r="B1682" s="1" t="n">
        <v>45692</v>
      </c>
      <c r="C1682" s="1" t="n">
        <v>45719</v>
      </c>
      <c r="D1682" t="inlineStr">
        <is>
          <t>UPPSALA LÄN</t>
        </is>
      </c>
      <c r="E1682" t="inlineStr">
        <is>
          <t>UPPSALA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5605-2025</t>
        </is>
      </c>
      <c r="B1683" s="1" t="n">
        <v>45693</v>
      </c>
      <c r="C1683" s="1" t="n">
        <v>45719</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5624-2025</t>
        </is>
      </c>
      <c r="B1684" s="1" t="n">
        <v>45693</v>
      </c>
      <c r="C1684" s="1" t="n">
        <v>45719</v>
      </c>
      <c r="D1684" t="inlineStr">
        <is>
          <t>UPPSALA LÄN</t>
        </is>
      </c>
      <c r="E1684" t="inlineStr">
        <is>
          <t>UPPSALA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5628-2025</t>
        </is>
      </c>
      <c r="B1685" s="1" t="n">
        <v>45693</v>
      </c>
      <c r="C1685" s="1" t="n">
        <v>45719</v>
      </c>
      <c r="D1685" t="inlineStr">
        <is>
          <t>UPPSALA LÄN</t>
        </is>
      </c>
      <c r="E1685" t="inlineStr">
        <is>
          <t>UPPSALA</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6970-2025</t>
        </is>
      </c>
      <c r="B1686" s="1" t="n">
        <v>45693</v>
      </c>
      <c r="C1686" s="1" t="n">
        <v>45719</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45719</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45719</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6973-2025</t>
        </is>
      </c>
      <c r="B1689" s="1" t="n">
        <v>45693</v>
      </c>
      <c r="C1689" s="1" t="n">
        <v>45719</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5671-2025</t>
        </is>
      </c>
      <c r="B1690" s="1" t="n">
        <v>45694</v>
      </c>
      <c r="C1690" s="1" t="n">
        <v>45719</v>
      </c>
      <c r="D1690" t="inlineStr">
        <is>
          <t>UPPSALA LÄN</t>
        </is>
      </c>
      <c r="E1690" t="inlineStr">
        <is>
          <t>UPPSALA</t>
        </is>
      </c>
      <c r="F1690" t="inlineStr">
        <is>
          <t>Bergvik skog öst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45719</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5725-2025</t>
        </is>
      </c>
      <c r="B1692" s="1" t="n">
        <v>45694</v>
      </c>
      <c r="C1692" s="1" t="n">
        <v>45719</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5729-2025</t>
        </is>
      </c>
      <c r="B1693" s="1" t="n">
        <v>45694</v>
      </c>
      <c r="C1693" s="1" t="n">
        <v>45719</v>
      </c>
      <c r="D1693" t="inlineStr">
        <is>
          <t>UPPSALA LÄN</t>
        </is>
      </c>
      <c r="E1693" t="inlineStr">
        <is>
          <t>UPPSALA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45719</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45719</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45719</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45719</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45719</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6059-2025</t>
        </is>
      </c>
      <c r="B1699" s="1" t="n">
        <v>45695</v>
      </c>
      <c r="C1699" s="1" t="n">
        <v>45719</v>
      </c>
      <c r="D1699" t="inlineStr">
        <is>
          <t>UPPSALA LÄN</t>
        </is>
      </c>
      <c r="E1699" t="inlineStr">
        <is>
          <t>UPPSALA</t>
        </is>
      </c>
      <c r="F1699" t="inlineStr">
        <is>
          <t>Bergvik skog öst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6060-2025</t>
        </is>
      </c>
      <c r="B1700" s="1" t="n">
        <v>45695</v>
      </c>
      <c r="C1700" s="1" t="n">
        <v>45719</v>
      </c>
      <c r="D1700" t="inlineStr">
        <is>
          <t>UPPSALA LÄN</t>
        </is>
      </c>
      <c r="E1700" t="inlineStr">
        <is>
          <t>UPPSALA</t>
        </is>
      </c>
      <c r="F1700" t="inlineStr">
        <is>
          <t>Bergvik skog öst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45719</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45719</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45719</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6550-2025</t>
        </is>
      </c>
      <c r="B1704" s="1" t="n">
        <v>45699</v>
      </c>
      <c r="C1704" s="1" t="n">
        <v>45719</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6541-2025</t>
        </is>
      </c>
      <c r="B1705" s="1" t="n">
        <v>45699</v>
      </c>
      <c r="C1705" s="1" t="n">
        <v>45719</v>
      </c>
      <c r="D1705" t="inlineStr">
        <is>
          <t>UPPSALA LÄN</t>
        </is>
      </c>
      <c r="E1705" t="inlineStr">
        <is>
          <t>UPPSALA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6549-2025</t>
        </is>
      </c>
      <c r="B1706" s="1" t="n">
        <v>45699</v>
      </c>
      <c r="C1706" s="1" t="n">
        <v>45719</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45719</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45719</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45719</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45719</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45719</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45719</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45719</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45719</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45719</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45719</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9414-2025</t>
        </is>
      </c>
      <c r="B1717" s="1" t="n">
        <v>45715</v>
      </c>
      <c r="C1717" s="1" t="n">
        <v>45719</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c r="A1718" t="inlineStr">
        <is>
          <t>A 9411-2025</t>
        </is>
      </c>
      <c r="B1718" s="1" t="n">
        <v>45715</v>
      </c>
      <c r="C1718" s="1" t="n">
        <v>45719</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2025-03-03T20:09:28Z</dcterms:created>
  <dcterms:modified xmlns:dcterms="http://purl.org/dc/terms/" xmlns:xsi="http://www.w3.org/2001/XMLSchema-instance" xsi:type="dcterms:W3CDTF">2025-03-03T20:09:29Z</dcterms:modified>
</cp:coreProperties>
</file>