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45807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45807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45807</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45807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45807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45807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45807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45807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45807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45807</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45807</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45807</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45807</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45807</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45807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45807</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45807</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45807</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45807</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45807</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45807</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45807</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45807</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45807</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45807</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45807</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45807</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45807</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45807</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45807</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45807</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45807</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45807</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45807</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45807</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45807</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45807</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45807</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45807</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45807</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45807</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45807</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45807</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45807</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45807</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45807</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45807</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45807</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45807</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45807</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45807</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45807</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45807</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45807</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45807</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45807</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45807</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45807</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45807</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45807</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45807</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45807</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45807</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45807</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45807</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45807</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45807</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45807</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45807</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45807</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45807</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45807</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45807</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45807</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45807</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45807</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45807</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45807</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45807</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45807</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45807</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45807</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45807</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45807</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45807</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45807</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45807</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45807</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45807</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45807</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45807</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45807</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45807</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45807</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45807</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45807</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45807</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45807</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45807</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45807</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45807</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45807</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45807</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45807</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45807</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45807</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45807</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45807</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45807</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45807</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45807</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45807</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45807</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45807</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45807</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45807</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45807</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45807</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45807</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45807</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45807</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45807</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45807</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45807</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45807</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45807</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45807</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45807</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45807</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45807</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45807</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45807</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45807</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45807</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45807</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45807</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45807</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45807</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45807</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45807</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45807</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45807</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45807</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45807</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45807</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45807</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45807</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45807</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45807</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45807</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45807</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45807</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45807</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45807</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45807</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45807</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45807</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45807</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45807</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45807</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45807</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45807</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45807</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45807</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45807</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45807</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45807</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45807</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45807</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45807</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45807</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45807</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45807</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45807</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45807</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45807</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45807</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45807</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45807</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45807</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45807</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45807</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45807</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45807</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45807</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45807</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45807</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45807</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45807</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45807</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45807</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45807</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45807</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45807</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45807</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45807</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45807</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45807</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45807</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45807</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45807</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45807</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45807</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45807</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45807</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45807</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45807</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45807</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45807</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45807</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45807</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45807</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45807</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25609-2025</t>
        </is>
      </c>
      <c r="B215" s="1" t="n">
        <v>45803</v>
      </c>
      <c r="C215" s="1" t="n">
        <v>45807</v>
      </c>
      <c r="D215" t="inlineStr">
        <is>
          <t>UPPSALA LÄN</t>
        </is>
      </c>
      <c r="E215" t="inlineStr">
        <is>
          <t>UPPSALA</t>
        </is>
      </c>
      <c r="F215" t="inlineStr">
        <is>
          <t>Holmen skog AB</t>
        </is>
      </c>
      <c r="G215" t="n">
        <v>4.5</v>
      </c>
      <c r="H215" t="n">
        <v>1</v>
      </c>
      <c r="I215" t="n">
        <v>0</v>
      </c>
      <c r="J215" t="n">
        <v>0</v>
      </c>
      <c r="K215" t="n">
        <v>0</v>
      </c>
      <c r="L215" t="n">
        <v>0</v>
      </c>
      <c r="M215" t="n">
        <v>0</v>
      </c>
      <c r="N215" t="n">
        <v>0</v>
      </c>
      <c r="O215" t="n">
        <v>0</v>
      </c>
      <c r="P215" t="n">
        <v>0</v>
      </c>
      <c r="Q215" t="n">
        <v>1</v>
      </c>
      <c r="R215" s="2" t="inlineStr">
        <is>
          <t>Blåsippa</t>
        </is>
      </c>
      <c r="S215">
        <f>HYPERLINK("https://klasma.github.io/Logging_030380/artfynd/A 25609-2025 artfynd.xlsx", "A 25609-2025")</f>
        <v/>
      </c>
      <c r="T215">
        <f>HYPERLINK("https://klasma.github.io/Logging_030380/kartor/A 25609-2025 karta.png", "A 25609-2025")</f>
        <v/>
      </c>
      <c r="U215">
        <f>HYPERLINK("https://klasma.github.io/Logging_030380/knärot/A 25609-2025 karta knärot.png", "A 25609-2025")</f>
        <v/>
      </c>
      <c r="V215">
        <f>HYPERLINK("https://klasma.github.io/Logging_030380/klagomål/A 25609-2025 FSC-klagomål.docx", "A 25609-2025")</f>
        <v/>
      </c>
      <c r="W215">
        <f>HYPERLINK("https://klasma.github.io/Logging_030380/klagomålsmail/A 25609-2025 FSC-klagomål mail.docx", "A 25609-2025")</f>
        <v/>
      </c>
      <c r="X215">
        <f>HYPERLINK("https://klasma.github.io/Logging_030380/tillsyn/A 25609-2025 tillsynsbegäran.docx", "A 25609-2025")</f>
        <v/>
      </c>
      <c r="Y215">
        <f>HYPERLINK("https://klasma.github.io/Logging_030380/tillsynsmail/A 25609-2025 tillsynsbegäran mail.docx", "A 25609-2025")</f>
        <v/>
      </c>
    </row>
    <row r="216" ht="15" customHeight="1">
      <c r="A216" t="inlineStr">
        <is>
          <t>A 25660-2025</t>
        </is>
      </c>
      <c r="B216" s="1" t="n">
        <v>45803</v>
      </c>
      <c r="C216" s="1" t="n">
        <v>45807</v>
      </c>
      <c r="D216" t="inlineStr">
        <is>
          <t>UPPSALA LÄN</t>
        </is>
      </c>
      <c r="E216" t="inlineStr">
        <is>
          <t>UPPSALA</t>
        </is>
      </c>
      <c r="F216" t="inlineStr">
        <is>
          <t>Holmen skog AB</t>
        </is>
      </c>
      <c r="G216" t="n">
        <v>4.8</v>
      </c>
      <c r="H216" t="n">
        <v>0</v>
      </c>
      <c r="I216" t="n">
        <v>1</v>
      </c>
      <c r="J216" t="n">
        <v>0</v>
      </c>
      <c r="K216" t="n">
        <v>0</v>
      </c>
      <c r="L216" t="n">
        <v>0</v>
      </c>
      <c r="M216" t="n">
        <v>0</v>
      </c>
      <c r="N216" t="n">
        <v>0</v>
      </c>
      <c r="O216" t="n">
        <v>0</v>
      </c>
      <c r="P216" t="n">
        <v>0</v>
      </c>
      <c r="Q216" t="n">
        <v>1</v>
      </c>
      <c r="R216" s="2" t="inlineStr">
        <is>
          <t>Skogshakmossa</t>
        </is>
      </c>
      <c r="S216">
        <f>HYPERLINK("https://klasma.github.io/Logging_030380/artfynd/A 25660-2025 artfynd.xlsx", "A 25660-2025")</f>
        <v/>
      </c>
      <c r="T216">
        <f>HYPERLINK("https://klasma.github.io/Logging_030380/kartor/A 25660-2025 karta.png", "A 25660-2025")</f>
        <v/>
      </c>
      <c r="V216">
        <f>HYPERLINK("https://klasma.github.io/Logging_030380/klagomål/A 25660-2025 FSC-klagomål.docx", "A 25660-2025")</f>
        <v/>
      </c>
      <c r="W216">
        <f>HYPERLINK("https://klasma.github.io/Logging_030380/klagomålsmail/A 25660-2025 FSC-klagomål mail.docx", "A 25660-2025")</f>
        <v/>
      </c>
      <c r="X216">
        <f>HYPERLINK("https://klasma.github.io/Logging_030380/tillsyn/A 25660-2025 tillsynsbegäran.docx", "A 25660-2025")</f>
        <v/>
      </c>
      <c r="Y216">
        <f>HYPERLINK("https://klasma.github.io/Logging_030380/tillsynsmail/A 25660-2025 tillsynsbegäran mail.docx", "A 25660-2025")</f>
        <v/>
      </c>
    </row>
    <row r="217" ht="15" customHeight="1">
      <c r="A217" t="inlineStr">
        <is>
          <t>A 25608-2025</t>
        </is>
      </c>
      <c r="B217" s="1" t="n">
        <v>45803</v>
      </c>
      <c r="C217" s="1" t="n">
        <v>45807</v>
      </c>
      <c r="D217" t="inlineStr">
        <is>
          <t>UPPSALA LÄN</t>
        </is>
      </c>
      <c r="E217" t="inlineStr">
        <is>
          <t>UPPSALA</t>
        </is>
      </c>
      <c r="F217" t="inlineStr">
        <is>
          <t>Holmen skog AB</t>
        </is>
      </c>
      <c r="G217" t="n">
        <v>3</v>
      </c>
      <c r="H217" t="n">
        <v>0</v>
      </c>
      <c r="I217" t="n">
        <v>1</v>
      </c>
      <c r="J217" t="n">
        <v>0</v>
      </c>
      <c r="K217" t="n">
        <v>0</v>
      </c>
      <c r="L217" t="n">
        <v>0</v>
      </c>
      <c r="M217" t="n">
        <v>0</v>
      </c>
      <c r="N217" t="n">
        <v>0</v>
      </c>
      <c r="O217" t="n">
        <v>0</v>
      </c>
      <c r="P217" t="n">
        <v>0</v>
      </c>
      <c r="Q217" t="n">
        <v>1</v>
      </c>
      <c r="R217" s="2" t="inlineStr">
        <is>
          <t>Stuplav</t>
        </is>
      </c>
      <c r="S217">
        <f>HYPERLINK("https://klasma.github.io/Logging_030380/artfynd/A 25608-2025 artfynd.xlsx", "A 25608-2025")</f>
        <v/>
      </c>
      <c r="T217">
        <f>HYPERLINK("https://klasma.github.io/Logging_030380/kartor/A 25608-2025 karta.png", "A 25608-2025")</f>
        <v/>
      </c>
      <c r="V217">
        <f>HYPERLINK("https://klasma.github.io/Logging_030380/klagomål/A 25608-2025 FSC-klagomål.docx", "A 25608-2025")</f>
        <v/>
      </c>
      <c r="W217">
        <f>HYPERLINK("https://klasma.github.io/Logging_030380/klagomålsmail/A 25608-2025 FSC-klagomål mail.docx", "A 25608-2025")</f>
        <v/>
      </c>
      <c r="X217">
        <f>HYPERLINK("https://klasma.github.io/Logging_030380/tillsyn/A 25608-2025 tillsynsbegäran.docx", "A 25608-2025")</f>
        <v/>
      </c>
      <c r="Y217">
        <f>HYPERLINK("https://klasma.github.io/Logging_030380/tillsynsmail/A 25608-2025 tillsynsbegäran mail.docx", "A 25608-2025")</f>
        <v/>
      </c>
    </row>
    <row r="218" ht="15" customHeight="1">
      <c r="A218" t="inlineStr">
        <is>
          <t>A 26135-2025</t>
        </is>
      </c>
      <c r="B218" s="1" t="n">
        <v>45805</v>
      </c>
      <c r="C218" s="1" t="n">
        <v>45807</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17828-2019</t>
        </is>
      </c>
      <c r="B219" s="1" t="n">
        <v>43556</v>
      </c>
      <c r="C219" s="1" t="n">
        <v>45807</v>
      </c>
      <c r="D219" t="inlineStr">
        <is>
          <t>UPPSALA LÄN</t>
        </is>
      </c>
      <c r="E219" t="inlineStr">
        <is>
          <t>UPPSALA</t>
        </is>
      </c>
      <c r="G219" t="n">
        <v>2.8</v>
      </c>
      <c r="H219" t="n">
        <v>0</v>
      </c>
      <c r="I219" t="n">
        <v>0</v>
      </c>
      <c r="J219" t="n">
        <v>0</v>
      </c>
      <c r="K219" t="n">
        <v>0</v>
      </c>
      <c r="L219" t="n">
        <v>0</v>
      </c>
      <c r="M219" t="n">
        <v>0</v>
      </c>
      <c r="N219" t="n">
        <v>0</v>
      </c>
      <c r="O219" t="n">
        <v>0</v>
      </c>
      <c r="P219" t="n">
        <v>0</v>
      </c>
      <c r="Q219" t="n">
        <v>0</v>
      </c>
      <c r="R219" s="2" t="inlineStr"/>
    </row>
    <row r="220" ht="15" customHeight="1">
      <c r="A220" t="inlineStr">
        <is>
          <t>A 18446-2019</t>
        </is>
      </c>
      <c r="B220" s="1" t="n">
        <v>43559</v>
      </c>
      <c r="C220" s="1" t="n">
        <v>45807</v>
      </c>
      <c r="D220" t="inlineStr">
        <is>
          <t>UPPSALA LÄN</t>
        </is>
      </c>
      <c r="E220" t="inlineStr">
        <is>
          <t>UPPSALA</t>
        </is>
      </c>
      <c r="G220" t="n">
        <v>9.1</v>
      </c>
      <c r="H220" t="n">
        <v>0</v>
      </c>
      <c r="I220" t="n">
        <v>0</v>
      </c>
      <c r="J220" t="n">
        <v>0</v>
      </c>
      <c r="K220" t="n">
        <v>0</v>
      </c>
      <c r="L220" t="n">
        <v>0</v>
      </c>
      <c r="M220" t="n">
        <v>0</v>
      </c>
      <c r="N220" t="n">
        <v>0</v>
      </c>
      <c r="O220" t="n">
        <v>0</v>
      </c>
      <c r="P220" t="n">
        <v>0</v>
      </c>
      <c r="Q220" t="n">
        <v>0</v>
      </c>
      <c r="R220" s="2" t="inlineStr"/>
    </row>
    <row r="221" ht="15" customHeight="1">
      <c r="A221" t="inlineStr">
        <is>
          <t>A 18554-2019</t>
        </is>
      </c>
      <c r="B221" s="1" t="n">
        <v>43559</v>
      </c>
      <c r="C221" s="1" t="n">
        <v>45807</v>
      </c>
      <c r="D221" t="inlineStr">
        <is>
          <t>UPPSALA LÄN</t>
        </is>
      </c>
      <c r="E221" t="inlineStr">
        <is>
          <t>UPPSALA</t>
        </is>
      </c>
      <c r="G221" t="n">
        <v>5.6</v>
      </c>
      <c r="H221" t="n">
        <v>0</v>
      </c>
      <c r="I221" t="n">
        <v>0</v>
      </c>
      <c r="J221" t="n">
        <v>0</v>
      </c>
      <c r="K221" t="n">
        <v>0</v>
      </c>
      <c r="L221" t="n">
        <v>0</v>
      </c>
      <c r="M221" t="n">
        <v>0</v>
      </c>
      <c r="N221" t="n">
        <v>0</v>
      </c>
      <c r="O221" t="n">
        <v>0</v>
      </c>
      <c r="P221" t="n">
        <v>0</v>
      </c>
      <c r="Q221" t="n">
        <v>0</v>
      </c>
      <c r="R221" s="2" t="inlineStr"/>
    </row>
    <row r="222" ht="15" customHeight="1">
      <c r="A222" t="inlineStr">
        <is>
          <t>A 18810-2019</t>
        </is>
      </c>
      <c r="B222" s="1" t="n">
        <v>43560</v>
      </c>
      <c r="C222" s="1" t="n">
        <v>45807</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20011-2019</t>
        </is>
      </c>
      <c r="B223" s="1" t="n">
        <v>43570</v>
      </c>
      <c r="C223" s="1" t="n">
        <v>45807</v>
      </c>
      <c r="D223" t="inlineStr">
        <is>
          <t>UPPSALA LÄN</t>
        </is>
      </c>
      <c r="E223" t="inlineStr">
        <is>
          <t>UPPSALA</t>
        </is>
      </c>
      <c r="G223" t="n">
        <v>6.3</v>
      </c>
      <c r="H223" t="n">
        <v>0</v>
      </c>
      <c r="I223" t="n">
        <v>0</v>
      </c>
      <c r="J223" t="n">
        <v>0</v>
      </c>
      <c r="K223" t="n">
        <v>0</v>
      </c>
      <c r="L223" t="n">
        <v>0</v>
      </c>
      <c r="M223" t="n">
        <v>0</v>
      </c>
      <c r="N223" t="n">
        <v>0</v>
      </c>
      <c r="O223" t="n">
        <v>0</v>
      </c>
      <c r="P223" t="n">
        <v>0</v>
      </c>
      <c r="Q223" t="n">
        <v>0</v>
      </c>
      <c r="R223" s="2" t="inlineStr"/>
    </row>
    <row r="224" ht="15" customHeight="1">
      <c r="A224" t="inlineStr">
        <is>
          <t>A 21087-2019</t>
        </is>
      </c>
      <c r="B224" s="1" t="n">
        <v>43578</v>
      </c>
      <c r="C224" s="1" t="n">
        <v>45807</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21082-2019</t>
        </is>
      </c>
      <c r="B225" s="1" t="n">
        <v>43578</v>
      </c>
      <c r="C225" s="1" t="n">
        <v>45807</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22153-2019</t>
        </is>
      </c>
      <c r="B226" s="1" t="n">
        <v>43585</v>
      </c>
      <c r="C226" s="1" t="n">
        <v>45807</v>
      </c>
      <c r="D226" t="inlineStr">
        <is>
          <t>UPPSALA LÄN</t>
        </is>
      </c>
      <c r="E226" t="inlineStr">
        <is>
          <t>UPPSALA</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23042-2019</t>
        </is>
      </c>
      <c r="B227" s="1" t="n">
        <v>43591</v>
      </c>
      <c r="C227" s="1" t="n">
        <v>45807</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23262-2019</t>
        </is>
      </c>
      <c r="B228" s="1" t="n">
        <v>43592</v>
      </c>
      <c r="C228" s="1" t="n">
        <v>45807</v>
      </c>
      <c r="D228" t="inlineStr">
        <is>
          <t>UPPSALA LÄN</t>
        </is>
      </c>
      <c r="E228" t="inlineStr">
        <is>
          <t>UPPSALA</t>
        </is>
      </c>
      <c r="F228" t="inlineStr">
        <is>
          <t>Kyrkan</t>
        </is>
      </c>
      <c r="G228" t="n">
        <v>7.6</v>
      </c>
      <c r="H228" t="n">
        <v>0</v>
      </c>
      <c r="I228" t="n">
        <v>0</v>
      </c>
      <c r="J228" t="n">
        <v>0</v>
      </c>
      <c r="K228" t="n">
        <v>0</v>
      </c>
      <c r="L228" t="n">
        <v>0</v>
      </c>
      <c r="M228" t="n">
        <v>0</v>
      </c>
      <c r="N228" t="n">
        <v>0</v>
      </c>
      <c r="O228" t="n">
        <v>0</v>
      </c>
      <c r="P228" t="n">
        <v>0</v>
      </c>
      <c r="Q228" t="n">
        <v>0</v>
      </c>
      <c r="R228" s="2" t="inlineStr"/>
    </row>
    <row r="229" ht="15" customHeight="1">
      <c r="A229" t="inlineStr">
        <is>
          <t>A 24998-2019</t>
        </is>
      </c>
      <c r="B229" s="1" t="n">
        <v>43600</v>
      </c>
      <c r="C229" s="1" t="n">
        <v>45807</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25164-2019</t>
        </is>
      </c>
      <c r="B230" s="1" t="n">
        <v>43605</v>
      </c>
      <c r="C230" s="1" t="n">
        <v>45807</v>
      </c>
      <c r="D230" t="inlineStr">
        <is>
          <t>UPPSALA LÄN</t>
        </is>
      </c>
      <c r="E230" t="inlineStr">
        <is>
          <t>UPPSALA</t>
        </is>
      </c>
      <c r="G230" t="n">
        <v>1.6</v>
      </c>
      <c r="H230" t="n">
        <v>0</v>
      </c>
      <c r="I230" t="n">
        <v>0</v>
      </c>
      <c r="J230" t="n">
        <v>0</v>
      </c>
      <c r="K230" t="n">
        <v>0</v>
      </c>
      <c r="L230" t="n">
        <v>0</v>
      </c>
      <c r="M230" t="n">
        <v>0</v>
      </c>
      <c r="N230" t="n">
        <v>0</v>
      </c>
      <c r="O230" t="n">
        <v>0</v>
      </c>
      <c r="P230" t="n">
        <v>0</v>
      </c>
      <c r="Q230" t="n">
        <v>0</v>
      </c>
      <c r="R230" s="2" t="inlineStr"/>
    </row>
    <row r="231" ht="15" customHeight="1">
      <c r="A231" t="inlineStr">
        <is>
          <t>A 25157-2019</t>
        </is>
      </c>
      <c r="B231" s="1" t="n">
        <v>43605</v>
      </c>
      <c r="C231" s="1" t="n">
        <v>45807</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25667-2019</t>
        </is>
      </c>
      <c r="B232" s="1" t="n">
        <v>43607</v>
      </c>
      <c r="C232" s="1" t="n">
        <v>45807</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29105-2019</t>
        </is>
      </c>
      <c r="B233" s="1" t="n">
        <v>43628</v>
      </c>
      <c r="C233" s="1" t="n">
        <v>45807</v>
      </c>
      <c r="D233" t="inlineStr">
        <is>
          <t>UPPSALA LÄN</t>
        </is>
      </c>
      <c r="E233" t="inlineStr">
        <is>
          <t>UPPSALA</t>
        </is>
      </c>
      <c r="G233" t="n">
        <v>2.1</v>
      </c>
      <c r="H233" t="n">
        <v>0</v>
      </c>
      <c r="I233" t="n">
        <v>0</v>
      </c>
      <c r="J233" t="n">
        <v>0</v>
      </c>
      <c r="K233" t="n">
        <v>0</v>
      </c>
      <c r="L233" t="n">
        <v>0</v>
      </c>
      <c r="M233" t="n">
        <v>0</v>
      </c>
      <c r="N233" t="n">
        <v>0</v>
      </c>
      <c r="O233" t="n">
        <v>0</v>
      </c>
      <c r="P233" t="n">
        <v>0</v>
      </c>
      <c r="Q233" t="n">
        <v>0</v>
      </c>
      <c r="R233" s="2" t="inlineStr"/>
    </row>
    <row r="234" ht="15" customHeight="1">
      <c r="A234" t="inlineStr">
        <is>
          <t>A 29183-2019</t>
        </is>
      </c>
      <c r="B234" s="1" t="n">
        <v>43628</v>
      </c>
      <c r="C234" s="1" t="n">
        <v>45807</v>
      </c>
      <c r="D234" t="inlineStr">
        <is>
          <t>UPPSALA LÄN</t>
        </is>
      </c>
      <c r="E234" t="inlineStr">
        <is>
          <t>UPPSALA</t>
        </is>
      </c>
      <c r="F234" t="inlineStr">
        <is>
          <t>Allmännings- och besparingsskogar</t>
        </is>
      </c>
      <c r="G234" t="n">
        <v>6.3</v>
      </c>
      <c r="H234" t="n">
        <v>0</v>
      </c>
      <c r="I234" t="n">
        <v>0</v>
      </c>
      <c r="J234" t="n">
        <v>0</v>
      </c>
      <c r="K234" t="n">
        <v>0</v>
      </c>
      <c r="L234" t="n">
        <v>0</v>
      </c>
      <c r="M234" t="n">
        <v>0</v>
      </c>
      <c r="N234" t="n">
        <v>0</v>
      </c>
      <c r="O234" t="n">
        <v>0</v>
      </c>
      <c r="P234" t="n">
        <v>0</v>
      </c>
      <c r="Q234" t="n">
        <v>0</v>
      </c>
      <c r="R234" s="2" t="inlineStr"/>
    </row>
    <row r="235" ht="15" customHeight="1">
      <c r="A235" t="inlineStr">
        <is>
          <t>A 29081-2019</t>
        </is>
      </c>
      <c r="B235" s="1" t="n">
        <v>43628</v>
      </c>
      <c r="C235" s="1" t="n">
        <v>45807</v>
      </c>
      <c r="D235" t="inlineStr">
        <is>
          <t>UPPSALA LÄN</t>
        </is>
      </c>
      <c r="E235" t="inlineStr">
        <is>
          <t>UPPSALA</t>
        </is>
      </c>
      <c r="G235" t="n">
        <v>8.4</v>
      </c>
      <c r="H235" t="n">
        <v>0</v>
      </c>
      <c r="I235" t="n">
        <v>0</v>
      </c>
      <c r="J235" t="n">
        <v>0</v>
      </c>
      <c r="K235" t="n">
        <v>0</v>
      </c>
      <c r="L235" t="n">
        <v>0</v>
      </c>
      <c r="M235" t="n">
        <v>0</v>
      </c>
      <c r="N235" t="n">
        <v>0</v>
      </c>
      <c r="O235" t="n">
        <v>0</v>
      </c>
      <c r="P235" t="n">
        <v>0</v>
      </c>
      <c r="Q235" t="n">
        <v>0</v>
      </c>
      <c r="R235" s="2" t="inlineStr"/>
    </row>
    <row r="236" ht="15" customHeight="1">
      <c r="A236" t="inlineStr">
        <is>
          <t>A 29719-2019</t>
        </is>
      </c>
      <c r="B236" s="1" t="n">
        <v>43630</v>
      </c>
      <c r="C236" s="1" t="n">
        <v>45807</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29713-2019</t>
        </is>
      </c>
      <c r="B237" s="1" t="n">
        <v>43630</v>
      </c>
      <c r="C237" s="1" t="n">
        <v>45807</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32558-2019</t>
        </is>
      </c>
      <c r="B238" s="1" t="n">
        <v>43647</v>
      </c>
      <c r="C238" s="1" t="n">
        <v>45807</v>
      </c>
      <c r="D238" t="inlineStr">
        <is>
          <t>UPPSALA LÄN</t>
        </is>
      </c>
      <c r="E238" t="inlineStr">
        <is>
          <t>UPPSALA</t>
        </is>
      </c>
      <c r="G238" t="n">
        <v>4.2</v>
      </c>
      <c r="H238" t="n">
        <v>0</v>
      </c>
      <c r="I238" t="n">
        <v>0</v>
      </c>
      <c r="J238" t="n">
        <v>0</v>
      </c>
      <c r="K238" t="n">
        <v>0</v>
      </c>
      <c r="L238" t="n">
        <v>0</v>
      </c>
      <c r="M238" t="n">
        <v>0</v>
      </c>
      <c r="N238" t="n">
        <v>0</v>
      </c>
      <c r="O238" t="n">
        <v>0</v>
      </c>
      <c r="P238" t="n">
        <v>0</v>
      </c>
      <c r="Q238" t="n">
        <v>0</v>
      </c>
      <c r="R238" s="2" t="inlineStr"/>
    </row>
    <row r="239" ht="15" customHeight="1">
      <c r="A239" t="inlineStr">
        <is>
          <t>A 34560-2019</t>
        </is>
      </c>
      <c r="B239" s="1" t="n">
        <v>43647</v>
      </c>
      <c r="C239" s="1" t="n">
        <v>45807</v>
      </c>
      <c r="D239" t="inlineStr">
        <is>
          <t>UPPSALA LÄN</t>
        </is>
      </c>
      <c r="E239" t="inlineStr">
        <is>
          <t>UPPSALA</t>
        </is>
      </c>
      <c r="G239" t="n">
        <v>8.6</v>
      </c>
      <c r="H239" t="n">
        <v>0</v>
      </c>
      <c r="I239" t="n">
        <v>0</v>
      </c>
      <c r="J239" t="n">
        <v>0</v>
      </c>
      <c r="K239" t="n">
        <v>0</v>
      </c>
      <c r="L239" t="n">
        <v>0</v>
      </c>
      <c r="M239" t="n">
        <v>0</v>
      </c>
      <c r="N239" t="n">
        <v>0</v>
      </c>
      <c r="O239" t="n">
        <v>0</v>
      </c>
      <c r="P239" t="n">
        <v>0</v>
      </c>
      <c r="Q239" t="n">
        <v>0</v>
      </c>
      <c r="R239" s="2" t="inlineStr"/>
    </row>
    <row r="240" ht="15" customHeight="1">
      <c r="A240" t="inlineStr">
        <is>
          <t>A 32830-2019</t>
        </is>
      </c>
      <c r="B240" s="1" t="n">
        <v>43648</v>
      </c>
      <c r="C240" s="1" t="n">
        <v>45807</v>
      </c>
      <c r="D240" t="inlineStr">
        <is>
          <t>UPPSALA LÄN</t>
        </is>
      </c>
      <c r="E240" t="inlineStr">
        <is>
          <t>UPPSALA</t>
        </is>
      </c>
      <c r="G240" t="n">
        <v>13.6</v>
      </c>
      <c r="H240" t="n">
        <v>0</v>
      </c>
      <c r="I240" t="n">
        <v>0</v>
      </c>
      <c r="J240" t="n">
        <v>0</v>
      </c>
      <c r="K240" t="n">
        <v>0</v>
      </c>
      <c r="L240" t="n">
        <v>0</v>
      </c>
      <c r="M240" t="n">
        <v>0</v>
      </c>
      <c r="N240" t="n">
        <v>0</v>
      </c>
      <c r="O240" t="n">
        <v>0</v>
      </c>
      <c r="P240" t="n">
        <v>0</v>
      </c>
      <c r="Q240" t="n">
        <v>0</v>
      </c>
      <c r="R240" s="2" t="inlineStr"/>
    </row>
    <row r="241" ht="15" customHeight="1">
      <c r="A241" t="inlineStr">
        <is>
          <t>A 33602-2019</t>
        </is>
      </c>
      <c r="B241" s="1" t="n">
        <v>43651</v>
      </c>
      <c r="C241" s="1" t="n">
        <v>45807</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33614-2019</t>
        </is>
      </c>
      <c r="B242" s="1" t="n">
        <v>43651</v>
      </c>
      <c r="C242" s="1" t="n">
        <v>45807</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33615-2019</t>
        </is>
      </c>
      <c r="B243" s="1" t="n">
        <v>43651</v>
      </c>
      <c r="C243" s="1" t="n">
        <v>45807</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33596-2019</t>
        </is>
      </c>
      <c r="B244" s="1" t="n">
        <v>43651</v>
      </c>
      <c r="C244" s="1" t="n">
        <v>45807</v>
      </c>
      <c r="D244" t="inlineStr">
        <is>
          <t>UPPSALA LÄN</t>
        </is>
      </c>
      <c r="E244" t="inlineStr">
        <is>
          <t>UPPSALA</t>
        </is>
      </c>
      <c r="G244" t="n">
        <v>1.3</v>
      </c>
      <c r="H244" t="n">
        <v>0</v>
      </c>
      <c r="I244" t="n">
        <v>0</v>
      </c>
      <c r="J244" t="n">
        <v>0</v>
      </c>
      <c r="K244" t="n">
        <v>0</v>
      </c>
      <c r="L244" t="n">
        <v>0</v>
      </c>
      <c r="M244" t="n">
        <v>0</v>
      </c>
      <c r="N244" t="n">
        <v>0</v>
      </c>
      <c r="O244" t="n">
        <v>0</v>
      </c>
      <c r="P244" t="n">
        <v>0</v>
      </c>
      <c r="Q244" t="n">
        <v>0</v>
      </c>
      <c r="R244" s="2" t="inlineStr"/>
    </row>
    <row r="245" ht="15" customHeight="1">
      <c r="A245" t="inlineStr">
        <is>
          <t>A 34007-2019</t>
        </is>
      </c>
      <c r="B245" s="1" t="n">
        <v>43654</v>
      </c>
      <c r="C245" s="1" t="n">
        <v>45807</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34063-2019</t>
        </is>
      </c>
      <c r="B246" s="1" t="n">
        <v>43654</v>
      </c>
      <c r="C246" s="1" t="n">
        <v>45807</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34331-2019</t>
        </is>
      </c>
      <c r="B247" s="1" t="n">
        <v>43656</v>
      </c>
      <c r="C247" s="1" t="n">
        <v>45807</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36345-2019</t>
        </is>
      </c>
      <c r="B248" s="1" t="n">
        <v>43661</v>
      </c>
      <c r="C248" s="1" t="n">
        <v>45807</v>
      </c>
      <c r="D248" t="inlineStr">
        <is>
          <t>UPPSALA LÄN</t>
        </is>
      </c>
      <c r="E248" t="inlineStr">
        <is>
          <t>UPPSALA</t>
        </is>
      </c>
      <c r="G248" t="n">
        <v>5.3</v>
      </c>
      <c r="H248" t="n">
        <v>0</v>
      </c>
      <c r="I248" t="n">
        <v>0</v>
      </c>
      <c r="J248" t="n">
        <v>0</v>
      </c>
      <c r="K248" t="n">
        <v>0</v>
      </c>
      <c r="L248" t="n">
        <v>0</v>
      </c>
      <c r="M248" t="n">
        <v>0</v>
      </c>
      <c r="N248" t="n">
        <v>0</v>
      </c>
      <c r="O248" t="n">
        <v>0</v>
      </c>
      <c r="P248" t="n">
        <v>0</v>
      </c>
      <c r="Q248" t="n">
        <v>0</v>
      </c>
      <c r="R248" s="2" t="inlineStr"/>
    </row>
    <row r="249" ht="15" customHeight="1">
      <c r="A249" t="inlineStr">
        <is>
          <t>A 36394-2019</t>
        </is>
      </c>
      <c r="B249" s="1" t="n">
        <v>43663</v>
      </c>
      <c r="C249" s="1" t="n">
        <v>45807</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37234-2019</t>
        </is>
      </c>
      <c r="B250" s="1" t="n">
        <v>43677</v>
      </c>
      <c r="C250" s="1" t="n">
        <v>45807</v>
      </c>
      <c r="D250" t="inlineStr">
        <is>
          <t>UPPSALA LÄN</t>
        </is>
      </c>
      <c r="E250" t="inlineStr">
        <is>
          <t>UPPSALA</t>
        </is>
      </c>
      <c r="G250" t="n">
        <v>3.2</v>
      </c>
      <c r="H250" t="n">
        <v>0</v>
      </c>
      <c r="I250" t="n">
        <v>0</v>
      </c>
      <c r="J250" t="n">
        <v>0</v>
      </c>
      <c r="K250" t="n">
        <v>0</v>
      </c>
      <c r="L250" t="n">
        <v>0</v>
      </c>
      <c r="M250" t="n">
        <v>0</v>
      </c>
      <c r="N250" t="n">
        <v>0</v>
      </c>
      <c r="O250" t="n">
        <v>0</v>
      </c>
      <c r="P250" t="n">
        <v>0</v>
      </c>
      <c r="Q250" t="n">
        <v>0</v>
      </c>
      <c r="R250" s="2" t="inlineStr"/>
    </row>
    <row r="251" ht="15" customHeight="1">
      <c r="A251" t="inlineStr">
        <is>
          <t>A 37711-2019</t>
        </is>
      </c>
      <c r="B251" s="1" t="n">
        <v>43682</v>
      </c>
      <c r="C251" s="1" t="n">
        <v>45807</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38684-2019</t>
        </is>
      </c>
      <c r="B252" s="1" t="n">
        <v>43686</v>
      </c>
      <c r="C252" s="1" t="n">
        <v>45807</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40151-2019</t>
        </is>
      </c>
      <c r="B253" s="1" t="n">
        <v>43693</v>
      </c>
      <c r="C253" s="1" t="n">
        <v>45807</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41609-2019</t>
        </is>
      </c>
      <c r="B254" s="1" t="n">
        <v>43696</v>
      </c>
      <c r="C254" s="1" t="n">
        <v>45807</v>
      </c>
      <c r="D254" t="inlineStr">
        <is>
          <t>UPPSALA LÄN</t>
        </is>
      </c>
      <c r="E254" t="inlineStr">
        <is>
          <t>UPPSALA</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41653-2019</t>
        </is>
      </c>
      <c r="B255" s="1" t="n">
        <v>43696</v>
      </c>
      <c r="C255" s="1" t="n">
        <v>45807</v>
      </c>
      <c r="D255" t="inlineStr">
        <is>
          <t>UPPSALA LÄN</t>
        </is>
      </c>
      <c r="E255" t="inlineStr">
        <is>
          <t>UPPSALA</t>
        </is>
      </c>
      <c r="G255" t="n">
        <v>5.2</v>
      </c>
      <c r="H255" t="n">
        <v>0</v>
      </c>
      <c r="I255" t="n">
        <v>0</v>
      </c>
      <c r="J255" t="n">
        <v>0</v>
      </c>
      <c r="K255" t="n">
        <v>0</v>
      </c>
      <c r="L255" t="n">
        <v>0</v>
      </c>
      <c r="M255" t="n">
        <v>0</v>
      </c>
      <c r="N255" t="n">
        <v>0</v>
      </c>
      <c r="O255" t="n">
        <v>0</v>
      </c>
      <c r="P255" t="n">
        <v>0</v>
      </c>
      <c r="Q255" t="n">
        <v>0</v>
      </c>
      <c r="R255" s="2" t="inlineStr"/>
    </row>
    <row r="256" ht="15" customHeight="1">
      <c r="A256" t="inlineStr">
        <is>
          <t>A 41524-2019</t>
        </is>
      </c>
      <c r="B256" s="1" t="n">
        <v>43699</v>
      </c>
      <c r="C256" s="1" t="n">
        <v>45807</v>
      </c>
      <c r="D256" t="inlineStr">
        <is>
          <t>UPPSALA LÄN</t>
        </is>
      </c>
      <c r="E256" t="inlineStr">
        <is>
          <t>UPPSALA</t>
        </is>
      </c>
      <c r="G256" t="n">
        <v>2.4</v>
      </c>
      <c r="H256" t="n">
        <v>0</v>
      </c>
      <c r="I256" t="n">
        <v>0</v>
      </c>
      <c r="J256" t="n">
        <v>0</v>
      </c>
      <c r="K256" t="n">
        <v>0</v>
      </c>
      <c r="L256" t="n">
        <v>0</v>
      </c>
      <c r="M256" t="n">
        <v>0</v>
      </c>
      <c r="N256" t="n">
        <v>0</v>
      </c>
      <c r="O256" t="n">
        <v>0</v>
      </c>
      <c r="P256" t="n">
        <v>0</v>
      </c>
      <c r="Q256" t="n">
        <v>0</v>
      </c>
      <c r="R256" s="2" t="inlineStr"/>
    </row>
    <row r="257" ht="15" customHeight="1">
      <c r="A257" t="inlineStr">
        <is>
          <t>A 41535-2019</t>
        </is>
      </c>
      <c r="B257" s="1" t="n">
        <v>43699</v>
      </c>
      <c r="C257" s="1" t="n">
        <v>45807</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41695-2019</t>
        </is>
      </c>
      <c r="B258" s="1" t="n">
        <v>43699</v>
      </c>
      <c r="C258" s="1" t="n">
        <v>45807</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42111-2019</t>
        </is>
      </c>
      <c r="B259" s="1" t="n">
        <v>43703</v>
      </c>
      <c r="C259" s="1" t="n">
        <v>45807</v>
      </c>
      <c r="D259" t="inlineStr">
        <is>
          <t>UPPSALA LÄN</t>
        </is>
      </c>
      <c r="E259" t="inlineStr">
        <is>
          <t>UPPSALA</t>
        </is>
      </c>
      <c r="G259" t="n">
        <v>2.7</v>
      </c>
      <c r="H259" t="n">
        <v>0</v>
      </c>
      <c r="I259" t="n">
        <v>0</v>
      </c>
      <c r="J259" t="n">
        <v>0</v>
      </c>
      <c r="K259" t="n">
        <v>0</v>
      </c>
      <c r="L259" t="n">
        <v>0</v>
      </c>
      <c r="M259" t="n">
        <v>0</v>
      </c>
      <c r="N259" t="n">
        <v>0</v>
      </c>
      <c r="O259" t="n">
        <v>0</v>
      </c>
      <c r="P259" t="n">
        <v>0</v>
      </c>
      <c r="Q259" t="n">
        <v>0</v>
      </c>
      <c r="R259" s="2" t="inlineStr"/>
    </row>
    <row r="260" ht="15" customHeight="1">
      <c r="A260" t="inlineStr">
        <is>
          <t>A 42986-2019</t>
        </is>
      </c>
      <c r="B260" s="1" t="n">
        <v>43705</v>
      </c>
      <c r="C260" s="1" t="n">
        <v>45807</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43222-2019</t>
        </is>
      </c>
      <c r="B261" s="1" t="n">
        <v>43706</v>
      </c>
      <c r="C261" s="1" t="n">
        <v>45807</v>
      </c>
      <c r="D261" t="inlineStr">
        <is>
          <t>UPPSALA LÄN</t>
        </is>
      </c>
      <c r="E261" t="inlineStr">
        <is>
          <t>UPPSALA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43410-2019</t>
        </is>
      </c>
      <c r="B262" s="1" t="n">
        <v>43706</v>
      </c>
      <c r="C262" s="1" t="n">
        <v>45807</v>
      </c>
      <c r="D262" t="inlineStr">
        <is>
          <t>UPPSALA LÄN</t>
        </is>
      </c>
      <c r="E262" t="inlineStr">
        <is>
          <t>UPPSALA</t>
        </is>
      </c>
      <c r="F262" t="inlineStr">
        <is>
          <t>Övriga statliga verk och myndigheter</t>
        </is>
      </c>
      <c r="G262" t="n">
        <v>8.6</v>
      </c>
      <c r="H262" t="n">
        <v>0</v>
      </c>
      <c r="I262" t="n">
        <v>0</v>
      </c>
      <c r="J262" t="n">
        <v>0</v>
      </c>
      <c r="K262" t="n">
        <v>0</v>
      </c>
      <c r="L262" t="n">
        <v>0</v>
      </c>
      <c r="M262" t="n">
        <v>0</v>
      </c>
      <c r="N262" t="n">
        <v>0</v>
      </c>
      <c r="O262" t="n">
        <v>0</v>
      </c>
      <c r="P262" t="n">
        <v>0</v>
      </c>
      <c r="Q262" t="n">
        <v>0</v>
      </c>
      <c r="R262" s="2" t="inlineStr"/>
    </row>
    <row r="263" ht="15" customHeight="1">
      <c r="A263" t="inlineStr">
        <is>
          <t>A 43715-2019</t>
        </is>
      </c>
      <c r="B263" s="1" t="n">
        <v>43706</v>
      </c>
      <c r="C263" s="1" t="n">
        <v>45807</v>
      </c>
      <c r="D263" t="inlineStr">
        <is>
          <t>UPPSALA LÄN</t>
        </is>
      </c>
      <c r="E263" t="inlineStr">
        <is>
          <t>UPPSALA</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43224-2019</t>
        </is>
      </c>
      <c r="B264" s="1" t="n">
        <v>43706</v>
      </c>
      <c r="C264" s="1" t="n">
        <v>45807</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43435-2019</t>
        </is>
      </c>
      <c r="B265" s="1" t="n">
        <v>43706</v>
      </c>
      <c r="C265" s="1" t="n">
        <v>45807</v>
      </c>
      <c r="D265" t="inlineStr">
        <is>
          <t>UPPSALA LÄN</t>
        </is>
      </c>
      <c r="E265" t="inlineStr">
        <is>
          <t>UPPSALA</t>
        </is>
      </c>
      <c r="G265" t="n">
        <v>5.4</v>
      </c>
      <c r="H265" t="n">
        <v>0</v>
      </c>
      <c r="I265" t="n">
        <v>0</v>
      </c>
      <c r="J265" t="n">
        <v>0</v>
      </c>
      <c r="K265" t="n">
        <v>0</v>
      </c>
      <c r="L265" t="n">
        <v>0</v>
      </c>
      <c r="M265" t="n">
        <v>0</v>
      </c>
      <c r="N265" t="n">
        <v>0</v>
      </c>
      <c r="O265" t="n">
        <v>0</v>
      </c>
      <c r="P265" t="n">
        <v>0</v>
      </c>
      <c r="Q265" t="n">
        <v>0</v>
      </c>
      <c r="R265" s="2" t="inlineStr"/>
    </row>
    <row r="266" ht="15" customHeight="1">
      <c r="A266" t="inlineStr">
        <is>
          <t>A 43722-2019</t>
        </is>
      </c>
      <c r="B266" s="1" t="n">
        <v>43706</v>
      </c>
      <c r="C266" s="1" t="n">
        <v>45807</v>
      </c>
      <c r="D266" t="inlineStr">
        <is>
          <t>UPPSALA LÄN</t>
        </is>
      </c>
      <c r="E266" t="inlineStr">
        <is>
          <t>UPPSALA</t>
        </is>
      </c>
      <c r="F266" t="inlineStr">
        <is>
          <t>Övriga statliga verk och myndigheter</t>
        </is>
      </c>
      <c r="G266" t="n">
        <v>0.6</v>
      </c>
      <c r="H266" t="n">
        <v>0</v>
      </c>
      <c r="I266" t="n">
        <v>0</v>
      </c>
      <c r="J266" t="n">
        <v>0</v>
      </c>
      <c r="K266" t="n">
        <v>0</v>
      </c>
      <c r="L266" t="n">
        <v>0</v>
      </c>
      <c r="M266" t="n">
        <v>0</v>
      </c>
      <c r="N266" t="n">
        <v>0</v>
      </c>
      <c r="O266" t="n">
        <v>0</v>
      </c>
      <c r="P266" t="n">
        <v>0</v>
      </c>
      <c r="Q266" t="n">
        <v>0</v>
      </c>
      <c r="R266" s="2" t="inlineStr"/>
    </row>
    <row r="267" ht="15" customHeight="1">
      <c r="A267" t="inlineStr">
        <is>
          <t>A 43704-2019</t>
        </is>
      </c>
      <c r="B267" s="1" t="n">
        <v>43707</v>
      </c>
      <c r="C267" s="1" t="n">
        <v>45807</v>
      </c>
      <c r="D267" t="inlineStr">
        <is>
          <t>UPPSALA LÄN</t>
        </is>
      </c>
      <c r="E267" t="inlineStr">
        <is>
          <t>UPPSALA</t>
        </is>
      </c>
      <c r="F267" t="inlineStr">
        <is>
          <t>Bergvik skog öst AB</t>
        </is>
      </c>
      <c r="G267" t="n">
        <v>2.7</v>
      </c>
      <c r="H267" t="n">
        <v>0</v>
      </c>
      <c r="I267" t="n">
        <v>0</v>
      </c>
      <c r="J267" t="n">
        <v>0</v>
      </c>
      <c r="K267" t="n">
        <v>0</v>
      </c>
      <c r="L267" t="n">
        <v>0</v>
      </c>
      <c r="M267" t="n">
        <v>0</v>
      </c>
      <c r="N267" t="n">
        <v>0</v>
      </c>
      <c r="O267" t="n">
        <v>0</v>
      </c>
      <c r="P267" t="n">
        <v>0</v>
      </c>
      <c r="Q267" t="n">
        <v>0</v>
      </c>
      <c r="R267" s="2" t="inlineStr"/>
    </row>
    <row r="268" ht="15" customHeight="1">
      <c r="A268" t="inlineStr">
        <is>
          <t>A 43725-2019</t>
        </is>
      </c>
      <c r="B268" s="1" t="n">
        <v>43707</v>
      </c>
      <c r="C268" s="1" t="n">
        <v>45807</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44109-2019</t>
        </is>
      </c>
      <c r="B269" s="1" t="n">
        <v>43707</v>
      </c>
      <c r="C269" s="1" t="n">
        <v>45807</v>
      </c>
      <c r="D269" t="inlineStr">
        <is>
          <t>UPPSALA LÄN</t>
        </is>
      </c>
      <c r="E269" t="inlineStr">
        <is>
          <t>UPPSALA</t>
        </is>
      </c>
      <c r="F269" t="inlineStr">
        <is>
          <t>Allmännings- och besparingsskogar</t>
        </is>
      </c>
      <c r="G269" t="n">
        <v>81.3</v>
      </c>
      <c r="H269" t="n">
        <v>0</v>
      </c>
      <c r="I269" t="n">
        <v>0</v>
      </c>
      <c r="J269" t="n">
        <v>0</v>
      </c>
      <c r="K269" t="n">
        <v>0</v>
      </c>
      <c r="L269" t="n">
        <v>0</v>
      </c>
      <c r="M269" t="n">
        <v>0</v>
      </c>
      <c r="N269" t="n">
        <v>0</v>
      </c>
      <c r="O269" t="n">
        <v>0</v>
      </c>
      <c r="P269" t="n">
        <v>0</v>
      </c>
      <c r="Q269" t="n">
        <v>0</v>
      </c>
      <c r="R269" s="2" t="inlineStr"/>
    </row>
    <row r="270" ht="15" customHeight="1">
      <c r="A270" t="inlineStr">
        <is>
          <t>A 43713-2019</t>
        </is>
      </c>
      <c r="B270" s="1" t="n">
        <v>43707</v>
      </c>
      <c r="C270" s="1" t="n">
        <v>45807</v>
      </c>
      <c r="D270" t="inlineStr">
        <is>
          <t>UPPSALA LÄN</t>
        </is>
      </c>
      <c r="E270" t="inlineStr">
        <is>
          <t>UPPSALA</t>
        </is>
      </c>
      <c r="F270" t="inlineStr">
        <is>
          <t>Bergvik skog öst AB</t>
        </is>
      </c>
      <c r="G270" t="n">
        <v>7.9</v>
      </c>
      <c r="H270" t="n">
        <v>0</v>
      </c>
      <c r="I270" t="n">
        <v>0</v>
      </c>
      <c r="J270" t="n">
        <v>0</v>
      </c>
      <c r="K270" t="n">
        <v>0</v>
      </c>
      <c r="L270" t="n">
        <v>0</v>
      </c>
      <c r="M270" t="n">
        <v>0</v>
      </c>
      <c r="N270" t="n">
        <v>0</v>
      </c>
      <c r="O270" t="n">
        <v>0</v>
      </c>
      <c r="P270" t="n">
        <v>0</v>
      </c>
      <c r="Q270" t="n">
        <v>0</v>
      </c>
      <c r="R270" s="2" t="inlineStr"/>
    </row>
    <row r="271" ht="15" customHeight="1">
      <c r="A271" t="inlineStr">
        <is>
          <t>A 43853-2019</t>
        </is>
      </c>
      <c r="B271" s="1" t="n">
        <v>43707</v>
      </c>
      <c r="C271" s="1" t="n">
        <v>45807</v>
      </c>
      <c r="D271" t="inlineStr">
        <is>
          <t>UPPSALA LÄN</t>
        </is>
      </c>
      <c r="E271" t="inlineStr">
        <is>
          <t>UPPSALA</t>
        </is>
      </c>
      <c r="F271" t="inlineStr">
        <is>
          <t>Övriga statliga verk och myndigheter</t>
        </is>
      </c>
      <c r="G271" t="n">
        <v>1.8</v>
      </c>
      <c r="H271" t="n">
        <v>0</v>
      </c>
      <c r="I271" t="n">
        <v>0</v>
      </c>
      <c r="J271" t="n">
        <v>0</v>
      </c>
      <c r="K271" t="n">
        <v>0</v>
      </c>
      <c r="L271" t="n">
        <v>0</v>
      </c>
      <c r="M271" t="n">
        <v>0</v>
      </c>
      <c r="N271" t="n">
        <v>0</v>
      </c>
      <c r="O271" t="n">
        <v>0</v>
      </c>
      <c r="P271" t="n">
        <v>0</v>
      </c>
      <c r="Q271" t="n">
        <v>0</v>
      </c>
      <c r="R271" s="2" t="inlineStr"/>
    </row>
    <row r="272" ht="15" customHeight="1">
      <c r="A272" t="inlineStr">
        <is>
          <t>A 44141-2019</t>
        </is>
      </c>
      <c r="B272" s="1" t="n">
        <v>43710</v>
      </c>
      <c r="C272" s="1" t="n">
        <v>45807</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44701-2019</t>
        </is>
      </c>
      <c r="B273" s="1" t="n">
        <v>43712</v>
      </c>
      <c r="C273" s="1" t="n">
        <v>45807</v>
      </c>
      <c r="D273" t="inlineStr">
        <is>
          <t>UPPSALA LÄN</t>
        </is>
      </c>
      <c r="E273" t="inlineStr">
        <is>
          <t>UPPSALA</t>
        </is>
      </c>
      <c r="G273" t="n">
        <v>3.4</v>
      </c>
      <c r="H273" t="n">
        <v>0</v>
      </c>
      <c r="I273" t="n">
        <v>0</v>
      </c>
      <c r="J273" t="n">
        <v>0</v>
      </c>
      <c r="K273" t="n">
        <v>0</v>
      </c>
      <c r="L273" t="n">
        <v>0</v>
      </c>
      <c r="M273" t="n">
        <v>0</v>
      </c>
      <c r="N273" t="n">
        <v>0</v>
      </c>
      <c r="O273" t="n">
        <v>0</v>
      </c>
      <c r="P273" t="n">
        <v>0</v>
      </c>
      <c r="Q273" t="n">
        <v>0</v>
      </c>
      <c r="R273" s="2" t="inlineStr"/>
    </row>
    <row r="274" ht="15" customHeight="1">
      <c r="A274" t="inlineStr">
        <is>
          <t>A 44687-2019</t>
        </is>
      </c>
      <c r="B274" s="1" t="n">
        <v>43712</v>
      </c>
      <c r="C274" s="1" t="n">
        <v>45807</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45010-2019</t>
        </is>
      </c>
      <c r="B275" s="1" t="n">
        <v>43713</v>
      </c>
      <c r="C275" s="1" t="n">
        <v>45807</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45574-2019</t>
        </is>
      </c>
      <c r="B276" s="1" t="n">
        <v>43716</v>
      </c>
      <c r="C276" s="1" t="n">
        <v>45807</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46311-2019</t>
        </is>
      </c>
      <c r="B277" s="1" t="n">
        <v>43718</v>
      </c>
      <c r="C277" s="1" t="n">
        <v>45807</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46307-2019</t>
        </is>
      </c>
      <c r="B278" s="1" t="n">
        <v>43718</v>
      </c>
      <c r="C278" s="1" t="n">
        <v>45807</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46151-2019</t>
        </is>
      </c>
      <c r="B279" s="1" t="n">
        <v>43718</v>
      </c>
      <c r="C279" s="1" t="n">
        <v>45807</v>
      </c>
      <c r="D279" t="inlineStr">
        <is>
          <t>UPPSALA LÄN</t>
        </is>
      </c>
      <c r="E279" t="inlineStr">
        <is>
          <t>UPPSALA</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46157-2019</t>
        </is>
      </c>
      <c r="B280" s="1" t="n">
        <v>43718</v>
      </c>
      <c r="C280" s="1" t="n">
        <v>45807</v>
      </c>
      <c r="D280" t="inlineStr">
        <is>
          <t>UPPSALA LÄN</t>
        </is>
      </c>
      <c r="E280" t="inlineStr">
        <is>
          <t>UPPSALA</t>
        </is>
      </c>
      <c r="F280" t="inlineStr">
        <is>
          <t>Övriga Aktiebolag</t>
        </is>
      </c>
      <c r="G280" t="n">
        <v>4.5</v>
      </c>
      <c r="H280" t="n">
        <v>0</v>
      </c>
      <c r="I280" t="n">
        <v>0</v>
      </c>
      <c r="J280" t="n">
        <v>0</v>
      </c>
      <c r="K280" t="n">
        <v>0</v>
      </c>
      <c r="L280" t="n">
        <v>0</v>
      </c>
      <c r="M280" t="n">
        <v>0</v>
      </c>
      <c r="N280" t="n">
        <v>0</v>
      </c>
      <c r="O280" t="n">
        <v>0</v>
      </c>
      <c r="P280" t="n">
        <v>0</v>
      </c>
      <c r="Q280" t="n">
        <v>0</v>
      </c>
      <c r="R280" s="2" t="inlineStr"/>
    </row>
    <row r="281" ht="15" customHeight="1">
      <c r="A281" t="inlineStr">
        <is>
          <t>A 46310-2019</t>
        </is>
      </c>
      <c r="B281" s="1" t="n">
        <v>43718</v>
      </c>
      <c r="C281" s="1" t="n">
        <v>45807</v>
      </c>
      <c r="D281" t="inlineStr">
        <is>
          <t>UPPSALA LÄN</t>
        </is>
      </c>
      <c r="E281" t="inlineStr">
        <is>
          <t>UPPSALA</t>
        </is>
      </c>
      <c r="G281" t="n">
        <v>7</v>
      </c>
      <c r="H281" t="n">
        <v>0</v>
      </c>
      <c r="I281" t="n">
        <v>0</v>
      </c>
      <c r="J281" t="n">
        <v>0</v>
      </c>
      <c r="K281" t="n">
        <v>0</v>
      </c>
      <c r="L281" t="n">
        <v>0</v>
      </c>
      <c r="M281" t="n">
        <v>0</v>
      </c>
      <c r="N281" t="n">
        <v>0</v>
      </c>
      <c r="O281" t="n">
        <v>0</v>
      </c>
      <c r="P281" t="n">
        <v>0</v>
      </c>
      <c r="Q281" t="n">
        <v>0</v>
      </c>
      <c r="R281" s="2" t="inlineStr"/>
    </row>
    <row r="282" ht="15" customHeight="1">
      <c r="A282" t="inlineStr">
        <is>
          <t>A 46147-2019</t>
        </is>
      </c>
      <c r="B282" s="1" t="n">
        <v>43718</v>
      </c>
      <c r="C282" s="1" t="n">
        <v>45807</v>
      </c>
      <c r="D282" t="inlineStr">
        <is>
          <t>UPPSALA LÄN</t>
        </is>
      </c>
      <c r="E282" t="inlineStr">
        <is>
          <t>UPPSALA</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46877-2019</t>
        </is>
      </c>
      <c r="B283" s="1" t="n">
        <v>43720</v>
      </c>
      <c r="C283" s="1" t="n">
        <v>45807</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46896-2019</t>
        </is>
      </c>
      <c r="B284" s="1" t="n">
        <v>43720</v>
      </c>
      <c r="C284" s="1" t="n">
        <v>45807</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48485-2019</t>
        </is>
      </c>
      <c r="B285" s="1" t="n">
        <v>43727</v>
      </c>
      <c r="C285" s="1" t="n">
        <v>45807</v>
      </c>
      <c r="D285" t="inlineStr">
        <is>
          <t>UPPSALA LÄN</t>
        </is>
      </c>
      <c r="E285" t="inlineStr">
        <is>
          <t>UPPSALA</t>
        </is>
      </c>
      <c r="G285" t="n">
        <v>3</v>
      </c>
      <c r="H285" t="n">
        <v>0</v>
      </c>
      <c r="I285" t="n">
        <v>0</v>
      </c>
      <c r="J285" t="n">
        <v>0</v>
      </c>
      <c r="K285" t="n">
        <v>0</v>
      </c>
      <c r="L285" t="n">
        <v>0</v>
      </c>
      <c r="M285" t="n">
        <v>0</v>
      </c>
      <c r="N285" t="n">
        <v>0</v>
      </c>
      <c r="O285" t="n">
        <v>0</v>
      </c>
      <c r="P285" t="n">
        <v>0</v>
      </c>
      <c r="Q285" t="n">
        <v>0</v>
      </c>
      <c r="R285" s="2" t="inlineStr"/>
    </row>
    <row r="286" ht="15" customHeight="1">
      <c r="A286" t="inlineStr">
        <is>
          <t>A 49567-2019</t>
        </is>
      </c>
      <c r="B286" s="1" t="n">
        <v>43730</v>
      </c>
      <c r="C286" s="1" t="n">
        <v>45807</v>
      </c>
      <c r="D286" t="inlineStr">
        <is>
          <t>UPPSALA LÄN</t>
        </is>
      </c>
      <c r="E286" t="inlineStr">
        <is>
          <t>UPPSALA</t>
        </is>
      </c>
      <c r="G286" t="n">
        <v>6</v>
      </c>
      <c r="H286" t="n">
        <v>0</v>
      </c>
      <c r="I286" t="n">
        <v>0</v>
      </c>
      <c r="J286" t="n">
        <v>0</v>
      </c>
      <c r="K286" t="n">
        <v>0</v>
      </c>
      <c r="L286" t="n">
        <v>0</v>
      </c>
      <c r="M286" t="n">
        <v>0</v>
      </c>
      <c r="N286" t="n">
        <v>0</v>
      </c>
      <c r="O286" t="n">
        <v>0</v>
      </c>
      <c r="P286" t="n">
        <v>0</v>
      </c>
      <c r="Q286" t="n">
        <v>0</v>
      </c>
      <c r="R286" s="2" t="inlineStr"/>
    </row>
    <row r="287" ht="15" customHeight="1">
      <c r="A287" t="inlineStr">
        <is>
          <t>A 50180-2019</t>
        </is>
      </c>
      <c r="B287" s="1" t="n">
        <v>43733</v>
      </c>
      <c r="C287" s="1" t="n">
        <v>45807</v>
      </c>
      <c r="D287" t="inlineStr">
        <is>
          <t>UPPSALA LÄN</t>
        </is>
      </c>
      <c r="E287" t="inlineStr">
        <is>
          <t>UPPSALA</t>
        </is>
      </c>
      <c r="F287" t="inlineStr">
        <is>
          <t>Allmännings- och besparingsskogar</t>
        </is>
      </c>
      <c r="G287" t="n">
        <v>3.7</v>
      </c>
      <c r="H287" t="n">
        <v>0</v>
      </c>
      <c r="I287" t="n">
        <v>0</v>
      </c>
      <c r="J287" t="n">
        <v>0</v>
      </c>
      <c r="K287" t="n">
        <v>0</v>
      </c>
      <c r="L287" t="n">
        <v>0</v>
      </c>
      <c r="M287" t="n">
        <v>0</v>
      </c>
      <c r="N287" t="n">
        <v>0</v>
      </c>
      <c r="O287" t="n">
        <v>0</v>
      </c>
      <c r="P287" t="n">
        <v>0</v>
      </c>
      <c r="Q287" t="n">
        <v>0</v>
      </c>
      <c r="R287" s="2" t="inlineStr"/>
    </row>
    <row r="288" ht="15" customHeight="1">
      <c r="A288" t="inlineStr">
        <is>
          <t>A 50387-2019</t>
        </is>
      </c>
      <c r="B288" s="1" t="n">
        <v>43735</v>
      </c>
      <c r="C288" s="1" t="n">
        <v>45807</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50415-2019</t>
        </is>
      </c>
      <c r="B289" s="1" t="n">
        <v>43735</v>
      </c>
      <c r="C289" s="1" t="n">
        <v>45807</v>
      </c>
      <c r="D289" t="inlineStr">
        <is>
          <t>UPPSALA LÄN</t>
        </is>
      </c>
      <c r="E289" t="inlineStr">
        <is>
          <t>UPPSALA</t>
        </is>
      </c>
      <c r="F289" t="inlineStr">
        <is>
          <t>Kyrkan</t>
        </is>
      </c>
      <c r="G289" t="n">
        <v>13.6</v>
      </c>
      <c r="H289" t="n">
        <v>0</v>
      </c>
      <c r="I289" t="n">
        <v>0</v>
      </c>
      <c r="J289" t="n">
        <v>0</v>
      </c>
      <c r="K289" t="n">
        <v>0</v>
      </c>
      <c r="L289" t="n">
        <v>0</v>
      </c>
      <c r="M289" t="n">
        <v>0</v>
      </c>
      <c r="N289" t="n">
        <v>0</v>
      </c>
      <c r="O289" t="n">
        <v>0</v>
      </c>
      <c r="P289" t="n">
        <v>0</v>
      </c>
      <c r="Q289" t="n">
        <v>0</v>
      </c>
      <c r="R289" s="2" t="inlineStr"/>
    </row>
    <row r="290" ht="15" customHeight="1">
      <c r="A290" t="inlineStr">
        <is>
          <t>A 50616-2019</t>
        </is>
      </c>
      <c r="B290" s="1" t="n">
        <v>43736</v>
      </c>
      <c r="C290" s="1" t="n">
        <v>45807</v>
      </c>
      <c r="D290" t="inlineStr">
        <is>
          <t>UPPSALA LÄN</t>
        </is>
      </c>
      <c r="E290" t="inlineStr">
        <is>
          <t>UPPSALA</t>
        </is>
      </c>
      <c r="G290" t="n">
        <v>4.8</v>
      </c>
      <c r="H290" t="n">
        <v>0</v>
      </c>
      <c r="I290" t="n">
        <v>0</v>
      </c>
      <c r="J290" t="n">
        <v>0</v>
      </c>
      <c r="K290" t="n">
        <v>0</v>
      </c>
      <c r="L290" t="n">
        <v>0</v>
      </c>
      <c r="M290" t="n">
        <v>0</v>
      </c>
      <c r="N290" t="n">
        <v>0</v>
      </c>
      <c r="O290" t="n">
        <v>0</v>
      </c>
      <c r="P290" t="n">
        <v>0</v>
      </c>
      <c r="Q290" t="n">
        <v>0</v>
      </c>
      <c r="R290" s="2" t="inlineStr"/>
    </row>
    <row r="291" ht="15" customHeight="1">
      <c r="A291" t="inlineStr">
        <is>
          <t>A 52386-2019</t>
        </is>
      </c>
      <c r="B291" s="1" t="n">
        <v>43745</v>
      </c>
      <c r="C291" s="1" t="n">
        <v>45807</v>
      </c>
      <c r="D291" t="inlineStr">
        <is>
          <t>UPPSALA LÄN</t>
        </is>
      </c>
      <c r="E291" t="inlineStr">
        <is>
          <t>UPPSALA</t>
        </is>
      </c>
      <c r="G291" t="n">
        <v>15.7</v>
      </c>
      <c r="H291" t="n">
        <v>0</v>
      </c>
      <c r="I291" t="n">
        <v>0</v>
      </c>
      <c r="J291" t="n">
        <v>0</v>
      </c>
      <c r="K291" t="n">
        <v>0</v>
      </c>
      <c r="L291" t="n">
        <v>0</v>
      </c>
      <c r="M291" t="n">
        <v>0</v>
      </c>
      <c r="N291" t="n">
        <v>0</v>
      </c>
      <c r="O291" t="n">
        <v>0</v>
      </c>
      <c r="P291" t="n">
        <v>0</v>
      </c>
      <c r="Q291" t="n">
        <v>0</v>
      </c>
      <c r="R291" s="2" t="inlineStr"/>
    </row>
    <row r="292" ht="15" customHeight="1">
      <c r="A292" t="inlineStr">
        <is>
          <t>A 52419-2019</t>
        </is>
      </c>
      <c r="B292" s="1" t="n">
        <v>43745</v>
      </c>
      <c r="C292" s="1" t="n">
        <v>45807</v>
      </c>
      <c r="D292" t="inlineStr">
        <is>
          <t>UPPSALA LÄN</t>
        </is>
      </c>
      <c r="E292" t="inlineStr">
        <is>
          <t>UPPSALA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52950-2019</t>
        </is>
      </c>
      <c r="B293" s="1" t="n">
        <v>43747</v>
      </c>
      <c r="C293" s="1" t="n">
        <v>45807</v>
      </c>
      <c r="D293" t="inlineStr">
        <is>
          <t>UPPSALA LÄN</t>
        </is>
      </c>
      <c r="E293" t="inlineStr">
        <is>
          <t>UPPSALA</t>
        </is>
      </c>
      <c r="G293" t="n">
        <v>0.2</v>
      </c>
      <c r="H293" t="n">
        <v>0</v>
      </c>
      <c r="I293" t="n">
        <v>0</v>
      </c>
      <c r="J293" t="n">
        <v>0</v>
      </c>
      <c r="K293" t="n">
        <v>0</v>
      </c>
      <c r="L293" t="n">
        <v>0</v>
      </c>
      <c r="M293" t="n">
        <v>0</v>
      </c>
      <c r="N293" t="n">
        <v>0</v>
      </c>
      <c r="O293" t="n">
        <v>0</v>
      </c>
      <c r="P293" t="n">
        <v>0</v>
      </c>
      <c r="Q293" t="n">
        <v>0</v>
      </c>
      <c r="R293" s="2" t="inlineStr"/>
    </row>
    <row r="294" ht="15" customHeight="1">
      <c r="A294" t="inlineStr">
        <is>
          <t>A 53303-2019</t>
        </is>
      </c>
      <c r="B294" s="1" t="n">
        <v>43747</v>
      </c>
      <c r="C294" s="1" t="n">
        <v>45807</v>
      </c>
      <c r="D294" t="inlineStr">
        <is>
          <t>UPPSALA LÄN</t>
        </is>
      </c>
      <c r="E294" t="inlineStr">
        <is>
          <t>UPPSALA</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53316-2019</t>
        </is>
      </c>
      <c r="B295" s="1" t="n">
        <v>43748</v>
      </c>
      <c r="C295" s="1" t="n">
        <v>45807</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54757-2019</t>
        </is>
      </c>
      <c r="B296" s="1" t="n">
        <v>43755</v>
      </c>
      <c r="C296" s="1" t="n">
        <v>45807</v>
      </c>
      <c r="D296" t="inlineStr">
        <is>
          <t>UPPSALA LÄN</t>
        </is>
      </c>
      <c r="E296" t="inlineStr">
        <is>
          <t>UPPSALA</t>
        </is>
      </c>
      <c r="F296" t="inlineStr">
        <is>
          <t>Övriga statliga verk och myndigheter</t>
        </is>
      </c>
      <c r="G296" t="n">
        <v>1.5</v>
      </c>
      <c r="H296" t="n">
        <v>0</v>
      </c>
      <c r="I296" t="n">
        <v>0</v>
      </c>
      <c r="J296" t="n">
        <v>0</v>
      </c>
      <c r="K296" t="n">
        <v>0</v>
      </c>
      <c r="L296" t="n">
        <v>0</v>
      </c>
      <c r="M296" t="n">
        <v>0</v>
      </c>
      <c r="N296" t="n">
        <v>0</v>
      </c>
      <c r="O296" t="n">
        <v>0</v>
      </c>
      <c r="P296" t="n">
        <v>0</v>
      </c>
      <c r="Q296" t="n">
        <v>0</v>
      </c>
      <c r="R296" s="2" t="inlineStr"/>
    </row>
    <row r="297" ht="15" customHeight="1">
      <c r="A297" t="inlineStr">
        <is>
          <t>A 56041-2019</t>
        </is>
      </c>
      <c r="B297" s="1" t="n">
        <v>43759</v>
      </c>
      <c r="C297" s="1" t="n">
        <v>45807</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56634-2019</t>
        </is>
      </c>
      <c r="B298" s="1" t="n">
        <v>43763</v>
      </c>
      <c r="C298" s="1" t="n">
        <v>45807</v>
      </c>
      <c r="D298" t="inlineStr">
        <is>
          <t>UPPSALA LÄN</t>
        </is>
      </c>
      <c r="E298" t="inlineStr">
        <is>
          <t>UPPSALA</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58445-2019</t>
        </is>
      </c>
      <c r="B299" s="1" t="n">
        <v>43773</v>
      </c>
      <c r="C299" s="1" t="n">
        <v>45807</v>
      </c>
      <c r="D299" t="inlineStr">
        <is>
          <t>UPPSALA LÄN</t>
        </is>
      </c>
      <c r="E299" t="inlineStr">
        <is>
          <t>UPPSALA</t>
        </is>
      </c>
      <c r="G299" t="n">
        <v>5</v>
      </c>
      <c r="H299" t="n">
        <v>0</v>
      </c>
      <c r="I299" t="n">
        <v>0</v>
      </c>
      <c r="J299" t="n">
        <v>0</v>
      </c>
      <c r="K299" t="n">
        <v>0</v>
      </c>
      <c r="L299" t="n">
        <v>0</v>
      </c>
      <c r="M299" t="n">
        <v>0</v>
      </c>
      <c r="N299" t="n">
        <v>0</v>
      </c>
      <c r="O299" t="n">
        <v>0</v>
      </c>
      <c r="P299" t="n">
        <v>0</v>
      </c>
      <c r="Q299" t="n">
        <v>0</v>
      </c>
      <c r="R299" s="2" t="inlineStr"/>
    </row>
    <row r="300" ht="15" customHeight="1">
      <c r="A300" t="inlineStr">
        <is>
          <t>A 58527-2019</t>
        </is>
      </c>
      <c r="B300" s="1" t="n">
        <v>43773</v>
      </c>
      <c r="C300" s="1" t="n">
        <v>45807</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58903-2019</t>
        </is>
      </c>
      <c r="B301" s="1" t="n">
        <v>43773</v>
      </c>
      <c r="C301" s="1" t="n">
        <v>45807</v>
      </c>
      <c r="D301" t="inlineStr">
        <is>
          <t>UPPSALA LÄN</t>
        </is>
      </c>
      <c r="E301" t="inlineStr">
        <is>
          <t>UPPSALA</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60011-2019</t>
        </is>
      </c>
      <c r="B302" s="1" t="n">
        <v>43777</v>
      </c>
      <c r="C302" s="1" t="n">
        <v>45807</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60159-2019</t>
        </is>
      </c>
      <c r="B303" s="1" t="n">
        <v>43777</v>
      </c>
      <c r="C303" s="1" t="n">
        <v>45807</v>
      </c>
      <c r="D303" t="inlineStr">
        <is>
          <t>UPPSALA LÄN</t>
        </is>
      </c>
      <c r="E303" t="inlineStr">
        <is>
          <t>UPPSALA</t>
        </is>
      </c>
      <c r="F303" t="inlineStr">
        <is>
          <t>Övriga Aktiebolag</t>
        </is>
      </c>
      <c r="G303" t="n">
        <v>1.5</v>
      </c>
      <c r="H303" t="n">
        <v>0</v>
      </c>
      <c r="I303" t="n">
        <v>0</v>
      </c>
      <c r="J303" t="n">
        <v>0</v>
      </c>
      <c r="K303" t="n">
        <v>0</v>
      </c>
      <c r="L303" t="n">
        <v>0</v>
      </c>
      <c r="M303" t="n">
        <v>0</v>
      </c>
      <c r="N303" t="n">
        <v>0</v>
      </c>
      <c r="O303" t="n">
        <v>0</v>
      </c>
      <c r="P303" t="n">
        <v>0</v>
      </c>
      <c r="Q303" t="n">
        <v>0</v>
      </c>
      <c r="R303" s="2" t="inlineStr"/>
    </row>
    <row r="304" ht="15" customHeight="1">
      <c r="A304" t="inlineStr">
        <is>
          <t>A 60163-2019</t>
        </is>
      </c>
      <c r="B304" s="1" t="n">
        <v>43780</v>
      </c>
      <c r="C304" s="1" t="n">
        <v>45807</v>
      </c>
      <c r="D304" t="inlineStr">
        <is>
          <t>UPPSALA LÄN</t>
        </is>
      </c>
      <c r="E304" t="inlineStr">
        <is>
          <t>UPPSALA</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60579-2019</t>
        </is>
      </c>
      <c r="B305" s="1" t="n">
        <v>43780</v>
      </c>
      <c r="C305" s="1" t="n">
        <v>45807</v>
      </c>
      <c r="D305" t="inlineStr">
        <is>
          <t>UPPSALA LÄN</t>
        </is>
      </c>
      <c r="E305" t="inlineStr">
        <is>
          <t>UPPSALA</t>
        </is>
      </c>
      <c r="F305" t="inlineStr">
        <is>
          <t>Övriga Aktiebolag</t>
        </is>
      </c>
      <c r="G305" t="n">
        <v>3.8</v>
      </c>
      <c r="H305" t="n">
        <v>0</v>
      </c>
      <c r="I305" t="n">
        <v>0</v>
      </c>
      <c r="J305" t="n">
        <v>0</v>
      </c>
      <c r="K305" t="n">
        <v>0</v>
      </c>
      <c r="L305" t="n">
        <v>0</v>
      </c>
      <c r="M305" t="n">
        <v>0</v>
      </c>
      <c r="N305" t="n">
        <v>0</v>
      </c>
      <c r="O305" t="n">
        <v>0</v>
      </c>
      <c r="P305" t="n">
        <v>0</v>
      </c>
      <c r="Q305" t="n">
        <v>0</v>
      </c>
      <c r="R305" s="2" t="inlineStr"/>
    </row>
    <row r="306" ht="15" customHeight="1">
      <c r="A306" t="inlineStr">
        <is>
          <t>A 62308-2019</t>
        </is>
      </c>
      <c r="B306" s="1" t="n">
        <v>43782</v>
      </c>
      <c r="C306" s="1" t="n">
        <v>45807</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61667-2019</t>
        </is>
      </c>
      <c r="B307" s="1" t="n">
        <v>43784</v>
      </c>
      <c r="C307" s="1" t="n">
        <v>45807</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63145-2019</t>
        </is>
      </c>
      <c r="B308" s="1" t="n">
        <v>43791</v>
      </c>
      <c r="C308" s="1" t="n">
        <v>45807</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63091-2019</t>
        </is>
      </c>
      <c r="B309" s="1" t="n">
        <v>43791</v>
      </c>
      <c r="C309" s="1" t="n">
        <v>45807</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63099-2019</t>
        </is>
      </c>
      <c r="B310" s="1" t="n">
        <v>43791</v>
      </c>
      <c r="C310" s="1" t="n">
        <v>45807</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63118-2019</t>
        </is>
      </c>
      <c r="B311" s="1" t="n">
        <v>43791</v>
      </c>
      <c r="C311" s="1" t="n">
        <v>45807</v>
      </c>
      <c r="D311" t="inlineStr">
        <is>
          <t>UPPSALA LÄN</t>
        </is>
      </c>
      <c r="E311" t="inlineStr">
        <is>
          <t>UPPSALA</t>
        </is>
      </c>
      <c r="G311" t="n">
        <v>2.7</v>
      </c>
      <c r="H311" t="n">
        <v>0</v>
      </c>
      <c r="I311" t="n">
        <v>0</v>
      </c>
      <c r="J311" t="n">
        <v>0</v>
      </c>
      <c r="K311" t="n">
        <v>0</v>
      </c>
      <c r="L311" t="n">
        <v>0</v>
      </c>
      <c r="M311" t="n">
        <v>0</v>
      </c>
      <c r="N311" t="n">
        <v>0</v>
      </c>
      <c r="O311" t="n">
        <v>0</v>
      </c>
      <c r="P311" t="n">
        <v>0</v>
      </c>
      <c r="Q311" t="n">
        <v>0</v>
      </c>
      <c r="R311" s="2" t="inlineStr"/>
    </row>
    <row r="312" ht="15" customHeight="1">
      <c r="A312" t="inlineStr">
        <is>
          <t>A 63589-2019</t>
        </is>
      </c>
      <c r="B312" s="1" t="n">
        <v>43795</v>
      </c>
      <c r="C312" s="1" t="n">
        <v>45807</v>
      </c>
      <c r="D312" t="inlineStr">
        <is>
          <t>UPPSALA LÄN</t>
        </is>
      </c>
      <c r="E312" t="inlineStr">
        <is>
          <t>UPPSALA</t>
        </is>
      </c>
      <c r="G312" t="n">
        <v>3.8</v>
      </c>
      <c r="H312" t="n">
        <v>0</v>
      </c>
      <c r="I312" t="n">
        <v>0</v>
      </c>
      <c r="J312" t="n">
        <v>0</v>
      </c>
      <c r="K312" t="n">
        <v>0</v>
      </c>
      <c r="L312" t="n">
        <v>0</v>
      </c>
      <c r="M312" t="n">
        <v>0</v>
      </c>
      <c r="N312" t="n">
        <v>0</v>
      </c>
      <c r="O312" t="n">
        <v>0</v>
      </c>
      <c r="P312" t="n">
        <v>0</v>
      </c>
      <c r="Q312" t="n">
        <v>0</v>
      </c>
      <c r="R312" s="2" t="inlineStr"/>
    </row>
    <row r="313" ht="15" customHeight="1">
      <c r="A313" t="inlineStr">
        <is>
          <t>A 63757-2019</t>
        </is>
      </c>
      <c r="B313" s="1" t="n">
        <v>43795</v>
      </c>
      <c r="C313" s="1" t="n">
        <v>45807</v>
      </c>
      <c r="D313" t="inlineStr">
        <is>
          <t>UPPSALA LÄN</t>
        </is>
      </c>
      <c r="E313" t="inlineStr">
        <is>
          <t>UPPSALA</t>
        </is>
      </c>
      <c r="G313" t="n">
        <v>6.9</v>
      </c>
      <c r="H313" t="n">
        <v>0</v>
      </c>
      <c r="I313" t="n">
        <v>0</v>
      </c>
      <c r="J313" t="n">
        <v>0</v>
      </c>
      <c r="K313" t="n">
        <v>0</v>
      </c>
      <c r="L313" t="n">
        <v>0</v>
      </c>
      <c r="M313" t="n">
        <v>0</v>
      </c>
      <c r="N313" t="n">
        <v>0</v>
      </c>
      <c r="O313" t="n">
        <v>0</v>
      </c>
      <c r="P313" t="n">
        <v>0</v>
      </c>
      <c r="Q313" t="n">
        <v>0</v>
      </c>
      <c r="R313" s="2" t="inlineStr"/>
    </row>
    <row r="314" ht="15" customHeight="1">
      <c r="A314" t="inlineStr">
        <is>
          <t>A 63756-2019</t>
        </is>
      </c>
      <c r="B314" s="1" t="n">
        <v>43795</v>
      </c>
      <c r="C314" s="1" t="n">
        <v>45807</v>
      </c>
      <c r="D314" t="inlineStr">
        <is>
          <t>UPPSALA LÄN</t>
        </is>
      </c>
      <c r="E314" t="inlineStr">
        <is>
          <t>UPPSALA</t>
        </is>
      </c>
      <c r="G314" t="n">
        <v>6.5</v>
      </c>
      <c r="H314" t="n">
        <v>0</v>
      </c>
      <c r="I314" t="n">
        <v>0</v>
      </c>
      <c r="J314" t="n">
        <v>0</v>
      </c>
      <c r="K314" t="n">
        <v>0</v>
      </c>
      <c r="L314" t="n">
        <v>0</v>
      </c>
      <c r="M314" t="n">
        <v>0</v>
      </c>
      <c r="N314" t="n">
        <v>0</v>
      </c>
      <c r="O314" t="n">
        <v>0</v>
      </c>
      <c r="P314" t="n">
        <v>0</v>
      </c>
      <c r="Q314" t="n">
        <v>0</v>
      </c>
      <c r="R314" s="2" t="inlineStr"/>
    </row>
    <row r="315" ht="15" customHeight="1">
      <c r="A315" t="inlineStr">
        <is>
          <t>A 64836-2019</t>
        </is>
      </c>
      <c r="B315" s="1" t="n">
        <v>43801</v>
      </c>
      <c r="C315" s="1" t="n">
        <v>45807</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64834-2019</t>
        </is>
      </c>
      <c r="B316" s="1" t="n">
        <v>43801</v>
      </c>
      <c r="C316" s="1" t="n">
        <v>45807</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65527-2019</t>
        </is>
      </c>
      <c r="B317" s="1" t="n">
        <v>43803</v>
      </c>
      <c r="C317" s="1" t="n">
        <v>45807</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65668-2019</t>
        </is>
      </c>
      <c r="B318" s="1" t="n">
        <v>43804</v>
      </c>
      <c r="C318" s="1" t="n">
        <v>45807</v>
      </c>
      <c r="D318" t="inlineStr">
        <is>
          <t>UPPSALA LÄN</t>
        </is>
      </c>
      <c r="E318" t="inlineStr">
        <is>
          <t>UPPSALA</t>
        </is>
      </c>
      <c r="G318" t="n">
        <v>7.6</v>
      </c>
      <c r="H318" t="n">
        <v>0</v>
      </c>
      <c r="I318" t="n">
        <v>0</v>
      </c>
      <c r="J318" t="n">
        <v>0</v>
      </c>
      <c r="K318" t="n">
        <v>0</v>
      </c>
      <c r="L318" t="n">
        <v>0</v>
      </c>
      <c r="M318" t="n">
        <v>0</v>
      </c>
      <c r="N318" t="n">
        <v>0</v>
      </c>
      <c r="O318" t="n">
        <v>0</v>
      </c>
      <c r="P318" t="n">
        <v>0</v>
      </c>
      <c r="Q318" t="n">
        <v>0</v>
      </c>
      <c r="R318" s="2" t="inlineStr"/>
    </row>
    <row r="319" ht="15" customHeight="1">
      <c r="A319" t="inlineStr">
        <is>
          <t>A 66167-2019</t>
        </is>
      </c>
      <c r="B319" s="1" t="n">
        <v>43808</v>
      </c>
      <c r="C319" s="1" t="n">
        <v>45807</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66270-2019</t>
        </is>
      </c>
      <c r="B320" s="1" t="n">
        <v>43808</v>
      </c>
      <c r="C320" s="1" t="n">
        <v>45807</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67108-2019</t>
        </is>
      </c>
      <c r="B321" s="1" t="n">
        <v>43811</v>
      </c>
      <c r="C321" s="1" t="n">
        <v>45807</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67281-2019</t>
        </is>
      </c>
      <c r="B322" s="1" t="n">
        <v>43812</v>
      </c>
      <c r="C322" s="1" t="n">
        <v>45807</v>
      </c>
      <c r="D322" t="inlineStr">
        <is>
          <t>UPPSALA LÄN</t>
        </is>
      </c>
      <c r="E322" t="inlineStr">
        <is>
          <t>UPPSALA</t>
        </is>
      </c>
      <c r="F322" t="inlineStr">
        <is>
          <t>Allmännings- och besparingsskogar</t>
        </is>
      </c>
      <c r="G322" t="n">
        <v>1.2</v>
      </c>
      <c r="H322" t="n">
        <v>0</v>
      </c>
      <c r="I322" t="n">
        <v>0</v>
      </c>
      <c r="J322" t="n">
        <v>0</v>
      </c>
      <c r="K322" t="n">
        <v>0</v>
      </c>
      <c r="L322" t="n">
        <v>0</v>
      </c>
      <c r="M322" t="n">
        <v>0</v>
      </c>
      <c r="N322" t="n">
        <v>0</v>
      </c>
      <c r="O322" t="n">
        <v>0</v>
      </c>
      <c r="P322" t="n">
        <v>0</v>
      </c>
      <c r="Q322" t="n">
        <v>0</v>
      </c>
      <c r="R322" s="2" t="inlineStr"/>
    </row>
    <row r="323" ht="15" customHeight="1">
      <c r="A323" t="inlineStr">
        <is>
          <t>A 67508-2019</t>
        </is>
      </c>
      <c r="B323" s="1" t="n">
        <v>43814</v>
      </c>
      <c r="C323" s="1" t="n">
        <v>45807</v>
      </c>
      <c r="D323" t="inlineStr">
        <is>
          <t>UPPSALA LÄN</t>
        </is>
      </c>
      <c r="E323" t="inlineStr">
        <is>
          <t>UPPSALA</t>
        </is>
      </c>
      <c r="F323" t="inlineStr">
        <is>
          <t>Allmännings- och besparingsskogar</t>
        </is>
      </c>
      <c r="G323" t="n">
        <v>4.9</v>
      </c>
      <c r="H323" t="n">
        <v>0</v>
      </c>
      <c r="I323" t="n">
        <v>0</v>
      </c>
      <c r="J323" t="n">
        <v>0</v>
      </c>
      <c r="K323" t="n">
        <v>0</v>
      </c>
      <c r="L323" t="n">
        <v>0</v>
      </c>
      <c r="M323" t="n">
        <v>0</v>
      </c>
      <c r="N323" t="n">
        <v>0</v>
      </c>
      <c r="O323" t="n">
        <v>0</v>
      </c>
      <c r="P323" t="n">
        <v>0</v>
      </c>
      <c r="Q323" t="n">
        <v>0</v>
      </c>
      <c r="R323" s="2" t="inlineStr"/>
    </row>
    <row r="324" ht="15" customHeight="1">
      <c r="A324" t="inlineStr">
        <is>
          <t>A 67504-2019</t>
        </is>
      </c>
      <c r="B324" s="1" t="n">
        <v>43814</v>
      </c>
      <c r="C324" s="1" t="n">
        <v>45807</v>
      </c>
      <c r="D324" t="inlineStr">
        <is>
          <t>UPPSALA LÄN</t>
        </is>
      </c>
      <c r="E324" t="inlineStr">
        <is>
          <t>UPPSALA</t>
        </is>
      </c>
      <c r="F324" t="inlineStr">
        <is>
          <t>Allmännings- och besparingsskogar</t>
        </is>
      </c>
      <c r="G324" t="n">
        <v>21.9</v>
      </c>
      <c r="H324" t="n">
        <v>0</v>
      </c>
      <c r="I324" t="n">
        <v>0</v>
      </c>
      <c r="J324" t="n">
        <v>0</v>
      </c>
      <c r="K324" t="n">
        <v>0</v>
      </c>
      <c r="L324" t="n">
        <v>0</v>
      </c>
      <c r="M324" t="n">
        <v>0</v>
      </c>
      <c r="N324" t="n">
        <v>0</v>
      </c>
      <c r="O324" t="n">
        <v>0</v>
      </c>
      <c r="P324" t="n">
        <v>0</v>
      </c>
      <c r="Q324" t="n">
        <v>0</v>
      </c>
      <c r="R324" s="2" t="inlineStr"/>
    </row>
    <row r="325" ht="15" customHeight="1">
      <c r="A325" t="inlineStr">
        <is>
          <t>A 67720-2019</t>
        </is>
      </c>
      <c r="B325" s="1" t="n">
        <v>43815</v>
      </c>
      <c r="C325" s="1" t="n">
        <v>45807</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67592-2019</t>
        </is>
      </c>
      <c r="B326" s="1" t="n">
        <v>43815</v>
      </c>
      <c r="C326" s="1" t="n">
        <v>45807</v>
      </c>
      <c r="D326" t="inlineStr">
        <is>
          <t>UPPSALA LÄN</t>
        </is>
      </c>
      <c r="E326" t="inlineStr">
        <is>
          <t>UPPSALA</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68264-2019</t>
        </is>
      </c>
      <c r="B327" s="1" t="n">
        <v>43817</v>
      </c>
      <c r="C327" s="1" t="n">
        <v>45807</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68265-2019</t>
        </is>
      </c>
      <c r="B328" s="1" t="n">
        <v>43817</v>
      </c>
      <c r="C328" s="1" t="n">
        <v>45807</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68317-2019</t>
        </is>
      </c>
      <c r="B329" s="1" t="n">
        <v>43818</v>
      </c>
      <c r="C329" s="1" t="n">
        <v>45807</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68316-2019</t>
        </is>
      </c>
      <c r="B330" s="1" t="n">
        <v>43818</v>
      </c>
      <c r="C330" s="1" t="n">
        <v>45807</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68908-2019</t>
        </is>
      </c>
      <c r="B331" s="1" t="n">
        <v>43822</v>
      </c>
      <c r="C331" s="1" t="n">
        <v>45807</v>
      </c>
      <c r="D331" t="inlineStr">
        <is>
          <t>UPPSALA LÄN</t>
        </is>
      </c>
      <c r="E331" t="inlineStr">
        <is>
          <t>UPPSALA</t>
        </is>
      </c>
      <c r="G331" t="n">
        <v>4</v>
      </c>
      <c r="H331" t="n">
        <v>0</v>
      </c>
      <c r="I331" t="n">
        <v>0</v>
      </c>
      <c r="J331" t="n">
        <v>0</v>
      </c>
      <c r="K331" t="n">
        <v>0</v>
      </c>
      <c r="L331" t="n">
        <v>0</v>
      </c>
      <c r="M331" t="n">
        <v>0</v>
      </c>
      <c r="N331" t="n">
        <v>0</v>
      </c>
      <c r="O331" t="n">
        <v>0</v>
      </c>
      <c r="P331" t="n">
        <v>0</v>
      </c>
      <c r="Q331" t="n">
        <v>0</v>
      </c>
      <c r="R331" s="2" t="inlineStr"/>
    </row>
    <row r="332" ht="15" customHeight="1">
      <c r="A332" t="inlineStr">
        <is>
          <t>A 529-2020</t>
        </is>
      </c>
      <c r="B332" s="1" t="n">
        <v>43837</v>
      </c>
      <c r="C332" s="1" t="n">
        <v>45807</v>
      </c>
      <c r="D332" t="inlineStr">
        <is>
          <t>UPPSALA LÄN</t>
        </is>
      </c>
      <c r="E332" t="inlineStr">
        <is>
          <t>UPPSALA</t>
        </is>
      </c>
      <c r="G332" t="n">
        <v>1.6</v>
      </c>
      <c r="H332" t="n">
        <v>0</v>
      </c>
      <c r="I332" t="n">
        <v>0</v>
      </c>
      <c r="J332" t="n">
        <v>0</v>
      </c>
      <c r="K332" t="n">
        <v>0</v>
      </c>
      <c r="L332" t="n">
        <v>0</v>
      </c>
      <c r="M332" t="n">
        <v>0</v>
      </c>
      <c r="N332" t="n">
        <v>0</v>
      </c>
      <c r="O332" t="n">
        <v>0</v>
      </c>
      <c r="P332" t="n">
        <v>0</v>
      </c>
      <c r="Q332" t="n">
        <v>0</v>
      </c>
      <c r="R332" s="2" t="inlineStr"/>
    </row>
    <row r="333" ht="15" customHeight="1">
      <c r="A333" t="inlineStr">
        <is>
          <t>A 1891-2020</t>
        </is>
      </c>
      <c r="B333" s="1" t="n">
        <v>43837</v>
      </c>
      <c r="C333" s="1" t="n">
        <v>45807</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701-2020</t>
        </is>
      </c>
      <c r="B334" s="1" t="n">
        <v>43838</v>
      </c>
      <c r="C334" s="1" t="n">
        <v>45807</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1171-2020</t>
        </is>
      </c>
      <c r="B335" s="1" t="n">
        <v>43840</v>
      </c>
      <c r="C335" s="1" t="n">
        <v>45807</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1688-2020</t>
        </is>
      </c>
      <c r="B336" s="1" t="n">
        <v>43844</v>
      </c>
      <c r="C336" s="1" t="n">
        <v>45807</v>
      </c>
      <c r="D336" t="inlineStr">
        <is>
          <t>UPPSALA LÄN</t>
        </is>
      </c>
      <c r="E336" t="inlineStr">
        <is>
          <t>UPPSALA</t>
        </is>
      </c>
      <c r="G336" t="n">
        <v>1.5</v>
      </c>
      <c r="H336" t="n">
        <v>0</v>
      </c>
      <c r="I336" t="n">
        <v>0</v>
      </c>
      <c r="J336" t="n">
        <v>0</v>
      </c>
      <c r="K336" t="n">
        <v>0</v>
      </c>
      <c r="L336" t="n">
        <v>0</v>
      </c>
      <c r="M336" t="n">
        <v>0</v>
      </c>
      <c r="N336" t="n">
        <v>0</v>
      </c>
      <c r="O336" t="n">
        <v>0</v>
      </c>
      <c r="P336" t="n">
        <v>0</v>
      </c>
      <c r="Q336" t="n">
        <v>0</v>
      </c>
      <c r="R336" s="2" t="inlineStr"/>
    </row>
    <row r="337" ht="15" customHeight="1">
      <c r="A337" t="inlineStr">
        <is>
          <t>A 2162-2020</t>
        </is>
      </c>
      <c r="B337" s="1" t="n">
        <v>43846</v>
      </c>
      <c r="C337" s="1" t="n">
        <v>45807</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2895-2020</t>
        </is>
      </c>
      <c r="B338" s="1" t="n">
        <v>43850</v>
      </c>
      <c r="C338" s="1" t="n">
        <v>45807</v>
      </c>
      <c r="D338" t="inlineStr">
        <is>
          <t>UPPSALA LÄN</t>
        </is>
      </c>
      <c r="E338" t="inlineStr">
        <is>
          <t>UPPSALA</t>
        </is>
      </c>
      <c r="G338" t="n">
        <v>3.8</v>
      </c>
      <c r="H338" t="n">
        <v>0</v>
      </c>
      <c r="I338" t="n">
        <v>0</v>
      </c>
      <c r="J338" t="n">
        <v>0</v>
      </c>
      <c r="K338" t="n">
        <v>0</v>
      </c>
      <c r="L338" t="n">
        <v>0</v>
      </c>
      <c r="M338" t="n">
        <v>0</v>
      </c>
      <c r="N338" t="n">
        <v>0</v>
      </c>
      <c r="O338" t="n">
        <v>0</v>
      </c>
      <c r="P338" t="n">
        <v>0</v>
      </c>
      <c r="Q338" t="n">
        <v>0</v>
      </c>
      <c r="R338" s="2" t="inlineStr"/>
    </row>
    <row r="339" ht="15" customHeight="1">
      <c r="A339" t="inlineStr">
        <is>
          <t>A 3693-2020</t>
        </is>
      </c>
      <c r="B339" s="1" t="n">
        <v>43853</v>
      </c>
      <c r="C339" s="1" t="n">
        <v>45807</v>
      </c>
      <c r="D339" t="inlineStr">
        <is>
          <t>UPPSALA LÄN</t>
        </is>
      </c>
      <c r="E339" t="inlineStr">
        <is>
          <t>UPPSALA</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3516-2020</t>
        </is>
      </c>
      <c r="B340" s="1" t="n">
        <v>43853</v>
      </c>
      <c r="C340" s="1" t="n">
        <v>45807</v>
      </c>
      <c r="D340" t="inlineStr">
        <is>
          <t>UPPSALA LÄN</t>
        </is>
      </c>
      <c r="E340" t="inlineStr">
        <is>
          <t>UPPSALA</t>
        </is>
      </c>
      <c r="G340" t="n">
        <v>9.4</v>
      </c>
      <c r="H340" t="n">
        <v>0</v>
      </c>
      <c r="I340" t="n">
        <v>0</v>
      </c>
      <c r="J340" t="n">
        <v>0</v>
      </c>
      <c r="K340" t="n">
        <v>0</v>
      </c>
      <c r="L340" t="n">
        <v>0</v>
      </c>
      <c r="M340" t="n">
        <v>0</v>
      </c>
      <c r="N340" t="n">
        <v>0</v>
      </c>
      <c r="O340" t="n">
        <v>0</v>
      </c>
      <c r="P340" t="n">
        <v>0</v>
      </c>
      <c r="Q340" t="n">
        <v>0</v>
      </c>
      <c r="R340" s="2" t="inlineStr"/>
    </row>
    <row r="341" ht="15" customHeight="1">
      <c r="A341" t="inlineStr">
        <is>
          <t>A 6313-2020</t>
        </is>
      </c>
      <c r="B341" s="1" t="n">
        <v>43866</v>
      </c>
      <c r="C341" s="1" t="n">
        <v>45807</v>
      </c>
      <c r="D341" t="inlineStr">
        <is>
          <t>UPPSALA LÄN</t>
        </is>
      </c>
      <c r="E341" t="inlineStr">
        <is>
          <t>UPPSALA</t>
        </is>
      </c>
      <c r="F341" t="inlineStr">
        <is>
          <t>Övriga statliga verk och myndigheter</t>
        </is>
      </c>
      <c r="G341" t="n">
        <v>3.4</v>
      </c>
      <c r="H341" t="n">
        <v>0</v>
      </c>
      <c r="I341" t="n">
        <v>0</v>
      </c>
      <c r="J341" t="n">
        <v>0</v>
      </c>
      <c r="K341" t="n">
        <v>0</v>
      </c>
      <c r="L341" t="n">
        <v>0</v>
      </c>
      <c r="M341" t="n">
        <v>0</v>
      </c>
      <c r="N341" t="n">
        <v>0</v>
      </c>
      <c r="O341" t="n">
        <v>0</v>
      </c>
      <c r="P341" t="n">
        <v>0</v>
      </c>
      <c r="Q341" t="n">
        <v>0</v>
      </c>
      <c r="R341" s="2" t="inlineStr"/>
    </row>
    <row r="342" ht="15" customHeight="1">
      <c r="A342" t="inlineStr">
        <is>
          <t>A 6315-2020</t>
        </is>
      </c>
      <c r="B342" s="1" t="n">
        <v>43866</v>
      </c>
      <c r="C342" s="1" t="n">
        <v>45807</v>
      </c>
      <c r="D342" t="inlineStr">
        <is>
          <t>UPPSALA LÄN</t>
        </is>
      </c>
      <c r="E342" t="inlineStr">
        <is>
          <t>UPPSALA</t>
        </is>
      </c>
      <c r="F342" t="inlineStr">
        <is>
          <t>Övriga statliga verk och myndigheter</t>
        </is>
      </c>
      <c r="G342" t="n">
        <v>1.9</v>
      </c>
      <c r="H342" t="n">
        <v>0</v>
      </c>
      <c r="I342" t="n">
        <v>0</v>
      </c>
      <c r="J342" t="n">
        <v>0</v>
      </c>
      <c r="K342" t="n">
        <v>0</v>
      </c>
      <c r="L342" t="n">
        <v>0</v>
      </c>
      <c r="M342" t="n">
        <v>0</v>
      </c>
      <c r="N342" t="n">
        <v>0</v>
      </c>
      <c r="O342" t="n">
        <v>0</v>
      </c>
      <c r="P342" t="n">
        <v>0</v>
      </c>
      <c r="Q342" t="n">
        <v>0</v>
      </c>
      <c r="R342" s="2" t="inlineStr"/>
    </row>
    <row r="343" ht="15" customHeight="1">
      <c r="A343" t="inlineStr">
        <is>
          <t>A 6655-2020</t>
        </is>
      </c>
      <c r="B343" s="1" t="n">
        <v>43867</v>
      </c>
      <c r="C343" s="1" t="n">
        <v>45807</v>
      </c>
      <c r="D343" t="inlineStr">
        <is>
          <t>UPPSALA LÄN</t>
        </is>
      </c>
      <c r="E343" t="inlineStr">
        <is>
          <t>UPPSALA</t>
        </is>
      </c>
      <c r="G343" t="n">
        <v>7.3</v>
      </c>
      <c r="H343" t="n">
        <v>0</v>
      </c>
      <c r="I343" t="n">
        <v>0</v>
      </c>
      <c r="J343" t="n">
        <v>0</v>
      </c>
      <c r="K343" t="n">
        <v>0</v>
      </c>
      <c r="L343" t="n">
        <v>0</v>
      </c>
      <c r="M343" t="n">
        <v>0</v>
      </c>
      <c r="N343" t="n">
        <v>0</v>
      </c>
      <c r="O343" t="n">
        <v>0</v>
      </c>
      <c r="P343" t="n">
        <v>0</v>
      </c>
      <c r="Q343" t="n">
        <v>0</v>
      </c>
      <c r="R343" s="2" t="inlineStr"/>
    </row>
    <row r="344" ht="15" customHeight="1">
      <c r="A344" t="inlineStr">
        <is>
          <t>A 8261-2020</t>
        </is>
      </c>
      <c r="B344" s="1" t="n">
        <v>43874</v>
      </c>
      <c r="C344" s="1" t="n">
        <v>45807</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8646-2020</t>
        </is>
      </c>
      <c r="B345" s="1" t="n">
        <v>43878</v>
      </c>
      <c r="C345" s="1" t="n">
        <v>45807</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8902-2020</t>
        </is>
      </c>
      <c r="B346" s="1" t="n">
        <v>43878</v>
      </c>
      <c r="C346" s="1" t="n">
        <v>45807</v>
      </c>
      <c r="D346" t="inlineStr">
        <is>
          <t>UPPSALA LÄN</t>
        </is>
      </c>
      <c r="E346" t="inlineStr">
        <is>
          <t>UPPSALA</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9011-2020</t>
        </is>
      </c>
      <c r="B347" s="1" t="n">
        <v>43879</v>
      </c>
      <c r="C347" s="1" t="n">
        <v>45807</v>
      </c>
      <c r="D347" t="inlineStr">
        <is>
          <t>UPPSALA LÄN</t>
        </is>
      </c>
      <c r="E347" t="inlineStr">
        <is>
          <t>UPPSALA</t>
        </is>
      </c>
      <c r="F347" t="inlineStr">
        <is>
          <t>Övriga statliga verk och myndigheter</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9084-2020</t>
        </is>
      </c>
      <c r="B348" s="1" t="n">
        <v>43879</v>
      </c>
      <c r="C348" s="1" t="n">
        <v>45807</v>
      </c>
      <c r="D348" t="inlineStr">
        <is>
          <t>UPPSALA LÄN</t>
        </is>
      </c>
      <c r="E348" t="inlineStr">
        <is>
          <t>UPPSALA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9257-2020</t>
        </is>
      </c>
      <c r="B349" s="1" t="n">
        <v>43879</v>
      </c>
      <c r="C349" s="1" t="n">
        <v>45807</v>
      </c>
      <c r="D349" t="inlineStr">
        <is>
          <t>UPPSALA LÄN</t>
        </is>
      </c>
      <c r="E349" t="inlineStr">
        <is>
          <t>UPPSALA</t>
        </is>
      </c>
      <c r="F349" t="inlineStr">
        <is>
          <t>Bergvik skog öst AB</t>
        </is>
      </c>
      <c r="G349" t="n">
        <v>5.8</v>
      </c>
      <c r="H349" t="n">
        <v>0</v>
      </c>
      <c r="I349" t="n">
        <v>0</v>
      </c>
      <c r="J349" t="n">
        <v>0</v>
      </c>
      <c r="K349" t="n">
        <v>0</v>
      </c>
      <c r="L349" t="n">
        <v>0</v>
      </c>
      <c r="M349" t="n">
        <v>0</v>
      </c>
      <c r="N349" t="n">
        <v>0</v>
      </c>
      <c r="O349" t="n">
        <v>0</v>
      </c>
      <c r="P349" t="n">
        <v>0</v>
      </c>
      <c r="Q349" t="n">
        <v>0</v>
      </c>
      <c r="R349" s="2" t="inlineStr"/>
    </row>
    <row r="350" ht="15" customHeight="1">
      <c r="A350" t="inlineStr">
        <is>
          <t>A 9658-2020</t>
        </is>
      </c>
      <c r="B350" s="1" t="n">
        <v>43881</v>
      </c>
      <c r="C350" s="1" t="n">
        <v>45807</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10003-2020</t>
        </is>
      </c>
      <c r="B351" s="1" t="n">
        <v>43882</v>
      </c>
      <c r="C351" s="1" t="n">
        <v>45807</v>
      </c>
      <c r="D351" t="inlineStr">
        <is>
          <t>UPPSALA LÄN</t>
        </is>
      </c>
      <c r="E351" t="inlineStr">
        <is>
          <t>UPPSALA</t>
        </is>
      </c>
      <c r="F351" t="inlineStr">
        <is>
          <t>Kyrkan</t>
        </is>
      </c>
      <c r="G351" t="n">
        <v>5.2</v>
      </c>
      <c r="H351" t="n">
        <v>0</v>
      </c>
      <c r="I351" t="n">
        <v>0</v>
      </c>
      <c r="J351" t="n">
        <v>0</v>
      </c>
      <c r="K351" t="n">
        <v>0</v>
      </c>
      <c r="L351" t="n">
        <v>0</v>
      </c>
      <c r="M351" t="n">
        <v>0</v>
      </c>
      <c r="N351" t="n">
        <v>0</v>
      </c>
      <c r="O351" t="n">
        <v>0</v>
      </c>
      <c r="P351" t="n">
        <v>0</v>
      </c>
      <c r="Q351" t="n">
        <v>0</v>
      </c>
      <c r="R351" s="2" t="inlineStr"/>
    </row>
    <row r="352" ht="15" customHeight="1">
      <c r="A352" t="inlineStr">
        <is>
          <t>A 9949-2020</t>
        </is>
      </c>
      <c r="B352" s="1" t="n">
        <v>43882</v>
      </c>
      <c r="C352" s="1" t="n">
        <v>45807</v>
      </c>
      <c r="D352" t="inlineStr">
        <is>
          <t>UPPSALA LÄN</t>
        </is>
      </c>
      <c r="E352" t="inlineStr">
        <is>
          <t>UPPSALA</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10033-2020</t>
        </is>
      </c>
      <c r="B353" s="1" t="n">
        <v>43882</v>
      </c>
      <c r="C353" s="1" t="n">
        <v>45807</v>
      </c>
      <c r="D353" t="inlineStr">
        <is>
          <t>UPPSALA LÄN</t>
        </is>
      </c>
      <c r="E353" t="inlineStr">
        <is>
          <t>UPPSALA</t>
        </is>
      </c>
      <c r="G353" t="n">
        <v>4.6</v>
      </c>
      <c r="H353" t="n">
        <v>0</v>
      </c>
      <c r="I353" t="n">
        <v>0</v>
      </c>
      <c r="J353" t="n">
        <v>0</v>
      </c>
      <c r="K353" t="n">
        <v>0</v>
      </c>
      <c r="L353" t="n">
        <v>0</v>
      </c>
      <c r="M353" t="n">
        <v>0</v>
      </c>
      <c r="N353" t="n">
        <v>0</v>
      </c>
      <c r="O353" t="n">
        <v>0</v>
      </c>
      <c r="P353" t="n">
        <v>0</v>
      </c>
      <c r="Q353" t="n">
        <v>0</v>
      </c>
      <c r="R353" s="2" t="inlineStr"/>
    </row>
    <row r="354" ht="15" customHeight="1">
      <c r="A354" t="inlineStr">
        <is>
          <t>A 10478-2020</t>
        </is>
      </c>
      <c r="B354" s="1" t="n">
        <v>43886</v>
      </c>
      <c r="C354" s="1" t="n">
        <v>45807</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11540-2020</t>
        </is>
      </c>
      <c r="B355" s="1" t="n">
        <v>43887</v>
      </c>
      <c r="C355" s="1" t="n">
        <v>45807</v>
      </c>
      <c r="D355" t="inlineStr">
        <is>
          <t>UPPSALA LÄN</t>
        </is>
      </c>
      <c r="E355" t="inlineStr">
        <is>
          <t>UPPSALA</t>
        </is>
      </c>
      <c r="G355" t="n">
        <v>2.1</v>
      </c>
      <c r="H355" t="n">
        <v>0</v>
      </c>
      <c r="I355" t="n">
        <v>0</v>
      </c>
      <c r="J355" t="n">
        <v>0</v>
      </c>
      <c r="K355" t="n">
        <v>0</v>
      </c>
      <c r="L355" t="n">
        <v>0</v>
      </c>
      <c r="M355" t="n">
        <v>0</v>
      </c>
      <c r="N355" t="n">
        <v>0</v>
      </c>
      <c r="O355" t="n">
        <v>0</v>
      </c>
      <c r="P355" t="n">
        <v>0</v>
      </c>
      <c r="Q355" t="n">
        <v>0</v>
      </c>
      <c r="R355" s="2" t="inlineStr"/>
    </row>
    <row r="356" ht="15" customHeight="1">
      <c r="A356" t="inlineStr">
        <is>
          <t>A 11174-2020</t>
        </is>
      </c>
      <c r="B356" s="1" t="n">
        <v>43891</v>
      </c>
      <c r="C356" s="1" t="n">
        <v>45807</v>
      </c>
      <c r="D356" t="inlineStr">
        <is>
          <t>UPPSALA LÄN</t>
        </is>
      </c>
      <c r="E356" t="inlineStr">
        <is>
          <t>UPPSALA</t>
        </is>
      </c>
      <c r="F356" t="inlineStr">
        <is>
          <t>Övriga statliga verk och myndigheter</t>
        </is>
      </c>
      <c r="G356" t="n">
        <v>2.8</v>
      </c>
      <c r="H356" t="n">
        <v>0</v>
      </c>
      <c r="I356" t="n">
        <v>0</v>
      </c>
      <c r="J356" t="n">
        <v>0</v>
      </c>
      <c r="K356" t="n">
        <v>0</v>
      </c>
      <c r="L356" t="n">
        <v>0</v>
      </c>
      <c r="M356" t="n">
        <v>0</v>
      </c>
      <c r="N356" t="n">
        <v>0</v>
      </c>
      <c r="O356" t="n">
        <v>0</v>
      </c>
      <c r="P356" t="n">
        <v>0</v>
      </c>
      <c r="Q356" t="n">
        <v>0</v>
      </c>
      <c r="R356" s="2" t="inlineStr"/>
    </row>
    <row r="357" ht="15" customHeight="1">
      <c r="A357" t="inlineStr">
        <is>
          <t>A 12626-2020</t>
        </is>
      </c>
      <c r="B357" s="1" t="n">
        <v>43892</v>
      </c>
      <c r="C357" s="1" t="n">
        <v>45807</v>
      </c>
      <c r="D357" t="inlineStr">
        <is>
          <t>UPPSALA LÄN</t>
        </is>
      </c>
      <c r="E357" t="inlineStr">
        <is>
          <t>UPPSALA</t>
        </is>
      </c>
      <c r="G357" t="n">
        <v>11.4</v>
      </c>
      <c r="H357" t="n">
        <v>0</v>
      </c>
      <c r="I357" t="n">
        <v>0</v>
      </c>
      <c r="J357" t="n">
        <v>0</v>
      </c>
      <c r="K357" t="n">
        <v>0</v>
      </c>
      <c r="L357" t="n">
        <v>0</v>
      </c>
      <c r="M357" t="n">
        <v>0</v>
      </c>
      <c r="N357" t="n">
        <v>0</v>
      </c>
      <c r="O357" t="n">
        <v>0</v>
      </c>
      <c r="P357" t="n">
        <v>0</v>
      </c>
      <c r="Q357" t="n">
        <v>0</v>
      </c>
      <c r="R357" s="2" t="inlineStr"/>
    </row>
    <row r="358" ht="15" customHeight="1">
      <c r="A358" t="inlineStr">
        <is>
          <t>A 11336-2020</t>
        </is>
      </c>
      <c r="B358" s="1" t="n">
        <v>43892</v>
      </c>
      <c r="C358" s="1" t="n">
        <v>45807</v>
      </c>
      <c r="D358" t="inlineStr">
        <is>
          <t>UPPSALA LÄN</t>
        </is>
      </c>
      <c r="E358" t="inlineStr">
        <is>
          <t>UPPSALA</t>
        </is>
      </c>
      <c r="F358" t="inlineStr">
        <is>
          <t>Kyrkan</t>
        </is>
      </c>
      <c r="G358" t="n">
        <v>3.2</v>
      </c>
      <c r="H358" t="n">
        <v>0</v>
      </c>
      <c r="I358" t="n">
        <v>0</v>
      </c>
      <c r="J358" t="n">
        <v>0</v>
      </c>
      <c r="K358" t="n">
        <v>0</v>
      </c>
      <c r="L358" t="n">
        <v>0</v>
      </c>
      <c r="M358" t="n">
        <v>0</v>
      </c>
      <c r="N358" t="n">
        <v>0</v>
      </c>
      <c r="O358" t="n">
        <v>0</v>
      </c>
      <c r="P358" t="n">
        <v>0</v>
      </c>
      <c r="Q358" t="n">
        <v>0</v>
      </c>
      <c r="R358" s="2" t="inlineStr"/>
    </row>
    <row r="359" ht="15" customHeight="1">
      <c r="A359" t="inlineStr">
        <is>
          <t>A 11320-2020</t>
        </is>
      </c>
      <c r="B359" s="1" t="n">
        <v>43892</v>
      </c>
      <c r="C359" s="1" t="n">
        <v>45807</v>
      </c>
      <c r="D359" t="inlineStr">
        <is>
          <t>UPPSALA LÄN</t>
        </is>
      </c>
      <c r="E359" t="inlineStr">
        <is>
          <t>UPPSALA</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12028-2020</t>
        </is>
      </c>
      <c r="B360" s="1" t="n">
        <v>43894</v>
      </c>
      <c r="C360" s="1" t="n">
        <v>45807</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12055-2020</t>
        </is>
      </c>
      <c r="B361" s="1" t="n">
        <v>43894</v>
      </c>
      <c r="C361" s="1" t="n">
        <v>45807</v>
      </c>
      <c r="D361" t="inlineStr">
        <is>
          <t>UPPSALA LÄN</t>
        </is>
      </c>
      <c r="E361" t="inlineStr">
        <is>
          <t>UPPSALA</t>
        </is>
      </c>
      <c r="G361" t="n">
        <v>6.2</v>
      </c>
      <c r="H361" t="n">
        <v>0</v>
      </c>
      <c r="I361" t="n">
        <v>0</v>
      </c>
      <c r="J361" t="n">
        <v>0</v>
      </c>
      <c r="K361" t="n">
        <v>0</v>
      </c>
      <c r="L361" t="n">
        <v>0</v>
      </c>
      <c r="M361" t="n">
        <v>0</v>
      </c>
      <c r="N361" t="n">
        <v>0</v>
      </c>
      <c r="O361" t="n">
        <v>0</v>
      </c>
      <c r="P361" t="n">
        <v>0</v>
      </c>
      <c r="Q361" t="n">
        <v>0</v>
      </c>
      <c r="R361" s="2" t="inlineStr"/>
    </row>
    <row r="362" ht="15" customHeight="1">
      <c r="A362" t="inlineStr">
        <is>
          <t>A 12848-2020</t>
        </is>
      </c>
      <c r="B362" s="1" t="n">
        <v>43899</v>
      </c>
      <c r="C362" s="1" t="n">
        <v>45807</v>
      </c>
      <c r="D362" t="inlineStr">
        <is>
          <t>UPPSALA LÄN</t>
        </is>
      </c>
      <c r="E362" t="inlineStr">
        <is>
          <t>UPPSALA</t>
        </is>
      </c>
      <c r="G362" t="n">
        <v>10.3</v>
      </c>
      <c r="H362" t="n">
        <v>0</v>
      </c>
      <c r="I362" t="n">
        <v>0</v>
      </c>
      <c r="J362" t="n">
        <v>0</v>
      </c>
      <c r="K362" t="n">
        <v>0</v>
      </c>
      <c r="L362" t="n">
        <v>0</v>
      </c>
      <c r="M362" t="n">
        <v>0</v>
      </c>
      <c r="N362" t="n">
        <v>0</v>
      </c>
      <c r="O362" t="n">
        <v>0</v>
      </c>
      <c r="P362" t="n">
        <v>0</v>
      </c>
      <c r="Q362" t="n">
        <v>0</v>
      </c>
      <c r="R362" s="2" t="inlineStr"/>
    </row>
    <row r="363" ht="15" customHeight="1">
      <c r="A363" t="inlineStr">
        <is>
          <t>A 12781-2020</t>
        </is>
      </c>
      <c r="B363" s="1" t="n">
        <v>43899</v>
      </c>
      <c r="C363" s="1" t="n">
        <v>45807</v>
      </c>
      <c r="D363" t="inlineStr">
        <is>
          <t>UPPSALA LÄN</t>
        </is>
      </c>
      <c r="E363" t="inlineStr">
        <is>
          <t>UPPSALA</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13636-2020</t>
        </is>
      </c>
      <c r="B364" s="1" t="n">
        <v>43903</v>
      </c>
      <c r="C364" s="1" t="n">
        <v>45807</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14469-2020</t>
        </is>
      </c>
      <c r="B365" s="1" t="n">
        <v>43908</v>
      </c>
      <c r="C365" s="1" t="n">
        <v>45807</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14423-2020</t>
        </is>
      </c>
      <c r="B366" s="1" t="n">
        <v>43908</v>
      </c>
      <c r="C366" s="1" t="n">
        <v>45807</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14472-2020</t>
        </is>
      </c>
      <c r="B367" s="1" t="n">
        <v>43908</v>
      </c>
      <c r="C367" s="1" t="n">
        <v>45807</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14427-2020</t>
        </is>
      </c>
      <c r="B368" s="1" t="n">
        <v>43908</v>
      </c>
      <c r="C368" s="1" t="n">
        <v>45807</v>
      </c>
      <c r="D368" t="inlineStr">
        <is>
          <t>UPPSALA LÄN</t>
        </is>
      </c>
      <c r="E368" t="inlineStr">
        <is>
          <t>UPPSALA</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15344-2020</t>
        </is>
      </c>
      <c r="B369" s="1" t="n">
        <v>43913</v>
      </c>
      <c r="C369" s="1" t="n">
        <v>45807</v>
      </c>
      <c r="D369" t="inlineStr">
        <is>
          <t>UPPSALA LÄN</t>
        </is>
      </c>
      <c r="E369" t="inlineStr">
        <is>
          <t>UPPSALA</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18106-2020</t>
        </is>
      </c>
      <c r="B370" s="1" t="n">
        <v>43927</v>
      </c>
      <c r="C370" s="1" t="n">
        <v>45807</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18114-2020</t>
        </is>
      </c>
      <c r="B371" s="1" t="n">
        <v>43927</v>
      </c>
      <c r="C371" s="1" t="n">
        <v>45807</v>
      </c>
      <c r="D371" t="inlineStr">
        <is>
          <t>UPPSALA LÄN</t>
        </is>
      </c>
      <c r="E371" t="inlineStr">
        <is>
          <t>UPPSALA</t>
        </is>
      </c>
      <c r="G371" t="n">
        <v>1.6</v>
      </c>
      <c r="H371" t="n">
        <v>0</v>
      </c>
      <c r="I371" t="n">
        <v>0</v>
      </c>
      <c r="J371" t="n">
        <v>0</v>
      </c>
      <c r="K371" t="n">
        <v>0</v>
      </c>
      <c r="L371" t="n">
        <v>0</v>
      </c>
      <c r="M371" t="n">
        <v>0</v>
      </c>
      <c r="N371" t="n">
        <v>0</v>
      </c>
      <c r="O371" t="n">
        <v>0</v>
      </c>
      <c r="P371" t="n">
        <v>0</v>
      </c>
      <c r="Q371" t="n">
        <v>0</v>
      </c>
      <c r="R371" s="2" t="inlineStr"/>
    </row>
    <row r="372" ht="15" customHeight="1">
      <c r="A372" t="inlineStr">
        <is>
          <t>A 18469-2020</t>
        </is>
      </c>
      <c r="B372" s="1" t="n">
        <v>43929</v>
      </c>
      <c r="C372" s="1" t="n">
        <v>45807</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19210-2020</t>
        </is>
      </c>
      <c r="B373" s="1" t="n">
        <v>43937</v>
      </c>
      <c r="C373" s="1" t="n">
        <v>45807</v>
      </c>
      <c r="D373" t="inlineStr">
        <is>
          <t>UPPSALA LÄN</t>
        </is>
      </c>
      <c r="E373" t="inlineStr">
        <is>
          <t>UPPSALA</t>
        </is>
      </c>
      <c r="G373" t="n">
        <v>3.7</v>
      </c>
      <c r="H373" t="n">
        <v>0</v>
      </c>
      <c r="I373" t="n">
        <v>0</v>
      </c>
      <c r="J373" t="n">
        <v>0</v>
      </c>
      <c r="K373" t="n">
        <v>0</v>
      </c>
      <c r="L373" t="n">
        <v>0</v>
      </c>
      <c r="M373" t="n">
        <v>0</v>
      </c>
      <c r="N373" t="n">
        <v>0</v>
      </c>
      <c r="O373" t="n">
        <v>0</v>
      </c>
      <c r="P373" t="n">
        <v>0</v>
      </c>
      <c r="Q373" t="n">
        <v>0</v>
      </c>
      <c r="R373" s="2" t="inlineStr"/>
    </row>
    <row r="374" ht="15" customHeight="1">
      <c r="A374" t="inlineStr">
        <is>
          <t>A 20218-2020</t>
        </is>
      </c>
      <c r="B374" s="1" t="n">
        <v>43944</v>
      </c>
      <c r="C374" s="1" t="n">
        <v>45807</v>
      </c>
      <c r="D374" t="inlineStr">
        <is>
          <t>UPPSALA LÄN</t>
        </is>
      </c>
      <c r="E374" t="inlineStr">
        <is>
          <t>UPPSALA</t>
        </is>
      </c>
      <c r="G374" t="n">
        <v>2.4</v>
      </c>
      <c r="H374" t="n">
        <v>0</v>
      </c>
      <c r="I374" t="n">
        <v>0</v>
      </c>
      <c r="J374" t="n">
        <v>0</v>
      </c>
      <c r="K374" t="n">
        <v>0</v>
      </c>
      <c r="L374" t="n">
        <v>0</v>
      </c>
      <c r="M374" t="n">
        <v>0</v>
      </c>
      <c r="N374" t="n">
        <v>0</v>
      </c>
      <c r="O374" t="n">
        <v>0</v>
      </c>
      <c r="P374" t="n">
        <v>0</v>
      </c>
      <c r="Q374" t="n">
        <v>0</v>
      </c>
      <c r="R374" s="2" t="inlineStr"/>
    </row>
    <row r="375" ht="15" customHeight="1">
      <c r="A375" t="inlineStr">
        <is>
          <t>A 20506-2020</t>
        </is>
      </c>
      <c r="B375" s="1" t="n">
        <v>43948</v>
      </c>
      <c r="C375" s="1" t="n">
        <v>45807</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20490-2020</t>
        </is>
      </c>
      <c r="B376" s="1" t="n">
        <v>43948</v>
      </c>
      <c r="C376" s="1" t="n">
        <v>45807</v>
      </c>
      <c r="D376" t="inlineStr">
        <is>
          <t>UPPSALA LÄN</t>
        </is>
      </c>
      <c r="E376" t="inlineStr">
        <is>
          <t>UPPSALA</t>
        </is>
      </c>
      <c r="G376" t="n">
        <v>2.8</v>
      </c>
      <c r="H376" t="n">
        <v>0</v>
      </c>
      <c r="I376" t="n">
        <v>0</v>
      </c>
      <c r="J376" t="n">
        <v>0</v>
      </c>
      <c r="K376" t="n">
        <v>0</v>
      </c>
      <c r="L376" t="n">
        <v>0</v>
      </c>
      <c r="M376" t="n">
        <v>0</v>
      </c>
      <c r="N376" t="n">
        <v>0</v>
      </c>
      <c r="O376" t="n">
        <v>0</v>
      </c>
      <c r="P376" t="n">
        <v>0</v>
      </c>
      <c r="Q376" t="n">
        <v>0</v>
      </c>
      <c r="R376" s="2" t="inlineStr"/>
    </row>
    <row r="377" ht="15" customHeight="1">
      <c r="A377" t="inlineStr">
        <is>
          <t>A 20960-2020</t>
        </is>
      </c>
      <c r="B377" s="1" t="n">
        <v>43950</v>
      </c>
      <c r="C377" s="1" t="n">
        <v>45807</v>
      </c>
      <c r="D377" t="inlineStr">
        <is>
          <t>UPPSALA LÄN</t>
        </is>
      </c>
      <c r="E377" t="inlineStr">
        <is>
          <t>UPPSALA</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24300-2020</t>
        </is>
      </c>
      <c r="B378" s="1" t="n">
        <v>43973</v>
      </c>
      <c r="C378" s="1" t="n">
        <v>45807</v>
      </c>
      <c r="D378" t="inlineStr">
        <is>
          <t>UPPSALA LÄN</t>
        </is>
      </c>
      <c r="E378" t="inlineStr">
        <is>
          <t>UPPSALA</t>
        </is>
      </c>
      <c r="F378" t="inlineStr">
        <is>
          <t>Övriga Aktiebolag</t>
        </is>
      </c>
      <c r="G378" t="n">
        <v>0.3</v>
      </c>
      <c r="H378" t="n">
        <v>0</v>
      </c>
      <c r="I378" t="n">
        <v>0</v>
      </c>
      <c r="J378" t="n">
        <v>0</v>
      </c>
      <c r="K378" t="n">
        <v>0</v>
      </c>
      <c r="L378" t="n">
        <v>0</v>
      </c>
      <c r="M378" t="n">
        <v>0</v>
      </c>
      <c r="N378" t="n">
        <v>0</v>
      </c>
      <c r="O378" t="n">
        <v>0</v>
      </c>
      <c r="P378" t="n">
        <v>0</v>
      </c>
      <c r="Q378" t="n">
        <v>0</v>
      </c>
      <c r="R378" s="2" t="inlineStr"/>
    </row>
    <row r="379" ht="15" customHeight="1">
      <c r="A379" t="inlineStr">
        <is>
          <t>A 24287-2020</t>
        </is>
      </c>
      <c r="B379" s="1" t="n">
        <v>43976</v>
      </c>
      <c r="C379" s="1" t="n">
        <v>45807</v>
      </c>
      <c r="D379" t="inlineStr">
        <is>
          <t>UPPSALA LÄN</t>
        </is>
      </c>
      <c r="E379" t="inlineStr">
        <is>
          <t>UPPSALA</t>
        </is>
      </c>
      <c r="G379" t="n">
        <v>1</v>
      </c>
      <c r="H379" t="n">
        <v>0</v>
      </c>
      <c r="I379" t="n">
        <v>0</v>
      </c>
      <c r="J379" t="n">
        <v>0</v>
      </c>
      <c r="K379" t="n">
        <v>0</v>
      </c>
      <c r="L379" t="n">
        <v>0</v>
      </c>
      <c r="M379" t="n">
        <v>0</v>
      </c>
      <c r="N379" t="n">
        <v>0</v>
      </c>
      <c r="O379" t="n">
        <v>0</v>
      </c>
      <c r="P379" t="n">
        <v>0</v>
      </c>
      <c r="Q379" t="n">
        <v>0</v>
      </c>
      <c r="R379" s="2" t="inlineStr"/>
    </row>
    <row r="380" ht="15" customHeight="1">
      <c r="A380" t="inlineStr">
        <is>
          <t>A 25798-2020</t>
        </is>
      </c>
      <c r="B380" s="1" t="n">
        <v>43984</v>
      </c>
      <c r="C380" s="1" t="n">
        <v>45807</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26488-2020</t>
        </is>
      </c>
      <c r="B381" s="1" t="n">
        <v>43987</v>
      </c>
      <c r="C381" s="1" t="n">
        <v>45807</v>
      </c>
      <c r="D381" t="inlineStr">
        <is>
          <t>UPPSALA LÄN</t>
        </is>
      </c>
      <c r="E381" t="inlineStr">
        <is>
          <t>UPPSALA</t>
        </is>
      </c>
      <c r="G381" t="n">
        <v>2.9</v>
      </c>
      <c r="H381" t="n">
        <v>0</v>
      </c>
      <c r="I381" t="n">
        <v>0</v>
      </c>
      <c r="J381" t="n">
        <v>0</v>
      </c>
      <c r="K381" t="n">
        <v>0</v>
      </c>
      <c r="L381" t="n">
        <v>0</v>
      </c>
      <c r="M381" t="n">
        <v>0</v>
      </c>
      <c r="N381" t="n">
        <v>0</v>
      </c>
      <c r="O381" t="n">
        <v>0</v>
      </c>
      <c r="P381" t="n">
        <v>0</v>
      </c>
      <c r="Q381" t="n">
        <v>0</v>
      </c>
      <c r="R381" s="2" t="inlineStr"/>
    </row>
    <row r="382" ht="15" customHeight="1">
      <c r="A382" t="inlineStr">
        <is>
          <t>A 26492-2020</t>
        </is>
      </c>
      <c r="B382" s="1" t="n">
        <v>43987</v>
      </c>
      <c r="C382" s="1" t="n">
        <v>45807</v>
      </c>
      <c r="D382" t="inlineStr">
        <is>
          <t>UPPSALA LÄN</t>
        </is>
      </c>
      <c r="E382" t="inlineStr">
        <is>
          <t>UPPSALA</t>
        </is>
      </c>
      <c r="G382" t="n">
        <v>9.5</v>
      </c>
      <c r="H382" t="n">
        <v>0</v>
      </c>
      <c r="I382" t="n">
        <v>0</v>
      </c>
      <c r="J382" t="n">
        <v>0</v>
      </c>
      <c r="K382" t="n">
        <v>0</v>
      </c>
      <c r="L382" t="n">
        <v>0</v>
      </c>
      <c r="M382" t="n">
        <v>0</v>
      </c>
      <c r="N382" t="n">
        <v>0</v>
      </c>
      <c r="O382" t="n">
        <v>0</v>
      </c>
      <c r="P382" t="n">
        <v>0</v>
      </c>
      <c r="Q382" t="n">
        <v>0</v>
      </c>
      <c r="R382" s="2" t="inlineStr"/>
    </row>
    <row r="383" ht="15" customHeight="1">
      <c r="A383" t="inlineStr">
        <is>
          <t>A 26856-2020</t>
        </is>
      </c>
      <c r="B383" s="1" t="n">
        <v>43990</v>
      </c>
      <c r="C383" s="1" t="n">
        <v>45807</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28565-2020</t>
        </is>
      </c>
      <c r="B384" s="1" t="n">
        <v>43999</v>
      </c>
      <c r="C384" s="1" t="n">
        <v>45807</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28514-2020</t>
        </is>
      </c>
      <c r="B385" s="1" t="n">
        <v>43999</v>
      </c>
      <c r="C385" s="1" t="n">
        <v>45807</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28993-2020</t>
        </is>
      </c>
      <c r="B386" s="1" t="n">
        <v>44000</v>
      </c>
      <c r="C386" s="1" t="n">
        <v>45807</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29034-2020</t>
        </is>
      </c>
      <c r="B387" s="1" t="n">
        <v>44000</v>
      </c>
      <c r="C387" s="1" t="n">
        <v>45807</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30196-2020</t>
        </is>
      </c>
      <c r="B388" s="1" t="n">
        <v>44007</v>
      </c>
      <c r="C388" s="1" t="n">
        <v>45807</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30208-2020</t>
        </is>
      </c>
      <c r="B389" s="1" t="n">
        <v>44007</v>
      </c>
      <c r="C389" s="1" t="n">
        <v>45807</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31219-2020</t>
        </is>
      </c>
      <c r="B390" s="1" t="n">
        <v>44012</v>
      </c>
      <c r="C390" s="1" t="n">
        <v>45807</v>
      </c>
      <c r="D390" t="inlineStr">
        <is>
          <t>UPPSALA LÄN</t>
        </is>
      </c>
      <c r="E390" t="inlineStr">
        <is>
          <t>UPPSALA</t>
        </is>
      </c>
      <c r="F390" t="inlineStr">
        <is>
          <t>Bergvik skog öst AB</t>
        </is>
      </c>
      <c r="G390" t="n">
        <v>7.4</v>
      </c>
      <c r="H390" t="n">
        <v>0</v>
      </c>
      <c r="I390" t="n">
        <v>0</v>
      </c>
      <c r="J390" t="n">
        <v>0</v>
      </c>
      <c r="K390" t="n">
        <v>0</v>
      </c>
      <c r="L390" t="n">
        <v>0</v>
      </c>
      <c r="M390" t="n">
        <v>0</v>
      </c>
      <c r="N390" t="n">
        <v>0</v>
      </c>
      <c r="O390" t="n">
        <v>0</v>
      </c>
      <c r="P390" t="n">
        <v>0</v>
      </c>
      <c r="Q390" t="n">
        <v>0</v>
      </c>
      <c r="R390" s="2" t="inlineStr"/>
    </row>
    <row r="391" ht="15" customHeight="1">
      <c r="A391" t="inlineStr">
        <is>
          <t>A 31430-2020</t>
        </is>
      </c>
      <c r="B391" s="1" t="n">
        <v>44013</v>
      </c>
      <c r="C391" s="1" t="n">
        <v>45807</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31932-2020</t>
        </is>
      </c>
      <c r="B392" s="1" t="n">
        <v>44014</v>
      </c>
      <c r="C392" s="1" t="n">
        <v>45807</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32235-2020</t>
        </is>
      </c>
      <c r="B393" s="1" t="n">
        <v>44015</v>
      </c>
      <c r="C393" s="1" t="n">
        <v>45807</v>
      </c>
      <c r="D393" t="inlineStr">
        <is>
          <t>UPPSALA LÄN</t>
        </is>
      </c>
      <c r="E393" t="inlineStr">
        <is>
          <t>UPPSALA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32340-2020</t>
        </is>
      </c>
      <c r="B394" s="1" t="n">
        <v>44016</v>
      </c>
      <c r="C394" s="1" t="n">
        <v>45807</v>
      </c>
      <c r="D394" t="inlineStr">
        <is>
          <t>UPPSALA LÄN</t>
        </is>
      </c>
      <c r="E394" t="inlineStr">
        <is>
          <t>UPPSALA</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32608-2020</t>
        </is>
      </c>
      <c r="B395" s="1" t="n">
        <v>44019</v>
      </c>
      <c r="C395" s="1" t="n">
        <v>45807</v>
      </c>
      <c r="D395" t="inlineStr">
        <is>
          <t>UPPSALA LÄN</t>
        </is>
      </c>
      <c r="E395" t="inlineStr">
        <is>
          <t>UPPSALA</t>
        </is>
      </c>
      <c r="F395" t="inlineStr">
        <is>
          <t>Bergvik skog öst AB</t>
        </is>
      </c>
      <c r="G395" t="n">
        <v>5.7</v>
      </c>
      <c r="H395" t="n">
        <v>0</v>
      </c>
      <c r="I395" t="n">
        <v>0</v>
      </c>
      <c r="J395" t="n">
        <v>0</v>
      </c>
      <c r="K395" t="n">
        <v>0</v>
      </c>
      <c r="L395" t="n">
        <v>0</v>
      </c>
      <c r="M395" t="n">
        <v>0</v>
      </c>
      <c r="N395" t="n">
        <v>0</v>
      </c>
      <c r="O395" t="n">
        <v>0</v>
      </c>
      <c r="P395" t="n">
        <v>0</v>
      </c>
      <c r="Q395" t="n">
        <v>0</v>
      </c>
      <c r="R395" s="2" t="inlineStr"/>
    </row>
    <row r="396" ht="15" customHeight="1">
      <c r="A396" t="inlineStr">
        <is>
          <t>A 33658-2020</t>
        </is>
      </c>
      <c r="B396" s="1" t="n">
        <v>44026</v>
      </c>
      <c r="C396" s="1" t="n">
        <v>45807</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34205-2020</t>
        </is>
      </c>
      <c r="B397" s="1" t="n">
        <v>44029</v>
      </c>
      <c r="C397" s="1" t="n">
        <v>45807</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34565-2020</t>
        </is>
      </c>
      <c r="B398" s="1" t="n">
        <v>44033</v>
      </c>
      <c r="C398" s="1" t="n">
        <v>45807</v>
      </c>
      <c r="D398" t="inlineStr">
        <is>
          <t>UPPSALA LÄN</t>
        </is>
      </c>
      <c r="E398" t="inlineStr">
        <is>
          <t>UPPSALA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34753-2020</t>
        </is>
      </c>
      <c r="B399" s="1" t="n">
        <v>44035</v>
      </c>
      <c r="C399" s="1" t="n">
        <v>45807</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34749-2020</t>
        </is>
      </c>
      <c r="B400" s="1" t="n">
        <v>44035</v>
      </c>
      <c r="C400" s="1" t="n">
        <v>45807</v>
      </c>
      <c r="D400" t="inlineStr">
        <is>
          <t>UPPSALA LÄN</t>
        </is>
      </c>
      <c r="E400" t="inlineStr">
        <is>
          <t>UPPSALA</t>
        </is>
      </c>
      <c r="G400" t="n">
        <v>5.5</v>
      </c>
      <c r="H400" t="n">
        <v>0</v>
      </c>
      <c r="I400" t="n">
        <v>0</v>
      </c>
      <c r="J400" t="n">
        <v>0</v>
      </c>
      <c r="K400" t="n">
        <v>0</v>
      </c>
      <c r="L400" t="n">
        <v>0</v>
      </c>
      <c r="M400" t="n">
        <v>0</v>
      </c>
      <c r="N400" t="n">
        <v>0</v>
      </c>
      <c r="O400" t="n">
        <v>0</v>
      </c>
      <c r="P400" t="n">
        <v>0</v>
      </c>
      <c r="Q400" t="n">
        <v>0</v>
      </c>
      <c r="R400" s="2" t="inlineStr"/>
    </row>
    <row r="401" ht="15" customHeight="1">
      <c r="A401" t="inlineStr">
        <is>
          <t>A 35281-2020</t>
        </is>
      </c>
      <c r="B401" s="1" t="n">
        <v>44041</v>
      </c>
      <c r="C401" s="1" t="n">
        <v>45807</v>
      </c>
      <c r="D401" t="inlineStr">
        <is>
          <t>UPPSALA LÄN</t>
        </is>
      </c>
      <c r="E401" t="inlineStr">
        <is>
          <t>UPPSALA</t>
        </is>
      </c>
      <c r="F401" t="inlineStr">
        <is>
          <t>Bergvik skog öst AB</t>
        </is>
      </c>
      <c r="G401" t="n">
        <v>3.1</v>
      </c>
      <c r="H401" t="n">
        <v>0</v>
      </c>
      <c r="I401" t="n">
        <v>0</v>
      </c>
      <c r="J401" t="n">
        <v>0</v>
      </c>
      <c r="K401" t="n">
        <v>0</v>
      </c>
      <c r="L401" t="n">
        <v>0</v>
      </c>
      <c r="M401" t="n">
        <v>0</v>
      </c>
      <c r="N401" t="n">
        <v>0</v>
      </c>
      <c r="O401" t="n">
        <v>0</v>
      </c>
      <c r="P401" t="n">
        <v>0</v>
      </c>
      <c r="Q401" t="n">
        <v>0</v>
      </c>
      <c r="R401" s="2" t="inlineStr"/>
    </row>
    <row r="402" ht="15" customHeight="1">
      <c r="A402" t="inlineStr">
        <is>
          <t>A 36035-2020</t>
        </is>
      </c>
      <c r="B402" s="1" t="n">
        <v>44048</v>
      </c>
      <c r="C402" s="1" t="n">
        <v>45807</v>
      </c>
      <c r="D402" t="inlineStr">
        <is>
          <t>UPPSALA LÄN</t>
        </is>
      </c>
      <c r="E402" t="inlineStr">
        <is>
          <t>UPPSALA</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36202-2020</t>
        </is>
      </c>
      <c r="B403" s="1" t="n">
        <v>44048</v>
      </c>
      <c r="C403" s="1" t="n">
        <v>45807</v>
      </c>
      <c r="D403" t="inlineStr">
        <is>
          <t>UPPSALA LÄN</t>
        </is>
      </c>
      <c r="E403" t="inlineStr">
        <is>
          <t>UPPSALA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36198-2020</t>
        </is>
      </c>
      <c r="B404" s="1" t="n">
        <v>44048</v>
      </c>
      <c r="C404" s="1" t="n">
        <v>45807</v>
      </c>
      <c r="D404" t="inlineStr">
        <is>
          <t>UPPSALA LÄN</t>
        </is>
      </c>
      <c r="E404" t="inlineStr">
        <is>
          <t>UPPSALA</t>
        </is>
      </c>
      <c r="F404" t="inlineStr">
        <is>
          <t>Bergvik skog öst AB</t>
        </is>
      </c>
      <c r="G404" t="n">
        <v>0.3</v>
      </c>
      <c r="H404" t="n">
        <v>0</v>
      </c>
      <c r="I404" t="n">
        <v>0</v>
      </c>
      <c r="J404" t="n">
        <v>0</v>
      </c>
      <c r="K404" t="n">
        <v>0</v>
      </c>
      <c r="L404" t="n">
        <v>0</v>
      </c>
      <c r="M404" t="n">
        <v>0</v>
      </c>
      <c r="N404" t="n">
        <v>0</v>
      </c>
      <c r="O404" t="n">
        <v>0</v>
      </c>
      <c r="P404" t="n">
        <v>0</v>
      </c>
      <c r="Q404" t="n">
        <v>0</v>
      </c>
      <c r="R404" s="2" t="inlineStr"/>
    </row>
    <row r="405" ht="15" customHeight="1">
      <c r="A405" t="inlineStr">
        <is>
          <t>A 36350-2020</t>
        </is>
      </c>
      <c r="B405" s="1" t="n">
        <v>44049</v>
      </c>
      <c r="C405" s="1" t="n">
        <v>45807</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36512-2020</t>
        </is>
      </c>
      <c r="B406" s="1" t="n">
        <v>44050</v>
      </c>
      <c r="C406" s="1" t="n">
        <v>45807</v>
      </c>
      <c r="D406" t="inlineStr">
        <is>
          <t>UPPSALA LÄN</t>
        </is>
      </c>
      <c r="E406" t="inlineStr">
        <is>
          <t>UPPSALA</t>
        </is>
      </c>
      <c r="G406" t="n">
        <v>5.8</v>
      </c>
      <c r="H406" t="n">
        <v>0</v>
      </c>
      <c r="I406" t="n">
        <v>0</v>
      </c>
      <c r="J406" t="n">
        <v>0</v>
      </c>
      <c r="K406" t="n">
        <v>0</v>
      </c>
      <c r="L406" t="n">
        <v>0</v>
      </c>
      <c r="M406" t="n">
        <v>0</v>
      </c>
      <c r="N406" t="n">
        <v>0</v>
      </c>
      <c r="O406" t="n">
        <v>0</v>
      </c>
      <c r="P406" t="n">
        <v>0</v>
      </c>
      <c r="Q406" t="n">
        <v>0</v>
      </c>
      <c r="R406" s="2" t="inlineStr"/>
    </row>
    <row r="407" ht="15" customHeight="1">
      <c r="A407" t="inlineStr">
        <is>
          <t>A 37276-2020</t>
        </is>
      </c>
      <c r="B407" s="1" t="n">
        <v>44055</v>
      </c>
      <c r="C407" s="1" t="n">
        <v>45807</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37669-2020</t>
        </is>
      </c>
      <c r="B408" s="1" t="n">
        <v>44056</v>
      </c>
      <c r="C408" s="1" t="n">
        <v>45807</v>
      </c>
      <c r="D408" t="inlineStr">
        <is>
          <t>UPPSALA LÄN</t>
        </is>
      </c>
      <c r="E408" t="inlineStr">
        <is>
          <t>UPPSALA</t>
        </is>
      </c>
      <c r="G408" t="n">
        <v>5.1</v>
      </c>
      <c r="H408" t="n">
        <v>0</v>
      </c>
      <c r="I408" t="n">
        <v>0</v>
      </c>
      <c r="J408" t="n">
        <v>0</v>
      </c>
      <c r="K408" t="n">
        <v>0</v>
      </c>
      <c r="L408" t="n">
        <v>0</v>
      </c>
      <c r="M408" t="n">
        <v>0</v>
      </c>
      <c r="N408" t="n">
        <v>0</v>
      </c>
      <c r="O408" t="n">
        <v>0</v>
      </c>
      <c r="P408" t="n">
        <v>0</v>
      </c>
      <c r="Q408" t="n">
        <v>0</v>
      </c>
      <c r="R408" s="2" t="inlineStr"/>
    </row>
    <row r="409" ht="15" customHeight="1">
      <c r="A409" t="inlineStr">
        <is>
          <t>A 39233-2020</t>
        </is>
      </c>
      <c r="B409" s="1" t="n">
        <v>44063</v>
      </c>
      <c r="C409" s="1" t="n">
        <v>45807</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39178-2020</t>
        </is>
      </c>
      <c r="B410" s="1" t="n">
        <v>44063</v>
      </c>
      <c r="C410" s="1" t="n">
        <v>45807</v>
      </c>
      <c r="D410" t="inlineStr">
        <is>
          <t>UPPSALA LÄN</t>
        </is>
      </c>
      <c r="E410" t="inlineStr">
        <is>
          <t>UPPSALA</t>
        </is>
      </c>
      <c r="F410" t="inlineStr">
        <is>
          <t>Bergvik skog öst AB</t>
        </is>
      </c>
      <c r="G410" t="n">
        <v>2.6</v>
      </c>
      <c r="H410" t="n">
        <v>0</v>
      </c>
      <c r="I410" t="n">
        <v>0</v>
      </c>
      <c r="J410" t="n">
        <v>0</v>
      </c>
      <c r="K410" t="n">
        <v>0</v>
      </c>
      <c r="L410" t="n">
        <v>0</v>
      </c>
      <c r="M410" t="n">
        <v>0</v>
      </c>
      <c r="N410" t="n">
        <v>0</v>
      </c>
      <c r="O410" t="n">
        <v>0</v>
      </c>
      <c r="P410" t="n">
        <v>0</v>
      </c>
      <c r="Q410" t="n">
        <v>0</v>
      </c>
      <c r="R410" s="2" t="inlineStr"/>
    </row>
    <row r="411" ht="15" customHeight="1">
      <c r="A411" t="inlineStr">
        <is>
          <t>A 39236-2020</t>
        </is>
      </c>
      <c r="B411" s="1" t="n">
        <v>44063</v>
      </c>
      <c r="C411" s="1" t="n">
        <v>45807</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39272-2020</t>
        </is>
      </c>
      <c r="B412" s="1" t="n">
        <v>44063</v>
      </c>
      <c r="C412" s="1" t="n">
        <v>45807</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40894-2020</t>
        </is>
      </c>
      <c r="B413" s="1" t="n">
        <v>44070</v>
      </c>
      <c r="C413" s="1" t="n">
        <v>45807</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42341-2020</t>
        </is>
      </c>
      <c r="B414" s="1" t="n">
        <v>44076</v>
      </c>
      <c r="C414" s="1" t="n">
        <v>45807</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43968-2020</t>
        </is>
      </c>
      <c r="B415" s="1" t="n">
        <v>44083</v>
      </c>
      <c r="C415" s="1" t="n">
        <v>45807</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45930-2020</t>
        </is>
      </c>
      <c r="B416" s="1" t="n">
        <v>44091</v>
      </c>
      <c r="C416" s="1" t="n">
        <v>45807</v>
      </c>
      <c r="D416" t="inlineStr">
        <is>
          <t>UPPSALA LÄN</t>
        </is>
      </c>
      <c r="E416" t="inlineStr">
        <is>
          <t>UPPSALA</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46633-2020</t>
        </is>
      </c>
      <c r="B417" s="1" t="n">
        <v>44095</v>
      </c>
      <c r="C417" s="1" t="n">
        <v>45807</v>
      </c>
      <c r="D417" t="inlineStr">
        <is>
          <t>UPPSALA LÄN</t>
        </is>
      </c>
      <c r="E417" t="inlineStr">
        <is>
          <t>UPPSALA</t>
        </is>
      </c>
      <c r="G417" t="n">
        <v>4.2</v>
      </c>
      <c r="H417" t="n">
        <v>0</v>
      </c>
      <c r="I417" t="n">
        <v>0</v>
      </c>
      <c r="J417" t="n">
        <v>0</v>
      </c>
      <c r="K417" t="n">
        <v>0</v>
      </c>
      <c r="L417" t="n">
        <v>0</v>
      </c>
      <c r="M417" t="n">
        <v>0</v>
      </c>
      <c r="N417" t="n">
        <v>0</v>
      </c>
      <c r="O417" t="n">
        <v>0</v>
      </c>
      <c r="P417" t="n">
        <v>0</v>
      </c>
      <c r="Q417" t="n">
        <v>0</v>
      </c>
      <c r="R417" s="2" t="inlineStr"/>
    </row>
    <row r="418" ht="15" customHeight="1">
      <c r="A418" t="inlineStr">
        <is>
          <t>A 46647-2020</t>
        </is>
      </c>
      <c r="B418" s="1" t="n">
        <v>44095</v>
      </c>
      <c r="C418" s="1" t="n">
        <v>45807</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48786-2020</t>
        </is>
      </c>
      <c r="B419" s="1" t="n">
        <v>44103</v>
      </c>
      <c r="C419" s="1" t="n">
        <v>45807</v>
      </c>
      <c r="D419" t="inlineStr">
        <is>
          <t>UPPSALA LÄN</t>
        </is>
      </c>
      <c r="E419" t="inlineStr">
        <is>
          <t>UPPSALA</t>
        </is>
      </c>
      <c r="G419" t="n">
        <v>0.4</v>
      </c>
      <c r="H419" t="n">
        <v>0</v>
      </c>
      <c r="I419" t="n">
        <v>0</v>
      </c>
      <c r="J419" t="n">
        <v>0</v>
      </c>
      <c r="K419" t="n">
        <v>0</v>
      </c>
      <c r="L419" t="n">
        <v>0</v>
      </c>
      <c r="M419" t="n">
        <v>0</v>
      </c>
      <c r="N419" t="n">
        <v>0</v>
      </c>
      <c r="O419" t="n">
        <v>0</v>
      </c>
      <c r="P419" t="n">
        <v>0</v>
      </c>
      <c r="Q419" t="n">
        <v>0</v>
      </c>
      <c r="R419" s="2" t="inlineStr"/>
    </row>
    <row r="420" ht="15" customHeight="1">
      <c r="A420" t="inlineStr">
        <is>
          <t>A 49363-2020</t>
        </is>
      </c>
      <c r="B420" s="1" t="n">
        <v>44105</v>
      </c>
      <c r="C420" s="1" t="n">
        <v>45807</v>
      </c>
      <c r="D420" t="inlineStr">
        <is>
          <t>UPPSALA LÄN</t>
        </is>
      </c>
      <c r="E420" t="inlineStr">
        <is>
          <t>UPPSALA</t>
        </is>
      </c>
      <c r="G420" t="n">
        <v>0.9</v>
      </c>
      <c r="H420" t="n">
        <v>0</v>
      </c>
      <c r="I420" t="n">
        <v>0</v>
      </c>
      <c r="J420" t="n">
        <v>0</v>
      </c>
      <c r="K420" t="n">
        <v>0</v>
      </c>
      <c r="L420" t="n">
        <v>0</v>
      </c>
      <c r="M420" t="n">
        <v>0</v>
      </c>
      <c r="N420" t="n">
        <v>0</v>
      </c>
      <c r="O420" t="n">
        <v>0</v>
      </c>
      <c r="P420" t="n">
        <v>0</v>
      </c>
      <c r="Q420" t="n">
        <v>0</v>
      </c>
      <c r="R420" s="2" t="inlineStr"/>
    </row>
    <row r="421" ht="15" customHeight="1">
      <c r="A421" t="inlineStr">
        <is>
          <t>A 49409-2020</t>
        </is>
      </c>
      <c r="B421" s="1" t="n">
        <v>44105</v>
      </c>
      <c r="C421" s="1" t="n">
        <v>45807</v>
      </c>
      <c r="D421" t="inlineStr">
        <is>
          <t>UPPSALA LÄN</t>
        </is>
      </c>
      <c r="E421" t="inlineStr">
        <is>
          <t>UPPSALA</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49404-2020</t>
        </is>
      </c>
      <c r="B422" s="1" t="n">
        <v>44105</v>
      </c>
      <c r="C422" s="1" t="n">
        <v>45807</v>
      </c>
      <c r="D422" t="inlineStr">
        <is>
          <t>UPPSALA LÄN</t>
        </is>
      </c>
      <c r="E422" t="inlineStr">
        <is>
          <t>UPPSALA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49821-2020</t>
        </is>
      </c>
      <c r="B423" s="1" t="n">
        <v>44106</v>
      </c>
      <c r="C423" s="1" t="n">
        <v>45807</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45807</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52717-2020</t>
        </is>
      </c>
      <c r="B425" s="1" t="n">
        <v>44119</v>
      </c>
      <c r="C425" s="1" t="n">
        <v>45807</v>
      </c>
      <c r="D425" t="inlineStr">
        <is>
          <t>UPPSALA LÄN</t>
        </is>
      </c>
      <c r="E425" t="inlineStr">
        <is>
          <t>UPPSALA</t>
        </is>
      </c>
      <c r="G425" t="n">
        <v>2.8</v>
      </c>
      <c r="H425" t="n">
        <v>0</v>
      </c>
      <c r="I425" t="n">
        <v>0</v>
      </c>
      <c r="J425" t="n">
        <v>0</v>
      </c>
      <c r="K425" t="n">
        <v>0</v>
      </c>
      <c r="L425" t="n">
        <v>0</v>
      </c>
      <c r="M425" t="n">
        <v>0</v>
      </c>
      <c r="N425" t="n">
        <v>0</v>
      </c>
      <c r="O425" t="n">
        <v>0</v>
      </c>
      <c r="P425" t="n">
        <v>0</v>
      </c>
      <c r="Q425" t="n">
        <v>0</v>
      </c>
      <c r="R425" s="2" t="inlineStr"/>
    </row>
    <row r="426" ht="15" customHeight="1">
      <c r="A426" t="inlineStr">
        <is>
          <t>A 53346-2020</t>
        </is>
      </c>
      <c r="B426" s="1" t="n">
        <v>44123</v>
      </c>
      <c r="C426" s="1" t="n">
        <v>45807</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53379-2020</t>
        </is>
      </c>
      <c r="B427" s="1" t="n">
        <v>44123</v>
      </c>
      <c r="C427" s="1" t="n">
        <v>45807</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54742-2020</t>
        </is>
      </c>
      <c r="B428" s="1" t="n">
        <v>44126</v>
      </c>
      <c r="C428" s="1" t="n">
        <v>45807</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55220-2020</t>
        </is>
      </c>
      <c r="B429" s="1" t="n">
        <v>44130</v>
      </c>
      <c r="C429" s="1" t="n">
        <v>45807</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55953-2020</t>
        </is>
      </c>
      <c r="B430" s="1" t="n">
        <v>44131</v>
      </c>
      <c r="C430" s="1" t="n">
        <v>45807</v>
      </c>
      <c r="D430" t="inlineStr">
        <is>
          <t>UPPSALA LÄN</t>
        </is>
      </c>
      <c r="E430" t="inlineStr">
        <is>
          <t>UPPSALA</t>
        </is>
      </c>
      <c r="F430" t="inlineStr">
        <is>
          <t>Allmännings- och besparingsskogar</t>
        </is>
      </c>
      <c r="G430" t="n">
        <v>74.40000000000001</v>
      </c>
      <c r="H430" t="n">
        <v>0</v>
      </c>
      <c r="I430" t="n">
        <v>0</v>
      </c>
      <c r="J430" t="n">
        <v>0</v>
      </c>
      <c r="K430" t="n">
        <v>0</v>
      </c>
      <c r="L430" t="n">
        <v>0</v>
      </c>
      <c r="M430" t="n">
        <v>0</v>
      </c>
      <c r="N430" t="n">
        <v>0</v>
      </c>
      <c r="O430" t="n">
        <v>0</v>
      </c>
      <c r="P430" t="n">
        <v>0</v>
      </c>
      <c r="Q430" t="n">
        <v>0</v>
      </c>
      <c r="R430" s="2" t="inlineStr"/>
    </row>
    <row r="431" ht="15" customHeight="1">
      <c r="A431" t="inlineStr">
        <is>
          <t>A 56097-2020</t>
        </is>
      </c>
      <c r="B431" s="1" t="n">
        <v>44131</v>
      </c>
      <c r="C431" s="1" t="n">
        <v>45807</v>
      </c>
      <c r="D431" t="inlineStr">
        <is>
          <t>UPPSALA LÄN</t>
        </is>
      </c>
      <c r="E431" t="inlineStr">
        <is>
          <t>UPPSALA</t>
        </is>
      </c>
      <c r="F431" t="inlineStr">
        <is>
          <t>Allmännings- och besparingsskogar</t>
        </is>
      </c>
      <c r="G431" t="n">
        <v>10.6</v>
      </c>
      <c r="H431" t="n">
        <v>0</v>
      </c>
      <c r="I431" t="n">
        <v>0</v>
      </c>
      <c r="J431" t="n">
        <v>0</v>
      </c>
      <c r="K431" t="n">
        <v>0</v>
      </c>
      <c r="L431" t="n">
        <v>0</v>
      </c>
      <c r="M431" t="n">
        <v>0</v>
      </c>
      <c r="N431" t="n">
        <v>0</v>
      </c>
      <c r="O431" t="n">
        <v>0</v>
      </c>
      <c r="P431" t="n">
        <v>0</v>
      </c>
      <c r="Q431" t="n">
        <v>0</v>
      </c>
      <c r="R431" s="2" t="inlineStr"/>
    </row>
    <row r="432" ht="15" customHeight="1">
      <c r="A432" t="inlineStr">
        <is>
          <t>A 56466-2020</t>
        </is>
      </c>
      <c r="B432" s="1" t="n">
        <v>44134</v>
      </c>
      <c r="C432" s="1" t="n">
        <v>45807</v>
      </c>
      <c r="D432" t="inlineStr">
        <is>
          <t>UPPSALA LÄN</t>
        </is>
      </c>
      <c r="E432" t="inlineStr">
        <is>
          <t>UPPSALA</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57041-2020</t>
        </is>
      </c>
      <c r="B433" s="1" t="n">
        <v>44137</v>
      </c>
      <c r="C433" s="1" t="n">
        <v>45807</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57271-2020</t>
        </is>
      </c>
      <c r="B434" s="1" t="n">
        <v>44139</v>
      </c>
      <c r="C434" s="1" t="n">
        <v>45807</v>
      </c>
      <c r="D434" t="inlineStr">
        <is>
          <t>UPPSALA LÄN</t>
        </is>
      </c>
      <c r="E434" t="inlineStr">
        <is>
          <t>UPPSALA</t>
        </is>
      </c>
      <c r="G434" t="n">
        <v>3.8</v>
      </c>
      <c r="H434" t="n">
        <v>0</v>
      </c>
      <c r="I434" t="n">
        <v>0</v>
      </c>
      <c r="J434" t="n">
        <v>0</v>
      </c>
      <c r="K434" t="n">
        <v>0</v>
      </c>
      <c r="L434" t="n">
        <v>0</v>
      </c>
      <c r="M434" t="n">
        <v>0</v>
      </c>
      <c r="N434" t="n">
        <v>0</v>
      </c>
      <c r="O434" t="n">
        <v>0</v>
      </c>
      <c r="P434" t="n">
        <v>0</v>
      </c>
      <c r="Q434" t="n">
        <v>0</v>
      </c>
      <c r="R434" s="2" t="inlineStr"/>
    </row>
    <row r="435" ht="15" customHeight="1">
      <c r="A435" t="inlineStr">
        <is>
          <t>A 57451-2020</t>
        </is>
      </c>
      <c r="B435" s="1" t="n">
        <v>44139</v>
      </c>
      <c r="C435" s="1" t="n">
        <v>45807</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57466-2020</t>
        </is>
      </c>
      <c r="B436" s="1" t="n">
        <v>44139</v>
      </c>
      <c r="C436" s="1" t="n">
        <v>45807</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58070-2020</t>
        </is>
      </c>
      <c r="B437" s="1" t="n">
        <v>44140</v>
      </c>
      <c r="C437" s="1" t="n">
        <v>45807</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58058-2020</t>
        </is>
      </c>
      <c r="B438" s="1" t="n">
        <v>44144</v>
      </c>
      <c r="C438" s="1" t="n">
        <v>45807</v>
      </c>
      <c r="D438" t="inlineStr">
        <is>
          <t>UPPSALA LÄN</t>
        </is>
      </c>
      <c r="E438" t="inlineStr">
        <is>
          <t>UPPSALA</t>
        </is>
      </c>
      <c r="G438" t="n">
        <v>4.4</v>
      </c>
      <c r="H438" t="n">
        <v>0</v>
      </c>
      <c r="I438" t="n">
        <v>0</v>
      </c>
      <c r="J438" t="n">
        <v>0</v>
      </c>
      <c r="K438" t="n">
        <v>0</v>
      </c>
      <c r="L438" t="n">
        <v>0</v>
      </c>
      <c r="M438" t="n">
        <v>0</v>
      </c>
      <c r="N438" t="n">
        <v>0</v>
      </c>
      <c r="O438" t="n">
        <v>0</v>
      </c>
      <c r="P438" t="n">
        <v>0</v>
      </c>
      <c r="Q438" t="n">
        <v>0</v>
      </c>
      <c r="R438" s="2" t="inlineStr"/>
    </row>
    <row r="439" ht="15" customHeight="1">
      <c r="A439" t="inlineStr">
        <is>
          <t>A 58056-2020</t>
        </is>
      </c>
      <c r="B439" s="1" t="n">
        <v>44144</v>
      </c>
      <c r="C439" s="1" t="n">
        <v>45807</v>
      </c>
      <c r="D439" t="inlineStr">
        <is>
          <t>UPPSALA LÄN</t>
        </is>
      </c>
      <c r="E439" t="inlineStr">
        <is>
          <t>UPPSALA</t>
        </is>
      </c>
      <c r="G439" t="n">
        <v>5.5</v>
      </c>
      <c r="H439" t="n">
        <v>0</v>
      </c>
      <c r="I439" t="n">
        <v>0</v>
      </c>
      <c r="J439" t="n">
        <v>0</v>
      </c>
      <c r="K439" t="n">
        <v>0</v>
      </c>
      <c r="L439" t="n">
        <v>0</v>
      </c>
      <c r="M439" t="n">
        <v>0</v>
      </c>
      <c r="N439" t="n">
        <v>0</v>
      </c>
      <c r="O439" t="n">
        <v>0</v>
      </c>
      <c r="P439" t="n">
        <v>0</v>
      </c>
      <c r="Q439" t="n">
        <v>0</v>
      </c>
      <c r="R439" s="2" t="inlineStr"/>
    </row>
    <row r="440" ht="15" customHeight="1">
      <c r="A440" t="inlineStr">
        <is>
          <t>A 58288-2020</t>
        </is>
      </c>
      <c r="B440" s="1" t="n">
        <v>44144</v>
      </c>
      <c r="C440" s="1" t="n">
        <v>45807</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58928-2020</t>
        </is>
      </c>
      <c r="B441" s="1" t="n">
        <v>44146</v>
      </c>
      <c r="C441" s="1" t="n">
        <v>45807</v>
      </c>
      <c r="D441" t="inlineStr">
        <is>
          <t>UPPSALA LÄN</t>
        </is>
      </c>
      <c r="E441" t="inlineStr">
        <is>
          <t>UPPSALA</t>
        </is>
      </c>
      <c r="G441" t="n">
        <v>10.6</v>
      </c>
      <c r="H441" t="n">
        <v>0</v>
      </c>
      <c r="I441" t="n">
        <v>0</v>
      </c>
      <c r="J441" t="n">
        <v>0</v>
      </c>
      <c r="K441" t="n">
        <v>0</v>
      </c>
      <c r="L441" t="n">
        <v>0</v>
      </c>
      <c r="M441" t="n">
        <v>0</v>
      </c>
      <c r="N441" t="n">
        <v>0</v>
      </c>
      <c r="O441" t="n">
        <v>0</v>
      </c>
      <c r="P441" t="n">
        <v>0</v>
      </c>
      <c r="Q441" t="n">
        <v>0</v>
      </c>
      <c r="R441" s="2" t="inlineStr"/>
    </row>
    <row r="442" ht="15" customHeight="1">
      <c r="A442" t="inlineStr">
        <is>
          <t>A 59952-2020</t>
        </is>
      </c>
      <c r="B442" s="1" t="n">
        <v>44151</v>
      </c>
      <c r="C442" s="1" t="n">
        <v>45807</v>
      </c>
      <c r="D442" t="inlineStr">
        <is>
          <t>UPPSALA LÄN</t>
        </is>
      </c>
      <c r="E442" t="inlineStr">
        <is>
          <t>UPPSALA</t>
        </is>
      </c>
      <c r="G442" t="n">
        <v>25.8</v>
      </c>
      <c r="H442" t="n">
        <v>0</v>
      </c>
      <c r="I442" t="n">
        <v>0</v>
      </c>
      <c r="J442" t="n">
        <v>0</v>
      </c>
      <c r="K442" t="n">
        <v>0</v>
      </c>
      <c r="L442" t="n">
        <v>0</v>
      </c>
      <c r="M442" t="n">
        <v>0</v>
      </c>
      <c r="N442" t="n">
        <v>0</v>
      </c>
      <c r="O442" t="n">
        <v>0</v>
      </c>
      <c r="P442" t="n">
        <v>0</v>
      </c>
      <c r="Q442" t="n">
        <v>0</v>
      </c>
      <c r="R442" s="2" t="inlineStr"/>
    </row>
    <row r="443" ht="15" customHeight="1">
      <c r="A443" t="inlineStr">
        <is>
          <t>A 60702-2020</t>
        </is>
      </c>
      <c r="B443" s="1" t="n">
        <v>44153</v>
      </c>
      <c r="C443" s="1" t="n">
        <v>45807</v>
      </c>
      <c r="D443" t="inlineStr">
        <is>
          <t>UPPSALA LÄN</t>
        </is>
      </c>
      <c r="E443" t="inlineStr">
        <is>
          <t>UPPSALA</t>
        </is>
      </c>
      <c r="F443" t="inlineStr">
        <is>
          <t>Övriga statliga verk och myndigheter</t>
        </is>
      </c>
      <c r="G443" t="n">
        <v>1.4</v>
      </c>
      <c r="H443" t="n">
        <v>0</v>
      </c>
      <c r="I443" t="n">
        <v>0</v>
      </c>
      <c r="J443" t="n">
        <v>0</v>
      </c>
      <c r="K443" t="n">
        <v>0</v>
      </c>
      <c r="L443" t="n">
        <v>0</v>
      </c>
      <c r="M443" t="n">
        <v>0</v>
      </c>
      <c r="N443" t="n">
        <v>0</v>
      </c>
      <c r="O443" t="n">
        <v>0</v>
      </c>
      <c r="P443" t="n">
        <v>0</v>
      </c>
      <c r="Q443" t="n">
        <v>0</v>
      </c>
      <c r="R443" s="2" t="inlineStr"/>
    </row>
    <row r="444" ht="15" customHeight="1">
      <c r="A444" t="inlineStr">
        <is>
          <t>A 61265-2020</t>
        </is>
      </c>
      <c r="B444" s="1" t="n">
        <v>44155</v>
      </c>
      <c r="C444" s="1" t="n">
        <v>45807</v>
      </c>
      <c r="D444" t="inlineStr">
        <is>
          <t>UPPSALA LÄN</t>
        </is>
      </c>
      <c r="E444" t="inlineStr">
        <is>
          <t>UPPSALA</t>
        </is>
      </c>
      <c r="G444" t="n">
        <v>4.7</v>
      </c>
      <c r="H444" t="n">
        <v>0</v>
      </c>
      <c r="I444" t="n">
        <v>0</v>
      </c>
      <c r="J444" t="n">
        <v>0</v>
      </c>
      <c r="K444" t="n">
        <v>0</v>
      </c>
      <c r="L444" t="n">
        <v>0</v>
      </c>
      <c r="M444" t="n">
        <v>0</v>
      </c>
      <c r="N444" t="n">
        <v>0</v>
      </c>
      <c r="O444" t="n">
        <v>0</v>
      </c>
      <c r="P444" t="n">
        <v>0</v>
      </c>
      <c r="Q444" t="n">
        <v>0</v>
      </c>
      <c r="R444" s="2" t="inlineStr"/>
    </row>
    <row r="445" ht="15" customHeight="1">
      <c r="A445" t="inlineStr">
        <is>
          <t>A 61271-2020</t>
        </is>
      </c>
      <c r="B445" s="1" t="n">
        <v>44155</v>
      </c>
      <c r="C445" s="1" t="n">
        <v>45807</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62094-2020</t>
        </is>
      </c>
      <c r="B446" s="1" t="n">
        <v>44159</v>
      </c>
      <c r="C446" s="1" t="n">
        <v>45807</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62352-2020</t>
        </is>
      </c>
      <c r="B447" s="1" t="n">
        <v>44159</v>
      </c>
      <c r="C447" s="1" t="n">
        <v>45807</v>
      </c>
      <c r="D447" t="inlineStr">
        <is>
          <t>UPPSALA LÄN</t>
        </is>
      </c>
      <c r="E447" t="inlineStr">
        <is>
          <t>UPPSALA</t>
        </is>
      </c>
      <c r="F447" t="inlineStr">
        <is>
          <t>Allmännings- och besparingsskogar</t>
        </is>
      </c>
      <c r="G447" t="n">
        <v>12.9</v>
      </c>
      <c r="H447" t="n">
        <v>0</v>
      </c>
      <c r="I447" t="n">
        <v>0</v>
      </c>
      <c r="J447" t="n">
        <v>0</v>
      </c>
      <c r="K447" t="n">
        <v>0</v>
      </c>
      <c r="L447" t="n">
        <v>0</v>
      </c>
      <c r="M447" t="n">
        <v>0</v>
      </c>
      <c r="N447" t="n">
        <v>0</v>
      </c>
      <c r="O447" t="n">
        <v>0</v>
      </c>
      <c r="P447" t="n">
        <v>0</v>
      </c>
      <c r="Q447" t="n">
        <v>0</v>
      </c>
      <c r="R447" s="2" t="inlineStr"/>
    </row>
    <row r="448" ht="15" customHeight="1">
      <c r="A448" t="inlineStr">
        <is>
          <t>A 62504-2020</t>
        </is>
      </c>
      <c r="B448" s="1" t="n">
        <v>44160</v>
      </c>
      <c r="C448" s="1" t="n">
        <v>45807</v>
      </c>
      <c r="D448" t="inlineStr">
        <is>
          <t>UPPSALA LÄN</t>
        </is>
      </c>
      <c r="E448" t="inlineStr">
        <is>
          <t>UPPSALA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62729-2020</t>
        </is>
      </c>
      <c r="B449" s="1" t="n">
        <v>44161</v>
      </c>
      <c r="C449" s="1" t="n">
        <v>45807</v>
      </c>
      <c r="D449" t="inlineStr">
        <is>
          <t>UPPSALA LÄN</t>
        </is>
      </c>
      <c r="E449" t="inlineStr">
        <is>
          <t>UPPSALA</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62655-2020</t>
        </is>
      </c>
      <c r="B450" s="1" t="n">
        <v>44161</v>
      </c>
      <c r="C450" s="1" t="n">
        <v>45807</v>
      </c>
      <c r="D450" t="inlineStr">
        <is>
          <t>UPPSALA LÄN</t>
        </is>
      </c>
      <c r="E450" t="inlineStr">
        <is>
          <t>UPPSALA</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63145-2020</t>
        </is>
      </c>
      <c r="B451" s="1" t="n">
        <v>44162</v>
      </c>
      <c r="C451" s="1" t="n">
        <v>45807</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63529-2020</t>
        </is>
      </c>
      <c r="B452" s="1" t="n">
        <v>44165</v>
      </c>
      <c r="C452" s="1" t="n">
        <v>45807</v>
      </c>
      <c r="D452" t="inlineStr">
        <is>
          <t>UPPSALA LÄN</t>
        </is>
      </c>
      <c r="E452" t="inlineStr">
        <is>
          <t>UPPSALA</t>
        </is>
      </c>
      <c r="F452" t="inlineStr">
        <is>
          <t>Övriga statliga verk och myndigheter</t>
        </is>
      </c>
      <c r="G452" t="n">
        <v>2.4</v>
      </c>
      <c r="H452" t="n">
        <v>0</v>
      </c>
      <c r="I452" t="n">
        <v>0</v>
      </c>
      <c r="J452" t="n">
        <v>0</v>
      </c>
      <c r="K452" t="n">
        <v>0</v>
      </c>
      <c r="L452" t="n">
        <v>0</v>
      </c>
      <c r="M452" t="n">
        <v>0</v>
      </c>
      <c r="N452" t="n">
        <v>0</v>
      </c>
      <c r="O452" t="n">
        <v>0</v>
      </c>
      <c r="P452" t="n">
        <v>0</v>
      </c>
      <c r="Q452" t="n">
        <v>0</v>
      </c>
      <c r="R452" s="2" t="inlineStr"/>
    </row>
    <row r="453" ht="15" customHeight="1">
      <c r="A453" t="inlineStr">
        <is>
          <t>A 63749-2020</t>
        </is>
      </c>
      <c r="B453" s="1" t="n">
        <v>44166</v>
      </c>
      <c r="C453" s="1" t="n">
        <v>45807</v>
      </c>
      <c r="D453" t="inlineStr">
        <is>
          <t>UPPSALA LÄN</t>
        </is>
      </c>
      <c r="E453" t="inlineStr">
        <is>
          <t>UPPSALA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64128-2020</t>
        </is>
      </c>
      <c r="B454" s="1" t="n">
        <v>44167</v>
      </c>
      <c r="C454" s="1" t="n">
        <v>45807</v>
      </c>
      <c r="D454" t="inlineStr">
        <is>
          <t>UPPSALA LÄN</t>
        </is>
      </c>
      <c r="E454" t="inlineStr">
        <is>
          <t>UPPSALA</t>
        </is>
      </c>
      <c r="G454" t="n">
        <v>1.3</v>
      </c>
      <c r="H454" t="n">
        <v>0</v>
      </c>
      <c r="I454" t="n">
        <v>0</v>
      </c>
      <c r="J454" t="n">
        <v>0</v>
      </c>
      <c r="K454" t="n">
        <v>0</v>
      </c>
      <c r="L454" t="n">
        <v>0</v>
      </c>
      <c r="M454" t="n">
        <v>0</v>
      </c>
      <c r="N454" t="n">
        <v>0</v>
      </c>
      <c r="O454" t="n">
        <v>0</v>
      </c>
      <c r="P454" t="n">
        <v>0</v>
      </c>
      <c r="Q454" t="n">
        <v>0</v>
      </c>
      <c r="R454" s="2" t="inlineStr"/>
    </row>
    <row r="455" ht="15" customHeight="1">
      <c r="A455" t="inlineStr">
        <is>
          <t>A 64353-2020</t>
        </is>
      </c>
      <c r="B455" s="1" t="n">
        <v>44168</v>
      </c>
      <c r="C455" s="1" t="n">
        <v>45807</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64333-2020</t>
        </is>
      </c>
      <c r="B456" s="1" t="n">
        <v>44168</v>
      </c>
      <c r="C456" s="1" t="n">
        <v>45807</v>
      </c>
      <c r="D456" t="inlineStr">
        <is>
          <t>UPPSALA LÄN</t>
        </is>
      </c>
      <c r="E456" t="inlineStr">
        <is>
          <t>UPPSALA</t>
        </is>
      </c>
      <c r="G456" t="n">
        <v>7.1</v>
      </c>
      <c r="H456" t="n">
        <v>0</v>
      </c>
      <c r="I456" t="n">
        <v>0</v>
      </c>
      <c r="J456" t="n">
        <v>0</v>
      </c>
      <c r="K456" t="n">
        <v>0</v>
      </c>
      <c r="L456" t="n">
        <v>0</v>
      </c>
      <c r="M456" t="n">
        <v>0</v>
      </c>
      <c r="N456" t="n">
        <v>0</v>
      </c>
      <c r="O456" t="n">
        <v>0</v>
      </c>
      <c r="P456" t="n">
        <v>0</v>
      </c>
      <c r="Q456" t="n">
        <v>0</v>
      </c>
      <c r="R456" s="2" t="inlineStr"/>
    </row>
    <row r="457" ht="15" customHeight="1">
      <c r="A457" t="inlineStr">
        <is>
          <t>A 66984-2020</t>
        </is>
      </c>
      <c r="B457" s="1" t="n">
        <v>44180</v>
      </c>
      <c r="C457" s="1" t="n">
        <v>45807</v>
      </c>
      <c r="D457" t="inlineStr">
        <is>
          <t>UPPSALA LÄN</t>
        </is>
      </c>
      <c r="E457" t="inlineStr">
        <is>
          <t>UPPSALA</t>
        </is>
      </c>
      <c r="F457" t="inlineStr">
        <is>
          <t>Övriga statliga verk och myndigheter</t>
        </is>
      </c>
      <c r="G457" t="n">
        <v>2.1</v>
      </c>
      <c r="H457" t="n">
        <v>0</v>
      </c>
      <c r="I457" t="n">
        <v>0</v>
      </c>
      <c r="J457" t="n">
        <v>0</v>
      </c>
      <c r="K457" t="n">
        <v>0</v>
      </c>
      <c r="L457" t="n">
        <v>0</v>
      </c>
      <c r="M457" t="n">
        <v>0</v>
      </c>
      <c r="N457" t="n">
        <v>0</v>
      </c>
      <c r="O457" t="n">
        <v>0</v>
      </c>
      <c r="P457" t="n">
        <v>0</v>
      </c>
      <c r="Q457" t="n">
        <v>0</v>
      </c>
      <c r="R457" s="2" t="inlineStr"/>
    </row>
    <row r="458" ht="15" customHeight="1">
      <c r="A458" t="inlineStr">
        <is>
          <t>A 265-2021</t>
        </is>
      </c>
      <c r="B458" s="1" t="n">
        <v>44200</v>
      </c>
      <c r="C458" s="1" t="n">
        <v>45807</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1020-2021</t>
        </is>
      </c>
      <c r="B459" s="1" t="n">
        <v>44207</v>
      </c>
      <c r="C459" s="1" t="n">
        <v>45807</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1573-2021</t>
        </is>
      </c>
      <c r="B460" s="1" t="n">
        <v>44209</v>
      </c>
      <c r="C460" s="1" t="n">
        <v>45807</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1617-2021</t>
        </is>
      </c>
      <c r="B461" s="1" t="n">
        <v>44209</v>
      </c>
      <c r="C461" s="1" t="n">
        <v>45807</v>
      </c>
      <c r="D461" t="inlineStr">
        <is>
          <t>UPPSALA LÄN</t>
        </is>
      </c>
      <c r="E461" t="inlineStr">
        <is>
          <t>UPPSALA</t>
        </is>
      </c>
      <c r="G461" t="n">
        <v>2.5</v>
      </c>
      <c r="H461" t="n">
        <v>0</v>
      </c>
      <c r="I461" t="n">
        <v>0</v>
      </c>
      <c r="J461" t="n">
        <v>0</v>
      </c>
      <c r="K461" t="n">
        <v>0</v>
      </c>
      <c r="L461" t="n">
        <v>0</v>
      </c>
      <c r="M461" t="n">
        <v>0</v>
      </c>
      <c r="N461" t="n">
        <v>0</v>
      </c>
      <c r="O461" t="n">
        <v>0</v>
      </c>
      <c r="P461" t="n">
        <v>0</v>
      </c>
      <c r="Q461" t="n">
        <v>0</v>
      </c>
      <c r="R461" s="2" t="inlineStr"/>
    </row>
    <row r="462" ht="15" customHeight="1">
      <c r="A462" t="inlineStr">
        <is>
          <t>A 1855-2021</t>
        </is>
      </c>
      <c r="B462" s="1" t="n">
        <v>44210</v>
      </c>
      <c r="C462" s="1" t="n">
        <v>45807</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2169-2021</t>
        </is>
      </c>
      <c r="B463" s="1" t="n">
        <v>44211</v>
      </c>
      <c r="C463" s="1" t="n">
        <v>45807</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3864-2021</t>
        </is>
      </c>
      <c r="B464" s="1" t="n">
        <v>44216</v>
      </c>
      <c r="C464" s="1" t="n">
        <v>45807</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3874-2021</t>
        </is>
      </c>
      <c r="B465" s="1" t="n">
        <v>44216</v>
      </c>
      <c r="C465" s="1" t="n">
        <v>45807</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3955-2021</t>
        </is>
      </c>
      <c r="B466" s="1" t="n">
        <v>44222</v>
      </c>
      <c r="C466" s="1" t="n">
        <v>45807</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45807</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5663-2021</t>
        </is>
      </c>
      <c r="B468" s="1" t="n">
        <v>44230</v>
      </c>
      <c r="C468" s="1" t="n">
        <v>45807</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8114-2021</t>
        </is>
      </c>
      <c r="B469" s="1" t="n">
        <v>44243</v>
      </c>
      <c r="C469" s="1" t="n">
        <v>45807</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8494-2021</t>
        </is>
      </c>
      <c r="B470" s="1" t="n">
        <v>44245</v>
      </c>
      <c r="C470" s="1" t="n">
        <v>45807</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9700-2021</t>
        </is>
      </c>
      <c r="B471" s="1" t="n">
        <v>44252</v>
      </c>
      <c r="C471" s="1" t="n">
        <v>45807</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9712-2021</t>
        </is>
      </c>
      <c r="B472" s="1" t="n">
        <v>44252</v>
      </c>
      <c r="C472" s="1" t="n">
        <v>45807</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12225-2021</t>
        </is>
      </c>
      <c r="B473" s="1" t="n">
        <v>44266</v>
      </c>
      <c r="C473" s="1" t="n">
        <v>45807</v>
      </c>
      <c r="D473" t="inlineStr">
        <is>
          <t>UPPSALA LÄN</t>
        </is>
      </c>
      <c r="E473" t="inlineStr">
        <is>
          <t>UPPSALA</t>
        </is>
      </c>
      <c r="F473" t="inlineStr">
        <is>
          <t>Bergvik skog öst AB</t>
        </is>
      </c>
      <c r="G473" t="n">
        <v>4.8</v>
      </c>
      <c r="H473" t="n">
        <v>0</v>
      </c>
      <c r="I473" t="n">
        <v>0</v>
      </c>
      <c r="J473" t="n">
        <v>0</v>
      </c>
      <c r="K473" t="n">
        <v>0</v>
      </c>
      <c r="L473" t="n">
        <v>0</v>
      </c>
      <c r="M473" t="n">
        <v>0</v>
      </c>
      <c r="N473" t="n">
        <v>0</v>
      </c>
      <c r="O473" t="n">
        <v>0</v>
      </c>
      <c r="P473" t="n">
        <v>0</v>
      </c>
      <c r="Q473" t="n">
        <v>0</v>
      </c>
      <c r="R473" s="2" t="inlineStr"/>
    </row>
    <row r="474" ht="15" customHeight="1">
      <c r="A474" t="inlineStr">
        <is>
          <t>A 12152-2021</t>
        </is>
      </c>
      <c r="B474" s="1" t="n">
        <v>44266</v>
      </c>
      <c r="C474" s="1" t="n">
        <v>45807</v>
      </c>
      <c r="D474" t="inlineStr">
        <is>
          <t>UPPSALA LÄN</t>
        </is>
      </c>
      <c r="E474" t="inlineStr">
        <is>
          <t>UPPSALA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12172-2021</t>
        </is>
      </c>
      <c r="B475" s="1" t="n">
        <v>44266</v>
      </c>
      <c r="C475" s="1" t="n">
        <v>45807</v>
      </c>
      <c r="D475" t="inlineStr">
        <is>
          <t>UPPSALA LÄN</t>
        </is>
      </c>
      <c r="E475" t="inlineStr">
        <is>
          <t>UPPSALA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12194-2021</t>
        </is>
      </c>
      <c r="B476" s="1" t="n">
        <v>44266</v>
      </c>
      <c r="C476" s="1" t="n">
        <v>45807</v>
      </c>
      <c r="D476" t="inlineStr">
        <is>
          <t>UPPSALA LÄN</t>
        </is>
      </c>
      <c r="E476" t="inlineStr">
        <is>
          <t>UPPSALA</t>
        </is>
      </c>
      <c r="F476" t="inlineStr">
        <is>
          <t>Bergvik skog öst AB</t>
        </is>
      </c>
      <c r="G476" t="n">
        <v>2.1</v>
      </c>
      <c r="H476" t="n">
        <v>0</v>
      </c>
      <c r="I476" t="n">
        <v>0</v>
      </c>
      <c r="J476" t="n">
        <v>0</v>
      </c>
      <c r="K476" t="n">
        <v>0</v>
      </c>
      <c r="L476" t="n">
        <v>0</v>
      </c>
      <c r="M476" t="n">
        <v>0</v>
      </c>
      <c r="N476" t="n">
        <v>0</v>
      </c>
      <c r="O476" t="n">
        <v>0</v>
      </c>
      <c r="P476" t="n">
        <v>0</v>
      </c>
      <c r="Q476" t="n">
        <v>0</v>
      </c>
      <c r="R476" s="2" t="inlineStr"/>
    </row>
    <row r="477" ht="15" customHeight="1">
      <c r="A477" t="inlineStr">
        <is>
          <t>A 12313-2021</t>
        </is>
      </c>
      <c r="B477" s="1" t="n">
        <v>44266</v>
      </c>
      <c r="C477" s="1" t="n">
        <v>45807</v>
      </c>
      <c r="D477" t="inlineStr">
        <is>
          <t>UPPSALA LÄN</t>
        </is>
      </c>
      <c r="E477" t="inlineStr">
        <is>
          <t>UPPSALA</t>
        </is>
      </c>
      <c r="G477" t="n">
        <v>23.6</v>
      </c>
      <c r="H477" t="n">
        <v>0</v>
      </c>
      <c r="I477" t="n">
        <v>0</v>
      </c>
      <c r="J477" t="n">
        <v>0</v>
      </c>
      <c r="K477" t="n">
        <v>0</v>
      </c>
      <c r="L477" t="n">
        <v>0</v>
      </c>
      <c r="M477" t="n">
        <v>0</v>
      </c>
      <c r="N477" t="n">
        <v>0</v>
      </c>
      <c r="O477" t="n">
        <v>0</v>
      </c>
      <c r="P477" t="n">
        <v>0</v>
      </c>
      <c r="Q477" t="n">
        <v>0</v>
      </c>
      <c r="R477" s="2" t="inlineStr"/>
    </row>
    <row r="478" ht="15" customHeight="1">
      <c r="A478" t="inlineStr">
        <is>
          <t>A 13010-2021</t>
        </is>
      </c>
      <c r="B478" s="1" t="n">
        <v>44271</v>
      </c>
      <c r="C478" s="1" t="n">
        <v>45807</v>
      </c>
      <c r="D478" t="inlineStr">
        <is>
          <t>UPPSALA LÄN</t>
        </is>
      </c>
      <c r="E478" t="inlineStr">
        <is>
          <t>UPPSALA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13420-2021</t>
        </is>
      </c>
      <c r="B479" s="1" t="n">
        <v>44273</v>
      </c>
      <c r="C479" s="1" t="n">
        <v>45807</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14026-2021</t>
        </is>
      </c>
      <c r="B480" s="1" t="n">
        <v>44277</v>
      </c>
      <c r="C480" s="1" t="n">
        <v>45807</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14022-2021</t>
        </is>
      </c>
      <c r="B481" s="1" t="n">
        <v>44277</v>
      </c>
      <c r="C481" s="1" t="n">
        <v>45807</v>
      </c>
      <c r="D481" t="inlineStr">
        <is>
          <t>UPPSALA LÄN</t>
        </is>
      </c>
      <c r="E481" t="inlineStr">
        <is>
          <t>UPPSALA</t>
        </is>
      </c>
      <c r="G481" t="n">
        <v>11.1</v>
      </c>
      <c r="H481" t="n">
        <v>0</v>
      </c>
      <c r="I481" t="n">
        <v>0</v>
      </c>
      <c r="J481" t="n">
        <v>0</v>
      </c>
      <c r="K481" t="n">
        <v>0</v>
      </c>
      <c r="L481" t="n">
        <v>0</v>
      </c>
      <c r="M481" t="n">
        <v>0</v>
      </c>
      <c r="N481" t="n">
        <v>0</v>
      </c>
      <c r="O481" t="n">
        <v>0</v>
      </c>
      <c r="P481" t="n">
        <v>0</v>
      </c>
      <c r="Q481" t="n">
        <v>0</v>
      </c>
      <c r="R481" s="2" t="inlineStr"/>
    </row>
    <row r="482" ht="15" customHeight="1">
      <c r="A482" t="inlineStr">
        <is>
          <t>A 14341-2021</t>
        </is>
      </c>
      <c r="B482" s="1" t="n">
        <v>44279</v>
      </c>
      <c r="C482" s="1" t="n">
        <v>45807</v>
      </c>
      <c r="D482" t="inlineStr">
        <is>
          <t>UPPSALA LÄN</t>
        </is>
      </c>
      <c r="E482" t="inlineStr">
        <is>
          <t>UPPSALA</t>
        </is>
      </c>
      <c r="G482" t="n">
        <v>8.9</v>
      </c>
      <c r="H482" t="n">
        <v>0</v>
      </c>
      <c r="I482" t="n">
        <v>0</v>
      </c>
      <c r="J482" t="n">
        <v>0</v>
      </c>
      <c r="K482" t="n">
        <v>0</v>
      </c>
      <c r="L482" t="n">
        <v>0</v>
      </c>
      <c r="M482" t="n">
        <v>0</v>
      </c>
      <c r="N482" t="n">
        <v>0</v>
      </c>
      <c r="O482" t="n">
        <v>0</v>
      </c>
      <c r="P482" t="n">
        <v>0</v>
      </c>
      <c r="Q482" t="n">
        <v>0</v>
      </c>
      <c r="R482" s="2" t="inlineStr"/>
    </row>
    <row r="483" ht="15" customHeight="1">
      <c r="A483" t="inlineStr">
        <is>
          <t>A 14941-2021</t>
        </is>
      </c>
      <c r="B483" s="1" t="n">
        <v>44281</v>
      </c>
      <c r="C483" s="1" t="n">
        <v>45807</v>
      </c>
      <c r="D483" t="inlineStr">
        <is>
          <t>UPPSALA LÄN</t>
        </is>
      </c>
      <c r="E483" t="inlineStr">
        <is>
          <t>UPPSALA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15816-2021</t>
        </is>
      </c>
      <c r="B484" s="1" t="n">
        <v>44286</v>
      </c>
      <c r="C484" s="1" t="n">
        <v>45807</v>
      </c>
      <c r="D484" t="inlineStr">
        <is>
          <t>UPPSALA LÄN</t>
        </is>
      </c>
      <c r="E484" t="inlineStr">
        <is>
          <t>UPPSALA</t>
        </is>
      </c>
      <c r="G484" t="n">
        <v>2.9</v>
      </c>
      <c r="H484" t="n">
        <v>0</v>
      </c>
      <c r="I484" t="n">
        <v>0</v>
      </c>
      <c r="J484" t="n">
        <v>0</v>
      </c>
      <c r="K484" t="n">
        <v>0</v>
      </c>
      <c r="L484" t="n">
        <v>0</v>
      </c>
      <c r="M484" t="n">
        <v>0</v>
      </c>
      <c r="N484" t="n">
        <v>0</v>
      </c>
      <c r="O484" t="n">
        <v>0</v>
      </c>
      <c r="P484" t="n">
        <v>0</v>
      </c>
      <c r="Q484" t="n">
        <v>0</v>
      </c>
      <c r="R484" s="2" t="inlineStr"/>
    </row>
    <row r="485" ht="15" customHeight="1">
      <c r="A485" t="inlineStr">
        <is>
          <t>A 15820-2021</t>
        </is>
      </c>
      <c r="B485" s="1" t="n">
        <v>44286</v>
      </c>
      <c r="C485" s="1" t="n">
        <v>45807</v>
      </c>
      <c r="D485" t="inlineStr">
        <is>
          <t>UPPSALA LÄN</t>
        </is>
      </c>
      <c r="E485" t="inlineStr">
        <is>
          <t>UPPSALA</t>
        </is>
      </c>
      <c r="G485" t="n">
        <v>2.1</v>
      </c>
      <c r="H485" t="n">
        <v>0</v>
      </c>
      <c r="I485" t="n">
        <v>0</v>
      </c>
      <c r="J485" t="n">
        <v>0</v>
      </c>
      <c r="K485" t="n">
        <v>0</v>
      </c>
      <c r="L485" t="n">
        <v>0</v>
      </c>
      <c r="M485" t="n">
        <v>0</v>
      </c>
      <c r="N485" t="n">
        <v>0</v>
      </c>
      <c r="O485" t="n">
        <v>0</v>
      </c>
      <c r="P485" t="n">
        <v>0</v>
      </c>
      <c r="Q485" t="n">
        <v>0</v>
      </c>
      <c r="R485" s="2" t="inlineStr"/>
    </row>
    <row r="486" ht="15" customHeight="1">
      <c r="A486" t="inlineStr">
        <is>
          <t>A 16592-2021</t>
        </is>
      </c>
      <c r="B486" s="1" t="n">
        <v>44294</v>
      </c>
      <c r="C486" s="1" t="n">
        <v>45807</v>
      </c>
      <c r="D486" t="inlineStr">
        <is>
          <t>UPPSALA LÄN</t>
        </is>
      </c>
      <c r="E486" t="inlineStr">
        <is>
          <t>UPPSALA</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16615-2021</t>
        </is>
      </c>
      <c r="B487" s="1" t="n">
        <v>44294</v>
      </c>
      <c r="C487" s="1" t="n">
        <v>45807</v>
      </c>
      <c r="D487" t="inlineStr">
        <is>
          <t>UPPSALA LÄN</t>
        </is>
      </c>
      <c r="E487" t="inlineStr">
        <is>
          <t>UPPSALA</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16684-2021</t>
        </is>
      </c>
      <c r="B488" s="1" t="n">
        <v>44294</v>
      </c>
      <c r="C488" s="1" t="n">
        <v>45807</v>
      </c>
      <c r="D488" t="inlineStr">
        <is>
          <t>UPPSALA LÄN</t>
        </is>
      </c>
      <c r="E488" t="inlineStr">
        <is>
          <t>UPPSALA</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17262-2021</t>
        </is>
      </c>
      <c r="B489" s="1" t="n">
        <v>44297</v>
      </c>
      <c r="C489" s="1" t="n">
        <v>45807</v>
      </c>
      <c r="D489" t="inlineStr">
        <is>
          <t>UPPSALA LÄN</t>
        </is>
      </c>
      <c r="E489" t="inlineStr">
        <is>
          <t>UPPSALA</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17250-2021</t>
        </is>
      </c>
      <c r="B490" s="1" t="n">
        <v>44297</v>
      </c>
      <c r="C490" s="1" t="n">
        <v>45807</v>
      </c>
      <c r="D490" t="inlineStr">
        <is>
          <t>UPPSALA LÄN</t>
        </is>
      </c>
      <c r="E490" t="inlineStr">
        <is>
          <t>UPPSALA</t>
        </is>
      </c>
      <c r="G490" t="n">
        <v>3.6</v>
      </c>
      <c r="H490" t="n">
        <v>0</v>
      </c>
      <c r="I490" t="n">
        <v>0</v>
      </c>
      <c r="J490" t="n">
        <v>0</v>
      </c>
      <c r="K490" t="n">
        <v>0</v>
      </c>
      <c r="L490" t="n">
        <v>0</v>
      </c>
      <c r="M490" t="n">
        <v>0</v>
      </c>
      <c r="N490" t="n">
        <v>0</v>
      </c>
      <c r="O490" t="n">
        <v>0</v>
      </c>
      <c r="P490" t="n">
        <v>0</v>
      </c>
      <c r="Q490" t="n">
        <v>0</v>
      </c>
      <c r="R490" s="2" t="inlineStr"/>
    </row>
    <row r="491" ht="15" customHeight="1">
      <c r="A491" t="inlineStr">
        <is>
          <t>A 17536-2021</t>
        </is>
      </c>
      <c r="B491" s="1" t="n">
        <v>44299</v>
      </c>
      <c r="C491" s="1" t="n">
        <v>45807</v>
      </c>
      <c r="D491" t="inlineStr">
        <is>
          <t>UPPSALA LÄN</t>
        </is>
      </c>
      <c r="E491" t="inlineStr">
        <is>
          <t>UPPSALA</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18906-2021</t>
        </is>
      </c>
      <c r="B492" s="1" t="n">
        <v>44308</v>
      </c>
      <c r="C492" s="1" t="n">
        <v>45807</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19927-2021</t>
        </is>
      </c>
      <c r="B493" s="1" t="n">
        <v>44313</v>
      </c>
      <c r="C493" s="1" t="n">
        <v>45807</v>
      </c>
      <c r="D493" t="inlineStr">
        <is>
          <t>UPPSALA LÄN</t>
        </is>
      </c>
      <c r="E493" t="inlineStr">
        <is>
          <t>UPPSALA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19947-2021</t>
        </is>
      </c>
      <c r="B494" s="1" t="n">
        <v>44313</v>
      </c>
      <c r="C494" s="1" t="n">
        <v>45807</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20276-2021</t>
        </is>
      </c>
      <c r="B495" s="1" t="n">
        <v>44314</v>
      </c>
      <c r="C495" s="1" t="n">
        <v>45807</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20271-2021</t>
        </is>
      </c>
      <c r="B496" s="1" t="n">
        <v>44314</v>
      </c>
      <c r="C496" s="1" t="n">
        <v>45807</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20609-2021</t>
        </is>
      </c>
      <c r="B497" s="1" t="n">
        <v>44316</v>
      </c>
      <c r="C497" s="1" t="n">
        <v>45807</v>
      </c>
      <c r="D497" t="inlineStr">
        <is>
          <t>UPPSALA LÄN</t>
        </is>
      </c>
      <c r="E497" t="inlineStr">
        <is>
          <t>UPPSALA</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22070-2021</t>
        </is>
      </c>
      <c r="B498" s="1" t="n">
        <v>44323</v>
      </c>
      <c r="C498" s="1" t="n">
        <v>45807</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22946-2021</t>
        </is>
      </c>
      <c r="B499" s="1" t="n">
        <v>44328</v>
      </c>
      <c r="C499" s="1" t="n">
        <v>45807</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23877-2021</t>
        </is>
      </c>
      <c r="B500" s="1" t="n">
        <v>44335</v>
      </c>
      <c r="C500" s="1" t="n">
        <v>45807</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25613-2021</t>
        </is>
      </c>
      <c r="B501" s="1" t="n">
        <v>44343</v>
      </c>
      <c r="C501" s="1" t="n">
        <v>45807</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26785-2021</t>
        </is>
      </c>
      <c r="B502" s="1" t="n">
        <v>44349</v>
      </c>
      <c r="C502" s="1" t="n">
        <v>45807</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27365-2021</t>
        </is>
      </c>
      <c r="B503" s="1" t="n">
        <v>44351</v>
      </c>
      <c r="C503" s="1" t="n">
        <v>45807</v>
      </c>
      <c r="D503" t="inlineStr">
        <is>
          <t>UPPSALA LÄN</t>
        </is>
      </c>
      <c r="E503" t="inlineStr">
        <is>
          <t>UPPSALA</t>
        </is>
      </c>
      <c r="F503" t="inlineStr">
        <is>
          <t>Allmännings- och besparingsskogar</t>
        </is>
      </c>
      <c r="G503" t="n">
        <v>20.5</v>
      </c>
      <c r="H503" t="n">
        <v>0</v>
      </c>
      <c r="I503" t="n">
        <v>0</v>
      </c>
      <c r="J503" t="n">
        <v>0</v>
      </c>
      <c r="K503" t="n">
        <v>0</v>
      </c>
      <c r="L503" t="n">
        <v>0</v>
      </c>
      <c r="M503" t="n">
        <v>0</v>
      </c>
      <c r="N503" t="n">
        <v>0</v>
      </c>
      <c r="O503" t="n">
        <v>0</v>
      </c>
      <c r="P503" t="n">
        <v>0</v>
      </c>
      <c r="Q503" t="n">
        <v>0</v>
      </c>
      <c r="R503" s="2" t="inlineStr"/>
    </row>
    <row r="504" ht="15" customHeight="1">
      <c r="A504" t="inlineStr">
        <is>
          <t>A 28694-2021</t>
        </is>
      </c>
      <c r="B504" s="1" t="n">
        <v>44357</v>
      </c>
      <c r="C504" s="1" t="n">
        <v>45807</v>
      </c>
      <c r="D504" t="inlineStr">
        <is>
          <t>UPPSALA LÄN</t>
        </is>
      </c>
      <c r="E504" t="inlineStr">
        <is>
          <t>UPPSALA</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29145-2021</t>
        </is>
      </c>
      <c r="B505" s="1" t="n">
        <v>44358</v>
      </c>
      <c r="C505" s="1" t="n">
        <v>45807</v>
      </c>
      <c r="D505" t="inlineStr">
        <is>
          <t>UPPSALA LÄN</t>
        </is>
      </c>
      <c r="E505" t="inlineStr">
        <is>
          <t>UPPSALA</t>
        </is>
      </c>
      <c r="G505" t="n">
        <v>2.4</v>
      </c>
      <c r="H505" t="n">
        <v>0</v>
      </c>
      <c r="I505" t="n">
        <v>0</v>
      </c>
      <c r="J505" t="n">
        <v>0</v>
      </c>
      <c r="K505" t="n">
        <v>0</v>
      </c>
      <c r="L505" t="n">
        <v>0</v>
      </c>
      <c r="M505" t="n">
        <v>0</v>
      </c>
      <c r="N505" t="n">
        <v>0</v>
      </c>
      <c r="O505" t="n">
        <v>0</v>
      </c>
      <c r="P505" t="n">
        <v>0</v>
      </c>
      <c r="Q505" t="n">
        <v>0</v>
      </c>
      <c r="R505" s="2" t="inlineStr"/>
    </row>
    <row r="506" ht="15" customHeight="1">
      <c r="A506" t="inlineStr">
        <is>
          <t>A 30655-2021</t>
        </is>
      </c>
      <c r="B506" s="1" t="n">
        <v>44365</v>
      </c>
      <c r="C506" s="1" t="n">
        <v>45807</v>
      </c>
      <c r="D506" t="inlineStr">
        <is>
          <t>UPPSALA LÄN</t>
        </is>
      </c>
      <c r="E506" t="inlineStr">
        <is>
          <t>UPPSALA</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30656-2021</t>
        </is>
      </c>
      <c r="B507" s="1" t="n">
        <v>44365</v>
      </c>
      <c r="C507" s="1" t="n">
        <v>45807</v>
      </c>
      <c r="D507" t="inlineStr">
        <is>
          <t>UPPSALA LÄN</t>
        </is>
      </c>
      <c r="E507" t="inlineStr">
        <is>
          <t>UPPSALA</t>
        </is>
      </c>
      <c r="G507" t="n">
        <v>6.7</v>
      </c>
      <c r="H507" t="n">
        <v>0</v>
      </c>
      <c r="I507" t="n">
        <v>0</v>
      </c>
      <c r="J507" t="n">
        <v>0</v>
      </c>
      <c r="K507" t="n">
        <v>0</v>
      </c>
      <c r="L507" t="n">
        <v>0</v>
      </c>
      <c r="M507" t="n">
        <v>0</v>
      </c>
      <c r="N507" t="n">
        <v>0</v>
      </c>
      <c r="O507" t="n">
        <v>0</v>
      </c>
      <c r="P507" t="n">
        <v>0</v>
      </c>
      <c r="Q507" t="n">
        <v>0</v>
      </c>
      <c r="R507" s="2" t="inlineStr"/>
    </row>
    <row r="508" ht="15" customHeight="1">
      <c r="A508" t="inlineStr">
        <is>
          <t>A 31646-2021</t>
        </is>
      </c>
      <c r="B508" s="1" t="n">
        <v>44369</v>
      </c>
      <c r="C508" s="1" t="n">
        <v>45807</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31662-2021</t>
        </is>
      </c>
      <c r="B509" s="1" t="n">
        <v>44369</v>
      </c>
      <c r="C509" s="1" t="n">
        <v>45807</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31829-2021</t>
        </is>
      </c>
      <c r="B510" s="1" t="n">
        <v>44370</v>
      </c>
      <c r="C510" s="1" t="n">
        <v>45807</v>
      </c>
      <c r="D510" t="inlineStr">
        <is>
          <t>UPPSALA LÄN</t>
        </is>
      </c>
      <c r="E510" t="inlineStr">
        <is>
          <t>UPPSALA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32276-2021</t>
        </is>
      </c>
      <c r="B511" s="1" t="n">
        <v>44371</v>
      </c>
      <c r="C511" s="1" t="n">
        <v>45807</v>
      </c>
      <c r="D511" t="inlineStr">
        <is>
          <t>UPPSALA LÄN</t>
        </is>
      </c>
      <c r="E511" t="inlineStr">
        <is>
          <t>UPPSALA</t>
        </is>
      </c>
      <c r="G511" t="n">
        <v>3.7</v>
      </c>
      <c r="H511" t="n">
        <v>0</v>
      </c>
      <c r="I511" t="n">
        <v>0</v>
      </c>
      <c r="J511" t="n">
        <v>0</v>
      </c>
      <c r="K511" t="n">
        <v>0</v>
      </c>
      <c r="L511" t="n">
        <v>0</v>
      </c>
      <c r="M511" t="n">
        <v>0</v>
      </c>
      <c r="N511" t="n">
        <v>0</v>
      </c>
      <c r="O511" t="n">
        <v>0</v>
      </c>
      <c r="P511" t="n">
        <v>0</v>
      </c>
      <c r="Q511" t="n">
        <v>0</v>
      </c>
      <c r="R511" s="2" t="inlineStr"/>
    </row>
    <row r="512" ht="15" customHeight="1">
      <c r="A512" t="inlineStr">
        <is>
          <t>A 32428-2021</t>
        </is>
      </c>
      <c r="B512" s="1" t="n">
        <v>44371</v>
      </c>
      <c r="C512" s="1" t="n">
        <v>45807</v>
      </c>
      <c r="D512" t="inlineStr">
        <is>
          <t>UPPSALA LÄN</t>
        </is>
      </c>
      <c r="E512" t="inlineStr">
        <is>
          <t>UPPSALA</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32955-2021</t>
        </is>
      </c>
      <c r="B513" s="1" t="n">
        <v>44376</v>
      </c>
      <c r="C513" s="1" t="n">
        <v>45807</v>
      </c>
      <c r="D513" t="inlineStr">
        <is>
          <t>UPPSALA LÄN</t>
        </is>
      </c>
      <c r="E513" t="inlineStr">
        <is>
          <t>UPPSALA</t>
        </is>
      </c>
      <c r="F513" t="inlineStr">
        <is>
          <t>Bergvik skog öst AB</t>
        </is>
      </c>
      <c r="G513" t="n">
        <v>10</v>
      </c>
      <c r="H513" t="n">
        <v>0</v>
      </c>
      <c r="I513" t="n">
        <v>0</v>
      </c>
      <c r="J513" t="n">
        <v>0</v>
      </c>
      <c r="K513" t="n">
        <v>0</v>
      </c>
      <c r="L513" t="n">
        <v>0</v>
      </c>
      <c r="M513" t="n">
        <v>0</v>
      </c>
      <c r="N513" t="n">
        <v>0</v>
      </c>
      <c r="O513" t="n">
        <v>0</v>
      </c>
      <c r="P513" t="n">
        <v>0</v>
      </c>
      <c r="Q513" t="n">
        <v>0</v>
      </c>
      <c r="R513" s="2" t="inlineStr"/>
    </row>
    <row r="514" ht="15" customHeight="1">
      <c r="A514" t="inlineStr">
        <is>
          <t>A 33797-2021</t>
        </is>
      </c>
      <c r="B514" s="1" t="n">
        <v>44378</v>
      </c>
      <c r="C514" s="1" t="n">
        <v>45807</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33920-2021</t>
        </is>
      </c>
      <c r="B515" s="1" t="n">
        <v>44378</v>
      </c>
      <c r="C515" s="1" t="n">
        <v>45807</v>
      </c>
      <c r="D515" t="inlineStr">
        <is>
          <t>UPPSALA LÄN</t>
        </is>
      </c>
      <c r="E515" t="inlineStr">
        <is>
          <t>UPPSALA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34039-2021</t>
        </is>
      </c>
      <c r="B516" s="1" t="n">
        <v>44379</v>
      </c>
      <c r="C516" s="1" t="n">
        <v>45807</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34043-2021</t>
        </is>
      </c>
      <c r="B517" s="1" t="n">
        <v>44379</v>
      </c>
      <c r="C517" s="1" t="n">
        <v>45807</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34265-2021</t>
        </is>
      </c>
      <c r="B518" s="1" t="n">
        <v>44379</v>
      </c>
      <c r="C518" s="1" t="n">
        <v>45807</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34249-2021</t>
        </is>
      </c>
      <c r="B519" s="1" t="n">
        <v>44379</v>
      </c>
      <c r="C519" s="1" t="n">
        <v>45807</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34243-2021</t>
        </is>
      </c>
      <c r="B520" s="1" t="n">
        <v>44379</v>
      </c>
      <c r="C520" s="1" t="n">
        <v>45807</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34263-2021</t>
        </is>
      </c>
      <c r="B521" s="1" t="n">
        <v>44379</v>
      </c>
      <c r="C521" s="1" t="n">
        <v>45807</v>
      </c>
      <c r="D521" t="inlineStr">
        <is>
          <t>UPPSALA LÄN</t>
        </is>
      </c>
      <c r="E521" t="inlineStr">
        <is>
          <t>UPPSALA</t>
        </is>
      </c>
      <c r="G521" t="n">
        <v>5.8</v>
      </c>
      <c r="H521" t="n">
        <v>0</v>
      </c>
      <c r="I521" t="n">
        <v>0</v>
      </c>
      <c r="J521" t="n">
        <v>0</v>
      </c>
      <c r="K521" t="n">
        <v>0</v>
      </c>
      <c r="L521" t="n">
        <v>0</v>
      </c>
      <c r="M521" t="n">
        <v>0</v>
      </c>
      <c r="N521" t="n">
        <v>0</v>
      </c>
      <c r="O521" t="n">
        <v>0</v>
      </c>
      <c r="P521" t="n">
        <v>0</v>
      </c>
      <c r="Q521" t="n">
        <v>0</v>
      </c>
      <c r="R521" s="2" t="inlineStr"/>
    </row>
    <row r="522" ht="15" customHeight="1">
      <c r="A522" t="inlineStr">
        <is>
          <t>A 34838-2021</t>
        </is>
      </c>
      <c r="B522" s="1" t="n">
        <v>44383</v>
      </c>
      <c r="C522" s="1" t="n">
        <v>45807</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34825-2021</t>
        </is>
      </c>
      <c r="B523" s="1" t="n">
        <v>44383</v>
      </c>
      <c r="C523" s="1" t="n">
        <v>45807</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35630-2021</t>
        </is>
      </c>
      <c r="B524" s="1" t="n">
        <v>44386</v>
      </c>
      <c r="C524" s="1" t="n">
        <v>45807</v>
      </c>
      <c r="D524" t="inlineStr">
        <is>
          <t>UPPSALA LÄN</t>
        </is>
      </c>
      <c r="E524" t="inlineStr">
        <is>
          <t>UPPSALA</t>
        </is>
      </c>
      <c r="G524" t="n">
        <v>6</v>
      </c>
      <c r="H524" t="n">
        <v>0</v>
      </c>
      <c r="I524" t="n">
        <v>0</v>
      </c>
      <c r="J524" t="n">
        <v>0</v>
      </c>
      <c r="K524" t="n">
        <v>0</v>
      </c>
      <c r="L524" t="n">
        <v>0</v>
      </c>
      <c r="M524" t="n">
        <v>0</v>
      </c>
      <c r="N524" t="n">
        <v>0</v>
      </c>
      <c r="O524" t="n">
        <v>0</v>
      </c>
      <c r="P524" t="n">
        <v>0</v>
      </c>
      <c r="Q524" t="n">
        <v>0</v>
      </c>
      <c r="R524" s="2" t="inlineStr"/>
    </row>
    <row r="525" ht="15" customHeight="1">
      <c r="A525" t="inlineStr">
        <is>
          <t>A 36304-2021</t>
        </is>
      </c>
      <c r="B525" s="1" t="n">
        <v>44390</v>
      </c>
      <c r="C525" s="1" t="n">
        <v>45807</v>
      </c>
      <c r="D525" t="inlineStr">
        <is>
          <t>UPPSALA LÄN</t>
        </is>
      </c>
      <c r="E525" t="inlineStr">
        <is>
          <t>UPPSALA</t>
        </is>
      </c>
      <c r="G525" t="n">
        <v>7.4</v>
      </c>
      <c r="H525" t="n">
        <v>0</v>
      </c>
      <c r="I525" t="n">
        <v>0</v>
      </c>
      <c r="J525" t="n">
        <v>0</v>
      </c>
      <c r="K525" t="n">
        <v>0</v>
      </c>
      <c r="L525" t="n">
        <v>0</v>
      </c>
      <c r="M525" t="n">
        <v>0</v>
      </c>
      <c r="N525" t="n">
        <v>0</v>
      </c>
      <c r="O525" t="n">
        <v>0</v>
      </c>
      <c r="P525" t="n">
        <v>0</v>
      </c>
      <c r="Q525" t="n">
        <v>0</v>
      </c>
      <c r="R525" s="2" t="inlineStr"/>
    </row>
    <row r="526" ht="15" customHeight="1">
      <c r="A526" t="inlineStr">
        <is>
          <t>A 36721-2021</t>
        </is>
      </c>
      <c r="B526" s="1" t="n">
        <v>44392</v>
      </c>
      <c r="C526" s="1" t="n">
        <v>45807</v>
      </c>
      <c r="D526" t="inlineStr">
        <is>
          <t>UPPSALA LÄN</t>
        </is>
      </c>
      <c r="E526" t="inlineStr">
        <is>
          <t>UPPSALA</t>
        </is>
      </c>
      <c r="F526" t="inlineStr">
        <is>
          <t>Bergvik skog öst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36998-2021</t>
        </is>
      </c>
      <c r="B527" s="1" t="n">
        <v>44393</v>
      </c>
      <c r="C527" s="1" t="n">
        <v>45807</v>
      </c>
      <c r="D527" t="inlineStr">
        <is>
          <t>UPPSALA LÄN</t>
        </is>
      </c>
      <c r="E527" t="inlineStr">
        <is>
          <t>UPPSALA</t>
        </is>
      </c>
      <c r="F527" t="inlineStr">
        <is>
          <t>Bergvik skog öst AB</t>
        </is>
      </c>
      <c r="G527" t="n">
        <v>3.5</v>
      </c>
      <c r="H527" t="n">
        <v>0</v>
      </c>
      <c r="I527" t="n">
        <v>0</v>
      </c>
      <c r="J527" t="n">
        <v>0</v>
      </c>
      <c r="K527" t="n">
        <v>0</v>
      </c>
      <c r="L527" t="n">
        <v>0</v>
      </c>
      <c r="M527" t="n">
        <v>0</v>
      </c>
      <c r="N527" t="n">
        <v>0</v>
      </c>
      <c r="O527" t="n">
        <v>0</v>
      </c>
      <c r="P527" t="n">
        <v>0</v>
      </c>
      <c r="Q527" t="n">
        <v>0</v>
      </c>
      <c r="R527" s="2" t="inlineStr"/>
    </row>
    <row r="528" ht="15" customHeight="1">
      <c r="A528" t="inlineStr">
        <is>
          <t>A 37162-2021</t>
        </is>
      </c>
      <c r="B528" s="1" t="n">
        <v>44395</v>
      </c>
      <c r="C528" s="1" t="n">
        <v>45807</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37763-2021</t>
        </is>
      </c>
      <c r="B529" s="1" t="n">
        <v>44400</v>
      </c>
      <c r="C529" s="1" t="n">
        <v>45807</v>
      </c>
      <c r="D529" t="inlineStr">
        <is>
          <t>UPPSALA LÄN</t>
        </is>
      </c>
      <c r="E529" t="inlineStr">
        <is>
          <t>UPPSALA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37819-2021</t>
        </is>
      </c>
      <c r="B530" s="1" t="n">
        <v>44403</v>
      </c>
      <c r="C530" s="1" t="n">
        <v>45807</v>
      </c>
      <c r="D530" t="inlineStr">
        <is>
          <t>UPPSALA LÄN</t>
        </is>
      </c>
      <c r="E530" t="inlineStr">
        <is>
          <t>UPPSALA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37820-2021</t>
        </is>
      </c>
      <c r="B531" s="1" t="n">
        <v>44403</v>
      </c>
      <c r="C531" s="1" t="n">
        <v>45807</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38469-2021</t>
        </is>
      </c>
      <c r="B532" s="1" t="n">
        <v>44407</v>
      </c>
      <c r="C532" s="1" t="n">
        <v>45807</v>
      </c>
      <c r="D532" t="inlineStr">
        <is>
          <t>UPPSALA LÄN</t>
        </is>
      </c>
      <c r="E532" t="inlineStr">
        <is>
          <t>UPPSALA</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38463-2021</t>
        </is>
      </c>
      <c r="B533" s="1" t="n">
        <v>44407</v>
      </c>
      <c r="C533" s="1" t="n">
        <v>45807</v>
      </c>
      <c r="D533" t="inlineStr">
        <is>
          <t>UPPSALA LÄN</t>
        </is>
      </c>
      <c r="E533" t="inlineStr">
        <is>
          <t>UPPSALA</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40500-2021</t>
        </is>
      </c>
      <c r="B534" s="1" t="n">
        <v>44420</v>
      </c>
      <c r="C534" s="1" t="n">
        <v>45807</v>
      </c>
      <c r="D534" t="inlineStr">
        <is>
          <t>UPPSALA LÄN</t>
        </is>
      </c>
      <c r="E534" t="inlineStr">
        <is>
          <t>UPPSALA</t>
        </is>
      </c>
      <c r="G534" t="n">
        <v>3.5</v>
      </c>
      <c r="H534" t="n">
        <v>0</v>
      </c>
      <c r="I534" t="n">
        <v>0</v>
      </c>
      <c r="J534" t="n">
        <v>0</v>
      </c>
      <c r="K534" t="n">
        <v>0</v>
      </c>
      <c r="L534" t="n">
        <v>0</v>
      </c>
      <c r="M534" t="n">
        <v>0</v>
      </c>
      <c r="N534" t="n">
        <v>0</v>
      </c>
      <c r="O534" t="n">
        <v>0</v>
      </c>
      <c r="P534" t="n">
        <v>0</v>
      </c>
      <c r="Q534" t="n">
        <v>0</v>
      </c>
      <c r="R534" s="2" t="inlineStr"/>
    </row>
    <row r="535" ht="15" customHeight="1">
      <c r="A535" t="inlineStr">
        <is>
          <t>A 40507-2021</t>
        </is>
      </c>
      <c r="B535" s="1" t="n">
        <v>44420</v>
      </c>
      <c r="C535" s="1" t="n">
        <v>45807</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42124-2021</t>
        </is>
      </c>
      <c r="B536" s="1" t="n">
        <v>44426</v>
      </c>
      <c r="C536" s="1" t="n">
        <v>45807</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42294-2021</t>
        </is>
      </c>
      <c r="B537" s="1" t="n">
        <v>44427</v>
      </c>
      <c r="C537" s="1" t="n">
        <v>45807</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44315-2021</t>
        </is>
      </c>
      <c r="B538" s="1" t="n">
        <v>44435</v>
      </c>
      <c r="C538" s="1" t="n">
        <v>45807</v>
      </c>
      <c r="D538" t="inlineStr">
        <is>
          <t>UPPSALA LÄN</t>
        </is>
      </c>
      <c r="E538" t="inlineStr">
        <is>
          <t>UPPSALA</t>
        </is>
      </c>
      <c r="G538" t="n">
        <v>5.2</v>
      </c>
      <c r="H538" t="n">
        <v>0</v>
      </c>
      <c r="I538" t="n">
        <v>0</v>
      </c>
      <c r="J538" t="n">
        <v>0</v>
      </c>
      <c r="K538" t="n">
        <v>0</v>
      </c>
      <c r="L538" t="n">
        <v>0</v>
      </c>
      <c r="M538" t="n">
        <v>0</v>
      </c>
      <c r="N538" t="n">
        <v>0</v>
      </c>
      <c r="O538" t="n">
        <v>0</v>
      </c>
      <c r="P538" t="n">
        <v>0</v>
      </c>
      <c r="Q538" t="n">
        <v>0</v>
      </c>
      <c r="R538" s="2" t="inlineStr"/>
    </row>
    <row r="539" ht="15" customHeight="1">
      <c r="A539" t="inlineStr">
        <is>
          <t>A 44781-2021</t>
        </is>
      </c>
      <c r="B539" s="1" t="n">
        <v>44438</v>
      </c>
      <c r="C539" s="1" t="n">
        <v>45807</v>
      </c>
      <c r="D539" t="inlineStr">
        <is>
          <t>UPPSALA LÄN</t>
        </is>
      </c>
      <c r="E539" t="inlineStr">
        <is>
          <t>UPPSALA</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46097-2021</t>
        </is>
      </c>
      <c r="B540" s="1" t="n">
        <v>44442</v>
      </c>
      <c r="C540" s="1" t="n">
        <v>45807</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46099-2021</t>
        </is>
      </c>
      <c r="B541" s="1" t="n">
        <v>44442</v>
      </c>
      <c r="C541" s="1" t="n">
        <v>45807</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46553-2021</t>
        </is>
      </c>
      <c r="B542" s="1" t="n">
        <v>44445</v>
      </c>
      <c r="C542" s="1" t="n">
        <v>45807</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46920-2021</t>
        </is>
      </c>
      <c r="B543" s="1" t="n">
        <v>44446</v>
      </c>
      <c r="C543" s="1" t="n">
        <v>45807</v>
      </c>
      <c r="D543" t="inlineStr">
        <is>
          <t>UPPSALA LÄN</t>
        </is>
      </c>
      <c r="E543" t="inlineStr">
        <is>
          <t>UPPSALA</t>
        </is>
      </c>
      <c r="G543" t="n">
        <v>1.6</v>
      </c>
      <c r="H543" t="n">
        <v>0</v>
      </c>
      <c r="I543" t="n">
        <v>0</v>
      </c>
      <c r="J543" t="n">
        <v>0</v>
      </c>
      <c r="K543" t="n">
        <v>0</v>
      </c>
      <c r="L543" t="n">
        <v>0</v>
      </c>
      <c r="M543" t="n">
        <v>0</v>
      </c>
      <c r="N543" t="n">
        <v>0</v>
      </c>
      <c r="O543" t="n">
        <v>0</v>
      </c>
      <c r="P543" t="n">
        <v>0</v>
      </c>
      <c r="Q543" t="n">
        <v>0</v>
      </c>
      <c r="R543" s="2" t="inlineStr"/>
    </row>
    <row r="544" ht="15" customHeight="1">
      <c r="A544" t="inlineStr">
        <is>
          <t>A 46916-2021</t>
        </is>
      </c>
      <c r="B544" s="1" t="n">
        <v>44446</v>
      </c>
      <c r="C544" s="1" t="n">
        <v>45807</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47367-2021</t>
        </is>
      </c>
      <c r="B545" s="1" t="n">
        <v>44447</v>
      </c>
      <c r="C545" s="1" t="n">
        <v>45807</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48918-2021</t>
        </is>
      </c>
      <c r="B546" s="1" t="n">
        <v>44453</v>
      </c>
      <c r="C546" s="1" t="n">
        <v>45807</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49274-2021</t>
        </is>
      </c>
      <c r="B547" s="1" t="n">
        <v>44454</v>
      </c>
      <c r="C547" s="1" t="n">
        <v>45807</v>
      </c>
      <c r="D547" t="inlineStr">
        <is>
          <t>UPPSALA LÄN</t>
        </is>
      </c>
      <c r="E547" t="inlineStr">
        <is>
          <t>UPPSALA</t>
        </is>
      </c>
      <c r="G547" t="n">
        <v>8.5</v>
      </c>
      <c r="H547" t="n">
        <v>0</v>
      </c>
      <c r="I547" t="n">
        <v>0</v>
      </c>
      <c r="J547" t="n">
        <v>0</v>
      </c>
      <c r="K547" t="n">
        <v>0</v>
      </c>
      <c r="L547" t="n">
        <v>0</v>
      </c>
      <c r="M547" t="n">
        <v>0</v>
      </c>
      <c r="N547" t="n">
        <v>0</v>
      </c>
      <c r="O547" t="n">
        <v>0</v>
      </c>
      <c r="P547" t="n">
        <v>0</v>
      </c>
      <c r="Q547" t="n">
        <v>0</v>
      </c>
      <c r="R547" s="2" t="inlineStr"/>
    </row>
    <row r="548" ht="15" customHeight="1">
      <c r="A548" t="inlineStr">
        <is>
          <t>A 51050-2021</t>
        </is>
      </c>
      <c r="B548" s="1" t="n">
        <v>44459</v>
      </c>
      <c r="C548" s="1" t="n">
        <v>45807</v>
      </c>
      <c r="D548" t="inlineStr">
        <is>
          <t>UPPSALA LÄN</t>
        </is>
      </c>
      <c r="E548" t="inlineStr">
        <is>
          <t>UPPSALA</t>
        </is>
      </c>
      <c r="F548" t="inlineStr">
        <is>
          <t>Övriga Aktiebolag</t>
        </is>
      </c>
      <c r="G548" t="n">
        <v>7.5</v>
      </c>
      <c r="H548" t="n">
        <v>0</v>
      </c>
      <c r="I548" t="n">
        <v>0</v>
      </c>
      <c r="J548" t="n">
        <v>0</v>
      </c>
      <c r="K548" t="n">
        <v>0</v>
      </c>
      <c r="L548" t="n">
        <v>0</v>
      </c>
      <c r="M548" t="n">
        <v>0</v>
      </c>
      <c r="N548" t="n">
        <v>0</v>
      </c>
      <c r="O548" t="n">
        <v>0</v>
      </c>
      <c r="P548" t="n">
        <v>0</v>
      </c>
      <c r="Q548" t="n">
        <v>0</v>
      </c>
      <c r="R548" s="2" t="inlineStr"/>
    </row>
    <row r="549" ht="15" customHeight="1">
      <c r="A549" t="inlineStr">
        <is>
          <t>A 51821-2021</t>
        </is>
      </c>
      <c r="B549" s="1" t="n">
        <v>44461</v>
      </c>
      <c r="C549" s="1" t="n">
        <v>45807</v>
      </c>
      <c r="D549" t="inlineStr">
        <is>
          <t>UPPSALA LÄN</t>
        </is>
      </c>
      <c r="E549" t="inlineStr">
        <is>
          <t>UPPSALA</t>
        </is>
      </c>
      <c r="F549" t="inlineStr">
        <is>
          <t>Övriga Aktiebolag</t>
        </is>
      </c>
      <c r="G549" t="n">
        <v>5.3</v>
      </c>
      <c r="H549" t="n">
        <v>0</v>
      </c>
      <c r="I549" t="n">
        <v>0</v>
      </c>
      <c r="J549" t="n">
        <v>0</v>
      </c>
      <c r="K549" t="n">
        <v>0</v>
      </c>
      <c r="L549" t="n">
        <v>0</v>
      </c>
      <c r="M549" t="n">
        <v>0</v>
      </c>
      <c r="N549" t="n">
        <v>0</v>
      </c>
      <c r="O549" t="n">
        <v>0</v>
      </c>
      <c r="P549" t="n">
        <v>0</v>
      </c>
      <c r="Q549" t="n">
        <v>0</v>
      </c>
      <c r="R549" s="2" t="inlineStr"/>
    </row>
    <row r="550" ht="15" customHeight="1">
      <c r="A550" t="inlineStr">
        <is>
          <t>A 51396-2021</t>
        </is>
      </c>
      <c r="B550" s="1" t="n">
        <v>44461</v>
      </c>
      <c r="C550" s="1" t="n">
        <v>45807</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52083-2021</t>
        </is>
      </c>
      <c r="B551" s="1" t="n">
        <v>44463</v>
      </c>
      <c r="C551" s="1" t="n">
        <v>45807</v>
      </c>
      <c r="D551" t="inlineStr">
        <is>
          <t>UPPSALA LÄN</t>
        </is>
      </c>
      <c r="E551" t="inlineStr">
        <is>
          <t>UPPSALA</t>
        </is>
      </c>
      <c r="G551" t="n">
        <v>3.6</v>
      </c>
      <c r="H551" t="n">
        <v>0</v>
      </c>
      <c r="I551" t="n">
        <v>0</v>
      </c>
      <c r="J551" t="n">
        <v>0</v>
      </c>
      <c r="K551" t="n">
        <v>0</v>
      </c>
      <c r="L551" t="n">
        <v>0</v>
      </c>
      <c r="M551" t="n">
        <v>0</v>
      </c>
      <c r="N551" t="n">
        <v>0</v>
      </c>
      <c r="O551" t="n">
        <v>0</v>
      </c>
      <c r="P551" t="n">
        <v>0</v>
      </c>
      <c r="Q551" t="n">
        <v>0</v>
      </c>
      <c r="R551" s="2" t="inlineStr"/>
    </row>
    <row r="552" ht="15" customHeight="1">
      <c r="A552" t="inlineStr">
        <is>
          <t>A 54168-2021</t>
        </is>
      </c>
      <c r="B552" s="1" t="n">
        <v>44470</v>
      </c>
      <c r="C552" s="1" t="n">
        <v>45807</v>
      </c>
      <c r="D552" t="inlineStr">
        <is>
          <t>UPPSALA LÄN</t>
        </is>
      </c>
      <c r="E552" t="inlineStr">
        <is>
          <t>UPPSALA</t>
        </is>
      </c>
      <c r="G552" t="n">
        <v>7.5</v>
      </c>
      <c r="H552" t="n">
        <v>0</v>
      </c>
      <c r="I552" t="n">
        <v>0</v>
      </c>
      <c r="J552" t="n">
        <v>0</v>
      </c>
      <c r="K552" t="n">
        <v>0</v>
      </c>
      <c r="L552" t="n">
        <v>0</v>
      </c>
      <c r="M552" t="n">
        <v>0</v>
      </c>
      <c r="N552" t="n">
        <v>0</v>
      </c>
      <c r="O552" t="n">
        <v>0</v>
      </c>
      <c r="P552" t="n">
        <v>0</v>
      </c>
      <c r="Q552" t="n">
        <v>0</v>
      </c>
      <c r="R552" s="2" t="inlineStr"/>
    </row>
    <row r="553" ht="15" customHeight="1">
      <c r="A553" t="inlineStr">
        <is>
          <t>A 55823-2021</t>
        </is>
      </c>
      <c r="B553" s="1" t="n">
        <v>44476</v>
      </c>
      <c r="C553" s="1" t="n">
        <v>45807</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56042-2021</t>
        </is>
      </c>
      <c r="B554" s="1" t="n">
        <v>44477</v>
      </c>
      <c r="C554" s="1" t="n">
        <v>45807</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56049-2021</t>
        </is>
      </c>
      <c r="B555" s="1" t="n">
        <v>44477</v>
      </c>
      <c r="C555" s="1" t="n">
        <v>45807</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56463-2021</t>
        </is>
      </c>
      <c r="B556" s="1" t="n">
        <v>44479</v>
      </c>
      <c r="C556" s="1" t="n">
        <v>45807</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56769-2021</t>
        </is>
      </c>
      <c r="B557" s="1" t="n">
        <v>44481</v>
      </c>
      <c r="C557" s="1" t="n">
        <v>45807</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57647-2021</t>
        </is>
      </c>
      <c r="B558" s="1" t="n">
        <v>44484</v>
      </c>
      <c r="C558" s="1" t="n">
        <v>45807</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45807</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58767-2021</t>
        </is>
      </c>
      <c r="B560" s="1" t="n">
        <v>44489</v>
      </c>
      <c r="C560" s="1" t="n">
        <v>45807</v>
      </c>
      <c r="D560" t="inlineStr">
        <is>
          <t>UPPSALA LÄN</t>
        </is>
      </c>
      <c r="E560" t="inlineStr">
        <is>
          <t>UPPSALA</t>
        </is>
      </c>
      <c r="G560" t="n">
        <v>4.8</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45807</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59241-2021</t>
        </is>
      </c>
      <c r="B562" s="1" t="n">
        <v>44490</v>
      </c>
      <c r="C562" s="1" t="n">
        <v>45807</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59484-2021</t>
        </is>
      </c>
      <c r="B563" s="1" t="n">
        <v>44491</v>
      </c>
      <c r="C563" s="1" t="n">
        <v>45807</v>
      </c>
      <c r="D563" t="inlineStr">
        <is>
          <t>UPPSALA LÄN</t>
        </is>
      </c>
      <c r="E563" t="inlineStr">
        <is>
          <t>UPPSALA</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59500-2021</t>
        </is>
      </c>
      <c r="B564" s="1" t="n">
        <v>44491</v>
      </c>
      <c r="C564" s="1" t="n">
        <v>45807</v>
      </c>
      <c r="D564" t="inlineStr">
        <is>
          <t>UPPSALA LÄN</t>
        </is>
      </c>
      <c r="E564" t="inlineStr">
        <is>
          <t>UPPSALA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59479-2021</t>
        </is>
      </c>
      <c r="B565" s="1" t="n">
        <v>44491</v>
      </c>
      <c r="C565" s="1" t="n">
        <v>45807</v>
      </c>
      <c r="D565" t="inlineStr">
        <is>
          <t>UPPSALA LÄN</t>
        </is>
      </c>
      <c r="E565" t="inlineStr">
        <is>
          <t>UPPSALA</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59881-2021</t>
        </is>
      </c>
      <c r="B566" s="1" t="n">
        <v>44494</v>
      </c>
      <c r="C566" s="1" t="n">
        <v>45807</v>
      </c>
      <c r="D566" t="inlineStr">
        <is>
          <t>UPPSALA LÄN</t>
        </is>
      </c>
      <c r="E566" t="inlineStr">
        <is>
          <t>UPPSALA</t>
        </is>
      </c>
      <c r="F566" t="inlineStr">
        <is>
          <t>Allmännings- och besparingsskogar</t>
        </is>
      </c>
      <c r="G566" t="n">
        <v>1.6</v>
      </c>
      <c r="H566" t="n">
        <v>0</v>
      </c>
      <c r="I566" t="n">
        <v>0</v>
      </c>
      <c r="J566" t="n">
        <v>0</v>
      </c>
      <c r="K566" t="n">
        <v>0</v>
      </c>
      <c r="L566" t="n">
        <v>0</v>
      </c>
      <c r="M566" t="n">
        <v>0</v>
      </c>
      <c r="N566" t="n">
        <v>0</v>
      </c>
      <c r="O566" t="n">
        <v>0</v>
      </c>
      <c r="P566" t="n">
        <v>0</v>
      </c>
      <c r="Q566" t="n">
        <v>0</v>
      </c>
      <c r="R566" s="2" t="inlineStr"/>
    </row>
    <row r="567" ht="15" customHeight="1">
      <c r="A567" t="inlineStr">
        <is>
          <t>A 60032-2021</t>
        </is>
      </c>
      <c r="B567" s="1" t="n">
        <v>44495</v>
      </c>
      <c r="C567" s="1" t="n">
        <v>45807</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61008-2021</t>
        </is>
      </c>
      <c r="B568" s="1" t="n">
        <v>44497</v>
      </c>
      <c r="C568" s="1" t="n">
        <v>45807</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60917-2021</t>
        </is>
      </c>
      <c r="B569" s="1" t="n">
        <v>44497</v>
      </c>
      <c r="C569" s="1" t="n">
        <v>45807</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60925-2021</t>
        </is>
      </c>
      <c r="B570" s="1" t="n">
        <v>44497</v>
      </c>
      <c r="C570" s="1" t="n">
        <v>45807</v>
      </c>
      <c r="D570" t="inlineStr">
        <is>
          <t>UPPSALA LÄN</t>
        </is>
      </c>
      <c r="E570" t="inlineStr">
        <is>
          <t>UPPSALA</t>
        </is>
      </c>
      <c r="G570" t="n">
        <v>3.7</v>
      </c>
      <c r="H570" t="n">
        <v>0</v>
      </c>
      <c r="I570" t="n">
        <v>0</v>
      </c>
      <c r="J570" t="n">
        <v>0</v>
      </c>
      <c r="K570" t="n">
        <v>0</v>
      </c>
      <c r="L570" t="n">
        <v>0</v>
      </c>
      <c r="M570" t="n">
        <v>0</v>
      </c>
      <c r="N570" t="n">
        <v>0</v>
      </c>
      <c r="O570" t="n">
        <v>0</v>
      </c>
      <c r="P570" t="n">
        <v>0</v>
      </c>
      <c r="Q570" t="n">
        <v>0</v>
      </c>
      <c r="R570" s="2" t="inlineStr"/>
    </row>
    <row r="571" ht="15" customHeight="1">
      <c r="A571" t="inlineStr">
        <is>
          <t>A 61805-2021</t>
        </is>
      </c>
      <c r="B571" s="1" t="n">
        <v>44501</v>
      </c>
      <c r="C571" s="1" t="n">
        <v>45807</v>
      </c>
      <c r="D571" t="inlineStr">
        <is>
          <t>UPPSALA LÄN</t>
        </is>
      </c>
      <c r="E571" t="inlineStr">
        <is>
          <t>UPPSALA</t>
        </is>
      </c>
      <c r="F571" t="inlineStr">
        <is>
          <t>Bergvik skog öst AB</t>
        </is>
      </c>
      <c r="G571" t="n">
        <v>3.8</v>
      </c>
      <c r="H571" t="n">
        <v>0</v>
      </c>
      <c r="I571" t="n">
        <v>0</v>
      </c>
      <c r="J571" t="n">
        <v>0</v>
      </c>
      <c r="K571" t="n">
        <v>0</v>
      </c>
      <c r="L571" t="n">
        <v>0</v>
      </c>
      <c r="M571" t="n">
        <v>0</v>
      </c>
      <c r="N571" t="n">
        <v>0</v>
      </c>
      <c r="O571" t="n">
        <v>0</v>
      </c>
      <c r="P571" t="n">
        <v>0</v>
      </c>
      <c r="Q571" t="n">
        <v>0</v>
      </c>
      <c r="R571" s="2" t="inlineStr"/>
    </row>
    <row r="572" ht="15" customHeight="1">
      <c r="A572" t="inlineStr">
        <is>
          <t>A 62471-2021</t>
        </is>
      </c>
      <c r="B572" s="1" t="n">
        <v>44503</v>
      </c>
      <c r="C572" s="1" t="n">
        <v>45807</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62865-2021</t>
        </is>
      </c>
      <c r="B573" s="1" t="n">
        <v>44504</v>
      </c>
      <c r="C573" s="1" t="n">
        <v>45807</v>
      </c>
      <c r="D573" t="inlineStr">
        <is>
          <t>UPPSALA LÄN</t>
        </is>
      </c>
      <c r="E573" t="inlineStr">
        <is>
          <t>UPPSALA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63011-2021</t>
        </is>
      </c>
      <c r="B574" s="1" t="n">
        <v>44504</v>
      </c>
      <c r="C574" s="1" t="n">
        <v>45807</v>
      </c>
      <c r="D574" t="inlineStr">
        <is>
          <t>UPPSALA LÄN</t>
        </is>
      </c>
      <c r="E574" t="inlineStr">
        <is>
          <t>UPPSALA</t>
        </is>
      </c>
      <c r="G574" t="n">
        <v>11.2</v>
      </c>
      <c r="H574" t="n">
        <v>0</v>
      </c>
      <c r="I574" t="n">
        <v>0</v>
      </c>
      <c r="J574" t="n">
        <v>0</v>
      </c>
      <c r="K574" t="n">
        <v>0</v>
      </c>
      <c r="L574" t="n">
        <v>0</v>
      </c>
      <c r="M574" t="n">
        <v>0</v>
      </c>
      <c r="N574" t="n">
        <v>0</v>
      </c>
      <c r="O574" t="n">
        <v>0</v>
      </c>
      <c r="P574" t="n">
        <v>0</v>
      </c>
      <c r="Q574" t="n">
        <v>0</v>
      </c>
      <c r="R574" s="2" t="inlineStr"/>
    </row>
    <row r="575" ht="15" customHeight="1">
      <c r="A575" t="inlineStr">
        <is>
          <t>A 63307-2021</t>
        </is>
      </c>
      <c r="B575" s="1" t="n">
        <v>44508</v>
      </c>
      <c r="C575" s="1" t="n">
        <v>45807</v>
      </c>
      <c r="D575" t="inlineStr">
        <is>
          <t>UPPSALA LÄN</t>
        </is>
      </c>
      <c r="E575" t="inlineStr">
        <is>
          <t>UPPSALA</t>
        </is>
      </c>
      <c r="F575" t="inlineStr">
        <is>
          <t>Bergvik skog öst AB</t>
        </is>
      </c>
      <c r="G575" t="n">
        <v>2.8</v>
      </c>
      <c r="H575" t="n">
        <v>0</v>
      </c>
      <c r="I575" t="n">
        <v>0</v>
      </c>
      <c r="J575" t="n">
        <v>0</v>
      </c>
      <c r="K575" t="n">
        <v>0</v>
      </c>
      <c r="L575" t="n">
        <v>0</v>
      </c>
      <c r="M575" t="n">
        <v>0</v>
      </c>
      <c r="N575" t="n">
        <v>0</v>
      </c>
      <c r="O575" t="n">
        <v>0</v>
      </c>
      <c r="P575" t="n">
        <v>0</v>
      </c>
      <c r="Q575" t="n">
        <v>0</v>
      </c>
      <c r="R575" s="2" t="inlineStr"/>
    </row>
    <row r="576" ht="15" customHeight="1">
      <c r="A576" t="inlineStr">
        <is>
          <t>A 64016-2021</t>
        </is>
      </c>
      <c r="B576" s="1" t="n">
        <v>44510</v>
      </c>
      <c r="C576" s="1" t="n">
        <v>45807</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64857-2021</t>
        </is>
      </c>
      <c r="B577" s="1" t="n">
        <v>44512</v>
      </c>
      <c r="C577" s="1" t="n">
        <v>45807</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64856-2021</t>
        </is>
      </c>
      <c r="B578" s="1" t="n">
        <v>44512</v>
      </c>
      <c r="C578" s="1" t="n">
        <v>45807</v>
      </c>
      <c r="D578" t="inlineStr">
        <is>
          <t>UPPSALA LÄN</t>
        </is>
      </c>
      <c r="E578" t="inlineStr">
        <is>
          <t>UPPSALA</t>
        </is>
      </c>
      <c r="G578" t="n">
        <v>4.1</v>
      </c>
      <c r="H578" t="n">
        <v>0</v>
      </c>
      <c r="I578" t="n">
        <v>0</v>
      </c>
      <c r="J578" t="n">
        <v>0</v>
      </c>
      <c r="K578" t="n">
        <v>0</v>
      </c>
      <c r="L578" t="n">
        <v>0</v>
      </c>
      <c r="M578" t="n">
        <v>0</v>
      </c>
      <c r="N578" t="n">
        <v>0</v>
      </c>
      <c r="O578" t="n">
        <v>0</v>
      </c>
      <c r="P578" t="n">
        <v>0</v>
      </c>
      <c r="Q578" t="n">
        <v>0</v>
      </c>
      <c r="R578" s="2" t="inlineStr"/>
    </row>
    <row r="579" ht="15" customHeight="1">
      <c r="A579" t="inlineStr">
        <is>
          <t>A 64858-2021</t>
        </is>
      </c>
      <c r="B579" s="1" t="n">
        <v>44512</v>
      </c>
      <c r="C579" s="1" t="n">
        <v>45807</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64855-2021</t>
        </is>
      </c>
      <c r="B580" s="1" t="n">
        <v>44512</v>
      </c>
      <c r="C580" s="1" t="n">
        <v>45807</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65132-2021</t>
        </is>
      </c>
      <c r="B581" s="1" t="n">
        <v>44515</v>
      </c>
      <c r="C581" s="1" t="n">
        <v>45807</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65659-2021</t>
        </is>
      </c>
      <c r="B582" s="1" t="n">
        <v>44516</v>
      </c>
      <c r="C582" s="1" t="n">
        <v>45807</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65695-2021</t>
        </is>
      </c>
      <c r="B583" s="1" t="n">
        <v>44516</v>
      </c>
      <c r="C583" s="1" t="n">
        <v>45807</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65809-2021</t>
        </is>
      </c>
      <c r="B584" s="1" t="n">
        <v>44517</v>
      </c>
      <c r="C584" s="1" t="n">
        <v>45807</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65811-2021</t>
        </is>
      </c>
      <c r="B585" s="1" t="n">
        <v>44517</v>
      </c>
      <c r="C585" s="1" t="n">
        <v>45807</v>
      </c>
      <c r="D585" t="inlineStr">
        <is>
          <t>UPPSALA LÄN</t>
        </is>
      </c>
      <c r="E585" t="inlineStr">
        <is>
          <t>UPPSALA</t>
        </is>
      </c>
      <c r="G585" t="n">
        <v>0.3</v>
      </c>
      <c r="H585" t="n">
        <v>0</v>
      </c>
      <c r="I585" t="n">
        <v>0</v>
      </c>
      <c r="J585" t="n">
        <v>0</v>
      </c>
      <c r="K585" t="n">
        <v>0</v>
      </c>
      <c r="L585" t="n">
        <v>0</v>
      </c>
      <c r="M585" t="n">
        <v>0</v>
      </c>
      <c r="N585" t="n">
        <v>0</v>
      </c>
      <c r="O585" t="n">
        <v>0</v>
      </c>
      <c r="P585" t="n">
        <v>0</v>
      </c>
      <c r="Q585" t="n">
        <v>0</v>
      </c>
      <c r="R585" s="2" t="inlineStr"/>
    </row>
    <row r="586" ht="15" customHeight="1">
      <c r="A586" t="inlineStr">
        <is>
          <t>A 65964-2021</t>
        </is>
      </c>
      <c r="B586" s="1" t="n">
        <v>44517</v>
      </c>
      <c r="C586" s="1" t="n">
        <v>45807</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66239-2021</t>
        </is>
      </c>
      <c r="B587" s="1" t="n">
        <v>44518</v>
      </c>
      <c r="C587" s="1" t="n">
        <v>45807</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66690-2021</t>
        </is>
      </c>
      <c r="B588" s="1" t="n">
        <v>44519</v>
      </c>
      <c r="C588" s="1" t="n">
        <v>45807</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66686-2021</t>
        </is>
      </c>
      <c r="B589" s="1" t="n">
        <v>44519</v>
      </c>
      <c r="C589" s="1" t="n">
        <v>45807</v>
      </c>
      <c r="D589" t="inlineStr">
        <is>
          <t>UPPSALA LÄN</t>
        </is>
      </c>
      <c r="E589" t="inlineStr">
        <is>
          <t>UPPSALA</t>
        </is>
      </c>
      <c r="G589" t="n">
        <v>6.4</v>
      </c>
      <c r="H589" t="n">
        <v>0</v>
      </c>
      <c r="I589" t="n">
        <v>0</v>
      </c>
      <c r="J589" t="n">
        <v>0</v>
      </c>
      <c r="K589" t="n">
        <v>0</v>
      </c>
      <c r="L589" t="n">
        <v>0</v>
      </c>
      <c r="M589" t="n">
        <v>0</v>
      </c>
      <c r="N589" t="n">
        <v>0</v>
      </c>
      <c r="O589" t="n">
        <v>0</v>
      </c>
      <c r="P589" t="n">
        <v>0</v>
      </c>
      <c r="Q589" t="n">
        <v>0</v>
      </c>
      <c r="R589" s="2" t="inlineStr"/>
    </row>
    <row r="590" ht="15" customHeight="1">
      <c r="A590" t="inlineStr">
        <is>
          <t>A 66794-2021</t>
        </is>
      </c>
      <c r="B590" s="1" t="n">
        <v>44522</v>
      </c>
      <c r="C590" s="1" t="n">
        <v>45807</v>
      </c>
      <c r="D590" t="inlineStr">
        <is>
          <t>UPPSALA LÄN</t>
        </is>
      </c>
      <c r="E590" t="inlineStr">
        <is>
          <t>UPPSALA</t>
        </is>
      </c>
      <c r="G590" t="n">
        <v>4.9</v>
      </c>
      <c r="H590" t="n">
        <v>0</v>
      </c>
      <c r="I590" t="n">
        <v>0</v>
      </c>
      <c r="J590" t="n">
        <v>0</v>
      </c>
      <c r="K590" t="n">
        <v>0</v>
      </c>
      <c r="L590" t="n">
        <v>0</v>
      </c>
      <c r="M590" t="n">
        <v>0</v>
      </c>
      <c r="N590" t="n">
        <v>0</v>
      </c>
      <c r="O590" t="n">
        <v>0</v>
      </c>
      <c r="P590" t="n">
        <v>0</v>
      </c>
      <c r="Q590" t="n">
        <v>0</v>
      </c>
      <c r="R590" s="2" t="inlineStr"/>
    </row>
    <row r="591" ht="15" customHeight="1">
      <c r="A591" t="inlineStr">
        <is>
          <t>A 66927-2021</t>
        </is>
      </c>
      <c r="B591" s="1" t="n">
        <v>44522</v>
      </c>
      <c r="C591" s="1" t="n">
        <v>45807</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66983-2021</t>
        </is>
      </c>
      <c r="B592" s="1" t="n">
        <v>44522</v>
      </c>
      <c r="C592" s="1" t="n">
        <v>45807</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67991-2021</t>
        </is>
      </c>
      <c r="B593" s="1" t="n">
        <v>44525</v>
      </c>
      <c r="C593" s="1" t="n">
        <v>45807</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68696-2021</t>
        </is>
      </c>
      <c r="B594" s="1" t="n">
        <v>44526</v>
      </c>
      <c r="C594" s="1" t="n">
        <v>45807</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68139-2021</t>
        </is>
      </c>
      <c r="B595" s="1" t="n">
        <v>44526</v>
      </c>
      <c r="C595" s="1" t="n">
        <v>45807</v>
      </c>
      <c r="D595" t="inlineStr">
        <is>
          <t>UPPSALA LÄN</t>
        </is>
      </c>
      <c r="E595" t="inlineStr">
        <is>
          <t>UPPSALA</t>
        </is>
      </c>
      <c r="F595" t="inlineStr">
        <is>
          <t>Bergvik skog öst AB</t>
        </is>
      </c>
      <c r="G595" t="n">
        <v>3.4</v>
      </c>
      <c r="H595" t="n">
        <v>0</v>
      </c>
      <c r="I595" t="n">
        <v>0</v>
      </c>
      <c r="J595" t="n">
        <v>0</v>
      </c>
      <c r="K595" t="n">
        <v>0</v>
      </c>
      <c r="L595" t="n">
        <v>0</v>
      </c>
      <c r="M595" t="n">
        <v>0</v>
      </c>
      <c r="N595" t="n">
        <v>0</v>
      </c>
      <c r="O595" t="n">
        <v>0</v>
      </c>
      <c r="P595" t="n">
        <v>0</v>
      </c>
      <c r="Q595" t="n">
        <v>0</v>
      </c>
      <c r="R595" s="2" t="inlineStr"/>
    </row>
    <row r="596" ht="15" customHeight="1">
      <c r="A596" t="inlineStr">
        <is>
          <t>A 68296-2021</t>
        </is>
      </c>
      <c r="B596" s="1" t="n">
        <v>44526</v>
      </c>
      <c r="C596" s="1" t="n">
        <v>45807</v>
      </c>
      <c r="D596" t="inlineStr">
        <is>
          <t>UPPSALA LÄN</t>
        </is>
      </c>
      <c r="E596" t="inlineStr">
        <is>
          <t>UPPSALA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69067-2021</t>
        </is>
      </c>
      <c r="B597" s="1" t="n">
        <v>44530</v>
      </c>
      <c r="C597" s="1" t="n">
        <v>45807</v>
      </c>
      <c r="D597" t="inlineStr">
        <is>
          <t>UPPSALA LÄN</t>
        </is>
      </c>
      <c r="E597" t="inlineStr">
        <is>
          <t>UPPSALA</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45807</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69214-2021</t>
        </is>
      </c>
      <c r="B599" s="1" t="n">
        <v>44531</v>
      </c>
      <c r="C599" s="1" t="n">
        <v>45807</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69397-2021</t>
        </is>
      </c>
      <c r="B600" s="1" t="n">
        <v>44531</v>
      </c>
      <c r="C600" s="1" t="n">
        <v>45807</v>
      </c>
      <c r="D600" t="inlineStr">
        <is>
          <t>UPPSALA LÄN</t>
        </is>
      </c>
      <c r="E600" t="inlineStr">
        <is>
          <t>UPPSALA</t>
        </is>
      </c>
      <c r="F600" t="inlineStr">
        <is>
          <t>Bergvik skog öst AB</t>
        </is>
      </c>
      <c r="G600" t="n">
        <v>3.3</v>
      </c>
      <c r="H600" t="n">
        <v>0</v>
      </c>
      <c r="I600" t="n">
        <v>0</v>
      </c>
      <c r="J600" t="n">
        <v>0</v>
      </c>
      <c r="K600" t="n">
        <v>0</v>
      </c>
      <c r="L600" t="n">
        <v>0</v>
      </c>
      <c r="M600" t="n">
        <v>0</v>
      </c>
      <c r="N600" t="n">
        <v>0</v>
      </c>
      <c r="O600" t="n">
        <v>0</v>
      </c>
      <c r="P600" t="n">
        <v>0</v>
      </c>
      <c r="Q600" t="n">
        <v>0</v>
      </c>
      <c r="R600" s="2" t="inlineStr"/>
    </row>
    <row r="601" ht="15" customHeight="1">
      <c r="A601" t="inlineStr">
        <is>
          <t>A 69436-2021</t>
        </is>
      </c>
      <c r="B601" s="1" t="n">
        <v>44531</v>
      </c>
      <c r="C601" s="1" t="n">
        <v>45807</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69439-2021</t>
        </is>
      </c>
      <c r="B602" s="1" t="n">
        <v>44531</v>
      </c>
      <c r="C602" s="1" t="n">
        <v>45807</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69595-2021</t>
        </is>
      </c>
      <c r="B603" s="1" t="n">
        <v>44532</v>
      </c>
      <c r="C603" s="1" t="n">
        <v>45807</v>
      </c>
      <c r="D603" t="inlineStr">
        <is>
          <t>UPPSALA LÄN</t>
        </is>
      </c>
      <c r="E603" t="inlineStr">
        <is>
          <t>UPPSALA</t>
        </is>
      </c>
      <c r="G603" t="n">
        <v>3.9</v>
      </c>
      <c r="H603" t="n">
        <v>0</v>
      </c>
      <c r="I603" t="n">
        <v>0</v>
      </c>
      <c r="J603" t="n">
        <v>0</v>
      </c>
      <c r="K603" t="n">
        <v>0</v>
      </c>
      <c r="L603" t="n">
        <v>0</v>
      </c>
      <c r="M603" t="n">
        <v>0</v>
      </c>
      <c r="N603" t="n">
        <v>0</v>
      </c>
      <c r="O603" t="n">
        <v>0</v>
      </c>
      <c r="P603" t="n">
        <v>0</v>
      </c>
      <c r="Q603" t="n">
        <v>0</v>
      </c>
      <c r="R603" s="2" t="inlineStr"/>
    </row>
    <row r="604" ht="15" customHeight="1">
      <c r="A604" t="inlineStr">
        <is>
          <t>A 69698-2021</t>
        </is>
      </c>
      <c r="B604" s="1" t="n">
        <v>44532</v>
      </c>
      <c r="C604" s="1" t="n">
        <v>45807</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45807</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70032-2021</t>
        </is>
      </c>
      <c r="B606" s="1" t="n">
        <v>44533</v>
      </c>
      <c r="C606" s="1" t="n">
        <v>45807</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70031-2021</t>
        </is>
      </c>
      <c r="B607" s="1" t="n">
        <v>44533</v>
      </c>
      <c r="C607" s="1" t="n">
        <v>45807</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70359-2021</t>
        </is>
      </c>
      <c r="B608" s="1" t="n">
        <v>44535</v>
      </c>
      <c r="C608" s="1" t="n">
        <v>45807</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70228-2021</t>
        </is>
      </c>
      <c r="B609" s="1" t="n">
        <v>44535</v>
      </c>
      <c r="C609" s="1" t="n">
        <v>45807</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70996-2021</t>
        </is>
      </c>
      <c r="B610" s="1" t="n">
        <v>44538</v>
      </c>
      <c r="C610" s="1" t="n">
        <v>45807</v>
      </c>
      <c r="D610" t="inlineStr">
        <is>
          <t>UPPSALA LÄN</t>
        </is>
      </c>
      <c r="E610" t="inlineStr">
        <is>
          <t>UPPSALA</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71563-2021</t>
        </is>
      </c>
      <c r="B611" s="1" t="n">
        <v>44540</v>
      </c>
      <c r="C611" s="1" t="n">
        <v>45807</v>
      </c>
      <c r="D611" t="inlineStr">
        <is>
          <t>UPPSALA LÄN</t>
        </is>
      </c>
      <c r="E611" t="inlineStr">
        <is>
          <t>UPPSALA</t>
        </is>
      </c>
      <c r="F611" t="inlineStr">
        <is>
          <t>Allmännings- och besparingsskogar</t>
        </is>
      </c>
      <c r="G611" t="n">
        <v>7.7</v>
      </c>
      <c r="H611" t="n">
        <v>0</v>
      </c>
      <c r="I611" t="n">
        <v>0</v>
      </c>
      <c r="J611" t="n">
        <v>0</v>
      </c>
      <c r="K611" t="n">
        <v>0</v>
      </c>
      <c r="L611" t="n">
        <v>0</v>
      </c>
      <c r="M611" t="n">
        <v>0</v>
      </c>
      <c r="N611" t="n">
        <v>0</v>
      </c>
      <c r="O611" t="n">
        <v>0</v>
      </c>
      <c r="P611" t="n">
        <v>0</v>
      </c>
      <c r="Q611" t="n">
        <v>0</v>
      </c>
      <c r="R611" s="2" t="inlineStr"/>
    </row>
    <row r="612" ht="15" customHeight="1">
      <c r="A612" t="inlineStr">
        <is>
          <t>A 71675-2021</t>
        </is>
      </c>
      <c r="B612" s="1" t="n">
        <v>44543</v>
      </c>
      <c r="C612" s="1" t="n">
        <v>45807</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71643-2021</t>
        </is>
      </c>
      <c r="B613" s="1" t="n">
        <v>44543</v>
      </c>
      <c r="C613" s="1" t="n">
        <v>45807</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71671-2021</t>
        </is>
      </c>
      <c r="B614" s="1" t="n">
        <v>44543</v>
      </c>
      <c r="C614" s="1" t="n">
        <v>45807</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72225-2021</t>
        </is>
      </c>
      <c r="B615" s="1" t="n">
        <v>44544</v>
      </c>
      <c r="C615" s="1" t="n">
        <v>45807</v>
      </c>
      <c r="D615" t="inlineStr">
        <is>
          <t>UPPSALA LÄN</t>
        </is>
      </c>
      <c r="E615" t="inlineStr">
        <is>
          <t>UPPSALA</t>
        </is>
      </c>
      <c r="G615" t="n">
        <v>6.2</v>
      </c>
      <c r="H615" t="n">
        <v>0</v>
      </c>
      <c r="I615" t="n">
        <v>0</v>
      </c>
      <c r="J615" t="n">
        <v>0</v>
      </c>
      <c r="K615" t="n">
        <v>0</v>
      </c>
      <c r="L615" t="n">
        <v>0</v>
      </c>
      <c r="M615" t="n">
        <v>0</v>
      </c>
      <c r="N615" t="n">
        <v>0</v>
      </c>
      <c r="O615" t="n">
        <v>0</v>
      </c>
      <c r="P615" t="n">
        <v>0</v>
      </c>
      <c r="Q615" t="n">
        <v>0</v>
      </c>
      <c r="R615" s="2" t="inlineStr"/>
    </row>
    <row r="616" ht="15" customHeight="1">
      <c r="A616" t="inlineStr">
        <is>
          <t>A 72224-2021</t>
        </is>
      </c>
      <c r="B616" s="1" t="n">
        <v>44544</v>
      </c>
      <c r="C616" s="1" t="n">
        <v>45807</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72973-2021</t>
        </is>
      </c>
      <c r="B617" s="1" t="n">
        <v>44548</v>
      </c>
      <c r="C617" s="1" t="n">
        <v>45807</v>
      </c>
      <c r="D617" t="inlineStr">
        <is>
          <t>UPPSALA LÄN</t>
        </is>
      </c>
      <c r="E617" t="inlineStr">
        <is>
          <t>UPPSALA</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73326-2021</t>
        </is>
      </c>
      <c r="B618" s="1" t="n">
        <v>44548</v>
      </c>
      <c r="C618" s="1" t="n">
        <v>45807</v>
      </c>
      <c r="D618" t="inlineStr">
        <is>
          <t>UPPSALA LÄN</t>
        </is>
      </c>
      <c r="E618" t="inlineStr">
        <is>
          <t>UPPSALA</t>
        </is>
      </c>
      <c r="G618" t="n">
        <v>4</v>
      </c>
      <c r="H618" t="n">
        <v>0</v>
      </c>
      <c r="I618" t="n">
        <v>0</v>
      </c>
      <c r="J618" t="n">
        <v>0</v>
      </c>
      <c r="K618" t="n">
        <v>0</v>
      </c>
      <c r="L618" t="n">
        <v>0</v>
      </c>
      <c r="M618" t="n">
        <v>0</v>
      </c>
      <c r="N618" t="n">
        <v>0</v>
      </c>
      <c r="O618" t="n">
        <v>0</v>
      </c>
      <c r="P618" t="n">
        <v>0</v>
      </c>
      <c r="Q618" t="n">
        <v>0</v>
      </c>
      <c r="R618" s="2" t="inlineStr"/>
    </row>
    <row r="619" ht="15" customHeight="1">
      <c r="A619" t="inlineStr">
        <is>
          <t>A 73044-2021</t>
        </is>
      </c>
      <c r="B619" s="1" t="n">
        <v>44550</v>
      </c>
      <c r="C619" s="1" t="n">
        <v>45807</v>
      </c>
      <c r="D619" t="inlineStr">
        <is>
          <t>UPPSALA LÄN</t>
        </is>
      </c>
      <c r="E619" t="inlineStr">
        <is>
          <t>UPPSALA</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73468-2021</t>
        </is>
      </c>
      <c r="B620" s="1" t="n">
        <v>44551</v>
      </c>
      <c r="C620" s="1" t="n">
        <v>45807</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73518-2021</t>
        </is>
      </c>
      <c r="B621" s="1" t="n">
        <v>44551</v>
      </c>
      <c r="C621" s="1" t="n">
        <v>45807</v>
      </c>
      <c r="D621" t="inlineStr">
        <is>
          <t>UPPSALA LÄN</t>
        </is>
      </c>
      <c r="E621" t="inlineStr">
        <is>
          <t>UPPSALA</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73531-2021</t>
        </is>
      </c>
      <c r="B622" s="1" t="n">
        <v>44551</v>
      </c>
      <c r="C622" s="1" t="n">
        <v>45807</v>
      </c>
      <c r="D622" t="inlineStr">
        <is>
          <t>UPPSALA LÄN</t>
        </is>
      </c>
      <c r="E622" t="inlineStr">
        <is>
          <t>UPPSALA</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74019-2021</t>
        </is>
      </c>
      <c r="B623" s="1" t="n">
        <v>44553</v>
      </c>
      <c r="C623" s="1" t="n">
        <v>45807</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74023-2021</t>
        </is>
      </c>
      <c r="B624" s="1" t="n">
        <v>44553</v>
      </c>
      <c r="C624" s="1" t="n">
        <v>45807</v>
      </c>
      <c r="D624" t="inlineStr">
        <is>
          <t>UPPSALA LÄN</t>
        </is>
      </c>
      <c r="E624" t="inlineStr">
        <is>
          <t>UPPSALA</t>
        </is>
      </c>
      <c r="G624" t="n">
        <v>5.4</v>
      </c>
      <c r="H624" t="n">
        <v>0</v>
      </c>
      <c r="I624" t="n">
        <v>0</v>
      </c>
      <c r="J624" t="n">
        <v>0</v>
      </c>
      <c r="K624" t="n">
        <v>0</v>
      </c>
      <c r="L624" t="n">
        <v>0</v>
      </c>
      <c r="M624" t="n">
        <v>0</v>
      </c>
      <c r="N624" t="n">
        <v>0</v>
      </c>
      <c r="O624" t="n">
        <v>0</v>
      </c>
      <c r="P624" t="n">
        <v>0</v>
      </c>
      <c r="Q624" t="n">
        <v>0</v>
      </c>
      <c r="R624" s="2" t="inlineStr"/>
    </row>
    <row r="625" ht="15" customHeight="1">
      <c r="A625" t="inlineStr">
        <is>
          <t>A 74493-2021</t>
        </is>
      </c>
      <c r="B625" s="1" t="n">
        <v>44560</v>
      </c>
      <c r="C625" s="1" t="n">
        <v>45807</v>
      </c>
      <c r="D625" t="inlineStr">
        <is>
          <t>UPPSALA LÄN</t>
        </is>
      </c>
      <c r="E625" t="inlineStr">
        <is>
          <t>UPPSALA</t>
        </is>
      </c>
      <c r="G625" t="n">
        <v>1.2</v>
      </c>
      <c r="H625" t="n">
        <v>0</v>
      </c>
      <c r="I625" t="n">
        <v>0</v>
      </c>
      <c r="J625" t="n">
        <v>0</v>
      </c>
      <c r="K625" t="n">
        <v>0</v>
      </c>
      <c r="L625" t="n">
        <v>0</v>
      </c>
      <c r="M625" t="n">
        <v>0</v>
      </c>
      <c r="N625" t="n">
        <v>0</v>
      </c>
      <c r="O625" t="n">
        <v>0</v>
      </c>
      <c r="P625" t="n">
        <v>0</v>
      </c>
      <c r="Q625" t="n">
        <v>0</v>
      </c>
      <c r="R625" s="2" t="inlineStr"/>
    </row>
    <row r="626" ht="15" customHeight="1">
      <c r="A626" t="inlineStr">
        <is>
          <t>A 74495-2021</t>
        </is>
      </c>
      <c r="B626" s="1" t="n">
        <v>44560</v>
      </c>
      <c r="C626" s="1" t="n">
        <v>45807</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612-2022</t>
        </is>
      </c>
      <c r="B627" s="1" t="n">
        <v>44567</v>
      </c>
      <c r="C627" s="1" t="n">
        <v>45807</v>
      </c>
      <c r="D627" t="inlineStr">
        <is>
          <t>UPPSALA LÄN</t>
        </is>
      </c>
      <c r="E627" t="inlineStr">
        <is>
          <t>UPPSALA</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733-2022</t>
        </is>
      </c>
      <c r="B628" s="1" t="n">
        <v>44568</v>
      </c>
      <c r="C628" s="1" t="n">
        <v>45807</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752-2022</t>
        </is>
      </c>
      <c r="B629" s="1" t="n">
        <v>44569</v>
      </c>
      <c r="C629" s="1" t="n">
        <v>45807</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750-2022</t>
        </is>
      </c>
      <c r="B630" s="1" t="n">
        <v>44569</v>
      </c>
      <c r="C630" s="1" t="n">
        <v>45807</v>
      </c>
      <c r="D630" t="inlineStr">
        <is>
          <t>UPPSALA LÄN</t>
        </is>
      </c>
      <c r="E630" t="inlineStr">
        <is>
          <t>UPPSALA</t>
        </is>
      </c>
      <c r="F630" t="inlineStr">
        <is>
          <t>Holmen skog AB</t>
        </is>
      </c>
      <c r="G630" t="n">
        <v>6</v>
      </c>
      <c r="H630" t="n">
        <v>0</v>
      </c>
      <c r="I630" t="n">
        <v>0</v>
      </c>
      <c r="J630" t="n">
        <v>0</v>
      </c>
      <c r="K630" t="n">
        <v>0</v>
      </c>
      <c r="L630" t="n">
        <v>0</v>
      </c>
      <c r="M630" t="n">
        <v>0</v>
      </c>
      <c r="N630" t="n">
        <v>0</v>
      </c>
      <c r="O630" t="n">
        <v>0</v>
      </c>
      <c r="P630" t="n">
        <v>0</v>
      </c>
      <c r="Q630" t="n">
        <v>0</v>
      </c>
      <c r="R630" s="2" t="inlineStr"/>
    </row>
    <row r="631" ht="15" customHeight="1">
      <c r="A631" t="inlineStr">
        <is>
          <t>A 759-2022</t>
        </is>
      </c>
      <c r="B631" s="1" t="n">
        <v>44569</v>
      </c>
      <c r="C631" s="1" t="n">
        <v>45807</v>
      </c>
      <c r="D631" t="inlineStr">
        <is>
          <t>UPPSALA LÄN</t>
        </is>
      </c>
      <c r="E631" t="inlineStr">
        <is>
          <t>UPPSALA</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758-2022</t>
        </is>
      </c>
      <c r="B632" s="1" t="n">
        <v>44569</v>
      </c>
      <c r="C632" s="1" t="n">
        <v>45807</v>
      </c>
      <c r="D632" t="inlineStr">
        <is>
          <t>UPPSALA LÄN</t>
        </is>
      </c>
      <c r="E632" t="inlineStr">
        <is>
          <t>UPPSALA</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917-2022</t>
        </is>
      </c>
      <c r="B633" s="1" t="n">
        <v>44571</v>
      </c>
      <c r="C633" s="1" t="n">
        <v>45807</v>
      </c>
      <c r="D633" t="inlineStr">
        <is>
          <t>UPPSALA LÄN</t>
        </is>
      </c>
      <c r="E633" t="inlineStr">
        <is>
          <t>UPPSALA</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874-2022</t>
        </is>
      </c>
      <c r="B634" s="1" t="n">
        <v>44571</v>
      </c>
      <c r="C634" s="1" t="n">
        <v>45807</v>
      </c>
      <c r="D634" t="inlineStr">
        <is>
          <t>UPPSALA LÄN</t>
        </is>
      </c>
      <c r="E634" t="inlineStr">
        <is>
          <t>UPPSALA</t>
        </is>
      </c>
      <c r="G634" t="n">
        <v>7.2</v>
      </c>
      <c r="H634" t="n">
        <v>0</v>
      </c>
      <c r="I634" t="n">
        <v>0</v>
      </c>
      <c r="J634" t="n">
        <v>0</v>
      </c>
      <c r="K634" t="n">
        <v>0</v>
      </c>
      <c r="L634" t="n">
        <v>0</v>
      </c>
      <c r="M634" t="n">
        <v>0</v>
      </c>
      <c r="N634" t="n">
        <v>0</v>
      </c>
      <c r="O634" t="n">
        <v>0</v>
      </c>
      <c r="P634" t="n">
        <v>0</v>
      </c>
      <c r="Q634" t="n">
        <v>0</v>
      </c>
      <c r="R634" s="2" t="inlineStr"/>
    </row>
    <row r="635" ht="15" customHeight="1">
      <c r="A635" t="inlineStr">
        <is>
          <t>A 1037-2022</t>
        </is>
      </c>
      <c r="B635" s="1" t="n">
        <v>44571</v>
      </c>
      <c r="C635" s="1" t="n">
        <v>45807</v>
      </c>
      <c r="D635" t="inlineStr">
        <is>
          <t>UPPSALA LÄN</t>
        </is>
      </c>
      <c r="E635" t="inlineStr">
        <is>
          <t>UPPSALA</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1148-2022</t>
        </is>
      </c>
      <c r="B636" s="1" t="n">
        <v>44572</v>
      </c>
      <c r="C636" s="1" t="n">
        <v>45807</v>
      </c>
      <c r="D636" t="inlineStr">
        <is>
          <t>UPPSALA LÄN</t>
        </is>
      </c>
      <c r="E636" t="inlineStr">
        <is>
          <t>UPPSALA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1298-2022</t>
        </is>
      </c>
      <c r="B637" s="1" t="n">
        <v>44572</v>
      </c>
      <c r="C637" s="1" t="n">
        <v>45807</v>
      </c>
      <c r="D637" t="inlineStr">
        <is>
          <t>UPPSALA LÄN</t>
        </is>
      </c>
      <c r="E637" t="inlineStr">
        <is>
          <t>UPPSALA</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1731-2022</t>
        </is>
      </c>
      <c r="B638" s="1" t="n">
        <v>44574</v>
      </c>
      <c r="C638" s="1" t="n">
        <v>45807</v>
      </c>
      <c r="D638" t="inlineStr">
        <is>
          <t>UPPSALA LÄN</t>
        </is>
      </c>
      <c r="E638" t="inlineStr">
        <is>
          <t>UPPSALA</t>
        </is>
      </c>
      <c r="G638" t="n">
        <v>10.1</v>
      </c>
      <c r="H638" t="n">
        <v>0</v>
      </c>
      <c r="I638" t="n">
        <v>0</v>
      </c>
      <c r="J638" t="n">
        <v>0</v>
      </c>
      <c r="K638" t="n">
        <v>0</v>
      </c>
      <c r="L638" t="n">
        <v>0</v>
      </c>
      <c r="M638" t="n">
        <v>0</v>
      </c>
      <c r="N638" t="n">
        <v>0</v>
      </c>
      <c r="O638" t="n">
        <v>0</v>
      </c>
      <c r="P638" t="n">
        <v>0</v>
      </c>
      <c r="Q638" t="n">
        <v>0</v>
      </c>
      <c r="R638" s="2" t="inlineStr"/>
    </row>
    <row r="639" ht="15" customHeight="1">
      <c r="A639" t="inlineStr">
        <is>
          <t>A 1963-2022</t>
        </is>
      </c>
      <c r="B639" s="1" t="n">
        <v>44575</v>
      </c>
      <c r="C639" s="1" t="n">
        <v>45807</v>
      </c>
      <c r="D639" t="inlineStr">
        <is>
          <t>UPPSALA LÄN</t>
        </is>
      </c>
      <c r="E639" t="inlineStr">
        <is>
          <t>UPPSALA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1975-2022</t>
        </is>
      </c>
      <c r="B640" s="1" t="n">
        <v>44575</v>
      </c>
      <c r="C640" s="1" t="n">
        <v>45807</v>
      </c>
      <c r="D640" t="inlineStr">
        <is>
          <t>UPPSALA LÄN</t>
        </is>
      </c>
      <c r="E640" t="inlineStr">
        <is>
          <t>UPPSALA</t>
        </is>
      </c>
      <c r="G640" t="n">
        <v>3.9</v>
      </c>
      <c r="H640" t="n">
        <v>0</v>
      </c>
      <c r="I640" t="n">
        <v>0</v>
      </c>
      <c r="J640" t="n">
        <v>0</v>
      </c>
      <c r="K640" t="n">
        <v>0</v>
      </c>
      <c r="L640" t="n">
        <v>0</v>
      </c>
      <c r="M640" t="n">
        <v>0</v>
      </c>
      <c r="N640" t="n">
        <v>0</v>
      </c>
      <c r="O640" t="n">
        <v>0</v>
      </c>
      <c r="P640" t="n">
        <v>0</v>
      </c>
      <c r="Q640" t="n">
        <v>0</v>
      </c>
      <c r="R640" s="2" t="inlineStr"/>
    </row>
    <row r="641" ht="15" customHeight="1">
      <c r="A641" t="inlineStr">
        <is>
          <t>A 1936-2022</t>
        </is>
      </c>
      <c r="B641" s="1" t="n">
        <v>44575</v>
      </c>
      <c r="C641" s="1" t="n">
        <v>45807</v>
      </c>
      <c r="D641" t="inlineStr">
        <is>
          <t>UPPSALA LÄN</t>
        </is>
      </c>
      <c r="E641" t="inlineStr">
        <is>
          <t>UPPSALA</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1978-2022</t>
        </is>
      </c>
      <c r="B642" s="1" t="n">
        <v>44575</v>
      </c>
      <c r="C642" s="1" t="n">
        <v>45807</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2017-2022</t>
        </is>
      </c>
      <c r="B643" s="1" t="n">
        <v>44575</v>
      </c>
      <c r="C643" s="1" t="n">
        <v>45807</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2228-2022</t>
        </is>
      </c>
      <c r="B644" s="1" t="n">
        <v>44578</v>
      </c>
      <c r="C644" s="1" t="n">
        <v>45807</v>
      </c>
      <c r="D644" t="inlineStr">
        <is>
          <t>UPPSALA LÄN</t>
        </is>
      </c>
      <c r="E644" t="inlineStr">
        <is>
          <t>UPPSALA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2927-2022</t>
        </is>
      </c>
      <c r="B645" s="1" t="n">
        <v>44581</v>
      </c>
      <c r="C645" s="1" t="n">
        <v>45807</v>
      </c>
      <c r="D645" t="inlineStr">
        <is>
          <t>UPPSALA LÄN</t>
        </is>
      </c>
      <c r="E645" t="inlineStr">
        <is>
          <t>UPPSALA</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3259-2022</t>
        </is>
      </c>
      <c r="B646" s="1" t="n">
        <v>44583</v>
      </c>
      <c r="C646" s="1" t="n">
        <v>45807</v>
      </c>
      <c r="D646" t="inlineStr">
        <is>
          <t>UPPSALA LÄN</t>
        </is>
      </c>
      <c r="E646" t="inlineStr">
        <is>
          <t>UPPSALA</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3261-2022</t>
        </is>
      </c>
      <c r="B647" s="1" t="n">
        <v>44583</v>
      </c>
      <c r="C647" s="1" t="n">
        <v>45807</v>
      </c>
      <c r="D647" t="inlineStr">
        <is>
          <t>UPPSALA LÄN</t>
        </is>
      </c>
      <c r="E647" t="inlineStr">
        <is>
          <t>UPPSALA</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3252-2022</t>
        </is>
      </c>
      <c r="B648" s="1" t="n">
        <v>44583</v>
      </c>
      <c r="C648" s="1" t="n">
        <v>45807</v>
      </c>
      <c r="D648" t="inlineStr">
        <is>
          <t>UPPSALA LÄN</t>
        </is>
      </c>
      <c r="E648" t="inlineStr">
        <is>
          <t>UPPSALA</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3258-2022</t>
        </is>
      </c>
      <c r="B649" s="1" t="n">
        <v>44583</v>
      </c>
      <c r="C649" s="1" t="n">
        <v>45807</v>
      </c>
      <c r="D649" t="inlineStr">
        <is>
          <t>UPPSALA LÄN</t>
        </is>
      </c>
      <c r="E649" t="inlineStr">
        <is>
          <t>UPPSALA</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3262-2022</t>
        </is>
      </c>
      <c r="B650" s="1" t="n">
        <v>44583</v>
      </c>
      <c r="C650" s="1" t="n">
        <v>45807</v>
      </c>
      <c r="D650" t="inlineStr">
        <is>
          <t>UPPSALA LÄN</t>
        </is>
      </c>
      <c r="E650" t="inlineStr">
        <is>
          <t>UPPSALA</t>
        </is>
      </c>
      <c r="F650" t="inlineStr">
        <is>
          <t>Holmen skog AB</t>
        </is>
      </c>
      <c r="G650" t="n">
        <v>5.4</v>
      </c>
      <c r="H650" t="n">
        <v>0</v>
      </c>
      <c r="I650" t="n">
        <v>0</v>
      </c>
      <c r="J650" t="n">
        <v>0</v>
      </c>
      <c r="K650" t="n">
        <v>0</v>
      </c>
      <c r="L650" t="n">
        <v>0</v>
      </c>
      <c r="M650" t="n">
        <v>0</v>
      </c>
      <c r="N650" t="n">
        <v>0</v>
      </c>
      <c r="O650" t="n">
        <v>0</v>
      </c>
      <c r="P650" t="n">
        <v>0</v>
      </c>
      <c r="Q650" t="n">
        <v>0</v>
      </c>
      <c r="R650" s="2" t="inlineStr"/>
    </row>
    <row r="651" ht="15" customHeight="1">
      <c r="A651" t="inlineStr">
        <is>
          <t>A 3255-2022</t>
        </is>
      </c>
      <c r="B651" s="1" t="n">
        <v>44583</v>
      </c>
      <c r="C651" s="1" t="n">
        <v>45807</v>
      </c>
      <c r="D651" t="inlineStr">
        <is>
          <t>UPPSALA LÄN</t>
        </is>
      </c>
      <c r="E651" t="inlineStr">
        <is>
          <t>UPPSALA</t>
        </is>
      </c>
      <c r="F651" t="inlineStr">
        <is>
          <t>Holmen skog AB</t>
        </is>
      </c>
      <c r="G651" t="n">
        <v>5.6</v>
      </c>
      <c r="H651" t="n">
        <v>0</v>
      </c>
      <c r="I651" t="n">
        <v>0</v>
      </c>
      <c r="J651" t="n">
        <v>0</v>
      </c>
      <c r="K651" t="n">
        <v>0</v>
      </c>
      <c r="L651" t="n">
        <v>0</v>
      </c>
      <c r="M651" t="n">
        <v>0</v>
      </c>
      <c r="N651" t="n">
        <v>0</v>
      </c>
      <c r="O651" t="n">
        <v>0</v>
      </c>
      <c r="P651" t="n">
        <v>0</v>
      </c>
      <c r="Q651" t="n">
        <v>0</v>
      </c>
      <c r="R651" s="2" t="inlineStr"/>
    </row>
    <row r="652" ht="15" customHeight="1">
      <c r="A652" t="inlineStr">
        <is>
          <t>A 3260-2022</t>
        </is>
      </c>
      <c r="B652" s="1" t="n">
        <v>44583</v>
      </c>
      <c r="C652" s="1" t="n">
        <v>45807</v>
      </c>
      <c r="D652" t="inlineStr">
        <is>
          <t>UPPSALA LÄN</t>
        </is>
      </c>
      <c r="E652" t="inlineStr">
        <is>
          <t>UPPSALA</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3284-2022</t>
        </is>
      </c>
      <c r="B653" s="1" t="n">
        <v>44584</v>
      </c>
      <c r="C653" s="1" t="n">
        <v>45807</v>
      </c>
      <c r="D653" t="inlineStr">
        <is>
          <t>UPPSALA LÄN</t>
        </is>
      </c>
      <c r="E653" t="inlineStr">
        <is>
          <t>UPPSALA</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v>
      </c>
      <c r="C654" s="1" t="n">
        <v>45807</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4059-2022</t>
        </is>
      </c>
      <c r="B655" s="1" t="n">
        <v>44588</v>
      </c>
      <c r="C655" s="1" t="n">
        <v>45807</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4312-2022</t>
        </is>
      </c>
      <c r="B656" s="1" t="n">
        <v>44588</v>
      </c>
      <c r="C656" s="1" t="n">
        <v>45807</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4444-2022</t>
        </is>
      </c>
      <c r="B657" s="1" t="n">
        <v>44589</v>
      </c>
      <c r="C657" s="1" t="n">
        <v>45807</v>
      </c>
      <c r="D657" t="inlineStr">
        <is>
          <t>UPPSALA LÄN</t>
        </is>
      </c>
      <c r="E657" t="inlineStr">
        <is>
          <t>UPPSALA</t>
        </is>
      </c>
      <c r="G657" t="n">
        <v>3.2</v>
      </c>
      <c r="H657" t="n">
        <v>0</v>
      </c>
      <c r="I657" t="n">
        <v>0</v>
      </c>
      <c r="J657" t="n">
        <v>0</v>
      </c>
      <c r="K657" t="n">
        <v>0</v>
      </c>
      <c r="L657" t="n">
        <v>0</v>
      </c>
      <c r="M657" t="n">
        <v>0</v>
      </c>
      <c r="N657" t="n">
        <v>0</v>
      </c>
      <c r="O657" t="n">
        <v>0</v>
      </c>
      <c r="P657" t="n">
        <v>0</v>
      </c>
      <c r="Q657" t="n">
        <v>0</v>
      </c>
      <c r="R657" s="2" t="inlineStr"/>
    </row>
    <row r="658" ht="15" customHeight="1">
      <c r="A658" t="inlineStr">
        <is>
          <t>A 4929-2022</t>
        </is>
      </c>
      <c r="B658" s="1" t="n">
        <v>44593</v>
      </c>
      <c r="C658" s="1" t="n">
        <v>45807</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5027-2022</t>
        </is>
      </c>
      <c r="B659" s="1" t="n">
        <v>44593</v>
      </c>
      <c r="C659" s="1" t="n">
        <v>45807</v>
      </c>
      <c r="D659" t="inlineStr">
        <is>
          <t>UPPSALA LÄN</t>
        </is>
      </c>
      <c r="E659" t="inlineStr">
        <is>
          <t>UPPSALA</t>
        </is>
      </c>
      <c r="G659" t="n">
        <v>1.9</v>
      </c>
      <c r="H659" t="n">
        <v>0</v>
      </c>
      <c r="I659" t="n">
        <v>0</v>
      </c>
      <c r="J659" t="n">
        <v>0</v>
      </c>
      <c r="K659" t="n">
        <v>0</v>
      </c>
      <c r="L659" t="n">
        <v>0</v>
      </c>
      <c r="M659" t="n">
        <v>0</v>
      </c>
      <c r="N659" t="n">
        <v>0</v>
      </c>
      <c r="O659" t="n">
        <v>0</v>
      </c>
      <c r="P659" t="n">
        <v>0</v>
      </c>
      <c r="Q659" t="n">
        <v>0</v>
      </c>
      <c r="R659" s="2" t="inlineStr"/>
    </row>
    <row r="660" ht="15" customHeight="1">
      <c r="A660" t="inlineStr">
        <is>
          <t>A 5081-2022</t>
        </is>
      </c>
      <c r="B660" s="1" t="n">
        <v>44593</v>
      </c>
      <c r="C660" s="1" t="n">
        <v>45807</v>
      </c>
      <c r="D660" t="inlineStr">
        <is>
          <t>UPPSALA LÄN</t>
        </is>
      </c>
      <c r="E660" t="inlineStr">
        <is>
          <t>UPPSALA</t>
        </is>
      </c>
      <c r="G660" t="n">
        <v>3</v>
      </c>
      <c r="H660" t="n">
        <v>0</v>
      </c>
      <c r="I660" t="n">
        <v>0</v>
      </c>
      <c r="J660" t="n">
        <v>0</v>
      </c>
      <c r="K660" t="n">
        <v>0</v>
      </c>
      <c r="L660" t="n">
        <v>0</v>
      </c>
      <c r="M660" t="n">
        <v>0</v>
      </c>
      <c r="N660" t="n">
        <v>0</v>
      </c>
      <c r="O660" t="n">
        <v>0</v>
      </c>
      <c r="P660" t="n">
        <v>0</v>
      </c>
      <c r="Q660" t="n">
        <v>0</v>
      </c>
      <c r="R660" s="2" t="inlineStr"/>
    </row>
    <row r="661" ht="15" customHeight="1">
      <c r="A661" t="inlineStr">
        <is>
          <t>A 5007-2022</t>
        </is>
      </c>
      <c r="B661" s="1" t="n">
        <v>44593</v>
      </c>
      <c r="C661" s="1" t="n">
        <v>45807</v>
      </c>
      <c r="D661" t="inlineStr">
        <is>
          <t>UPPSALA LÄN</t>
        </is>
      </c>
      <c r="E661" t="inlineStr">
        <is>
          <t>UPPSALA</t>
        </is>
      </c>
      <c r="F661" t="inlineStr">
        <is>
          <t>BillerudKorsnäs AB</t>
        </is>
      </c>
      <c r="G661" t="n">
        <v>3.6</v>
      </c>
      <c r="H661" t="n">
        <v>0</v>
      </c>
      <c r="I661" t="n">
        <v>0</v>
      </c>
      <c r="J661" t="n">
        <v>0</v>
      </c>
      <c r="K661" t="n">
        <v>0</v>
      </c>
      <c r="L661" t="n">
        <v>0</v>
      </c>
      <c r="M661" t="n">
        <v>0</v>
      </c>
      <c r="N661" t="n">
        <v>0</v>
      </c>
      <c r="O661" t="n">
        <v>0</v>
      </c>
      <c r="P661" t="n">
        <v>0</v>
      </c>
      <c r="Q661" t="n">
        <v>0</v>
      </c>
      <c r="R661" s="2" t="inlineStr"/>
    </row>
    <row r="662" ht="15" customHeight="1">
      <c r="A662" t="inlineStr">
        <is>
          <t>A 5006-2022</t>
        </is>
      </c>
      <c r="B662" s="1" t="n">
        <v>44593</v>
      </c>
      <c r="C662" s="1" t="n">
        <v>45807</v>
      </c>
      <c r="D662" t="inlineStr">
        <is>
          <t>UPPSALA LÄN</t>
        </is>
      </c>
      <c r="E662" t="inlineStr">
        <is>
          <t>UPPSALA</t>
        </is>
      </c>
      <c r="F662" t="inlineStr">
        <is>
          <t>BillerudKorsnäs AB</t>
        </is>
      </c>
      <c r="G662" t="n">
        <v>1.4</v>
      </c>
      <c r="H662" t="n">
        <v>0</v>
      </c>
      <c r="I662" t="n">
        <v>0</v>
      </c>
      <c r="J662" t="n">
        <v>0</v>
      </c>
      <c r="K662" t="n">
        <v>0</v>
      </c>
      <c r="L662" t="n">
        <v>0</v>
      </c>
      <c r="M662" t="n">
        <v>0</v>
      </c>
      <c r="N662" t="n">
        <v>0</v>
      </c>
      <c r="O662" t="n">
        <v>0</v>
      </c>
      <c r="P662" t="n">
        <v>0</v>
      </c>
      <c r="Q662" t="n">
        <v>0</v>
      </c>
      <c r="R662" s="2" t="inlineStr"/>
    </row>
    <row r="663" ht="15" customHeight="1">
      <c r="A663" t="inlineStr">
        <is>
          <t>A 5028-2022</t>
        </is>
      </c>
      <c r="B663" s="1" t="n">
        <v>44593</v>
      </c>
      <c r="C663" s="1" t="n">
        <v>45807</v>
      </c>
      <c r="D663" t="inlineStr">
        <is>
          <t>UPPSALA LÄN</t>
        </is>
      </c>
      <c r="E663" t="inlineStr">
        <is>
          <t>UPPSALA</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5309-2022</t>
        </is>
      </c>
      <c r="B664" s="1" t="n">
        <v>44594</v>
      </c>
      <c r="C664" s="1" t="n">
        <v>45807</v>
      </c>
      <c r="D664" t="inlineStr">
        <is>
          <t>UPPSALA LÄN</t>
        </is>
      </c>
      <c r="E664" t="inlineStr">
        <is>
          <t>UPPSALA</t>
        </is>
      </c>
      <c r="G664" t="n">
        <v>4.8</v>
      </c>
      <c r="H664" t="n">
        <v>0</v>
      </c>
      <c r="I664" t="n">
        <v>0</v>
      </c>
      <c r="J664" t="n">
        <v>0</v>
      </c>
      <c r="K664" t="n">
        <v>0</v>
      </c>
      <c r="L664" t="n">
        <v>0</v>
      </c>
      <c r="M664" t="n">
        <v>0</v>
      </c>
      <c r="N664" t="n">
        <v>0</v>
      </c>
      <c r="O664" t="n">
        <v>0</v>
      </c>
      <c r="P664" t="n">
        <v>0</v>
      </c>
      <c r="Q664" t="n">
        <v>0</v>
      </c>
      <c r="R664" s="2" t="inlineStr"/>
    </row>
    <row r="665" ht="15" customHeight="1">
      <c r="A665" t="inlineStr">
        <is>
          <t>A 5189-2022</t>
        </is>
      </c>
      <c r="B665" s="1" t="n">
        <v>44594</v>
      </c>
      <c r="C665" s="1" t="n">
        <v>45807</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45807</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5989-2022</t>
        </is>
      </c>
      <c r="B667" s="1" t="n">
        <v>44599</v>
      </c>
      <c r="C667" s="1" t="n">
        <v>45807</v>
      </c>
      <c r="D667" t="inlineStr">
        <is>
          <t>UPPSALA LÄN</t>
        </is>
      </c>
      <c r="E667" t="inlineStr">
        <is>
          <t>UPPSALA</t>
        </is>
      </c>
      <c r="G667" t="n">
        <v>2.8</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v>
      </c>
      <c r="C668" s="1" t="n">
        <v>45807</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5996-2022</t>
        </is>
      </c>
      <c r="B669" s="1" t="n">
        <v>44599</v>
      </c>
      <c r="C669" s="1" t="n">
        <v>45807</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6339-2022</t>
        </is>
      </c>
      <c r="B670" s="1" t="n">
        <v>44600</v>
      </c>
      <c r="C670" s="1" t="n">
        <v>45807</v>
      </c>
      <c r="D670" t="inlineStr">
        <is>
          <t>UPPSALA LÄN</t>
        </is>
      </c>
      <c r="E670" t="inlineStr">
        <is>
          <t>UPPSALA</t>
        </is>
      </c>
      <c r="G670" t="n">
        <v>18.7</v>
      </c>
      <c r="H670" t="n">
        <v>0</v>
      </c>
      <c r="I670" t="n">
        <v>0</v>
      </c>
      <c r="J670" t="n">
        <v>0</v>
      </c>
      <c r="K670" t="n">
        <v>0</v>
      </c>
      <c r="L670" t="n">
        <v>0</v>
      </c>
      <c r="M670" t="n">
        <v>0</v>
      </c>
      <c r="N670" t="n">
        <v>0</v>
      </c>
      <c r="O670" t="n">
        <v>0</v>
      </c>
      <c r="P670" t="n">
        <v>0</v>
      </c>
      <c r="Q670" t="n">
        <v>0</v>
      </c>
      <c r="R670" s="2" t="inlineStr"/>
    </row>
    <row r="671" ht="15" customHeight="1">
      <c r="A671" t="inlineStr">
        <is>
          <t>A 6408-2022</t>
        </is>
      </c>
      <c r="B671" s="1" t="n">
        <v>44600</v>
      </c>
      <c r="C671" s="1" t="n">
        <v>45807</v>
      </c>
      <c r="D671" t="inlineStr">
        <is>
          <t>UPPSALA LÄN</t>
        </is>
      </c>
      <c r="E671" t="inlineStr">
        <is>
          <t>UPPSALA</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6717-2022</t>
        </is>
      </c>
      <c r="B672" s="1" t="n">
        <v>44602</v>
      </c>
      <c r="C672" s="1" t="n">
        <v>45807</v>
      </c>
      <c r="D672" t="inlineStr">
        <is>
          <t>UPPSALA LÄN</t>
        </is>
      </c>
      <c r="E672" t="inlineStr">
        <is>
          <t>UPPSALA</t>
        </is>
      </c>
      <c r="F672" t="inlineStr">
        <is>
          <t>Övriga Aktiebolag</t>
        </is>
      </c>
      <c r="G672" t="n">
        <v>6.7</v>
      </c>
      <c r="H672" t="n">
        <v>0</v>
      </c>
      <c r="I672" t="n">
        <v>0</v>
      </c>
      <c r="J672" t="n">
        <v>0</v>
      </c>
      <c r="K672" t="n">
        <v>0</v>
      </c>
      <c r="L672" t="n">
        <v>0</v>
      </c>
      <c r="M672" t="n">
        <v>0</v>
      </c>
      <c r="N672" t="n">
        <v>0</v>
      </c>
      <c r="O672" t="n">
        <v>0</v>
      </c>
      <c r="P672" t="n">
        <v>0</v>
      </c>
      <c r="Q672" t="n">
        <v>0</v>
      </c>
      <c r="R672" s="2" t="inlineStr"/>
    </row>
    <row r="673" ht="15" customHeight="1">
      <c r="A673" t="inlineStr">
        <is>
          <t>A 6853-2022</t>
        </is>
      </c>
      <c r="B673" s="1" t="n">
        <v>44602</v>
      </c>
      <c r="C673" s="1" t="n">
        <v>45807</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6863-2022</t>
        </is>
      </c>
      <c r="B674" s="1" t="n">
        <v>44602</v>
      </c>
      <c r="C674" s="1" t="n">
        <v>45807</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6850-2022</t>
        </is>
      </c>
      <c r="B675" s="1" t="n">
        <v>44602</v>
      </c>
      <c r="C675" s="1" t="n">
        <v>45807</v>
      </c>
      <c r="D675" t="inlineStr">
        <is>
          <t>UPPSALA LÄN</t>
        </is>
      </c>
      <c r="E675" t="inlineStr">
        <is>
          <t>UPPSALA</t>
        </is>
      </c>
      <c r="G675" t="n">
        <v>3.7</v>
      </c>
      <c r="H675" t="n">
        <v>0</v>
      </c>
      <c r="I675" t="n">
        <v>0</v>
      </c>
      <c r="J675" t="n">
        <v>0</v>
      </c>
      <c r="K675" t="n">
        <v>0</v>
      </c>
      <c r="L675" t="n">
        <v>0</v>
      </c>
      <c r="M675" t="n">
        <v>0</v>
      </c>
      <c r="N675" t="n">
        <v>0</v>
      </c>
      <c r="O675" t="n">
        <v>0</v>
      </c>
      <c r="P675" t="n">
        <v>0</v>
      </c>
      <c r="Q675" t="n">
        <v>0</v>
      </c>
      <c r="R675" s="2" t="inlineStr"/>
    </row>
    <row r="676" ht="15" customHeight="1">
      <c r="A676" t="inlineStr">
        <is>
          <t>A 6851-2022</t>
        </is>
      </c>
      <c r="B676" s="1" t="n">
        <v>44602</v>
      </c>
      <c r="C676" s="1" t="n">
        <v>45807</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6855-2022</t>
        </is>
      </c>
      <c r="B677" s="1" t="n">
        <v>44602</v>
      </c>
      <c r="C677" s="1" t="n">
        <v>45807</v>
      </c>
      <c r="D677" t="inlineStr">
        <is>
          <t>UPPSALA LÄN</t>
        </is>
      </c>
      <c r="E677" t="inlineStr">
        <is>
          <t>UPPSALA</t>
        </is>
      </c>
      <c r="G677" t="n">
        <v>4.6</v>
      </c>
      <c r="H677" t="n">
        <v>0</v>
      </c>
      <c r="I677" t="n">
        <v>0</v>
      </c>
      <c r="J677" t="n">
        <v>0</v>
      </c>
      <c r="K677" t="n">
        <v>0</v>
      </c>
      <c r="L677" t="n">
        <v>0</v>
      </c>
      <c r="M677" t="n">
        <v>0</v>
      </c>
      <c r="N677" t="n">
        <v>0</v>
      </c>
      <c r="O677" t="n">
        <v>0</v>
      </c>
      <c r="P677" t="n">
        <v>0</v>
      </c>
      <c r="Q677" t="n">
        <v>0</v>
      </c>
      <c r="R677" s="2" t="inlineStr"/>
    </row>
    <row r="678" ht="15" customHeight="1">
      <c r="A678" t="inlineStr">
        <is>
          <t>A 6860-2022</t>
        </is>
      </c>
      <c r="B678" s="1" t="n">
        <v>44602</v>
      </c>
      <c r="C678" s="1" t="n">
        <v>45807</v>
      </c>
      <c r="D678" t="inlineStr">
        <is>
          <t>UPPSALA LÄN</t>
        </is>
      </c>
      <c r="E678" t="inlineStr">
        <is>
          <t>UPPSALA</t>
        </is>
      </c>
      <c r="G678" t="n">
        <v>14.8</v>
      </c>
      <c r="H678" t="n">
        <v>0</v>
      </c>
      <c r="I678" t="n">
        <v>0</v>
      </c>
      <c r="J678" t="n">
        <v>0</v>
      </c>
      <c r="K678" t="n">
        <v>0</v>
      </c>
      <c r="L678" t="n">
        <v>0</v>
      </c>
      <c r="M678" t="n">
        <v>0</v>
      </c>
      <c r="N678" t="n">
        <v>0</v>
      </c>
      <c r="O678" t="n">
        <v>0</v>
      </c>
      <c r="P678" t="n">
        <v>0</v>
      </c>
      <c r="Q678" t="n">
        <v>0</v>
      </c>
      <c r="R678" s="2" t="inlineStr"/>
    </row>
    <row r="679" ht="15" customHeight="1">
      <c r="A679" t="inlineStr">
        <is>
          <t>A 6989-2022</t>
        </is>
      </c>
      <c r="B679" s="1" t="n">
        <v>44603</v>
      </c>
      <c r="C679" s="1" t="n">
        <v>45807</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7040-2022</t>
        </is>
      </c>
      <c r="B680" s="1" t="n">
        <v>44603</v>
      </c>
      <c r="C680" s="1" t="n">
        <v>45807</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7124-2022</t>
        </is>
      </c>
      <c r="B681" s="1" t="n">
        <v>44603</v>
      </c>
      <c r="C681" s="1" t="n">
        <v>45807</v>
      </c>
      <c r="D681" t="inlineStr">
        <is>
          <t>UPPSALA LÄN</t>
        </is>
      </c>
      <c r="E681" t="inlineStr">
        <is>
          <t>UPPSALA</t>
        </is>
      </c>
      <c r="G681" t="n">
        <v>0.5</v>
      </c>
      <c r="H681" t="n">
        <v>0</v>
      </c>
      <c r="I681" t="n">
        <v>0</v>
      </c>
      <c r="J681" t="n">
        <v>0</v>
      </c>
      <c r="K681" t="n">
        <v>0</v>
      </c>
      <c r="L681" t="n">
        <v>0</v>
      </c>
      <c r="M681" t="n">
        <v>0</v>
      </c>
      <c r="N681" t="n">
        <v>0</v>
      </c>
      <c r="O681" t="n">
        <v>0</v>
      </c>
      <c r="P681" t="n">
        <v>0</v>
      </c>
      <c r="Q681" t="n">
        <v>0</v>
      </c>
      <c r="R681" s="2" t="inlineStr"/>
    </row>
    <row r="682" ht="15" customHeight="1">
      <c r="A682" t="inlineStr">
        <is>
          <t>A 7409-2022</t>
        </is>
      </c>
      <c r="B682" s="1" t="n">
        <v>44606</v>
      </c>
      <c r="C682" s="1" t="n">
        <v>45807</v>
      </c>
      <c r="D682" t="inlineStr">
        <is>
          <t>UPPSALA LÄN</t>
        </is>
      </c>
      <c r="E682" t="inlineStr">
        <is>
          <t>UPPSALA</t>
        </is>
      </c>
      <c r="G682" t="n">
        <v>4.3</v>
      </c>
      <c r="H682" t="n">
        <v>0</v>
      </c>
      <c r="I682" t="n">
        <v>0</v>
      </c>
      <c r="J682" t="n">
        <v>0</v>
      </c>
      <c r="K682" t="n">
        <v>0</v>
      </c>
      <c r="L682" t="n">
        <v>0</v>
      </c>
      <c r="M682" t="n">
        <v>0</v>
      </c>
      <c r="N682" t="n">
        <v>0</v>
      </c>
      <c r="O682" t="n">
        <v>0</v>
      </c>
      <c r="P682" t="n">
        <v>0</v>
      </c>
      <c r="Q682" t="n">
        <v>0</v>
      </c>
      <c r="R682" s="2" t="inlineStr"/>
    </row>
    <row r="683" ht="15" customHeight="1">
      <c r="A683" t="inlineStr">
        <is>
          <t>A 7899-2022</t>
        </is>
      </c>
      <c r="B683" s="1" t="n">
        <v>44608</v>
      </c>
      <c r="C683" s="1" t="n">
        <v>45807</v>
      </c>
      <c r="D683" t="inlineStr">
        <is>
          <t>UPPSALA LÄN</t>
        </is>
      </c>
      <c r="E683" t="inlineStr">
        <is>
          <t>UPPSALA</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8090-2022</t>
        </is>
      </c>
      <c r="B684" s="1" t="n">
        <v>44608</v>
      </c>
      <c r="C684" s="1" t="n">
        <v>45807</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45807</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8007-2022</t>
        </is>
      </c>
      <c r="B686" s="1" t="n">
        <v>44609</v>
      </c>
      <c r="C686" s="1" t="n">
        <v>45807</v>
      </c>
      <c r="D686" t="inlineStr">
        <is>
          <t>UPPSALA LÄN</t>
        </is>
      </c>
      <c r="E686" t="inlineStr">
        <is>
          <t>UPPSALA</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8132-2022</t>
        </is>
      </c>
      <c r="B687" s="1" t="n">
        <v>44609</v>
      </c>
      <c r="C687" s="1" t="n">
        <v>45807</v>
      </c>
      <c r="D687" t="inlineStr">
        <is>
          <t>UPPSALA LÄN</t>
        </is>
      </c>
      <c r="E687" t="inlineStr">
        <is>
          <t>UPPSALA</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8139-2022</t>
        </is>
      </c>
      <c r="B688" s="1" t="n">
        <v>44609</v>
      </c>
      <c r="C688" s="1" t="n">
        <v>45807</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8404-2022</t>
        </is>
      </c>
      <c r="B689" s="1" t="n">
        <v>44610</v>
      </c>
      <c r="C689" s="1" t="n">
        <v>45807</v>
      </c>
      <c r="D689" t="inlineStr">
        <is>
          <t>UPPSALA LÄN</t>
        </is>
      </c>
      <c r="E689" t="inlineStr">
        <is>
          <t>UPPSALA</t>
        </is>
      </c>
      <c r="F689" t="inlineStr">
        <is>
          <t>Allmännings- och besparingsskogar</t>
        </is>
      </c>
      <c r="G689" t="n">
        <v>5.4</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45807</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8465-2022</t>
        </is>
      </c>
      <c r="B691" s="1" t="n">
        <v>44610</v>
      </c>
      <c r="C691" s="1" t="n">
        <v>45807</v>
      </c>
      <c r="D691" t="inlineStr">
        <is>
          <t>UPPSALA LÄN</t>
        </is>
      </c>
      <c r="E691" t="inlineStr">
        <is>
          <t>UPPSALA</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8451-2022</t>
        </is>
      </c>
      <c r="B692" s="1" t="n">
        <v>44612</v>
      </c>
      <c r="C692" s="1" t="n">
        <v>45807</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8877-2022</t>
        </is>
      </c>
      <c r="B693" s="1" t="n">
        <v>44614</v>
      </c>
      <c r="C693" s="1" t="n">
        <v>45807</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8933-2022</t>
        </is>
      </c>
      <c r="B694" s="1" t="n">
        <v>44614</v>
      </c>
      <c r="C694" s="1" t="n">
        <v>45807</v>
      </c>
      <c r="D694" t="inlineStr">
        <is>
          <t>UPPSALA LÄN</t>
        </is>
      </c>
      <c r="E694" t="inlineStr">
        <is>
          <t>UPPSALA</t>
        </is>
      </c>
      <c r="F694" t="inlineStr">
        <is>
          <t>Holmen skog AB</t>
        </is>
      </c>
      <c r="G694" t="n">
        <v>3.6</v>
      </c>
      <c r="H694" t="n">
        <v>0</v>
      </c>
      <c r="I694" t="n">
        <v>0</v>
      </c>
      <c r="J694" t="n">
        <v>0</v>
      </c>
      <c r="K694" t="n">
        <v>0</v>
      </c>
      <c r="L694" t="n">
        <v>0</v>
      </c>
      <c r="M694" t="n">
        <v>0</v>
      </c>
      <c r="N694" t="n">
        <v>0</v>
      </c>
      <c r="O694" t="n">
        <v>0</v>
      </c>
      <c r="P694" t="n">
        <v>0</v>
      </c>
      <c r="Q694" t="n">
        <v>0</v>
      </c>
      <c r="R694" s="2" t="inlineStr"/>
    </row>
    <row r="695" ht="15" customHeight="1">
      <c r="A695" t="inlineStr">
        <is>
          <t>A 9206-2022</t>
        </is>
      </c>
      <c r="B695" s="1" t="n">
        <v>44616</v>
      </c>
      <c r="C695" s="1" t="n">
        <v>45807</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9242-2022</t>
        </is>
      </c>
      <c r="B696" s="1" t="n">
        <v>44616</v>
      </c>
      <c r="C696" s="1" t="n">
        <v>45807</v>
      </c>
      <c r="D696" t="inlineStr">
        <is>
          <t>UPPSALA LÄN</t>
        </is>
      </c>
      <c r="E696" t="inlineStr">
        <is>
          <t>UPPSALA</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9592-2022</t>
        </is>
      </c>
      <c r="B697" s="1" t="n">
        <v>44617</v>
      </c>
      <c r="C697" s="1" t="n">
        <v>45807</v>
      </c>
      <c r="D697" t="inlineStr">
        <is>
          <t>UPPSALA LÄN</t>
        </is>
      </c>
      <c r="E697" t="inlineStr">
        <is>
          <t>UPPSALA</t>
        </is>
      </c>
      <c r="G697" t="n">
        <v>7.5</v>
      </c>
      <c r="H697" t="n">
        <v>0</v>
      </c>
      <c r="I697" t="n">
        <v>0</v>
      </c>
      <c r="J697" t="n">
        <v>0</v>
      </c>
      <c r="K697" t="n">
        <v>0</v>
      </c>
      <c r="L697" t="n">
        <v>0</v>
      </c>
      <c r="M697" t="n">
        <v>0</v>
      </c>
      <c r="N697" t="n">
        <v>0</v>
      </c>
      <c r="O697" t="n">
        <v>0</v>
      </c>
      <c r="P697" t="n">
        <v>0</v>
      </c>
      <c r="Q697" t="n">
        <v>0</v>
      </c>
      <c r="R697" s="2" t="inlineStr"/>
    </row>
    <row r="698" ht="15" customHeight="1">
      <c r="A698" t="inlineStr">
        <is>
          <t>A 10411-2022</t>
        </is>
      </c>
      <c r="B698" s="1" t="n">
        <v>44623</v>
      </c>
      <c r="C698" s="1" t="n">
        <v>45807</v>
      </c>
      <c r="D698" t="inlineStr">
        <is>
          <t>UPPSALA LÄN</t>
        </is>
      </c>
      <c r="E698" t="inlineStr">
        <is>
          <t>UPPSALA</t>
        </is>
      </c>
      <c r="F698" t="inlineStr">
        <is>
          <t>Övriga Aktiebolag</t>
        </is>
      </c>
      <c r="G698" t="n">
        <v>4.2</v>
      </c>
      <c r="H698" t="n">
        <v>0</v>
      </c>
      <c r="I698" t="n">
        <v>0</v>
      </c>
      <c r="J698" t="n">
        <v>0</v>
      </c>
      <c r="K698" t="n">
        <v>0</v>
      </c>
      <c r="L698" t="n">
        <v>0</v>
      </c>
      <c r="M698" t="n">
        <v>0</v>
      </c>
      <c r="N698" t="n">
        <v>0</v>
      </c>
      <c r="O698" t="n">
        <v>0</v>
      </c>
      <c r="P698" t="n">
        <v>0</v>
      </c>
      <c r="Q698" t="n">
        <v>0</v>
      </c>
      <c r="R698" s="2" t="inlineStr"/>
    </row>
    <row r="699" ht="15" customHeight="1">
      <c r="A699" t="inlineStr">
        <is>
          <t>A 10383-2022</t>
        </is>
      </c>
      <c r="B699" s="1" t="n">
        <v>44623</v>
      </c>
      <c r="C699" s="1" t="n">
        <v>45807</v>
      </c>
      <c r="D699" t="inlineStr">
        <is>
          <t>UPPSALA LÄN</t>
        </is>
      </c>
      <c r="E699" t="inlineStr">
        <is>
          <t>UPPSALA</t>
        </is>
      </c>
      <c r="F699" t="inlineStr">
        <is>
          <t>Övriga Aktiebolag</t>
        </is>
      </c>
      <c r="G699" t="n">
        <v>2.8</v>
      </c>
      <c r="H699" t="n">
        <v>0</v>
      </c>
      <c r="I699" t="n">
        <v>0</v>
      </c>
      <c r="J699" t="n">
        <v>0</v>
      </c>
      <c r="K699" t="n">
        <v>0</v>
      </c>
      <c r="L699" t="n">
        <v>0</v>
      </c>
      <c r="M699" t="n">
        <v>0</v>
      </c>
      <c r="N699" t="n">
        <v>0</v>
      </c>
      <c r="O699" t="n">
        <v>0</v>
      </c>
      <c r="P699" t="n">
        <v>0</v>
      </c>
      <c r="Q699" t="n">
        <v>0</v>
      </c>
      <c r="R699" s="2" t="inlineStr"/>
    </row>
    <row r="700" ht="15" customHeight="1">
      <c r="A700" t="inlineStr">
        <is>
          <t>A 10456-2022</t>
        </is>
      </c>
      <c r="B700" s="1" t="n">
        <v>44623</v>
      </c>
      <c r="C700" s="1" t="n">
        <v>45807</v>
      </c>
      <c r="D700" t="inlineStr">
        <is>
          <t>UPPSALA LÄN</t>
        </is>
      </c>
      <c r="E700" t="inlineStr">
        <is>
          <t>UPPSALA</t>
        </is>
      </c>
      <c r="F700" t="inlineStr">
        <is>
          <t>Övriga Aktiebolag</t>
        </is>
      </c>
      <c r="G700" t="n">
        <v>12.6</v>
      </c>
      <c r="H700" t="n">
        <v>0</v>
      </c>
      <c r="I700" t="n">
        <v>0</v>
      </c>
      <c r="J700" t="n">
        <v>0</v>
      </c>
      <c r="K700" t="n">
        <v>0</v>
      </c>
      <c r="L700" t="n">
        <v>0</v>
      </c>
      <c r="M700" t="n">
        <v>0</v>
      </c>
      <c r="N700" t="n">
        <v>0</v>
      </c>
      <c r="O700" t="n">
        <v>0</v>
      </c>
      <c r="P700" t="n">
        <v>0</v>
      </c>
      <c r="Q700" t="n">
        <v>0</v>
      </c>
      <c r="R700" s="2" t="inlineStr"/>
    </row>
    <row r="701" ht="15" customHeight="1">
      <c r="A701" t="inlineStr">
        <is>
          <t>A 10464-2022</t>
        </is>
      </c>
      <c r="B701" s="1" t="n">
        <v>44623</v>
      </c>
      <c r="C701" s="1" t="n">
        <v>45807</v>
      </c>
      <c r="D701" t="inlineStr">
        <is>
          <t>UPPSALA LÄN</t>
        </is>
      </c>
      <c r="E701" t="inlineStr">
        <is>
          <t>UPPSALA</t>
        </is>
      </c>
      <c r="F701" t="inlineStr">
        <is>
          <t>Övriga Aktiebolag</t>
        </is>
      </c>
      <c r="G701" t="n">
        <v>0.7</v>
      </c>
      <c r="H701" t="n">
        <v>0</v>
      </c>
      <c r="I701" t="n">
        <v>0</v>
      </c>
      <c r="J701" t="n">
        <v>0</v>
      </c>
      <c r="K701" t="n">
        <v>0</v>
      </c>
      <c r="L701" t="n">
        <v>0</v>
      </c>
      <c r="M701" t="n">
        <v>0</v>
      </c>
      <c r="N701" t="n">
        <v>0</v>
      </c>
      <c r="O701" t="n">
        <v>0</v>
      </c>
      <c r="P701" t="n">
        <v>0</v>
      </c>
      <c r="Q701" t="n">
        <v>0</v>
      </c>
      <c r="R701" s="2" t="inlineStr"/>
    </row>
    <row r="702" ht="15" customHeight="1">
      <c r="A702" t="inlineStr">
        <is>
          <t>A 10565-2022</t>
        </is>
      </c>
      <c r="B702" s="1" t="n">
        <v>44624</v>
      </c>
      <c r="C702" s="1" t="n">
        <v>45807</v>
      </c>
      <c r="D702" t="inlineStr">
        <is>
          <t>UPPSALA LÄN</t>
        </is>
      </c>
      <c r="E702" t="inlineStr">
        <is>
          <t>UPPSALA</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10674-2022</t>
        </is>
      </c>
      <c r="B703" s="1" t="n">
        <v>44624</v>
      </c>
      <c r="C703" s="1" t="n">
        <v>45807</v>
      </c>
      <c r="D703" t="inlineStr">
        <is>
          <t>UPPSALA LÄN</t>
        </is>
      </c>
      <c r="E703" t="inlineStr">
        <is>
          <t>UPPSALA</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11162-2022</t>
        </is>
      </c>
      <c r="B704" s="1" t="n">
        <v>44629</v>
      </c>
      <c r="C704" s="1" t="n">
        <v>45807</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11224-2022</t>
        </is>
      </c>
      <c r="B705" s="1" t="n">
        <v>44629</v>
      </c>
      <c r="C705" s="1" t="n">
        <v>45807</v>
      </c>
      <c r="D705" t="inlineStr">
        <is>
          <t>UPPSALA LÄN</t>
        </is>
      </c>
      <c r="E705" t="inlineStr">
        <is>
          <t>UPPSALA</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11787-2022</t>
        </is>
      </c>
      <c r="B706" s="1" t="n">
        <v>44634</v>
      </c>
      <c r="C706" s="1" t="n">
        <v>45807</v>
      </c>
      <c r="D706" t="inlineStr">
        <is>
          <t>UPPSALA LÄN</t>
        </is>
      </c>
      <c r="E706" t="inlineStr">
        <is>
          <t>UPPSALA</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11693-2022</t>
        </is>
      </c>
      <c r="B707" s="1" t="n">
        <v>44634</v>
      </c>
      <c r="C707" s="1" t="n">
        <v>45807</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12221-2022</t>
        </is>
      </c>
      <c r="B708" s="1" t="n">
        <v>44637</v>
      </c>
      <c r="C708" s="1" t="n">
        <v>45807</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12293-2022</t>
        </is>
      </c>
      <c r="B709" s="1" t="n">
        <v>44637</v>
      </c>
      <c r="C709" s="1" t="n">
        <v>45807</v>
      </c>
      <c r="D709" t="inlineStr">
        <is>
          <t>UPPSALA LÄN</t>
        </is>
      </c>
      <c r="E709" t="inlineStr">
        <is>
          <t>UPPSALA</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13009-2022</t>
        </is>
      </c>
      <c r="B710" s="1" t="n">
        <v>44643</v>
      </c>
      <c r="C710" s="1" t="n">
        <v>45807</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13134-2022</t>
        </is>
      </c>
      <c r="B711" s="1" t="n">
        <v>44644</v>
      </c>
      <c r="C711" s="1" t="n">
        <v>45807</v>
      </c>
      <c r="D711" t="inlineStr">
        <is>
          <t>UPPSALA LÄN</t>
        </is>
      </c>
      <c r="E711" t="inlineStr">
        <is>
          <t>UPPSALA</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13128-2022</t>
        </is>
      </c>
      <c r="B712" s="1" t="n">
        <v>44644</v>
      </c>
      <c r="C712" s="1" t="n">
        <v>45807</v>
      </c>
      <c r="D712" t="inlineStr">
        <is>
          <t>UPPSALA LÄN</t>
        </is>
      </c>
      <c r="E712" t="inlineStr">
        <is>
          <t>UPPSALA</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13386-2022</t>
        </is>
      </c>
      <c r="B713" s="1" t="n">
        <v>44645</v>
      </c>
      <c r="C713" s="1" t="n">
        <v>45807</v>
      </c>
      <c r="D713" t="inlineStr">
        <is>
          <t>UPPSALA LÄN</t>
        </is>
      </c>
      <c r="E713" t="inlineStr">
        <is>
          <t>UPPSALA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13343-2022</t>
        </is>
      </c>
      <c r="B714" s="1" t="n">
        <v>44645</v>
      </c>
      <c r="C714" s="1" t="n">
        <v>45807</v>
      </c>
      <c r="D714" t="inlineStr">
        <is>
          <t>UPPSALA LÄN</t>
        </is>
      </c>
      <c r="E714" t="inlineStr">
        <is>
          <t>UPPSALA</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13892-2022</t>
        </is>
      </c>
      <c r="B715" s="1" t="n">
        <v>44649</v>
      </c>
      <c r="C715" s="1" t="n">
        <v>45807</v>
      </c>
      <c r="D715" t="inlineStr">
        <is>
          <t>UPPSALA LÄN</t>
        </is>
      </c>
      <c r="E715" t="inlineStr">
        <is>
          <t>UPPSALA</t>
        </is>
      </c>
      <c r="G715" t="n">
        <v>3.3</v>
      </c>
      <c r="H715" t="n">
        <v>0</v>
      </c>
      <c r="I715" t="n">
        <v>0</v>
      </c>
      <c r="J715" t="n">
        <v>0</v>
      </c>
      <c r="K715" t="n">
        <v>0</v>
      </c>
      <c r="L715" t="n">
        <v>0</v>
      </c>
      <c r="M715" t="n">
        <v>0</v>
      </c>
      <c r="N715" t="n">
        <v>0</v>
      </c>
      <c r="O715" t="n">
        <v>0</v>
      </c>
      <c r="P715" t="n">
        <v>0</v>
      </c>
      <c r="Q715" t="n">
        <v>0</v>
      </c>
      <c r="R715" s="2" t="inlineStr"/>
    </row>
    <row r="716" ht="15" customHeight="1">
      <c r="A716" t="inlineStr">
        <is>
          <t>A 13901-2022</t>
        </is>
      </c>
      <c r="B716" s="1" t="n">
        <v>44649</v>
      </c>
      <c r="C716" s="1" t="n">
        <v>45807</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14337-2022</t>
        </is>
      </c>
      <c r="B717" s="1" t="n">
        <v>44652</v>
      </c>
      <c r="C717" s="1" t="n">
        <v>45807</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14355-2022</t>
        </is>
      </c>
      <c r="B718" s="1" t="n">
        <v>44652</v>
      </c>
      <c r="C718" s="1" t="n">
        <v>45807</v>
      </c>
      <c r="D718" t="inlineStr">
        <is>
          <t>UPPSALA LÄN</t>
        </is>
      </c>
      <c r="E718" t="inlineStr">
        <is>
          <t>UPPSALA</t>
        </is>
      </c>
      <c r="F718" t="inlineStr">
        <is>
          <t>Bergvik skog öst AB</t>
        </is>
      </c>
      <c r="G718" t="n">
        <v>7.8</v>
      </c>
      <c r="H718" t="n">
        <v>0</v>
      </c>
      <c r="I718" t="n">
        <v>0</v>
      </c>
      <c r="J718" t="n">
        <v>0</v>
      </c>
      <c r="K718" t="n">
        <v>0</v>
      </c>
      <c r="L718" t="n">
        <v>0</v>
      </c>
      <c r="M718" t="n">
        <v>0</v>
      </c>
      <c r="N718" t="n">
        <v>0</v>
      </c>
      <c r="O718" t="n">
        <v>0</v>
      </c>
      <c r="P718" t="n">
        <v>0</v>
      </c>
      <c r="Q718" t="n">
        <v>0</v>
      </c>
      <c r="R718" s="2" t="inlineStr"/>
    </row>
    <row r="719" ht="15" customHeight="1">
      <c r="A719" t="inlineStr">
        <is>
          <t>A 14340-2022</t>
        </is>
      </c>
      <c r="B719" s="1" t="n">
        <v>44652</v>
      </c>
      <c r="C719" s="1" t="n">
        <v>45807</v>
      </c>
      <c r="D719" t="inlineStr">
        <is>
          <t>UPPSALA LÄN</t>
        </is>
      </c>
      <c r="E719" t="inlineStr">
        <is>
          <t>UPPSALA</t>
        </is>
      </c>
      <c r="F719" t="inlineStr">
        <is>
          <t>Bergvik skog öst AB</t>
        </is>
      </c>
      <c r="G719" t="n">
        <v>4</v>
      </c>
      <c r="H719" t="n">
        <v>0</v>
      </c>
      <c r="I719" t="n">
        <v>0</v>
      </c>
      <c r="J719" t="n">
        <v>0</v>
      </c>
      <c r="K719" t="n">
        <v>0</v>
      </c>
      <c r="L719" t="n">
        <v>0</v>
      </c>
      <c r="M719" t="n">
        <v>0</v>
      </c>
      <c r="N719" t="n">
        <v>0</v>
      </c>
      <c r="O719" t="n">
        <v>0</v>
      </c>
      <c r="P719" t="n">
        <v>0</v>
      </c>
      <c r="Q719" t="n">
        <v>0</v>
      </c>
      <c r="R719" s="2" t="inlineStr"/>
    </row>
    <row r="720" ht="15" customHeight="1">
      <c r="A720" t="inlineStr">
        <is>
          <t>A 14622-2022</t>
        </is>
      </c>
      <c r="B720" s="1" t="n">
        <v>44655</v>
      </c>
      <c r="C720" s="1" t="n">
        <v>45807</v>
      </c>
      <c r="D720" t="inlineStr">
        <is>
          <t>UPPSALA LÄN</t>
        </is>
      </c>
      <c r="E720" t="inlineStr">
        <is>
          <t>UPPSALA</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15436-2022</t>
        </is>
      </c>
      <c r="B721" s="1" t="n">
        <v>44659</v>
      </c>
      <c r="C721" s="1" t="n">
        <v>45807</v>
      </c>
      <c r="D721" t="inlineStr">
        <is>
          <t>UPPSALA LÄN</t>
        </is>
      </c>
      <c r="E721" t="inlineStr">
        <is>
          <t>UPPSALA</t>
        </is>
      </c>
      <c r="G721" t="n">
        <v>14.4</v>
      </c>
      <c r="H721" t="n">
        <v>0</v>
      </c>
      <c r="I721" t="n">
        <v>0</v>
      </c>
      <c r="J721" t="n">
        <v>0</v>
      </c>
      <c r="K721" t="n">
        <v>0</v>
      </c>
      <c r="L721" t="n">
        <v>0</v>
      </c>
      <c r="M721" t="n">
        <v>0</v>
      </c>
      <c r="N721" t="n">
        <v>0</v>
      </c>
      <c r="O721" t="n">
        <v>0</v>
      </c>
      <c r="P721" t="n">
        <v>0</v>
      </c>
      <c r="Q721" t="n">
        <v>0</v>
      </c>
      <c r="R721" s="2" t="inlineStr"/>
    </row>
    <row r="722" ht="15" customHeight="1">
      <c r="A722" t="inlineStr">
        <is>
          <t>A 15377-2022</t>
        </is>
      </c>
      <c r="B722" s="1" t="n">
        <v>44659</v>
      </c>
      <c r="C722" s="1" t="n">
        <v>45807</v>
      </c>
      <c r="D722" t="inlineStr">
        <is>
          <t>UPPSALA LÄN</t>
        </is>
      </c>
      <c r="E722" t="inlineStr">
        <is>
          <t>UPPSALA</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15310-2022</t>
        </is>
      </c>
      <c r="B723" s="1" t="n">
        <v>44659</v>
      </c>
      <c r="C723" s="1" t="n">
        <v>45807</v>
      </c>
      <c r="D723" t="inlineStr">
        <is>
          <t>UPPSALA LÄN</t>
        </is>
      </c>
      <c r="E723" t="inlineStr">
        <is>
          <t>UPPSALA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15583-2022</t>
        </is>
      </c>
      <c r="B724" s="1" t="n">
        <v>44662</v>
      </c>
      <c r="C724" s="1" t="n">
        <v>45807</v>
      </c>
      <c r="D724" t="inlineStr">
        <is>
          <t>UPPSALA LÄN</t>
        </is>
      </c>
      <c r="E724" t="inlineStr">
        <is>
          <t>UPPSALA</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15735-2022</t>
        </is>
      </c>
      <c r="B725" s="1" t="n">
        <v>44663</v>
      </c>
      <c r="C725" s="1" t="n">
        <v>45807</v>
      </c>
      <c r="D725" t="inlineStr">
        <is>
          <t>UPPSALA LÄN</t>
        </is>
      </c>
      <c r="E725" t="inlineStr">
        <is>
          <t>UPPSALA</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16126-2022</t>
        </is>
      </c>
      <c r="B726" s="1" t="n">
        <v>44665</v>
      </c>
      <c r="C726" s="1" t="n">
        <v>45807</v>
      </c>
      <c r="D726" t="inlineStr">
        <is>
          <t>UPPSALA LÄN</t>
        </is>
      </c>
      <c r="E726" t="inlineStr">
        <is>
          <t>UPPSALA</t>
        </is>
      </c>
      <c r="F726" t="inlineStr">
        <is>
          <t>Bergvik skog öst AB</t>
        </is>
      </c>
      <c r="G726" t="n">
        <v>4.4</v>
      </c>
      <c r="H726" t="n">
        <v>0</v>
      </c>
      <c r="I726" t="n">
        <v>0</v>
      </c>
      <c r="J726" t="n">
        <v>0</v>
      </c>
      <c r="K726" t="n">
        <v>0</v>
      </c>
      <c r="L726" t="n">
        <v>0</v>
      </c>
      <c r="M726" t="n">
        <v>0</v>
      </c>
      <c r="N726" t="n">
        <v>0</v>
      </c>
      <c r="O726" t="n">
        <v>0</v>
      </c>
      <c r="P726" t="n">
        <v>0</v>
      </c>
      <c r="Q726" t="n">
        <v>0</v>
      </c>
      <c r="R726" s="2" t="inlineStr"/>
    </row>
    <row r="727" ht="15" customHeight="1">
      <c r="A727" t="inlineStr">
        <is>
          <t>A 16804-2022</t>
        </is>
      </c>
      <c r="B727" s="1" t="n">
        <v>44673</v>
      </c>
      <c r="C727" s="1" t="n">
        <v>45807</v>
      </c>
      <c r="D727" t="inlineStr">
        <is>
          <t>UPPSALA LÄN</t>
        </is>
      </c>
      <c r="E727" t="inlineStr">
        <is>
          <t>UPPSALA</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16828-2022</t>
        </is>
      </c>
      <c r="B728" s="1" t="n">
        <v>44673</v>
      </c>
      <c r="C728" s="1" t="n">
        <v>45807</v>
      </c>
      <c r="D728" t="inlineStr">
        <is>
          <t>UPPSALA LÄN</t>
        </is>
      </c>
      <c r="E728" t="inlineStr">
        <is>
          <t>UPPSALA</t>
        </is>
      </c>
      <c r="F728" t="inlineStr">
        <is>
          <t>Bergvik skog öst AB</t>
        </is>
      </c>
      <c r="G728" t="n">
        <v>4.1</v>
      </c>
      <c r="H728" t="n">
        <v>0</v>
      </c>
      <c r="I728" t="n">
        <v>0</v>
      </c>
      <c r="J728" t="n">
        <v>0</v>
      </c>
      <c r="K728" t="n">
        <v>0</v>
      </c>
      <c r="L728" t="n">
        <v>0</v>
      </c>
      <c r="M728" t="n">
        <v>0</v>
      </c>
      <c r="N728" t="n">
        <v>0</v>
      </c>
      <c r="O728" t="n">
        <v>0</v>
      </c>
      <c r="P728" t="n">
        <v>0</v>
      </c>
      <c r="Q728" t="n">
        <v>0</v>
      </c>
      <c r="R728" s="2" t="inlineStr"/>
    </row>
    <row r="729" ht="15" customHeight="1">
      <c r="A729" t="inlineStr">
        <is>
          <t>A 16827-2022</t>
        </is>
      </c>
      <c r="B729" s="1" t="n">
        <v>44673</v>
      </c>
      <c r="C729" s="1" t="n">
        <v>45807</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16831-2022</t>
        </is>
      </c>
      <c r="B730" s="1" t="n">
        <v>44673</v>
      </c>
      <c r="C730" s="1" t="n">
        <v>45807</v>
      </c>
      <c r="D730" t="inlineStr">
        <is>
          <t>UPPSALA LÄN</t>
        </is>
      </c>
      <c r="E730" t="inlineStr">
        <is>
          <t>UPPSALA</t>
        </is>
      </c>
      <c r="F730" t="inlineStr">
        <is>
          <t>Bergvik skog öst AB</t>
        </is>
      </c>
      <c r="G730" t="n">
        <v>5.8</v>
      </c>
      <c r="H730" t="n">
        <v>0</v>
      </c>
      <c r="I730" t="n">
        <v>0</v>
      </c>
      <c r="J730" t="n">
        <v>0</v>
      </c>
      <c r="K730" t="n">
        <v>0</v>
      </c>
      <c r="L730" t="n">
        <v>0</v>
      </c>
      <c r="M730" t="n">
        <v>0</v>
      </c>
      <c r="N730" t="n">
        <v>0</v>
      </c>
      <c r="O730" t="n">
        <v>0</v>
      </c>
      <c r="P730" t="n">
        <v>0</v>
      </c>
      <c r="Q730" t="n">
        <v>0</v>
      </c>
      <c r="R730" s="2" t="inlineStr"/>
    </row>
    <row r="731" ht="15" customHeight="1">
      <c r="A731" t="inlineStr">
        <is>
          <t>A 16826-2022</t>
        </is>
      </c>
      <c r="B731" s="1" t="n">
        <v>44673</v>
      </c>
      <c r="C731" s="1" t="n">
        <v>45807</v>
      </c>
      <c r="D731" t="inlineStr">
        <is>
          <t>UPPSALA LÄN</t>
        </is>
      </c>
      <c r="E731" t="inlineStr">
        <is>
          <t>UPPSALA</t>
        </is>
      </c>
      <c r="F731" t="inlineStr">
        <is>
          <t>Bergvik skog öst AB</t>
        </is>
      </c>
      <c r="G731" t="n">
        <v>7.1</v>
      </c>
      <c r="H731" t="n">
        <v>0</v>
      </c>
      <c r="I731" t="n">
        <v>0</v>
      </c>
      <c r="J731" t="n">
        <v>0</v>
      </c>
      <c r="K731" t="n">
        <v>0</v>
      </c>
      <c r="L731" t="n">
        <v>0</v>
      </c>
      <c r="M731" t="n">
        <v>0</v>
      </c>
      <c r="N731" t="n">
        <v>0</v>
      </c>
      <c r="O731" t="n">
        <v>0</v>
      </c>
      <c r="P731" t="n">
        <v>0</v>
      </c>
      <c r="Q731" t="n">
        <v>0</v>
      </c>
      <c r="R731" s="2" t="inlineStr"/>
    </row>
    <row r="732" ht="15" customHeight="1">
      <c r="A732" t="inlineStr">
        <is>
          <t>A 16942-2022</t>
        </is>
      </c>
      <c r="B732" s="1" t="n">
        <v>44676</v>
      </c>
      <c r="C732" s="1" t="n">
        <v>45807</v>
      </c>
      <c r="D732" t="inlineStr">
        <is>
          <t>UPPSALA LÄN</t>
        </is>
      </c>
      <c r="E732" t="inlineStr">
        <is>
          <t>UPPSALA</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16892-2022</t>
        </is>
      </c>
      <c r="B733" s="1" t="n">
        <v>44676</v>
      </c>
      <c r="C733" s="1" t="n">
        <v>45807</v>
      </c>
      <c r="D733" t="inlineStr">
        <is>
          <t>UPPSALA LÄN</t>
        </is>
      </c>
      <c r="E733" t="inlineStr">
        <is>
          <t>UPPSALA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16978-2022</t>
        </is>
      </c>
      <c r="B734" s="1" t="n">
        <v>44676</v>
      </c>
      <c r="C734" s="1" t="n">
        <v>45807</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16898-2022</t>
        </is>
      </c>
      <c r="B735" s="1" t="n">
        <v>44676</v>
      </c>
      <c r="C735" s="1" t="n">
        <v>45807</v>
      </c>
      <c r="D735" t="inlineStr">
        <is>
          <t>UPPSALA LÄN</t>
        </is>
      </c>
      <c r="E735" t="inlineStr">
        <is>
          <t>UPPSALA</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17232-2022</t>
        </is>
      </c>
      <c r="B736" s="1" t="n">
        <v>44678</v>
      </c>
      <c r="C736" s="1" t="n">
        <v>45807</v>
      </c>
      <c r="D736" t="inlineStr">
        <is>
          <t>UPPSALA LÄN</t>
        </is>
      </c>
      <c r="E736" t="inlineStr">
        <is>
          <t>UPPSALA</t>
        </is>
      </c>
      <c r="F736" t="inlineStr">
        <is>
          <t>Övriga Aktiebolag</t>
        </is>
      </c>
      <c r="G736" t="n">
        <v>7.4</v>
      </c>
      <c r="H736" t="n">
        <v>0</v>
      </c>
      <c r="I736" t="n">
        <v>0</v>
      </c>
      <c r="J736" t="n">
        <v>0</v>
      </c>
      <c r="K736" t="n">
        <v>0</v>
      </c>
      <c r="L736" t="n">
        <v>0</v>
      </c>
      <c r="M736" t="n">
        <v>0</v>
      </c>
      <c r="N736" t="n">
        <v>0</v>
      </c>
      <c r="O736" t="n">
        <v>0</v>
      </c>
      <c r="P736" t="n">
        <v>0</v>
      </c>
      <c r="Q736" t="n">
        <v>0</v>
      </c>
      <c r="R736" s="2" t="inlineStr"/>
    </row>
    <row r="737" ht="15" customHeight="1">
      <c r="A737" t="inlineStr">
        <is>
          <t>A 17562-2022</t>
        </is>
      </c>
      <c r="B737" s="1" t="n">
        <v>44679</v>
      </c>
      <c r="C737" s="1" t="n">
        <v>45807</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17558-2022</t>
        </is>
      </c>
      <c r="B738" s="1" t="n">
        <v>44679</v>
      </c>
      <c r="C738" s="1" t="n">
        <v>45807</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17981-2022</t>
        </is>
      </c>
      <c r="B739" s="1" t="n">
        <v>44683</v>
      </c>
      <c r="C739" s="1" t="n">
        <v>45807</v>
      </c>
      <c r="D739" t="inlineStr">
        <is>
          <t>UPPSALA LÄN</t>
        </is>
      </c>
      <c r="E739" t="inlineStr">
        <is>
          <t>UPPSALA</t>
        </is>
      </c>
      <c r="F739" t="inlineStr">
        <is>
          <t>Bergvik skog öst AB</t>
        </is>
      </c>
      <c r="G739" t="n">
        <v>6.7</v>
      </c>
      <c r="H739" t="n">
        <v>0</v>
      </c>
      <c r="I739" t="n">
        <v>0</v>
      </c>
      <c r="J739" t="n">
        <v>0</v>
      </c>
      <c r="K739" t="n">
        <v>0</v>
      </c>
      <c r="L739" t="n">
        <v>0</v>
      </c>
      <c r="M739" t="n">
        <v>0</v>
      </c>
      <c r="N739" t="n">
        <v>0</v>
      </c>
      <c r="O739" t="n">
        <v>0</v>
      </c>
      <c r="P739" t="n">
        <v>0</v>
      </c>
      <c r="Q739" t="n">
        <v>0</v>
      </c>
      <c r="R739" s="2" t="inlineStr"/>
    </row>
    <row r="740" ht="15" customHeight="1">
      <c r="A740" t="inlineStr">
        <is>
          <t>A 18330-2022</t>
        </is>
      </c>
      <c r="B740" s="1" t="n">
        <v>44685</v>
      </c>
      <c r="C740" s="1" t="n">
        <v>45807</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18521-2022</t>
        </is>
      </c>
      <c r="B741" s="1" t="n">
        <v>44686</v>
      </c>
      <c r="C741" s="1" t="n">
        <v>45807</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18583-2022</t>
        </is>
      </c>
      <c r="B742" s="1" t="n">
        <v>44687</v>
      </c>
      <c r="C742" s="1" t="n">
        <v>45807</v>
      </c>
      <c r="D742" t="inlineStr">
        <is>
          <t>UPPSALA LÄN</t>
        </is>
      </c>
      <c r="E742" t="inlineStr">
        <is>
          <t>UPPSALA</t>
        </is>
      </c>
      <c r="F742" t="inlineStr">
        <is>
          <t>Övriga Aktiebolag</t>
        </is>
      </c>
      <c r="G742" t="n">
        <v>6.4</v>
      </c>
      <c r="H742" t="n">
        <v>0</v>
      </c>
      <c r="I742" t="n">
        <v>0</v>
      </c>
      <c r="J742" t="n">
        <v>0</v>
      </c>
      <c r="K742" t="n">
        <v>0</v>
      </c>
      <c r="L742" t="n">
        <v>0</v>
      </c>
      <c r="M742" t="n">
        <v>0</v>
      </c>
      <c r="N742" t="n">
        <v>0</v>
      </c>
      <c r="O742" t="n">
        <v>0</v>
      </c>
      <c r="P742" t="n">
        <v>0</v>
      </c>
      <c r="Q742" t="n">
        <v>0</v>
      </c>
      <c r="R742" s="2" t="inlineStr"/>
    </row>
    <row r="743" ht="15" customHeight="1">
      <c r="A743" t="inlineStr">
        <is>
          <t>A 18960-2022</t>
        </is>
      </c>
      <c r="B743" s="1" t="n">
        <v>44690</v>
      </c>
      <c r="C743" s="1" t="n">
        <v>45807</v>
      </c>
      <c r="D743" t="inlineStr">
        <is>
          <t>UPPSALA LÄN</t>
        </is>
      </c>
      <c r="E743" t="inlineStr">
        <is>
          <t>UPPSALA</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19034-2022</t>
        </is>
      </c>
      <c r="B744" s="1" t="n">
        <v>44691</v>
      </c>
      <c r="C744" s="1" t="n">
        <v>45807</v>
      </c>
      <c r="D744" t="inlineStr">
        <is>
          <t>UPPSALA LÄN</t>
        </is>
      </c>
      <c r="E744" t="inlineStr">
        <is>
          <t>UPPSALA</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19240-2022</t>
        </is>
      </c>
      <c r="B745" s="1" t="n">
        <v>44692</v>
      </c>
      <c r="C745" s="1" t="n">
        <v>45807</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19375-2022</t>
        </is>
      </c>
      <c r="B746" s="1" t="n">
        <v>44692</v>
      </c>
      <c r="C746" s="1" t="n">
        <v>45807</v>
      </c>
      <c r="D746" t="inlineStr">
        <is>
          <t>UPPSALA LÄN</t>
        </is>
      </c>
      <c r="E746" t="inlineStr">
        <is>
          <t>UPPSALA</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19380-2022</t>
        </is>
      </c>
      <c r="B747" s="1" t="n">
        <v>44692</v>
      </c>
      <c r="C747" s="1" t="n">
        <v>45807</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19382-2022</t>
        </is>
      </c>
      <c r="B748" s="1" t="n">
        <v>44692</v>
      </c>
      <c r="C748" s="1" t="n">
        <v>45807</v>
      </c>
      <c r="D748" t="inlineStr">
        <is>
          <t>UPPSALA LÄN</t>
        </is>
      </c>
      <c r="E748" t="inlineStr">
        <is>
          <t>UPPSALA</t>
        </is>
      </c>
      <c r="G748" t="n">
        <v>4.3</v>
      </c>
      <c r="H748" t="n">
        <v>0</v>
      </c>
      <c r="I748" t="n">
        <v>0</v>
      </c>
      <c r="J748" t="n">
        <v>0</v>
      </c>
      <c r="K748" t="n">
        <v>0</v>
      </c>
      <c r="L748" t="n">
        <v>0</v>
      </c>
      <c r="M748" t="n">
        <v>0</v>
      </c>
      <c r="N748" t="n">
        <v>0</v>
      </c>
      <c r="O748" t="n">
        <v>0</v>
      </c>
      <c r="P748" t="n">
        <v>0</v>
      </c>
      <c r="Q748" t="n">
        <v>0</v>
      </c>
      <c r="R748" s="2" t="inlineStr"/>
    </row>
    <row r="749" ht="15" customHeight="1">
      <c r="A749" t="inlineStr">
        <is>
          <t>A 20265-2022</t>
        </is>
      </c>
      <c r="B749" s="1" t="n">
        <v>44698</v>
      </c>
      <c r="C749" s="1" t="n">
        <v>45807</v>
      </c>
      <c r="D749" t="inlineStr">
        <is>
          <t>UPPSALA LÄN</t>
        </is>
      </c>
      <c r="E749" t="inlineStr">
        <is>
          <t>UPPSALA</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20497-2022</t>
        </is>
      </c>
      <c r="B750" s="1" t="n">
        <v>44699</v>
      </c>
      <c r="C750" s="1" t="n">
        <v>45807</v>
      </c>
      <c r="D750" t="inlineStr">
        <is>
          <t>UPPSALA LÄN</t>
        </is>
      </c>
      <c r="E750" t="inlineStr">
        <is>
          <t>UPPSALA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20770-2022</t>
        </is>
      </c>
      <c r="B751" s="1" t="n">
        <v>44700</v>
      </c>
      <c r="C751" s="1" t="n">
        <v>45807</v>
      </c>
      <c r="D751" t="inlineStr">
        <is>
          <t>UPPSALA LÄN</t>
        </is>
      </c>
      <c r="E751" t="inlineStr">
        <is>
          <t>UPPSALA</t>
        </is>
      </c>
      <c r="G751" t="n">
        <v>3.7</v>
      </c>
      <c r="H751" t="n">
        <v>0</v>
      </c>
      <c r="I751" t="n">
        <v>0</v>
      </c>
      <c r="J751" t="n">
        <v>0</v>
      </c>
      <c r="K751" t="n">
        <v>0</v>
      </c>
      <c r="L751" t="n">
        <v>0</v>
      </c>
      <c r="M751" t="n">
        <v>0</v>
      </c>
      <c r="N751" t="n">
        <v>0</v>
      </c>
      <c r="O751" t="n">
        <v>0</v>
      </c>
      <c r="P751" t="n">
        <v>0</v>
      </c>
      <c r="Q751" t="n">
        <v>0</v>
      </c>
      <c r="R751" s="2" t="inlineStr"/>
    </row>
    <row r="752" ht="15" customHeight="1">
      <c r="A752" t="inlineStr">
        <is>
          <t>A 20764-2022</t>
        </is>
      </c>
      <c r="B752" s="1" t="n">
        <v>44700</v>
      </c>
      <c r="C752" s="1" t="n">
        <v>45807</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20938-2022</t>
        </is>
      </c>
      <c r="B753" s="1" t="n">
        <v>44701</v>
      </c>
      <c r="C753" s="1" t="n">
        <v>45807</v>
      </c>
      <c r="D753" t="inlineStr">
        <is>
          <t>UPPSALA LÄN</t>
        </is>
      </c>
      <c r="E753" t="inlineStr">
        <is>
          <t>UPPSALA</t>
        </is>
      </c>
      <c r="F753" t="inlineStr">
        <is>
          <t>Bergvik skog öst AB</t>
        </is>
      </c>
      <c r="G753" t="n">
        <v>7.2</v>
      </c>
      <c r="H753" t="n">
        <v>0</v>
      </c>
      <c r="I753" t="n">
        <v>0</v>
      </c>
      <c r="J753" t="n">
        <v>0</v>
      </c>
      <c r="K753" t="n">
        <v>0</v>
      </c>
      <c r="L753" t="n">
        <v>0</v>
      </c>
      <c r="M753" t="n">
        <v>0</v>
      </c>
      <c r="N753" t="n">
        <v>0</v>
      </c>
      <c r="O753" t="n">
        <v>0</v>
      </c>
      <c r="P753" t="n">
        <v>0</v>
      </c>
      <c r="Q753" t="n">
        <v>0</v>
      </c>
      <c r="R753" s="2" t="inlineStr"/>
    </row>
    <row r="754" ht="15" customHeight="1">
      <c r="A754" t="inlineStr">
        <is>
          <t>A 20936-2022</t>
        </is>
      </c>
      <c r="B754" s="1" t="n">
        <v>44701</v>
      </c>
      <c r="C754" s="1" t="n">
        <v>45807</v>
      </c>
      <c r="D754" t="inlineStr">
        <is>
          <t>UPPSALA LÄN</t>
        </is>
      </c>
      <c r="E754" t="inlineStr">
        <is>
          <t>UPPSALA</t>
        </is>
      </c>
      <c r="G754" t="n">
        <v>4.8</v>
      </c>
      <c r="H754" t="n">
        <v>0</v>
      </c>
      <c r="I754" t="n">
        <v>0</v>
      </c>
      <c r="J754" t="n">
        <v>0</v>
      </c>
      <c r="K754" t="n">
        <v>0</v>
      </c>
      <c r="L754" t="n">
        <v>0</v>
      </c>
      <c r="M754" t="n">
        <v>0</v>
      </c>
      <c r="N754" t="n">
        <v>0</v>
      </c>
      <c r="O754" t="n">
        <v>0</v>
      </c>
      <c r="P754" t="n">
        <v>0</v>
      </c>
      <c r="Q754" t="n">
        <v>0</v>
      </c>
      <c r="R754" s="2" t="inlineStr"/>
    </row>
    <row r="755" ht="15" customHeight="1">
      <c r="A755" t="inlineStr">
        <is>
          <t>A 20980-2022</t>
        </is>
      </c>
      <c r="B755" s="1" t="n">
        <v>44702</v>
      </c>
      <c r="C755" s="1" t="n">
        <v>45807</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21181-2022</t>
        </is>
      </c>
      <c r="B756" s="1" t="n">
        <v>44704</v>
      </c>
      <c r="C756" s="1" t="n">
        <v>45807</v>
      </c>
      <c r="D756" t="inlineStr">
        <is>
          <t>UPPSALA LÄN</t>
        </is>
      </c>
      <c r="E756" t="inlineStr">
        <is>
          <t>UPPSALA</t>
        </is>
      </c>
      <c r="F756" t="inlineStr">
        <is>
          <t>Bergvik skog öst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45807</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v>
      </c>
      <c r="C758" s="1" t="n">
        <v>45807</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v>
      </c>
      <c r="C759" s="1" t="n">
        <v>45807</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21394-2022</t>
        </is>
      </c>
      <c r="B760" s="1" t="n">
        <v>44705</v>
      </c>
      <c r="C760" s="1" t="n">
        <v>45807</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22021-2022</t>
        </is>
      </c>
      <c r="B761" s="1" t="n">
        <v>44711</v>
      </c>
      <c r="C761" s="1" t="n">
        <v>45807</v>
      </c>
      <c r="D761" t="inlineStr">
        <is>
          <t>UPPSALA LÄN</t>
        </is>
      </c>
      <c r="E761" t="inlineStr">
        <is>
          <t>UPPSALA</t>
        </is>
      </c>
      <c r="F761" t="inlineStr">
        <is>
          <t>Allmännings- och besparingsskogar</t>
        </is>
      </c>
      <c r="G761" t="n">
        <v>2.1</v>
      </c>
      <c r="H761" t="n">
        <v>0</v>
      </c>
      <c r="I761" t="n">
        <v>0</v>
      </c>
      <c r="J761" t="n">
        <v>0</v>
      </c>
      <c r="K761" t="n">
        <v>0</v>
      </c>
      <c r="L761" t="n">
        <v>0</v>
      </c>
      <c r="M761" t="n">
        <v>0</v>
      </c>
      <c r="N761" t="n">
        <v>0</v>
      </c>
      <c r="O761" t="n">
        <v>0</v>
      </c>
      <c r="P761" t="n">
        <v>0</v>
      </c>
      <c r="Q761" t="n">
        <v>0</v>
      </c>
      <c r="R761" s="2" t="inlineStr"/>
    </row>
    <row r="762" ht="15" customHeight="1">
      <c r="A762" t="inlineStr">
        <is>
          <t>A 22390-2022</t>
        </is>
      </c>
      <c r="B762" s="1" t="n">
        <v>44713</v>
      </c>
      <c r="C762" s="1" t="n">
        <v>45807</v>
      </c>
      <c r="D762" t="inlineStr">
        <is>
          <t>UPPSALA LÄN</t>
        </is>
      </c>
      <c r="E762" t="inlineStr">
        <is>
          <t>UPPSALA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22429-2022</t>
        </is>
      </c>
      <c r="B763" s="1" t="n">
        <v>44713</v>
      </c>
      <c r="C763" s="1" t="n">
        <v>45807</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22645-2022</t>
        </is>
      </c>
      <c r="B764" s="1" t="n">
        <v>44714</v>
      </c>
      <c r="C764" s="1" t="n">
        <v>45807</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23324-2022</t>
        </is>
      </c>
      <c r="B765" s="1" t="n">
        <v>44720</v>
      </c>
      <c r="C765" s="1" t="n">
        <v>45807</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23289-2022</t>
        </is>
      </c>
      <c r="B766" s="1" t="n">
        <v>44720</v>
      </c>
      <c r="C766" s="1" t="n">
        <v>45807</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23761-2022</t>
        </is>
      </c>
      <c r="B767" s="1" t="n">
        <v>44722</v>
      </c>
      <c r="C767" s="1" t="n">
        <v>45807</v>
      </c>
      <c r="D767" t="inlineStr">
        <is>
          <t>UPPSALA LÄN</t>
        </is>
      </c>
      <c r="E767" t="inlineStr">
        <is>
          <t>UPPSALA</t>
        </is>
      </c>
      <c r="F767" t="inlineStr">
        <is>
          <t>Bergvik skog öst AB</t>
        </is>
      </c>
      <c r="G767" t="n">
        <v>7.3</v>
      </c>
      <c r="H767" t="n">
        <v>0</v>
      </c>
      <c r="I767" t="n">
        <v>0</v>
      </c>
      <c r="J767" t="n">
        <v>0</v>
      </c>
      <c r="K767" t="n">
        <v>0</v>
      </c>
      <c r="L767" t="n">
        <v>0</v>
      </c>
      <c r="M767" t="n">
        <v>0</v>
      </c>
      <c r="N767" t="n">
        <v>0</v>
      </c>
      <c r="O767" t="n">
        <v>0</v>
      </c>
      <c r="P767" t="n">
        <v>0</v>
      </c>
      <c r="Q767" t="n">
        <v>0</v>
      </c>
      <c r="R767" s="2" t="inlineStr"/>
    </row>
    <row r="768" ht="15" customHeight="1">
      <c r="A768" t="inlineStr">
        <is>
          <t>A 23713-2022</t>
        </is>
      </c>
      <c r="B768" s="1" t="n">
        <v>44722</v>
      </c>
      <c r="C768" s="1" t="n">
        <v>45807</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23717-2022</t>
        </is>
      </c>
      <c r="B769" s="1" t="n">
        <v>44722</v>
      </c>
      <c r="C769" s="1" t="n">
        <v>45807</v>
      </c>
      <c r="D769" t="inlineStr">
        <is>
          <t>UPPSALA LÄN</t>
        </is>
      </c>
      <c r="E769" t="inlineStr">
        <is>
          <t>UPPSALA</t>
        </is>
      </c>
      <c r="F769" t="inlineStr">
        <is>
          <t>Bergvik skog öst AB</t>
        </is>
      </c>
      <c r="G769" t="n">
        <v>2.3</v>
      </c>
      <c r="H769" t="n">
        <v>0</v>
      </c>
      <c r="I769" t="n">
        <v>0</v>
      </c>
      <c r="J769" t="n">
        <v>0</v>
      </c>
      <c r="K769" t="n">
        <v>0</v>
      </c>
      <c r="L769" t="n">
        <v>0</v>
      </c>
      <c r="M769" t="n">
        <v>0</v>
      </c>
      <c r="N769" t="n">
        <v>0</v>
      </c>
      <c r="O769" t="n">
        <v>0</v>
      </c>
      <c r="P769" t="n">
        <v>0</v>
      </c>
      <c r="Q769" t="n">
        <v>0</v>
      </c>
      <c r="R769" s="2" t="inlineStr"/>
    </row>
    <row r="770" ht="15" customHeight="1">
      <c r="A770" t="inlineStr">
        <is>
          <t>A 23730-2022</t>
        </is>
      </c>
      <c r="B770" s="1" t="n">
        <v>44722</v>
      </c>
      <c r="C770" s="1" t="n">
        <v>45807</v>
      </c>
      <c r="D770" t="inlineStr">
        <is>
          <t>UPPSALA LÄN</t>
        </is>
      </c>
      <c r="E770" t="inlineStr">
        <is>
          <t>UPPSALA</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24420-2022</t>
        </is>
      </c>
      <c r="B771" s="1" t="n">
        <v>44726</v>
      </c>
      <c r="C771" s="1" t="n">
        <v>45807</v>
      </c>
      <c r="D771" t="inlineStr">
        <is>
          <t>UPPSALA LÄN</t>
        </is>
      </c>
      <c r="E771" t="inlineStr">
        <is>
          <t>UPPSALA</t>
        </is>
      </c>
      <c r="F771" t="inlineStr">
        <is>
          <t>Bergvik skog öst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24401-2022</t>
        </is>
      </c>
      <c r="B772" s="1" t="n">
        <v>44726</v>
      </c>
      <c r="C772" s="1" t="n">
        <v>45807</v>
      </c>
      <c r="D772" t="inlineStr">
        <is>
          <t>UPPSALA LÄN</t>
        </is>
      </c>
      <c r="E772" t="inlineStr">
        <is>
          <t>UPPSALA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24409-2022</t>
        </is>
      </c>
      <c r="B773" s="1" t="n">
        <v>44726</v>
      </c>
      <c r="C773" s="1" t="n">
        <v>45807</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25178-2022</t>
        </is>
      </c>
      <c r="B774" s="1" t="n">
        <v>44729</v>
      </c>
      <c r="C774" s="1" t="n">
        <v>45807</v>
      </c>
      <c r="D774" t="inlineStr">
        <is>
          <t>UPPSALA LÄN</t>
        </is>
      </c>
      <c r="E774" t="inlineStr">
        <is>
          <t>UPPSALA</t>
        </is>
      </c>
      <c r="F774" t="inlineStr">
        <is>
          <t>Holmen skog AB</t>
        </is>
      </c>
      <c r="G774" t="n">
        <v>4.6</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45807</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25759-2022</t>
        </is>
      </c>
      <c r="B776" s="1" t="n">
        <v>44733</v>
      </c>
      <c r="C776" s="1" t="n">
        <v>45807</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25809-2022</t>
        </is>
      </c>
      <c r="B777" s="1" t="n">
        <v>44733</v>
      </c>
      <c r="C777" s="1" t="n">
        <v>45807</v>
      </c>
      <c r="D777" t="inlineStr">
        <is>
          <t>UPPSALA LÄN</t>
        </is>
      </c>
      <c r="E777" t="inlineStr">
        <is>
          <t>UPPSALA</t>
        </is>
      </c>
      <c r="F777" t="inlineStr">
        <is>
          <t>Bergvik skog öst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25745-2022</t>
        </is>
      </c>
      <c r="B778" s="1" t="n">
        <v>44733</v>
      </c>
      <c r="C778" s="1" t="n">
        <v>45807</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25776-2022</t>
        </is>
      </c>
      <c r="B779" s="1" t="n">
        <v>44733</v>
      </c>
      <c r="C779" s="1" t="n">
        <v>45807</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26609-2022</t>
        </is>
      </c>
      <c r="B780" s="1" t="n">
        <v>44739</v>
      </c>
      <c r="C780" s="1" t="n">
        <v>45807</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26958-2022</t>
        </is>
      </c>
      <c r="B781" s="1" t="n">
        <v>44740</v>
      </c>
      <c r="C781" s="1" t="n">
        <v>45807</v>
      </c>
      <c r="D781" t="inlineStr">
        <is>
          <t>UPPSALA LÄN</t>
        </is>
      </c>
      <c r="E781" t="inlineStr">
        <is>
          <t>UPPSALA</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26972-2022</t>
        </is>
      </c>
      <c r="B782" s="1" t="n">
        <v>44740</v>
      </c>
      <c r="C782" s="1" t="n">
        <v>45807</v>
      </c>
      <c r="D782" t="inlineStr">
        <is>
          <t>UPPSALA LÄN</t>
        </is>
      </c>
      <c r="E782" t="inlineStr">
        <is>
          <t>UPPSALA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27372-2022</t>
        </is>
      </c>
      <c r="B783" s="1" t="n">
        <v>44742</v>
      </c>
      <c r="C783" s="1" t="n">
        <v>45807</v>
      </c>
      <c r="D783" t="inlineStr">
        <is>
          <t>UPPSALA LÄN</t>
        </is>
      </c>
      <c r="E783" t="inlineStr">
        <is>
          <t>UPPSALA</t>
        </is>
      </c>
      <c r="G783" t="n">
        <v>1.6</v>
      </c>
      <c r="H783" t="n">
        <v>0</v>
      </c>
      <c r="I783" t="n">
        <v>0</v>
      </c>
      <c r="J783" t="n">
        <v>0</v>
      </c>
      <c r="K783" t="n">
        <v>0</v>
      </c>
      <c r="L783" t="n">
        <v>0</v>
      </c>
      <c r="M783" t="n">
        <v>0</v>
      </c>
      <c r="N783" t="n">
        <v>0</v>
      </c>
      <c r="O783" t="n">
        <v>0</v>
      </c>
      <c r="P783" t="n">
        <v>0</v>
      </c>
      <c r="Q783" t="n">
        <v>0</v>
      </c>
      <c r="R783" s="2" t="inlineStr"/>
    </row>
    <row r="784" ht="15" customHeight="1">
      <c r="A784" t="inlineStr">
        <is>
          <t>A 27369-2022</t>
        </is>
      </c>
      <c r="B784" s="1" t="n">
        <v>44742</v>
      </c>
      <c r="C784" s="1" t="n">
        <v>45807</v>
      </c>
      <c r="D784" t="inlineStr">
        <is>
          <t>UPPSALA LÄN</t>
        </is>
      </c>
      <c r="E784" t="inlineStr">
        <is>
          <t>UPPSALA</t>
        </is>
      </c>
      <c r="G784" t="n">
        <v>4.5</v>
      </c>
      <c r="H784" t="n">
        <v>0</v>
      </c>
      <c r="I784" t="n">
        <v>0</v>
      </c>
      <c r="J784" t="n">
        <v>0</v>
      </c>
      <c r="K784" t="n">
        <v>0</v>
      </c>
      <c r="L784" t="n">
        <v>0</v>
      </c>
      <c r="M784" t="n">
        <v>0</v>
      </c>
      <c r="N784" t="n">
        <v>0</v>
      </c>
      <c r="O784" t="n">
        <v>0</v>
      </c>
      <c r="P784" t="n">
        <v>0</v>
      </c>
      <c r="Q784" t="n">
        <v>0</v>
      </c>
      <c r="R784" s="2" t="inlineStr"/>
    </row>
    <row r="785" ht="15" customHeight="1">
      <c r="A785" t="inlineStr">
        <is>
          <t>A 27390-2022</t>
        </is>
      </c>
      <c r="B785" s="1" t="n">
        <v>44742</v>
      </c>
      <c r="C785" s="1" t="n">
        <v>45807</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27397-2022</t>
        </is>
      </c>
      <c r="B786" s="1" t="n">
        <v>44742</v>
      </c>
      <c r="C786" s="1" t="n">
        <v>45807</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27546-2022</t>
        </is>
      </c>
      <c r="B787" s="1" t="n">
        <v>44742</v>
      </c>
      <c r="C787" s="1" t="n">
        <v>45807</v>
      </c>
      <c r="D787" t="inlineStr">
        <is>
          <t>UPPSALA LÄN</t>
        </is>
      </c>
      <c r="E787" t="inlineStr">
        <is>
          <t>UPPSALA</t>
        </is>
      </c>
      <c r="G787" t="n">
        <v>3.4</v>
      </c>
      <c r="H787" t="n">
        <v>0</v>
      </c>
      <c r="I787" t="n">
        <v>0</v>
      </c>
      <c r="J787" t="n">
        <v>0</v>
      </c>
      <c r="K787" t="n">
        <v>0</v>
      </c>
      <c r="L787" t="n">
        <v>0</v>
      </c>
      <c r="M787" t="n">
        <v>0</v>
      </c>
      <c r="N787" t="n">
        <v>0</v>
      </c>
      <c r="O787" t="n">
        <v>0</v>
      </c>
      <c r="P787" t="n">
        <v>0</v>
      </c>
      <c r="Q787" t="n">
        <v>0</v>
      </c>
      <c r="R787" s="2" t="inlineStr"/>
    </row>
    <row r="788" ht="15" customHeight="1">
      <c r="A788" t="inlineStr">
        <is>
          <t>A 27543-2022</t>
        </is>
      </c>
      <c r="B788" s="1" t="n">
        <v>44742</v>
      </c>
      <c r="C788" s="1" t="n">
        <v>45807</v>
      </c>
      <c r="D788" t="inlineStr">
        <is>
          <t>UPPSALA LÄN</t>
        </is>
      </c>
      <c r="E788" t="inlineStr">
        <is>
          <t>UPPSALA</t>
        </is>
      </c>
      <c r="F788" t="inlineStr">
        <is>
          <t>Kyrkan</t>
        </is>
      </c>
      <c r="G788" t="n">
        <v>2.6</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45807</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27762-2022</t>
        </is>
      </c>
      <c r="B790" s="1" t="n">
        <v>44743</v>
      </c>
      <c r="C790" s="1" t="n">
        <v>45807</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29277-2022</t>
        </is>
      </c>
      <c r="B791" s="1" t="n">
        <v>44750</v>
      </c>
      <c r="C791" s="1" t="n">
        <v>45807</v>
      </c>
      <c r="D791" t="inlineStr">
        <is>
          <t>UPPSALA LÄN</t>
        </is>
      </c>
      <c r="E791" t="inlineStr">
        <is>
          <t>UPPSALA</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29134-2022</t>
        </is>
      </c>
      <c r="B792" s="1" t="n">
        <v>44750</v>
      </c>
      <c r="C792" s="1" t="n">
        <v>45807</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29986-2022</t>
        </is>
      </c>
      <c r="B793" s="1" t="n">
        <v>44756</v>
      </c>
      <c r="C793" s="1" t="n">
        <v>45807</v>
      </c>
      <c r="D793" t="inlineStr">
        <is>
          <t>UPPSALA LÄN</t>
        </is>
      </c>
      <c r="E793" t="inlineStr">
        <is>
          <t>UPPSALA</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29991-2022</t>
        </is>
      </c>
      <c r="B794" s="1" t="n">
        <v>44756</v>
      </c>
      <c r="C794" s="1" t="n">
        <v>45807</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30052-2022</t>
        </is>
      </c>
      <c r="B795" s="1" t="n">
        <v>44757</v>
      </c>
      <c r="C795" s="1" t="n">
        <v>45807</v>
      </c>
      <c r="D795" t="inlineStr">
        <is>
          <t>UPPSALA LÄN</t>
        </is>
      </c>
      <c r="E795" t="inlineStr">
        <is>
          <t>UPPSALA</t>
        </is>
      </c>
      <c r="F795" t="inlineStr">
        <is>
          <t>Bergvik skog öst AB</t>
        </is>
      </c>
      <c r="G795" t="n">
        <v>9.6</v>
      </c>
      <c r="H795" t="n">
        <v>0</v>
      </c>
      <c r="I795" t="n">
        <v>0</v>
      </c>
      <c r="J795" t="n">
        <v>0</v>
      </c>
      <c r="K795" t="n">
        <v>0</v>
      </c>
      <c r="L795" t="n">
        <v>0</v>
      </c>
      <c r="M795" t="n">
        <v>0</v>
      </c>
      <c r="N795" t="n">
        <v>0</v>
      </c>
      <c r="O795" t="n">
        <v>0</v>
      </c>
      <c r="P795" t="n">
        <v>0</v>
      </c>
      <c r="Q795" t="n">
        <v>0</v>
      </c>
      <c r="R795" s="2" t="inlineStr"/>
    </row>
    <row r="796" ht="15" customHeight="1">
      <c r="A796" t="inlineStr">
        <is>
          <t>A 30580-2022</t>
        </is>
      </c>
      <c r="B796" s="1" t="n">
        <v>44762</v>
      </c>
      <c r="C796" s="1" t="n">
        <v>45807</v>
      </c>
      <c r="D796" t="inlineStr">
        <is>
          <t>UPPSALA LÄN</t>
        </is>
      </c>
      <c r="E796" t="inlineStr">
        <is>
          <t>UPPSALA</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30783-2022</t>
        </is>
      </c>
      <c r="B797" s="1" t="n">
        <v>44764</v>
      </c>
      <c r="C797" s="1" t="n">
        <v>45807</v>
      </c>
      <c r="D797" t="inlineStr">
        <is>
          <t>UPPSALA LÄN</t>
        </is>
      </c>
      <c r="E797" t="inlineStr">
        <is>
          <t>UPPSALA</t>
        </is>
      </c>
      <c r="F797" t="inlineStr">
        <is>
          <t>Bergvik skog öst AB</t>
        </is>
      </c>
      <c r="G797" t="n">
        <v>1.5</v>
      </c>
      <c r="H797" t="n">
        <v>0</v>
      </c>
      <c r="I797" t="n">
        <v>0</v>
      </c>
      <c r="J797" t="n">
        <v>0</v>
      </c>
      <c r="K797" t="n">
        <v>0</v>
      </c>
      <c r="L797" t="n">
        <v>0</v>
      </c>
      <c r="M797" t="n">
        <v>0</v>
      </c>
      <c r="N797" t="n">
        <v>0</v>
      </c>
      <c r="O797" t="n">
        <v>0</v>
      </c>
      <c r="P797" t="n">
        <v>0</v>
      </c>
      <c r="Q797" t="n">
        <v>0</v>
      </c>
      <c r="R797" s="2" t="inlineStr"/>
    </row>
    <row r="798" ht="15" customHeight="1">
      <c r="A798" t="inlineStr">
        <is>
          <t>A 30775-2022</t>
        </is>
      </c>
      <c r="B798" s="1" t="n">
        <v>44764</v>
      </c>
      <c r="C798" s="1" t="n">
        <v>45807</v>
      </c>
      <c r="D798" t="inlineStr">
        <is>
          <t>UPPSALA LÄN</t>
        </is>
      </c>
      <c r="E798" t="inlineStr">
        <is>
          <t>UPPSALA</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31113-2022</t>
        </is>
      </c>
      <c r="B799" s="1" t="n">
        <v>44769</v>
      </c>
      <c r="C799" s="1" t="n">
        <v>45807</v>
      </c>
      <c r="D799" t="inlineStr">
        <is>
          <t>UPPSALA LÄN</t>
        </is>
      </c>
      <c r="E799" t="inlineStr">
        <is>
          <t>UPPSALA</t>
        </is>
      </c>
      <c r="F799" t="inlineStr">
        <is>
          <t>Bergvik skog öst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31263-2022</t>
        </is>
      </c>
      <c r="B800" s="1" t="n">
        <v>44771</v>
      </c>
      <c r="C800" s="1" t="n">
        <v>45807</v>
      </c>
      <c r="D800" t="inlineStr">
        <is>
          <t>UPPSALA LÄN</t>
        </is>
      </c>
      <c r="E800" t="inlineStr">
        <is>
          <t>UPPSALA</t>
        </is>
      </c>
      <c r="F800" t="inlineStr">
        <is>
          <t>Bergvik skog öst AB</t>
        </is>
      </c>
      <c r="G800" t="n">
        <v>2.5</v>
      </c>
      <c r="H800" t="n">
        <v>0</v>
      </c>
      <c r="I800" t="n">
        <v>0</v>
      </c>
      <c r="J800" t="n">
        <v>0</v>
      </c>
      <c r="K800" t="n">
        <v>0</v>
      </c>
      <c r="L800" t="n">
        <v>0</v>
      </c>
      <c r="M800" t="n">
        <v>0</v>
      </c>
      <c r="N800" t="n">
        <v>0</v>
      </c>
      <c r="O800" t="n">
        <v>0</v>
      </c>
      <c r="P800" t="n">
        <v>0</v>
      </c>
      <c r="Q800" t="n">
        <v>0</v>
      </c>
      <c r="R800" s="2" t="inlineStr"/>
    </row>
    <row r="801" ht="15" customHeight="1">
      <c r="A801" t="inlineStr">
        <is>
          <t>A 31261-2022</t>
        </is>
      </c>
      <c r="B801" s="1" t="n">
        <v>44771</v>
      </c>
      <c r="C801" s="1" t="n">
        <v>45807</v>
      </c>
      <c r="D801" t="inlineStr">
        <is>
          <t>UPPSALA LÄN</t>
        </is>
      </c>
      <c r="E801" t="inlineStr">
        <is>
          <t>UPPSALA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31249-2022</t>
        </is>
      </c>
      <c r="B802" s="1" t="n">
        <v>44771</v>
      </c>
      <c r="C802" s="1" t="n">
        <v>45807</v>
      </c>
      <c r="D802" t="inlineStr">
        <is>
          <t>UPPSALA LÄN</t>
        </is>
      </c>
      <c r="E802" t="inlineStr">
        <is>
          <t>UPPSALA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31253-2022</t>
        </is>
      </c>
      <c r="B803" s="1" t="n">
        <v>44771</v>
      </c>
      <c r="C803" s="1" t="n">
        <v>45807</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32954-2022</t>
        </is>
      </c>
      <c r="B804" s="1" t="n">
        <v>44784</v>
      </c>
      <c r="C804" s="1" t="n">
        <v>45807</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45807</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33283-2022</t>
        </is>
      </c>
      <c r="B806" s="1" t="n">
        <v>44788</v>
      </c>
      <c r="C806" s="1" t="n">
        <v>45807</v>
      </c>
      <c r="D806" t="inlineStr">
        <is>
          <t>UPPSALA LÄN</t>
        </is>
      </c>
      <c r="E806" t="inlineStr">
        <is>
          <t>UPPSALA</t>
        </is>
      </c>
      <c r="G806" t="n">
        <v>20.2</v>
      </c>
      <c r="H806" t="n">
        <v>0</v>
      </c>
      <c r="I806" t="n">
        <v>0</v>
      </c>
      <c r="J806" t="n">
        <v>0</v>
      </c>
      <c r="K806" t="n">
        <v>0</v>
      </c>
      <c r="L806" t="n">
        <v>0</v>
      </c>
      <c r="M806" t="n">
        <v>0</v>
      </c>
      <c r="N806" t="n">
        <v>0</v>
      </c>
      <c r="O806" t="n">
        <v>0</v>
      </c>
      <c r="P806" t="n">
        <v>0</v>
      </c>
      <c r="Q806" t="n">
        <v>0</v>
      </c>
      <c r="R806" s="2" t="inlineStr"/>
    </row>
    <row r="807" ht="15" customHeight="1">
      <c r="A807" t="inlineStr">
        <is>
          <t>A 34061-2022</t>
        </is>
      </c>
      <c r="B807" s="1" t="n">
        <v>44791</v>
      </c>
      <c r="C807" s="1" t="n">
        <v>45807</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34770-2022</t>
        </is>
      </c>
      <c r="B808" s="1" t="n">
        <v>44795</v>
      </c>
      <c r="C808" s="1" t="n">
        <v>45807</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35212-2022</t>
        </is>
      </c>
      <c r="B809" s="1" t="n">
        <v>44797</v>
      </c>
      <c r="C809" s="1" t="n">
        <v>45807</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35411-2022</t>
        </is>
      </c>
      <c r="B810" s="1" t="n">
        <v>44798</v>
      </c>
      <c r="C810" s="1" t="n">
        <v>45807</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v>
      </c>
      <c r="C811" s="1" t="n">
        <v>45807</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35544-2022</t>
        </is>
      </c>
      <c r="B812" s="1" t="n">
        <v>44799</v>
      </c>
      <c r="C812" s="1" t="n">
        <v>45807</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35542-2022</t>
        </is>
      </c>
      <c r="B813" s="1" t="n">
        <v>44799</v>
      </c>
      <c r="C813" s="1" t="n">
        <v>45807</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37187-2022</t>
        </is>
      </c>
      <c r="B814" s="1" t="n">
        <v>44806</v>
      </c>
      <c r="C814" s="1" t="n">
        <v>45807</v>
      </c>
      <c r="D814" t="inlineStr">
        <is>
          <t>UPPSALA LÄN</t>
        </is>
      </c>
      <c r="E814" t="inlineStr">
        <is>
          <t>UPPSALA</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37316-2022</t>
        </is>
      </c>
      <c r="B815" s="1" t="n">
        <v>44806</v>
      </c>
      <c r="C815" s="1" t="n">
        <v>45807</v>
      </c>
      <c r="D815" t="inlineStr">
        <is>
          <t>UPPSALA LÄN</t>
        </is>
      </c>
      <c r="E815" t="inlineStr">
        <is>
          <t>UPPSALA</t>
        </is>
      </c>
      <c r="G815" t="n">
        <v>10.6</v>
      </c>
      <c r="H815" t="n">
        <v>0</v>
      </c>
      <c r="I815" t="n">
        <v>0</v>
      </c>
      <c r="J815" t="n">
        <v>0</v>
      </c>
      <c r="K815" t="n">
        <v>0</v>
      </c>
      <c r="L815" t="n">
        <v>0</v>
      </c>
      <c r="M815" t="n">
        <v>0</v>
      </c>
      <c r="N815" t="n">
        <v>0</v>
      </c>
      <c r="O815" t="n">
        <v>0</v>
      </c>
      <c r="P815" t="n">
        <v>0</v>
      </c>
      <c r="Q815" t="n">
        <v>0</v>
      </c>
      <c r="R815" s="2" t="inlineStr"/>
    </row>
    <row r="816" ht="15" customHeight="1">
      <c r="A816" t="inlineStr">
        <is>
          <t>A 37188-2022</t>
        </is>
      </c>
      <c r="B816" s="1" t="n">
        <v>44806</v>
      </c>
      <c r="C816" s="1" t="n">
        <v>45807</v>
      </c>
      <c r="D816" t="inlineStr">
        <is>
          <t>UPPSALA LÄN</t>
        </is>
      </c>
      <c r="E816" t="inlineStr">
        <is>
          <t>UPPSALA</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37588-2022</t>
        </is>
      </c>
      <c r="B817" s="1" t="n">
        <v>44810</v>
      </c>
      <c r="C817" s="1" t="n">
        <v>45807</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37761-2022</t>
        </is>
      </c>
      <c r="B818" s="1" t="n">
        <v>44810</v>
      </c>
      <c r="C818" s="1" t="n">
        <v>45807</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37670-2022</t>
        </is>
      </c>
      <c r="B819" s="1" t="n">
        <v>44810</v>
      </c>
      <c r="C819" s="1" t="n">
        <v>45807</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38078-2022</t>
        </is>
      </c>
      <c r="B820" s="1" t="n">
        <v>44811</v>
      </c>
      <c r="C820" s="1" t="n">
        <v>45807</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38524-2022</t>
        </is>
      </c>
      <c r="B821" s="1" t="n">
        <v>44813</v>
      </c>
      <c r="C821" s="1" t="n">
        <v>45807</v>
      </c>
      <c r="D821" t="inlineStr">
        <is>
          <t>UPPSALA LÄN</t>
        </is>
      </c>
      <c r="E821" t="inlineStr">
        <is>
          <t>UPPSALA</t>
        </is>
      </c>
      <c r="G821" t="n">
        <v>1.9</v>
      </c>
      <c r="H821" t="n">
        <v>0</v>
      </c>
      <c r="I821" t="n">
        <v>0</v>
      </c>
      <c r="J821" t="n">
        <v>0</v>
      </c>
      <c r="K821" t="n">
        <v>0</v>
      </c>
      <c r="L821" t="n">
        <v>0</v>
      </c>
      <c r="M821" t="n">
        <v>0</v>
      </c>
      <c r="N821" t="n">
        <v>0</v>
      </c>
      <c r="O821" t="n">
        <v>0</v>
      </c>
      <c r="P821" t="n">
        <v>0</v>
      </c>
      <c r="Q821" t="n">
        <v>0</v>
      </c>
      <c r="R821" s="2" t="inlineStr"/>
    </row>
    <row r="822" ht="15" customHeight="1">
      <c r="A822" t="inlineStr">
        <is>
          <t>A 38865-2022</t>
        </is>
      </c>
      <c r="B822" s="1" t="n">
        <v>44816</v>
      </c>
      <c r="C822" s="1" t="n">
        <v>45807</v>
      </c>
      <c r="D822" t="inlineStr">
        <is>
          <t>UPPSALA LÄN</t>
        </is>
      </c>
      <c r="E822" t="inlineStr">
        <is>
          <t>UPPSALA</t>
        </is>
      </c>
      <c r="G822" t="n">
        <v>14.6</v>
      </c>
      <c r="H822" t="n">
        <v>0</v>
      </c>
      <c r="I822" t="n">
        <v>0</v>
      </c>
      <c r="J822" t="n">
        <v>0</v>
      </c>
      <c r="K822" t="n">
        <v>0</v>
      </c>
      <c r="L822" t="n">
        <v>0</v>
      </c>
      <c r="M822" t="n">
        <v>0</v>
      </c>
      <c r="N822" t="n">
        <v>0</v>
      </c>
      <c r="O822" t="n">
        <v>0</v>
      </c>
      <c r="P822" t="n">
        <v>0</v>
      </c>
      <c r="Q822" t="n">
        <v>0</v>
      </c>
      <c r="R822" s="2" t="inlineStr"/>
    </row>
    <row r="823" ht="15" customHeight="1">
      <c r="A823" t="inlineStr">
        <is>
          <t>A 38892-2022</t>
        </is>
      </c>
      <c r="B823" s="1" t="n">
        <v>44816</v>
      </c>
      <c r="C823" s="1" t="n">
        <v>45807</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38909-2022</t>
        </is>
      </c>
      <c r="B824" s="1" t="n">
        <v>44816</v>
      </c>
      <c r="C824" s="1" t="n">
        <v>45807</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39148-2022</t>
        </is>
      </c>
      <c r="B825" s="1" t="n">
        <v>44816</v>
      </c>
      <c r="C825" s="1" t="n">
        <v>45807</v>
      </c>
      <c r="D825" t="inlineStr">
        <is>
          <t>UPPSALA LÄN</t>
        </is>
      </c>
      <c r="E825" t="inlineStr">
        <is>
          <t>UPPSALA</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39144-2022</t>
        </is>
      </c>
      <c r="B826" s="1" t="n">
        <v>44816</v>
      </c>
      <c r="C826" s="1" t="n">
        <v>45807</v>
      </c>
      <c r="D826" t="inlineStr">
        <is>
          <t>UPPSALA LÄN</t>
        </is>
      </c>
      <c r="E826" t="inlineStr">
        <is>
          <t>UPPSALA</t>
        </is>
      </c>
      <c r="G826" t="n">
        <v>8.4</v>
      </c>
      <c r="H826" t="n">
        <v>0</v>
      </c>
      <c r="I826" t="n">
        <v>0</v>
      </c>
      <c r="J826" t="n">
        <v>0</v>
      </c>
      <c r="K826" t="n">
        <v>0</v>
      </c>
      <c r="L826" t="n">
        <v>0</v>
      </c>
      <c r="M826" t="n">
        <v>0</v>
      </c>
      <c r="N826" t="n">
        <v>0</v>
      </c>
      <c r="O826" t="n">
        <v>0</v>
      </c>
      <c r="P826" t="n">
        <v>0</v>
      </c>
      <c r="Q826" t="n">
        <v>0</v>
      </c>
      <c r="R826" s="2" t="inlineStr"/>
    </row>
    <row r="827" ht="15" customHeight="1">
      <c r="A827" t="inlineStr">
        <is>
          <t>A 39454-2022</t>
        </is>
      </c>
      <c r="B827" s="1" t="n">
        <v>44817</v>
      </c>
      <c r="C827" s="1" t="n">
        <v>45807</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39608-2022</t>
        </is>
      </c>
      <c r="B828" s="1" t="n">
        <v>44817</v>
      </c>
      <c r="C828" s="1" t="n">
        <v>45807</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39599-2022</t>
        </is>
      </c>
      <c r="B829" s="1" t="n">
        <v>44817</v>
      </c>
      <c r="C829" s="1" t="n">
        <v>45807</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v>
      </c>
      <c r="C830" s="1" t="n">
        <v>45807</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39915-2022</t>
        </is>
      </c>
      <c r="B831" s="1" t="n">
        <v>44819</v>
      </c>
      <c r="C831" s="1" t="n">
        <v>45807</v>
      </c>
      <c r="D831" t="inlineStr">
        <is>
          <t>UPPSALA LÄN</t>
        </is>
      </c>
      <c r="E831" t="inlineStr">
        <is>
          <t>UPPSALA</t>
        </is>
      </c>
      <c r="F831" t="inlineStr">
        <is>
          <t>Allmännings- och besparingsskogar</t>
        </is>
      </c>
      <c r="G831" t="n">
        <v>20.1</v>
      </c>
      <c r="H831" t="n">
        <v>0</v>
      </c>
      <c r="I831" t="n">
        <v>0</v>
      </c>
      <c r="J831" t="n">
        <v>0</v>
      </c>
      <c r="K831" t="n">
        <v>0</v>
      </c>
      <c r="L831" t="n">
        <v>0</v>
      </c>
      <c r="M831" t="n">
        <v>0</v>
      </c>
      <c r="N831" t="n">
        <v>0</v>
      </c>
      <c r="O831" t="n">
        <v>0</v>
      </c>
      <c r="P831" t="n">
        <v>0</v>
      </c>
      <c r="Q831" t="n">
        <v>0</v>
      </c>
      <c r="R831" s="2" t="inlineStr"/>
    </row>
    <row r="832" ht="15" customHeight="1">
      <c r="A832" t="inlineStr">
        <is>
          <t>A 39865-2022</t>
        </is>
      </c>
      <c r="B832" s="1" t="n">
        <v>44819</v>
      </c>
      <c r="C832" s="1" t="n">
        <v>45807</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40100-2022</t>
        </is>
      </c>
      <c r="B833" s="1" t="n">
        <v>44820</v>
      </c>
      <c r="C833" s="1" t="n">
        <v>45807</v>
      </c>
      <c r="D833" t="inlineStr">
        <is>
          <t>UPPSALA LÄN</t>
        </is>
      </c>
      <c r="E833" t="inlineStr">
        <is>
          <t>UPPSALA</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42622-2022</t>
        </is>
      </c>
      <c r="B834" s="1" t="n">
        <v>44831</v>
      </c>
      <c r="C834" s="1" t="n">
        <v>45807</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42772-2022</t>
        </is>
      </c>
      <c r="B835" s="1" t="n">
        <v>44832</v>
      </c>
      <c r="C835" s="1" t="n">
        <v>45807</v>
      </c>
      <c r="D835" t="inlineStr">
        <is>
          <t>UPPSALA LÄN</t>
        </is>
      </c>
      <c r="E835" t="inlineStr">
        <is>
          <t>UPPSALA</t>
        </is>
      </c>
      <c r="G835" t="n">
        <v>17.7</v>
      </c>
      <c r="H835" t="n">
        <v>0</v>
      </c>
      <c r="I835" t="n">
        <v>0</v>
      </c>
      <c r="J835" t="n">
        <v>0</v>
      </c>
      <c r="K835" t="n">
        <v>0</v>
      </c>
      <c r="L835" t="n">
        <v>0</v>
      </c>
      <c r="M835" t="n">
        <v>0</v>
      </c>
      <c r="N835" t="n">
        <v>0</v>
      </c>
      <c r="O835" t="n">
        <v>0</v>
      </c>
      <c r="P835" t="n">
        <v>0</v>
      </c>
      <c r="Q835" t="n">
        <v>0</v>
      </c>
      <c r="R835" s="2" t="inlineStr"/>
    </row>
    <row r="836" ht="15" customHeight="1">
      <c r="A836" t="inlineStr">
        <is>
          <t>A 43032-2022</t>
        </is>
      </c>
      <c r="B836" s="1" t="n">
        <v>44832</v>
      </c>
      <c r="C836" s="1" t="n">
        <v>45807</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v>
      </c>
      <c r="C837" s="1" t="n">
        <v>45807</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44265-2022</t>
        </is>
      </c>
      <c r="B838" s="1" t="n">
        <v>44839</v>
      </c>
      <c r="C838" s="1" t="n">
        <v>45807</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44817-2022</t>
        </is>
      </c>
      <c r="B839" s="1" t="n">
        <v>44841</v>
      </c>
      <c r="C839" s="1" t="n">
        <v>45807</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45195-2022</t>
        </is>
      </c>
      <c r="B840" s="1" t="n">
        <v>44844</v>
      </c>
      <c r="C840" s="1" t="n">
        <v>45807</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45780-2022</t>
        </is>
      </c>
      <c r="B841" s="1" t="n">
        <v>44846</v>
      </c>
      <c r="C841" s="1" t="n">
        <v>45807</v>
      </c>
      <c r="D841" t="inlineStr">
        <is>
          <t>UPPSALA LÄN</t>
        </is>
      </c>
      <c r="E841" t="inlineStr">
        <is>
          <t>UPPSALA</t>
        </is>
      </c>
      <c r="G841" t="n">
        <v>5.8</v>
      </c>
      <c r="H841" t="n">
        <v>0</v>
      </c>
      <c r="I841" t="n">
        <v>0</v>
      </c>
      <c r="J841" t="n">
        <v>0</v>
      </c>
      <c r="K841" t="n">
        <v>0</v>
      </c>
      <c r="L841" t="n">
        <v>0</v>
      </c>
      <c r="M841" t="n">
        <v>0</v>
      </c>
      <c r="N841" t="n">
        <v>0</v>
      </c>
      <c r="O841" t="n">
        <v>0</v>
      </c>
      <c r="P841" t="n">
        <v>0</v>
      </c>
      <c r="Q841" t="n">
        <v>0</v>
      </c>
      <c r="R841" s="2" t="inlineStr"/>
    </row>
    <row r="842" ht="15" customHeight="1">
      <c r="A842" t="inlineStr">
        <is>
          <t>A 45849-2022</t>
        </is>
      </c>
      <c r="B842" s="1" t="n">
        <v>44846</v>
      </c>
      <c r="C842" s="1" t="n">
        <v>45807</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46077-2022</t>
        </is>
      </c>
      <c r="B843" s="1" t="n">
        <v>44847</v>
      </c>
      <c r="C843" s="1" t="n">
        <v>45807</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45807</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45807</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46293-2022</t>
        </is>
      </c>
      <c r="B846" s="1" t="n">
        <v>44847</v>
      </c>
      <c r="C846" s="1" t="n">
        <v>45807</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46805-2022</t>
        </is>
      </c>
      <c r="B847" s="1" t="n">
        <v>44847</v>
      </c>
      <c r="C847" s="1" t="n">
        <v>45807</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46807-2022</t>
        </is>
      </c>
      <c r="B848" s="1" t="n">
        <v>44848</v>
      </c>
      <c r="C848" s="1" t="n">
        <v>45807</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46635-2022</t>
        </is>
      </c>
      <c r="B849" s="1" t="n">
        <v>44849</v>
      </c>
      <c r="C849" s="1" t="n">
        <v>45807</v>
      </c>
      <c r="D849" t="inlineStr">
        <is>
          <t>UPPSALA LÄN</t>
        </is>
      </c>
      <c r="E849" t="inlineStr">
        <is>
          <t>UPPSALA</t>
        </is>
      </c>
      <c r="G849" t="n">
        <v>3.4</v>
      </c>
      <c r="H849" t="n">
        <v>0</v>
      </c>
      <c r="I849" t="n">
        <v>0</v>
      </c>
      <c r="J849" t="n">
        <v>0</v>
      </c>
      <c r="K849" t="n">
        <v>0</v>
      </c>
      <c r="L849" t="n">
        <v>0</v>
      </c>
      <c r="M849" t="n">
        <v>0</v>
      </c>
      <c r="N849" t="n">
        <v>0</v>
      </c>
      <c r="O849" t="n">
        <v>0</v>
      </c>
      <c r="P849" t="n">
        <v>0</v>
      </c>
      <c r="Q849" t="n">
        <v>0</v>
      </c>
      <c r="R849" s="2" t="inlineStr"/>
    </row>
    <row r="850" ht="15" customHeight="1">
      <c r="A850" t="inlineStr">
        <is>
          <t>A 47413-2022</t>
        </is>
      </c>
      <c r="B850" s="1" t="n">
        <v>44853</v>
      </c>
      <c r="C850" s="1" t="n">
        <v>45807</v>
      </c>
      <c r="D850" t="inlineStr">
        <is>
          <t>UPPSALA LÄN</t>
        </is>
      </c>
      <c r="E850" t="inlineStr">
        <is>
          <t>UPPSALA</t>
        </is>
      </c>
      <c r="G850" t="n">
        <v>1.8</v>
      </c>
      <c r="H850" t="n">
        <v>0</v>
      </c>
      <c r="I850" t="n">
        <v>0</v>
      </c>
      <c r="J850" t="n">
        <v>0</v>
      </c>
      <c r="K850" t="n">
        <v>0</v>
      </c>
      <c r="L850" t="n">
        <v>0</v>
      </c>
      <c r="M850" t="n">
        <v>0</v>
      </c>
      <c r="N850" t="n">
        <v>0</v>
      </c>
      <c r="O850" t="n">
        <v>0</v>
      </c>
      <c r="P850" t="n">
        <v>0</v>
      </c>
      <c r="Q850" t="n">
        <v>0</v>
      </c>
      <c r="R850" s="2" t="inlineStr"/>
    </row>
    <row r="851" ht="15" customHeight="1">
      <c r="A851" t="inlineStr">
        <is>
          <t>A 48686-2022</t>
        </is>
      </c>
      <c r="B851" s="1" t="n">
        <v>44859</v>
      </c>
      <c r="C851" s="1" t="n">
        <v>45807</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48588-2022</t>
        </is>
      </c>
      <c r="B852" s="1" t="n">
        <v>44859</v>
      </c>
      <c r="C852" s="1" t="n">
        <v>45807</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48692-2022</t>
        </is>
      </c>
      <c r="B853" s="1" t="n">
        <v>44859</v>
      </c>
      <c r="C853" s="1" t="n">
        <v>45807</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48688-2022</t>
        </is>
      </c>
      <c r="B854" s="1" t="n">
        <v>44859</v>
      </c>
      <c r="C854" s="1" t="n">
        <v>45807</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50006-2022</t>
        </is>
      </c>
      <c r="B855" s="1" t="n">
        <v>44865</v>
      </c>
      <c r="C855" s="1" t="n">
        <v>45807</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45807</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50954-2022</t>
        </is>
      </c>
      <c r="B857" s="1" t="n">
        <v>44866</v>
      </c>
      <c r="C857" s="1" t="n">
        <v>45807</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51661-2022</t>
        </is>
      </c>
      <c r="B858" s="1" t="n">
        <v>44872</v>
      </c>
      <c r="C858" s="1" t="n">
        <v>45807</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51899-2022</t>
        </is>
      </c>
      <c r="B859" s="1" t="n">
        <v>44872</v>
      </c>
      <c r="C859" s="1" t="n">
        <v>45807</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54715-2022</t>
        </is>
      </c>
      <c r="B860" s="1" t="n">
        <v>44883</v>
      </c>
      <c r="C860" s="1" t="n">
        <v>45807</v>
      </c>
      <c r="D860" t="inlineStr">
        <is>
          <t>UPPSALA LÄN</t>
        </is>
      </c>
      <c r="E860" t="inlineStr">
        <is>
          <t>UPPSALA</t>
        </is>
      </c>
      <c r="F860" t="inlineStr">
        <is>
          <t>Övriga Aktiebolag</t>
        </is>
      </c>
      <c r="G860" t="n">
        <v>9.5</v>
      </c>
      <c r="H860" t="n">
        <v>0</v>
      </c>
      <c r="I860" t="n">
        <v>0</v>
      </c>
      <c r="J860" t="n">
        <v>0</v>
      </c>
      <c r="K860" t="n">
        <v>0</v>
      </c>
      <c r="L860" t="n">
        <v>0</v>
      </c>
      <c r="M860" t="n">
        <v>0</v>
      </c>
      <c r="N860" t="n">
        <v>0</v>
      </c>
      <c r="O860" t="n">
        <v>0</v>
      </c>
      <c r="P860" t="n">
        <v>0</v>
      </c>
      <c r="Q860" t="n">
        <v>0</v>
      </c>
      <c r="R860" s="2" t="inlineStr"/>
    </row>
    <row r="861" ht="15" customHeight="1">
      <c r="A861" t="inlineStr">
        <is>
          <t>A 54732-2022</t>
        </is>
      </c>
      <c r="B861" s="1" t="n">
        <v>44883</v>
      </c>
      <c r="C861" s="1" t="n">
        <v>45807</v>
      </c>
      <c r="D861" t="inlineStr">
        <is>
          <t>UPPSALA LÄN</t>
        </is>
      </c>
      <c r="E861" t="inlineStr">
        <is>
          <t>UPPSALA</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54813-2022</t>
        </is>
      </c>
      <c r="B862" s="1" t="n">
        <v>44883</v>
      </c>
      <c r="C862" s="1" t="n">
        <v>45807</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55021-2022</t>
        </is>
      </c>
      <c r="B863" s="1" t="n">
        <v>44886</v>
      </c>
      <c r="C863" s="1" t="n">
        <v>45807</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55040-2022</t>
        </is>
      </c>
      <c r="B864" s="1" t="n">
        <v>44886</v>
      </c>
      <c r="C864" s="1" t="n">
        <v>45807</v>
      </c>
      <c r="D864" t="inlineStr">
        <is>
          <t>UPPSALA LÄN</t>
        </is>
      </c>
      <c r="E864" t="inlineStr">
        <is>
          <t>UPPSALA</t>
        </is>
      </c>
      <c r="F864" t="inlineStr">
        <is>
          <t>Sveaskog</t>
        </is>
      </c>
      <c r="G864" t="n">
        <v>5.3</v>
      </c>
      <c r="H864" t="n">
        <v>0</v>
      </c>
      <c r="I864" t="n">
        <v>0</v>
      </c>
      <c r="J864" t="n">
        <v>0</v>
      </c>
      <c r="K864" t="n">
        <v>0</v>
      </c>
      <c r="L864" t="n">
        <v>0</v>
      </c>
      <c r="M864" t="n">
        <v>0</v>
      </c>
      <c r="N864" t="n">
        <v>0</v>
      </c>
      <c r="O864" t="n">
        <v>0</v>
      </c>
      <c r="P864" t="n">
        <v>0</v>
      </c>
      <c r="Q864" t="n">
        <v>0</v>
      </c>
      <c r="R864" s="2" t="inlineStr"/>
    </row>
    <row r="865" ht="15" customHeight="1">
      <c r="A865" t="inlineStr">
        <is>
          <t>A 55073-2022</t>
        </is>
      </c>
      <c r="B865" s="1" t="n">
        <v>44886</v>
      </c>
      <c r="C865" s="1" t="n">
        <v>45807</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v>
      </c>
      <c r="C866" s="1" t="n">
        <v>45807</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55401-2022</t>
        </is>
      </c>
      <c r="B867" s="1" t="n">
        <v>44887</v>
      </c>
      <c r="C867" s="1" t="n">
        <v>45807</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55862-2022</t>
        </is>
      </c>
      <c r="B868" s="1" t="n">
        <v>44888</v>
      </c>
      <c r="C868" s="1" t="n">
        <v>45807</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56679-2022</t>
        </is>
      </c>
      <c r="B869" s="1" t="n">
        <v>44893</v>
      </c>
      <c r="C869" s="1" t="n">
        <v>45807</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56889-2022</t>
        </is>
      </c>
      <c r="B870" s="1" t="n">
        <v>44894</v>
      </c>
      <c r="C870" s="1" t="n">
        <v>45807</v>
      </c>
      <c r="D870" t="inlineStr">
        <is>
          <t>UPPSALA LÄN</t>
        </is>
      </c>
      <c r="E870" t="inlineStr">
        <is>
          <t>UPPSALA</t>
        </is>
      </c>
      <c r="F870" t="inlineStr">
        <is>
          <t>Övriga Aktiebolag</t>
        </is>
      </c>
      <c r="G870" t="n">
        <v>21.6</v>
      </c>
      <c r="H870" t="n">
        <v>0</v>
      </c>
      <c r="I870" t="n">
        <v>0</v>
      </c>
      <c r="J870" t="n">
        <v>0</v>
      </c>
      <c r="K870" t="n">
        <v>0</v>
      </c>
      <c r="L870" t="n">
        <v>0</v>
      </c>
      <c r="M870" t="n">
        <v>0</v>
      </c>
      <c r="N870" t="n">
        <v>0</v>
      </c>
      <c r="O870" t="n">
        <v>0</v>
      </c>
      <c r="P870" t="n">
        <v>0</v>
      </c>
      <c r="Q870" t="n">
        <v>0</v>
      </c>
      <c r="R870" s="2" t="inlineStr"/>
    </row>
    <row r="871" ht="15" customHeight="1">
      <c r="A871" t="inlineStr">
        <is>
          <t>A 56795-2022</t>
        </is>
      </c>
      <c r="B871" s="1" t="n">
        <v>44894</v>
      </c>
      <c r="C871" s="1" t="n">
        <v>45807</v>
      </c>
      <c r="D871" t="inlineStr">
        <is>
          <t>UPPSALA LÄN</t>
        </is>
      </c>
      <c r="E871" t="inlineStr">
        <is>
          <t>UPPSALA</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56779-2022</t>
        </is>
      </c>
      <c r="B872" s="1" t="n">
        <v>44894</v>
      </c>
      <c r="C872" s="1" t="n">
        <v>45807</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57495-2022</t>
        </is>
      </c>
      <c r="B873" s="1" t="n">
        <v>44896</v>
      </c>
      <c r="C873" s="1" t="n">
        <v>45807</v>
      </c>
      <c r="D873" t="inlineStr">
        <is>
          <t>UPPSALA LÄN</t>
        </is>
      </c>
      <c r="E873" t="inlineStr">
        <is>
          <t>UPPSALA</t>
        </is>
      </c>
      <c r="G873" t="n">
        <v>7</v>
      </c>
      <c r="H873" t="n">
        <v>0</v>
      </c>
      <c r="I873" t="n">
        <v>0</v>
      </c>
      <c r="J873" t="n">
        <v>0</v>
      </c>
      <c r="K873" t="n">
        <v>0</v>
      </c>
      <c r="L873" t="n">
        <v>0</v>
      </c>
      <c r="M873" t="n">
        <v>0</v>
      </c>
      <c r="N873" t="n">
        <v>0</v>
      </c>
      <c r="O873" t="n">
        <v>0</v>
      </c>
      <c r="P873" t="n">
        <v>0</v>
      </c>
      <c r="Q873" t="n">
        <v>0</v>
      </c>
      <c r="R873" s="2" t="inlineStr"/>
    </row>
    <row r="874" ht="15" customHeight="1">
      <c r="A874" t="inlineStr">
        <is>
          <t>A 57714-2022</t>
        </is>
      </c>
      <c r="B874" s="1" t="n">
        <v>44897</v>
      </c>
      <c r="C874" s="1" t="n">
        <v>45807</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57809-2022</t>
        </is>
      </c>
      <c r="B875" s="1" t="n">
        <v>44897</v>
      </c>
      <c r="C875" s="1" t="n">
        <v>45807</v>
      </c>
      <c r="D875" t="inlineStr">
        <is>
          <t>UPPSALA LÄN</t>
        </is>
      </c>
      <c r="E875" t="inlineStr">
        <is>
          <t>UPPSALA</t>
        </is>
      </c>
      <c r="G875" t="n">
        <v>8.9</v>
      </c>
      <c r="H875" t="n">
        <v>0</v>
      </c>
      <c r="I875" t="n">
        <v>0</v>
      </c>
      <c r="J875" t="n">
        <v>0</v>
      </c>
      <c r="K875" t="n">
        <v>0</v>
      </c>
      <c r="L875" t="n">
        <v>0</v>
      </c>
      <c r="M875" t="n">
        <v>0</v>
      </c>
      <c r="N875" t="n">
        <v>0</v>
      </c>
      <c r="O875" t="n">
        <v>0</v>
      </c>
      <c r="P875" t="n">
        <v>0</v>
      </c>
      <c r="Q875" t="n">
        <v>0</v>
      </c>
      <c r="R875" s="2" t="inlineStr"/>
    </row>
    <row r="876" ht="15" customHeight="1">
      <c r="A876" t="inlineStr">
        <is>
          <t>A 58023-2022</t>
        </is>
      </c>
      <c r="B876" s="1" t="n">
        <v>44900</v>
      </c>
      <c r="C876" s="1" t="n">
        <v>45807</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58096-2022</t>
        </is>
      </c>
      <c r="B877" s="1" t="n">
        <v>44900</v>
      </c>
      <c r="C877" s="1" t="n">
        <v>45807</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58243-2022</t>
        </is>
      </c>
      <c r="B878" s="1" t="n">
        <v>44901</v>
      </c>
      <c r="C878" s="1" t="n">
        <v>45807</v>
      </c>
      <c r="D878" t="inlineStr">
        <is>
          <t>UPPSALA LÄN</t>
        </is>
      </c>
      <c r="E878" t="inlineStr">
        <is>
          <t>UPPSALA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59133-2022</t>
        </is>
      </c>
      <c r="B879" s="1" t="n">
        <v>44904</v>
      </c>
      <c r="C879" s="1" t="n">
        <v>45807</v>
      </c>
      <c r="D879" t="inlineStr">
        <is>
          <t>UPPSALA LÄN</t>
        </is>
      </c>
      <c r="E879" t="inlineStr">
        <is>
          <t>UPPSALA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59730-2022</t>
        </is>
      </c>
      <c r="B880" s="1" t="n">
        <v>44908</v>
      </c>
      <c r="C880" s="1" t="n">
        <v>45807</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59719-2022</t>
        </is>
      </c>
      <c r="B881" s="1" t="n">
        <v>44908</v>
      </c>
      <c r="C881" s="1" t="n">
        <v>45807</v>
      </c>
      <c r="D881" t="inlineStr">
        <is>
          <t>UPPSALA LÄN</t>
        </is>
      </c>
      <c r="E881" t="inlineStr">
        <is>
          <t>UPPSALA</t>
        </is>
      </c>
      <c r="G881" t="n">
        <v>3.6</v>
      </c>
      <c r="H881" t="n">
        <v>0</v>
      </c>
      <c r="I881" t="n">
        <v>0</v>
      </c>
      <c r="J881" t="n">
        <v>0</v>
      </c>
      <c r="K881" t="n">
        <v>0</v>
      </c>
      <c r="L881" t="n">
        <v>0</v>
      </c>
      <c r="M881" t="n">
        <v>0</v>
      </c>
      <c r="N881" t="n">
        <v>0</v>
      </c>
      <c r="O881" t="n">
        <v>0</v>
      </c>
      <c r="P881" t="n">
        <v>0</v>
      </c>
      <c r="Q881" t="n">
        <v>0</v>
      </c>
      <c r="R881" s="2" t="inlineStr"/>
    </row>
    <row r="882" ht="15" customHeight="1">
      <c r="A882" t="inlineStr">
        <is>
          <t>A 59727-2022</t>
        </is>
      </c>
      <c r="B882" s="1" t="n">
        <v>44908</v>
      </c>
      <c r="C882" s="1" t="n">
        <v>45807</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60056-2022</t>
        </is>
      </c>
      <c r="B883" s="1" t="n">
        <v>44909</v>
      </c>
      <c r="C883" s="1" t="n">
        <v>45807</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60047-2022</t>
        </is>
      </c>
      <c r="B884" s="1" t="n">
        <v>44909</v>
      </c>
      <c r="C884" s="1" t="n">
        <v>45807</v>
      </c>
      <c r="D884" t="inlineStr">
        <is>
          <t>UPPSALA LÄN</t>
        </is>
      </c>
      <c r="E884" t="inlineStr">
        <is>
          <t>UPPSALA</t>
        </is>
      </c>
      <c r="F884" t="inlineStr">
        <is>
          <t>Kyrkan</t>
        </is>
      </c>
      <c r="G884" t="n">
        <v>0.7</v>
      </c>
      <c r="H884" t="n">
        <v>0</v>
      </c>
      <c r="I884" t="n">
        <v>0</v>
      </c>
      <c r="J884" t="n">
        <v>0</v>
      </c>
      <c r="K884" t="n">
        <v>0</v>
      </c>
      <c r="L884" t="n">
        <v>0</v>
      </c>
      <c r="M884" t="n">
        <v>0</v>
      </c>
      <c r="N884" t="n">
        <v>0</v>
      </c>
      <c r="O884" t="n">
        <v>0</v>
      </c>
      <c r="P884" t="n">
        <v>0</v>
      </c>
      <c r="Q884" t="n">
        <v>0</v>
      </c>
      <c r="R884" s="2" t="inlineStr"/>
    </row>
    <row r="885" ht="15" customHeight="1">
      <c r="A885" t="inlineStr">
        <is>
          <t>A 60702-2022</t>
        </is>
      </c>
      <c r="B885" s="1" t="n">
        <v>44912</v>
      </c>
      <c r="C885" s="1" t="n">
        <v>45807</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60701-2022</t>
        </is>
      </c>
      <c r="B886" s="1" t="n">
        <v>44912</v>
      </c>
      <c r="C886" s="1" t="n">
        <v>45807</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60984-2022</t>
        </is>
      </c>
      <c r="B887" s="1" t="n">
        <v>44914</v>
      </c>
      <c r="C887" s="1" t="n">
        <v>45807</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60986-2022</t>
        </is>
      </c>
      <c r="B888" s="1" t="n">
        <v>44914</v>
      </c>
      <c r="C888" s="1" t="n">
        <v>45807</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60988-2022</t>
        </is>
      </c>
      <c r="B889" s="1" t="n">
        <v>44914</v>
      </c>
      <c r="C889" s="1" t="n">
        <v>45807</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61526-2022</t>
        </is>
      </c>
      <c r="B890" s="1" t="n">
        <v>44916</v>
      </c>
      <c r="C890" s="1" t="n">
        <v>45807</v>
      </c>
      <c r="D890" t="inlineStr">
        <is>
          <t>UPPSALA LÄN</t>
        </is>
      </c>
      <c r="E890" t="inlineStr">
        <is>
          <t>UPPSALA</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61578-2022</t>
        </is>
      </c>
      <c r="B891" s="1" t="n">
        <v>44916</v>
      </c>
      <c r="C891" s="1" t="n">
        <v>45807</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62311-2022</t>
        </is>
      </c>
      <c r="B892" s="1" t="n">
        <v>44916</v>
      </c>
      <c r="C892" s="1" t="n">
        <v>45807</v>
      </c>
      <c r="D892" t="inlineStr">
        <is>
          <t>UPPSALA LÄN</t>
        </is>
      </c>
      <c r="E892" t="inlineStr">
        <is>
          <t>UPPSALA</t>
        </is>
      </c>
      <c r="G892" t="n">
        <v>7.6</v>
      </c>
      <c r="H892" t="n">
        <v>0</v>
      </c>
      <c r="I892" t="n">
        <v>0</v>
      </c>
      <c r="J892" t="n">
        <v>0</v>
      </c>
      <c r="K892" t="n">
        <v>0</v>
      </c>
      <c r="L892" t="n">
        <v>0</v>
      </c>
      <c r="M892" t="n">
        <v>0</v>
      </c>
      <c r="N892" t="n">
        <v>0</v>
      </c>
      <c r="O892" t="n">
        <v>0</v>
      </c>
      <c r="P892" t="n">
        <v>0</v>
      </c>
      <c r="Q892" t="n">
        <v>0</v>
      </c>
      <c r="R892" s="2" t="inlineStr"/>
    </row>
    <row r="893" ht="15" customHeight="1">
      <c r="A893" t="inlineStr">
        <is>
          <t>A 111-2023</t>
        </is>
      </c>
      <c r="B893" s="1" t="n">
        <v>44928</v>
      </c>
      <c r="C893" s="1" t="n">
        <v>45807</v>
      </c>
      <c r="D893" t="inlineStr">
        <is>
          <t>UPPSALA LÄN</t>
        </is>
      </c>
      <c r="E893" t="inlineStr">
        <is>
          <t>UPPSALA</t>
        </is>
      </c>
      <c r="F893" t="inlineStr">
        <is>
          <t>Kommuner</t>
        </is>
      </c>
      <c r="G893" t="n">
        <v>4.8</v>
      </c>
      <c r="H893" t="n">
        <v>0</v>
      </c>
      <c r="I893" t="n">
        <v>0</v>
      </c>
      <c r="J893" t="n">
        <v>0</v>
      </c>
      <c r="K893" t="n">
        <v>0</v>
      </c>
      <c r="L893" t="n">
        <v>0</v>
      </c>
      <c r="M893" t="n">
        <v>0</v>
      </c>
      <c r="N893" t="n">
        <v>0</v>
      </c>
      <c r="O893" t="n">
        <v>0</v>
      </c>
      <c r="P893" t="n">
        <v>0</v>
      </c>
      <c r="Q893" t="n">
        <v>0</v>
      </c>
      <c r="R893" s="2" t="inlineStr"/>
    </row>
    <row r="894" ht="15" customHeight="1">
      <c r="A894" t="inlineStr">
        <is>
          <t>A 179-2023</t>
        </is>
      </c>
      <c r="B894" s="1" t="n">
        <v>44928</v>
      </c>
      <c r="C894" s="1" t="n">
        <v>45807</v>
      </c>
      <c r="D894" t="inlineStr">
        <is>
          <t>UPPSALA LÄN</t>
        </is>
      </c>
      <c r="E894" t="inlineStr">
        <is>
          <t>UPPSALA</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367-2023</t>
        </is>
      </c>
      <c r="B895" s="1" t="n">
        <v>44929</v>
      </c>
      <c r="C895" s="1" t="n">
        <v>45807</v>
      </c>
      <c r="D895" t="inlineStr">
        <is>
          <t>UPPSALA LÄN</t>
        </is>
      </c>
      <c r="E895" t="inlineStr">
        <is>
          <t>UPPSALA</t>
        </is>
      </c>
      <c r="G895" t="n">
        <v>2.4</v>
      </c>
      <c r="H895" t="n">
        <v>0</v>
      </c>
      <c r="I895" t="n">
        <v>0</v>
      </c>
      <c r="J895" t="n">
        <v>0</v>
      </c>
      <c r="K895" t="n">
        <v>0</v>
      </c>
      <c r="L895" t="n">
        <v>0</v>
      </c>
      <c r="M895" t="n">
        <v>0</v>
      </c>
      <c r="N895" t="n">
        <v>0</v>
      </c>
      <c r="O895" t="n">
        <v>0</v>
      </c>
      <c r="P895" t="n">
        <v>0</v>
      </c>
      <c r="Q895" t="n">
        <v>0</v>
      </c>
      <c r="R895" s="2" t="inlineStr"/>
    </row>
    <row r="896" ht="15" customHeight="1">
      <c r="A896" t="inlineStr">
        <is>
          <t>A 554-2023</t>
        </is>
      </c>
      <c r="B896" s="1" t="n">
        <v>44930</v>
      </c>
      <c r="C896" s="1" t="n">
        <v>45807</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686-2023</t>
        </is>
      </c>
      <c r="B897" s="1" t="n">
        <v>44930</v>
      </c>
      <c r="C897" s="1" t="n">
        <v>45807</v>
      </c>
      <c r="D897" t="inlineStr">
        <is>
          <t>UPPSALA LÄN</t>
        </is>
      </c>
      <c r="E897" t="inlineStr">
        <is>
          <t>UPPSALA</t>
        </is>
      </c>
      <c r="F897" t="inlineStr">
        <is>
          <t>Bergvik skog öst AB</t>
        </is>
      </c>
      <c r="G897" t="n">
        <v>4.6</v>
      </c>
      <c r="H897" t="n">
        <v>0</v>
      </c>
      <c r="I897" t="n">
        <v>0</v>
      </c>
      <c r="J897" t="n">
        <v>0</v>
      </c>
      <c r="K897" t="n">
        <v>0</v>
      </c>
      <c r="L897" t="n">
        <v>0</v>
      </c>
      <c r="M897" t="n">
        <v>0</v>
      </c>
      <c r="N897" t="n">
        <v>0</v>
      </c>
      <c r="O897" t="n">
        <v>0</v>
      </c>
      <c r="P897" t="n">
        <v>0</v>
      </c>
      <c r="Q897" t="n">
        <v>0</v>
      </c>
      <c r="R897" s="2" t="inlineStr"/>
    </row>
    <row r="898" ht="15" customHeight="1">
      <c r="A898" t="inlineStr">
        <is>
          <t>A 1032-2023</t>
        </is>
      </c>
      <c r="B898" s="1" t="n">
        <v>44935</v>
      </c>
      <c r="C898" s="1" t="n">
        <v>45807</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1357-2023</t>
        </is>
      </c>
      <c r="B899" s="1" t="n">
        <v>44936</v>
      </c>
      <c r="C899" s="1" t="n">
        <v>45807</v>
      </c>
      <c r="D899" t="inlineStr">
        <is>
          <t>UPPSALA LÄN</t>
        </is>
      </c>
      <c r="E899" t="inlineStr">
        <is>
          <t>UPPSALA</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2186-2023</t>
        </is>
      </c>
      <c r="B900" s="1" t="n">
        <v>44942</v>
      </c>
      <c r="C900" s="1" t="n">
        <v>45807</v>
      </c>
      <c r="D900" t="inlineStr">
        <is>
          <t>UPPSALA LÄN</t>
        </is>
      </c>
      <c r="E900" t="inlineStr">
        <is>
          <t>UPPSALA</t>
        </is>
      </c>
      <c r="F900" t="inlineStr">
        <is>
          <t>Bergvik skog öst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2622-2023</t>
        </is>
      </c>
      <c r="B901" s="1" t="n">
        <v>44944</v>
      </c>
      <c r="C901" s="1" t="n">
        <v>45807</v>
      </c>
      <c r="D901" t="inlineStr">
        <is>
          <t>UPPSALA LÄN</t>
        </is>
      </c>
      <c r="E901" t="inlineStr">
        <is>
          <t>UPPSALA</t>
        </is>
      </c>
      <c r="F901" t="inlineStr">
        <is>
          <t>Kommuner</t>
        </is>
      </c>
      <c r="G901" t="n">
        <v>1.3</v>
      </c>
      <c r="H901" t="n">
        <v>0</v>
      </c>
      <c r="I901" t="n">
        <v>0</v>
      </c>
      <c r="J901" t="n">
        <v>0</v>
      </c>
      <c r="K901" t="n">
        <v>0</v>
      </c>
      <c r="L901" t="n">
        <v>0</v>
      </c>
      <c r="M901" t="n">
        <v>0</v>
      </c>
      <c r="N901" t="n">
        <v>0</v>
      </c>
      <c r="O901" t="n">
        <v>0</v>
      </c>
      <c r="P901" t="n">
        <v>0</v>
      </c>
      <c r="Q901" t="n">
        <v>0</v>
      </c>
      <c r="R901" s="2" t="inlineStr"/>
    </row>
    <row r="902" ht="15" customHeight="1">
      <c r="A902" t="inlineStr">
        <is>
          <t>A 2624-2023</t>
        </is>
      </c>
      <c r="B902" s="1" t="n">
        <v>44944</v>
      </c>
      <c r="C902" s="1" t="n">
        <v>45807</v>
      </c>
      <c r="D902" t="inlineStr">
        <is>
          <t>UPPSALA LÄN</t>
        </is>
      </c>
      <c r="E902" t="inlineStr">
        <is>
          <t>UPPSALA</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45807</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3214-2023</t>
        </is>
      </c>
      <c r="B904" s="1" t="n">
        <v>44944</v>
      </c>
      <c r="C904" s="1" t="n">
        <v>45807</v>
      </c>
      <c r="D904" t="inlineStr">
        <is>
          <t>UPPSALA LÄN</t>
        </is>
      </c>
      <c r="E904" t="inlineStr">
        <is>
          <t>UPPSALA</t>
        </is>
      </c>
      <c r="G904" t="n">
        <v>4.1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45807</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2942-2023</t>
        </is>
      </c>
      <c r="B906" s="1" t="n">
        <v>44945</v>
      </c>
      <c r="C906" s="1" t="n">
        <v>45807</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3040-2023</t>
        </is>
      </c>
      <c r="B907" s="1" t="n">
        <v>44946</v>
      </c>
      <c r="C907" s="1" t="n">
        <v>45807</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3089-2023</t>
        </is>
      </c>
      <c r="B908" s="1" t="n">
        <v>44946</v>
      </c>
      <c r="C908" s="1" t="n">
        <v>45807</v>
      </c>
      <c r="D908" t="inlineStr">
        <is>
          <t>UPPSALA LÄN</t>
        </is>
      </c>
      <c r="E908" t="inlineStr">
        <is>
          <t>UPPSALA</t>
        </is>
      </c>
      <c r="G908" t="n">
        <v>3.7</v>
      </c>
      <c r="H908" t="n">
        <v>0</v>
      </c>
      <c r="I908" t="n">
        <v>0</v>
      </c>
      <c r="J908" t="n">
        <v>0</v>
      </c>
      <c r="K908" t="n">
        <v>0</v>
      </c>
      <c r="L908" t="n">
        <v>0</v>
      </c>
      <c r="M908" t="n">
        <v>0</v>
      </c>
      <c r="N908" t="n">
        <v>0</v>
      </c>
      <c r="O908" t="n">
        <v>0</v>
      </c>
      <c r="P908" t="n">
        <v>0</v>
      </c>
      <c r="Q908" t="n">
        <v>0</v>
      </c>
      <c r="R908" s="2" t="inlineStr"/>
    </row>
    <row r="909" ht="15" customHeight="1">
      <c r="A909" t="inlineStr">
        <is>
          <t>A 3086-2023</t>
        </is>
      </c>
      <c r="B909" s="1" t="n">
        <v>44946</v>
      </c>
      <c r="C909" s="1" t="n">
        <v>45807</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3092-2023</t>
        </is>
      </c>
      <c r="B910" s="1" t="n">
        <v>44946</v>
      </c>
      <c r="C910" s="1" t="n">
        <v>45807</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3343-2023</t>
        </is>
      </c>
      <c r="B911" s="1" t="n">
        <v>44949</v>
      </c>
      <c r="C911" s="1" t="n">
        <v>45807</v>
      </c>
      <c r="D911" t="inlineStr">
        <is>
          <t>UPPSALA LÄN</t>
        </is>
      </c>
      <c r="E911" t="inlineStr">
        <is>
          <t>UPPSALA</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3353-2023</t>
        </is>
      </c>
      <c r="B912" s="1" t="n">
        <v>44949</v>
      </c>
      <c r="C912" s="1" t="n">
        <v>45807</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3661-2023</t>
        </is>
      </c>
      <c r="B913" s="1" t="n">
        <v>44950</v>
      </c>
      <c r="C913" s="1" t="n">
        <v>45807</v>
      </c>
      <c r="D913" t="inlineStr">
        <is>
          <t>UPPSALA LÄN</t>
        </is>
      </c>
      <c r="E913" t="inlineStr">
        <is>
          <t>UPPSALA</t>
        </is>
      </c>
      <c r="F913" t="inlineStr">
        <is>
          <t>Allmännings- och besparingsskogar</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3940-2023</t>
        </is>
      </c>
      <c r="B914" s="1" t="n">
        <v>44952</v>
      </c>
      <c r="C914" s="1" t="n">
        <v>45807</v>
      </c>
      <c r="D914" t="inlineStr">
        <is>
          <t>UPPSALA LÄN</t>
        </is>
      </c>
      <c r="E914" t="inlineStr">
        <is>
          <t>UPPSALA</t>
        </is>
      </c>
      <c r="F914" t="inlineStr">
        <is>
          <t>Bergvik skog öst AB</t>
        </is>
      </c>
      <c r="G914" t="n">
        <v>20.6</v>
      </c>
      <c r="H914" t="n">
        <v>0</v>
      </c>
      <c r="I914" t="n">
        <v>0</v>
      </c>
      <c r="J914" t="n">
        <v>0</v>
      </c>
      <c r="K914" t="n">
        <v>0</v>
      </c>
      <c r="L914" t="n">
        <v>0</v>
      </c>
      <c r="M914" t="n">
        <v>0</v>
      </c>
      <c r="N914" t="n">
        <v>0</v>
      </c>
      <c r="O914" t="n">
        <v>0</v>
      </c>
      <c r="P914" t="n">
        <v>0</v>
      </c>
      <c r="Q914" t="n">
        <v>0</v>
      </c>
      <c r="R914" s="2" t="inlineStr"/>
    </row>
    <row r="915" ht="15" customHeight="1">
      <c r="A915" t="inlineStr">
        <is>
          <t>A 3939-2023</t>
        </is>
      </c>
      <c r="B915" s="1" t="n">
        <v>44952</v>
      </c>
      <c r="C915" s="1" t="n">
        <v>45807</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5254-2023</t>
        </is>
      </c>
      <c r="B916" s="1" t="n">
        <v>44959</v>
      </c>
      <c r="C916" s="1" t="n">
        <v>45807</v>
      </c>
      <c r="D916" t="inlineStr">
        <is>
          <t>UPPSALA LÄN</t>
        </is>
      </c>
      <c r="E916" t="inlineStr">
        <is>
          <t>UPPSALA</t>
        </is>
      </c>
      <c r="G916" t="n">
        <v>2.6</v>
      </c>
      <c r="H916" t="n">
        <v>0</v>
      </c>
      <c r="I916" t="n">
        <v>0</v>
      </c>
      <c r="J916" t="n">
        <v>0</v>
      </c>
      <c r="K916" t="n">
        <v>0</v>
      </c>
      <c r="L916" t="n">
        <v>0</v>
      </c>
      <c r="M916" t="n">
        <v>0</v>
      </c>
      <c r="N916" t="n">
        <v>0</v>
      </c>
      <c r="O916" t="n">
        <v>0</v>
      </c>
      <c r="P916" t="n">
        <v>0</v>
      </c>
      <c r="Q916" t="n">
        <v>0</v>
      </c>
      <c r="R916" s="2" t="inlineStr"/>
    </row>
    <row r="917" ht="15" customHeight="1">
      <c r="A917" t="inlineStr">
        <is>
          <t>A 5258-2023</t>
        </is>
      </c>
      <c r="B917" s="1" t="n">
        <v>44959</v>
      </c>
      <c r="C917" s="1" t="n">
        <v>45807</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5247-2023</t>
        </is>
      </c>
      <c r="B918" s="1" t="n">
        <v>44959</v>
      </c>
      <c r="C918" s="1" t="n">
        <v>45807</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5678-2023</t>
        </is>
      </c>
      <c r="B919" s="1" t="n">
        <v>44960</v>
      </c>
      <c r="C919" s="1" t="n">
        <v>45807</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5682-2023</t>
        </is>
      </c>
      <c r="B920" s="1" t="n">
        <v>44960</v>
      </c>
      <c r="C920" s="1" t="n">
        <v>45807</v>
      </c>
      <c r="D920" t="inlineStr">
        <is>
          <t>UPPSALA LÄN</t>
        </is>
      </c>
      <c r="E920" t="inlineStr">
        <is>
          <t>UPPSALA</t>
        </is>
      </c>
      <c r="F920" t="inlineStr">
        <is>
          <t>Allmännings- och besparingsskogar</t>
        </is>
      </c>
      <c r="G920" t="n">
        <v>14.2</v>
      </c>
      <c r="H920" t="n">
        <v>0</v>
      </c>
      <c r="I920" t="n">
        <v>0</v>
      </c>
      <c r="J920" t="n">
        <v>0</v>
      </c>
      <c r="K920" t="n">
        <v>0</v>
      </c>
      <c r="L920" t="n">
        <v>0</v>
      </c>
      <c r="M920" t="n">
        <v>0</v>
      </c>
      <c r="N920" t="n">
        <v>0</v>
      </c>
      <c r="O920" t="n">
        <v>0</v>
      </c>
      <c r="P920" t="n">
        <v>0</v>
      </c>
      <c r="Q920" t="n">
        <v>0</v>
      </c>
      <c r="R920" s="2" t="inlineStr"/>
    </row>
    <row r="921" ht="15" customHeight="1">
      <c r="A921" t="inlineStr">
        <is>
          <t>A 5663-2023</t>
        </is>
      </c>
      <c r="B921" s="1" t="n">
        <v>44960</v>
      </c>
      <c r="C921" s="1" t="n">
        <v>45807</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5669-2023</t>
        </is>
      </c>
      <c r="B922" s="1" t="n">
        <v>44960</v>
      </c>
      <c r="C922" s="1" t="n">
        <v>45807</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5675-2023</t>
        </is>
      </c>
      <c r="B923" s="1" t="n">
        <v>44960</v>
      </c>
      <c r="C923" s="1" t="n">
        <v>45807</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6213-2023</t>
        </is>
      </c>
      <c r="B924" s="1" t="n">
        <v>44964</v>
      </c>
      <c r="C924" s="1" t="n">
        <v>45807</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6155-2023</t>
        </is>
      </c>
      <c r="B925" s="1" t="n">
        <v>44964</v>
      </c>
      <c r="C925" s="1" t="n">
        <v>45807</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6215-2023</t>
        </is>
      </c>
      <c r="B926" s="1" t="n">
        <v>44964</v>
      </c>
      <c r="C926" s="1" t="n">
        <v>45807</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6422-2023</t>
        </is>
      </c>
      <c r="B927" s="1" t="n">
        <v>44965</v>
      </c>
      <c r="C927" s="1" t="n">
        <v>45807</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6423-2023</t>
        </is>
      </c>
      <c r="B928" s="1" t="n">
        <v>44965</v>
      </c>
      <c r="C928" s="1" t="n">
        <v>45807</v>
      </c>
      <c r="D928" t="inlineStr">
        <is>
          <t>UPPSALA LÄN</t>
        </is>
      </c>
      <c r="E928" t="inlineStr">
        <is>
          <t>UPPSALA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6602-2023</t>
        </is>
      </c>
      <c r="B929" s="1" t="n">
        <v>44966</v>
      </c>
      <c r="C929" s="1" t="n">
        <v>45807</v>
      </c>
      <c r="D929" t="inlineStr">
        <is>
          <t>UPPSALA LÄN</t>
        </is>
      </c>
      <c r="E929" t="inlineStr">
        <is>
          <t>UPPSALA</t>
        </is>
      </c>
      <c r="F929" t="inlineStr">
        <is>
          <t>Allmännings- och besparingsskogar</t>
        </is>
      </c>
      <c r="G929" t="n">
        <v>20.2</v>
      </c>
      <c r="H929" t="n">
        <v>0</v>
      </c>
      <c r="I929" t="n">
        <v>0</v>
      </c>
      <c r="J929" t="n">
        <v>0</v>
      </c>
      <c r="K929" t="n">
        <v>0</v>
      </c>
      <c r="L929" t="n">
        <v>0</v>
      </c>
      <c r="M929" t="n">
        <v>0</v>
      </c>
      <c r="N929" t="n">
        <v>0</v>
      </c>
      <c r="O929" t="n">
        <v>0</v>
      </c>
      <c r="P929" t="n">
        <v>0</v>
      </c>
      <c r="Q929" t="n">
        <v>0</v>
      </c>
      <c r="R929" s="2" t="inlineStr"/>
    </row>
    <row r="930" ht="15" customHeight="1">
      <c r="A930" t="inlineStr">
        <is>
          <t>A 6749-2023</t>
        </is>
      </c>
      <c r="B930" s="1" t="n">
        <v>44966</v>
      </c>
      <c r="C930" s="1" t="n">
        <v>45807</v>
      </c>
      <c r="D930" t="inlineStr">
        <is>
          <t>UPPSALA LÄN</t>
        </is>
      </c>
      <c r="E930" t="inlineStr">
        <is>
          <t>UPPSALA</t>
        </is>
      </c>
      <c r="F930" t="inlineStr">
        <is>
          <t>Allmännings- och besparingsskogar</t>
        </is>
      </c>
      <c r="G930" t="n">
        <v>13.5</v>
      </c>
      <c r="H930" t="n">
        <v>0</v>
      </c>
      <c r="I930" t="n">
        <v>0</v>
      </c>
      <c r="J930" t="n">
        <v>0</v>
      </c>
      <c r="K930" t="n">
        <v>0</v>
      </c>
      <c r="L930" t="n">
        <v>0</v>
      </c>
      <c r="M930" t="n">
        <v>0</v>
      </c>
      <c r="N930" t="n">
        <v>0</v>
      </c>
      <c r="O930" t="n">
        <v>0</v>
      </c>
      <c r="P930" t="n">
        <v>0</v>
      </c>
      <c r="Q930" t="n">
        <v>0</v>
      </c>
      <c r="R930" s="2" t="inlineStr"/>
    </row>
    <row r="931" ht="15" customHeight="1">
      <c r="A931" t="inlineStr">
        <is>
          <t>A 6930-2023</t>
        </is>
      </c>
      <c r="B931" s="1" t="n">
        <v>44967</v>
      </c>
      <c r="C931" s="1" t="n">
        <v>45807</v>
      </c>
      <c r="D931" t="inlineStr">
        <is>
          <t>UPPSALA LÄN</t>
        </is>
      </c>
      <c r="E931" t="inlineStr">
        <is>
          <t>UPPSALA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7000-2023</t>
        </is>
      </c>
      <c r="B932" s="1" t="n">
        <v>44967</v>
      </c>
      <c r="C932" s="1" t="n">
        <v>45807</v>
      </c>
      <c r="D932" t="inlineStr">
        <is>
          <t>UPPSALA LÄN</t>
        </is>
      </c>
      <c r="E932" t="inlineStr">
        <is>
          <t>UPPSALA</t>
        </is>
      </c>
      <c r="G932" t="n">
        <v>7.1</v>
      </c>
      <c r="H932" t="n">
        <v>0</v>
      </c>
      <c r="I932" t="n">
        <v>0</v>
      </c>
      <c r="J932" t="n">
        <v>0</v>
      </c>
      <c r="K932" t="n">
        <v>0</v>
      </c>
      <c r="L932" t="n">
        <v>0</v>
      </c>
      <c r="M932" t="n">
        <v>0</v>
      </c>
      <c r="N932" t="n">
        <v>0</v>
      </c>
      <c r="O932" t="n">
        <v>0</v>
      </c>
      <c r="P932" t="n">
        <v>0</v>
      </c>
      <c r="Q932" t="n">
        <v>0</v>
      </c>
      <c r="R932" s="2" t="inlineStr"/>
    </row>
    <row r="933" ht="15" customHeight="1">
      <c r="A933" t="inlineStr">
        <is>
          <t>A 6999-2023</t>
        </is>
      </c>
      <c r="B933" s="1" t="n">
        <v>44967</v>
      </c>
      <c r="C933" s="1" t="n">
        <v>45807</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6997-2023</t>
        </is>
      </c>
      <c r="B934" s="1" t="n">
        <v>44967</v>
      </c>
      <c r="C934" s="1" t="n">
        <v>45807</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7001-2023</t>
        </is>
      </c>
      <c r="B935" s="1" t="n">
        <v>44967</v>
      </c>
      <c r="C935" s="1" t="n">
        <v>45807</v>
      </c>
      <c r="D935" t="inlineStr">
        <is>
          <t>UPPSALA LÄN</t>
        </is>
      </c>
      <c r="E935" t="inlineStr">
        <is>
          <t>UPPSALA</t>
        </is>
      </c>
      <c r="G935" t="n">
        <v>4.3</v>
      </c>
      <c r="H935" t="n">
        <v>0</v>
      </c>
      <c r="I935" t="n">
        <v>0</v>
      </c>
      <c r="J935" t="n">
        <v>0</v>
      </c>
      <c r="K935" t="n">
        <v>0</v>
      </c>
      <c r="L935" t="n">
        <v>0</v>
      </c>
      <c r="M935" t="n">
        <v>0</v>
      </c>
      <c r="N935" t="n">
        <v>0</v>
      </c>
      <c r="O935" t="n">
        <v>0</v>
      </c>
      <c r="P935" t="n">
        <v>0</v>
      </c>
      <c r="Q935" t="n">
        <v>0</v>
      </c>
      <c r="R935" s="2" t="inlineStr"/>
    </row>
    <row r="936" ht="15" customHeight="1">
      <c r="A936" t="inlineStr">
        <is>
          <t>A 7002-2023</t>
        </is>
      </c>
      <c r="B936" s="1" t="n">
        <v>44967</v>
      </c>
      <c r="C936" s="1" t="n">
        <v>45807</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7611-2023</t>
        </is>
      </c>
      <c r="B937" s="1" t="n">
        <v>44967</v>
      </c>
      <c r="C937" s="1" t="n">
        <v>45807</v>
      </c>
      <c r="D937" t="inlineStr">
        <is>
          <t>UPPSALA LÄN</t>
        </is>
      </c>
      <c r="E937" t="inlineStr">
        <is>
          <t>UPPSALA</t>
        </is>
      </c>
      <c r="G937" t="n">
        <v>3.5</v>
      </c>
      <c r="H937" t="n">
        <v>0</v>
      </c>
      <c r="I937" t="n">
        <v>0</v>
      </c>
      <c r="J937" t="n">
        <v>0</v>
      </c>
      <c r="K937" t="n">
        <v>0</v>
      </c>
      <c r="L937" t="n">
        <v>0</v>
      </c>
      <c r="M937" t="n">
        <v>0</v>
      </c>
      <c r="N937" t="n">
        <v>0</v>
      </c>
      <c r="O937" t="n">
        <v>0</v>
      </c>
      <c r="P937" t="n">
        <v>0</v>
      </c>
      <c r="Q937" t="n">
        <v>0</v>
      </c>
      <c r="R937" s="2" t="inlineStr"/>
    </row>
    <row r="938" ht="15" customHeight="1">
      <c r="A938" t="inlineStr">
        <is>
          <t>A 7607-2023</t>
        </is>
      </c>
      <c r="B938" s="1" t="n">
        <v>44967</v>
      </c>
      <c r="C938" s="1" t="n">
        <v>45807</v>
      </c>
      <c r="D938" t="inlineStr">
        <is>
          <t>UPPSALA LÄN</t>
        </is>
      </c>
      <c r="E938" t="inlineStr">
        <is>
          <t>UPPSALA</t>
        </is>
      </c>
      <c r="G938" t="n">
        <v>11.1</v>
      </c>
      <c r="H938" t="n">
        <v>0</v>
      </c>
      <c r="I938" t="n">
        <v>0</v>
      </c>
      <c r="J938" t="n">
        <v>0</v>
      </c>
      <c r="K938" t="n">
        <v>0</v>
      </c>
      <c r="L938" t="n">
        <v>0</v>
      </c>
      <c r="M938" t="n">
        <v>0</v>
      </c>
      <c r="N938" t="n">
        <v>0</v>
      </c>
      <c r="O938" t="n">
        <v>0</v>
      </c>
      <c r="P938" t="n">
        <v>0</v>
      </c>
      <c r="Q938" t="n">
        <v>0</v>
      </c>
      <c r="R938" s="2" t="inlineStr"/>
    </row>
    <row r="939" ht="15" customHeight="1">
      <c r="A939" t="inlineStr">
        <is>
          <t>A 7058-2023</t>
        </is>
      </c>
      <c r="B939" s="1" t="n">
        <v>44969</v>
      </c>
      <c r="C939" s="1" t="n">
        <v>45807</v>
      </c>
      <c r="D939" t="inlineStr">
        <is>
          <t>UPPSALA LÄN</t>
        </is>
      </c>
      <c r="E939" t="inlineStr">
        <is>
          <t>UPPSALA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7084-2023</t>
        </is>
      </c>
      <c r="B940" s="1" t="n">
        <v>44970</v>
      </c>
      <c r="C940" s="1" t="n">
        <v>45807</v>
      </c>
      <c r="D940" t="inlineStr">
        <is>
          <t>UPPSALA LÄN</t>
        </is>
      </c>
      <c r="E940" t="inlineStr">
        <is>
          <t>UPPSALA</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8384-2023</t>
        </is>
      </c>
      <c r="B941" s="1" t="n">
        <v>44971</v>
      </c>
      <c r="C941" s="1" t="n">
        <v>45807</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8286-2023</t>
        </is>
      </c>
      <c r="B942" s="1" t="n">
        <v>44971</v>
      </c>
      <c r="C942" s="1" t="n">
        <v>45807</v>
      </c>
      <c r="D942" t="inlineStr">
        <is>
          <t>UPPSALA LÄN</t>
        </is>
      </c>
      <c r="E942" t="inlineStr">
        <is>
          <t>UPPSALA</t>
        </is>
      </c>
      <c r="G942" t="n">
        <v>9</v>
      </c>
      <c r="H942" t="n">
        <v>0</v>
      </c>
      <c r="I942" t="n">
        <v>0</v>
      </c>
      <c r="J942" t="n">
        <v>0</v>
      </c>
      <c r="K942" t="n">
        <v>0</v>
      </c>
      <c r="L942" t="n">
        <v>0</v>
      </c>
      <c r="M942" t="n">
        <v>0</v>
      </c>
      <c r="N942" t="n">
        <v>0</v>
      </c>
      <c r="O942" t="n">
        <v>0</v>
      </c>
      <c r="P942" t="n">
        <v>0</v>
      </c>
      <c r="Q942" t="n">
        <v>0</v>
      </c>
      <c r="R942" s="2" t="inlineStr"/>
    </row>
    <row r="943" ht="15" customHeight="1">
      <c r="A943" t="inlineStr">
        <is>
          <t>A 7577-2023</t>
        </is>
      </c>
      <c r="B943" s="1" t="n">
        <v>44972</v>
      </c>
      <c r="C943" s="1" t="n">
        <v>45807</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7663-2023</t>
        </is>
      </c>
      <c r="B944" s="1" t="n">
        <v>44972</v>
      </c>
      <c r="C944" s="1" t="n">
        <v>45807</v>
      </c>
      <c r="D944" t="inlineStr">
        <is>
          <t>UPPSALA LÄN</t>
        </is>
      </c>
      <c r="E944" t="inlineStr">
        <is>
          <t>UPPSALA</t>
        </is>
      </c>
      <c r="G944" t="n">
        <v>1.7</v>
      </c>
      <c r="H944" t="n">
        <v>0</v>
      </c>
      <c r="I944" t="n">
        <v>0</v>
      </c>
      <c r="J944" t="n">
        <v>0</v>
      </c>
      <c r="K944" t="n">
        <v>0</v>
      </c>
      <c r="L944" t="n">
        <v>0</v>
      </c>
      <c r="M944" t="n">
        <v>0</v>
      </c>
      <c r="N944" t="n">
        <v>0</v>
      </c>
      <c r="O944" t="n">
        <v>0</v>
      </c>
      <c r="P944" t="n">
        <v>0</v>
      </c>
      <c r="Q944" t="n">
        <v>0</v>
      </c>
      <c r="R944" s="2" t="inlineStr"/>
    </row>
    <row r="945" ht="15" customHeight="1">
      <c r="A945" t="inlineStr">
        <is>
          <t>A 7894-2023</t>
        </is>
      </c>
      <c r="B945" s="1" t="n">
        <v>44973</v>
      </c>
      <c r="C945" s="1" t="n">
        <v>45807</v>
      </c>
      <c r="D945" t="inlineStr">
        <is>
          <t>UPPSALA LÄN</t>
        </is>
      </c>
      <c r="E945" t="inlineStr">
        <is>
          <t>UPPSALA</t>
        </is>
      </c>
      <c r="G945" t="n">
        <v>4.4</v>
      </c>
      <c r="H945" t="n">
        <v>0</v>
      </c>
      <c r="I945" t="n">
        <v>0</v>
      </c>
      <c r="J945" t="n">
        <v>0</v>
      </c>
      <c r="K945" t="n">
        <v>0</v>
      </c>
      <c r="L945" t="n">
        <v>0</v>
      </c>
      <c r="M945" t="n">
        <v>0</v>
      </c>
      <c r="N945" t="n">
        <v>0</v>
      </c>
      <c r="O945" t="n">
        <v>0</v>
      </c>
      <c r="P945" t="n">
        <v>0</v>
      </c>
      <c r="Q945" t="n">
        <v>0</v>
      </c>
      <c r="R945" s="2" t="inlineStr"/>
    </row>
    <row r="946" ht="15" customHeight="1">
      <c r="A946" t="inlineStr">
        <is>
          <t>A 8162-2023</t>
        </is>
      </c>
      <c r="B946" s="1" t="n">
        <v>44974</v>
      </c>
      <c r="C946" s="1" t="n">
        <v>45807</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8473-2023</t>
        </is>
      </c>
      <c r="B947" s="1" t="n">
        <v>44977</v>
      </c>
      <c r="C947" s="1" t="n">
        <v>45807</v>
      </c>
      <c r="D947" t="inlineStr">
        <is>
          <t>UPPSALA LÄN</t>
        </is>
      </c>
      <c r="E947" t="inlineStr">
        <is>
          <t>UPPSALA</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45807</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9398-2023</t>
        </is>
      </c>
      <c r="B949" s="1" t="n">
        <v>44977</v>
      </c>
      <c r="C949" s="1" t="n">
        <v>45807</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9295-2023</t>
        </is>
      </c>
      <c r="B950" s="1" t="n">
        <v>44980</v>
      </c>
      <c r="C950" s="1" t="n">
        <v>45807</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9261-2023</t>
        </is>
      </c>
      <c r="B951" s="1" t="n">
        <v>44980</v>
      </c>
      <c r="C951" s="1" t="n">
        <v>45807</v>
      </c>
      <c r="D951" t="inlineStr">
        <is>
          <t>UPPSALA LÄN</t>
        </is>
      </c>
      <c r="E951" t="inlineStr">
        <is>
          <t>UPPSALA</t>
        </is>
      </c>
      <c r="G951" t="n">
        <v>5.3</v>
      </c>
      <c r="H951" t="n">
        <v>0</v>
      </c>
      <c r="I951" t="n">
        <v>0</v>
      </c>
      <c r="J951" t="n">
        <v>0</v>
      </c>
      <c r="K951" t="n">
        <v>0</v>
      </c>
      <c r="L951" t="n">
        <v>0</v>
      </c>
      <c r="M951" t="n">
        <v>0</v>
      </c>
      <c r="N951" t="n">
        <v>0</v>
      </c>
      <c r="O951" t="n">
        <v>0</v>
      </c>
      <c r="P951" t="n">
        <v>0</v>
      </c>
      <c r="Q951" t="n">
        <v>0</v>
      </c>
      <c r="R951" s="2" t="inlineStr"/>
    </row>
    <row r="952" ht="15" customHeight="1">
      <c r="A952" t="inlineStr">
        <is>
          <t>A 9291-2023</t>
        </is>
      </c>
      <c r="B952" s="1" t="n">
        <v>44980</v>
      </c>
      <c r="C952" s="1" t="n">
        <v>45807</v>
      </c>
      <c r="D952" t="inlineStr">
        <is>
          <t>UPPSALA LÄN</t>
        </is>
      </c>
      <c r="E952" t="inlineStr">
        <is>
          <t>UPPSALA</t>
        </is>
      </c>
      <c r="G952" t="n">
        <v>12.9</v>
      </c>
      <c r="H952" t="n">
        <v>0</v>
      </c>
      <c r="I952" t="n">
        <v>0</v>
      </c>
      <c r="J952" t="n">
        <v>0</v>
      </c>
      <c r="K952" t="n">
        <v>0</v>
      </c>
      <c r="L952" t="n">
        <v>0</v>
      </c>
      <c r="M952" t="n">
        <v>0</v>
      </c>
      <c r="N952" t="n">
        <v>0</v>
      </c>
      <c r="O952" t="n">
        <v>0</v>
      </c>
      <c r="P952" t="n">
        <v>0</v>
      </c>
      <c r="Q952" t="n">
        <v>0</v>
      </c>
      <c r="R952" s="2" t="inlineStr"/>
    </row>
    <row r="953" ht="15" customHeight="1">
      <c r="A953" t="inlineStr">
        <is>
          <t>A 9313-2023</t>
        </is>
      </c>
      <c r="B953" s="1" t="n">
        <v>44980</v>
      </c>
      <c r="C953" s="1" t="n">
        <v>45807</v>
      </c>
      <c r="D953" t="inlineStr">
        <is>
          <t>UPPSALA LÄN</t>
        </is>
      </c>
      <c r="E953" t="inlineStr">
        <is>
          <t>UPPSALA</t>
        </is>
      </c>
      <c r="G953" t="n">
        <v>2.6</v>
      </c>
      <c r="H953" t="n">
        <v>0</v>
      </c>
      <c r="I953" t="n">
        <v>0</v>
      </c>
      <c r="J953" t="n">
        <v>0</v>
      </c>
      <c r="K953" t="n">
        <v>0</v>
      </c>
      <c r="L953" t="n">
        <v>0</v>
      </c>
      <c r="M953" t="n">
        <v>0</v>
      </c>
      <c r="N953" t="n">
        <v>0</v>
      </c>
      <c r="O953" t="n">
        <v>0</v>
      </c>
      <c r="P953" t="n">
        <v>0</v>
      </c>
      <c r="Q953" t="n">
        <v>0</v>
      </c>
      <c r="R953" s="2" t="inlineStr"/>
    </row>
    <row r="954" ht="15" customHeight="1">
      <c r="A954" t="inlineStr">
        <is>
          <t>A 9817-2023</t>
        </is>
      </c>
      <c r="B954" s="1" t="n">
        <v>44984</v>
      </c>
      <c r="C954" s="1" t="n">
        <v>45807</v>
      </c>
      <c r="D954" t="inlineStr">
        <is>
          <t>UPPSALA LÄN</t>
        </is>
      </c>
      <c r="E954" t="inlineStr">
        <is>
          <t>UPPSALA</t>
        </is>
      </c>
      <c r="F954" t="inlineStr">
        <is>
          <t>Kyrkan</t>
        </is>
      </c>
      <c r="G954" t="n">
        <v>5.3</v>
      </c>
      <c r="H954" t="n">
        <v>0</v>
      </c>
      <c r="I954" t="n">
        <v>0</v>
      </c>
      <c r="J954" t="n">
        <v>0</v>
      </c>
      <c r="K954" t="n">
        <v>0</v>
      </c>
      <c r="L954" t="n">
        <v>0</v>
      </c>
      <c r="M954" t="n">
        <v>0</v>
      </c>
      <c r="N954" t="n">
        <v>0</v>
      </c>
      <c r="O954" t="n">
        <v>0</v>
      </c>
      <c r="P954" t="n">
        <v>0</v>
      </c>
      <c r="Q954" t="n">
        <v>0</v>
      </c>
      <c r="R954" s="2" t="inlineStr"/>
    </row>
    <row r="955" ht="15" customHeight="1">
      <c r="A955" t="inlineStr">
        <is>
          <t>A 9814-2023</t>
        </is>
      </c>
      <c r="B955" s="1" t="n">
        <v>44984</v>
      </c>
      <c r="C955" s="1" t="n">
        <v>45807</v>
      </c>
      <c r="D955" t="inlineStr">
        <is>
          <t>UPPSALA LÄN</t>
        </is>
      </c>
      <c r="E955" t="inlineStr">
        <is>
          <t>UPPSALA</t>
        </is>
      </c>
      <c r="F955" t="inlineStr">
        <is>
          <t>Kyrkan</t>
        </is>
      </c>
      <c r="G955" t="n">
        <v>5</v>
      </c>
      <c r="H955" t="n">
        <v>0</v>
      </c>
      <c r="I955" t="n">
        <v>0</v>
      </c>
      <c r="J955" t="n">
        <v>0</v>
      </c>
      <c r="K955" t="n">
        <v>0</v>
      </c>
      <c r="L955" t="n">
        <v>0</v>
      </c>
      <c r="M955" t="n">
        <v>0</v>
      </c>
      <c r="N955" t="n">
        <v>0</v>
      </c>
      <c r="O955" t="n">
        <v>0</v>
      </c>
      <c r="P955" t="n">
        <v>0</v>
      </c>
      <c r="Q955" t="n">
        <v>0</v>
      </c>
      <c r="R955" s="2" t="inlineStr"/>
    </row>
    <row r="956" ht="15" customHeight="1">
      <c r="A956" t="inlineStr">
        <is>
          <t>A 9811-2023</t>
        </is>
      </c>
      <c r="B956" s="1" t="n">
        <v>44984</v>
      </c>
      <c r="C956" s="1" t="n">
        <v>45807</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9820-2023</t>
        </is>
      </c>
      <c r="B957" s="1" t="n">
        <v>44984</v>
      </c>
      <c r="C957" s="1" t="n">
        <v>45807</v>
      </c>
      <c r="D957" t="inlineStr">
        <is>
          <t>UPPSALA LÄN</t>
        </is>
      </c>
      <c r="E957" t="inlineStr">
        <is>
          <t>UPPSALA</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10005-2023</t>
        </is>
      </c>
      <c r="B958" s="1" t="n">
        <v>44985</v>
      </c>
      <c r="C958" s="1" t="n">
        <v>45807</v>
      </c>
      <c r="D958" t="inlineStr">
        <is>
          <t>UPPSALA LÄN</t>
        </is>
      </c>
      <c r="E958" t="inlineStr">
        <is>
          <t>UPPSALA</t>
        </is>
      </c>
      <c r="G958" t="n">
        <v>2.6</v>
      </c>
      <c r="H958" t="n">
        <v>0</v>
      </c>
      <c r="I958" t="n">
        <v>0</v>
      </c>
      <c r="J958" t="n">
        <v>0</v>
      </c>
      <c r="K958" t="n">
        <v>0</v>
      </c>
      <c r="L958" t="n">
        <v>0</v>
      </c>
      <c r="M958" t="n">
        <v>0</v>
      </c>
      <c r="N958" t="n">
        <v>0</v>
      </c>
      <c r="O958" t="n">
        <v>0</v>
      </c>
      <c r="P958" t="n">
        <v>0</v>
      </c>
      <c r="Q958" t="n">
        <v>0</v>
      </c>
      <c r="R958" s="2" t="inlineStr"/>
    </row>
    <row r="959" ht="15" customHeight="1">
      <c r="A959" t="inlineStr">
        <is>
          <t>A 10669-2023</t>
        </is>
      </c>
      <c r="B959" s="1" t="n">
        <v>44988</v>
      </c>
      <c r="C959" s="1" t="n">
        <v>45807</v>
      </c>
      <c r="D959" t="inlineStr">
        <is>
          <t>UPPSALA LÄN</t>
        </is>
      </c>
      <c r="E959" t="inlineStr">
        <is>
          <t>UPPSALA</t>
        </is>
      </c>
      <c r="G959" t="n">
        <v>4.9</v>
      </c>
      <c r="H959" t="n">
        <v>0</v>
      </c>
      <c r="I959" t="n">
        <v>0</v>
      </c>
      <c r="J959" t="n">
        <v>0</v>
      </c>
      <c r="K959" t="n">
        <v>0</v>
      </c>
      <c r="L959" t="n">
        <v>0</v>
      </c>
      <c r="M959" t="n">
        <v>0</v>
      </c>
      <c r="N959" t="n">
        <v>0</v>
      </c>
      <c r="O959" t="n">
        <v>0</v>
      </c>
      <c r="P959" t="n">
        <v>0</v>
      </c>
      <c r="Q959" t="n">
        <v>0</v>
      </c>
      <c r="R959" s="2" t="inlineStr"/>
    </row>
    <row r="960" ht="15" customHeight="1">
      <c r="A960" t="inlineStr">
        <is>
          <t>A 11484-2023</t>
        </is>
      </c>
      <c r="B960" s="1" t="n">
        <v>44991</v>
      </c>
      <c r="C960" s="1" t="n">
        <v>45807</v>
      </c>
      <c r="D960" t="inlineStr">
        <is>
          <t>UPPSALA LÄN</t>
        </is>
      </c>
      <c r="E960" t="inlineStr">
        <is>
          <t>UPPSALA</t>
        </is>
      </c>
      <c r="G960" t="n">
        <v>10.3</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45807</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11744-2023</t>
        </is>
      </c>
      <c r="B962" s="1" t="n">
        <v>44993</v>
      </c>
      <c r="C962" s="1" t="n">
        <v>45807</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45807</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12158-2023</t>
        </is>
      </c>
      <c r="B964" s="1" t="n">
        <v>44998</v>
      </c>
      <c r="C964" s="1" t="n">
        <v>45807</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12604-2023</t>
        </is>
      </c>
      <c r="B965" s="1" t="n">
        <v>45000</v>
      </c>
      <c r="C965" s="1" t="n">
        <v>45807</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12603-2023</t>
        </is>
      </c>
      <c r="B966" s="1" t="n">
        <v>45000</v>
      </c>
      <c r="C966" s="1" t="n">
        <v>45807</v>
      </c>
      <c r="D966" t="inlineStr">
        <is>
          <t>UPPSALA LÄN</t>
        </is>
      </c>
      <c r="E966" t="inlineStr">
        <is>
          <t>UPPSALA</t>
        </is>
      </c>
      <c r="G966" t="n">
        <v>3.1</v>
      </c>
      <c r="H966" t="n">
        <v>0</v>
      </c>
      <c r="I966" t="n">
        <v>0</v>
      </c>
      <c r="J966" t="n">
        <v>0</v>
      </c>
      <c r="K966" t="n">
        <v>0</v>
      </c>
      <c r="L966" t="n">
        <v>0</v>
      </c>
      <c r="M966" t="n">
        <v>0</v>
      </c>
      <c r="N966" t="n">
        <v>0</v>
      </c>
      <c r="O966" t="n">
        <v>0</v>
      </c>
      <c r="P966" t="n">
        <v>0</v>
      </c>
      <c r="Q966" t="n">
        <v>0</v>
      </c>
      <c r="R966" s="2" t="inlineStr"/>
    </row>
    <row r="967" ht="15" customHeight="1">
      <c r="A967" t="inlineStr">
        <is>
          <t>A 12602-2023</t>
        </is>
      </c>
      <c r="B967" s="1" t="n">
        <v>45000</v>
      </c>
      <c r="C967" s="1" t="n">
        <v>45807</v>
      </c>
      <c r="D967" t="inlineStr">
        <is>
          <t>UPPSALA LÄN</t>
        </is>
      </c>
      <c r="E967" t="inlineStr">
        <is>
          <t>UPPSALA</t>
        </is>
      </c>
      <c r="G967" t="n">
        <v>2.5</v>
      </c>
      <c r="H967" t="n">
        <v>0</v>
      </c>
      <c r="I967" t="n">
        <v>0</v>
      </c>
      <c r="J967" t="n">
        <v>0</v>
      </c>
      <c r="K967" t="n">
        <v>0</v>
      </c>
      <c r="L967" t="n">
        <v>0</v>
      </c>
      <c r="M967" t="n">
        <v>0</v>
      </c>
      <c r="N967" t="n">
        <v>0</v>
      </c>
      <c r="O967" t="n">
        <v>0</v>
      </c>
      <c r="P967" t="n">
        <v>0</v>
      </c>
      <c r="Q967" t="n">
        <v>0</v>
      </c>
      <c r="R967" s="2" t="inlineStr"/>
    </row>
    <row r="968" ht="15" customHeight="1">
      <c r="A968" t="inlineStr">
        <is>
          <t>A 12703-2023</t>
        </is>
      </c>
      <c r="B968" s="1" t="n">
        <v>45000</v>
      </c>
      <c r="C968" s="1" t="n">
        <v>45807</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12606-2023</t>
        </is>
      </c>
      <c r="B969" s="1" t="n">
        <v>45000</v>
      </c>
      <c r="C969" s="1" t="n">
        <v>45807</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13526-2023</t>
        </is>
      </c>
      <c r="B970" s="1" t="n">
        <v>45006</v>
      </c>
      <c r="C970" s="1" t="n">
        <v>45807</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14253-2023</t>
        </is>
      </c>
      <c r="B971" s="1" t="n">
        <v>45009</v>
      </c>
      <c r="C971" s="1" t="n">
        <v>45807</v>
      </c>
      <c r="D971" t="inlineStr">
        <is>
          <t>UPPSALA LÄN</t>
        </is>
      </c>
      <c r="E971" t="inlineStr">
        <is>
          <t>UPPSALA</t>
        </is>
      </c>
      <c r="F971" t="inlineStr">
        <is>
          <t>Allmännings- och besparingsskogar</t>
        </is>
      </c>
      <c r="G971" t="n">
        <v>14</v>
      </c>
      <c r="H971" t="n">
        <v>0</v>
      </c>
      <c r="I971" t="n">
        <v>0</v>
      </c>
      <c r="J971" t="n">
        <v>0</v>
      </c>
      <c r="K971" t="n">
        <v>0</v>
      </c>
      <c r="L971" t="n">
        <v>0</v>
      </c>
      <c r="M971" t="n">
        <v>0</v>
      </c>
      <c r="N971" t="n">
        <v>0</v>
      </c>
      <c r="O971" t="n">
        <v>0</v>
      </c>
      <c r="P971" t="n">
        <v>0</v>
      </c>
      <c r="Q971" t="n">
        <v>0</v>
      </c>
      <c r="R971" s="2" t="inlineStr"/>
    </row>
    <row r="972" ht="15" customHeight="1">
      <c r="A972" t="inlineStr">
        <is>
          <t>A 14784-2023</t>
        </is>
      </c>
      <c r="B972" s="1" t="n">
        <v>45014</v>
      </c>
      <c r="C972" s="1" t="n">
        <v>45807</v>
      </c>
      <c r="D972" t="inlineStr">
        <is>
          <t>UPPSALA LÄN</t>
        </is>
      </c>
      <c r="E972" t="inlineStr">
        <is>
          <t>UPPSALA</t>
        </is>
      </c>
      <c r="G972" t="n">
        <v>4.7</v>
      </c>
      <c r="H972" t="n">
        <v>0</v>
      </c>
      <c r="I972" t="n">
        <v>0</v>
      </c>
      <c r="J972" t="n">
        <v>0</v>
      </c>
      <c r="K972" t="n">
        <v>0</v>
      </c>
      <c r="L972" t="n">
        <v>0</v>
      </c>
      <c r="M972" t="n">
        <v>0</v>
      </c>
      <c r="N972" t="n">
        <v>0</v>
      </c>
      <c r="O972" t="n">
        <v>0</v>
      </c>
      <c r="P972" t="n">
        <v>0</v>
      </c>
      <c r="Q972" t="n">
        <v>0</v>
      </c>
      <c r="R972" s="2" t="inlineStr"/>
    </row>
    <row r="973" ht="15" customHeight="1">
      <c r="A973" t="inlineStr">
        <is>
          <t>A 14988-2023</t>
        </is>
      </c>
      <c r="B973" s="1" t="n">
        <v>45015</v>
      </c>
      <c r="C973" s="1" t="n">
        <v>45807</v>
      </c>
      <c r="D973" t="inlineStr">
        <is>
          <t>UPPSALA LÄN</t>
        </is>
      </c>
      <c r="E973" t="inlineStr">
        <is>
          <t>UPPSALA</t>
        </is>
      </c>
      <c r="G973" t="n">
        <v>4.2</v>
      </c>
      <c r="H973" t="n">
        <v>0</v>
      </c>
      <c r="I973" t="n">
        <v>0</v>
      </c>
      <c r="J973" t="n">
        <v>0</v>
      </c>
      <c r="K973" t="n">
        <v>0</v>
      </c>
      <c r="L973" t="n">
        <v>0</v>
      </c>
      <c r="M973" t="n">
        <v>0</v>
      </c>
      <c r="N973" t="n">
        <v>0</v>
      </c>
      <c r="O973" t="n">
        <v>0</v>
      </c>
      <c r="P973" t="n">
        <v>0</v>
      </c>
      <c r="Q973" t="n">
        <v>0</v>
      </c>
      <c r="R973" s="2" t="inlineStr"/>
    </row>
    <row r="974" ht="15" customHeight="1">
      <c r="A974" t="inlineStr">
        <is>
          <t>A 15547-2023</t>
        </is>
      </c>
      <c r="B974" s="1" t="n">
        <v>45020</v>
      </c>
      <c r="C974" s="1" t="n">
        <v>45807</v>
      </c>
      <c r="D974" t="inlineStr">
        <is>
          <t>UPPSALA LÄN</t>
        </is>
      </c>
      <c r="E974" t="inlineStr">
        <is>
          <t>UPPSALA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15551-2023</t>
        </is>
      </c>
      <c r="B975" s="1" t="n">
        <v>45020</v>
      </c>
      <c r="C975" s="1" t="n">
        <v>45807</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15629-2023</t>
        </is>
      </c>
      <c r="B976" s="1" t="n">
        <v>45021</v>
      </c>
      <c r="C976" s="1" t="n">
        <v>45807</v>
      </c>
      <c r="D976" t="inlineStr">
        <is>
          <t>UPPSALA LÄN</t>
        </is>
      </c>
      <c r="E976" t="inlineStr">
        <is>
          <t>UPPSALA</t>
        </is>
      </c>
      <c r="F976" t="inlineStr">
        <is>
          <t>Övriga Aktiebolag</t>
        </is>
      </c>
      <c r="G976" t="n">
        <v>7</v>
      </c>
      <c r="H976" t="n">
        <v>0</v>
      </c>
      <c r="I976" t="n">
        <v>0</v>
      </c>
      <c r="J976" t="n">
        <v>0</v>
      </c>
      <c r="K976" t="n">
        <v>0</v>
      </c>
      <c r="L976" t="n">
        <v>0</v>
      </c>
      <c r="M976" t="n">
        <v>0</v>
      </c>
      <c r="N976" t="n">
        <v>0</v>
      </c>
      <c r="O976" t="n">
        <v>0</v>
      </c>
      <c r="P976" t="n">
        <v>0</v>
      </c>
      <c r="Q976" t="n">
        <v>0</v>
      </c>
      <c r="R976" s="2" t="inlineStr"/>
    </row>
    <row r="977" ht="15" customHeight="1">
      <c r="A977" t="inlineStr">
        <is>
          <t>A 16346-2023</t>
        </is>
      </c>
      <c r="B977" s="1" t="n">
        <v>45028</v>
      </c>
      <c r="C977" s="1" t="n">
        <v>45807</v>
      </c>
      <c r="D977" t="inlineStr">
        <is>
          <t>UPPSALA LÄN</t>
        </is>
      </c>
      <c r="E977" t="inlineStr">
        <is>
          <t>UPPSALA</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16811-2023</t>
        </is>
      </c>
      <c r="B978" s="1" t="n">
        <v>45033</v>
      </c>
      <c r="C978" s="1" t="n">
        <v>45807</v>
      </c>
      <c r="D978" t="inlineStr">
        <is>
          <t>UPPSALA LÄN</t>
        </is>
      </c>
      <c r="E978" t="inlineStr">
        <is>
          <t>UPPSALA</t>
        </is>
      </c>
      <c r="G978" t="n">
        <v>10.1</v>
      </c>
      <c r="H978" t="n">
        <v>0</v>
      </c>
      <c r="I978" t="n">
        <v>0</v>
      </c>
      <c r="J978" t="n">
        <v>0</v>
      </c>
      <c r="K978" t="n">
        <v>0</v>
      </c>
      <c r="L978" t="n">
        <v>0</v>
      </c>
      <c r="M978" t="n">
        <v>0</v>
      </c>
      <c r="N978" t="n">
        <v>0</v>
      </c>
      <c r="O978" t="n">
        <v>0</v>
      </c>
      <c r="P978" t="n">
        <v>0</v>
      </c>
      <c r="Q978" t="n">
        <v>0</v>
      </c>
      <c r="R978" s="2" t="inlineStr"/>
    </row>
    <row r="979" ht="15" customHeight="1">
      <c r="A979" t="inlineStr">
        <is>
          <t>A 17229-2023</t>
        </is>
      </c>
      <c r="B979" s="1" t="n">
        <v>45035</v>
      </c>
      <c r="C979" s="1" t="n">
        <v>45807</v>
      </c>
      <c r="D979" t="inlineStr">
        <is>
          <t>UPPSALA LÄN</t>
        </is>
      </c>
      <c r="E979" t="inlineStr">
        <is>
          <t>UPPSALA</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17280-2023</t>
        </is>
      </c>
      <c r="B980" s="1" t="n">
        <v>45035</v>
      </c>
      <c r="C980" s="1" t="n">
        <v>45807</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17481-2023</t>
        </is>
      </c>
      <c r="B981" s="1" t="n">
        <v>45036</v>
      </c>
      <c r="C981" s="1" t="n">
        <v>45807</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17788-2023</t>
        </is>
      </c>
      <c r="B982" s="1" t="n">
        <v>45037</v>
      </c>
      <c r="C982" s="1" t="n">
        <v>45807</v>
      </c>
      <c r="D982" t="inlineStr">
        <is>
          <t>UPPSALA LÄN</t>
        </is>
      </c>
      <c r="E982" t="inlineStr">
        <is>
          <t>UPPSALA</t>
        </is>
      </c>
      <c r="F982" t="inlineStr">
        <is>
          <t>Övriga Aktiebolag</t>
        </is>
      </c>
      <c r="G982" t="n">
        <v>3.7</v>
      </c>
      <c r="H982" t="n">
        <v>0</v>
      </c>
      <c r="I982" t="n">
        <v>0</v>
      </c>
      <c r="J982" t="n">
        <v>0</v>
      </c>
      <c r="K982" t="n">
        <v>0</v>
      </c>
      <c r="L982" t="n">
        <v>0</v>
      </c>
      <c r="M982" t="n">
        <v>0</v>
      </c>
      <c r="N982" t="n">
        <v>0</v>
      </c>
      <c r="O982" t="n">
        <v>0</v>
      </c>
      <c r="P982" t="n">
        <v>0</v>
      </c>
      <c r="Q982" t="n">
        <v>0</v>
      </c>
      <c r="R982" s="2" t="inlineStr"/>
    </row>
    <row r="983" ht="15" customHeight="1">
      <c r="A983" t="inlineStr">
        <is>
          <t>A 17938-2023</t>
        </is>
      </c>
      <c r="B983" s="1" t="n">
        <v>45040</v>
      </c>
      <c r="C983" s="1" t="n">
        <v>45807</v>
      </c>
      <c r="D983" t="inlineStr">
        <is>
          <t>UPPSALA LÄN</t>
        </is>
      </c>
      <c r="E983" t="inlineStr">
        <is>
          <t>UPPSALA</t>
        </is>
      </c>
      <c r="G983" t="n">
        <v>2.9</v>
      </c>
      <c r="H983" t="n">
        <v>0</v>
      </c>
      <c r="I983" t="n">
        <v>0</v>
      </c>
      <c r="J983" t="n">
        <v>0</v>
      </c>
      <c r="K983" t="n">
        <v>0</v>
      </c>
      <c r="L983" t="n">
        <v>0</v>
      </c>
      <c r="M983" t="n">
        <v>0</v>
      </c>
      <c r="N983" t="n">
        <v>0</v>
      </c>
      <c r="O983" t="n">
        <v>0</v>
      </c>
      <c r="P983" t="n">
        <v>0</v>
      </c>
      <c r="Q983" t="n">
        <v>0</v>
      </c>
      <c r="R983" s="2" t="inlineStr"/>
    </row>
    <row r="984" ht="15" customHeight="1">
      <c r="A984" t="inlineStr">
        <is>
          <t>A 18277-2023</t>
        </is>
      </c>
      <c r="B984" s="1" t="n">
        <v>45041</v>
      </c>
      <c r="C984" s="1" t="n">
        <v>45807</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18275-2023</t>
        </is>
      </c>
      <c r="B985" s="1" t="n">
        <v>45041</v>
      </c>
      <c r="C985" s="1" t="n">
        <v>45807</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18278-2023</t>
        </is>
      </c>
      <c r="B986" s="1" t="n">
        <v>45041</v>
      </c>
      <c r="C986" s="1" t="n">
        <v>45807</v>
      </c>
      <c r="D986" t="inlineStr">
        <is>
          <t>UPPSALA LÄN</t>
        </is>
      </c>
      <c r="E986" t="inlineStr">
        <is>
          <t>UPPSALA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18276-2023</t>
        </is>
      </c>
      <c r="B987" s="1" t="n">
        <v>45041</v>
      </c>
      <c r="C987" s="1" t="n">
        <v>45807</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18443-2023</t>
        </is>
      </c>
      <c r="B988" s="1" t="n">
        <v>45042</v>
      </c>
      <c r="C988" s="1" t="n">
        <v>45807</v>
      </c>
      <c r="D988" t="inlineStr">
        <is>
          <t>UPPSALA LÄN</t>
        </is>
      </c>
      <c r="E988" t="inlineStr">
        <is>
          <t>UPPSALA</t>
        </is>
      </c>
      <c r="G988" t="n">
        <v>0.4</v>
      </c>
      <c r="H988" t="n">
        <v>0</v>
      </c>
      <c r="I988" t="n">
        <v>0</v>
      </c>
      <c r="J988" t="n">
        <v>0</v>
      </c>
      <c r="K988" t="n">
        <v>0</v>
      </c>
      <c r="L988" t="n">
        <v>0</v>
      </c>
      <c r="M988" t="n">
        <v>0</v>
      </c>
      <c r="N988" t="n">
        <v>0</v>
      </c>
      <c r="O988" t="n">
        <v>0</v>
      </c>
      <c r="P988" t="n">
        <v>0</v>
      </c>
      <c r="Q988" t="n">
        <v>0</v>
      </c>
      <c r="R988" s="2" t="inlineStr"/>
    </row>
    <row r="989" ht="15" customHeight="1">
      <c r="A989" t="inlineStr">
        <is>
          <t>A 18496-2023</t>
        </is>
      </c>
      <c r="B989" s="1" t="n">
        <v>45042</v>
      </c>
      <c r="C989" s="1" t="n">
        <v>45807</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18507-2023</t>
        </is>
      </c>
      <c r="B990" s="1" t="n">
        <v>45042</v>
      </c>
      <c r="C990" s="1" t="n">
        <v>45807</v>
      </c>
      <c r="D990" t="inlineStr">
        <is>
          <t>UPPSALA LÄN</t>
        </is>
      </c>
      <c r="E990" t="inlineStr">
        <is>
          <t>UPPSALA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18472-2023</t>
        </is>
      </c>
      <c r="B991" s="1" t="n">
        <v>45042</v>
      </c>
      <c r="C991" s="1" t="n">
        <v>45807</v>
      </c>
      <c r="D991" t="inlineStr">
        <is>
          <t>UPPSALA LÄN</t>
        </is>
      </c>
      <c r="E991" t="inlineStr">
        <is>
          <t>UPPSALA</t>
        </is>
      </c>
      <c r="F991" t="inlineStr">
        <is>
          <t>Övriga Aktiebolag</t>
        </is>
      </c>
      <c r="G991" t="n">
        <v>3</v>
      </c>
      <c r="H991" t="n">
        <v>0</v>
      </c>
      <c r="I991" t="n">
        <v>0</v>
      </c>
      <c r="J991" t="n">
        <v>0</v>
      </c>
      <c r="K991" t="n">
        <v>0</v>
      </c>
      <c r="L991" t="n">
        <v>0</v>
      </c>
      <c r="M991" t="n">
        <v>0</v>
      </c>
      <c r="N991" t="n">
        <v>0</v>
      </c>
      <c r="O991" t="n">
        <v>0</v>
      </c>
      <c r="P991" t="n">
        <v>0</v>
      </c>
      <c r="Q991" t="n">
        <v>0</v>
      </c>
      <c r="R991" s="2" t="inlineStr"/>
    </row>
    <row r="992" ht="15" customHeight="1">
      <c r="A992" t="inlineStr">
        <is>
          <t>A 18710-2023</t>
        </is>
      </c>
      <c r="B992" s="1" t="n">
        <v>45043</v>
      </c>
      <c r="C992" s="1" t="n">
        <v>45807</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19017-2023</t>
        </is>
      </c>
      <c r="B993" s="1" t="n">
        <v>45047</v>
      </c>
      <c r="C993" s="1" t="n">
        <v>45807</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19135-2023</t>
        </is>
      </c>
      <c r="B994" s="1" t="n">
        <v>45048</v>
      </c>
      <c r="C994" s="1" t="n">
        <v>45807</v>
      </c>
      <c r="D994" t="inlineStr">
        <is>
          <t>UPPSALA LÄN</t>
        </is>
      </c>
      <c r="E994" t="inlineStr">
        <is>
          <t>UPPSALA</t>
        </is>
      </c>
      <c r="G994" t="n">
        <v>4.2</v>
      </c>
      <c r="H994" t="n">
        <v>0</v>
      </c>
      <c r="I994" t="n">
        <v>0</v>
      </c>
      <c r="J994" t="n">
        <v>0</v>
      </c>
      <c r="K994" t="n">
        <v>0</v>
      </c>
      <c r="L994" t="n">
        <v>0</v>
      </c>
      <c r="M994" t="n">
        <v>0</v>
      </c>
      <c r="N994" t="n">
        <v>0</v>
      </c>
      <c r="O994" t="n">
        <v>0</v>
      </c>
      <c r="P994" t="n">
        <v>0</v>
      </c>
      <c r="Q994" t="n">
        <v>0</v>
      </c>
      <c r="R994" s="2" t="inlineStr"/>
    </row>
    <row r="995" ht="15" customHeight="1">
      <c r="A995" t="inlineStr">
        <is>
          <t>A 19139-2023</t>
        </is>
      </c>
      <c r="B995" s="1" t="n">
        <v>45048</v>
      </c>
      <c r="C995" s="1" t="n">
        <v>45807</v>
      </c>
      <c r="D995" t="inlineStr">
        <is>
          <t>UPPSALA LÄN</t>
        </is>
      </c>
      <c r="E995" t="inlineStr">
        <is>
          <t>UPPSALA</t>
        </is>
      </c>
      <c r="G995" t="n">
        <v>3</v>
      </c>
      <c r="H995" t="n">
        <v>0</v>
      </c>
      <c r="I995" t="n">
        <v>0</v>
      </c>
      <c r="J995" t="n">
        <v>0</v>
      </c>
      <c r="K995" t="n">
        <v>0</v>
      </c>
      <c r="L995" t="n">
        <v>0</v>
      </c>
      <c r="M995" t="n">
        <v>0</v>
      </c>
      <c r="N995" t="n">
        <v>0</v>
      </c>
      <c r="O995" t="n">
        <v>0</v>
      </c>
      <c r="P995" t="n">
        <v>0</v>
      </c>
      <c r="Q995" t="n">
        <v>0</v>
      </c>
      <c r="R995" s="2" t="inlineStr"/>
    </row>
    <row r="996" ht="15" customHeight="1">
      <c r="A996" t="inlineStr">
        <is>
          <t>A 19279-2023</t>
        </is>
      </c>
      <c r="B996" s="1" t="n">
        <v>45049</v>
      </c>
      <c r="C996" s="1" t="n">
        <v>45807</v>
      </c>
      <c r="D996" t="inlineStr">
        <is>
          <t>UPPSALA LÄN</t>
        </is>
      </c>
      <c r="E996" t="inlineStr">
        <is>
          <t>UPPSALA</t>
        </is>
      </c>
      <c r="G996" t="n">
        <v>5.8</v>
      </c>
      <c r="H996" t="n">
        <v>0</v>
      </c>
      <c r="I996" t="n">
        <v>0</v>
      </c>
      <c r="J996" t="n">
        <v>0</v>
      </c>
      <c r="K996" t="n">
        <v>0</v>
      </c>
      <c r="L996" t="n">
        <v>0</v>
      </c>
      <c r="M996" t="n">
        <v>0</v>
      </c>
      <c r="N996" t="n">
        <v>0</v>
      </c>
      <c r="O996" t="n">
        <v>0</v>
      </c>
      <c r="P996" t="n">
        <v>0</v>
      </c>
      <c r="Q996" t="n">
        <v>0</v>
      </c>
      <c r="R996" s="2" t="inlineStr"/>
    </row>
    <row r="997" ht="15" customHeight="1">
      <c r="A997" t="inlineStr">
        <is>
          <t>A 19269-2023</t>
        </is>
      </c>
      <c r="B997" s="1" t="n">
        <v>45049</v>
      </c>
      <c r="C997" s="1" t="n">
        <v>45807</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19314-2023</t>
        </is>
      </c>
      <c r="B998" s="1" t="n">
        <v>45049</v>
      </c>
      <c r="C998" s="1" t="n">
        <v>45807</v>
      </c>
      <c r="D998" t="inlineStr">
        <is>
          <t>UPPSALA LÄN</t>
        </is>
      </c>
      <c r="E998" t="inlineStr">
        <is>
          <t>UPPSALA</t>
        </is>
      </c>
      <c r="G998" t="n">
        <v>9</v>
      </c>
      <c r="H998" t="n">
        <v>0</v>
      </c>
      <c r="I998" t="n">
        <v>0</v>
      </c>
      <c r="J998" t="n">
        <v>0</v>
      </c>
      <c r="K998" t="n">
        <v>0</v>
      </c>
      <c r="L998" t="n">
        <v>0</v>
      </c>
      <c r="M998" t="n">
        <v>0</v>
      </c>
      <c r="N998" t="n">
        <v>0</v>
      </c>
      <c r="O998" t="n">
        <v>0</v>
      </c>
      <c r="P998" t="n">
        <v>0</v>
      </c>
      <c r="Q998" t="n">
        <v>0</v>
      </c>
      <c r="R998" s="2" t="inlineStr"/>
    </row>
    <row r="999" ht="15" customHeight="1">
      <c r="A999" t="inlineStr">
        <is>
          <t>A 19320-2023</t>
        </is>
      </c>
      <c r="B999" s="1" t="n">
        <v>45049</v>
      </c>
      <c r="C999" s="1" t="n">
        <v>45807</v>
      </c>
      <c r="D999" t="inlineStr">
        <is>
          <t>UPPSALA LÄN</t>
        </is>
      </c>
      <c r="E999" t="inlineStr">
        <is>
          <t>UPPSALA</t>
        </is>
      </c>
      <c r="G999" t="n">
        <v>17.5</v>
      </c>
      <c r="H999" t="n">
        <v>0</v>
      </c>
      <c r="I999" t="n">
        <v>0</v>
      </c>
      <c r="J999" t="n">
        <v>0</v>
      </c>
      <c r="K999" t="n">
        <v>0</v>
      </c>
      <c r="L999" t="n">
        <v>0</v>
      </c>
      <c r="M999" t="n">
        <v>0</v>
      </c>
      <c r="N999" t="n">
        <v>0</v>
      </c>
      <c r="O999" t="n">
        <v>0</v>
      </c>
      <c r="P999" t="n">
        <v>0</v>
      </c>
      <c r="Q999" t="n">
        <v>0</v>
      </c>
      <c r="R999" s="2" t="inlineStr"/>
    </row>
    <row r="1000" ht="15" customHeight="1">
      <c r="A1000" t="inlineStr">
        <is>
          <t>A 19339-2023</t>
        </is>
      </c>
      <c r="B1000" s="1" t="n">
        <v>45049</v>
      </c>
      <c r="C1000" s="1" t="n">
        <v>45807</v>
      </c>
      <c r="D1000" t="inlineStr">
        <is>
          <t>UPPSALA LÄN</t>
        </is>
      </c>
      <c r="E1000" t="inlineStr">
        <is>
          <t>UPPSALA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19380-2023</t>
        </is>
      </c>
      <c r="B1001" s="1" t="n">
        <v>45049</v>
      </c>
      <c r="C1001" s="1" t="n">
        <v>45807</v>
      </c>
      <c r="D1001" t="inlineStr">
        <is>
          <t>UPPSALA LÄN</t>
        </is>
      </c>
      <c r="E1001" t="inlineStr">
        <is>
          <t>UPPSALA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19411-2023</t>
        </is>
      </c>
      <c r="B1002" s="1" t="n">
        <v>45049</v>
      </c>
      <c r="C1002" s="1" t="n">
        <v>45807</v>
      </c>
      <c r="D1002" t="inlineStr">
        <is>
          <t>UPPSALA LÄN</t>
        </is>
      </c>
      <c r="E1002" t="inlineStr">
        <is>
          <t>UPPSALA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19272-2023</t>
        </is>
      </c>
      <c r="B1003" s="1" t="n">
        <v>45049</v>
      </c>
      <c r="C1003" s="1" t="n">
        <v>45807</v>
      </c>
      <c r="D1003" t="inlineStr">
        <is>
          <t>UPPSALA LÄN</t>
        </is>
      </c>
      <c r="E1003" t="inlineStr">
        <is>
          <t>UPPSALA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19276-2023</t>
        </is>
      </c>
      <c r="B1004" s="1" t="n">
        <v>45049</v>
      </c>
      <c r="C1004" s="1" t="n">
        <v>45807</v>
      </c>
      <c r="D1004" t="inlineStr">
        <is>
          <t>UPPSALA LÄN</t>
        </is>
      </c>
      <c r="E1004" t="inlineStr">
        <is>
          <t>UPPSALA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19317-2023</t>
        </is>
      </c>
      <c r="B1005" s="1" t="n">
        <v>45049</v>
      </c>
      <c r="C1005" s="1" t="n">
        <v>45807</v>
      </c>
      <c r="D1005" t="inlineStr">
        <is>
          <t>UPPSALA LÄN</t>
        </is>
      </c>
      <c r="E1005" t="inlineStr">
        <is>
          <t>UPPSALA</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19409-2023</t>
        </is>
      </c>
      <c r="B1006" s="1" t="n">
        <v>45049</v>
      </c>
      <c r="C1006" s="1" t="n">
        <v>45807</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19455-2023</t>
        </is>
      </c>
      <c r="B1007" s="1" t="n">
        <v>45050</v>
      </c>
      <c r="C1007" s="1" t="n">
        <v>45807</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19515-2023</t>
        </is>
      </c>
      <c r="B1008" s="1" t="n">
        <v>45050</v>
      </c>
      <c r="C1008" s="1" t="n">
        <v>45807</v>
      </c>
      <c r="D1008" t="inlineStr">
        <is>
          <t>UPPSALA LÄN</t>
        </is>
      </c>
      <c r="E1008" t="inlineStr">
        <is>
          <t>UPPSALA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19447-2023</t>
        </is>
      </c>
      <c r="B1009" s="1" t="n">
        <v>45050</v>
      </c>
      <c r="C1009" s="1" t="n">
        <v>45807</v>
      </c>
      <c r="D1009" t="inlineStr">
        <is>
          <t>UPPSALA LÄN</t>
        </is>
      </c>
      <c r="E1009" t="inlineStr">
        <is>
          <t>UPPSALA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19513-2023</t>
        </is>
      </c>
      <c r="B1010" s="1" t="n">
        <v>45050</v>
      </c>
      <c r="C1010" s="1" t="n">
        <v>45807</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19516-2023</t>
        </is>
      </c>
      <c r="B1011" s="1" t="n">
        <v>45050</v>
      </c>
      <c r="C1011" s="1" t="n">
        <v>45807</v>
      </c>
      <c r="D1011" t="inlineStr">
        <is>
          <t>UPPSALA LÄN</t>
        </is>
      </c>
      <c r="E1011" t="inlineStr">
        <is>
          <t>UPPSALA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19920-2023</t>
        </is>
      </c>
      <c r="B1012" s="1" t="n">
        <v>45054</v>
      </c>
      <c r="C1012" s="1" t="n">
        <v>45807</v>
      </c>
      <c r="D1012" t="inlineStr">
        <is>
          <t>UPPSALA LÄN</t>
        </is>
      </c>
      <c r="E1012" t="inlineStr">
        <is>
          <t>UPPSALA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20087-2023</t>
        </is>
      </c>
      <c r="B1013" s="1" t="n">
        <v>45055</v>
      </c>
      <c r="C1013" s="1" t="n">
        <v>45807</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20102-2023</t>
        </is>
      </c>
      <c r="B1014" s="1" t="n">
        <v>45055</v>
      </c>
      <c r="C1014" s="1" t="n">
        <v>45807</v>
      </c>
      <c r="D1014" t="inlineStr">
        <is>
          <t>UPPSALA LÄN</t>
        </is>
      </c>
      <c r="E1014" t="inlineStr">
        <is>
          <t>UPPSALA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20105-2023</t>
        </is>
      </c>
      <c r="B1015" s="1" t="n">
        <v>45055</v>
      </c>
      <c r="C1015" s="1" t="n">
        <v>45807</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20206-2023</t>
        </is>
      </c>
      <c r="B1016" s="1" t="n">
        <v>45055</v>
      </c>
      <c r="C1016" s="1" t="n">
        <v>45807</v>
      </c>
      <c r="D1016" t="inlineStr">
        <is>
          <t>UPPSALA LÄN</t>
        </is>
      </c>
      <c r="E1016" t="inlineStr">
        <is>
          <t>UPPSALA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20438-2023</t>
        </is>
      </c>
      <c r="B1017" s="1" t="n">
        <v>45056</v>
      </c>
      <c r="C1017" s="1" t="n">
        <v>45807</v>
      </c>
      <c r="D1017" t="inlineStr">
        <is>
          <t>UPPSALA LÄN</t>
        </is>
      </c>
      <c r="E1017" t="inlineStr">
        <is>
          <t>UPPSALA</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20440-2023</t>
        </is>
      </c>
      <c r="B1018" s="1" t="n">
        <v>45056</v>
      </c>
      <c r="C1018" s="1" t="n">
        <v>45807</v>
      </c>
      <c r="D1018" t="inlineStr">
        <is>
          <t>UPPSALA LÄN</t>
        </is>
      </c>
      <c r="E1018" t="inlineStr">
        <is>
          <t>UPPSALA</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20437-2023</t>
        </is>
      </c>
      <c r="B1019" s="1" t="n">
        <v>45056</v>
      </c>
      <c r="C1019" s="1" t="n">
        <v>45807</v>
      </c>
      <c r="D1019" t="inlineStr">
        <is>
          <t>UPPSALA LÄN</t>
        </is>
      </c>
      <c r="E1019" t="inlineStr">
        <is>
          <t>UPPSALA</t>
        </is>
      </c>
      <c r="F1019" t="inlineStr">
        <is>
          <t>Holmen skog AB</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20550-2023</t>
        </is>
      </c>
      <c r="B1020" s="1" t="n">
        <v>45057</v>
      </c>
      <c r="C1020" s="1" t="n">
        <v>45807</v>
      </c>
      <c r="D1020" t="inlineStr">
        <is>
          <t>UPPSALA LÄN</t>
        </is>
      </c>
      <c r="E1020" t="inlineStr">
        <is>
          <t>UPPSALA</t>
        </is>
      </c>
      <c r="F1020" t="inlineStr">
        <is>
          <t>Övriga Aktiebolag</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20670-2023</t>
        </is>
      </c>
      <c r="B1021" s="1" t="n">
        <v>45058</v>
      </c>
      <c r="C1021" s="1" t="n">
        <v>45807</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20692-2023</t>
        </is>
      </c>
      <c r="B1022" s="1" t="n">
        <v>45058</v>
      </c>
      <c r="C1022" s="1" t="n">
        <v>45807</v>
      </c>
      <c r="D1022" t="inlineStr">
        <is>
          <t>UPPSALA LÄN</t>
        </is>
      </c>
      <c r="E1022" t="inlineStr">
        <is>
          <t>UPPSALA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20667-2023</t>
        </is>
      </c>
      <c r="B1023" s="1" t="n">
        <v>45058</v>
      </c>
      <c r="C1023" s="1" t="n">
        <v>45807</v>
      </c>
      <c r="D1023" t="inlineStr">
        <is>
          <t>UPPSALA LÄN</t>
        </is>
      </c>
      <c r="E1023" t="inlineStr">
        <is>
          <t>UPPSALA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20708-2023</t>
        </is>
      </c>
      <c r="B1024" s="1" t="n">
        <v>45058</v>
      </c>
      <c r="C1024" s="1" t="n">
        <v>45807</v>
      </c>
      <c r="D1024" t="inlineStr">
        <is>
          <t>UPPSALA LÄN</t>
        </is>
      </c>
      <c r="E1024" t="inlineStr">
        <is>
          <t>UPPSALA</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20669-2023</t>
        </is>
      </c>
      <c r="B1025" s="1" t="n">
        <v>45058</v>
      </c>
      <c r="C1025" s="1" t="n">
        <v>45807</v>
      </c>
      <c r="D1025" t="inlineStr">
        <is>
          <t>UPPSALA LÄN</t>
        </is>
      </c>
      <c r="E1025" t="inlineStr">
        <is>
          <t>UPPSALA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20786-2023</t>
        </is>
      </c>
      <c r="B1026" s="1" t="n">
        <v>45058</v>
      </c>
      <c r="C1026" s="1" t="n">
        <v>45807</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20900-2023</t>
        </is>
      </c>
      <c r="B1027" s="1" t="n">
        <v>45060</v>
      </c>
      <c r="C1027" s="1" t="n">
        <v>45807</v>
      </c>
      <c r="D1027" t="inlineStr">
        <is>
          <t>UPPSALA LÄN</t>
        </is>
      </c>
      <c r="E1027" t="inlineStr">
        <is>
          <t>UPPSALA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21052-2023</t>
        </is>
      </c>
      <c r="B1028" s="1" t="n">
        <v>45061</v>
      </c>
      <c r="C1028" s="1" t="n">
        <v>45807</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21416-2023</t>
        </is>
      </c>
      <c r="B1029" s="1" t="n">
        <v>45063</v>
      </c>
      <c r="C1029" s="1" t="n">
        <v>45807</v>
      </c>
      <c r="D1029" t="inlineStr">
        <is>
          <t>UPPSALA LÄN</t>
        </is>
      </c>
      <c r="E1029" t="inlineStr">
        <is>
          <t>UPPSALA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21424-2023</t>
        </is>
      </c>
      <c r="B1030" s="1" t="n">
        <v>45063</v>
      </c>
      <c r="C1030" s="1" t="n">
        <v>45807</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21727-2023</t>
        </is>
      </c>
      <c r="B1031" s="1" t="n">
        <v>45065</v>
      </c>
      <c r="C1031" s="1" t="n">
        <v>45807</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21935-2023</t>
        </is>
      </c>
      <c r="B1032" s="1" t="n">
        <v>45068</v>
      </c>
      <c r="C1032" s="1" t="n">
        <v>45807</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22450-2023</t>
        </is>
      </c>
      <c r="B1033" s="1" t="n">
        <v>45070</v>
      </c>
      <c r="C1033" s="1" t="n">
        <v>45807</v>
      </c>
      <c r="D1033" t="inlineStr">
        <is>
          <t>UPPSALA LÄN</t>
        </is>
      </c>
      <c r="E1033" t="inlineStr">
        <is>
          <t>UPPSALA</t>
        </is>
      </c>
      <c r="F1033" t="inlineStr">
        <is>
          <t>Allmännings- och besparingsskogar</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23159-2023</t>
        </is>
      </c>
      <c r="B1034" s="1" t="n">
        <v>45075</v>
      </c>
      <c r="C1034" s="1" t="n">
        <v>45807</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23157-2023</t>
        </is>
      </c>
      <c r="B1035" s="1" t="n">
        <v>45075</v>
      </c>
      <c r="C1035" s="1" t="n">
        <v>45807</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23929-2023</t>
        </is>
      </c>
      <c r="B1036" s="1" t="n">
        <v>45078</v>
      </c>
      <c r="C1036" s="1" t="n">
        <v>45807</v>
      </c>
      <c r="D1036" t="inlineStr">
        <is>
          <t>UPPSALA LÄN</t>
        </is>
      </c>
      <c r="E1036" t="inlineStr">
        <is>
          <t>UPPSALA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24012-2023</t>
        </is>
      </c>
      <c r="B1037" s="1" t="n">
        <v>45078</v>
      </c>
      <c r="C1037" s="1" t="n">
        <v>45807</v>
      </c>
      <c r="D1037" t="inlineStr">
        <is>
          <t>UPPSALA LÄN</t>
        </is>
      </c>
      <c r="E1037" t="inlineStr">
        <is>
          <t>UPPSALA</t>
        </is>
      </c>
      <c r="F1037" t="inlineStr">
        <is>
          <t>Kyrkan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24016-2023</t>
        </is>
      </c>
      <c r="B1038" s="1" t="n">
        <v>45078</v>
      </c>
      <c r="C1038" s="1" t="n">
        <v>45807</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24009-2023</t>
        </is>
      </c>
      <c r="B1039" s="1" t="n">
        <v>45078</v>
      </c>
      <c r="C1039" s="1" t="n">
        <v>45807</v>
      </c>
      <c r="D1039" t="inlineStr">
        <is>
          <t>UPPSALA LÄN</t>
        </is>
      </c>
      <c r="E1039" t="inlineStr">
        <is>
          <t>UPPSALA</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24174-2023</t>
        </is>
      </c>
      <c r="B1040" s="1" t="n">
        <v>45079</v>
      </c>
      <c r="C1040" s="1" t="n">
        <v>45807</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24670-2023</t>
        </is>
      </c>
      <c r="B1041" s="1" t="n">
        <v>45084</v>
      </c>
      <c r="C1041" s="1" t="n">
        <v>45807</v>
      </c>
      <c r="D1041" t="inlineStr">
        <is>
          <t>UPPSALA LÄN</t>
        </is>
      </c>
      <c r="E1041" t="inlineStr">
        <is>
          <t>UPPSALA</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25264-2023</t>
        </is>
      </c>
      <c r="B1042" s="1" t="n">
        <v>45086</v>
      </c>
      <c r="C1042" s="1" t="n">
        <v>45807</v>
      </c>
      <c r="D1042" t="inlineStr">
        <is>
          <t>UPPSALA LÄN</t>
        </is>
      </c>
      <c r="E1042" t="inlineStr">
        <is>
          <t>UPPSALA</t>
        </is>
      </c>
      <c r="F1042" t="inlineStr">
        <is>
          <t>Holmen skog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25280-2023</t>
        </is>
      </c>
      <c r="B1043" s="1" t="n">
        <v>45086</v>
      </c>
      <c r="C1043" s="1" t="n">
        <v>45807</v>
      </c>
      <c r="D1043" t="inlineStr">
        <is>
          <t>UPPSALA LÄN</t>
        </is>
      </c>
      <c r="E1043" t="inlineStr">
        <is>
          <t>UPPSALA</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25380-2023</t>
        </is>
      </c>
      <c r="B1044" s="1" t="n">
        <v>45089</v>
      </c>
      <c r="C1044" s="1" t="n">
        <v>45807</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25381-2023</t>
        </is>
      </c>
      <c r="B1045" s="1" t="n">
        <v>45089</v>
      </c>
      <c r="C1045" s="1" t="n">
        <v>45807</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25446-2023</t>
        </is>
      </c>
      <c r="B1046" s="1" t="n">
        <v>45089</v>
      </c>
      <c r="C1046" s="1" t="n">
        <v>45807</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25462-2023</t>
        </is>
      </c>
      <c r="B1047" s="1" t="n">
        <v>45089</v>
      </c>
      <c r="C1047" s="1" t="n">
        <v>45807</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25939-2023</t>
        </is>
      </c>
      <c r="B1048" s="1" t="n">
        <v>45090</v>
      </c>
      <c r="C1048" s="1" t="n">
        <v>45807</v>
      </c>
      <c r="D1048" t="inlineStr">
        <is>
          <t>UPPSALA LÄN</t>
        </is>
      </c>
      <c r="E1048" t="inlineStr">
        <is>
          <t>UPPSALA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26208-2023</t>
        </is>
      </c>
      <c r="B1049" s="1" t="n">
        <v>45091</v>
      </c>
      <c r="C1049" s="1" t="n">
        <v>45807</v>
      </c>
      <c r="D1049" t="inlineStr">
        <is>
          <t>UPPSALA LÄN</t>
        </is>
      </c>
      <c r="E1049" t="inlineStr">
        <is>
          <t>UPPSALA</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26298-2023</t>
        </is>
      </c>
      <c r="B1050" s="1" t="n">
        <v>45091</v>
      </c>
      <c r="C1050" s="1" t="n">
        <v>45807</v>
      </c>
      <c r="D1050" t="inlineStr">
        <is>
          <t>UPPSALA LÄN</t>
        </is>
      </c>
      <c r="E1050" t="inlineStr">
        <is>
          <t>UPPSALA</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26323-2023</t>
        </is>
      </c>
      <c r="B1051" s="1" t="n">
        <v>45091</v>
      </c>
      <c r="C1051" s="1" t="n">
        <v>45807</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26081-2023</t>
        </is>
      </c>
      <c r="B1052" s="1" t="n">
        <v>45091</v>
      </c>
      <c r="C1052" s="1" t="n">
        <v>45807</v>
      </c>
      <c r="D1052" t="inlineStr">
        <is>
          <t>UPPSALA LÄN</t>
        </is>
      </c>
      <c r="E1052" t="inlineStr">
        <is>
          <t>UPPSALA</t>
        </is>
      </c>
      <c r="F1052" t="inlineStr">
        <is>
          <t>Holmen skog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26143-2023</t>
        </is>
      </c>
      <c r="B1053" s="1" t="n">
        <v>45091</v>
      </c>
      <c r="C1053" s="1" t="n">
        <v>45807</v>
      </c>
      <c r="D1053" t="inlineStr">
        <is>
          <t>UPPSALA LÄN</t>
        </is>
      </c>
      <c r="E1053" t="inlineStr">
        <is>
          <t>UPPSALA</t>
        </is>
      </c>
      <c r="F1053" t="inlineStr">
        <is>
          <t>Holmen skog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26134-2023</t>
        </is>
      </c>
      <c r="B1054" s="1" t="n">
        <v>45091</v>
      </c>
      <c r="C1054" s="1" t="n">
        <v>45807</v>
      </c>
      <c r="D1054" t="inlineStr">
        <is>
          <t>UPPSALA LÄN</t>
        </is>
      </c>
      <c r="E1054" t="inlineStr">
        <is>
          <t>UPPSALA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26759-2023</t>
        </is>
      </c>
      <c r="B1055" s="1" t="n">
        <v>45093</v>
      </c>
      <c r="C1055" s="1" t="n">
        <v>45807</v>
      </c>
      <c r="D1055" t="inlineStr">
        <is>
          <t>UPPSALA LÄN</t>
        </is>
      </c>
      <c r="E1055" t="inlineStr">
        <is>
          <t>UPPSALA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26762-2023</t>
        </is>
      </c>
      <c r="B1056" s="1" t="n">
        <v>45093</v>
      </c>
      <c r="C1056" s="1" t="n">
        <v>45807</v>
      </c>
      <c r="D1056" t="inlineStr">
        <is>
          <t>UPPSALA LÄN</t>
        </is>
      </c>
      <c r="E1056" t="inlineStr">
        <is>
          <t>UPPSALA</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27128-2023</t>
        </is>
      </c>
      <c r="B1057" s="1" t="n">
        <v>45096</v>
      </c>
      <c r="C1057" s="1" t="n">
        <v>45807</v>
      </c>
      <c r="D1057" t="inlineStr">
        <is>
          <t>UPPSALA LÄN</t>
        </is>
      </c>
      <c r="E1057" t="inlineStr">
        <is>
          <t>UPPSALA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27068-2023</t>
        </is>
      </c>
      <c r="B1058" s="1" t="n">
        <v>45096</v>
      </c>
      <c r="C1058" s="1" t="n">
        <v>45807</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27119-2023</t>
        </is>
      </c>
      <c r="B1059" s="1" t="n">
        <v>45096</v>
      </c>
      <c r="C1059" s="1" t="n">
        <v>45807</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27123-2023</t>
        </is>
      </c>
      <c r="B1060" s="1" t="n">
        <v>45096</v>
      </c>
      <c r="C1060" s="1" t="n">
        <v>45807</v>
      </c>
      <c r="D1060" t="inlineStr">
        <is>
          <t>UPPSALA LÄN</t>
        </is>
      </c>
      <c r="E1060" t="inlineStr">
        <is>
          <t>UPPSALA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27126-2023</t>
        </is>
      </c>
      <c r="B1061" s="1" t="n">
        <v>45096</v>
      </c>
      <c r="C1061" s="1" t="n">
        <v>45807</v>
      </c>
      <c r="D1061" t="inlineStr">
        <is>
          <t>UPPSALA LÄN</t>
        </is>
      </c>
      <c r="E1061" t="inlineStr">
        <is>
          <t>UPPSALA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27104-2023</t>
        </is>
      </c>
      <c r="B1062" s="1" t="n">
        <v>45096</v>
      </c>
      <c r="C1062" s="1" t="n">
        <v>45807</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27121-2023</t>
        </is>
      </c>
      <c r="B1063" s="1" t="n">
        <v>45096</v>
      </c>
      <c r="C1063" s="1" t="n">
        <v>45807</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27125-2023</t>
        </is>
      </c>
      <c r="B1064" s="1" t="n">
        <v>45096</v>
      </c>
      <c r="C1064" s="1" t="n">
        <v>45807</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27254-2023</t>
        </is>
      </c>
      <c r="B1065" s="1" t="n">
        <v>45096</v>
      </c>
      <c r="C1065" s="1" t="n">
        <v>45807</v>
      </c>
      <c r="D1065" t="inlineStr">
        <is>
          <t>UPPSALA LÄN</t>
        </is>
      </c>
      <c r="E1065" t="inlineStr">
        <is>
          <t>UPPSALA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27467-2023</t>
        </is>
      </c>
      <c r="B1066" s="1" t="n">
        <v>45097</v>
      </c>
      <c r="C1066" s="1" t="n">
        <v>45807</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27617-2023</t>
        </is>
      </c>
      <c r="B1067" s="1" t="n">
        <v>45097</v>
      </c>
      <c r="C1067" s="1" t="n">
        <v>45807</v>
      </c>
      <c r="D1067" t="inlineStr">
        <is>
          <t>UPPSALA LÄN</t>
        </is>
      </c>
      <c r="E1067" t="inlineStr">
        <is>
          <t>UPPSALA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27622-2023</t>
        </is>
      </c>
      <c r="B1068" s="1" t="n">
        <v>45097</v>
      </c>
      <c r="C1068" s="1" t="n">
        <v>45807</v>
      </c>
      <c r="D1068" t="inlineStr">
        <is>
          <t>UPPSALA LÄN</t>
        </is>
      </c>
      <c r="E1068" t="inlineStr">
        <is>
          <t>UPPSALA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27599-2023</t>
        </is>
      </c>
      <c r="B1069" s="1" t="n">
        <v>45097</v>
      </c>
      <c r="C1069" s="1" t="n">
        <v>45807</v>
      </c>
      <c r="D1069" t="inlineStr">
        <is>
          <t>UPPSALA LÄN</t>
        </is>
      </c>
      <c r="E1069" t="inlineStr">
        <is>
          <t>UPPSALA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27620-2023</t>
        </is>
      </c>
      <c r="B1070" s="1" t="n">
        <v>45097</v>
      </c>
      <c r="C1070" s="1" t="n">
        <v>45807</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27912-2023</t>
        </is>
      </c>
      <c r="B1071" s="1" t="n">
        <v>45098</v>
      </c>
      <c r="C1071" s="1" t="n">
        <v>45807</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27903-2023</t>
        </is>
      </c>
      <c r="B1072" s="1" t="n">
        <v>45098</v>
      </c>
      <c r="C1072" s="1" t="n">
        <v>45807</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27930-2023</t>
        </is>
      </c>
      <c r="B1073" s="1" t="n">
        <v>45098</v>
      </c>
      <c r="C1073" s="1" t="n">
        <v>45807</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28186-2023</t>
        </is>
      </c>
      <c r="B1074" s="1" t="n">
        <v>45099</v>
      </c>
      <c r="C1074" s="1" t="n">
        <v>45807</v>
      </c>
      <c r="D1074" t="inlineStr">
        <is>
          <t>UPPSALA LÄN</t>
        </is>
      </c>
      <c r="E1074" t="inlineStr">
        <is>
          <t>UPPSALA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28577-2023</t>
        </is>
      </c>
      <c r="B1075" s="1" t="n">
        <v>45103</v>
      </c>
      <c r="C1075" s="1" t="n">
        <v>45807</v>
      </c>
      <c r="D1075" t="inlineStr">
        <is>
          <t>UPPSALA LÄN</t>
        </is>
      </c>
      <c r="E1075" t="inlineStr">
        <is>
          <t>UPPSALA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28701-2023</t>
        </is>
      </c>
      <c r="B1076" s="1" t="n">
        <v>45103</v>
      </c>
      <c r="C1076" s="1" t="n">
        <v>45807</v>
      </c>
      <c r="D1076" t="inlineStr">
        <is>
          <t>UPPSALA LÄN</t>
        </is>
      </c>
      <c r="E1076" t="inlineStr">
        <is>
          <t>UPPSALA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29019-2023</t>
        </is>
      </c>
      <c r="B1077" s="1" t="n">
        <v>45104</v>
      </c>
      <c r="C1077" s="1" t="n">
        <v>45807</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31599-2023</t>
        </is>
      </c>
      <c r="B1078" s="1" t="n">
        <v>45105</v>
      </c>
      <c r="C1078" s="1" t="n">
        <v>45807</v>
      </c>
      <c r="D1078" t="inlineStr">
        <is>
          <t>UPPSALA LÄN</t>
        </is>
      </c>
      <c r="E1078" t="inlineStr">
        <is>
          <t>UPPSALA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29282-2023</t>
        </is>
      </c>
      <c r="B1079" s="1" t="n">
        <v>45105</v>
      </c>
      <c r="C1079" s="1" t="n">
        <v>45807</v>
      </c>
      <c r="D1079" t="inlineStr">
        <is>
          <t>UPPSALA LÄN</t>
        </is>
      </c>
      <c r="E1079" t="inlineStr">
        <is>
          <t>UPPSALA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31630-2023</t>
        </is>
      </c>
      <c r="B1080" s="1" t="n">
        <v>45105</v>
      </c>
      <c r="C1080" s="1" t="n">
        <v>45807</v>
      </c>
      <c r="D1080" t="inlineStr">
        <is>
          <t>UPPSALA LÄN</t>
        </is>
      </c>
      <c r="E1080" t="inlineStr">
        <is>
          <t>UPPSALA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29579-2023</t>
        </is>
      </c>
      <c r="B1081" s="1" t="n">
        <v>45106</v>
      </c>
      <c r="C1081" s="1" t="n">
        <v>45807</v>
      </c>
      <c r="D1081" t="inlineStr">
        <is>
          <t>UPPSALA LÄN</t>
        </is>
      </c>
      <c r="E1081" t="inlineStr">
        <is>
          <t>UPPSALA</t>
        </is>
      </c>
      <c r="F1081" t="inlineStr">
        <is>
          <t>Kyrkan</t>
        </is>
      </c>
      <c r="G1081" t="n">
        <v>2.7</v>
      </c>
      <c r="H1081" t="n">
        <v>0</v>
      </c>
      <c r="I1081" t="n">
        <v>0</v>
      </c>
      <c r="J1081" t="n">
        <v>0</v>
      </c>
      <c r="K1081" t="n">
        <v>0</v>
      </c>
      <c r="L1081" t="n">
        <v>0</v>
      </c>
      <c r="M1081" t="n">
        <v>0</v>
      </c>
      <c r="N1081" t="n">
        <v>0</v>
      </c>
      <c r="O1081" t="n">
        <v>0</v>
      </c>
      <c r="P1081" t="n">
        <v>0</v>
      </c>
      <c r="Q1081" t="n">
        <v>0</v>
      </c>
      <c r="R1081" s="2" t="inlineStr"/>
      <c r="U1081">
        <f>HYPERLINK("https://klasma.github.io/Logging_0380/knärot/A 29579-2023 karta knärot.png", "A 29579-2023")</f>
        <v/>
      </c>
      <c r="V1081">
        <f>HYPERLINK("https://klasma.github.io/Logging_0380/klagomål/A 29579-2023 FSC-klagomål.docx", "A 29579-2023")</f>
        <v/>
      </c>
      <c r="W1081">
        <f>HYPERLINK("https://klasma.github.io/Logging_0380/klagomålsmail/A 29579-2023 FSC-klagomål mail.docx", "A 29579-2023")</f>
        <v/>
      </c>
      <c r="X1081">
        <f>HYPERLINK("https://klasma.github.io/Logging_0380/tillsyn/A 29579-2023 tillsynsbegäran.docx", "A 29579-2023")</f>
        <v/>
      </c>
      <c r="Y1081">
        <f>HYPERLINK("https://klasma.github.io/Logging_0380/tillsynsmail/A 29579-2023 tillsynsbegäran mail.docx", "A 29579-2023")</f>
        <v/>
      </c>
    </row>
    <row r="1082" ht="15" customHeight="1">
      <c r="A1082" t="inlineStr">
        <is>
          <t>A 29815-2023</t>
        </is>
      </c>
      <c r="B1082" s="1" t="n">
        <v>45107</v>
      </c>
      <c r="C1082" s="1" t="n">
        <v>45807</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29901-2023</t>
        </is>
      </c>
      <c r="B1083" s="1" t="n">
        <v>45107</v>
      </c>
      <c r="C1083" s="1" t="n">
        <v>45807</v>
      </c>
      <c r="D1083" t="inlineStr">
        <is>
          <t>UPPSALA LÄN</t>
        </is>
      </c>
      <c r="E1083" t="inlineStr">
        <is>
          <t>UPPSALA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29868-2023</t>
        </is>
      </c>
      <c r="B1084" s="1" t="n">
        <v>45107</v>
      </c>
      <c r="C1084" s="1" t="n">
        <v>45807</v>
      </c>
      <c r="D1084" t="inlineStr">
        <is>
          <t>UPPSALA LÄN</t>
        </is>
      </c>
      <c r="E1084" t="inlineStr">
        <is>
          <t>UPPSALA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29799-2023</t>
        </is>
      </c>
      <c r="B1085" s="1" t="n">
        <v>45107</v>
      </c>
      <c r="C1085" s="1" t="n">
        <v>45807</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29808-2023</t>
        </is>
      </c>
      <c r="B1086" s="1" t="n">
        <v>45107</v>
      </c>
      <c r="C1086" s="1" t="n">
        <v>45807</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29926-2023</t>
        </is>
      </c>
      <c r="B1087" s="1" t="n">
        <v>45107</v>
      </c>
      <c r="C1087" s="1" t="n">
        <v>45807</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29927-2023</t>
        </is>
      </c>
      <c r="B1088" s="1" t="n">
        <v>45107</v>
      </c>
      <c r="C1088" s="1" t="n">
        <v>45807</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32428-2023</t>
        </is>
      </c>
      <c r="B1089" s="1" t="n">
        <v>45110</v>
      </c>
      <c r="C1089" s="1" t="n">
        <v>45807</v>
      </c>
      <c r="D1089" t="inlineStr">
        <is>
          <t>UPPSALA LÄN</t>
        </is>
      </c>
      <c r="E1089" t="inlineStr">
        <is>
          <t>UPPSALA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30629-2023</t>
        </is>
      </c>
      <c r="B1090" s="1" t="n">
        <v>45112</v>
      </c>
      <c r="C1090" s="1" t="n">
        <v>45807</v>
      </c>
      <c r="D1090" t="inlineStr">
        <is>
          <t>UPPSALA LÄN</t>
        </is>
      </c>
      <c r="E1090" t="inlineStr">
        <is>
          <t>UPPSALA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32689-2023</t>
        </is>
      </c>
      <c r="B1091" s="1" t="n">
        <v>45112</v>
      </c>
      <c r="C1091" s="1" t="n">
        <v>45807</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31157-2023</t>
        </is>
      </c>
      <c r="B1092" s="1" t="n">
        <v>45113</v>
      </c>
      <c r="C1092" s="1" t="n">
        <v>45807</v>
      </c>
      <c r="D1092" t="inlineStr">
        <is>
          <t>UPPSALA LÄN</t>
        </is>
      </c>
      <c r="E1092" t="inlineStr">
        <is>
          <t>UPPSALA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31161-2023</t>
        </is>
      </c>
      <c r="B1093" s="1" t="n">
        <v>45113</v>
      </c>
      <c r="C1093" s="1" t="n">
        <v>45807</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33689-2023</t>
        </is>
      </c>
      <c r="B1094" s="1" t="n">
        <v>45119</v>
      </c>
      <c r="C1094" s="1" t="n">
        <v>45807</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32413-2023</t>
        </is>
      </c>
      <c r="B1095" s="1" t="n">
        <v>45120</v>
      </c>
      <c r="C1095" s="1" t="n">
        <v>45807</v>
      </c>
      <c r="D1095" t="inlineStr">
        <is>
          <t>UPPSALA LÄN</t>
        </is>
      </c>
      <c r="E1095" t="inlineStr">
        <is>
          <t>UPPSALA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32640-2023</t>
        </is>
      </c>
      <c r="B1096" s="1" t="n">
        <v>45121</v>
      </c>
      <c r="C1096" s="1" t="n">
        <v>45807</v>
      </c>
      <c r="D1096" t="inlineStr">
        <is>
          <t>UPPSALA LÄN</t>
        </is>
      </c>
      <c r="E1096" t="inlineStr">
        <is>
          <t>UPPSALA</t>
        </is>
      </c>
      <c r="F1096" t="inlineStr">
        <is>
          <t>Holmen skog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32674-2023</t>
        </is>
      </c>
      <c r="B1097" s="1" t="n">
        <v>45121</v>
      </c>
      <c r="C1097" s="1" t="n">
        <v>45807</v>
      </c>
      <c r="D1097" t="inlineStr">
        <is>
          <t>UPPSALA LÄN</t>
        </is>
      </c>
      <c r="E1097" t="inlineStr">
        <is>
          <t>UPPSALA</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32688-2023</t>
        </is>
      </c>
      <c r="B1098" s="1" t="n">
        <v>45121</v>
      </c>
      <c r="C1098" s="1" t="n">
        <v>45807</v>
      </c>
      <c r="D1098" t="inlineStr">
        <is>
          <t>UPPSALA LÄN</t>
        </is>
      </c>
      <c r="E1098" t="inlineStr">
        <is>
          <t>UPPSALA</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33191-2023</t>
        </is>
      </c>
      <c r="B1099" s="1" t="n">
        <v>45127</v>
      </c>
      <c r="C1099" s="1" t="n">
        <v>45807</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33189-2023</t>
        </is>
      </c>
      <c r="B1100" s="1" t="n">
        <v>45127</v>
      </c>
      <c r="C1100" s="1" t="n">
        <v>45807</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34282-2023</t>
        </is>
      </c>
      <c r="B1101" s="1" t="n">
        <v>45128</v>
      </c>
      <c r="C1101" s="1" t="n">
        <v>45807</v>
      </c>
      <c r="D1101" t="inlineStr">
        <is>
          <t>UPPSALA LÄN</t>
        </is>
      </c>
      <c r="E1101" t="inlineStr">
        <is>
          <t>UPPSALA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33562-2023</t>
        </is>
      </c>
      <c r="B1102" s="1" t="n">
        <v>45131</v>
      </c>
      <c r="C1102" s="1" t="n">
        <v>45807</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33700-2023</t>
        </is>
      </c>
      <c r="B1103" s="1" t="n">
        <v>45132</v>
      </c>
      <c r="C1103" s="1" t="n">
        <v>45807</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34509-2023</t>
        </is>
      </c>
      <c r="B1104" s="1" t="n">
        <v>45133</v>
      </c>
      <c r="C1104" s="1" t="n">
        <v>45807</v>
      </c>
      <c r="D1104" t="inlineStr">
        <is>
          <t>UPPSALA LÄN</t>
        </is>
      </c>
      <c r="E1104" t="inlineStr">
        <is>
          <t>UPPSALA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33941-2023</t>
        </is>
      </c>
      <c r="B1105" s="1" t="n">
        <v>45134</v>
      </c>
      <c r="C1105" s="1" t="n">
        <v>45807</v>
      </c>
      <c r="D1105" t="inlineStr">
        <is>
          <t>UPPSALA LÄN</t>
        </is>
      </c>
      <c r="E1105" t="inlineStr">
        <is>
          <t>UPPSALA</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33982-2023</t>
        </is>
      </c>
      <c r="B1106" s="1" t="n">
        <v>45134</v>
      </c>
      <c r="C1106" s="1" t="n">
        <v>45807</v>
      </c>
      <c r="D1106" t="inlineStr">
        <is>
          <t>UPPSALA LÄN</t>
        </is>
      </c>
      <c r="E1106" t="inlineStr">
        <is>
          <t>UPPSALA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35142-2023</t>
        </is>
      </c>
      <c r="B1107" s="1" t="n">
        <v>45145</v>
      </c>
      <c r="C1107" s="1" t="n">
        <v>45807</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35471-2023</t>
        </is>
      </c>
      <c r="B1108" s="1" t="n">
        <v>45146</v>
      </c>
      <c r="C1108" s="1" t="n">
        <v>45807</v>
      </c>
      <c r="D1108" t="inlineStr">
        <is>
          <t>UPPSALA LÄN</t>
        </is>
      </c>
      <c r="E1108" t="inlineStr">
        <is>
          <t>UPPSALA</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35472-2023</t>
        </is>
      </c>
      <c r="B1109" s="1" t="n">
        <v>45146</v>
      </c>
      <c r="C1109" s="1" t="n">
        <v>45807</v>
      </c>
      <c r="D1109" t="inlineStr">
        <is>
          <t>UPPSALA LÄN</t>
        </is>
      </c>
      <c r="E1109" t="inlineStr">
        <is>
          <t>UPPSALA</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35473-2023</t>
        </is>
      </c>
      <c r="B1110" s="1" t="n">
        <v>45146</v>
      </c>
      <c r="C1110" s="1" t="n">
        <v>45807</v>
      </c>
      <c r="D1110" t="inlineStr">
        <is>
          <t>UPPSALA LÄN</t>
        </is>
      </c>
      <c r="E1110" t="inlineStr">
        <is>
          <t>UPPSALA</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35549-2023</t>
        </is>
      </c>
      <c r="B1111" s="1" t="n">
        <v>45147</v>
      </c>
      <c r="C1111" s="1" t="n">
        <v>45807</v>
      </c>
      <c r="D1111" t="inlineStr">
        <is>
          <t>UPPSALA LÄN</t>
        </is>
      </c>
      <c r="E1111" t="inlineStr">
        <is>
          <t>UPPSALA</t>
        </is>
      </c>
      <c r="F1111" t="inlineStr">
        <is>
          <t>Allmännings- och besparingsskogar</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35902-2023</t>
        </is>
      </c>
      <c r="B1112" s="1" t="n">
        <v>45148</v>
      </c>
      <c r="C1112" s="1" t="n">
        <v>45807</v>
      </c>
      <c r="D1112" t="inlineStr">
        <is>
          <t>UPPSALA LÄN</t>
        </is>
      </c>
      <c r="E1112" t="inlineStr">
        <is>
          <t>UPPSALA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35906-2023</t>
        </is>
      </c>
      <c r="B1113" s="1" t="n">
        <v>45148</v>
      </c>
      <c r="C1113" s="1" t="n">
        <v>45807</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35914-2023</t>
        </is>
      </c>
      <c r="B1114" s="1" t="n">
        <v>45148</v>
      </c>
      <c r="C1114" s="1" t="n">
        <v>45807</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35922-2023</t>
        </is>
      </c>
      <c r="B1115" s="1" t="n">
        <v>45148</v>
      </c>
      <c r="C1115" s="1" t="n">
        <v>45807</v>
      </c>
      <c r="D1115" t="inlineStr">
        <is>
          <t>UPPSALA LÄN</t>
        </is>
      </c>
      <c r="E1115" t="inlineStr">
        <is>
          <t>UPPSALA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35916-2023</t>
        </is>
      </c>
      <c r="B1116" s="1" t="n">
        <v>45148</v>
      </c>
      <c r="C1116" s="1" t="n">
        <v>45807</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36028-2023</t>
        </is>
      </c>
      <c r="B1117" s="1" t="n">
        <v>45149</v>
      </c>
      <c r="C1117" s="1" t="n">
        <v>45807</v>
      </c>
      <c r="D1117" t="inlineStr">
        <is>
          <t>UPPSALA LÄN</t>
        </is>
      </c>
      <c r="E1117" t="inlineStr">
        <is>
          <t>UPPSALA</t>
        </is>
      </c>
      <c r="F1117" t="inlineStr">
        <is>
          <t>Allmännings- och besparingsskogar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36123-2023</t>
        </is>
      </c>
      <c r="B1118" s="1" t="n">
        <v>45149</v>
      </c>
      <c r="C1118" s="1" t="n">
        <v>45807</v>
      </c>
      <c r="D1118" t="inlineStr">
        <is>
          <t>UPPSALA LÄN</t>
        </is>
      </c>
      <c r="E1118" t="inlineStr">
        <is>
          <t>UPPSALA</t>
        </is>
      </c>
      <c r="F1118" t="inlineStr">
        <is>
          <t>Allmännings- och besparingsskogar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36159-2023</t>
        </is>
      </c>
      <c r="B1119" s="1" t="n">
        <v>45149</v>
      </c>
      <c r="C1119" s="1" t="n">
        <v>45807</v>
      </c>
      <c r="D1119" t="inlineStr">
        <is>
          <t>UPPSALA LÄN</t>
        </is>
      </c>
      <c r="E1119" t="inlineStr">
        <is>
          <t>UPPSALA</t>
        </is>
      </c>
      <c r="F1119" t="inlineStr">
        <is>
          <t>Övriga statliga verk och myndigheter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36388-2023</t>
        </is>
      </c>
      <c r="B1120" s="1" t="n">
        <v>45152</v>
      </c>
      <c r="C1120" s="1" t="n">
        <v>45807</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36392-2023</t>
        </is>
      </c>
      <c r="B1121" s="1" t="n">
        <v>45152</v>
      </c>
      <c r="C1121" s="1" t="n">
        <v>45807</v>
      </c>
      <c r="D1121" t="inlineStr">
        <is>
          <t>UPPSALA LÄN</t>
        </is>
      </c>
      <c r="E1121" t="inlineStr">
        <is>
          <t>UPPSALA</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36479-2023</t>
        </is>
      </c>
      <c r="B1122" s="1" t="n">
        <v>45152</v>
      </c>
      <c r="C1122" s="1" t="n">
        <v>45807</v>
      </c>
      <c r="D1122" t="inlineStr">
        <is>
          <t>UPPSALA LÄN</t>
        </is>
      </c>
      <c r="E1122" t="inlineStr">
        <is>
          <t>UPPSALA</t>
        </is>
      </c>
      <c r="F1122" t="inlineStr">
        <is>
          <t>Allmännings- och besparingsskogar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36478-2023</t>
        </is>
      </c>
      <c r="B1123" s="1" t="n">
        <v>45152</v>
      </c>
      <c r="C1123" s="1" t="n">
        <v>45807</v>
      </c>
      <c r="D1123" t="inlineStr">
        <is>
          <t>UPPSALA LÄN</t>
        </is>
      </c>
      <c r="E1123" t="inlineStr">
        <is>
          <t>UPPSALA</t>
        </is>
      </c>
      <c r="F1123" t="inlineStr">
        <is>
          <t>Allmännings- och besparingsskogar</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36438-2023</t>
        </is>
      </c>
      <c r="B1124" s="1" t="n">
        <v>45152</v>
      </c>
      <c r="C1124" s="1" t="n">
        <v>45807</v>
      </c>
      <c r="D1124" t="inlineStr">
        <is>
          <t>UPPSALA LÄN</t>
        </is>
      </c>
      <c r="E1124" t="inlineStr">
        <is>
          <t>UPPSALA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36738-2023</t>
        </is>
      </c>
      <c r="B1125" s="1" t="n">
        <v>45153</v>
      </c>
      <c r="C1125" s="1" t="n">
        <v>45807</v>
      </c>
      <c r="D1125" t="inlineStr">
        <is>
          <t>UPPSALA LÄN</t>
        </is>
      </c>
      <c r="E1125" t="inlineStr">
        <is>
          <t>UPPSALA</t>
        </is>
      </c>
      <c r="F1125" t="inlineStr">
        <is>
          <t>Allmännings- och besparingsskogar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36739-2023</t>
        </is>
      </c>
      <c r="B1126" s="1" t="n">
        <v>45153</v>
      </c>
      <c r="C1126" s="1" t="n">
        <v>45807</v>
      </c>
      <c r="D1126" t="inlineStr">
        <is>
          <t>UPPSALA LÄN</t>
        </is>
      </c>
      <c r="E1126" t="inlineStr">
        <is>
          <t>UPPSALA</t>
        </is>
      </c>
      <c r="F1126" t="inlineStr">
        <is>
          <t>Allmännings- och besparingsskogar</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36781-2023</t>
        </is>
      </c>
      <c r="B1127" s="1" t="n">
        <v>45154</v>
      </c>
      <c r="C1127" s="1" t="n">
        <v>45807</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36782-2023</t>
        </is>
      </c>
      <c r="B1128" s="1" t="n">
        <v>45154</v>
      </c>
      <c r="C1128" s="1" t="n">
        <v>45807</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36860-2023</t>
        </is>
      </c>
      <c r="B1129" s="1" t="n">
        <v>45154</v>
      </c>
      <c r="C1129" s="1" t="n">
        <v>45807</v>
      </c>
      <c r="D1129" t="inlineStr">
        <is>
          <t>UPPSALA LÄN</t>
        </is>
      </c>
      <c r="E1129" t="inlineStr">
        <is>
          <t>UPPSALA</t>
        </is>
      </c>
      <c r="F1129" t="inlineStr">
        <is>
          <t>Allmännings- och besparingsskogar</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37626-2023</t>
        </is>
      </c>
      <c r="B1130" s="1" t="n">
        <v>45159</v>
      </c>
      <c r="C1130" s="1" t="n">
        <v>45807</v>
      </c>
      <c r="D1130" t="inlineStr">
        <is>
          <t>UPPSALA LÄN</t>
        </is>
      </c>
      <c r="E1130" t="inlineStr">
        <is>
          <t>UPPSALA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37618-2023</t>
        </is>
      </c>
      <c r="B1131" s="1" t="n">
        <v>45159</v>
      </c>
      <c r="C1131" s="1" t="n">
        <v>45807</v>
      </c>
      <c r="D1131" t="inlineStr">
        <is>
          <t>UPPSALA LÄN</t>
        </is>
      </c>
      <c r="E1131" t="inlineStr">
        <is>
          <t>UPPSALA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38016-2023</t>
        </is>
      </c>
      <c r="B1132" s="1" t="n">
        <v>45160</v>
      </c>
      <c r="C1132" s="1" t="n">
        <v>45807</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38190-2023</t>
        </is>
      </c>
      <c r="B1133" s="1" t="n">
        <v>45161</v>
      </c>
      <c r="C1133" s="1" t="n">
        <v>45807</v>
      </c>
      <c r="D1133" t="inlineStr">
        <is>
          <t>UPPSALA LÄN</t>
        </is>
      </c>
      <c r="E1133" t="inlineStr">
        <is>
          <t>UPPSALA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38493-2023</t>
        </is>
      </c>
      <c r="B1134" s="1" t="n">
        <v>45162</v>
      </c>
      <c r="C1134" s="1" t="n">
        <v>45807</v>
      </c>
      <c r="D1134" t="inlineStr">
        <is>
          <t>UPPSALA LÄN</t>
        </is>
      </c>
      <c r="E1134" t="inlineStr">
        <is>
          <t>UPPSALA</t>
        </is>
      </c>
      <c r="F1134" t="inlineStr">
        <is>
          <t>Allmännings- och besparingsskogar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38644-2023</t>
        </is>
      </c>
      <c r="B1135" s="1" t="n">
        <v>45162</v>
      </c>
      <c r="C1135" s="1" t="n">
        <v>45807</v>
      </c>
      <c r="D1135" t="inlineStr">
        <is>
          <t>UPPSALA LÄN</t>
        </is>
      </c>
      <c r="E1135" t="inlineStr">
        <is>
          <t>UPPSALA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38645-2023</t>
        </is>
      </c>
      <c r="B1136" s="1" t="n">
        <v>45162</v>
      </c>
      <c r="C1136" s="1" t="n">
        <v>45807</v>
      </c>
      <c r="D1136" t="inlineStr">
        <is>
          <t>UPPSALA LÄN</t>
        </is>
      </c>
      <c r="E1136" t="inlineStr">
        <is>
          <t>UPPSALA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38664-2023</t>
        </is>
      </c>
      <c r="B1137" s="1" t="n">
        <v>45162</v>
      </c>
      <c r="C1137" s="1" t="n">
        <v>45807</v>
      </c>
      <c r="D1137" t="inlineStr">
        <is>
          <t>UPPSALA LÄN</t>
        </is>
      </c>
      <c r="E1137" t="inlineStr">
        <is>
          <t>UPPSALA</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38663-2023</t>
        </is>
      </c>
      <c r="B1138" s="1" t="n">
        <v>45162</v>
      </c>
      <c r="C1138" s="1" t="n">
        <v>45807</v>
      </c>
      <c r="D1138" t="inlineStr">
        <is>
          <t>UPPSALA LÄN</t>
        </is>
      </c>
      <c r="E1138" t="inlineStr">
        <is>
          <t>UPPSALA</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38665-2023</t>
        </is>
      </c>
      <c r="B1139" s="1" t="n">
        <v>45162</v>
      </c>
      <c r="C1139" s="1" t="n">
        <v>45807</v>
      </c>
      <c r="D1139" t="inlineStr">
        <is>
          <t>UPPSALA LÄN</t>
        </is>
      </c>
      <c r="E1139" t="inlineStr">
        <is>
          <t>UPPSALA</t>
        </is>
      </c>
      <c r="F1139" t="inlineStr">
        <is>
          <t>Bergvik skog öst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38661-2023</t>
        </is>
      </c>
      <c r="B1140" s="1" t="n">
        <v>45162</v>
      </c>
      <c r="C1140" s="1" t="n">
        <v>45807</v>
      </c>
      <c r="D1140" t="inlineStr">
        <is>
          <t>UPPSALA LÄN</t>
        </is>
      </c>
      <c r="E1140" t="inlineStr">
        <is>
          <t>UPPSALA</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38643-2023</t>
        </is>
      </c>
      <c r="B1141" s="1" t="n">
        <v>45162</v>
      </c>
      <c r="C1141" s="1" t="n">
        <v>45807</v>
      </c>
      <c r="D1141" t="inlineStr">
        <is>
          <t>UPPSALA LÄN</t>
        </is>
      </c>
      <c r="E1141" t="inlineStr">
        <is>
          <t>UPPSALA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38934-2023</t>
        </is>
      </c>
      <c r="B1142" s="1" t="n">
        <v>45163</v>
      </c>
      <c r="C1142" s="1" t="n">
        <v>45807</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39108-2023</t>
        </is>
      </c>
      <c r="B1143" s="1" t="n">
        <v>45164</v>
      </c>
      <c r="C1143" s="1" t="n">
        <v>45807</v>
      </c>
      <c r="D1143" t="inlineStr">
        <is>
          <t>UPPSALA LÄN</t>
        </is>
      </c>
      <c r="E1143" t="inlineStr">
        <is>
          <t>UPPSALA</t>
        </is>
      </c>
      <c r="F1143" t="inlineStr">
        <is>
          <t>Bergvik skog öst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39107-2023</t>
        </is>
      </c>
      <c r="B1144" s="1" t="n">
        <v>45164</v>
      </c>
      <c r="C1144" s="1" t="n">
        <v>45807</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39548-2023</t>
        </is>
      </c>
      <c r="B1145" s="1" t="n">
        <v>45167</v>
      </c>
      <c r="C1145" s="1" t="n">
        <v>45807</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39592-2023</t>
        </is>
      </c>
      <c r="B1146" s="1" t="n">
        <v>45167</v>
      </c>
      <c r="C1146" s="1" t="n">
        <v>45807</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39739-2023</t>
        </is>
      </c>
      <c r="B1147" s="1" t="n">
        <v>45167</v>
      </c>
      <c r="C1147" s="1" t="n">
        <v>45807</v>
      </c>
      <c r="D1147" t="inlineStr">
        <is>
          <t>UPPSALA LÄN</t>
        </is>
      </c>
      <c r="E1147" t="inlineStr">
        <is>
          <t>UPPSALA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39926-2023</t>
        </is>
      </c>
      <c r="B1148" s="1" t="n">
        <v>45168</v>
      </c>
      <c r="C1148" s="1" t="n">
        <v>45807</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39918-2023</t>
        </is>
      </c>
      <c r="B1149" s="1" t="n">
        <v>45168</v>
      </c>
      <c r="C1149" s="1" t="n">
        <v>45807</v>
      </c>
      <c r="D1149" t="inlineStr">
        <is>
          <t>UPPSALA LÄN</t>
        </is>
      </c>
      <c r="E1149" t="inlineStr">
        <is>
          <t>UPPSALA</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40369-2023</t>
        </is>
      </c>
      <c r="B1150" s="1" t="n">
        <v>45169</v>
      </c>
      <c r="C1150" s="1" t="n">
        <v>45807</v>
      </c>
      <c r="D1150" t="inlineStr">
        <is>
          <t>UPPSALA LÄN</t>
        </is>
      </c>
      <c r="E1150" t="inlineStr">
        <is>
          <t>UPPSALA</t>
        </is>
      </c>
      <c r="F1150" t="inlineStr">
        <is>
          <t>Allmännings- och besparingsskogar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40312-2023</t>
        </is>
      </c>
      <c r="B1151" s="1" t="n">
        <v>45169</v>
      </c>
      <c r="C1151" s="1" t="n">
        <v>45807</v>
      </c>
      <c r="D1151" t="inlineStr">
        <is>
          <t>UPPSALA LÄN</t>
        </is>
      </c>
      <c r="E1151" t="inlineStr">
        <is>
          <t>UPPSALA</t>
        </is>
      </c>
      <c r="F1151" t="inlineStr">
        <is>
          <t>Kommuner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40124-2023</t>
        </is>
      </c>
      <c r="B1152" s="1" t="n">
        <v>45169</v>
      </c>
      <c r="C1152" s="1" t="n">
        <v>45807</v>
      </c>
      <c r="D1152" t="inlineStr">
        <is>
          <t>UPPSALA LÄN</t>
        </is>
      </c>
      <c r="E1152" t="inlineStr">
        <is>
          <t>UPPSALA</t>
        </is>
      </c>
      <c r="F1152" t="inlineStr">
        <is>
          <t>Allmännings- och besparingsskogar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40325-2023</t>
        </is>
      </c>
      <c r="B1153" s="1" t="n">
        <v>45169</v>
      </c>
      <c r="C1153" s="1" t="n">
        <v>45807</v>
      </c>
      <c r="D1153" t="inlineStr">
        <is>
          <t>UPPSALA LÄN</t>
        </is>
      </c>
      <c r="E1153" t="inlineStr">
        <is>
          <t>UPPSALA</t>
        </is>
      </c>
      <c r="F1153" t="inlineStr">
        <is>
          <t>Kommuner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40872-2023</t>
        </is>
      </c>
      <c r="B1154" s="1" t="n">
        <v>45173</v>
      </c>
      <c r="C1154" s="1" t="n">
        <v>45807</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41002-2023</t>
        </is>
      </c>
      <c r="B1155" s="1" t="n">
        <v>45173</v>
      </c>
      <c r="C1155" s="1" t="n">
        <v>45807</v>
      </c>
      <c r="D1155" t="inlineStr">
        <is>
          <t>UPPSALA LÄN</t>
        </is>
      </c>
      <c r="E1155" t="inlineStr">
        <is>
          <t>UPPSALA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41349-2023</t>
        </is>
      </c>
      <c r="B1156" s="1" t="n">
        <v>45174</v>
      </c>
      <c r="C1156" s="1" t="n">
        <v>45807</v>
      </c>
      <c r="D1156" t="inlineStr">
        <is>
          <t>UPPSALA LÄN</t>
        </is>
      </c>
      <c r="E1156" t="inlineStr">
        <is>
          <t>UPPSALA</t>
        </is>
      </c>
      <c r="F1156" t="inlineStr">
        <is>
          <t>Allmännings- och besparingsskogar</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41346-2023</t>
        </is>
      </c>
      <c r="B1157" s="1" t="n">
        <v>45174</v>
      </c>
      <c r="C1157" s="1" t="n">
        <v>45807</v>
      </c>
      <c r="D1157" t="inlineStr">
        <is>
          <t>UPPSALA LÄN</t>
        </is>
      </c>
      <c r="E1157" t="inlineStr">
        <is>
          <t>UPPSALA</t>
        </is>
      </c>
      <c r="F1157" t="inlineStr">
        <is>
          <t>Allmännings- och besparingsskogar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41506-2023</t>
        </is>
      </c>
      <c r="B1158" s="1" t="n">
        <v>45175</v>
      </c>
      <c r="C1158" s="1" t="n">
        <v>45807</v>
      </c>
      <c r="D1158" t="inlineStr">
        <is>
          <t>UPPSALA LÄN</t>
        </is>
      </c>
      <c r="E1158" t="inlineStr">
        <is>
          <t>UPPSALA</t>
        </is>
      </c>
      <c r="F1158" t="inlineStr">
        <is>
          <t>Kyrkan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41541-2023</t>
        </is>
      </c>
      <c r="B1159" s="1" t="n">
        <v>45175</v>
      </c>
      <c r="C1159" s="1" t="n">
        <v>45807</v>
      </c>
      <c r="D1159" t="inlineStr">
        <is>
          <t>UPPSALA LÄN</t>
        </is>
      </c>
      <c r="E1159" t="inlineStr">
        <is>
          <t>UPPSALA</t>
        </is>
      </c>
      <c r="G1159" t="n">
        <v>11.7</v>
      </c>
      <c r="H1159" t="n">
        <v>0</v>
      </c>
      <c r="I1159" t="n">
        <v>0</v>
      </c>
      <c r="J1159" t="n">
        <v>0</v>
      </c>
      <c r="K1159" t="n">
        <v>0</v>
      </c>
      <c r="L1159" t="n">
        <v>0</v>
      </c>
      <c r="M1159" t="n">
        <v>0</v>
      </c>
      <c r="N1159" t="n">
        <v>0</v>
      </c>
      <c r="O1159" t="n">
        <v>0</v>
      </c>
      <c r="P1159" t="n">
        <v>0</v>
      </c>
      <c r="Q1159" t="n">
        <v>0</v>
      </c>
      <c r="R1159" s="2" t="inlineStr"/>
    </row>
    <row r="1160" ht="15" customHeight="1">
      <c r="A1160" t="inlineStr">
        <is>
          <t>A 41545-2023</t>
        </is>
      </c>
      <c r="B1160" s="1" t="n">
        <v>45175</v>
      </c>
      <c r="C1160" s="1" t="n">
        <v>45807</v>
      </c>
      <c r="D1160" t="inlineStr">
        <is>
          <t>UPPSALA LÄN</t>
        </is>
      </c>
      <c r="E1160" t="inlineStr">
        <is>
          <t>UPPSALA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41422-2023</t>
        </is>
      </c>
      <c r="B1161" s="1" t="n">
        <v>45175</v>
      </c>
      <c r="C1161" s="1" t="n">
        <v>45807</v>
      </c>
      <c r="D1161" t="inlineStr">
        <is>
          <t>UPPSALA LÄN</t>
        </is>
      </c>
      <c r="E1161" t="inlineStr">
        <is>
          <t>UPPSALA</t>
        </is>
      </c>
      <c r="F1161" t="inlineStr">
        <is>
          <t>Kyrkan</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41538-2023</t>
        </is>
      </c>
      <c r="B1162" s="1" t="n">
        <v>45175</v>
      </c>
      <c r="C1162" s="1" t="n">
        <v>45807</v>
      </c>
      <c r="D1162" t="inlineStr">
        <is>
          <t>UPPSALA LÄN</t>
        </is>
      </c>
      <c r="E1162" t="inlineStr">
        <is>
          <t>UPPSALA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42283-2023</t>
        </is>
      </c>
      <c r="B1163" s="1" t="n">
        <v>45175</v>
      </c>
      <c r="C1163" s="1" t="n">
        <v>45807</v>
      </c>
      <c r="D1163" t="inlineStr">
        <is>
          <t>UPPSALA LÄN</t>
        </is>
      </c>
      <c r="E1163" t="inlineStr">
        <is>
          <t>UPPSALA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41669-2023</t>
        </is>
      </c>
      <c r="B1164" s="1" t="n">
        <v>45176</v>
      </c>
      <c r="C1164" s="1" t="n">
        <v>45807</v>
      </c>
      <c r="D1164" t="inlineStr">
        <is>
          <t>UPPSALA LÄN</t>
        </is>
      </c>
      <c r="E1164" t="inlineStr">
        <is>
          <t>UPPSALA</t>
        </is>
      </c>
      <c r="F1164" t="inlineStr">
        <is>
          <t>Övriga Aktiebolag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41802-2023</t>
        </is>
      </c>
      <c r="B1165" s="1" t="n">
        <v>45176</v>
      </c>
      <c r="C1165" s="1" t="n">
        <v>45807</v>
      </c>
      <c r="D1165" t="inlineStr">
        <is>
          <t>UPPSALA LÄN</t>
        </is>
      </c>
      <c r="E1165" t="inlineStr">
        <is>
          <t>UPPSALA</t>
        </is>
      </c>
      <c r="G1165" t="n">
        <v>23.9</v>
      </c>
      <c r="H1165" t="n">
        <v>0</v>
      </c>
      <c r="I1165" t="n">
        <v>0</v>
      </c>
      <c r="J1165" t="n">
        <v>0</v>
      </c>
      <c r="K1165" t="n">
        <v>0</v>
      </c>
      <c r="L1165" t="n">
        <v>0</v>
      </c>
      <c r="M1165" t="n">
        <v>0</v>
      </c>
      <c r="N1165" t="n">
        <v>0</v>
      </c>
      <c r="O1165" t="n">
        <v>0</v>
      </c>
      <c r="P1165" t="n">
        <v>0</v>
      </c>
      <c r="Q1165" t="n">
        <v>0</v>
      </c>
      <c r="R1165" s="2" t="inlineStr"/>
    </row>
    <row r="1166" ht="15" customHeight="1">
      <c r="A1166" t="inlineStr">
        <is>
          <t>A 41816-2023</t>
        </is>
      </c>
      <c r="B1166" s="1" t="n">
        <v>45176</v>
      </c>
      <c r="C1166" s="1" t="n">
        <v>45807</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41950-2023</t>
        </is>
      </c>
      <c r="B1167" s="1" t="n">
        <v>45177</v>
      </c>
      <c r="C1167" s="1" t="n">
        <v>45807</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42134-2023</t>
        </is>
      </c>
      <c r="B1168" s="1" t="n">
        <v>45177</v>
      </c>
      <c r="C1168" s="1" t="n">
        <v>45807</v>
      </c>
      <c r="D1168" t="inlineStr">
        <is>
          <t>UPPSALA LÄN</t>
        </is>
      </c>
      <c r="E1168" t="inlineStr">
        <is>
          <t>UPPSALA</t>
        </is>
      </c>
      <c r="F1168" t="inlineStr">
        <is>
          <t>Allmännings- och besparingsskogar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42063-2023</t>
        </is>
      </c>
      <c r="B1169" s="1" t="n">
        <v>45177</v>
      </c>
      <c r="C1169" s="1" t="n">
        <v>45807</v>
      </c>
      <c r="D1169" t="inlineStr">
        <is>
          <t>UPPSALA LÄN</t>
        </is>
      </c>
      <c r="E1169" t="inlineStr">
        <is>
          <t>UPPSALA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42131-2023</t>
        </is>
      </c>
      <c r="B1170" s="1" t="n">
        <v>45177</v>
      </c>
      <c r="C1170" s="1" t="n">
        <v>45807</v>
      </c>
      <c r="D1170" t="inlineStr">
        <is>
          <t>UPPSALA LÄN</t>
        </is>
      </c>
      <c r="E1170" t="inlineStr">
        <is>
          <t>UPPSALA</t>
        </is>
      </c>
      <c r="F1170" t="inlineStr">
        <is>
          <t>Allmännings- och besparingsskogar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42273-2023</t>
        </is>
      </c>
      <c r="B1171" s="1" t="n">
        <v>45180</v>
      </c>
      <c r="C1171" s="1" t="n">
        <v>45807</v>
      </c>
      <c r="D1171" t="inlineStr">
        <is>
          <t>UPPSALA LÄN</t>
        </is>
      </c>
      <c r="E1171" t="inlineStr">
        <is>
          <t>UPPSALA</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42436-2023</t>
        </is>
      </c>
      <c r="B1172" s="1" t="n">
        <v>45180</v>
      </c>
      <c r="C1172" s="1" t="n">
        <v>45807</v>
      </c>
      <c r="D1172" t="inlineStr">
        <is>
          <t>UPPSALA LÄN</t>
        </is>
      </c>
      <c r="E1172" t="inlineStr">
        <is>
          <t>UPPSALA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42282-2023</t>
        </is>
      </c>
      <c r="B1173" s="1" t="n">
        <v>45180</v>
      </c>
      <c r="C1173" s="1" t="n">
        <v>45807</v>
      </c>
      <c r="D1173" t="inlineStr">
        <is>
          <t>UPPSALA LÄN</t>
        </is>
      </c>
      <c r="E1173" t="inlineStr">
        <is>
          <t>UPPSALA</t>
        </is>
      </c>
      <c r="F1173" t="inlineStr">
        <is>
          <t>Bergvik skog öst AB</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42274-2023</t>
        </is>
      </c>
      <c r="B1174" s="1" t="n">
        <v>45180</v>
      </c>
      <c r="C1174" s="1" t="n">
        <v>45807</v>
      </c>
      <c r="D1174" t="inlineStr">
        <is>
          <t>UPPSALA LÄN</t>
        </is>
      </c>
      <c r="E1174" t="inlineStr">
        <is>
          <t>UPPSALA</t>
        </is>
      </c>
      <c r="F1174" t="inlineStr">
        <is>
          <t>Bergvik skog öst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42285-2023</t>
        </is>
      </c>
      <c r="B1175" s="1" t="n">
        <v>45180</v>
      </c>
      <c r="C1175" s="1" t="n">
        <v>45807</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42376-2023</t>
        </is>
      </c>
      <c r="B1176" s="1" t="n">
        <v>45180</v>
      </c>
      <c r="C1176" s="1" t="n">
        <v>45807</v>
      </c>
      <c r="D1176" t="inlineStr">
        <is>
          <t>UPPSALA LÄN</t>
        </is>
      </c>
      <c r="E1176" t="inlineStr">
        <is>
          <t>UPPSALA</t>
        </is>
      </c>
      <c r="F1176" t="inlineStr">
        <is>
          <t>Bergvik skog öst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42495-2023</t>
        </is>
      </c>
      <c r="B1177" s="1" t="n">
        <v>45180</v>
      </c>
      <c r="C1177" s="1" t="n">
        <v>45807</v>
      </c>
      <c r="D1177" t="inlineStr">
        <is>
          <t>UPPSALA LÄN</t>
        </is>
      </c>
      <c r="E1177" t="inlineStr">
        <is>
          <t>UPPSALA</t>
        </is>
      </c>
      <c r="F1177" t="inlineStr">
        <is>
          <t>Allmännings- och besparingsskogar</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42379-2023</t>
        </is>
      </c>
      <c r="B1178" s="1" t="n">
        <v>45180</v>
      </c>
      <c r="C1178" s="1" t="n">
        <v>45807</v>
      </c>
      <c r="D1178" t="inlineStr">
        <is>
          <t>UPPSALA LÄN</t>
        </is>
      </c>
      <c r="E1178" t="inlineStr">
        <is>
          <t>UPPSALA</t>
        </is>
      </c>
      <c r="F1178" t="inlineStr">
        <is>
          <t>Bergvik skog öst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42528-2023</t>
        </is>
      </c>
      <c r="B1179" s="1" t="n">
        <v>45181</v>
      </c>
      <c r="C1179" s="1" t="n">
        <v>45807</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42630-2023</t>
        </is>
      </c>
      <c r="B1180" s="1" t="n">
        <v>45181</v>
      </c>
      <c r="C1180" s="1" t="n">
        <v>45807</v>
      </c>
      <c r="D1180" t="inlineStr">
        <is>
          <t>UPPSALA LÄN</t>
        </is>
      </c>
      <c r="E1180" t="inlineStr">
        <is>
          <t>UPPSALA</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42681-2023</t>
        </is>
      </c>
      <c r="B1181" s="1" t="n">
        <v>45181</v>
      </c>
      <c r="C1181" s="1" t="n">
        <v>45807</v>
      </c>
      <c r="D1181" t="inlineStr">
        <is>
          <t>UPPSALA LÄN</t>
        </is>
      </c>
      <c r="E1181" t="inlineStr">
        <is>
          <t>UPPSALA</t>
        </is>
      </c>
      <c r="F1181" t="inlineStr">
        <is>
          <t>Bergvik skog öst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42543-2023</t>
        </is>
      </c>
      <c r="B1182" s="1" t="n">
        <v>45181</v>
      </c>
      <c r="C1182" s="1" t="n">
        <v>45807</v>
      </c>
      <c r="D1182" t="inlineStr">
        <is>
          <t>UPPSALA LÄN</t>
        </is>
      </c>
      <c r="E1182" t="inlineStr">
        <is>
          <t>UPPSALA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42730-2023</t>
        </is>
      </c>
      <c r="B1183" s="1" t="n">
        <v>45181</v>
      </c>
      <c r="C1183" s="1" t="n">
        <v>45807</v>
      </c>
      <c r="D1183" t="inlineStr">
        <is>
          <t>UPPSALA LÄN</t>
        </is>
      </c>
      <c r="E1183" t="inlineStr">
        <is>
          <t>UPPSALA</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42734-2023</t>
        </is>
      </c>
      <c r="B1184" s="1" t="n">
        <v>45181</v>
      </c>
      <c r="C1184" s="1" t="n">
        <v>45807</v>
      </c>
      <c r="D1184" t="inlineStr">
        <is>
          <t>UPPSALA LÄN</t>
        </is>
      </c>
      <c r="E1184" t="inlineStr">
        <is>
          <t>UPPSALA</t>
        </is>
      </c>
      <c r="F1184" t="inlineStr">
        <is>
          <t>Bergvik skog öst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42682-2023</t>
        </is>
      </c>
      <c r="B1185" s="1" t="n">
        <v>45181</v>
      </c>
      <c r="C1185" s="1" t="n">
        <v>45807</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42722-2023</t>
        </is>
      </c>
      <c r="B1186" s="1" t="n">
        <v>45181</v>
      </c>
      <c r="C1186" s="1" t="n">
        <v>45807</v>
      </c>
      <c r="D1186" t="inlineStr">
        <is>
          <t>UPPSALA LÄN</t>
        </is>
      </c>
      <c r="E1186" t="inlineStr">
        <is>
          <t>UPPSALA</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42756-2023</t>
        </is>
      </c>
      <c r="B1187" s="1" t="n">
        <v>45181</v>
      </c>
      <c r="C1187" s="1" t="n">
        <v>45807</v>
      </c>
      <c r="D1187" t="inlineStr">
        <is>
          <t>UPPSALA LÄN</t>
        </is>
      </c>
      <c r="E1187" t="inlineStr">
        <is>
          <t>UPPSALA</t>
        </is>
      </c>
      <c r="F1187" t="inlineStr">
        <is>
          <t>Holmen skog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42971-2023</t>
        </is>
      </c>
      <c r="B1188" s="1" t="n">
        <v>45182</v>
      </c>
      <c r="C1188" s="1" t="n">
        <v>45807</v>
      </c>
      <c r="D1188" t="inlineStr">
        <is>
          <t>UPPSALA LÄN</t>
        </is>
      </c>
      <c r="E1188" t="inlineStr">
        <is>
          <t>UPPSALA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43026-2023</t>
        </is>
      </c>
      <c r="B1189" s="1" t="n">
        <v>45182</v>
      </c>
      <c r="C1189" s="1" t="n">
        <v>45807</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42963-2023</t>
        </is>
      </c>
      <c r="B1190" s="1" t="n">
        <v>45182</v>
      </c>
      <c r="C1190" s="1" t="n">
        <v>45807</v>
      </c>
      <c r="D1190" t="inlineStr">
        <is>
          <t>UPPSALA LÄN</t>
        </is>
      </c>
      <c r="E1190" t="inlineStr">
        <is>
          <t>UPPSALA</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42967-2023</t>
        </is>
      </c>
      <c r="B1191" s="1" t="n">
        <v>45182</v>
      </c>
      <c r="C1191" s="1" t="n">
        <v>45807</v>
      </c>
      <c r="D1191" t="inlineStr">
        <is>
          <t>UPPSALA LÄN</t>
        </is>
      </c>
      <c r="E1191" t="inlineStr">
        <is>
          <t>UPPSALA</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43031-2023</t>
        </is>
      </c>
      <c r="B1192" s="1" t="n">
        <v>45182</v>
      </c>
      <c r="C1192" s="1" t="n">
        <v>45807</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43035-2023</t>
        </is>
      </c>
      <c r="B1193" s="1" t="n">
        <v>45182</v>
      </c>
      <c r="C1193" s="1" t="n">
        <v>45807</v>
      </c>
      <c r="D1193" t="inlineStr">
        <is>
          <t>UPPSALA LÄN</t>
        </is>
      </c>
      <c r="E1193" t="inlineStr">
        <is>
          <t>UPPSALA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43049-2023</t>
        </is>
      </c>
      <c r="B1194" s="1" t="n">
        <v>45182</v>
      </c>
      <c r="C1194" s="1" t="n">
        <v>45807</v>
      </c>
      <c r="D1194" t="inlineStr">
        <is>
          <t>UPPSALA LÄN</t>
        </is>
      </c>
      <c r="E1194" t="inlineStr">
        <is>
          <t>UPPSALA</t>
        </is>
      </c>
      <c r="F1194" t="inlineStr">
        <is>
          <t>Allmännings- och besparingsskogar</t>
        </is>
      </c>
      <c r="G1194" t="n">
        <v>14.5</v>
      </c>
      <c r="H1194" t="n">
        <v>0</v>
      </c>
      <c r="I1194" t="n">
        <v>0</v>
      </c>
      <c r="J1194" t="n">
        <v>0</v>
      </c>
      <c r="K1194" t="n">
        <v>0</v>
      </c>
      <c r="L1194" t="n">
        <v>0</v>
      </c>
      <c r="M1194" t="n">
        <v>0</v>
      </c>
      <c r="N1194" t="n">
        <v>0</v>
      </c>
      <c r="O1194" t="n">
        <v>0</v>
      </c>
      <c r="P1194" t="n">
        <v>0</v>
      </c>
      <c r="Q1194" t="n">
        <v>0</v>
      </c>
      <c r="R1194" s="2" t="inlineStr"/>
    </row>
    <row r="1195" ht="15" customHeight="1">
      <c r="A1195" t="inlineStr">
        <is>
          <t>A 42974-2023</t>
        </is>
      </c>
      <c r="B1195" s="1" t="n">
        <v>45182</v>
      </c>
      <c r="C1195" s="1" t="n">
        <v>45807</v>
      </c>
      <c r="D1195" t="inlineStr">
        <is>
          <t>UPPSALA LÄN</t>
        </is>
      </c>
      <c r="E1195" t="inlineStr">
        <is>
          <t>UPPSALA</t>
        </is>
      </c>
      <c r="F1195" t="inlineStr">
        <is>
          <t>Sveaskog</t>
        </is>
      </c>
      <c r="G1195" t="n">
        <v>3.7</v>
      </c>
      <c r="H1195" t="n">
        <v>0</v>
      </c>
      <c r="I1195" t="n">
        <v>0</v>
      </c>
      <c r="J1195" t="n">
        <v>0</v>
      </c>
      <c r="K1195" t="n">
        <v>0</v>
      </c>
      <c r="L1195" t="n">
        <v>0</v>
      </c>
      <c r="M1195" t="n">
        <v>0</v>
      </c>
      <c r="N1195" t="n">
        <v>0</v>
      </c>
      <c r="O1195" t="n">
        <v>0</v>
      </c>
      <c r="P1195" t="n">
        <v>0</v>
      </c>
      <c r="Q1195" t="n">
        <v>0</v>
      </c>
      <c r="R1195" s="2" t="inlineStr"/>
      <c r="U1195">
        <f>HYPERLINK("https://klasma.github.io/Logging_0380/knärot/A 42974-2023 karta knärot.png", "A 42974-2023")</f>
        <v/>
      </c>
      <c r="V1195">
        <f>HYPERLINK("https://klasma.github.io/Logging_0380/klagomål/A 42974-2023 FSC-klagomål.docx", "A 42974-2023")</f>
        <v/>
      </c>
      <c r="W1195">
        <f>HYPERLINK("https://klasma.github.io/Logging_0380/klagomålsmail/A 42974-2023 FSC-klagomål mail.docx", "A 42974-2023")</f>
        <v/>
      </c>
      <c r="X1195">
        <f>HYPERLINK("https://klasma.github.io/Logging_0380/tillsyn/A 42974-2023 tillsynsbegäran.docx", "A 42974-2023")</f>
        <v/>
      </c>
      <c r="Y1195">
        <f>HYPERLINK("https://klasma.github.io/Logging_0380/tillsynsmail/A 42974-2023 tillsynsbegäran mail.docx", "A 42974-2023")</f>
        <v/>
      </c>
    </row>
    <row r="1196" ht="15" customHeight="1">
      <c r="A1196" t="inlineStr">
        <is>
          <t>A 42978-2023</t>
        </is>
      </c>
      <c r="B1196" s="1" t="n">
        <v>45182</v>
      </c>
      <c r="C1196" s="1" t="n">
        <v>45807</v>
      </c>
      <c r="D1196" t="inlineStr">
        <is>
          <t>UPPSALA LÄN</t>
        </is>
      </c>
      <c r="E1196" t="inlineStr">
        <is>
          <t>UPPSALA</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43029-2023</t>
        </is>
      </c>
      <c r="B1197" s="1" t="n">
        <v>45182</v>
      </c>
      <c r="C1197" s="1" t="n">
        <v>45807</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43818-2023</t>
        </is>
      </c>
      <c r="B1198" s="1" t="n">
        <v>45182</v>
      </c>
      <c r="C1198" s="1" t="n">
        <v>45807</v>
      </c>
      <c r="D1198" t="inlineStr">
        <is>
          <t>UPPSALA LÄN</t>
        </is>
      </c>
      <c r="E1198" t="inlineStr">
        <is>
          <t>UPPSALA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43795-2023</t>
        </is>
      </c>
      <c r="B1199" s="1" t="n">
        <v>45182</v>
      </c>
      <c r="C1199" s="1" t="n">
        <v>45807</v>
      </c>
      <c r="D1199" t="inlineStr">
        <is>
          <t>UPPSALA LÄN</t>
        </is>
      </c>
      <c r="E1199" t="inlineStr">
        <is>
          <t>UPPSALA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43316-2023</t>
        </is>
      </c>
      <c r="B1200" s="1" t="n">
        <v>45183</v>
      </c>
      <c r="C1200" s="1" t="n">
        <v>45807</v>
      </c>
      <c r="D1200" t="inlineStr">
        <is>
          <t>UPPSALA LÄN</t>
        </is>
      </c>
      <c r="E1200" t="inlineStr">
        <is>
          <t>UPPSALA</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43944-2023</t>
        </is>
      </c>
      <c r="B1201" s="1" t="n">
        <v>45187</v>
      </c>
      <c r="C1201" s="1" t="n">
        <v>45807</v>
      </c>
      <c r="D1201" t="inlineStr">
        <is>
          <t>UPPSALA LÄN</t>
        </is>
      </c>
      <c r="E1201" t="inlineStr">
        <is>
          <t>UPPSALA</t>
        </is>
      </c>
      <c r="G1201" t="n">
        <v>16.1</v>
      </c>
      <c r="H1201" t="n">
        <v>0</v>
      </c>
      <c r="I1201" t="n">
        <v>0</v>
      </c>
      <c r="J1201" t="n">
        <v>0</v>
      </c>
      <c r="K1201" t="n">
        <v>0</v>
      </c>
      <c r="L1201" t="n">
        <v>0</v>
      </c>
      <c r="M1201" t="n">
        <v>0</v>
      </c>
      <c r="N1201" t="n">
        <v>0</v>
      </c>
      <c r="O1201" t="n">
        <v>0</v>
      </c>
      <c r="P1201" t="n">
        <v>0</v>
      </c>
      <c r="Q1201" t="n">
        <v>0</v>
      </c>
      <c r="R1201" s="2" t="inlineStr"/>
    </row>
    <row r="1202" ht="15" customHeight="1">
      <c r="A1202" t="inlineStr">
        <is>
          <t>A 43775-2023</t>
        </is>
      </c>
      <c r="B1202" s="1" t="n">
        <v>45187</v>
      </c>
      <c r="C1202" s="1" t="n">
        <v>45807</v>
      </c>
      <c r="D1202" t="inlineStr">
        <is>
          <t>UPPSALA LÄN</t>
        </is>
      </c>
      <c r="E1202" t="inlineStr">
        <is>
          <t>UPPSALA</t>
        </is>
      </c>
      <c r="F1202" t="inlineStr">
        <is>
          <t>Bergvik skog öst AB</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43779-2023</t>
        </is>
      </c>
      <c r="B1203" s="1" t="n">
        <v>45187</v>
      </c>
      <c r="C1203" s="1" t="n">
        <v>45807</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43776-2023</t>
        </is>
      </c>
      <c r="B1204" s="1" t="n">
        <v>45187</v>
      </c>
      <c r="C1204" s="1" t="n">
        <v>45807</v>
      </c>
      <c r="D1204" t="inlineStr">
        <is>
          <t>UPPSALA LÄN</t>
        </is>
      </c>
      <c r="E1204" t="inlineStr">
        <is>
          <t>UPPSALA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43855-2023</t>
        </is>
      </c>
      <c r="B1205" s="1" t="n">
        <v>45187</v>
      </c>
      <c r="C1205" s="1" t="n">
        <v>45807</v>
      </c>
      <c r="D1205" t="inlineStr">
        <is>
          <t>UPPSALA LÄN</t>
        </is>
      </c>
      <c r="E1205" t="inlineStr">
        <is>
          <t>UPPSALA</t>
        </is>
      </c>
      <c r="F1205" t="inlineStr">
        <is>
          <t>Bergvik skog öst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43778-2023</t>
        </is>
      </c>
      <c r="B1206" s="1" t="n">
        <v>45187</v>
      </c>
      <c r="C1206" s="1" t="n">
        <v>45807</v>
      </c>
      <c r="D1206" t="inlineStr">
        <is>
          <t>UPPSALA LÄN</t>
        </is>
      </c>
      <c r="E1206" t="inlineStr">
        <is>
          <t>UPPSALA</t>
        </is>
      </c>
      <c r="F1206" t="inlineStr">
        <is>
          <t>Bergvik skog öst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44875-2023</t>
        </is>
      </c>
      <c r="B1207" s="1" t="n">
        <v>45187</v>
      </c>
      <c r="C1207" s="1" t="n">
        <v>45807</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44080-2023</t>
        </is>
      </c>
      <c r="B1208" s="1" t="n">
        <v>45188</v>
      </c>
      <c r="C1208" s="1" t="n">
        <v>45807</v>
      </c>
      <c r="D1208" t="inlineStr">
        <is>
          <t>UPPSALA LÄN</t>
        </is>
      </c>
      <c r="E1208" t="inlineStr">
        <is>
          <t>UPPSALA</t>
        </is>
      </c>
      <c r="G1208" t="n">
        <v>13.3</v>
      </c>
      <c r="H1208" t="n">
        <v>0</v>
      </c>
      <c r="I1208" t="n">
        <v>0</v>
      </c>
      <c r="J1208" t="n">
        <v>0</v>
      </c>
      <c r="K1208" t="n">
        <v>0</v>
      </c>
      <c r="L1208" t="n">
        <v>0</v>
      </c>
      <c r="M1208" t="n">
        <v>0</v>
      </c>
      <c r="N1208" t="n">
        <v>0</v>
      </c>
      <c r="O1208" t="n">
        <v>0</v>
      </c>
      <c r="P1208" t="n">
        <v>0</v>
      </c>
      <c r="Q1208" t="n">
        <v>0</v>
      </c>
      <c r="R1208" s="2" t="inlineStr"/>
    </row>
    <row r="1209" ht="15" customHeight="1">
      <c r="A1209" t="inlineStr">
        <is>
          <t>A 44115-2023</t>
        </is>
      </c>
      <c r="B1209" s="1" t="n">
        <v>45188</v>
      </c>
      <c r="C1209" s="1" t="n">
        <v>45807</v>
      </c>
      <c r="D1209" t="inlineStr">
        <is>
          <t>UPPSALA LÄN</t>
        </is>
      </c>
      <c r="E1209" t="inlineStr">
        <is>
          <t>UPPSALA</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44232-2023</t>
        </is>
      </c>
      <c r="B1210" s="1" t="n">
        <v>45188</v>
      </c>
      <c r="C1210" s="1" t="n">
        <v>45807</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44105-2023</t>
        </is>
      </c>
      <c r="B1211" s="1" t="n">
        <v>45188</v>
      </c>
      <c r="C1211" s="1" t="n">
        <v>45807</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44333-2023</t>
        </is>
      </c>
      <c r="B1212" s="1" t="n">
        <v>45188</v>
      </c>
      <c r="C1212" s="1" t="n">
        <v>45807</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44337-2023</t>
        </is>
      </c>
      <c r="B1213" s="1" t="n">
        <v>45188</v>
      </c>
      <c r="C1213" s="1" t="n">
        <v>45807</v>
      </c>
      <c r="D1213" t="inlineStr">
        <is>
          <t>UPPSALA LÄN</t>
        </is>
      </c>
      <c r="E1213" t="inlineStr">
        <is>
          <t>UPPSALA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44257-2023</t>
        </is>
      </c>
      <c r="B1214" s="1" t="n">
        <v>45188</v>
      </c>
      <c r="C1214" s="1" t="n">
        <v>45807</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44815-2023</t>
        </is>
      </c>
      <c r="B1215" s="1" t="n">
        <v>45190</v>
      </c>
      <c r="C1215" s="1" t="n">
        <v>45807</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44830-2023</t>
        </is>
      </c>
      <c r="B1216" s="1" t="n">
        <v>45190</v>
      </c>
      <c r="C1216" s="1" t="n">
        <v>45807</v>
      </c>
      <c r="D1216" t="inlineStr">
        <is>
          <t>UPPSALA LÄN</t>
        </is>
      </c>
      <c r="E1216" t="inlineStr">
        <is>
          <t>UPPSALA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44785-2023</t>
        </is>
      </c>
      <c r="B1217" s="1" t="n">
        <v>45190</v>
      </c>
      <c r="C1217" s="1" t="n">
        <v>45807</v>
      </c>
      <c r="D1217" t="inlineStr">
        <is>
          <t>UPPSALA LÄN</t>
        </is>
      </c>
      <c r="E1217" t="inlineStr">
        <is>
          <t>UPPSALA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45244-2023</t>
        </is>
      </c>
      <c r="B1218" s="1" t="n">
        <v>45191</v>
      </c>
      <c r="C1218" s="1" t="n">
        <v>45807</v>
      </c>
      <c r="D1218" t="inlineStr">
        <is>
          <t>UPPSALA LÄN</t>
        </is>
      </c>
      <c r="E1218" t="inlineStr">
        <is>
          <t>UPPSALA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45223-2023</t>
        </is>
      </c>
      <c r="B1219" s="1" t="n">
        <v>45191</v>
      </c>
      <c r="C1219" s="1" t="n">
        <v>45807</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45489-2023</t>
        </is>
      </c>
      <c r="B1220" s="1" t="n">
        <v>45194</v>
      </c>
      <c r="C1220" s="1" t="n">
        <v>45807</v>
      </c>
      <c r="D1220" t="inlineStr">
        <is>
          <t>UPPSALA LÄN</t>
        </is>
      </c>
      <c r="E1220" t="inlineStr">
        <is>
          <t>UPPSALA</t>
        </is>
      </c>
      <c r="F1220" t="inlineStr">
        <is>
          <t>Allmännings- och besparingsskogar</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45575-2023</t>
        </is>
      </c>
      <c r="B1221" s="1" t="n">
        <v>45194</v>
      </c>
      <c r="C1221" s="1" t="n">
        <v>45807</v>
      </c>
      <c r="D1221" t="inlineStr">
        <is>
          <t>UPPSALA LÄN</t>
        </is>
      </c>
      <c r="E1221" t="inlineStr">
        <is>
          <t>UPPSALA</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45578-2023</t>
        </is>
      </c>
      <c r="B1222" s="1" t="n">
        <v>45194</v>
      </c>
      <c r="C1222" s="1" t="n">
        <v>45807</v>
      </c>
      <c r="D1222" t="inlineStr">
        <is>
          <t>UPPSALA LÄN</t>
        </is>
      </c>
      <c r="E1222" t="inlineStr">
        <is>
          <t>UPPSALA</t>
        </is>
      </c>
      <c r="F1222" t="inlineStr">
        <is>
          <t>Bergvik skog öst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45592-2023</t>
        </is>
      </c>
      <c r="B1223" s="1" t="n">
        <v>45194</v>
      </c>
      <c r="C1223" s="1" t="n">
        <v>45807</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45662-2023</t>
        </is>
      </c>
      <c r="B1224" s="1" t="n">
        <v>45194</v>
      </c>
      <c r="C1224" s="1" t="n">
        <v>45807</v>
      </c>
      <c r="D1224" t="inlineStr">
        <is>
          <t>UPPSALA LÄN</t>
        </is>
      </c>
      <c r="E1224" t="inlineStr">
        <is>
          <t>UPPSALA</t>
        </is>
      </c>
      <c r="F1224" t="inlineStr">
        <is>
          <t>Bergvik skog öst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45661-2023</t>
        </is>
      </c>
      <c r="B1225" s="1" t="n">
        <v>45194</v>
      </c>
      <c r="C1225" s="1" t="n">
        <v>45807</v>
      </c>
      <c r="D1225" t="inlineStr">
        <is>
          <t>UPPSALA LÄN</t>
        </is>
      </c>
      <c r="E1225" t="inlineStr">
        <is>
          <t>UPPSALA</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45892-2023</t>
        </is>
      </c>
      <c r="B1226" s="1" t="n">
        <v>45195</v>
      </c>
      <c r="C1226" s="1" t="n">
        <v>45807</v>
      </c>
      <c r="D1226" t="inlineStr">
        <is>
          <t>UPPSALA LÄN</t>
        </is>
      </c>
      <c r="E1226" t="inlineStr">
        <is>
          <t>UPPSALA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45885-2023</t>
        </is>
      </c>
      <c r="B1227" s="1" t="n">
        <v>45195</v>
      </c>
      <c r="C1227" s="1" t="n">
        <v>45807</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46335-2023</t>
        </is>
      </c>
      <c r="B1228" s="1" t="n">
        <v>45197</v>
      </c>
      <c r="C1228" s="1" t="n">
        <v>45807</v>
      </c>
      <c r="D1228" t="inlineStr">
        <is>
          <t>UPPSALA LÄN</t>
        </is>
      </c>
      <c r="E1228" t="inlineStr">
        <is>
          <t>UPPSALA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46869-2023</t>
        </is>
      </c>
      <c r="B1229" s="1" t="n">
        <v>45200</v>
      </c>
      <c r="C1229" s="1" t="n">
        <v>45807</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46995-2023</t>
        </is>
      </c>
      <c r="B1230" s="1" t="n">
        <v>45201</v>
      </c>
      <c r="C1230" s="1" t="n">
        <v>45807</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47083-2023</t>
        </is>
      </c>
      <c r="B1231" s="1" t="n">
        <v>45201</v>
      </c>
      <c r="C1231" s="1" t="n">
        <v>45807</v>
      </c>
      <c r="D1231" t="inlineStr">
        <is>
          <t>UPPSALA LÄN</t>
        </is>
      </c>
      <c r="E1231" t="inlineStr">
        <is>
          <t>UPPSALA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47221-2023</t>
        </is>
      </c>
      <c r="B1232" s="1" t="n">
        <v>45202</v>
      </c>
      <c r="C1232" s="1" t="n">
        <v>45807</v>
      </c>
      <c r="D1232" t="inlineStr">
        <is>
          <t>UPPSALA LÄN</t>
        </is>
      </c>
      <c r="E1232" t="inlineStr">
        <is>
          <t>UPPSALA</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47314-2023</t>
        </is>
      </c>
      <c r="B1233" s="1" t="n">
        <v>45202</v>
      </c>
      <c r="C1233" s="1" t="n">
        <v>45807</v>
      </c>
      <c r="D1233" t="inlineStr">
        <is>
          <t>UPPSALA LÄN</t>
        </is>
      </c>
      <c r="E1233" t="inlineStr">
        <is>
          <t>UPPSALA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47287-2023</t>
        </is>
      </c>
      <c r="B1234" s="1" t="n">
        <v>45202</v>
      </c>
      <c r="C1234" s="1" t="n">
        <v>45807</v>
      </c>
      <c r="D1234" t="inlineStr">
        <is>
          <t>UPPSALA LÄN</t>
        </is>
      </c>
      <c r="E1234" t="inlineStr">
        <is>
          <t>UPPSALA</t>
        </is>
      </c>
      <c r="F1234" t="inlineStr">
        <is>
          <t>Holmen skog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47316-2023</t>
        </is>
      </c>
      <c r="B1235" s="1" t="n">
        <v>45202</v>
      </c>
      <c r="C1235" s="1" t="n">
        <v>45807</v>
      </c>
      <c r="D1235" t="inlineStr">
        <is>
          <t>UPPSALA LÄN</t>
        </is>
      </c>
      <c r="E1235" t="inlineStr">
        <is>
          <t>UPPSALA</t>
        </is>
      </c>
      <c r="F1235" t="inlineStr">
        <is>
          <t>Bergvik skog öst AB</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47618-2023</t>
        </is>
      </c>
      <c r="B1236" s="1" t="n">
        <v>45203</v>
      </c>
      <c r="C1236" s="1" t="n">
        <v>45807</v>
      </c>
      <c r="D1236" t="inlineStr">
        <is>
          <t>UPPSALA LÄN</t>
        </is>
      </c>
      <c r="E1236" t="inlineStr">
        <is>
          <t>UPPSALA</t>
        </is>
      </c>
      <c r="F1236" t="inlineStr">
        <is>
          <t>Bergvik skog öst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48562-2023</t>
        </is>
      </c>
      <c r="B1237" s="1" t="n">
        <v>45208</v>
      </c>
      <c r="C1237" s="1" t="n">
        <v>45807</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48564-2023</t>
        </is>
      </c>
      <c r="B1238" s="1" t="n">
        <v>45208</v>
      </c>
      <c r="C1238" s="1" t="n">
        <v>45807</v>
      </c>
      <c r="D1238" t="inlineStr">
        <is>
          <t>UPPSALA LÄN</t>
        </is>
      </c>
      <c r="E1238" t="inlineStr">
        <is>
          <t>UPPSALA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48571-2023</t>
        </is>
      </c>
      <c r="B1239" s="1" t="n">
        <v>45208</v>
      </c>
      <c r="C1239" s="1" t="n">
        <v>45807</v>
      </c>
      <c r="D1239" t="inlineStr">
        <is>
          <t>UPPSALA LÄN</t>
        </is>
      </c>
      <c r="E1239" t="inlineStr">
        <is>
          <t>UPPSALA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48584-2023</t>
        </is>
      </c>
      <c r="B1240" s="1" t="n">
        <v>45208</v>
      </c>
      <c r="C1240" s="1" t="n">
        <v>45807</v>
      </c>
      <c r="D1240" t="inlineStr">
        <is>
          <t>UPPSALA LÄN</t>
        </is>
      </c>
      <c r="E1240" t="inlineStr">
        <is>
          <t>UPPSALA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49189-2023</t>
        </is>
      </c>
      <c r="B1241" s="1" t="n">
        <v>45210</v>
      </c>
      <c r="C1241" s="1" t="n">
        <v>45807</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49201-2023</t>
        </is>
      </c>
      <c r="B1242" s="1" t="n">
        <v>45210</v>
      </c>
      <c r="C1242" s="1" t="n">
        <v>45807</v>
      </c>
      <c r="D1242" t="inlineStr">
        <is>
          <t>UPPSALA LÄN</t>
        </is>
      </c>
      <c r="E1242" t="inlineStr">
        <is>
          <t>UPPSALA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49682-2023</t>
        </is>
      </c>
      <c r="B1243" s="1" t="n">
        <v>45212</v>
      </c>
      <c r="C1243" s="1" t="n">
        <v>45807</v>
      </c>
      <c r="D1243" t="inlineStr">
        <is>
          <t>UPPSALA LÄN</t>
        </is>
      </c>
      <c r="E1243" t="inlineStr">
        <is>
          <t>UPPSALA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49996-2023</t>
        </is>
      </c>
      <c r="B1244" s="1" t="n">
        <v>45215</v>
      </c>
      <c r="C1244" s="1" t="n">
        <v>45807</v>
      </c>
      <c r="D1244" t="inlineStr">
        <is>
          <t>UPPSALA LÄN</t>
        </is>
      </c>
      <c r="E1244" t="inlineStr">
        <is>
          <t>UPPSALA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50118-2023</t>
        </is>
      </c>
      <c r="B1245" s="1" t="n">
        <v>45215</v>
      </c>
      <c r="C1245" s="1" t="n">
        <v>45807</v>
      </c>
      <c r="D1245" t="inlineStr">
        <is>
          <t>UPPSALA LÄN</t>
        </is>
      </c>
      <c r="E1245" t="inlineStr">
        <is>
          <t>UPPSALA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51843-2023</t>
        </is>
      </c>
      <c r="B1246" s="1" t="n">
        <v>45215</v>
      </c>
      <c r="C1246" s="1" t="n">
        <v>45807</v>
      </c>
      <c r="D1246" t="inlineStr">
        <is>
          <t>UPPSALA LÄN</t>
        </is>
      </c>
      <c r="E1246" t="inlineStr">
        <is>
          <t>UPPSALA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50267-2023</t>
        </is>
      </c>
      <c r="B1247" s="1" t="n">
        <v>45216</v>
      </c>
      <c r="C1247" s="1" t="n">
        <v>45807</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50473-2023</t>
        </is>
      </c>
      <c r="B1248" s="1" t="n">
        <v>45216</v>
      </c>
      <c r="C1248" s="1" t="n">
        <v>45807</v>
      </c>
      <c r="D1248" t="inlineStr">
        <is>
          <t>UPPSALA LÄN</t>
        </is>
      </c>
      <c r="E1248" t="inlineStr">
        <is>
          <t>UPPSALA</t>
        </is>
      </c>
      <c r="F1248" t="inlineStr">
        <is>
          <t>Allmännings- och besparingsskogar</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50395-2023</t>
        </is>
      </c>
      <c r="B1249" s="1" t="n">
        <v>45216</v>
      </c>
      <c r="C1249" s="1" t="n">
        <v>45807</v>
      </c>
      <c r="D1249" t="inlineStr">
        <is>
          <t>UPPSALA LÄN</t>
        </is>
      </c>
      <c r="E1249" t="inlineStr">
        <is>
          <t>UPPSALA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51016-2023</t>
        </is>
      </c>
      <c r="B1250" s="1" t="n">
        <v>45218</v>
      </c>
      <c r="C1250" s="1" t="n">
        <v>45807</v>
      </c>
      <c r="D1250" t="inlineStr">
        <is>
          <t>UPPSALA LÄN</t>
        </is>
      </c>
      <c r="E1250" t="inlineStr">
        <is>
          <t>UPPSALA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51006-2023</t>
        </is>
      </c>
      <c r="B1251" s="1" t="n">
        <v>45218</v>
      </c>
      <c r="C1251" s="1" t="n">
        <v>45807</v>
      </c>
      <c r="D1251" t="inlineStr">
        <is>
          <t>UPPSALA LÄN</t>
        </is>
      </c>
      <c r="E1251" t="inlineStr">
        <is>
          <t>UPPSALA</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51542-2023</t>
        </is>
      </c>
      <c r="B1252" s="1" t="n">
        <v>45222</v>
      </c>
      <c r="C1252" s="1" t="n">
        <v>45807</v>
      </c>
      <c r="D1252" t="inlineStr">
        <is>
          <t>UPPSALA LÄN</t>
        </is>
      </c>
      <c r="E1252" t="inlineStr">
        <is>
          <t>UPPSALA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51734-2023</t>
        </is>
      </c>
      <c r="B1253" s="1" t="n">
        <v>45222</v>
      </c>
      <c r="C1253" s="1" t="n">
        <v>45807</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51731-2023</t>
        </is>
      </c>
      <c r="B1254" s="1" t="n">
        <v>45222</v>
      </c>
      <c r="C1254" s="1" t="n">
        <v>45807</v>
      </c>
      <c r="D1254" t="inlineStr">
        <is>
          <t>UPPSALA LÄN</t>
        </is>
      </c>
      <c r="E1254" t="inlineStr">
        <is>
          <t>UPPSALA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51576-2023</t>
        </is>
      </c>
      <c r="B1255" s="1" t="n">
        <v>45222</v>
      </c>
      <c r="C1255" s="1" t="n">
        <v>45807</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51697-2023</t>
        </is>
      </c>
      <c r="B1256" s="1" t="n">
        <v>45222</v>
      </c>
      <c r="C1256" s="1" t="n">
        <v>45807</v>
      </c>
      <c r="D1256" t="inlineStr">
        <is>
          <t>UPPSALA LÄN</t>
        </is>
      </c>
      <c r="E1256" t="inlineStr">
        <is>
          <t>UPPSALA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51935-2023</t>
        </is>
      </c>
      <c r="B1257" s="1" t="n">
        <v>45223</v>
      </c>
      <c r="C1257" s="1" t="n">
        <v>45807</v>
      </c>
      <c r="D1257" t="inlineStr">
        <is>
          <t>UPPSALA LÄN</t>
        </is>
      </c>
      <c r="E1257" t="inlineStr">
        <is>
          <t>UPPSALA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52273-2023</t>
        </is>
      </c>
      <c r="B1258" s="1" t="n">
        <v>45224</v>
      </c>
      <c r="C1258" s="1" t="n">
        <v>45807</v>
      </c>
      <c r="D1258" t="inlineStr">
        <is>
          <t>UPPSALA LÄN</t>
        </is>
      </c>
      <c r="E1258" t="inlineStr">
        <is>
          <t>UPPSALA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52492-2023</t>
        </is>
      </c>
      <c r="B1259" s="1" t="n">
        <v>45225</v>
      </c>
      <c r="C1259" s="1" t="n">
        <v>45807</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52503-2023</t>
        </is>
      </c>
      <c r="B1260" s="1" t="n">
        <v>45225</v>
      </c>
      <c r="C1260" s="1" t="n">
        <v>45807</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52518-2023</t>
        </is>
      </c>
      <c r="B1261" s="1" t="n">
        <v>45225</v>
      </c>
      <c r="C1261" s="1" t="n">
        <v>45807</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53893-2023</t>
        </is>
      </c>
      <c r="B1262" s="1" t="n">
        <v>45231</v>
      </c>
      <c r="C1262" s="1" t="n">
        <v>45807</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53919-2023</t>
        </is>
      </c>
      <c r="B1263" s="1" t="n">
        <v>45231</v>
      </c>
      <c r="C1263" s="1" t="n">
        <v>45807</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53982-2023</t>
        </is>
      </c>
      <c r="B1264" s="1" t="n">
        <v>45231</v>
      </c>
      <c r="C1264" s="1" t="n">
        <v>45807</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53882-2023</t>
        </is>
      </c>
      <c r="B1265" s="1" t="n">
        <v>45231</v>
      </c>
      <c r="C1265" s="1" t="n">
        <v>45807</v>
      </c>
      <c r="D1265" t="inlineStr">
        <is>
          <t>UPPSALA LÄN</t>
        </is>
      </c>
      <c r="E1265" t="inlineStr">
        <is>
          <t>UPPSALA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53900-2023</t>
        </is>
      </c>
      <c r="B1266" s="1" t="n">
        <v>45231</v>
      </c>
      <c r="C1266" s="1" t="n">
        <v>45807</v>
      </c>
      <c r="D1266" t="inlineStr">
        <is>
          <t>UPPSALA LÄN</t>
        </is>
      </c>
      <c r="E1266" t="inlineStr">
        <is>
          <t>UPPSALA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53963-2023</t>
        </is>
      </c>
      <c r="B1267" s="1" t="n">
        <v>45231</v>
      </c>
      <c r="C1267" s="1" t="n">
        <v>45807</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53967-2023</t>
        </is>
      </c>
      <c r="B1268" s="1" t="n">
        <v>45231</v>
      </c>
      <c r="C1268" s="1" t="n">
        <v>45807</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53803-2023</t>
        </is>
      </c>
      <c r="B1269" s="1" t="n">
        <v>45231</v>
      </c>
      <c r="C1269" s="1" t="n">
        <v>45807</v>
      </c>
      <c r="D1269" t="inlineStr">
        <is>
          <t>UPPSALA LÄN</t>
        </is>
      </c>
      <c r="E1269" t="inlineStr">
        <is>
          <t>UPPSALA</t>
        </is>
      </c>
      <c r="G1269" t="n">
        <v>17.6</v>
      </c>
      <c r="H1269" t="n">
        <v>0</v>
      </c>
      <c r="I1269" t="n">
        <v>0</v>
      </c>
      <c r="J1269" t="n">
        <v>0</v>
      </c>
      <c r="K1269" t="n">
        <v>0</v>
      </c>
      <c r="L1269" t="n">
        <v>0</v>
      </c>
      <c r="M1269" t="n">
        <v>0</v>
      </c>
      <c r="N1269" t="n">
        <v>0</v>
      </c>
      <c r="O1269" t="n">
        <v>0</v>
      </c>
      <c r="P1269" t="n">
        <v>0</v>
      </c>
      <c r="Q1269" t="n">
        <v>0</v>
      </c>
      <c r="R1269" s="2" t="inlineStr"/>
    </row>
    <row r="1270" ht="15" customHeight="1">
      <c r="A1270" t="inlineStr">
        <is>
          <t>A 53906-2023</t>
        </is>
      </c>
      <c r="B1270" s="1" t="n">
        <v>45231</v>
      </c>
      <c r="C1270" s="1" t="n">
        <v>45807</v>
      </c>
      <c r="D1270" t="inlineStr">
        <is>
          <t>UPPSALA LÄN</t>
        </is>
      </c>
      <c r="E1270" t="inlineStr">
        <is>
          <t>UPPSALA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54231-2023</t>
        </is>
      </c>
      <c r="B1271" s="1" t="n">
        <v>45232</v>
      </c>
      <c r="C1271" s="1" t="n">
        <v>45807</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55529-2023</t>
        </is>
      </c>
      <c r="B1272" s="1" t="n">
        <v>45232</v>
      </c>
      <c r="C1272" s="1" t="n">
        <v>45807</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54375-2023</t>
        </is>
      </c>
      <c r="B1273" s="1" t="n">
        <v>45233</v>
      </c>
      <c r="C1273" s="1" t="n">
        <v>45807</v>
      </c>
      <c r="D1273" t="inlineStr">
        <is>
          <t>UPPSALA LÄN</t>
        </is>
      </c>
      <c r="E1273" t="inlineStr">
        <is>
          <t>UPPSALA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54474-2023</t>
        </is>
      </c>
      <c r="B1274" s="1" t="n">
        <v>45233</v>
      </c>
      <c r="C1274" s="1" t="n">
        <v>45807</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54461-2023</t>
        </is>
      </c>
      <c r="B1275" s="1" t="n">
        <v>45233</v>
      </c>
      <c r="C1275" s="1" t="n">
        <v>45807</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54808-2023</t>
        </is>
      </c>
      <c r="B1276" s="1" t="n">
        <v>45236</v>
      </c>
      <c r="C1276" s="1" t="n">
        <v>45807</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54704-2023</t>
        </is>
      </c>
      <c r="B1277" s="1" t="n">
        <v>45236</v>
      </c>
      <c r="C1277" s="1" t="n">
        <v>45807</v>
      </c>
      <c r="D1277" t="inlineStr">
        <is>
          <t>UPPSALA LÄN</t>
        </is>
      </c>
      <c r="E1277" t="inlineStr">
        <is>
          <t>UPPSALA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54783-2023</t>
        </is>
      </c>
      <c r="B1278" s="1" t="n">
        <v>45236</v>
      </c>
      <c r="C1278" s="1" t="n">
        <v>45807</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55598-2023</t>
        </is>
      </c>
      <c r="B1279" s="1" t="n">
        <v>45238</v>
      </c>
      <c r="C1279" s="1" t="n">
        <v>45807</v>
      </c>
      <c r="D1279" t="inlineStr">
        <is>
          <t>UPPSALA LÄN</t>
        </is>
      </c>
      <c r="E1279" t="inlineStr">
        <is>
          <t>UPPSALA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56084-2023</t>
        </is>
      </c>
      <c r="B1280" s="1" t="n">
        <v>45240</v>
      </c>
      <c r="C1280" s="1" t="n">
        <v>45807</v>
      </c>
      <c r="D1280" t="inlineStr">
        <is>
          <t>UPPSALA LÄN</t>
        </is>
      </c>
      <c r="E1280" t="inlineStr">
        <is>
          <t>UPPSALA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56082-2023</t>
        </is>
      </c>
      <c r="B1281" s="1" t="n">
        <v>45240</v>
      </c>
      <c r="C1281" s="1" t="n">
        <v>45807</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56105-2023</t>
        </is>
      </c>
      <c r="B1282" s="1" t="n">
        <v>45240</v>
      </c>
      <c r="C1282" s="1" t="n">
        <v>45807</v>
      </c>
      <c r="D1282" t="inlineStr">
        <is>
          <t>UPPSALA LÄN</t>
        </is>
      </c>
      <c r="E1282" t="inlineStr">
        <is>
          <t>UPPSALA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56077-2023</t>
        </is>
      </c>
      <c r="B1283" s="1" t="n">
        <v>45240</v>
      </c>
      <c r="C1283" s="1" t="n">
        <v>45807</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56278-2023</t>
        </is>
      </c>
      <c r="B1284" s="1" t="n">
        <v>45241</v>
      </c>
      <c r="C1284" s="1" t="n">
        <v>45807</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56642-2023</t>
        </is>
      </c>
      <c r="B1285" s="1" t="n">
        <v>45243</v>
      </c>
      <c r="C1285" s="1" t="n">
        <v>45807</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56852-2023</t>
        </is>
      </c>
      <c r="B1286" s="1" t="n">
        <v>45244</v>
      </c>
      <c r="C1286" s="1" t="n">
        <v>45807</v>
      </c>
      <c r="D1286" t="inlineStr">
        <is>
          <t>UPPSALA LÄN</t>
        </is>
      </c>
      <c r="E1286" t="inlineStr">
        <is>
          <t>UPPSALA</t>
        </is>
      </c>
      <c r="F1286" t="inlineStr">
        <is>
          <t>Holmen skog AB</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56872-2023</t>
        </is>
      </c>
      <c r="B1287" s="1" t="n">
        <v>45244</v>
      </c>
      <c r="C1287" s="1" t="n">
        <v>45807</v>
      </c>
      <c r="D1287" t="inlineStr">
        <is>
          <t>UPPSALA LÄN</t>
        </is>
      </c>
      <c r="E1287" t="inlineStr">
        <is>
          <t>UPPSALA</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57186-2023</t>
        </is>
      </c>
      <c r="B1288" s="1" t="n">
        <v>45245</v>
      </c>
      <c r="C1288" s="1" t="n">
        <v>45807</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57182-2023</t>
        </is>
      </c>
      <c r="B1289" s="1" t="n">
        <v>45245</v>
      </c>
      <c r="C1289" s="1" t="n">
        <v>45807</v>
      </c>
      <c r="D1289" t="inlineStr">
        <is>
          <t>UPPSALA LÄN</t>
        </is>
      </c>
      <c r="E1289" t="inlineStr">
        <is>
          <t>UPPSALA</t>
        </is>
      </c>
      <c r="F1289" t="inlineStr">
        <is>
          <t>Övriga Aktiebolag</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59240-2023</t>
        </is>
      </c>
      <c r="B1290" s="1" t="n">
        <v>45253</v>
      </c>
      <c r="C1290" s="1" t="n">
        <v>45807</v>
      </c>
      <c r="D1290" t="inlineStr">
        <is>
          <t>UPPSALA LÄN</t>
        </is>
      </c>
      <c r="E1290" t="inlineStr">
        <is>
          <t>UPPSALA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59511-2023</t>
        </is>
      </c>
      <c r="B1291" s="1" t="n">
        <v>45254</v>
      </c>
      <c r="C1291" s="1" t="n">
        <v>45807</v>
      </c>
      <c r="D1291" t="inlineStr">
        <is>
          <t>UPPSALA LÄN</t>
        </is>
      </c>
      <c r="E1291" t="inlineStr">
        <is>
          <t>UPPSALA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59521-2023</t>
        </is>
      </c>
      <c r="B1292" s="1" t="n">
        <v>45254</v>
      </c>
      <c r="C1292" s="1" t="n">
        <v>45807</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59564-2023</t>
        </is>
      </c>
      <c r="B1293" s="1" t="n">
        <v>45254</v>
      </c>
      <c r="C1293" s="1" t="n">
        <v>45807</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59570-2023</t>
        </is>
      </c>
      <c r="B1294" s="1" t="n">
        <v>45254</v>
      </c>
      <c r="C1294" s="1" t="n">
        <v>45807</v>
      </c>
      <c r="D1294" t="inlineStr">
        <is>
          <t>UPPSALA LÄN</t>
        </is>
      </c>
      <c r="E1294" t="inlineStr">
        <is>
          <t>UPPSALA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59585-2023</t>
        </is>
      </c>
      <c r="B1295" s="1" t="n">
        <v>45254</v>
      </c>
      <c r="C1295" s="1" t="n">
        <v>45807</v>
      </c>
      <c r="D1295" t="inlineStr">
        <is>
          <t>UPPSALA LÄN</t>
        </is>
      </c>
      <c r="E1295" t="inlineStr">
        <is>
          <t>UPPSALA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59489-2023</t>
        </is>
      </c>
      <c r="B1296" s="1" t="n">
        <v>45254</v>
      </c>
      <c r="C1296" s="1" t="n">
        <v>45807</v>
      </c>
      <c r="D1296" t="inlineStr">
        <is>
          <t>UPPSALA LÄN</t>
        </is>
      </c>
      <c r="E1296" t="inlineStr">
        <is>
          <t>UPPSALA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59856-2023</t>
        </is>
      </c>
      <c r="B1297" s="1" t="n">
        <v>45257</v>
      </c>
      <c r="C1297" s="1" t="n">
        <v>45807</v>
      </c>
      <c r="D1297" t="inlineStr">
        <is>
          <t>UPPSALA LÄN</t>
        </is>
      </c>
      <c r="E1297" t="inlineStr">
        <is>
          <t>UPPSALA</t>
        </is>
      </c>
      <c r="F1297" t="inlineStr">
        <is>
          <t>Allmännings- och besparingsskogar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59810-2023</t>
        </is>
      </c>
      <c r="B1298" s="1" t="n">
        <v>45257</v>
      </c>
      <c r="C1298" s="1" t="n">
        <v>45807</v>
      </c>
      <c r="D1298" t="inlineStr">
        <is>
          <t>UPPSALA LÄN</t>
        </is>
      </c>
      <c r="E1298" t="inlineStr">
        <is>
          <t>UPPSALA</t>
        </is>
      </c>
      <c r="F1298" t="inlineStr">
        <is>
          <t>Allmännings- och besparingsskogar</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60444-2023</t>
        </is>
      </c>
      <c r="B1299" s="1" t="n">
        <v>45259</v>
      </c>
      <c r="C1299" s="1" t="n">
        <v>45807</v>
      </c>
      <c r="D1299" t="inlineStr">
        <is>
          <t>UPPSALA LÄN</t>
        </is>
      </c>
      <c r="E1299" t="inlineStr">
        <is>
          <t>UPPSALA</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60447-2023</t>
        </is>
      </c>
      <c r="B1300" s="1" t="n">
        <v>45259</v>
      </c>
      <c r="C1300" s="1" t="n">
        <v>45807</v>
      </c>
      <c r="D1300" t="inlineStr">
        <is>
          <t>UPPSALA LÄN</t>
        </is>
      </c>
      <c r="E1300" t="inlineStr">
        <is>
          <t>UPPSALA</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60714-2023</t>
        </is>
      </c>
      <c r="B1301" s="1" t="n">
        <v>45259</v>
      </c>
      <c r="C1301" s="1" t="n">
        <v>45807</v>
      </c>
      <c r="D1301" t="inlineStr">
        <is>
          <t>UPPSALA LÄN</t>
        </is>
      </c>
      <c r="E1301" t="inlineStr">
        <is>
          <t>UPPSALA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60814-2023</t>
        </is>
      </c>
      <c r="B1302" s="1" t="n">
        <v>45259</v>
      </c>
      <c r="C1302" s="1" t="n">
        <v>45807</v>
      </c>
      <c r="D1302" t="inlineStr">
        <is>
          <t>UPPSALA LÄN</t>
        </is>
      </c>
      <c r="E1302" t="inlineStr">
        <is>
          <t>UPPSALA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60781-2023</t>
        </is>
      </c>
      <c r="B1303" s="1" t="n">
        <v>45259</v>
      </c>
      <c r="C1303" s="1" t="n">
        <v>45807</v>
      </c>
      <c r="D1303" t="inlineStr">
        <is>
          <t>UPPSALA LÄN</t>
        </is>
      </c>
      <c r="E1303" t="inlineStr">
        <is>
          <t>UPPSALA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61067-2023</t>
        </is>
      </c>
      <c r="B1304" s="1" t="n">
        <v>45259</v>
      </c>
      <c r="C1304" s="1" t="n">
        <v>45807</v>
      </c>
      <c r="D1304" t="inlineStr">
        <is>
          <t>UPPSALA LÄN</t>
        </is>
      </c>
      <c r="E1304" t="inlineStr">
        <is>
          <t>UPPSALA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60707-2023</t>
        </is>
      </c>
      <c r="B1305" s="1" t="n">
        <v>45260</v>
      </c>
      <c r="C1305" s="1" t="n">
        <v>45807</v>
      </c>
      <c r="D1305" t="inlineStr">
        <is>
          <t>UPPSALA LÄN</t>
        </is>
      </c>
      <c r="E1305" t="inlineStr">
        <is>
          <t>UPPSALA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61947-2023</t>
        </is>
      </c>
      <c r="B1306" s="1" t="n">
        <v>45266</v>
      </c>
      <c r="C1306" s="1" t="n">
        <v>45807</v>
      </c>
      <c r="D1306" t="inlineStr">
        <is>
          <t>UPPSALA LÄN</t>
        </is>
      </c>
      <c r="E1306" t="inlineStr">
        <is>
          <t>UPPSALA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62287-2023</t>
        </is>
      </c>
      <c r="B1307" s="1" t="n">
        <v>45267</v>
      </c>
      <c r="C1307" s="1" t="n">
        <v>45807</v>
      </c>
      <c r="D1307" t="inlineStr">
        <is>
          <t>UPPSALA LÄN</t>
        </is>
      </c>
      <c r="E1307" t="inlineStr">
        <is>
          <t>UPPSALA</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62627-2023</t>
        </is>
      </c>
      <c r="B1308" s="1" t="n">
        <v>45268</v>
      </c>
      <c r="C1308" s="1" t="n">
        <v>45807</v>
      </c>
      <c r="D1308" t="inlineStr">
        <is>
          <t>UPPSALA LÄN</t>
        </is>
      </c>
      <c r="E1308" t="inlineStr">
        <is>
          <t>UPPSALA</t>
        </is>
      </c>
      <c r="G1308" t="n">
        <v>7.6</v>
      </c>
      <c r="H1308" t="n">
        <v>0</v>
      </c>
      <c r="I1308" t="n">
        <v>0</v>
      </c>
      <c r="J1308" t="n">
        <v>0</v>
      </c>
      <c r="K1308" t="n">
        <v>0</v>
      </c>
      <c r="L1308" t="n">
        <v>0</v>
      </c>
      <c r="M1308" t="n">
        <v>0</v>
      </c>
      <c r="N1308" t="n">
        <v>0</v>
      </c>
      <c r="O1308" t="n">
        <v>0</v>
      </c>
      <c r="P1308" t="n">
        <v>0</v>
      </c>
      <c r="Q1308" t="n">
        <v>0</v>
      </c>
      <c r="R1308" s="2" t="inlineStr"/>
      <c r="U1308">
        <f>HYPERLINK("https://klasma.github.io/Logging_0380/knärot/A 62627-2023 karta knärot.png", "A 62627-2023")</f>
        <v/>
      </c>
      <c r="V1308">
        <f>HYPERLINK("https://klasma.github.io/Logging_0380/klagomål/A 62627-2023 FSC-klagomål.docx", "A 62627-2023")</f>
        <v/>
      </c>
      <c r="W1308">
        <f>HYPERLINK("https://klasma.github.io/Logging_0380/klagomålsmail/A 62627-2023 FSC-klagomål mail.docx", "A 62627-2023")</f>
        <v/>
      </c>
      <c r="X1308">
        <f>HYPERLINK("https://klasma.github.io/Logging_0380/tillsyn/A 62627-2023 tillsynsbegäran.docx", "A 62627-2023")</f>
        <v/>
      </c>
      <c r="Y1308">
        <f>HYPERLINK("https://klasma.github.io/Logging_0380/tillsynsmail/A 62627-2023 tillsynsbegäran mail.docx", "A 62627-2023")</f>
        <v/>
      </c>
    </row>
    <row r="1309" ht="15" customHeight="1">
      <c r="A1309" t="inlineStr">
        <is>
          <t>A 62636-2023</t>
        </is>
      </c>
      <c r="B1309" s="1" t="n">
        <v>45268</v>
      </c>
      <c r="C1309" s="1" t="n">
        <v>45807</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62691-2023</t>
        </is>
      </c>
      <c r="B1310" s="1" t="n">
        <v>45268</v>
      </c>
      <c r="C1310" s="1" t="n">
        <v>45807</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62694-2023</t>
        </is>
      </c>
      <c r="B1311" s="1" t="n">
        <v>45268</v>
      </c>
      <c r="C1311" s="1" t="n">
        <v>45807</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62714-2023</t>
        </is>
      </c>
      <c r="B1312" s="1" t="n">
        <v>45271</v>
      </c>
      <c r="C1312" s="1" t="n">
        <v>45807</v>
      </c>
      <c r="D1312" t="inlineStr">
        <is>
          <t>UPPSALA LÄN</t>
        </is>
      </c>
      <c r="E1312" t="inlineStr">
        <is>
          <t>UPPSALA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63163-2023</t>
        </is>
      </c>
      <c r="B1313" s="1" t="n">
        <v>45273</v>
      </c>
      <c r="C1313" s="1" t="n">
        <v>45807</v>
      </c>
      <c r="D1313" t="inlineStr">
        <is>
          <t>UPPSALA LÄN</t>
        </is>
      </c>
      <c r="E1313" t="inlineStr">
        <is>
          <t>UPPSALA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63578-2023</t>
        </is>
      </c>
      <c r="B1314" s="1" t="n">
        <v>45275</v>
      </c>
      <c r="C1314" s="1" t="n">
        <v>45807</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63579-2023</t>
        </is>
      </c>
      <c r="B1315" s="1" t="n">
        <v>45275</v>
      </c>
      <c r="C1315" s="1" t="n">
        <v>45807</v>
      </c>
      <c r="D1315" t="inlineStr">
        <is>
          <t>UPPSALA LÄN</t>
        </is>
      </c>
      <c r="E1315" t="inlineStr">
        <is>
          <t>UPPSALA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63576-2023</t>
        </is>
      </c>
      <c r="B1316" s="1" t="n">
        <v>45275</v>
      </c>
      <c r="C1316" s="1" t="n">
        <v>45807</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63588-2023</t>
        </is>
      </c>
      <c r="B1317" s="1" t="n">
        <v>45275</v>
      </c>
      <c r="C1317" s="1" t="n">
        <v>45807</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63698-2023</t>
        </is>
      </c>
      <c r="B1318" s="1" t="n">
        <v>45275</v>
      </c>
      <c r="C1318" s="1" t="n">
        <v>45807</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64079-2023</t>
        </is>
      </c>
      <c r="B1319" s="1" t="n">
        <v>45279</v>
      </c>
      <c r="C1319" s="1" t="n">
        <v>45807</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64806-2023</t>
        </is>
      </c>
      <c r="B1320" s="1" t="n">
        <v>45282</v>
      </c>
      <c r="C1320" s="1" t="n">
        <v>45807</v>
      </c>
      <c r="D1320" t="inlineStr">
        <is>
          <t>UPPSALA LÄN</t>
        </is>
      </c>
      <c r="E1320" t="inlineStr">
        <is>
          <t>UPPSALA</t>
        </is>
      </c>
      <c r="F1320" t="inlineStr">
        <is>
          <t>Kyrkan</t>
        </is>
      </c>
      <c r="G1320" t="n">
        <v>19.3</v>
      </c>
      <c r="H1320" t="n">
        <v>0</v>
      </c>
      <c r="I1320" t="n">
        <v>0</v>
      </c>
      <c r="J1320" t="n">
        <v>0</v>
      </c>
      <c r="K1320" t="n">
        <v>0</v>
      </c>
      <c r="L1320" t="n">
        <v>0</v>
      </c>
      <c r="M1320" t="n">
        <v>0</v>
      </c>
      <c r="N1320" t="n">
        <v>0</v>
      </c>
      <c r="O1320" t="n">
        <v>0</v>
      </c>
      <c r="P1320" t="n">
        <v>0</v>
      </c>
      <c r="Q1320" t="n">
        <v>0</v>
      </c>
      <c r="R1320" s="2" t="inlineStr"/>
    </row>
    <row r="1321" ht="15" customHeight="1">
      <c r="A1321" t="inlineStr">
        <is>
          <t>A 64880-2023</t>
        </is>
      </c>
      <c r="B1321" s="1" t="n">
        <v>45282</v>
      </c>
      <c r="C1321" s="1" t="n">
        <v>45807</v>
      </c>
      <c r="D1321" t="inlineStr">
        <is>
          <t>UPPSALA LÄN</t>
        </is>
      </c>
      <c r="E1321" t="inlineStr">
        <is>
          <t>UPPSALA</t>
        </is>
      </c>
      <c r="F1321" t="inlineStr">
        <is>
          <t>Kommuner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65149-2023</t>
        </is>
      </c>
      <c r="B1322" s="1" t="n">
        <v>45288</v>
      </c>
      <c r="C1322" s="1" t="n">
        <v>45807</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45-2024</t>
        </is>
      </c>
      <c r="B1323" s="1" t="n">
        <v>45293</v>
      </c>
      <c r="C1323" s="1" t="n">
        <v>45807</v>
      </c>
      <c r="D1323" t="inlineStr">
        <is>
          <t>UPPSALA LÄN</t>
        </is>
      </c>
      <c r="E1323" t="inlineStr">
        <is>
          <t>UPPSALA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43-2024</t>
        </is>
      </c>
      <c r="B1324" s="1" t="n">
        <v>45293</v>
      </c>
      <c r="C1324" s="1" t="n">
        <v>45807</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179-2024</t>
        </is>
      </c>
      <c r="B1325" s="1" t="n">
        <v>45294</v>
      </c>
      <c r="C1325" s="1" t="n">
        <v>45807</v>
      </c>
      <c r="D1325" t="inlineStr">
        <is>
          <t>UPPSALA LÄN</t>
        </is>
      </c>
      <c r="E1325" t="inlineStr">
        <is>
          <t>UPPSALA</t>
        </is>
      </c>
      <c r="F1325" t="inlineStr">
        <is>
          <t>Bergvik skog öst AB</t>
        </is>
      </c>
      <c r="G1325" t="n">
        <v>12.7</v>
      </c>
      <c r="H1325" t="n">
        <v>0</v>
      </c>
      <c r="I1325" t="n">
        <v>0</v>
      </c>
      <c r="J1325" t="n">
        <v>0</v>
      </c>
      <c r="K1325" t="n">
        <v>0</v>
      </c>
      <c r="L1325" t="n">
        <v>0</v>
      </c>
      <c r="M1325" t="n">
        <v>0</v>
      </c>
      <c r="N1325" t="n">
        <v>0</v>
      </c>
      <c r="O1325" t="n">
        <v>0</v>
      </c>
      <c r="P1325" t="n">
        <v>0</v>
      </c>
      <c r="Q1325" t="n">
        <v>0</v>
      </c>
      <c r="R1325" s="2" t="inlineStr"/>
    </row>
    <row r="1326" ht="15" customHeight="1">
      <c r="A1326" t="inlineStr">
        <is>
          <t>A 341-2024</t>
        </is>
      </c>
      <c r="B1326" s="1" t="n">
        <v>45295</v>
      </c>
      <c r="C1326" s="1" t="n">
        <v>45807</v>
      </c>
      <c r="D1326" t="inlineStr">
        <is>
          <t>UPPSALA LÄN</t>
        </is>
      </c>
      <c r="E1326" t="inlineStr">
        <is>
          <t>UPPSALA</t>
        </is>
      </c>
      <c r="F1326" t="inlineStr">
        <is>
          <t>Allmännings- och besparingsskogar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358-2024</t>
        </is>
      </c>
      <c r="B1327" s="1" t="n">
        <v>45295</v>
      </c>
      <c r="C1327" s="1" t="n">
        <v>45807</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446-2024</t>
        </is>
      </c>
      <c r="B1328" s="1" t="n">
        <v>45296</v>
      </c>
      <c r="C1328" s="1" t="n">
        <v>45807</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449-2024</t>
        </is>
      </c>
      <c r="B1329" s="1" t="n">
        <v>45296</v>
      </c>
      <c r="C1329" s="1" t="n">
        <v>45807</v>
      </c>
      <c r="D1329" t="inlineStr">
        <is>
          <t>UPPSALA LÄN</t>
        </is>
      </c>
      <c r="E1329" t="inlineStr">
        <is>
          <t>UPPSALA</t>
        </is>
      </c>
      <c r="G1329" t="n">
        <v>1</v>
      </c>
      <c r="H1329" t="n">
        <v>0</v>
      </c>
      <c r="I1329" t="n">
        <v>0</v>
      </c>
      <c r="J1329" t="n">
        <v>0</v>
      </c>
      <c r="K1329" t="n">
        <v>0</v>
      </c>
      <c r="L1329" t="n">
        <v>0</v>
      </c>
      <c r="M1329" t="n">
        <v>0</v>
      </c>
      <c r="N1329" t="n">
        <v>0</v>
      </c>
      <c r="O1329" t="n">
        <v>0</v>
      </c>
      <c r="P1329" t="n">
        <v>0</v>
      </c>
      <c r="Q1329" t="n">
        <v>0</v>
      </c>
      <c r="R1329" s="2" t="inlineStr"/>
      <c r="U1329">
        <f>HYPERLINK("https://klasma.github.io/Logging_0380/knärot/A 449-2024 karta knärot.png", "A 449-2024")</f>
        <v/>
      </c>
      <c r="V1329">
        <f>HYPERLINK("https://klasma.github.io/Logging_0380/klagomål/A 449-2024 FSC-klagomål.docx", "A 449-2024")</f>
        <v/>
      </c>
      <c r="W1329">
        <f>HYPERLINK("https://klasma.github.io/Logging_0380/klagomålsmail/A 449-2024 FSC-klagomål mail.docx", "A 449-2024")</f>
        <v/>
      </c>
      <c r="X1329">
        <f>HYPERLINK("https://klasma.github.io/Logging_0380/tillsyn/A 449-2024 tillsynsbegäran.docx", "A 449-2024")</f>
        <v/>
      </c>
      <c r="Y1329">
        <f>HYPERLINK("https://klasma.github.io/Logging_0380/tillsynsmail/A 449-2024 tillsynsbegäran mail.docx", "A 449-2024")</f>
        <v/>
      </c>
    </row>
    <row r="1330" ht="15" customHeight="1">
      <c r="A1330" t="inlineStr">
        <is>
          <t>A 600-2024</t>
        </is>
      </c>
      <c r="B1330" s="1" t="n">
        <v>45299</v>
      </c>
      <c r="C1330" s="1" t="n">
        <v>45807</v>
      </c>
      <c r="D1330" t="inlineStr">
        <is>
          <t>UPPSALA LÄN</t>
        </is>
      </c>
      <c r="E1330" t="inlineStr">
        <is>
          <t>UPPSALA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787-2024</t>
        </is>
      </c>
      <c r="B1331" s="1" t="n">
        <v>45300</v>
      </c>
      <c r="C1331" s="1" t="n">
        <v>45807</v>
      </c>
      <c r="D1331" t="inlineStr">
        <is>
          <t>UPPSALA LÄN</t>
        </is>
      </c>
      <c r="E1331" t="inlineStr">
        <is>
          <t>UPPSALA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784-2024</t>
        </is>
      </c>
      <c r="B1332" s="1" t="n">
        <v>45300</v>
      </c>
      <c r="C1332" s="1" t="n">
        <v>45807</v>
      </c>
      <c r="D1332" t="inlineStr">
        <is>
          <t>UPPSALA LÄN</t>
        </is>
      </c>
      <c r="E1332" t="inlineStr">
        <is>
          <t>UPPSALA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781-2024</t>
        </is>
      </c>
      <c r="B1333" s="1" t="n">
        <v>45300</v>
      </c>
      <c r="C1333" s="1" t="n">
        <v>45807</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1825-2024</t>
        </is>
      </c>
      <c r="B1334" s="1" t="n">
        <v>45307</v>
      </c>
      <c r="C1334" s="1" t="n">
        <v>45807</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1806-2024</t>
        </is>
      </c>
      <c r="B1335" s="1" t="n">
        <v>45307</v>
      </c>
      <c r="C1335" s="1" t="n">
        <v>45807</v>
      </c>
      <c r="D1335" t="inlineStr">
        <is>
          <t>UPPSALA LÄN</t>
        </is>
      </c>
      <c r="E1335" t="inlineStr">
        <is>
          <t>UPPSALA</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1838-2024</t>
        </is>
      </c>
      <c r="B1336" s="1" t="n">
        <v>45307</v>
      </c>
      <c r="C1336" s="1" t="n">
        <v>45807</v>
      </c>
      <c r="D1336" t="inlineStr">
        <is>
          <t>UPPSALA LÄN</t>
        </is>
      </c>
      <c r="E1336" t="inlineStr">
        <is>
          <t>UPPSALA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1994-2024</t>
        </is>
      </c>
      <c r="B1337" s="1" t="n">
        <v>45308</v>
      </c>
      <c r="C1337" s="1" t="n">
        <v>45807</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2294-2024</t>
        </is>
      </c>
      <c r="B1338" s="1" t="n">
        <v>45310</v>
      </c>
      <c r="C1338" s="1" t="n">
        <v>45807</v>
      </c>
      <c r="D1338" t="inlineStr">
        <is>
          <t>UPPSALA LÄN</t>
        </is>
      </c>
      <c r="E1338" t="inlineStr">
        <is>
          <t>UPPSALA</t>
        </is>
      </c>
      <c r="F1338" t="inlineStr">
        <is>
          <t>Allmännings- och besparingsskogar</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2327-2024</t>
        </is>
      </c>
      <c r="B1339" s="1" t="n">
        <v>45310</v>
      </c>
      <c r="C1339" s="1" t="n">
        <v>45807</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2339-2024</t>
        </is>
      </c>
      <c r="B1340" s="1" t="n">
        <v>45310</v>
      </c>
      <c r="C1340" s="1" t="n">
        <v>45807</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2357-2024</t>
        </is>
      </c>
      <c r="B1341" s="1" t="n">
        <v>45310</v>
      </c>
      <c r="C1341" s="1" t="n">
        <v>45807</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2740-2024</t>
        </is>
      </c>
      <c r="B1342" s="1" t="n">
        <v>45314</v>
      </c>
      <c r="C1342" s="1" t="n">
        <v>45807</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2735-2024</t>
        </is>
      </c>
      <c r="B1343" s="1" t="n">
        <v>45314</v>
      </c>
      <c r="C1343" s="1" t="n">
        <v>45807</v>
      </c>
      <c r="D1343" t="inlineStr">
        <is>
          <t>UPPSALA LÄN</t>
        </is>
      </c>
      <c r="E1343" t="inlineStr">
        <is>
          <t>UPPSALA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2769-2024</t>
        </is>
      </c>
      <c r="B1344" s="1" t="n">
        <v>45314</v>
      </c>
      <c r="C1344" s="1" t="n">
        <v>45807</v>
      </c>
      <c r="D1344" t="inlineStr">
        <is>
          <t>UPPSALA LÄN</t>
        </is>
      </c>
      <c r="E1344" t="inlineStr">
        <is>
          <t>UPPSALA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2785-2024</t>
        </is>
      </c>
      <c r="B1345" s="1" t="n">
        <v>45314</v>
      </c>
      <c r="C1345" s="1" t="n">
        <v>45807</v>
      </c>
      <c r="D1345" t="inlineStr">
        <is>
          <t>UPPSALA LÄN</t>
        </is>
      </c>
      <c r="E1345" t="inlineStr">
        <is>
          <t>UPPSALA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3175-2024</t>
        </is>
      </c>
      <c r="B1346" s="1" t="n">
        <v>45316</v>
      </c>
      <c r="C1346" s="1" t="n">
        <v>45807</v>
      </c>
      <c r="D1346" t="inlineStr">
        <is>
          <t>UPPSALA LÄN</t>
        </is>
      </c>
      <c r="E1346" t="inlineStr">
        <is>
          <t>UPPSALA</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3183-2024</t>
        </is>
      </c>
      <c r="B1347" s="1" t="n">
        <v>45316</v>
      </c>
      <c r="C1347" s="1" t="n">
        <v>45807</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3261-2024</t>
        </is>
      </c>
      <c r="B1348" s="1" t="n">
        <v>45317</v>
      </c>
      <c r="C1348" s="1" t="n">
        <v>45807</v>
      </c>
      <c r="D1348" t="inlineStr">
        <is>
          <t>UPPSALA LÄN</t>
        </is>
      </c>
      <c r="E1348" t="inlineStr">
        <is>
          <t>UPPSALA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3260-2024</t>
        </is>
      </c>
      <c r="B1349" s="1" t="n">
        <v>45317</v>
      </c>
      <c r="C1349" s="1" t="n">
        <v>45807</v>
      </c>
      <c r="D1349" t="inlineStr">
        <is>
          <t>UPPSALA LÄN</t>
        </is>
      </c>
      <c r="E1349" t="inlineStr">
        <is>
          <t>UPPSALA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3813-2024</t>
        </is>
      </c>
      <c r="B1350" s="1" t="n">
        <v>45321</v>
      </c>
      <c r="C1350" s="1" t="n">
        <v>45807</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4065-2024</t>
        </is>
      </c>
      <c r="B1351" s="1" t="n">
        <v>45323</v>
      </c>
      <c r="C1351" s="1" t="n">
        <v>45807</v>
      </c>
      <c r="D1351" t="inlineStr">
        <is>
          <t>UPPSALA LÄN</t>
        </is>
      </c>
      <c r="E1351" t="inlineStr">
        <is>
          <t>UPPSALA</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4216-2024</t>
        </is>
      </c>
      <c r="B1352" s="1" t="n">
        <v>45324</v>
      </c>
      <c r="C1352" s="1" t="n">
        <v>45807</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4412-2024</t>
        </is>
      </c>
      <c r="B1353" s="1" t="n">
        <v>45327</v>
      </c>
      <c r="C1353" s="1" t="n">
        <v>45807</v>
      </c>
      <c r="D1353" t="inlineStr">
        <is>
          <t>UPPSALA LÄN</t>
        </is>
      </c>
      <c r="E1353" t="inlineStr">
        <is>
          <t>UPPSALA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4425-2024</t>
        </is>
      </c>
      <c r="B1354" s="1" t="n">
        <v>45327</v>
      </c>
      <c r="C1354" s="1" t="n">
        <v>45807</v>
      </c>
      <c r="D1354" t="inlineStr">
        <is>
          <t>UPPSALA LÄN</t>
        </is>
      </c>
      <c r="E1354" t="inlineStr">
        <is>
          <t>UPPSALA</t>
        </is>
      </c>
      <c r="F1354" t="inlineStr">
        <is>
          <t>Allmännings- och besparingsskogar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4461-2024</t>
        </is>
      </c>
      <c r="B1355" s="1" t="n">
        <v>45327</v>
      </c>
      <c r="C1355" s="1" t="n">
        <v>45807</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4503-2024</t>
        </is>
      </c>
      <c r="B1356" s="1" t="n">
        <v>45327</v>
      </c>
      <c r="C1356" s="1" t="n">
        <v>45807</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4509-2024</t>
        </is>
      </c>
      <c r="B1357" s="1" t="n">
        <v>45327</v>
      </c>
      <c r="C1357" s="1" t="n">
        <v>45807</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4980-2024</t>
        </is>
      </c>
      <c r="B1358" s="1" t="n">
        <v>45329</v>
      </c>
      <c r="C1358" s="1" t="n">
        <v>45807</v>
      </c>
      <c r="D1358" t="inlineStr">
        <is>
          <t>UPPSALA LÄN</t>
        </is>
      </c>
      <c r="E1358" t="inlineStr">
        <is>
          <t>UPPSALA</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5475-2024</t>
        </is>
      </c>
      <c r="B1359" s="1" t="n">
        <v>45333</v>
      </c>
      <c r="C1359" s="1" t="n">
        <v>45807</v>
      </c>
      <c r="D1359" t="inlineStr">
        <is>
          <t>UPPSALA LÄN</t>
        </is>
      </c>
      <c r="E1359" t="inlineStr">
        <is>
          <t>UPPSALA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5848-2024</t>
        </is>
      </c>
      <c r="B1360" s="1" t="n">
        <v>45335</v>
      </c>
      <c r="C1360" s="1" t="n">
        <v>45807</v>
      </c>
      <c r="D1360" t="inlineStr">
        <is>
          <t>UPPSALA LÄN</t>
        </is>
      </c>
      <c r="E1360" t="inlineStr">
        <is>
          <t>UPPSALA</t>
        </is>
      </c>
      <c r="F1360" t="inlineStr">
        <is>
          <t>Kyrkan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5899-2024</t>
        </is>
      </c>
      <c r="B1361" s="1" t="n">
        <v>45335</v>
      </c>
      <c r="C1361" s="1" t="n">
        <v>45807</v>
      </c>
      <c r="D1361" t="inlineStr">
        <is>
          <t>UPPSALA LÄN</t>
        </is>
      </c>
      <c r="E1361" t="inlineStr">
        <is>
          <t>UPPSALA</t>
        </is>
      </c>
      <c r="F1361" t="inlineStr">
        <is>
          <t>Allmännings- och besparingsskogar</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5876-2024</t>
        </is>
      </c>
      <c r="B1362" s="1" t="n">
        <v>45335</v>
      </c>
      <c r="C1362" s="1" t="n">
        <v>45807</v>
      </c>
      <c r="D1362" t="inlineStr">
        <is>
          <t>UPPSALA LÄN</t>
        </is>
      </c>
      <c r="E1362" t="inlineStr">
        <is>
          <t>UPPSALA</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5896-2024</t>
        </is>
      </c>
      <c r="B1363" s="1" t="n">
        <v>45335</v>
      </c>
      <c r="C1363" s="1" t="n">
        <v>45807</v>
      </c>
      <c r="D1363" t="inlineStr">
        <is>
          <t>UPPSALA LÄN</t>
        </is>
      </c>
      <c r="E1363" t="inlineStr">
        <is>
          <t>UPPSALA</t>
        </is>
      </c>
      <c r="F1363" t="inlineStr">
        <is>
          <t>Allmännings- och besparingsskogar</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5974-2024</t>
        </is>
      </c>
      <c r="B1364" s="1" t="n">
        <v>45336</v>
      </c>
      <c r="C1364" s="1" t="n">
        <v>45807</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5975-2024</t>
        </is>
      </c>
      <c r="B1365" s="1" t="n">
        <v>45336</v>
      </c>
      <c r="C1365" s="1" t="n">
        <v>45807</v>
      </c>
      <c r="D1365" t="inlineStr">
        <is>
          <t>UPPSALA LÄN</t>
        </is>
      </c>
      <c r="E1365" t="inlineStr">
        <is>
          <t>UPPSALA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6024-2024</t>
        </is>
      </c>
      <c r="B1366" s="1" t="n">
        <v>45336</v>
      </c>
      <c r="C1366" s="1" t="n">
        <v>45807</v>
      </c>
      <c r="D1366" t="inlineStr">
        <is>
          <t>UPPSALA LÄN</t>
        </is>
      </c>
      <c r="E1366" t="inlineStr">
        <is>
          <t>UPPSALA</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6199-2024</t>
        </is>
      </c>
      <c r="B1367" s="1" t="n">
        <v>45337</v>
      </c>
      <c r="C1367" s="1" t="n">
        <v>45807</v>
      </c>
      <c r="D1367" t="inlineStr">
        <is>
          <t>UPPSALA LÄN</t>
        </is>
      </c>
      <c r="E1367" t="inlineStr">
        <is>
          <t>UPPSALA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6211-2024</t>
        </is>
      </c>
      <c r="B1368" s="1" t="n">
        <v>45337</v>
      </c>
      <c r="C1368" s="1" t="n">
        <v>45807</v>
      </c>
      <c r="D1368" t="inlineStr">
        <is>
          <t>UPPSALA LÄN</t>
        </is>
      </c>
      <c r="E1368" t="inlineStr">
        <is>
          <t>UPPSALA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6098-2024</t>
        </is>
      </c>
      <c r="B1369" s="1" t="n">
        <v>45337</v>
      </c>
      <c r="C1369" s="1" t="n">
        <v>45807</v>
      </c>
      <c r="D1369" t="inlineStr">
        <is>
          <t>UPPSALA LÄN</t>
        </is>
      </c>
      <c r="E1369" t="inlineStr">
        <is>
          <t>UPPSALA</t>
        </is>
      </c>
      <c r="F1369" t="inlineStr">
        <is>
          <t>Övriga Aktiebolag</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6363-2024</t>
        </is>
      </c>
      <c r="B1370" s="1" t="n">
        <v>45338</v>
      </c>
      <c r="C1370" s="1" t="n">
        <v>45807</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6501-2024</t>
        </is>
      </c>
      <c r="B1371" s="1" t="n">
        <v>45339</v>
      </c>
      <c r="C1371" s="1" t="n">
        <v>45807</v>
      </c>
      <c r="D1371" t="inlineStr">
        <is>
          <t>UPPSALA LÄN</t>
        </is>
      </c>
      <c r="E1371" t="inlineStr">
        <is>
          <t>UPPSALA</t>
        </is>
      </c>
      <c r="F1371" t="inlineStr">
        <is>
          <t>Bergvik skog öst AB</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6506-2024</t>
        </is>
      </c>
      <c r="B1372" s="1" t="n">
        <v>45339</v>
      </c>
      <c r="C1372" s="1" t="n">
        <v>45807</v>
      </c>
      <c r="D1372" t="inlineStr">
        <is>
          <t>UPPSALA LÄN</t>
        </is>
      </c>
      <c r="E1372" t="inlineStr">
        <is>
          <t>UPPSALA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6505-2024</t>
        </is>
      </c>
      <c r="B1373" s="1" t="n">
        <v>45339</v>
      </c>
      <c r="C1373" s="1" t="n">
        <v>45807</v>
      </c>
      <c r="D1373" t="inlineStr">
        <is>
          <t>UPPSALA LÄN</t>
        </is>
      </c>
      <c r="E1373" t="inlineStr">
        <is>
          <t>UPPSALA</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6500-2024</t>
        </is>
      </c>
      <c r="B1374" s="1" t="n">
        <v>45339</v>
      </c>
      <c r="C1374" s="1" t="n">
        <v>45807</v>
      </c>
      <c r="D1374" t="inlineStr">
        <is>
          <t>UPPSALA LÄN</t>
        </is>
      </c>
      <c r="E1374" t="inlineStr">
        <is>
          <t>UPPSALA</t>
        </is>
      </c>
      <c r="F1374" t="inlineStr">
        <is>
          <t>Bergvik skog öst AB</t>
        </is>
      </c>
      <c r="G1374" t="n">
        <v>23.7</v>
      </c>
      <c r="H1374" t="n">
        <v>0</v>
      </c>
      <c r="I1374" t="n">
        <v>0</v>
      </c>
      <c r="J1374" t="n">
        <v>0</v>
      </c>
      <c r="K1374" t="n">
        <v>0</v>
      </c>
      <c r="L1374" t="n">
        <v>0</v>
      </c>
      <c r="M1374" t="n">
        <v>0</v>
      </c>
      <c r="N1374" t="n">
        <v>0</v>
      </c>
      <c r="O1374" t="n">
        <v>0</v>
      </c>
      <c r="P1374" t="n">
        <v>0</v>
      </c>
      <c r="Q1374" t="n">
        <v>0</v>
      </c>
      <c r="R1374" s="2" t="inlineStr"/>
    </row>
    <row r="1375" ht="15" customHeight="1">
      <c r="A1375" t="inlineStr">
        <is>
          <t>A 6504-2024</t>
        </is>
      </c>
      <c r="B1375" s="1" t="n">
        <v>45339</v>
      </c>
      <c r="C1375" s="1" t="n">
        <v>45807</v>
      </c>
      <c r="D1375" t="inlineStr">
        <is>
          <t>UPPSALA LÄN</t>
        </is>
      </c>
      <c r="E1375" t="inlineStr">
        <is>
          <t>UPPSALA</t>
        </is>
      </c>
      <c r="F1375" t="inlineStr">
        <is>
          <t>Bergvik skog öst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6503-2024</t>
        </is>
      </c>
      <c r="B1376" s="1" t="n">
        <v>45339</v>
      </c>
      <c r="C1376" s="1" t="n">
        <v>45807</v>
      </c>
      <c r="D1376" t="inlineStr">
        <is>
          <t>UPPSALA LÄN</t>
        </is>
      </c>
      <c r="E1376" t="inlineStr">
        <is>
          <t>UPPSALA</t>
        </is>
      </c>
      <c r="F1376" t="inlineStr">
        <is>
          <t>Bergvik skog öst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6507-2024</t>
        </is>
      </c>
      <c r="B1377" s="1" t="n">
        <v>45339</v>
      </c>
      <c r="C1377" s="1" t="n">
        <v>45807</v>
      </c>
      <c r="D1377" t="inlineStr">
        <is>
          <t>UPPSALA LÄN</t>
        </is>
      </c>
      <c r="E1377" t="inlineStr">
        <is>
          <t>UPPSALA</t>
        </is>
      </c>
      <c r="F1377" t="inlineStr">
        <is>
          <t>Bergvik skog öst AB</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6628-2024</t>
        </is>
      </c>
      <c r="B1378" s="1" t="n">
        <v>45341</v>
      </c>
      <c r="C1378" s="1" t="n">
        <v>45807</v>
      </c>
      <c r="D1378" t="inlineStr">
        <is>
          <t>UPPSALA LÄN</t>
        </is>
      </c>
      <c r="E1378" t="inlineStr">
        <is>
          <t>UPPSALA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6630-2024</t>
        </is>
      </c>
      <c r="B1379" s="1" t="n">
        <v>45341</v>
      </c>
      <c r="C1379" s="1" t="n">
        <v>45807</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6650-2024</t>
        </is>
      </c>
      <c r="B1380" s="1" t="n">
        <v>45341</v>
      </c>
      <c r="C1380" s="1" t="n">
        <v>45807</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6676-2024</t>
        </is>
      </c>
      <c r="B1381" s="1" t="n">
        <v>45341</v>
      </c>
      <c r="C1381" s="1" t="n">
        <v>45807</v>
      </c>
      <c r="D1381" t="inlineStr">
        <is>
          <t>UPPSALA LÄN</t>
        </is>
      </c>
      <c r="E1381" t="inlineStr">
        <is>
          <t>UPPSALA</t>
        </is>
      </c>
      <c r="F1381" t="inlineStr">
        <is>
          <t>Bergvik skog öst AB</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6609-2024</t>
        </is>
      </c>
      <c r="B1382" s="1" t="n">
        <v>45341</v>
      </c>
      <c r="C1382" s="1" t="n">
        <v>45807</v>
      </c>
      <c r="D1382" t="inlineStr">
        <is>
          <t>UPPSALA LÄN</t>
        </is>
      </c>
      <c r="E1382" t="inlineStr">
        <is>
          <t>UPPSALA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6679-2024</t>
        </is>
      </c>
      <c r="B1383" s="1" t="n">
        <v>45341</v>
      </c>
      <c r="C1383" s="1" t="n">
        <v>45807</v>
      </c>
      <c r="D1383" t="inlineStr">
        <is>
          <t>UPPSALA LÄN</t>
        </is>
      </c>
      <c r="E1383" t="inlineStr">
        <is>
          <t>UPPSALA</t>
        </is>
      </c>
      <c r="F1383" t="inlineStr">
        <is>
          <t>Bergvik skog öst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6677-2024</t>
        </is>
      </c>
      <c r="B1384" s="1" t="n">
        <v>45341</v>
      </c>
      <c r="C1384" s="1" t="n">
        <v>45807</v>
      </c>
      <c r="D1384" t="inlineStr">
        <is>
          <t>UPPSALA LÄN</t>
        </is>
      </c>
      <c r="E1384" t="inlineStr">
        <is>
          <t>UPPSALA</t>
        </is>
      </c>
      <c r="F1384" t="inlineStr">
        <is>
          <t>Bergvik skog öst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6678-2024</t>
        </is>
      </c>
      <c r="B1385" s="1" t="n">
        <v>45341</v>
      </c>
      <c r="C1385" s="1" t="n">
        <v>45807</v>
      </c>
      <c r="D1385" t="inlineStr">
        <is>
          <t>UPPSALA LÄN</t>
        </is>
      </c>
      <c r="E1385" t="inlineStr">
        <is>
          <t>UPPSALA</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6966-2024</t>
        </is>
      </c>
      <c r="B1386" s="1" t="n">
        <v>45343</v>
      </c>
      <c r="C1386" s="1" t="n">
        <v>45807</v>
      </c>
      <c r="D1386" t="inlineStr">
        <is>
          <t>UPPSALA LÄN</t>
        </is>
      </c>
      <c r="E1386" t="inlineStr">
        <is>
          <t>UPPSALA</t>
        </is>
      </c>
      <c r="F1386" t="inlineStr">
        <is>
          <t>Holmen skog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7253-2024</t>
        </is>
      </c>
      <c r="B1387" s="1" t="n">
        <v>45344</v>
      </c>
      <c r="C1387" s="1" t="n">
        <v>45807</v>
      </c>
      <c r="D1387" t="inlineStr">
        <is>
          <t>UPPSALA LÄN</t>
        </is>
      </c>
      <c r="E1387" t="inlineStr">
        <is>
          <t>UPPSALA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7158-2024</t>
        </is>
      </c>
      <c r="B1388" s="1" t="n">
        <v>45344</v>
      </c>
      <c r="C1388" s="1" t="n">
        <v>45807</v>
      </c>
      <c r="D1388" t="inlineStr">
        <is>
          <t>UPPSALA LÄN</t>
        </is>
      </c>
      <c r="E1388" t="inlineStr">
        <is>
          <t>UPPSALA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7175-2024</t>
        </is>
      </c>
      <c r="B1389" s="1" t="n">
        <v>45344</v>
      </c>
      <c r="C1389" s="1" t="n">
        <v>45807</v>
      </c>
      <c r="D1389" t="inlineStr">
        <is>
          <t>UPPSALA LÄN</t>
        </is>
      </c>
      <c r="E1389" t="inlineStr">
        <is>
          <t>UPPSALA</t>
        </is>
      </c>
      <c r="F1389" t="inlineStr">
        <is>
          <t>Kyrkan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7275-2024</t>
        </is>
      </c>
      <c r="B1390" s="1" t="n">
        <v>45344</v>
      </c>
      <c r="C1390" s="1" t="n">
        <v>45807</v>
      </c>
      <c r="D1390" t="inlineStr">
        <is>
          <t>UPPSALA LÄN</t>
        </is>
      </c>
      <c r="E1390" t="inlineStr">
        <is>
          <t>UPPSALA</t>
        </is>
      </c>
      <c r="F1390" t="inlineStr">
        <is>
          <t>Bergvik skog öst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7226-2024</t>
        </is>
      </c>
      <c r="B1391" s="1" t="n">
        <v>45344</v>
      </c>
      <c r="C1391" s="1" t="n">
        <v>45807</v>
      </c>
      <c r="D1391" t="inlineStr">
        <is>
          <t>UPPSALA LÄN</t>
        </is>
      </c>
      <c r="E1391" t="inlineStr">
        <is>
          <t>UPPSALA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7274-2024</t>
        </is>
      </c>
      <c r="B1392" s="1" t="n">
        <v>45344</v>
      </c>
      <c r="C1392" s="1" t="n">
        <v>45807</v>
      </c>
      <c r="D1392" t="inlineStr">
        <is>
          <t>UPPSALA LÄN</t>
        </is>
      </c>
      <c r="E1392" t="inlineStr">
        <is>
          <t>UPPSALA</t>
        </is>
      </c>
      <c r="F1392" t="inlineStr">
        <is>
          <t>Bergvik skog öst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7278-2024</t>
        </is>
      </c>
      <c r="B1393" s="1" t="n">
        <v>45344</v>
      </c>
      <c r="C1393" s="1" t="n">
        <v>45807</v>
      </c>
      <c r="D1393" t="inlineStr">
        <is>
          <t>UPPSALA LÄN</t>
        </is>
      </c>
      <c r="E1393" t="inlineStr">
        <is>
          <t>UPPSALA</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7276-2024</t>
        </is>
      </c>
      <c r="B1394" s="1" t="n">
        <v>45344</v>
      </c>
      <c r="C1394" s="1" t="n">
        <v>45807</v>
      </c>
      <c r="D1394" t="inlineStr">
        <is>
          <t>UPPSALA LÄN</t>
        </is>
      </c>
      <c r="E1394" t="inlineStr">
        <is>
          <t>UPPSALA</t>
        </is>
      </c>
      <c r="F1394" t="inlineStr">
        <is>
          <t>Bergvik skog öst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7389-2024</t>
        </is>
      </c>
      <c r="B1395" s="1" t="n">
        <v>45345</v>
      </c>
      <c r="C1395" s="1" t="n">
        <v>45807</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7390-2024</t>
        </is>
      </c>
      <c r="B1396" s="1" t="n">
        <v>45345</v>
      </c>
      <c r="C1396" s="1" t="n">
        <v>45807</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7400-2024</t>
        </is>
      </c>
      <c r="B1397" s="1" t="n">
        <v>45345</v>
      </c>
      <c r="C1397" s="1" t="n">
        <v>45807</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7388-2024</t>
        </is>
      </c>
      <c r="B1398" s="1" t="n">
        <v>45345</v>
      </c>
      <c r="C1398" s="1" t="n">
        <v>45807</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7407-2024</t>
        </is>
      </c>
      <c r="B1399" s="1" t="n">
        <v>45345</v>
      </c>
      <c r="C1399" s="1" t="n">
        <v>45807</v>
      </c>
      <c r="D1399" t="inlineStr">
        <is>
          <t>UPPSALA LÄN</t>
        </is>
      </c>
      <c r="E1399" t="inlineStr">
        <is>
          <t>UPPSALA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7403-2024</t>
        </is>
      </c>
      <c r="B1400" s="1" t="n">
        <v>45345</v>
      </c>
      <c r="C1400" s="1" t="n">
        <v>45807</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7649-2024</t>
        </is>
      </c>
      <c r="B1401" s="1" t="n">
        <v>45348</v>
      </c>
      <c r="C1401" s="1" t="n">
        <v>45807</v>
      </c>
      <c r="D1401" t="inlineStr">
        <is>
          <t>UPPSALA LÄN</t>
        </is>
      </c>
      <c r="E1401" t="inlineStr">
        <is>
          <t>UPPSALA</t>
        </is>
      </c>
      <c r="F1401" t="inlineStr">
        <is>
          <t>Kyrkan</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7654-2024</t>
        </is>
      </c>
      <c r="B1402" s="1" t="n">
        <v>45348</v>
      </c>
      <c r="C1402" s="1" t="n">
        <v>45807</v>
      </c>
      <c r="D1402" t="inlineStr">
        <is>
          <t>UPPSALA LÄN</t>
        </is>
      </c>
      <c r="E1402" t="inlineStr">
        <is>
          <t>UPPSALA</t>
        </is>
      </c>
      <c r="F1402" t="inlineStr">
        <is>
          <t>Kyrkan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7732-2024</t>
        </is>
      </c>
      <c r="B1403" s="1" t="n">
        <v>45349</v>
      </c>
      <c r="C1403" s="1" t="n">
        <v>45807</v>
      </c>
      <c r="D1403" t="inlineStr">
        <is>
          <t>UPPSALA LÄN</t>
        </is>
      </c>
      <c r="E1403" t="inlineStr">
        <is>
          <t>UPPSALA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7727-2024</t>
        </is>
      </c>
      <c r="B1404" s="1" t="n">
        <v>45349</v>
      </c>
      <c r="C1404" s="1" t="n">
        <v>45807</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7750-2024</t>
        </is>
      </c>
      <c r="B1405" s="1" t="n">
        <v>45349</v>
      </c>
      <c r="C1405" s="1" t="n">
        <v>45807</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7974-2024</t>
        </is>
      </c>
      <c r="B1406" s="1" t="n">
        <v>45350</v>
      </c>
      <c r="C1406" s="1" t="n">
        <v>45807</v>
      </c>
      <c r="D1406" t="inlineStr">
        <is>
          <t>UPPSALA LÄN</t>
        </is>
      </c>
      <c r="E1406" t="inlineStr">
        <is>
          <t>UPPSALA</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8132-2024</t>
        </is>
      </c>
      <c r="B1407" s="1" t="n">
        <v>45351</v>
      </c>
      <c r="C1407" s="1" t="n">
        <v>45807</v>
      </c>
      <c r="D1407" t="inlineStr">
        <is>
          <t>UPPSALA LÄN</t>
        </is>
      </c>
      <c r="E1407" t="inlineStr">
        <is>
          <t>UPPSALA</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8109-2024</t>
        </is>
      </c>
      <c r="B1408" s="1" t="n">
        <v>45351</v>
      </c>
      <c r="C1408" s="1" t="n">
        <v>45807</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8672-2024</t>
        </is>
      </c>
      <c r="B1409" s="1" t="n">
        <v>45352</v>
      </c>
      <c r="C1409" s="1" t="n">
        <v>45807</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8338-2024</t>
        </is>
      </c>
      <c r="B1410" s="1" t="n">
        <v>45352</v>
      </c>
      <c r="C1410" s="1" t="n">
        <v>45807</v>
      </c>
      <c r="D1410" t="inlineStr">
        <is>
          <t>UPPSALA LÄN</t>
        </is>
      </c>
      <c r="E1410" t="inlineStr">
        <is>
          <t>UPPSALA</t>
        </is>
      </c>
      <c r="F1410" t="inlineStr">
        <is>
          <t>Kyrkan</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9235-2024</t>
        </is>
      </c>
      <c r="B1411" s="1" t="n">
        <v>45357</v>
      </c>
      <c r="C1411" s="1" t="n">
        <v>45807</v>
      </c>
      <c r="D1411" t="inlineStr">
        <is>
          <t>UPPSALA LÄN</t>
        </is>
      </c>
      <c r="E1411" t="inlineStr">
        <is>
          <t>UPPSALA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9201-2024</t>
        </is>
      </c>
      <c r="B1412" s="1" t="n">
        <v>45358</v>
      </c>
      <c r="C1412" s="1" t="n">
        <v>45807</v>
      </c>
      <c r="D1412" t="inlineStr">
        <is>
          <t>UPPSALA LÄN</t>
        </is>
      </c>
      <c r="E1412" t="inlineStr">
        <is>
          <t>UPPSALA</t>
        </is>
      </c>
      <c r="F1412" t="inlineStr">
        <is>
          <t>Allmännings- och besparingsskogar</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9195-2024</t>
        </is>
      </c>
      <c r="B1413" s="1" t="n">
        <v>45358</v>
      </c>
      <c r="C1413" s="1" t="n">
        <v>45807</v>
      </c>
      <c r="D1413" t="inlineStr">
        <is>
          <t>UPPSALA LÄN</t>
        </is>
      </c>
      <c r="E1413" t="inlineStr">
        <is>
          <t>UPPSALA</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9255-2024</t>
        </is>
      </c>
      <c r="B1414" s="1" t="n">
        <v>45358</v>
      </c>
      <c r="C1414" s="1" t="n">
        <v>45807</v>
      </c>
      <c r="D1414" t="inlineStr">
        <is>
          <t>UPPSALA LÄN</t>
        </is>
      </c>
      <c r="E1414" t="inlineStr">
        <is>
          <t>UPPSALA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9428-2024</t>
        </is>
      </c>
      <c r="B1415" s="1" t="n">
        <v>45359</v>
      </c>
      <c r="C1415" s="1" t="n">
        <v>45807</v>
      </c>
      <c r="D1415" t="inlineStr">
        <is>
          <t>UPPSALA LÄN</t>
        </is>
      </c>
      <c r="E1415" t="inlineStr">
        <is>
          <t>UPPSALA</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9453-2024</t>
        </is>
      </c>
      <c r="B1416" s="1" t="n">
        <v>45359</v>
      </c>
      <c r="C1416" s="1" t="n">
        <v>45807</v>
      </c>
      <c r="D1416" t="inlineStr">
        <is>
          <t>UPPSALA LÄN</t>
        </is>
      </c>
      <c r="E1416" t="inlineStr">
        <is>
          <t>UPPSALA</t>
        </is>
      </c>
      <c r="F1416" t="inlineStr">
        <is>
          <t>Bergvik skog öst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9608-2024</t>
        </is>
      </c>
      <c r="B1417" s="1" t="n">
        <v>45361</v>
      </c>
      <c r="C1417" s="1" t="n">
        <v>45807</v>
      </c>
      <c r="D1417" t="inlineStr">
        <is>
          <t>UPPSALA LÄN</t>
        </is>
      </c>
      <c r="E1417" t="inlineStr">
        <is>
          <t>UPPSALA</t>
        </is>
      </c>
      <c r="F1417" t="inlineStr">
        <is>
          <t>Bergvik skog öst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9609-2024</t>
        </is>
      </c>
      <c r="B1418" s="1" t="n">
        <v>45361</v>
      </c>
      <c r="C1418" s="1" t="n">
        <v>45807</v>
      </c>
      <c r="D1418" t="inlineStr">
        <is>
          <t>UPPSALA LÄN</t>
        </is>
      </c>
      <c r="E1418" t="inlineStr">
        <is>
          <t>UPPSALA</t>
        </is>
      </c>
      <c r="F1418" t="inlineStr">
        <is>
          <t>Bergvik skog öst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9610-2024</t>
        </is>
      </c>
      <c r="B1419" s="1" t="n">
        <v>45361</v>
      </c>
      <c r="C1419" s="1" t="n">
        <v>45807</v>
      </c>
      <c r="D1419" t="inlineStr">
        <is>
          <t>UPPSALA LÄN</t>
        </is>
      </c>
      <c r="E1419" t="inlineStr">
        <is>
          <t>UPPSALA</t>
        </is>
      </c>
      <c r="F1419" t="inlineStr">
        <is>
          <t>Bergvik skog öst AB</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9625-2024</t>
        </is>
      </c>
      <c r="B1420" s="1" t="n">
        <v>45361</v>
      </c>
      <c r="C1420" s="1" t="n">
        <v>45807</v>
      </c>
      <c r="D1420" t="inlineStr">
        <is>
          <t>UPPSALA LÄN</t>
        </is>
      </c>
      <c r="E1420" t="inlineStr">
        <is>
          <t>UPPSALA</t>
        </is>
      </c>
      <c r="F1420" t="inlineStr">
        <is>
          <t>Bergvik skog öst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9611-2024</t>
        </is>
      </c>
      <c r="B1421" s="1" t="n">
        <v>45361</v>
      </c>
      <c r="C1421" s="1" t="n">
        <v>45807</v>
      </c>
      <c r="D1421" t="inlineStr">
        <is>
          <t>UPPSALA LÄN</t>
        </is>
      </c>
      <c r="E1421" t="inlineStr">
        <is>
          <t>UPPSALA</t>
        </is>
      </c>
      <c r="F1421" t="inlineStr">
        <is>
          <t>Bergvik skog öst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9735-2024</t>
        </is>
      </c>
      <c r="B1422" s="1" t="n">
        <v>45362</v>
      </c>
      <c r="C1422" s="1" t="n">
        <v>45807</v>
      </c>
      <c r="D1422" t="inlineStr">
        <is>
          <t>UPPSALA LÄN</t>
        </is>
      </c>
      <c r="E1422" t="inlineStr">
        <is>
          <t>UPPSALA</t>
        </is>
      </c>
      <c r="F1422" t="inlineStr">
        <is>
          <t>Bergvik skog öst AB</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9675-2024</t>
        </is>
      </c>
      <c r="B1423" s="1" t="n">
        <v>45362</v>
      </c>
      <c r="C1423" s="1" t="n">
        <v>45807</v>
      </c>
      <c r="D1423" t="inlineStr">
        <is>
          <t>UPPSALA LÄN</t>
        </is>
      </c>
      <c r="E1423" t="inlineStr">
        <is>
          <t>UPPSALA</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9914-2024</t>
        </is>
      </c>
      <c r="B1424" s="1" t="n">
        <v>45363</v>
      </c>
      <c r="C1424" s="1" t="n">
        <v>45807</v>
      </c>
      <c r="D1424" t="inlineStr">
        <is>
          <t>UPPSALA LÄN</t>
        </is>
      </c>
      <c r="E1424" t="inlineStr">
        <is>
          <t>UPPSALA</t>
        </is>
      </c>
      <c r="F1424" t="inlineStr">
        <is>
          <t>Bergvik skog väst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9917-2024</t>
        </is>
      </c>
      <c r="B1425" s="1" t="n">
        <v>45363</v>
      </c>
      <c r="C1425" s="1" t="n">
        <v>45807</v>
      </c>
      <c r="D1425" t="inlineStr">
        <is>
          <t>UPPSALA LÄN</t>
        </is>
      </c>
      <c r="E1425" t="inlineStr">
        <is>
          <t>UPPSALA</t>
        </is>
      </c>
      <c r="F1425" t="inlineStr">
        <is>
          <t>Bergvik skog väst AB</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10086-2024</t>
        </is>
      </c>
      <c r="B1426" s="1" t="n">
        <v>45364</v>
      </c>
      <c r="C1426" s="1" t="n">
        <v>45807</v>
      </c>
      <c r="D1426" t="inlineStr">
        <is>
          <t>UPPSALA LÄN</t>
        </is>
      </c>
      <c r="E1426" t="inlineStr">
        <is>
          <t>UPPSALA</t>
        </is>
      </c>
      <c r="F1426" t="inlineStr">
        <is>
          <t>Bergvik skog öst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10146-2024</t>
        </is>
      </c>
      <c r="B1427" s="1" t="n">
        <v>45364</v>
      </c>
      <c r="C1427" s="1" t="n">
        <v>45807</v>
      </c>
      <c r="D1427" t="inlineStr">
        <is>
          <t>UPPSALA LÄN</t>
        </is>
      </c>
      <c r="E1427" t="inlineStr">
        <is>
          <t>UPPSALA</t>
        </is>
      </c>
      <c r="F1427" t="inlineStr">
        <is>
          <t>Bergvik skog öst AB</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10477-2024</t>
        </is>
      </c>
      <c r="B1428" s="1" t="n">
        <v>45366</v>
      </c>
      <c r="C1428" s="1" t="n">
        <v>45807</v>
      </c>
      <c r="D1428" t="inlineStr">
        <is>
          <t>UPPSALA LÄN</t>
        </is>
      </c>
      <c r="E1428" t="inlineStr">
        <is>
          <t>UPPSALA</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10474-2024</t>
        </is>
      </c>
      <c r="B1429" s="1" t="n">
        <v>45366</v>
      </c>
      <c r="C1429" s="1" t="n">
        <v>45807</v>
      </c>
      <c r="D1429" t="inlineStr">
        <is>
          <t>UPPSALA LÄN</t>
        </is>
      </c>
      <c r="E1429" t="inlineStr">
        <is>
          <t>UPPSALA</t>
        </is>
      </c>
      <c r="F1429" t="inlineStr">
        <is>
          <t>Holmen skog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10650-2024</t>
        </is>
      </c>
      <c r="B1430" s="1" t="n">
        <v>45368</v>
      </c>
      <c r="C1430" s="1" t="n">
        <v>45807</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10651-2024</t>
        </is>
      </c>
      <c r="B1431" s="1" t="n">
        <v>45368</v>
      </c>
      <c r="C1431" s="1" t="n">
        <v>45807</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10653-2024</t>
        </is>
      </c>
      <c r="B1432" s="1" t="n">
        <v>45368</v>
      </c>
      <c r="C1432" s="1" t="n">
        <v>45807</v>
      </c>
      <c r="D1432" t="inlineStr">
        <is>
          <t>UPPSALA LÄN</t>
        </is>
      </c>
      <c r="E1432" t="inlineStr">
        <is>
          <t>UPPSALA</t>
        </is>
      </c>
      <c r="F1432" t="inlineStr">
        <is>
          <t>Bergvik skog öst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10652-2024</t>
        </is>
      </c>
      <c r="B1433" s="1" t="n">
        <v>45368</v>
      </c>
      <c r="C1433" s="1" t="n">
        <v>45807</v>
      </c>
      <c r="D1433" t="inlineStr">
        <is>
          <t>UPPSALA LÄN</t>
        </is>
      </c>
      <c r="E1433" t="inlineStr">
        <is>
          <t>UPPSALA</t>
        </is>
      </c>
      <c r="F1433" t="inlineStr">
        <is>
          <t>Bergvik skog öst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10827-2024</t>
        </is>
      </c>
      <c r="B1434" s="1" t="n">
        <v>45369</v>
      </c>
      <c r="C1434" s="1" t="n">
        <v>45807</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10782-2024</t>
        </is>
      </c>
      <c r="B1435" s="1" t="n">
        <v>45369</v>
      </c>
      <c r="C1435" s="1" t="n">
        <v>45807</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11169-2024</t>
        </is>
      </c>
      <c r="B1436" s="1" t="n">
        <v>45371</v>
      </c>
      <c r="C1436" s="1" t="n">
        <v>45807</v>
      </c>
      <c r="D1436" t="inlineStr">
        <is>
          <t>UPPSALA LÄN</t>
        </is>
      </c>
      <c r="E1436" t="inlineStr">
        <is>
          <t>UPPSALA</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11173-2024</t>
        </is>
      </c>
      <c r="B1437" s="1" t="n">
        <v>45371</v>
      </c>
      <c r="C1437" s="1" t="n">
        <v>45807</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11159-2024</t>
        </is>
      </c>
      <c r="B1438" s="1" t="n">
        <v>45371</v>
      </c>
      <c r="C1438" s="1" t="n">
        <v>45807</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11191-2024</t>
        </is>
      </c>
      <c r="B1439" s="1" t="n">
        <v>45371</v>
      </c>
      <c r="C1439" s="1" t="n">
        <v>45807</v>
      </c>
      <c r="D1439" t="inlineStr">
        <is>
          <t>UPPSALA LÄN</t>
        </is>
      </c>
      <c r="E1439" t="inlineStr">
        <is>
          <t>UPPSALA</t>
        </is>
      </c>
      <c r="F1439" t="inlineStr">
        <is>
          <t>Allmännings- och besparingsskogar</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11166-2024</t>
        </is>
      </c>
      <c r="B1440" s="1" t="n">
        <v>45371</v>
      </c>
      <c r="C1440" s="1" t="n">
        <v>45807</v>
      </c>
      <c r="D1440" t="inlineStr">
        <is>
          <t>UPPSALA LÄN</t>
        </is>
      </c>
      <c r="E1440" t="inlineStr">
        <is>
          <t>UPPSALA</t>
        </is>
      </c>
      <c r="F1440" t="inlineStr">
        <is>
          <t>Bergvik skog öst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11201-2024</t>
        </is>
      </c>
      <c r="B1441" s="1" t="n">
        <v>45371</v>
      </c>
      <c r="C1441" s="1" t="n">
        <v>45807</v>
      </c>
      <c r="D1441" t="inlineStr">
        <is>
          <t>UPPSALA LÄN</t>
        </is>
      </c>
      <c r="E1441" t="inlineStr">
        <is>
          <t>UPPSALA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11277-2024</t>
        </is>
      </c>
      <c r="B1442" s="1" t="n">
        <v>45371</v>
      </c>
      <c r="C1442" s="1" t="n">
        <v>45807</v>
      </c>
      <c r="D1442" t="inlineStr">
        <is>
          <t>UPPSALA LÄN</t>
        </is>
      </c>
      <c r="E1442" t="inlineStr">
        <is>
          <t>UPPSALA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11289-2024</t>
        </is>
      </c>
      <c r="B1443" s="1" t="n">
        <v>45371</v>
      </c>
      <c r="C1443" s="1" t="n">
        <v>45807</v>
      </c>
      <c r="D1443" t="inlineStr">
        <is>
          <t>UPPSALA LÄN</t>
        </is>
      </c>
      <c r="E1443" t="inlineStr">
        <is>
          <t>UPPSALA</t>
        </is>
      </c>
      <c r="F1443" t="inlineStr">
        <is>
          <t>Allmännings- och besparingsskogar</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11200-2024</t>
        </is>
      </c>
      <c r="B1444" s="1" t="n">
        <v>45371</v>
      </c>
      <c r="C1444" s="1" t="n">
        <v>45807</v>
      </c>
      <c r="D1444" t="inlineStr">
        <is>
          <t>UPPSALA LÄN</t>
        </is>
      </c>
      <c r="E1444" t="inlineStr">
        <is>
          <t>UPPSALA</t>
        </is>
      </c>
      <c r="F1444" t="inlineStr">
        <is>
          <t>Allmännings- och besparingsskogar</t>
        </is>
      </c>
      <c r="G1444" t="n">
        <v>22.8</v>
      </c>
      <c r="H1444" t="n">
        <v>0</v>
      </c>
      <c r="I1444" t="n">
        <v>0</v>
      </c>
      <c r="J1444" t="n">
        <v>0</v>
      </c>
      <c r="K1444" t="n">
        <v>0</v>
      </c>
      <c r="L1444" t="n">
        <v>0</v>
      </c>
      <c r="M1444" t="n">
        <v>0</v>
      </c>
      <c r="N1444" t="n">
        <v>0</v>
      </c>
      <c r="O1444" t="n">
        <v>0</v>
      </c>
      <c r="P1444" t="n">
        <v>0</v>
      </c>
      <c r="Q1444" t="n">
        <v>0</v>
      </c>
      <c r="R1444" s="2" t="inlineStr"/>
    </row>
    <row r="1445" ht="15" customHeight="1">
      <c r="A1445" t="inlineStr">
        <is>
          <t>A 11260-2024</t>
        </is>
      </c>
      <c r="B1445" s="1" t="n">
        <v>45371</v>
      </c>
      <c r="C1445" s="1" t="n">
        <v>45807</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11457-2024</t>
        </is>
      </c>
      <c r="B1446" s="1" t="n">
        <v>45372</v>
      </c>
      <c r="C1446" s="1" t="n">
        <v>45807</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11677-2024</t>
        </is>
      </c>
      <c r="B1447" s="1" t="n">
        <v>45373</v>
      </c>
      <c r="C1447" s="1" t="n">
        <v>45807</v>
      </c>
      <c r="D1447" t="inlineStr">
        <is>
          <t>UPPSALA LÄN</t>
        </is>
      </c>
      <c r="E1447" t="inlineStr">
        <is>
          <t>UPPSALA</t>
        </is>
      </c>
      <c r="F1447" t="inlineStr">
        <is>
          <t>Holmen skog AB</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11719-2024</t>
        </is>
      </c>
      <c r="B1448" s="1" t="n">
        <v>45373</v>
      </c>
      <c r="C1448" s="1" t="n">
        <v>45807</v>
      </c>
      <c r="D1448" t="inlineStr">
        <is>
          <t>UPPSALA LÄN</t>
        </is>
      </c>
      <c r="E1448" t="inlineStr">
        <is>
          <t>UPPSALA</t>
        </is>
      </c>
      <c r="F1448" t="inlineStr">
        <is>
          <t>Holmen skog AB</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12345-2024</t>
        </is>
      </c>
      <c r="B1449" s="1" t="n">
        <v>45378</v>
      </c>
      <c r="C1449" s="1" t="n">
        <v>45807</v>
      </c>
      <c r="D1449" t="inlineStr">
        <is>
          <t>UPPSALA LÄN</t>
        </is>
      </c>
      <c r="E1449" t="inlineStr">
        <is>
          <t>UPPSALA</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12346-2024</t>
        </is>
      </c>
      <c r="B1450" s="1" t="n">
        <v>45378</v>
      </c>
      <c r="C1450" s="1" t="n">
        <v>45807</v>
      </c>
      <c r="D1450" t="inlineStr">
        <is>
          <t>UPPSALA LÄN</t>
        </is>
      </c>
      <c r="E1450" t="inlineStr">
        <is>
          <t>UPPSALA</t>
        </is>
      </c>
      <c r="F1450" t="inlineStr">
        <is>
          <t>Bergvik skog öst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12347-2024</t>
        </is>
      </c>
      <c r="B1451" s="1" t="n">
        <v>45378</v>
      </c>
      <c r="C1451" s="1" t="n">
        <v>45807</v>
      </c>
      <c r="D1451" t="inlineStr">
        <is>
          <t>UPPSALA LÄN</t>
        </is>
      </c>
      <c r="E1451" t="inlineStr">
        <is>
          <t>UPPSALA</t>
        </is>
      </c>
      <c r="F1451" t="inlineStr">
        <is>
          <t>Bergvik skog öst AB</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12507-2024</t>
        </is>
      </c>
      <c r="B1452" s="1" t="n">
        <v>45379</v>
      </c>
      <c r="C1452" s="1" t="n">
        <v>45807</v>
      </c>
      <c r="D1452" t="inlineStr">
        <is>
          <t>UPPSALA LÄN</t>
        </is>
      </c>
      <c r="E1452" t="inlineStr">
        <is>
          <t>UPPSALA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13100-2024</t>
        </is>
      </c>
      <c r="B1453" s="1" t="n">
        <v>45385</v>
      </c>
      <c r="C1453" s="1" t="n">
        <v>45807</v>
      </c>
      <c r="D1453" t="inlineStr">
        <is>
          <t>UPPSALA LÄN</t>
        </is>
      </c>
      <c r="E1453" t="inlineStr">
        <is>
          <t>UPPSALA</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13305-2024</t>
        </is>
      </c>
      <c r="B1454" s="1" t="n">
        <v>45386</v>
      </c>
      <c r="C1454" s="1" t="n">
        <v>45807</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13303-2024</t>
        </is>
      </c>
      <c r="B1455" s="1" t="n">
        <v>45386</v>
      </c>
      <c r="C1455" s="1" t="n">
        <v>45807</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13302-2024</t>
        </is>
      </c>
      <c r="B1456" s="1" t="n">
        <v>45386</v>
      </c>
      <c r="C1456" s="1" t="n">
        <v>45807</v>
      </c>
      <c r="D1456" t="inlineStr">
        <is>
          <t>UPPSALA LÄN</t>
        </is>
      </c>
      <c r="E1456" t="inlineStr">
        <is>
          <t>UPPSALA</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13379-2024</t>
        </is>
      </c>
      <c r="B1457" s="1" t="n">
        <v>45387</v>
      </c>
      <c r="C1457" s="1" t="n">
        <v>45807</v>
      </c>
      <c r="D1457" t="inlineStr">
        <is>
          <t>UPPSALA LÄN</t>
        </is>
      </c>
      <c r="E1457" t="inlineStr">
        <is>
          <t>UPPSALA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13644-2024</t>
        </is>
      </c>
      <c r="B1458" s="1" t="n">
        <v>45390</v>
      </c>
      <c r="C1458" s="1" t="n">
        <v>45807</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13799-2024</t>
        </is>
      </c>
      <c r="B1459" s="1" t="n">
        <v>45391</v>
      </c>
      <c r="C1459" s="1" t="n">
        <v>45807</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14533-2024</t>
        </is>
      </c>
      <c r="B1460" s="1" t="n">
        <v>45394</v>
      </c>
      <c r="C1460" s="1" t="n">
        <v>45807</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14401-2024</t>
        </is>
      </c>
      <c r="B1461" s="1" t="n">
        <v>45394</v>
      </c>
      <c r="C1461" s="1" t="n">
        <v>45807</v>
      </c>
      <c r="D1461" t="inlineStr">
        <is>
          <t>UPPSALA LÄN</t>
        </is>
      </c>
      <c r="E1461" t="inlineStr">
        <is>
          <t>UPPSALA</t>
        </is>
      </c>
      <c r="F1461" t="inlineStr">
        <is>
          <t>Övriga statliga verk och myndigheter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14528-2024</t>
        </is>
      </c>
      <c r="B1462" s="1" t="n">
        <v>45394</v>
      </c>
      <c r="C1462" s="1" t="n">
        <v>45807</v>
      </c>
      <c r="D1462" t="inlineStr">
        <is>
          <t>UPPSALA LÄN</t>
        </is>
      </c>
      <c r="E1462" t="inlineStr">
        <is>
          <t>UPPSALA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14404-2024</t>
        </is>
      </c>
      <c r="B1463" s="1" t="n">
        <v>45394</v>
      </c>
      <c r="C1463" s="1" t="n">
        <v>45807</v>
      </c>
      <c r="D1463" t="inlineStr">
        <is>
          <t>UPPSALA LÄN</t>
        </is>
      </c>
      <c r="E1463" t="inlineStr">
        <is>
          <t>UPPSALA</t>
        </is>
      </c>
      <c r="F1463" t="inlineStr">
        <is>
          <t>Övriga statliga verk och myndigheter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14523-2024</t>
        </is>
      </c>
      <c r="B1464" s="1" t="n">
        <v>45394</v>
      </c>
      <c r="C1464" s="1" t="n">
        <v>45807</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14643-2024</t>
        </is>
      </c>
      <c r="B1465" s="1" t="n">
        <v>45397</v>
      </c>
      <c r="C1465" s="1" t="n">
        <v>45807</v>
      </c>
      <c r="D1465" t="inlineStr">
        <is>
          <t>UPPSALA LÄN</t>
        </is>
      </c>
      <c r="E1465" t="inlineStr">
        <is>
          <t>UPPSALA</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14672-2024</t>
        </is>
      </c>
      <c r="B1466" s="1" t="n">
        <v>45397</v>
      </c>
      <c r="C1466" s="1" t="n">
        <v>45807</v>
      </c>
      <c r="D1466" t="inlineStr">
        <is>
          <t>UPPSALA LÄN</t>
        </is>
      </c>
      <c r="E1466" t="inlineStr">
        <is>
          <t>UPPSALA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15254-2024</t>
        </is>
      </c>
      <c r="B1467" s="1" t="n">
        <v>45400</v>
      </c>
      <c r="C1467" s="1" t="n">
        <v>45807</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15255-2024</t>
        </is>
      </c>
      <c r="B1468" s="1" t="n">
        <v>45400</v>
      </c>
      <c r="C1468" s="1" t="n">
        <v>45807</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15544-2024</t>
        </is>
      </c>
      <c r="B1469" s="1" t="n">
        <v>45401</v>
      </c>
      <c r="C1469" s="1" t="n">
        <v>45807</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16434-2024</t>
        </is>
      </c>
      <c r="B1470" s="1" t="n">
        <v>45407</v>
      </c>
      <c r="C1470" s="1" t="n">
        <v>45807</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16324-2024</t>
        </is>
      </c>
      <c r="B1471" s="1" t="n">
        <v>45407</v>
      </c>
      <c r="C1471" s="1" t="n">
        <v>45807</v>
      </c>
      <c r="D1471" t="inlineStr">
        <is>
          <t>UPPSALA LÄN</t>
        </is>
      </c>
      <c r="E1471" t="inlineStr">
        <is>
          <t>UPPSALA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17146-2024</t>
        </is>
      </c>
      <c r="B1472" s="1" t="n">
        <v>45412</v>
      </c>
      <c r="C1472" s="1" t="n">
        <v>45807</v>
      </c>
      <c r="D1472" t="inlineStr">
        <is>
          <t>UPPSALA LÄN</t>
        </is>
      </c>
      <c r="E1472" t="inlineStr">
        <is>
          <t>UPPSALA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17287-2024</t>
        </is>
      </c>
      <c r="B1473" s="1" t="n">
        <v>45414</v>
      </c>
      <c r="C1473" s="1" t="n">
        <v>45807</v>
      </c>
      <c r="D1473" t="inlineStr">
        <is>
          <t>UPPSALA LÄN</t>
        </is>
      </c>
      <c r="E1473" t="inlineStr">
        <is>
          <t>UPPSALA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17761-2024</t>
        </is>
      </c>
      <c r="B1474" s="1" t="n">
        <v>45418</v>
      </c>
      <c r="C1474" s="1" t="n">
        <v>45807</v>
      </c>
      <c r="D1474" t="inlineStr">
        <is>
          <t>UPPSALA LÄN</t>
        </is>
      </c>
      <c r="E1474" t="inlineStr">
        <is>
          <t>UPPSALA</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18069-2024</t>
        </is>
      </c>
      <c r="B1475" s="1" t="n">
        <v>45420</v>
      </c>
      <c r="C1475" s="1" t="n">
        <v>45807</v>
      </c>
      <c r="D1475" t="inlineStr">
        <is>
          <t>UPPSALA LÄN</t>
        </is>
      </c>
      <c r="E1475" t="inlineStr">
        <is>
          <t>UPPSALA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18354-2024</t>
        </is>
      </c>
      <c r="B1476" s="1" t="n">
        <v>45422</v>
      </c>
      <c r="C1476" s="1" t="n">
        <v>45807</v>
      </c>
      <c r="D1476" t="inlineStr">
        <is>
          <t>UPPSALA LÄN</t>
        </is>
      </c>
      <c r="E1476" t="inlineStr">
        <is>
          <t>UPPSALA</t>
        </is>
      </c>
      <c r="F1476" t="inlineStr">
        <is>
          <t>Holmen skog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18607-2024</t>
        </is>
      </c>
      <c r="B1477" s="1" t="n">
        <v>45426</v>
      </c>
      <c r="C1477" s="1" t="n">
        <v>45807</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18677-2024</t>
        </is>
      </c>
      <c r="B1478" s="1" t="n">
        <v>45426</v>
      </c>
      <c r="C1478" s="1" t="n">
        <v>45807</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18667-2024</t>
        </is>
      </c>
      <c r="B1479" s="1" t="n">
        <v>45426</v>
      </c>
      <c r="C1479" s="1" t="n">
        <v>45807</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18670-2024</t>
        </is>
      </c>
      <c r="B1480" s="1" t="n">
        <v>45426</v>
      </c>
      <c r="C1480" s="1" t="n">
        <v>45807</v>
      </c>
      <c r="D1480" t="inlineStr">
        <is>
          <t>UPPSALA LÄN</t>
        </is>
      </c>
      <c r="E1480" t="inlineStr">
        <is>
          <t>UPPSALA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18675-2024</t>
        </is>
      </c>
      <c r="B1481" s="1" t="n">
        <v>45426</v>
      </c>
      <c r="C1481" s="1" t="n">
        <v>45807</v>
      </c>
      <c r="D1481" t="inlineStr">
        <is>
          <t>UPPSALA LÄN</t>
        </is>
      </c>
      <c r="E1481" t="inlineStr">
        <is>
          <t>UPPSALA</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18808-2024</t>
        </is>
      </c>
      <c r="B1482" s="1" t="n">
        <v>45426</v>
      </c>
      <c r="C1482" s="1" t="n">
        <v>45807</v>
      </c>
      <c r="D1482" t="inlineStr">
        <is>
          <t>UPPSALA LÄN</t>
        </is>
      </c>
      <c r="E1482" t="inlineStr">
        <is>
          <t>UPPSALA</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18668-2024</t>
        </is>
      </c>
      <c r="B1483" s="1" t="n">
        <v>45426</v>
      </c>
      <c r="C1483" s="1" t="n">
        <v>45807</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19164-2024</t>
        </is>
      </c>
      <c r="B1484" s="1" t="n">
        <v>45428</v>
      </c>
      <c r="C1484" s="1" t="n">
        <v>45807</v>
      </c>
      <c r="D1484" t="inlineStr">
        <is>
          <t>UPPSALA LÄN</t>
        </is>
      </c>
      <c r="E1484" t="inlineStr">
        <is>
          <t>UPPSALA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19126-2024</t>
        </is>
      </c>
      <c r="B1485" s="1" t="n">
        <v>45428</v>
      </c>
      <c r="C1485" s="1" t="n">
        <v>45807</v>
      </c>
      <c r="D1485" t="inlineStr">
        <is>
          <t>UPPSALA LÄN</t>
        </is>
      </c>
      <c r="E1485" t="inlineStr">
        <is>
          <t>UPPSALA</t>
        </is>
      </c>
      <c r="F1485" t="inlineStr">
        <is>
          <t>Allmännings- och besparingsskogar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19414-2024</t>
        </is>
      </c>
      <c r="B1486" s="1" t="n">
        <v>45429</v>
      </c>
      <c r="C1486" s="1" t="n">
        <v>45807</v>
      </c>
      <c r="D1486" t="inlineStr">
        <is>
          <t>UPPSALA LÄN</t>
        </is>
      </c>
      <c r="E1486" t="inlineStr">
        <is>
          <t>UPPSALA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19539-2024</t>
        </is>
      </c>
      <c r="B1487" s="1" t="n">
        <v>45429</v>
      </c>
      <c r="C1487" s="1" t="n">
        <v>45807</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20466-2024</t>
        </is>
      </c>
      <c r="B1488" s="1" t="n">
        <v>45435</v>
      </c>
      <c r="C1488" s="1" t="n">
        <v>45807</v>
      </c>
      <c r="D1488" t="inlineStr">
        <is>
          <t>UPPSALA LÄN</t>
        </is>
      </c>
      <c r="E1488" t="inlineStr">
        <is>
          <t>UPPSALA</t>
        </is>
      </c>
      <c r="F1488" t="inlineStr">
        <is>
          <t>Holmen skog AB</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20297-2024</t>
        </is>
      </c>
      <c r="B1489" s="1" t="n">
        <v>45435</v>
      </c>
      <c r="C1489" s="1" t="n">
        <v>45807</v>
      </c>
      <c r="D1489" t="inlineStr">
        <is>
          <t>UPPSALA LÄN</t>
        </is>
      </c>
      <c r="E1489" t="inlineStr">
        <is>
          <t>UPPSALA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20301-2024</t>
        </is>
      </c>
      <c r="B1490" s="1" t="n">
        <v>45435</v>
      </c>
      <c r="C1490" s="1" t="n">
        <v>45807</v>
      </c>
      <c r="D1490" t="inlineStr">
        <is>
          <t>UPPSALA LÄN</t>
        </is>
      </c>
      <c r="E1490" t="inlineStr">
        <is>
          <t>UPPSALA</t>
        </is>
      </c>
      <c r="F1490" t="inlineStr">
        <is>
          <t>Kyrkan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20375-2024</t>
        </is>
      </c>
      <c r="B1491" s="1" t="n">
        <v>45435</v>
      </c>
      <c r="C1491" s="1" t="n">
        <v>45807</v>
      </c>
      <c r="D1491" t="inlineStr">
        <is>
          <t>UPPSALA LÄN</t>
        </is>
      </c>
      <c r="E1491" t="inlineStr">
        <is>
          <t>UPPSALA</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20459-2024</t>
        </is>
      </c>
      <c r="B1492" s="1" t="n">
        <v>45435</v>
      </c>
      <c r="C1492" s="1" t="n">
        <v>45807</v>
      </c>
      <c r="D1492" t="inlineStr">
        <is>
          <t>UPPSALA LÄN</t>
        </is>
      </c>
      <c r="E1492" t="inlineStr">
        <is>
          <t>UPPSALA</t>
        </is>
      </c>
      <c r="F1492" t="inlineStr">
        <is>
          <t>Kyrkan</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20458-2024</t>
        </is>
      </c>
      <c r="B1493" s="1" t="n">
        <v>45435</v>
      </c>
      <c r="C1493" s="1" t="n">
        <v>45807</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20711-2024</t>
        </is>
      </c>
      <c r="B1494" s="1" t="n">
        <v>45436</v>
      </c>
      <c r="C1494" s="1" t="n">
        <v>45807</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20851-2024</t>
        </is>
      </c>
      <c r="B1495" s="1" t="n">
        <v>45439</v>
      </c>
      <c r="C1495" s="1" t="n">
        <v>45807</v>
      </c>
      <c r="D1495" t="inlineStr">
        <is>
          <t>UPPSALA LÄN</t>
        </is>
      </c>
      <c r="E1495" t="inlineStr">
        <is>
          <t>UPPSALA</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21015-2024</t>
        </is>
      </c>
      <c r="B1496" s="1" t="n">
        <v>45439</v>
      </c>
      <c r="C1496" s="1" t="n">
        <v>45807</v>
      </c>
      <c r="D1496" t="inlineStr">
        <is>
          <t>UPPSALA LÄN</t>
        </is>
      </c>
      <c r="E1496" t="inlineStr">
        <is>
          <t>UPPSALA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20903-2024</t>
        </is>
      </c>
      <c r="B1497" s="1" t="n">
        <v>45439</v>
      </c>
      <c r="C1497" s="1" t="n">
        <v>45807</v>
      </c>
      <c r="D1497" t="inlineStr">
        <is>
          <t>UPPSALA LÄN</t>
        </is>
      </c>
      <c r="E1497" t="inlineStr">
        <is>
          <t>UPPSALA</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21182-2024</t>
        </is>
      </c>
      <c r="B1498" s="1" t="n">
        <v>45440</v>
      </c>
      <c r="C1498" s="1" t="n">
        <v>45807</v>
      </c>
      <c r="D1498" t="inlineStr">
        <is>
          <t>UPPSALA LÄN</t>
        </is>
      </c>
      <c r="E1498" t="inlineStr">
        <is>
          <t>UPPSALA</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21310-2024</t>
        </is>
      </c>
      <c r="B1499" s="1" t="n">
        <v>45440</v>
      </c>
      <c r="C1499" s="1" t="n">
        <v>45807</v>
      </c>
      <c r="D1499" t="inlineStr">
        <is>
          <t>UPPSALA LÄN</t>
        </is>
      </c>
      <c r="E1499" t="inlineStr">
        <is>
          <t>UPPSALA</t>
        </is>
      </c>
      <c r="F1499" t="inlineStr">
        <is>
          <t>Holmen skog AB</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21526-2024</t>
        </is>
      </c>
      <c r="B1500" s="1" t="n">
        <v>45441</v>
      </c>
      <c r="C1500" s="1" t="n">
        <v>45807</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21555-2024</t>
        </is>
      </c>
      <c r="B1501" s="1" t="n">
        <v>45441</v>
      </c>
      <c r="C1501" s="1" t="n">
        <v>45807</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21657-2024</t>
        </is>
      </c>
      <c r="B1502" s="1" t="n">
        <v>45442</v>
      </c>
      <c r="C1502" s="1" t="n">
        <v>45807</v>
      </c>
      <c r="D1502" t="inlineStr">
        <is>
          <t>UPPSALA LÄN</t>
        </is>
      </c>
      <c r="E1502" t="inlineStr">
        <is>
          <t>UPPSALA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21786-2024</t>
        </is>
      </c>
      <c r="B1503" s="1" t="n">
        <v>45442</v>
      </c>
      <c r="C1503" s="1" t="n">
        <v>45807</v>
      </c>
      <c r="D1503" t="inlineStr">
        <is>
          <t>UPPSALA LÄN</t>
        </is>
      </c>
      <c r="E1503" t="inlineStr">
        <is>
          <t>UPPSALA</t>
        </is>
      </c>
      <c r="F1503" t="inlineStr">
        <is>
          <t>Allmännings- och besparingsskogar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21641-2024</t>
        </is>
      </c>
      <c r="B1504" s="1" t="n">
        <v>45442</v>
      </c>
      <c r="C1504" s="1" t="n">
        <v>45807</v>
      </c>
      <c r="D1504" t="inlineStr">
        <is>
          <t>UPPSALA LÄN</t>
        </is>
      </c>
      <c r="E1504" t="inlineStr">
        <is>
          <t>UPPSALA</t>
        </is>
      </c>
      <c r="F1504" t="inlineStr">
        <is>
          <t>Kyrkan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21859-2024</t>
        </is>
      </c>
      <c r="B1505" s="1" t="n">
        <v>45443</v>
      </c>
      <c r="C1505" s="1" t="n">
        <v>45807</v>
      </c>
      <c r="D1505" t="inlineStr">
        <is>
          <t>UPPSALA LÄN</t>
        </is>
      </c>
      <c r="E1505" t="inlineStr">
        <is>
          <t>UPPSALA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22431-2024</t>
        </is>
      </c>
      <c r="B1506" s="1" t="n">
        <v>45446</v>
      </c>
      <c r="C1506" s="1" t="n">
        <v>45807</v>
      </c>
      <c r="D1506" t="inlineStr">
        <is>
          <t>UPPSALA LÄN</t>
        </is>
      </c>
      <c r="E1506" t="inlineStr">
        <is>
          <t>UPPSALA</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22437-2024</t>
        </is>
      </c>
      <c r="B1507" s="1" t="n">
        <v>45446</v>
      </c>
      <c r="C1507" s="1" t="n">
        <v>45807</v>
      </c>
      <c r="D1507" t="inlineStr">
        <is>
          <t>UPPSALA LÄN</t>
        </is>
      </c>
      <c r="E1507" t="inlineStr">
        <is>
          <t>UPPSALA</t>
        </is>
      </c>
      <c r="F1507" t="inlineStr">
        <is>
          <t>Bergvik skog öst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22433-2024</t>
        </is>
      </c>
      <c r="B1508" s="1" t="n">
        <v>45446</v>
      </c>
      <c r="C1508" s="1" t="n">
        <v>45807</v>
      </c>
      <c r="D1508" t="inlineStr">
        <is>
          <t>UPPSALA LÄN</t>
        </is>
      </c>
      <c r="E1508" t="inlineStr">
        <is>
          <t>UPPSALA</t>
        </is>
      </c>
      <c r="F1508" t="inlineStr">
        <is>
          <t>Bergvik skog öst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22432-2024</t>
        </is>
      </c>
      <c r="B1509" s="1" t="n">
        <v>45446</v>
      </c>
      <c r="C1509" s="1" t="n">
        <v>45807</v>
      </c>
      <c r="D1509" t="inlineStr">
        <is>
          <t>UPPSALA LÄN</t>
        </is>
      </c>
      <c r="E1509" t="inlineStr">
        <is>
          <t>UPPSALA</t>
        </is>
      </c>
      <c r="F1509" t="inlineStr">
        <is>
          <t>Bergvik skog öst AB</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22900-2024</t>
        </is>
      </c>
      <c r="B1510" s="1" t="n">
        <v>45448</v>
      </c>
      <c r="C1510" s="1" t="n">
        <v>45807</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23291-2024</t>
        </is>
      </c>
      <c r="B1511" s="1" t="n">
        <v>45453</v>
      </c>
      <c r="C1511" s="1" t="n">
        <v>45807</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23494-2024</t>
        </is>
      </c>
      <c r="B1512" s="1" t="n">
        <v>45453</v>
      </c>
      <c r="C1512" s="1" t="n">
        <v>45807</v>
      </c>
      <c r="D1512" t="inlineStr">
        <is>
          <t>UPPSALA LÄN</t>
        </is>
      </c>
      <c r="E1512" t="inlineStr">
        <is>
          <t>UPPSALA</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24098-2024</t>
        </is>
      </c>
      <c r="B1513" s="1" t="n">
        <v>45456</v>
      </c>
      <c r="C1513" s="1" t="n">
        <v>45807</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24091-2024</t>
        </is>
      </c>
      <c r="B1514" s="1" t="n">
        <v>45456</v>
      </c>
      <c r="C1514" s="1" t="n">
        <v>45807</v>
      </c>
      <c r="D1514" t="inlineStr">
        <is>
          <t>UPPSALA LÄN</t>
        </is>
      </c>
      <c r="E1514" t="inlineStr">
        <is>
          <t>UPPSALA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24787-2024</t>
        </is>
      </c>
      <c r="B1515" s="1" t="n">
        <v>45460</v>
      </c>
      <c r="C1515" s="1" t="n">
        <v>45807</v>
      </c>
      <c r="D1515" t="inlineStr">
        <is>
          <t>UPPSALA LÄN</t>
        </is>
      </c>
      <c r="E1515" t="inlineStr">
        <is>
          <t>UPPSALA</t>
        </is>
      </c>
      <c r="F1515" t="inlineStr">
        <is>
          <t>Övriga Aktiebolag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25539-2024</t>
        </is>
      </c>
      <c r="B1516" s="1" t="n">
        <v>45463</v>
      </c>
      <c r="C1516" s="1" t="n">
        <v>45807</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25537-2024</t>
        </is>
      </c>
      <c r="B1517" s="1" t="n">
        <v>45463</v>
      </c>
      <c r="C1517" s="1" t="n">
        <v>45807</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25536-2024</t>
        </is>
      </c>
      <c r="B1518" s="1" t="n">
        <v>45463</v>
      </c>
      <c r="C1518" s="1" t="n">
        <v>45807</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25487-2024</t>
        </is>
      </c>
      <c r="B1519" s="1" t="n">
        <v>45463</v>
      </c>
      <c r="C1519" s="1" t="n">
        <v>45807</v>
      </c>
      <c r="D1519" t="inlineStr">
        <is>
          <t>UPPSALA LÄN</t>
        </is>
      </c>
      <c r="E1519" t="inlineStr">
        <is>
          <t>UPPSALA</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25403-2024</t>
        </is>
      </c>
      <c r="B1520" s="1" t="n">
        <v>45463</v>
      </c>
      <c r="C1520" s="1" t="n">
        <v>45807</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25490-2024</t>
        </is>
      </c>
      <c r="B1521" s="1" t="n">
        <v>45463</v>
      </c>
      <c r="C1521" s="1" t="n">
        <v>45807</v>
      </c>
      <c r="D1521" t="inlineStr">
        <is>
          <t>UPPSALA LÄN</t>
        </is>
      </c>
      <c r="E1521" t="inlineStr">
        <is>
          <t>UPPSALA</t>
        </is>
      </c>
      <c r="F1521" t="inlineStr">
        <is>
          <t>Övriga Aktiebolag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26099-2024</t>
        </is>
      </c>
      <c r="B1522" s="1" t="n">
        <v>45468</v>
      </c>
      <c r="C1522" s="1" t="n">
        <v>45807</v>
      </c>
      <c r="D1522" t="inlineStr">
        <is>
          <t>UPPSALA LÄN</t>
        </is>
      </c>
      <c r="E1522" t="inlineStr">
        <is>
          <t>UPPSALA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27476-2024</t>
        </is>
      </c>
      <c r="B1523" s="1" t="n">
        <v>45474</v>
      </c>
      <c r="C1523" s="1" t="n">
        <v>45807</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27473-2024</t>
        </is>
      </c>
      <c r="B1524" s="1" t="n">
        <v>45474</v>
      </c>
      <c r="C1524" s="1" t="n">
        <v>45807</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27442-2024</t>
        </is>
      </c>
      <c r="B1525" s="1" t="n">
        <v>45474</v>
      </c>
      <c r="C1525" s="1" t="n">
        <v>45807</v>
      </c>
      <c r="D1525" t="inlineStr">
        <is>
          <t>UPPSALA LÄN</t>
        </is>
      </c>
      <c r="E1525" t="inlineStr">
        <is>
          <t>UPPSALA</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27474-2024</t>
        </is>
      </c>
      <c r="B1526" s="1" t="n">
        <v>45474</v>
      </c>
      <c r="C1526" s="1" t="n">
        <v>45807</v>
      </c>
      <c r="D1526" t="inlineStr">
        <is>
          <t>UPPSALA LÄN</t>
        </is>
      </c>
      <c r="E1526" t="inlineStr">
        <is>
          <t>UPPSALA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27498-2024</t>
        </is>
      </c>
      <c r="B1527" s="1" t="n">
        <v>45474</v>
      </c>
      <c r="C1527" s="1" t="n">
        <v>45807</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27857-2024</t>
        </is>
      </c>
      <c r="B1528" s="1" t="n">
        <v>45475</v>
      </c>
      <c r="C1528" s="1" t="n">
        <v>45807</v>
      </c>
      <c r="D1528" t="inlineStr">
        <is>
          <t>UPPSALA LÄN</t>
        </is>
      </c>
      <c r="E1528" t="inlineStr">
        <is>
          <t>UPPSALA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27994-2024</t>
        </is>
      </c>
      <c r="B1529" s="1" t="n">
        <v>45476</v>
      </c>
      <c r="C1529" s="1" t="n">
        <v>45807</v>
      </c>
      <c r="D1529" t="inlineStr">
        <is>
          <t>UPPSALA LÄN</t>
        </is>
      </c>
      <c r="E1529" t="inlineStr">
        <is>
          <t>UPPSALA</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27981-2024</t>
        </is>
      </c>
      <c r="B1530" s="1" t="n">
        <v>45476</v>
      </c>
      <c r="C1530" s="1" t="n">
        <v>45807</v>
      </c>
      <c r="D1530" t="inlineStr">
        <is>
          <t>UPPSALA LÄN</t>
        </is>
      </c>
      <c r="E1530" t="inlineStr">
        <is>
          <t>UPPSALA</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27973-2024</t>
        </is>
      </c>
      <c r="B1531" s="1" t="n">
        <v>45476</v>
      </c>
      <c r="C1531" s="1" t="n">
        <v>45807</v>
      </c>
      <c r="D1531" t="inlineStr">
        <is>
          <t>UPPSALA LÄN</t>
        </is>
      </c>
      <c r="E1531" t="inlineStr">
        <is>
          <t>UPPSALA</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28453-2024</t>
        </is>
      </c>
      <c r="B1532" s="1" t="n">
        <v>45477</v>
      </c>
      <c r="C1532" s="1" t="n">
        <v>45807</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28825-2024</t>
        </is>
      </c>
      <c r="B1533" s="1" t="n">
        <v>45478</v>
      </c>
      <c r="C1533" s="1" t="n">
        <v>45807</v>
      </c>
      <c r="D1533" t="inlineStr">
        <is>
          <t>UPPSALA LÄN</t>
        </is>
      </c>
      <c r="E1533" t="inlineStr">
        <is>
          <t>UPPSALA</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28782-2024</t>
        </is>
      </c>
      <c r="B1534" s="1" t="n">
        <v>45478</v>
      </c>
      <c r="C1534" s="1" t="n">
        <v>45807</v>
      </c>
      <c r="D1534" t="inlineStr">
        <is>
          <t>UPPSALA LÄN</t>
        </is>
      </c>
      <c r="E1534" t="inlineStr">
        <is>
          <t>UPPSALA</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29081-2024</t>
        </is>
      </c>
      <c r="B1535" s="1" t="n">
        <v>45481</v>
      </c>
      <c r="C1535" s="1" t="n">
        <v>45807</v>
      </c>
      <c r="D1535" t="inlineStr">
        <is>
          <t>UPPSALA LÄN</t>
        </is>
      </c>
      <c r="E1535" t="inlineStr">
        <is>
          <t>UPPSALA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29082-2024</t>
        </is>
      </c>
      <c r="B1536" s="1" t="n">
        <v>45481</v>
      </c>
      <c r="C1536" s="1" t="n">
        <v>45807</v>
      </c>
      <c r="D1536" t="inlineStr">
        <is>
          <t>UPPSALA LÄN</t>
        </is>
      </c>
      <c r="E1536" t="inlineStr">
        <is>
          <t>UPPSALA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29164-2024</t>
        </is>
      </c>
      <c r="B1537" s="1" t="n">
        <v>45482</v>
      </c>
      <c r="C1537" s="1" t="n">
        <v>45807</v>
      </c>
      <c r="D1537" t="inlineStr">
        <is>
          <t>UPPSALA LÄN</t>
        </is>
      </c>
      <c r="E1537" t="inlineStr">
        <is>
          <t>UPPSALA</t>
        </is>
      </c>
      <c r="F1537" t="inlineStr">
        <is>
          <t>Allmännings- och besparingsskogar</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30079-2024</t>
        </is>
      </c>
      <c r="B1538" s="1" t="n">
        <v>45489</v>
      </c>
      <c r="C1538" s="1" t="n">
        <v>45807</v>
      </c>
      <c r="D1538" t="inlineStr">
        <is>
          <t>UPPSALA LÄN</t>
        </is>
      </c>
      <c r="E1538" t="inlineStr">
        <is>
          <t>UPPSALA</t>
        </is>
      </c>
      <c r="F1538" t="inlineStr">
        <is>
          <t>Holmen skog AB</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30319-2024</t>
        </is>
      </c>
      <c r="B1539" s="1" t="n">
        <v>45490</v>
      </c>
      <c r="C1539" s="1" t="n">
        <v>45807</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31717-2024</t>
        </is>
      </c>
      <c r="B1540" s="1" t="n">
        <v>45509</v>
      </c>
      <c r="C1540" s="1" t="n">
        <v>45807</v>
      </c>
      <c r="D1540" t="inlineStr">
        <is>
          <t>UPPSALA LÄN</t>
        </is>
      </c>
      <c r="E1540" t="inlineStr">
        <is>
          <t>UPPSALA</t>
        </is>
      </c>
      <c r="F1540" t="inlineStr">
        <is>
          <t>Bergvik skog öst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32119-2024</t>
        </is>
      </c>
      <c r="B1541" s="1" t="n">
        <v>45511</v>
      </c>
      <c r="C1541" s="1" t="n">
        <v>45807</v>
      </c>
      <c r="D1541" t="inlineStr">
        <is>
          <t>UPPSALA LÄN</t>
        </is>
      </c>
      <c r="E1541" t="inlineStr">
        <is>
          <t>UPPSALA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32127-2024</t>
        </is>
      </c>
      <c r="B1542" s="1" t="n">
        <v>45511</v>
      </c>
      <c r="C1542" s="1" t="n">
        <v>45807</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32106-2024</t>
        </is>
      </c>
      <c r="B1543" s="1" t="n">
        <v>45511</v>
      </c>
      <c r="C1543" s="1" t="n">
        <v>45807</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32117-2024</t>
        </is>
      </c>
      <c r="B1544" s="1" t="n">
        <v>45511</v>
      </c>
      <c r="C1544" s="1" t="n">
        <v>45807</v>
      </c>
      <c r="D1544" t="inlineStr">
        <is>
          <t>UPPSALA LÄN</t>
        </is>
      </c>
      <c r="E1544" t="inlineStr">
        <is>
          <t>UPPSALA</t>
        </is>
      </c>
      <c r="F1544" t="inlineStr">
        <is>
          <t>Allmännings- och besparingsskogar</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32554-2024</t>
        </is>
      </c>
      <c r="B1545" s="1" t="n">
        <v>45513</v>
      </c>
      <c r="C1545" s="1" t="n">
        <v>45807</v>
      </c>
      <c r="D1545" t="inlineStr">
        <is>
          <t>UPPSALA LÄN</t>
        </is>
      </c>
      <c r="E1545" t="inlineStr">
        <is>
          <t>UPPSALA</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32553-2024</t>
        </is>
      </c>
      <c r="B1546" s="1" t="n">
        <v>45513</v>
      </c>
      <c r="C1546" s="1" t="n">
        <v>45807</v>
      </c>
      <c r="D1546" t="inlineStr">
        <is>
          <t>UPPSALA LÄN</t>
        </is>
      </c>
      <c r="E1546" t="inlineStr">
        <is>
          <t>UPPSALA</t>
        </is>
      </c>
      <c r="F1546" t="inlineStr">
        <is>
          <t>Bergvik skog öst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33622-2024</t>
        </is>
      </c>
      <c r="B1547" s="1" t="n">
        <v>45520</v>
      </c>
      <c r="C1547" s="1" t="n">
        <v>45807</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33667-2024</t>
        </is>
      </c>
      <c r="B1548" s="1" t="n">
        <v>45520</v>
      </c>
      <c r="C1548" s="1" t="n">
        <v>45807</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33816-2024</t>
        </is>
      </c>
      <c r="B1549" s="1" t="n">
        <v>45520</v>
      </c>
      <c r="C1549" s="1" t="n">
        <v>45807</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33939-2024</t>
        </is>
      </c>
      <c r="B1550" s="1" t="n">
        <v>45523</v>
      </c>
      <c r="C1550" s="1" t="n">
        <v>45807</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34147-2024</t>
        </is>
      </c>
      <c r="B1551" s="1" t="n">
        <v>45524</v>
      </c>
      <c r="C1551" s="1" t="n">
        <v>45807</v>
      </c>
      <c r="D1551" t="inlineStr">
        <is>
          <t>UPPSALA LÄN</t>
        </is>
      </c>
      <c r="E1551" t="inlineStr">
        <is>
          <t>UPPSALA</t>
        </is>
      </c>
      <c r="F1551" t="inlineStr">
        <is>
          <t>Allmännings- och besparingsskogar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34114-2024</t>
        </is>
      </c>
      <c r="B1552" s="1" t="n">
        <v>45524</v>
      </c>
      <c r="C1552" s="1" t="n">
        <v>45807</v>
      </c>
      <c r="D1552" t="inlineStr">
        <is>
          <t>UPPSALA LÄN</t>
        </is>
      </c>
      <c r="E1552" t="inlineStr">
        <is>
          <t>UPPSALA</t>
        </is>
      </c>
      <c r="F1552" t="inlineStr">
        <is>
          <t>Allmännings- och besparingsskogar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45807</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34656-2024</t>
        </is>
      </c>
      <c r="B1554" s="1" t="n">
        <v>45526</v>
      </c>
      <c r="C1554" s="1" t="n">
        <v>45807</v>
      </c>
      <c r="D1554" t="inlineStr">
        <is>
          <t>UPPSALA LÄN</t>
        </is>
      </c>
      <c r="E1554" t="inlineStr">
        <is>
          <t>UPPSALA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34623-2024</t>
        </is>
      </c>
      <c r="B1555" s="1" t="n">
        <v>45526</v>
      </c>
      <c r="C1555" s="1" t="n">
        <v>45807</v>
      </c>
      <c r="D1555" t="inlineStr">
        <is>
          <t>UPPSALA LÄN</t>
        </is>
      </c>
      <c r="E1555" t="inlineStr">
        <is>
          <t>UPPSALA</t>
        </is>
      </c>
      <c r="G1555" t="n">
        <v>21.5</v>
      </c>
      <c r="H1555" t="n">
        <v>0</v>
      </c>
      <c r="I1555" t="n">
        <v>0</v>
      </c>
      <c r="J1555" t="n">
        <v>0</v>
      </c>
      <c r="K1555" t="n">
        <v>0</v>
      </c>
      <c r="L1555" t="n">
        <v>0</v>
      </c>
      <c r="M1555" t="n">
        <v>0</v>
      </c>
      <c r="N1555" t="n">
        <v>0</v>
      </c>
      <c r="O1555" t="n">
        <v>0</v>
      </c>
      <c r="P1555" t="n">
        <v>0</v>
      </c>
      <c r="Q1555" t="n">
        <v>0</v>
      </c>
      <c r="R1555" s="2" t="inlineStr"/>
    </row>
    <row r="1556" ht="15" customHeight="1">
      <c r="A1556" t="inlineStr">
        <is>
          <t>A 35830-2024</t>
        </is>
      </c>
      <c r="B1556" s="1" t="n">
        <v>45532</v>
      </c>
      <c r="C1556" s="1" t="n">
        <v>45807</v>
      </c>
      <c r="D1556" t="inlineStr">
        <is>
          <t>UPPSALA LÄN</t>
        </is>
      </c>
      <c r="E1556" t="inlineStr">
        <is>
          <t>UPPSALA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36015-2024</t>
        </is>
      </c>
      <c r="B1557" s="1" t="n">
        <v>45533</v>
      </c>
      <c r="C1557" s="1" t="n">
        <v>45807</v>
      </c>
      <c r="D1557" t="inlineStr">
        <is>
          <t>UPPSALA LÄN</t>
        </is>
      </c>
      <c r="E1557" t="inlineStr">
        <is>
          <t>UPPSALA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36029-2024</t>
        </is>
      </c>
      <c r="B1558" s="1" t="n">
        <v>45533</v>
      </c>
      <c r="C1558" s="1" t="n">
        <v>45807</v>
      </c>
      <c r="D1558" t="inlineStr">
        <is>
          <t>UPPSALA LÄN</t>
        </is>
      </c>
      <c r="E1558" t="inlineStr">
        <is>
          <t>UPPSALA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36041-2024</t>
        </is>
      </c>
      <c r="B1559" s="1" t="n">
        <v>45533</v>
      </c>
      <c r="C1559" s="1" t="n">
        <v>45807</v>
      </c>
      <c r="D1559" t="inlineStr">
        <is>
          <t>UPPSALA LÄN</t>
        </is>
      </c>
      <c r="E1559" t="inlineStr">
        <is>
          <t>UPPSALA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37032-2024</t>
        </is>
      </c>
      <c r="B1560" s="1" t="n">
        <v>45539</v>
      </c>
      <c r="C1560" s="1" t="n">
        <v>45807</v>
      </c>
      <c r="D1560" t="inlineStr">
        <is>
          <t>UPPSALA LÄN</t>
        </is>
      </c>
      <c r="E1560" t="inlineStr">
        <is>
          <t>UPPSALA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37033-2024</t>
        </is>
      </c>
      <c r="B1561" s="1" t="n">
        <v>45539</v>
      </c>
      <c r="C1561" s="1" t="n">
        <v>45807</v>
      </c>
      <c r="D1561" t="inlineStr">
        <is>
          <t>UPPSALA LÄN</t>
        </is>
      </c>
      <c r="E1561" t="inlineStr">
        <is>
          <t>UPPSALA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37307-2024</t>
        </is>
      </c>
      <c r="B1562" s="1" t="n">
        <v>45540</v>
      </c>
      <c r="C1562" s="1" t="n">
        <v>45807</v>
      </c>
      <c r="D1562" t="inlineStr">
        <is>
          <t>UPPSALA LÄN</t>
        </is>
      </c>
      <c r="E1562" t="inlineStr">
        <is>
          <t>UPPSALA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37568-2024</t>
        </is>
      </c>
      <c r="B1563" s="1" t="n">
        <v>45541</v>
      </c>
      <c r="C1563" s="1" t="n">
        <v>45807</v>
      </c>
      <c r="D1563" t="inlineStr">
        <is>
          <t>UPPSALA LÄN</t>
        </is>
      </c>
      <c r="E1563" t="inlineStr">
        <is>
          <t>UPPSALA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37666-2024</t>
        </is>
      </c>
      <c r="B1564" s="1" t="n">
        <v>45541</v>
      </c>
      <c r="C1564" s="1" t="n">
        <v>45807</v>
      </c>
      <c r="D1564" t="inlineStr">
        <is>
          <t>UPPSALA LÄN</t>
        </is>
      </c>
      <c r="E1564" t="inlineStr">
        <is>
          <t>UPPSALA</t>
        </is>
      </c>
      <c r="F1564" t="inlineStr">
        <is>
          <t>Övriga Aktiebolag</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37579-2024</t>
        </is>
      </c>
      <c r="B1565" s="1" t="n">
        <v>45541</v>
      </c>
      <c r="C1565" s="1" t="n">
        <v>45807</v>
      </c>
      <c r="D1565" t="inlineStr">
        <is>
          <t>UPPSALA LÄN</t>
        </is>
      </c>
      <c r="E1565" t="inlineStr">
        <is>
          <t>UPPSALA</t>
        </is>
      </c>
      <c r="G1565" t="n">
        <v>22.8</v>
      </c>
      <c r="H1565" t="n">
        <v>0</v>
      </c>
      <c r="I1565" t="n">
        <v>0</v>
      </c>
      <c r="J1565" t="n">
        <v>0</v>
      </c>
      <c r="K1565" t="n">
        <v>0</v>
      </c>
      <c r="L1565" t="n">
        <v>0</v>
      </c>
      <c r="M1565" t="n">
        <v>0</v>
      </c>
      <c r="N1565" t="n">
        <v>0</v>
      </c>
      <c r="O1565" t="n">
        <v>0</v>
      </c>
      <c r="P1565" t="n">
        <v>0</v>
      </c>
      <c r="Q1565" t="n">
        <v>0</v>
      </c>
      <c r="R1565" s="2" t="inlineStr"/>
    </row>
    <row r="1566" ht="15" customHeight="1">
      <c r="A1566" t="inlineStr">
        <is>
          <t>A 37671-2024</t>
        </is>
      </c>
      <c r="B1566" s="1" t="n">
        <v>45541</v>
      </c>
      <c r="C1566" s="1" t="n">
        <v>45807</v>
      </c>
      <c r="D1566" t="inlineStr">
        <is>
          <t>UPPSALA LÄN</t>
        </is>
      </c>
      <c r="E1566" t="inlineStr">
        <is>
          <t>UPPSALA</t>
        </is>
      </c>
      <c r="F1566" t="inlineStr">
        <is>
          <t>Övriga Aktiebolag</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38119-2024</t>
        </is>
      </c>
      <c r="B1567" s="1" t="n">
        <v>45545</v>
      </c>
      <c r="C1567" s="1" t="n">
        <v>45807</v>
      </c>
      <c r="D1567" t="inlineStr">
        <is>
          <t>UPPSALA LÄN</t>
        </is>
      </c>
      <c r="E1567" t="inlineStr">
        <is>
          <t>UPPSALA</t>
        </is>
      </c>
      <c r="F1567" t="inlineStr">
        <is>
          <t>Övriga Aktiebolag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38958-2024</t>
        </is>
      </c>
      <c r="B1568" s="1" t="n">
        <v>45548</v>
      </c>
      <c r="C1568" s="1" t="n">
        <v>45807</v>
      </c>
      <c r="D1568" t="inlineStr">
        <is>
          <t>UPPSALA LÄN</t>
        </is>
      </c>
      <c r="E1568" t="inlineStr">
        <is>
          <t>UPPSALA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39007-2024</t>
        </is>
      </c>
      <c r="B1569" s="1" t="n">
        <v>45548</v>
      </c>
      <c r="C1569" s="1" t="n">
        <v>45807</v>
      </c>
      <c r="D1569" t="inlineStr">
        <is>
          <t>UPPSALA LÄN</t>
        </is>
      </c>
      <c r="E1569" t="inlineStr">
        <is>
          <t>UPPSALA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39359-2024</t>
        </is>
      </c>
      <c r="B1570" s="1" t="n">
        <v>45551</v>
      </c>
      <c r="C1570" s="1" t="n">
        <v>45807</v>
      </c>
      <c r="D1570" t="inlineStr">
        <is>
          <t>UPPSALA LÄN</t>
        </is>
      </c>
      <c r="E1570" t="inlineStr">
        <is>
          <t>UPPSALA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39818-2024</t>
        </is>
      </c>
      <c r="B1571" s="1" t="n">
        <v>45552</v>
      </c>
      <c r="C1571" s="1" t="n">
        <v>45807</v>
      </c>
      <c r="D1571" t="inlineStr">
        <is>
          <t>UPPSALA LÄN</t>
        </is>
      </c>
      <c r="E1571" t="inlineStr">
        <is>
          <t>UPPSALA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39812-2024</t>
        </is>
      </c>
      <c r="B1572" s="1" t="n">
        <v>45552</v>
      </c>
      <c r="C1572" s="1" t="n">
        <v>45807</v>
      </c>
      <c r="D1572" t="inlineStr">
        <is>
          <t>UPPSALA LÄN</t>
        </is>
      </c>
      <c r="E1572" t="inlineStr">
        <is>
          <t>UPPSALA</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39926-2024</t>
        </is>
      </c>
      <c r="B1573" s="1" t="n">
        <v>45553</v>
      </c>
      <c r="C1573" s="1" t="n">
        <v>45807</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40111-2024</t>
        </is>
      </c>
      <c r="B1574" s="1" t="n">
        <v>45554</v>
      </c>
      <c r="C1574" s="1" t="n">
        <v>45807</v>
      </c>
      <c r="D1574" t="inlineStr">
        <is>
          <t>UPPSALA LÄN</t>
        </is>
      </c>
      <c r="E1574" t="inlineStr">
        <is>
          <t>UPPSALA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40326-2024</t>
        </is>
      </c>
      <c r="B1575" s="1" t="n">
        <v>45554</v>
      </c>
      <c r="C1575" s="1" t="n">
        <v>45807</v>
      </c>
      <c r="D1575" t="inlineStr">
        <is>
          <t>UPPSALA LÄN</t>
        </is>
      </c>
      <c r="E1575" t="inlineStr">
        <is>
          <t>UPPSALA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40491-2024</t>
        </is>
      </c>
      <c r="B1576" s="1" t="n">
        <v>45555</v>
      </c>
      <c r="C1576" s="1" t="n">
        <v>45807</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40503-2024</t>
        </is>
      </c>
      <c r="B1577" s="1" t="n">
        <v>45555</v>
      </c>
      <c r="C1577" s="1" t="n">
        <v>45807</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40701-2024</t>
        </is>
      </c>
      <c r="B1578" s="1" t="n">
        <v>45558</v>
      </c>
      <c r="C1578" s="1" t="n">
        <v>45807</v>
      </c>
      <c r="D1578" t="inlineStr">
        <is>
          <t>UPPSALA LÄN</t>
        </is>
      </c>
      <c r="E1578" t="inlineStr">
        <is>
          <t>UPPSALA</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40753-2024</t>
        </is>
      </c>
      <c r="B1579" s="1" t="n">
        <v>45558</v>
      </c>
      <c r="C1579" s="1" t="n">
        <v>45807</v>
      </c>
      <c r="D1579" t="inlineStr">
        <is>
          <t>UPPSALA LÄN</t>
        </is>
      </c>
      <c r="E1579" t="inlineStr">
        <is>
          <t>UPPSALA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42276-2024</t>
        </is>
      </c>
      <c r="B1580" s="1" t="n">
        <v>45562</v>
      </c>
      <c r="C1580" s="1" t="n">
        <v>45807</v>
      </c>
      <c r="D1580" t="inlineStr">
        <is>
          <t>UPPSALA LÄN</t>
        </is>
      </c>
      <c r="E1580" t="inlineStr">
        <is>
          <t>UPPSALA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42146-2024</t>
        </is>
      </c>
      <c r="B1581" s="1" t="n">
        <v>45562</v>
      </c>
      <c r="C1581" s="1" t="n">
        <v>45807</v>
      </c>
      <c r="D1581" t="inlineStr">
        <is>
          <t>UPPSALA LÄN</t>
        </is>
      </c>
      <c r="E1581" t="inlineStr">
        <is>
          <t>UPPSALA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42259-2024</t>
        </is>
      </c>
      <c r="B1582" s="1" t="n">
        <v>45562</v>
      </c>
      <c r="C1582" s="1" t="n">
        <v>45807</v>
      </c>
      <c r="D1582" t="inlineStr">
        <is>
          <t>UPPSALA LÄN</t>
        </is>
      </c>
      <c r="E1582" t="inlineStr">
        <is>
          <t>UPPSALA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42143-2024</t>
        </is>
      </c>
      <c r="B1583" s="1" t="n">
        <v>45562</v>
      </c>
      <c r="C1583" s="1" t="n">
        <v>45807</v>
      </c>
      <c r="D1583" t="inlineStr">
        <is>
          <t>UPPSALA LÄN</t>
        </is>
      </c>
      <c r="E1583" t="inlineStr">
        <is>
          <t>UPPSALA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43361-2024</t>
        </is>
      </c>
      <c r="B1584" s="1" t="n">
        <v>45568</v>
      </c>
      <c r="C1584" s="1" t="n">
        <v>45807</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43959-2024</t>
        </is>
      </c>
      <c r="B1585" s="1" t="n">
        <v>45572</v>
      </c>
      <c r="C1585" s="1" t="n">
        <v>45807</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43960-2024</t>
        </is>
      </c>
      <c r="B1586" s="1" t="n">
        <v>45572</v>
      </c>
      <c r="C1586" s="1" t="n">
        <v>45807</v>
      </c>
      <c r="D1586" t="inlineStr">
        <is>
          <t>UPPSALA LÄN</t>
        </is>
      </c>
      <c r="E1586" t="inlineStr">
        <is>
          <t>UPPSALA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43951-2024</t>
        </is>
      </c>
      <c r="B1587" s="1" t="n">
        <v>45572</v>
      </c>
      <c r="C1587" s="1" t="n">
        <v>45807</v>
      </c>
      <c r="D1587" t="inlineStr">
        <is>
          <t>UPPSALA LÄN</t>
        </is>
      </c>
      <c r="E1587" t="inlineStr">
        <is>
          <t>UPPSALA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44562-2024</t>
        </is>
      </c>
      <c r="B1588" s="1" t="n">
        <v>45574</v>
      </c>
      <c r="C1588" s="1" t="n">
        <v>45807</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44550-2024</t>
        </is>
      </c>
      <c r="B1589" s="1" t="n">
        <v>45574</v>
      </c>
      <c r="C1589" s="1" t="n">
        <v>45807</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44563-2024</t>
        </is>
      </c>
      <c r="B1590" s="1" t="n">
        <v>45574</v>
      </c>
      <c r="C1590" s="1" t="n">
        <v>45807</v>
      </c>
      <c r="D1590" t="inlineStr">
        <is>
          <t>UPPSALA LÄN</t>
        </is>
      </c>
      <c r="E1590" t="inlineStr">
        <is>
          <t>UPPSALA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44847-2024</t>
        </is>
      </c>
      <c r="B1591" s="1" t="n">
        <v>45574</v>
      </c>
      <c r="C1591" s="1" t="n">
        <v>45807</v>
      </c>
      <c r="D1591" t="inlineStr">
        <is>
          <t>UPPSALA LÄN</t>
        </is>
      </c>
      <c r="E1591" t="inlineStr">
        <is>
          <t>UPPSALA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44560-2024</t>
        </is>
      </c>
      <c r="B1592" s="1" t="n">
        <v>45574</v>
      </c>
      <c r="C1592" s="1" t="n">
        <v>45807</v>
      </c>
      <c r="D1592" t="inlineStr">
        <is>
          <t>UPPSALA LÄN</t>
        </is>
      </c>
      <c r="E1592" t="inlineStr">
        <is>
          <t>UPPSALA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44946-2024</t>
        </is>
      </c>
      <c r="B1593" s="1" t="n">
        <v>45575</v>
      </c>
      <c r="C1593" s="1" t="n">
        <v>45807</v>
      </c>
      <c r="D1593" t="inlineStr">
        <is>
          <t>UPPSALA LÄN</t>
        </is>
      </c>
      <c r="E1593" t="inlineStr">
        <is>
          <t>UPPSALA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45878-2024</t>
        </is>
      </c>
      <c r="B1594" s="1" t="n">
        <v>45580</v>
      </c>
      <c r="C1594" s="1" t="n">
        <v>45807</v>
      </c>
      <c r="D1594" t="inlineStr">
        <is>
          <t>UPPSALA LÄN</t>
        </is>
      </c>
      <c r="E1594" t="inlineStr">
        <is>
          <t>UPPSALA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46728-2024</t>
        </is>
      </c>
      <c r="B1595" s="1" t="n">
        <v>45583</v>
      </c>
      <c r="C1595" s="1" t="n">
        <v>45807</v>
      </c>
      <c r="D1595" t="inlineStr">
        <is>
          <t>UPPSALA LÄN</t>
        </is>
      </c>
      <c r="E1595" t="inlineStr">
        <is>
          <t>UPPSALA</t>
        </is>
      </c>
      <c r="F1595" t="inlineStr">
        <is>
          <t>Sveaskog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46796-2024</t>
        </is>
      </c>
      <c r="B1596" s="1" t="n">
        <v>45583</v>
      </c>
      <c r="C1596" s="1" t="n">
        <v>45807</v>
      </c>
      <c r="D1596" t="inlineStr">
        <is>
          <t>UPPSALA LÄN</t>
        </is>
      </c>
      <c r="E1596" t="inlineStr">
        <is>
          <t>UPPSALA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46745-2024</t>
        </is>
      </c>
      <c r="B1597" s="1" t="n">
        <v>45583</v>
      </c>
      <c r="C1597" s="1" t="n">
        <v>45807</v>
      </c>
      <c r="D1597" t="inlineStr">
        <is>
          <t>UPPSALA LÄN</t>
        </is>
      </c>
      <c r="E1597" t="inlineStr">
        <is>
          <t>UPPSALA</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46743-2024</t>
        </is>
      </c>
      <c r="B1598" s="1" t="n">
        <v>45583</v>
      </c>
      <c r="C1598" s="1" t="n">
        <v>45807</v>
      </c>
      <c r="D1598" t="inlineStr">
        <is>
          <t>UPPSALA LÄN</t>
        </is>
      </c>
      <c r="E1598" t="inlineStr">
        <is>
          <t>UPPSALA</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46751-2024</t>
        </is>
      </c>
      <c r="B1599" s="1" t="n">
        <v>45583</v>
      </c>
      <c r="C1599" s="1" t="n">
        <v>45807</v>
      </c>
      <c r="D1599" t="inlineStr">
        <is>
          <t>UPPSALA LÄN</t>
        </is>
      </c>
      <c r="E1599" t="inlineStr">
        <is>
          <t>UPPSALA</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46794-2024</t>
        </is>
      </c>
      <c r="B1600" s="1" t="n">
        <v>45583</v>
      </c>
      <c r="C1600" s="1" t="n">
        <v>45807</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46791-2024</t>
        </is>
      </c>
      <c r="B1601" s="1" t="n">
        <v>45583</v>
      </c>
      <c r="C1601" s="1" t="n">
        <v>45807</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46730-2024</t>
        </is>
      </c>
      <c r="B1602" s="1" t="n">
        <v>45583</v>
      </c>
      <c r="C1602" s="1" t="n">
        <v>45807</v>
      </c>
      <c r="D1602" t="inlineStr">
        <is>
          <t>UPPSALA LÄN</t>
        </is>
      </c>
      <c r="E1602" t="inlineStr">
        <is>
          <t>UPPSALA</t>
        </is>
      </c>
      <c r="F1602" t="inlineStr">
        <is>
          <t>Sveaskog</t>
        </is>
      </c>
      <c r="G1602" t="n">
        <v>6.5</v>
      </c>
      <c r="H1602" t="n">
        <v>0</v>
      </c>
      <c r="I1602" t="n">
        <v>0</v>
      </c>
      <c r="J1602" t="n">
        <v>0</v>
      </c>
      <c r="K1602" t="n">
        <v>0</v>
      </c>
      <c r="L1602" t="n">
        <v>0</v>
      </c>
      <c r="M1602" t="n">
        <v>0</v>
      </c>
      <c r="N1602" t="n">
        <v>0</v>
      </c>
      <c r="O1602" t="n">
        <v>0</v>
      </c>
      <c r="P1602" t="n">
        <v>0</v>
      </c>
      <c r="Q1602" t="n">
        <v>0</v>
      </c>
      <c r="R1602" s="2" t="inlineStr"/>
      <c r="U1602">
        <f>HYPERLINK("https://klasma.github.io/Logging_0380/knärot/A 46730-2024 karta knärot.png", "A 46730-2024")</f>
        <v/>
      </c>
      <c r="V1602">
        <f>HYPERLINK("https://klasma.github.io/Logging_0380/klagomål/A 46730-2024 FSC-klagomål.docx", "A 46730-2024")</f>
        <v/>
      </c>
      <c r="W1602">
        <f>HYPERLINK("https://klasma.github.io/Logging_0380/klagomålsmail/A 46730-2024 FSC-klagomål mail.docx", "A 46730-2024")</f>
        <v/>
      </c>
      <c r="X1602">
        <f>HYPERLINK("https://klasma.github.io/Logging_0380/tillsyn/A 46730-2024 tillsynsbegäran.docx", "A 46730-2024")</f>
        <v/>
      </c>
      <c r="Y1602">
        <f>HYPERLINK("https://klasma.github.io/Logging_0380/tillsynsmail/A 46730-2024 tillsynsbegäran mail.docx", "A 46730-2024")</f>
        <v/>
      </c>
    </row>
    <row r="1603" ht="15" customHeight="1">
      <c r="A1603" t="inlineStr">
        <is>
          <t>A 46821-2024</t>
        </is>
      </c>
      <c r="B1603" s="1" t="n">
        <v>45583</v>
      </c>
      <c r="C1603" s="1" t="n">
        <v>45807</v>
      </c>
      <c r="D1603" t="inlineStr">
        <is>
          <t>UPPSALA LÄN</t>
        </is>
      </c>
      <c r="E1603" t="inlineStr">
        <is>
          <t>UPPSALA</t>
        </is>
      </c>
      <c r="F1603" t="inlineStr">
        <is>
          <t>Holmen skog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46748-2024</t>
        </is>
      </c>
      <c r="B1604" s="1" t="n">
        <v>45583</v>
      </c>
      <c r="C1604" s="1" t="n">
        <v>45807</v>
      </c>
      <c r="D1604" t="inlineStr">
        <is>
          <t>UPPSALA LÄN</t>
        </is>
      </c>
      <c r="E1604" t="inlineStr">
        <is>
          <t>UPPSALA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46700-2024</t>
        </is>
      </c>
      <c r="B1605" s="1" t="n">
        <v>45583</v>
      </c>
      <c r="C1605" s="1" t="n">
        <v>45807</v>
      </c>
      <c r="D1605" t="inlineStr">
        <is>
          <t>UPPSALA LÄN</t>
        </is>
      </c>
      <c r="E1605" t="inlineStr">
        <is>
          <t>UPPSALA</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46925-2024</t>
        </is>
      </c>
      <c r="B1606" s="1" t="n">
        <v>45584</v>
      </c>
      <c r="C1606" s="1" t="n">
        <v>45807</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47169-2024</t>
        </is>
      </c>
      <c r="B1607" s="1" t="n">
        <v>45586</v>
      </c>
      <c r="C1607" s="1" t="n">
        <v>45807</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47052-2024</t>
        </is>
      </c>
      <c r="B1608" s="1" t="n">
        <v>45586</v>
      </c>
      <c r="C1608" s="1" t="n">
        <v>45807</v>
      </c>
      <c r="D1608" t="inlineStr">
        <is>
          <t>UPPSALA LÄN</t>
        </is>
      </c>
      <c r="E1608" t="inlineStr">
        <is>
          <t>UPPSALA</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47288-2024</t>
        </is>
      </c>
      <c r="B1609" s="1" t="n">
        <v>45587</v>
      </c>
      <c r="C1609" s="1" t="n">
        <v>45807</v>
      </c>
      <c r="D1609" t="inlineStr">
        <is>
          <t>UPPSALA LÄN</t>
        </is>
      </c>
      <c r="E1609" t="inlineStr">
        <is>
          <t>UPPSALA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48154-2024</t>
        </is>
      </c>
      <c r="B1610" s="1" t="n">
        <v>45589</v>
      </c>
      <c r="C1610" s="1" t="n">
        <v>45807</v>
      </c>
      <c r="D1610" t="inlineStr">
        <is>
          <t>UPPSALA LÄN</t>
        </is>
      </c>
      <c r="E1610" t="inlineStr">
        <is>
          <t>UPPSALA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48153-2024</t>
        </is>
      </c>
      <c r="B1611" s="1" t="n">
        <v>45589</v>
      </c>
      <c r="C1611" s="1" t="n">
        <v>45807</v>
      </c>
      <c r="D1611" t="inlineStr">
        <is>
          <t>UPPSALA LÄN</t>
        </is>
      </c>
      <c r="E1611" t="inlineStr">
        <is>
          <t>UPPSALA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48073-2024</t>
        </is>
      </c>
      <c r="B1612" s="1" t="n">
        <v>45589</v>
      </c>
      <c r="C1612" s="1" t="n">
        <v>45807</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49158-2024</t>
        </is>
      </c>
      <c r="B1613" s="1" t="n">
        <v>45594</v>
      </c>
      <c r="C1613" s="1" t="n">
        <v>45807</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49012-2024</t>
        </is>
      </c>
      <c r="B1614" s="1" t="n">
        <v>45594</v>
      </c>
      <c r="C1614" s="1" t="n">
        <v>45807</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49050-2024</t>
        </is>
      </c>
      <c r="B1615" s="1" t="n">
        <v>45594</v>
      </c>
      <c r="C1615" s="1" t="n">
        <v>45807</v>
      </c>
      <c r="D1615" t="inlineStr">
        <is>
          <t>UPPSALA LÄN</t>
        </is>
      </c>
      <c r="E1615" t="inlineStr">
        <is>
          <t>UPPSALA</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49180-2024</t>
        </is>
      </c>
      <c r="B1616" s="1" t="n">
        <v>45595</v>
      </c>
      <c r="C1616" s="1" t="n">
        <v>45807</v>
      </c>
      <c r="D1616" t="inlineStr">
        <is>
          <t>UPPSALA LÄN</t>
        </is>
      </c>
      <c r="E1616" t="inlineStr">
        <is>
          <t>UPPSALA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50037-2024</t>
        </is>
      </c>
      <c r="B1617" s="1" t="n">
        <v>45599</v>
      </c>
      <c r="C1617" s="1" t="n">
        <v>45807</v>
      </c>
      <c r="D1617" t="inlineStr">
        <is>
          <t>UPPSALA LÄN</t>
        </is>
      </c>
      <c r="E1617" t="inlineStr">
        <is>
          <t>UPPSALA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50535-2024</t>
        </is>
      </c>
      <c r="B1618" s="1" t="n">
        <v>45600</v>
      </c>
      <c r="C1618" s="1" t="n">
        <v>45807</v>
      </c>
      <c r="D1618" t="inlineStr">
        <is>
          <t>UPPSALA LÄN</t>
        </is>
      </c>
      <c r="E1618" t="inlineStr">
        <is>
          <t>UPPSALA</t>
        </is>
      </c>
      <c r="F1618" t="inlineStr">
        <is>
          <t>Övriga statliga verk och myndigheter</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50196-2024</t>
        </is>
      </c>
      <c r="B1619" s="1" t="n">
        <v>45600</v>
      </c>
      <c r="C1619" s="1" t="n">
        <v>45807</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50463-2024</t>
        </is>
      </c>
      <c r="B1620" s="1" t="n">
        <v>45601</v>
      </c>
      <c r="C1620" s="1" t="n">
        <v>45807</v>
      </c>
      <c r="D1620" t="inlineStr">
        <is>
          <t>UPPSALA LÄN</t>
        </is>
      </c>
      <c r="E1620" t="inlineStr">
        <is>
          <t>UPPSALA</t>
        </is>
      </c>
      <c r="F1620" t="inlineStr">
        <is>
          <t>Allmännings- och besparingsskogar</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50669-2024</t>
        </is>
      </c>
      <c r="B1621" s="1" t="n">
        <v>45601</v>
      </c>
      <c r="C1621" s="1" t="n">
        <v>45807</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50834-2024</t>
        </is>
      </c>
      <c r="B1622" s="1" t="n">
        <v>45602</v>
      </c>
      <c r="C1622" s="1" t="n">
        <v>45807</v>
      </c>
      <c r="D1622" t="inlineStr">
        <is>
          <t>UPPSALA LÄN</t>
        </is>
      </c>
      <c r="E1622" t="inlineStr">
        <is>
          <t>UPPSALA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51482-2024</t>
        </is>
      </c>
      <c r="B1623" s="1" t="n">
        <v>45604</v>
      </c>
      <c r="C1623" s="1" t="n">
        <v>45807</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51483-2024</t>
        </is>
      </c>
      <c r="B1624" s="1" t="n">
        <v>45604</v>
      </c>
      <c r="C1624" s="1" t="n">
        <v>45807</v>
      </c>
      <c r="D1624" t="inlineStr">
        <is>
          <t>UPPSALA LÄN</t>
        </is>
      </c>
      <c r="E1624" t="inlineStr">
        <is>
          <t>UPPSALA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51485-2024</t>
        </is>
      </c>
      <c r="B1625" s="1" t="n">
        <v>45604</v>
      </c>
      <c r="C1625" s="1" t="n">
        <v>45807</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52197-2024</t>
        </is>
      </c>
      <c r="B1626" s="1" t="n">
        <v>45608</v>
      </c>
      <c r="C1626" s="1" t="n">
        <v>45807</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52094-2024</t>
        </is>
      </c>
      <c r="B1627" s="1" t="n">
        <v>45608</v>
      </c>
      <c r="C1627" s="1" t="n">
        <v>45807</v>
      </c>
      <c r="D1627" t="inlineStr">
        <is>
          <t>UPPSALA LÄN</t>
        </is>
      </c>
      <c r="E1627" t="inlineStr">
        <is>
          <t>UPPSALA</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52093-2024</t>
        </is>
      </c>
      <c r="B1628" s="1" t="n">
        <v>45608</v>
      </c>
      <c r="C1628" s="1" t="n">
        <v>45807</v>
      </c>
      <c r="D1628" t="inlineStr">
        <is>
          <t>UPPSALA LÄN</t>
        </is>
      </c>
      <c r="E1628" t="inlineStr">
        <is>
          <t>UPPSALA</t>
        </is>
      </c>
      <c r="F1628" t="inlineStr">
        <is>
          <t>Bergvik skog öst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52456-2024</t>
        </is>
      </c>
      <c r="B1629" s="1" t="n">
        <v>45609</v>
      </c>
      <c r="C1629" s="1" t="n">
        <v>45807</v>
      </c>
      <c r="D1629" t="inlineStr">
        <is>
          <t>UPPSALA LÄN</t>
        </is>
      </c>
      <c r="E1629" t="inlineStr">
        <is>
          <t>UPPSALA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52466-2024</t>
        </is>
      </c>
      <c r="B1630" s="1" t="n">
        <v>45609</v>
      </c>
      <c r="C1630" s="1" t="n">
        <v>45807</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53614-2024</t>
        </is>
      </c>
      <c r="B1631" s="1" t="n">
        <v>45611</v>
      </c>
      <c r="C1631" s="1" t="n">
        <v>45807</v>
      </c>
      <c r="D1631" t="inlineStr">
        <is>
          <t>UPPSALA LÄN</t>
        </is>
      </c>
      <c r="E1631" t="inlineStr">
        <is>
          <t>UPPSALA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53058-2024</t>
        </is>
      </c>
      <c r="B1632" s="1" t="n">
        <v>45611</v>
      </c>
      <c r="C1632" s="1" t="n">
        <v>45807</v>
      </c>
      <c r="D1632" t="inlineStr">
        <is>
          <t>UPPSALA LÄN</t>
        </is>
      </c>
      <c r="E1632" t="inlineStr">
        <is>
          <t>UPPSALA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53615-2024</t>
        </is>
      </c>
      <c r="B1633" s="1" t="n">
        <v>45611</v>
      </c>
      <c r="C1633" s="1" t="n">
        <v>45807</v>
      </c>
      <c r="D1633" t="inlineStr">
        <is>
          <t>UPPSALA LÄN</t>
        </is>
      </c>
      <c r="E1633" t="inlineStr">
        <is>
          <t>UPPSALA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53365-2024</t>
        </is>
      </c>
      <c r="B1634" s="1" t="n">
        <v>45614</v>
      </c>
      <c r="C1634" s="1" t="n">
        <v>45807</v>
      </c>
      <c r="D1634" t="inlineStr">
        <is>
          <t>UPPSALA LÄN</t>
        </is>
      </c>
      <c r="E1634" t="inlineStr">
        <is>
          <t>UPPSALA</t>
        </is>
      </c>
      <c r="F1634" t="inlineStr">
        <is>
          <t>Allmännings- och besparingsskogar</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53588-2024</t>
        </is>
      </c>
      <c r="B1635" s="1" t="n">
        <v>45614</v>
      </c>
      <c r="C1635" s="1" t="n">
        <v>45807</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53589-2024</t>
        </is>
      </c>
      <c r="B1636" s="1" t="n">
        <v>45614</v>
      </c>
      <c r="C1636" s="1" t="n">
        <v>45807</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53569-2024</t>
        </is>
      </c>
      <c r="B1637" s="1" t="n">
        <v>45614</v>
      </c>
      <c r="C1637" s="1" t="n">
        <v>45807</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53384-2024</t>
        </is>
      </c>
      <c r="B1638" s="1" t="n">
        <v>45614</v>
      </c>
      <c r="C1638" s="1" t="n">
        <v>45807</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53266-2024</t>
        </is>
      </c>
      <c r="B1639" s="1" t="n">
        <v>45614</v>
      </c>
      <c r="C1639" s="1" t="n">
        <v>45807</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53921-2024</t>
        </is>
      </c>
      <c r="B1640" s="1" t="n">
        <v>45615</v>
      </c>
      <c r="C1640" s="1" t="n">
        <v>45807</v>
      </c>
      <c r="D1640" t="inlineStr">
        <is>
          <t>UPPSALA LÄN</t>
        </is>
      </c>
      <c r="E1640" t="inlineStr">
        <is>
          <t>UPPSALA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54512-2024</t>
        </is>
      </c>
      <c r="B1641" s="1" t="n">
        <v>45617</v>
      </c>
      <c r="C1641" s="1" t="n">
        <v>45807</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54924-2024</t>
        </is>
      </c>
      <c r="B1642" s="1" t="n">
        <v>45618</v>
      </c>
      <c r="C1642" s="1" t="n">
        <v>45807</v>
      </c>
      <c r="D1642" t="inlineStr">
        <is>
          <t>UPPSALA LÄN</t>
        </is>
      </c>
      <c r="E1642" t="inlineStr">
        <is>
          <t>UPPSALA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56050-2024</t>
        </is>
      </c>
      <c r="B1643" s="1" t="n">
        <v>45624</v>
      </c>
      <c r="C1643" s="1" t="n">
        <v>45807</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56067-2024</t>
        </is>
      </c>
      <c r="B1644" s="1" t="n">
        <v>45624</v>
      </c>
      <c r="C1644" s="1" t="n">
        <v>45807</v>
      </c>
      <c r="D1644" t="inlineStr">
        <is>
          <t>UPPSALA LÄN</t>
        </is>
      </c>
      <c r="E1644" t="inlineStr">
        <is>
          <t>UPPSALA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56084-2024</t>
        </is>
      </c>
      <c r="B1645" s="1" t="n">
        <v>45624</v>
      </c>
      <c r="C1645" s="1" t="n">
        <v>45807</v>
      </c>
      <c r="D1645" t="inlineStr">
        <is>
          <t>UPPSALA LÄN</t>
        </is>
      </c>
      <c r="E1645" t="inlineStr">
        <is>
          <t>UPPSALA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56564-2024</t>
        </is>
      </c>
      <c r="B1646" s="1" t="n">
        <v>45625</v>
      </c>
      <c r="C1646" s="1" t="n">
        <v>45807</v>
      </c>
      <c r="D1646" t="inlineStr">
        <is>
          <t>UPPSALA LÄN</t>
        </is>
      </c>
      <c r="E1646" t="inlineStr">
        <is>
          <t>UPPSALA</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57614-2024</t>
        </is>
      </c>
      <c r="B1647" s="1" t="n">
        <v>45630</v>
      </c>
      <c r="C1647" s="1" t="n">
        <v>45807</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57618-2024</t>
        </is>
      </c>
      <c r="B1648" s="1" t="n">
        <v>45630</v>
      </c>
      <c r="C1648" s="1" t="n">
        <v>45807</v>
      </c>
      <c r="D1648" t="inlineStr">
        <is>
          <t>UPPSALA LÄN</t>
        </is>
      </c>
      <c r="E1648" t="inlineStr">
        <is>
          <t>UPPSALA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57643-2024</t>
        </is>
      </c>
      <c r="B1649" s="1" t="n">
        <v>45630</v>
      </c>
      <c r="C1649" s="1" t="n">
        <v>45807</v>
      </c>
      <c r="D1649" t="inlineStr">
        <is>
          <t>UPPSALA LÄN</t>
        </is>
      </c>
      <c r="E1649" t="inlineStr">
        <is>
          <t>UPPSALA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57871-2024</t>
        </is>
      </c>
      <c r="B1650" s="1" t="n">
        <v>45631</v>
      </c>
      <c r="C1650" s="1" t="n">
        <v>45807</v>
      </c>
      <c r="D1650" t="inlineStr">
        <is>
          <t>UPPSALA LÄN</t>
        </is>
      </c>
      <c r="E1650" t="inlineStr">
        <is>
          <t>UPPSALA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58187-2024</t>
        </is>
      </c>
      <c r="B1651" s="1" t="n">
        <v>45632</v>
      </c>
      <c r="C1651" s="1" t="n">
        <v>45807</v>
      </c>
      <c r="D1651" t="inlineStr">
        <is>
          <t>UPPSALA LÄN</t>
        </is>
      </c>
      <c r="E1651" t="inlineStr">
        <is>
          <t>UPPSALA</t>
        </is>
      </c>
      <c r="F1651" t="inlineStr">
        <is>
          <t>Bergvik skog väst AB</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58188-2024</t>
        </is>
      </c>
      <c r="B1652" s="1" t="n">
        <v>45632</v>
      </c>
      <c r="C1652" s="1" t="n">
        <v>45807</v>
      </c>
      <c r="D1652" t="inlineStr">
        <is>
          <t>UPPSALA LÄN</t>
        </is>
      </c>
      <c r="E1652" t="inlineStr">
        <is>
          <t>UPPSALA</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59098-2024</t>
        </is>
      </c>
      <c r="B1653" s="1" t="n">
        <v>45636</v>
      </c>
      <c r="C1653" s="1" t="n">
        <v>45807</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59114-2024</t>
        </is>
      </c>
      <c r="B1654" s="1" t="n">
        <v>45637</v>
      </c>
      <c r="C1654" s="1" t="n">
        <v>45807</v>
      </c>
      <c r="D1654" t="inlineStr">
        <is>
          <t>UPPSALA LÄN</t>
        </is>
      </c>
      <c r="E1654" t="inlineStr">
        <is>
          <t>UPPSALA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59116-2024</t>
        </is>
      </c>
      <c r="B1655" s="1" t="n">
        <v>45637</v>
      </c>
      <c r="C1655" s="1" t="n">
        <v>45807</v>
      </c>
      <c r="D1655" t="inlineStr">
        <is>
          <t>UPPSALA LÄN</t>
        </is>
      </c>
      <c r="E1655" t="inlineStr">
        <is>
          <t>UPPSALA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59158-2024</t>
        </is>
      </c>
      <c r="B1656" s="1" t="n">
        <v>45637</v>
      </c>
      <c r="C1656" s="1" t="n">
        <v>45807</v>
      </c>
      <c r="D1656" t="inlineStr">
        <is>
          <t>UPPSALA LÄN</t>
        </is>
      </c>
      <c r="E1656" t="inlineStr">
        <is>
          <t>UPPSALA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59358-2024</t>
        </is>
      </c>
      <c r="B1657" s="1" t="n">
        <v>45638</v>
      </c>
      <c r="C1657" s="1" t="n">
        <v>45807</v>
      </c>
      <c r="D1657" t="inlineStr">
        <is>
          <t>UPPSALA LÄN</t>
        </is>
      </c>
      <c r="E1657" t="inlineStr">
        <is>
          <t>UPPSALA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59549-2024</t>
        </is>
      </c>
      <c r="B1658" s="1" t="n">
        <v>45638</v>
      </c>
      <c r="C1658" s="1" t="n">
        <v>45807</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59562-2024</t>
        </is>
      </c>
      <c r="B1659" s="1" t="n">
        <v>45638</v>
      </c>
      <c r="C1659" s="1" t="n">
        <v>45807</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59547-2024</t>
        </is>
      </c>
      <c r="B1660" s="1" t="n">
        <v>45638</v>
      </c>
      <c r="C1660" s="1" t="n">
        <v>45807</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59587-2024</t>
        </is>
      </c>
      <c r="B1661" s="1" t="n">
        <v>45638</v>
      </c>
      <c r="C1661" s="1" t="n">
        <v>45807</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60167-2024</t>
        </is>
      </c>
      <c r="B1662" s="1" t="n">
        <v>45642</v>
      </c>
      <c r="C1662" s="1" t="n">
        <v>45807</v>
      </c>
      <c r="D1662" t="inlineStr">
        <is>
          <t>UPPSALA LÄN</t>
        </is>
      </c>
      <c r="E1662" t="inlineStr">
        <is>
          <t>UPPSALA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60003-2024</t>
        </is>
      </c>
      <c r="B1663" s="1" t="n">
        <v>45642</v>
      </c>
      <c r="C1663" s="1" t="n">
        <v>45807</v>
      </c>
      <c r="D1663" t="inlineStr">
        <is>
          <t>UPPSALA LÄN</t>
        </is>
      </c>
      <c r="E1663" t="inlineStr">
        <is>
          <t>UPPSALA</t>
        </is>
      </c>
      <c r="F1663" t="inlineStr">
        <is>
          <t>Bergvik skog väst AB</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59996-2024</t>
        </is>
      </c>
      <c r="B1664" s="1" t="n">
        <v>45642</v>
      </c>
      <c r="C1664" s="1" t="n">
        <v>45807</v>
      </c>
      <c r="D1664" t="inlineStr">
        <is>
          <t>UPPSALA LÄN</t>
        </is>
      </c>
      <c r="E1664" t="inlineStr">
        <is>
          <t>UPPSALA</t>
        </is>
      </c>
      <c r="F1664" t="inlineStr">
        <is>
          <t>Bergvik skog väst AB</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60445-2024</t>
        </is>
      </c>
      <c r="B1665" s="1" t="n">
        <v>45643</v>
      </c>
      <c r="C1665" s="1" t="n">
        <v>45807</v>
      </c>
      <c r="D1665" t="inlineStr">
        <is>
          <t>UPPSALA LÄN</t>
        </is>
      </c>
      <c r="E1665" t="inlineStr">
        <is>
          <t>UPPSALA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60698-2024</t>
        </is>
      </c>
      <c r="B1666" s="1" t="n">
        <v>45644</v>
      </c>
      <c r="C1666" s="1" t="n">
        <v>45807</v>
      </c>
      <c r="D1666" t="inlineStr">
        <is>
          <t>UPPSALA LÄN</t>
        </is>
      </c>
      <c r="E1666" t="inlineStr">
        <is>
          <t>UPPSALA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60735-2024</t>
        </is>
      </c>
      <c r="B1667" s="1" t="n">
        <v>45644</v>
      </c>
      <c r="C1667" s="1" t="n">
        <v>45807</v>
      </c>
      <c r="D1667" t="inlineStr">
        <is>
          <t>UPPSALA LÄN</t>
        </is>
      </c>
      <c r="E1667" t="inlineStr">
        <is>
          <t>UPPSALA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60807-2024</t>
        </is>
      </c>
      <c r="B1668" s="1" t="n">
        <v>45644</v>
      </c>
      <c r="C1668" s="1" t="n">
        <v>45807</v>
      </c>
      <c r="D1668" t="inlineStr">
        <is>
          <t>UPPSALA LÄN</t>
        </is>
      </c>
      <c r="E1668" t="inlineStr">
        <is>
          <t>UPPSALA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60820-2024</t>
        </is>
      </c>
      <c r="B1669" s="1" t="n">
        <v>45644</v>
      </c>
      <c r="C1669" s="1" t="n">
        <v>45807</v>
      </c>
      <c r="D1669" t="inlineStr">
        <is>
          <t>UPPSALA LÄN</t>
        </is>
      </c>
      <c r="E1669" t="inlineStr">
        <is>
          <t>UPPSALA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60729-2024</t>
        </is>
      </c>
      <c r="B1670" s="1" t="n">
        <v>45644</v>
      </c>
      <c r="C1670" s="1" t="n">
        <v>45807</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60691-2024</t>
        </is>
      </c>
      <c r="B1671" s="1" t="n">
        <v>45644</v>
      </c>
      <c r="C1671" s="1" t="n">
        <v>45807</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60811-2024</t>
        </is>
      </c>
      <c r="B1672" s="1" t="n">
        <v>45644</v>
      </c>
      <c r="C1672" s="1" t="n">
        <v>45807</v>
      </c>
      <c r="D1672" t="inlineStr">
        <is>
          <t>UPPSALA LÄN</t>
        </is>
      </c>
      <c r="E1672" t="inlineStr">
        <is>
          <t>UPPSALA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60949-2024</t>
        </is>
      </c>
      <c r="B1673" s="1" t="n">
        <v>45645</v>
      </c>
      <c r="C1673" s="1" t="n">
        <v>45807</v>
      </c>
      <c r="D1673" t="inlineStr">
        <is>
          <t>UPPSALA LÄN</t>
        </is>
      </c>
      <c r="E1673" t="inlineStr">
        <is>
          <t>UPPSALA</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60954-2024</t>
        </is>
      </c>
      <c r="B1674" s="1" t="n">
        <v>45645</v>
      </c>
      <c r="C1674" s="1" t="n">
        <v>45807</v>
      </c>
      <c r="D1674" t="inlineStr">
        <is>
          <t>UPPSALA LÄN</t>
        </is>
      </c>
      <c r="E1674" t="inlineStr">
        <is>
          <t>UPPSALA</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61071-2024</t>
        </is>
      </c>
      <c r="B1675" s="1" t="n">
        <v>45645</v>
      </c>
      <c r="C1675" s="1" t="n">
        <v>45807</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61463-2024</t>
        </is>
      </c>
      <c r="B1676" s="1" t="n">
        <v>45646</v>
      </c>
      <c r="C1676" s="1" t="n">
        <v>45807</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61574-2024</t>
        </is>
      </c>
      <c r="B1677" s="1" t="n">
        <v>45646</v>
      </c>
      <c r="C1677" s="1" t="n">
        <v>45807</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62044-2024</t>
        </is>
      </c>
      <c r="B1678" s="1" t="n">
        <v>45656</v>
      </c>
      <c r="C1678" s="1" t="n">
        <v>45807</v>
      </c>
      <c r="D1678" t="inlineStr">
        <is>
          <t>UPPSALA LÄN</t>
        </is>
      </c>
      <c r="E1678" t="inlineStr">
        <is>
          <t>UPPSALA</t>
        </is>
      </c>
      <c r="F1678" t="inlineStr">
        <is>
          <t>Övriga statliga verk och myndigheter</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62054-2024</t>
        </is>
      </c>
      <c r="B1679" s="1" t="n">
        <v>45656</v>
      </c>
      <c r="C1679" s="1" t="n">
        <v>45807</v>
      </c>
      <c r="D1679" t="inlineStr">
        <is>
          <t>UPPSALA LÄN</t>
        </is>
      </c>
      <c r="E1679" t="inlineStr">
        <is>
          <t>UPPSALA</t>
        </is>
      </c>
      <c r="F1679" t="inlineStr">
        <is>
          <t>Övriga statliga verk och myndigheter</t>
        </is>
      </c>
      <c r="G1679" t="n">
        <v>29.3</v>
      </c>
      <c r="H1679" t="n">
        <v>0</v>
      </c>
      <c r="I1679" t="n">
        <v>0</v>
      </c>
      <c r="J1679" t="n">
        <v>0</v>
      </c>
      <c r="K1679" t="n">
        <v>0</v>
      </c>
      <c r="L1679" t="n">
        <v>0</v>
      </c>
      <c r="M1679" t="n">
        <v>0</v>
      </c>
      <c r="N1679" t="n">
        <v>0</v>
      </c>
      <c r="O1679" t="n">
        <v>0</v>
      </c>
      <c r="P1679" t="n">
        <v>0</v>
      </c>
      <c r="Q1679" t="n">
        <v>0</v>
      </c>
      <c r="R1679" s="2" t="inlineStr"/>
    </row>
    <row r="1680" ht="15" customHeight="1">
      <c r="A1680" t="inlineStr">
        <is>
          <t>A 668-2025</t>
        </is>
      </c>
      <c r="B1680" s="1" t="n">
        <v>45664</v>
      </c>
      <c r="C1680" s="1" t="n">
        <v>45807</v>
      </c>
      <c r="D1680" t="inlineStr">
        <is>
          <t>UPPSALA LÄN</t>
        </is>
      </c>
      <c r="E1680" t="inlineStr">
        <is>
          <t>UPPSALA</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842-2025</t>
        </is>
      </c>
      <c r="B1681" s="1" t="n">
        <v>45665</v>
      </c>
      <c r="C1681" s="1" t="n">
        <v>45807</v>
      </c>
      <c r="D1681" t="inlineStr">
        <is>
          <t>UPPSALA LÄN</t>
        </is>
      </c>
      <c r="E1681" t="inlineStr">
        <is>
          <t>UPPSALA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844-2025</t>
        </is>
      </c>
      <c r="B1682" s="1" t="n">
        <v>45665</v>
      </c>
      <c r="C1682" s="1" t="n">
        <v>45807</v>
      </c>
      <c r="D1682" t="inlineStr">
        <is>
          <t>UPPSALA LÄN</t>
        </is>
      </c>
      <c r="E1682" t="inlineStr">
        <is>
          <t>UPPSALA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1588-2025</t>
        </is>
      </c>
      <c r="B1683" s="1" t="n">
        <v>45670</v>
      </c>
      <c r="C1683" s="1" t="n">
        <v>45807</v>
      </c>
      <c r="D1683" t="inlineStr">
        <is>
          <t>UPPSALA LÄN</t>
        </is>
      </c>
      <c r="E1683" t="inlineStr">
        <is>
          <t>UPPSALA</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1592-2025</t>
        </is>
      </c>
      <c r="B1684" s="1" t="n">
        <v>45670</v>
      </c>
      <c r="C1684" s="1" t="n">
        <v>45807</v>
      </c>
      <c r="D1684" t="inlineStr">
        <is>
          <t>UPPSALA LÄN</t>
        </is>
      </c>
      <c r="E1684" t="inlineStr">
        <is>
          <t>UPPSALA</t>
        </is>
      </c>
      <c r="F1684" t="inlineStr">
        <is>
          <t>Bergvik skog väst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2790-2025</t>
        </is>
      </c>
      <c r="B1685" s="1" t="n">
        <v>45677</v>
      </c>
      <c r="C1685" s="1" t="n">
        <v>45807</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2695-2025</t>
        </is>
      </c>
      <c r="B1686" s="1" t="n">
        <v>45677</v>
      </c>
      <c r="C1686" s="1" t="n">
        <v>45807</v>
      </c>
      <c r="D1686" t="inlineStr">
        <is>
          <t>UPPSALA LÄN</t>
        </is>
      </c>
      <c r="E1686" t="inlineStr">
        <is>
          <t>UPPSALA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2897-2025</t>
        </is>
      </c>
      <c r="B1687" s="1" t="n">
        <v>45677</v>
      </c>
      <c r="C1687" s="1" t="n">
        <v>45807</v>
      </c>
      <c r="D1687" t="inlineStr">
        <is>
          <t>UPPSALA LÄN</t>
        </is>
      </c>
      <c r="E1687" t="inlineStr">
        <is>
          <t>UPPSALA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3314-2025</t>
        </is>
      </c>
      <c r="B1688" s="1" t="n">
        <v>45679</v>
      </c>
      <c r="C1688" s="1" t="n">
        <v>45807</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3315-2025</t>
        </is>
      </c>
      <c r="B1689" s="1" t="n">
        <v>45679</v>
      </c>
      <c r="C1689" s="1" t="n">
        <v>45807</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3287-2025</t>
        </is>
      </c>
      <c r="B1690" s="1" t="n">
        <v>45679</v>
      </c>
      <c r="C1690" s="1" t="n">
        <v>45807</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3973-2025</t>
        </is>
      </c>
      <c r="B1691" s="1" t="n">
        <v>45684</v>
      </c>
      <c r="C1691" s="1" t="n">
        <v>45807</v>
      </c>
      <c r="D1691" t="inlineStr">
        <is>
          <t>UPPSALA LÄN</t>
        </is>
      </c>
      <c r="E1691" t="inlineStr">
        <is>
          <t>UPPSALA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4014-2025</t>
        </is>
      </c>
      <c r="B1692" s="1" t="n">
        <v>45684</v>
      </c>
      <c r="C1692" s="1" t="n">
        <v>45807</v>
      </c>
      <c r="D1692" t="inlineStr">
        <is>
          <t>UPPSALA LÄN</t>
        </is>
      </c>
      <c r="E1692" t="inlineStr">
        <is>
          <t>UPPSALA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4293-2025</t>
        </is>
      </c>
      <c r="B1693" s="1" t="n">
        <v>45685</v>
      </c>
      <c r="C1693" s="1" t="n">
        <v>45807</v>
      </c>
      <c r="D1693" t="inlineStr">
        <is>
          <t>UPPSALA LÄN</t>
        </is>
      </c>
      <c r="E1693" t="inlineStr">
        <is>
          <t>UPPSALA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4242-2025</t>
        </is>
      </c>
      <c r="B1694" s="1" t="n">
        <v>45685</v>
      </c>
      <c r="C1694" s="1" t="n">
        <v>45807</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4244-2025</t>
        </is>
      </c>
      <c r="B1695" s="1" t="n">
        <v>45685</v>
      </c>
      <c r="C1695" s="1" t="n">
        <v>45807</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4240-2025</t>
        </is>
      </c>
      <c r="B1696" s="1" t="n">
        <v>45685</v>
      </c>
      <c r="C1696" s="1" t="n">
        <v>45807</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4569-2025</t>
        </is>
      </c>
      <c r="B1697" s="1" t="n">
        <v>45687</v>
      </c>
      <c r="C1697" s="1" t="n">
        <v>45807</v>
      </c>
      <c r="D1697" t="inlineStr">
        <is>
          <t>UPPSALA LÄN</t>
        </is>
      </c>
      <c r="E1697" t="inlineStr">
        <is>
          <t>UPPSALA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5068-2025</t>
        </is>
      </c>
      <c r="B1698" s="1" t="n">
        <v>45691</v>
      </c>
      <c r="C1698" s="1" t="n">
        <v>45807</v>
      </c>
      <c r="D1698" t="inlineStr">
        <is>
          <t>UPPSALA LÄN</t>
        </is>
      </c>
      <c r="E1698" t="inlineStr">
        <is>
          <t>UPPSALA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4993-2025</t>
        </is>
      </c>
      <c r="B1699" s="1" t="n">
        <v>45691</v>
      </c>
      <c r="C1699" s="1" t="n">
        <v>45807</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5204-2025</t>
        </is>
      </c>
      <c r="B1700" s="1" t="n">
        <v>45691</v>
      </c>
      <c r="C1700" s="1" t="n">
        <v>45807</v>
      </c>
      <c r="D1700" t="inlineStr">
        <is>
          <t>UPPSALA LÄN</t>
        </is>
      </c>
      <c r="E1700" t="inlineStr">
        <is>
          <t>UPPSALA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5371-2025</t>
        </is>
      </c>
      <c r="B1701" s="1" t="n">
        <v>45692</v>
      </c>
      <c r="C1701" s="1" t="n">
        <v>45807</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5373-2025</t>
        </is>
      </c>
      <c r="B1702" s="1" t="n">
        <v>45692</v>
      </c>
      <c r="C1702" s="1" t="n">
        <v>45807</v>
      </c>
      <c r="D1702" t="inlineStr">
        <is>
          <t>UPPSALA LÄN</t>
        </is>
      </c>
      <c r="E1702" t="inlineStr">
        <is>
          <t>UPPSALA</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5628-2025</t>
        </is>
      </c>
      <c r="B1703" s="1" t="n">
        <v>45693</v>
      </c>
      <c r="C1703" s="1" t="n">
        <v>45807</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6971-2025</t>
        </is>
      </c>
      <c r="B1704" s="1" t="n">
        <v>45693</v>
      </c>
      <c r="C1704" s="1" t="n">
        <v>45807</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6973-2025</t>
        </is>
      </c>
      <c r="B1705" s="1" t="n">
        <v>45693</v>
      </c>
      <c r="C1705" s="1" t="n">
        <v>45807</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5605-2025</t>
        </is>
      </c>
      <c r="B1706" s="1" t="n">
        <v>45693</v>
      </c>
      <c r="C1706" s="1" t="n">
        <v>45807</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6988-2025</t>
        </is>
      </c>
      <c r="B1707" s="1" t="n">
        <v>45693</v>
      </c>
      <c r="C1707" s="1" t="n">
        <v>45807</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6970-2025</t>
        </is>
      </c>
      <c r="B1708" s="1" t="n">
        <v>45693</v>
      </c>
      <c r="C1708" s="1" t="n">
        <v>45807</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5725-2025</t>
        </is>
      </c>
      <c r="B1709" s="1" t="n">
        <v>45694</v>
      </c>
      <c r="C1709" s="1" t="n">
        <v>45807</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5729-2025</t>
        </is>
      </c>
      <c r="B1710" s="1" t="n">
        <v>45694</v>
      </c>
      <c r="C1710" s="1" t="n">
        <v>45807</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5671-2025</t>
        </is>
      </c>
      <c r="B1711" s="1" t="n">
        <v>45694</v>
      </c>
      <c r="C1711" s="1" t="n">
        <v>45807</v>
      </c>
      <c r="D1711" t="inlineStr">
        <is>
          <t>UPPSALA LÄN</t>
        </is>
      </c>
      <c r="E1711" t="inlineStr">
        <is>
          <t>UPPSALA</t>
        </is>
      </c>
      <c r="F1711" t="inlineStr">
        <is>
          <t>Bergvik skog öst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5719-2025</t>
        </is>
      </c>
      <c r="B1712" s="1" t="n">
        <v>45694</v>
      </c>
      <c r="C1712" s="1" t="n">
        <v>45807</v>
      </c>
      <c r="D1712" t="inlineStr">
        <is>
          <t>UPPSALA LÄN</t>
        </is>
      </c>
      <c r="E1712" t="inlineStr">
        <is>
          <t>UPPSALA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5764-2025</t>
        </is>
      </c>
      <c r="B1713" s="1" t="n">
        <v>45694</v>
      </c>
      <c r="C1713" s="1" t="n">
        <v>45807</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5722-2025</t>
        </is>
      </c>
      <c r="B1714" s="1" t="n">
        <v>45694</v>
      </c>
      <c r="C1714" s="1" t="n">
        <v>45807</v>
      </c>
      <c r="D1714" t="inlineStr">
        <is>
          <t>UPPSALA LÄN</t>
        </is>
      </c>
      <c r="E1714" t="inlineStr">
        <is>
          <t>UPPSALA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5730-2025</t>
        </is>
      </c>
      <c r="B1715" s="1" t="n">
        <v>45694</v>
      </c>
      <c r="C1715" s="1" t="n">
        <v>45807</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5925-2025</t>
        </is>
      </c>
      <c r="B1716" s="1" t="n">
        <v>45695</v>
      </c>
      <c r="C1716" s="1" t="n">
        <v>45807</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6012-2025</t>
        </is>
      </c>
      <c r="B1717" s="1" t="n">
        <v>45695</v>
      </c>
      <c r="C1717" s="1" t="n">
        <v>45807</v>
      </c>
      <c r="D1717" t="inlineStr">
        <is>
          <t>UPPSALA LÄN</t>
        </is>
      </c>
      <c r="E1717" t="inlineStr">
        <is>
          <t>UPPSALA</t>
        </is>
      </c>
      <c r="F1717" t="inlineStr">
        <is>
          <t>Övriga Aktiebolag</t>
        </is>
      </c>
      <c r="G1717" t="n">
        <v>14.3</v>
      </c>
      <c r="H1717" t="n">
        <v>0</v>
      </c>
      <c r="I1717" t="n">
        <v>0</v>
      </c>
      <c r="J1717" t="n">
        <v>0</v>
      </c>
      <c r="K1717" t="n">
        <v>0</v>
      </c>
      <c r="L1717" t="n">
        <v>0</v>
      </c>
      <c r="M1717" t="n">
        <v>0</v>
      </c>
      <c r="N1717" t="n">
        <v>0</v>
      </c>
      <c r="O1717" t="n">
        <v>0</v>
      </c>
      <c r="P1717" t="n">
        <v>0</v>
      </c>
      <c r="Q1717" t="n">
        <v>0</v>
      </c>
      <c r="R1717" s="2" t="inlineStr"/>
    </row>
    <row r="1718" ht="15" customHeight="1">
      <c r="A1718" t="inlineStr">
        <is>
          <t>A 6060-2025</t>
        </is>
      </c>
      <c r="B1718" s="1" t="n">
        <v>45695</v>
      </c>
      <c r="C1718" s="1" t="n">
        <v>45807</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6059-2025</t>
        </is>
      </c>
      <c r="B1719" s="1" t="n">
        <v>45695</v>
      </c>
      <c r="C1719" s="1" t="n">
        <v>45807</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6006-2025</t>
        </is>
      </c>
      <c r="B1720" s="1" t="n">
        <v>45695</v>
      </c>
      <c r="C1720" s="1" t="n">
        <v>45807</v>
      </c>
      <c r="D1720" t="inlineStr">
        <is>
          <t>UPPSALA LÄN</t>
        </is>
      </c>
      <c r="E1720" t="inlineStr">
        <is>
          <t>UPPSALA</t>
        </is>
      </c>
      <c r="F1720" t="inlineStr">
        <is>
          <t>Övriga Aktiebolag</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6058-2025</t>
        </is>
      </c>
      <c r="B1721" s="1" t="n">
        <v>45695</v>
      </c>
      <c r="C1721" s="1" t="n">
        <v>45807</v>
      </c>
      <c r="D1721" t="inlineStr">
        <is>
          <t>UPPSALA LÄN</t>
        </is>
      </c>
      <c r="E1721" t="inlineStr">
        <is>
          <t>UPPSALA</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6290-2025</t>
        </is>
      </c>
      <c r="B1722" s="1" t="n">
        <v>45698</v>
      </c>
      <c r="C1722" s="1" t="n">
        <v>45807</v>
      </c>
      <c r="D1722" t="inlineStr">
        <is>
          <t>UPPSALA LÄN</t>
        </is>
      </c>
      <c r="E1722" t="inlineStr">
        <is>
          <t>UPPSALA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6541-2025</t>
        </is>
      </c>
      <c r="B1723" s="1" t="n">
        <v>45699</v>
      </c>
      <c r="C1723" s="1" t="n">
        <v>45807</v>
      </c>
      <c r="D1723" t="inlineStr">
        <is>
          <t>UPPSALA LÄN</t>
        </is>
      </c>
      <c r="E1723" t="inlineStr">
        <is>
          <t>UPPSALA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6549-2025</t>
        </is>
      </c>
      <c r="B1724" s="1" t="n">
        <v>45699</v>
      </c>
      <c r="C1724" s="1" t="n">
        <v>45807</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6550-2025</t>
        </is>
      </c>
      <c r="B1725" s="1" t="n">
        <v>45699</v>
      </c>
      <c r="C1725" s="1" t="n">
        <v>45807</v>
      </c>
      <c r="D1725" t="inlineStr">
        <is>
          <t>UPPSALA LÄN</t>
        </is>
      </c>
      <c r="E1725" t="inlineStr">
        <is>
          <t>UPPSALA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7346-2025</t>
        </is>
      </c>
      <c r="B1726" s="1" t="n">
        <v>45703</v>
      </c>
      <c r="C1726" s="1" t="n">
        <v>45807</v>
      </c>
      <c r="D1726" t="inlineStr">
        <is>
          <t>UPPSALA LÄN</t>
        </is>
      </c>
      <c r="E1726" t="inlineStr">
        <is>
          <t>UPPSALA</t>
        </is>
      </c>
      <c r="F1726" t="inlineStr">
        <is>
          <t>Bergvik skog öst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7645-2025</t>
        </is>
      </c>
      <c r="B1727" s="1" t="n">
        <v>45705</v>
      </c>
      <c r="C1727" s="1" t="n">
        <v>45807</v>
      </c>
      <c r="D1727" t="inlineStr">
        <is>
          <t>UPPSALA LÄN</t>
        </is>
      </c>
      <c r="E1727" t="inlineStr">
        <is>
          <t>UPPSALA</t>
        </is>
      </c>
      <c r="F1727" t="inlineStr">
        <is>
          <t>Bergvik skog öst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7633-2025</t>
        </is>
      </c>
      <c r="B1728" s="1" t="n">
        <v>45705</v>
      </c>
      <c r="C1728" s="1" t="n">
        <v>45807</v>
      </c>
      <c r="D1728" t="inlineStr">
        <is>
          <t>UPPSALA LÄN</t>
        </is>
      </c>
      <c r="E1728" t="inlineStr">
        <is>
          <t>UPPSALA</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7376-2025</t>
        </is>
      </c>
      <c r="B1729" s="1" t="n">
        <v>45705</v>
      </c>
      <c r="C1729" s="1" t="n">
        <v>45807</v>
      </c>
      <c r="D1729" t="inlineStr">
        <is>
          <t>UPPSALA LÄN</t>
        </is>
      </c>
      <c r="E1729" t="inlineStr">
        <is>
          <t>UPPSALA</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7501-2025</t>
        </is>
      </c>
      <c r="B1730" s="1" t="n">
        <v>45705</v>
      </c>
      <c r="C1730" s="1" t="n">
        <v>45807</v>
      </c>
      <c r="D1730" t="inlineStr">
        <is>
          <t>UPPSALA LÄN</t>
        </is>
      </c>
      <c r="E1730" t="inlineStr">
        <is>
          <t>UPPSALA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8164-2025</t>
        </is>
      </c>
      <c r="B1731" s="1" t="n">
        <v>45707</v>
      </c>
      <c r="C1731" s="1" t="n">
        <v>45807</v>
      </c>
      <c r="D1731" t="inlineStr">
        <is>
          <t>UPPSALA LÄN</t>
        </is>
      </c>
      <c r="E1731" t="inlineStr">
        <is>
          <t>UPPSALA</t>
        </is>
      </c>
      <c r="F1731" t="inlineStr">
        <is>
          <t>Övriga Aktiebolag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8162-2025</t>
        </is>
      </c>
      <c r="B1732" s="1" t="n">
        <v>45707</v>
      </c>
      <c r="C1732" s="1" t="n">
        <v>45807</v>
      </c>
      <c r="D1732" t="inlineStr">
        <is>
          <t>UPPSALA LÄN</t>
        </is>
      </c>
      <c r="E1732" t="inlineStr">
        <is>
          <t>UPPSALA</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8931-2025</t>
        </is>
      </c>
      <c r="B1733" s="1" t="n">
        <v>45713</v>
      </c>
      <c r="C1733" s="1" t="n">
        <v>45807</v>
      </c>
      <c r="D1733" t="inlineStr">
        <is>
          <t>UPPSALA LÄN</t>
        </is>
      </c>
      <c r="E1733" t="inlineStr">
        <is>
          <t>UPPSALA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9235-2025</t>
        </is>
      </c>
      <c r="B1734" s="1" t="n">
        <v>45714</v>
      </c>
      <c r="C1734" s="1" t="n">
        <v>45807</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9411-2025</t>
        </is>
      </c>
      <c r="B1735" s="1" t="n">
        <v>45715</v>
      </c>
      <c r="C1735" s="1" t="n">
        <v>45807</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9414-2025</t>
        </is>
      </c>
      <c r="B1736" s="1" t="n">
        <v>45715</v>
      </c>
      <c r="C1736" s="1" t="n">
        <v>45807</v>
      </c>
      <c r="D1736" t="inlineStr">
        <is>
          <t>UPPSALA LÄN</t>
        </is>
      </c>
      <c r="E1736" t="inlineStr">
        <is>
          <t>UPPSALA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9982-2025</t>
        </is>
      </c>
      <c r="B1737" s="1" t="n">
        <v>45719</v>
      </c>
      <c r="C1737" s="1" t="n">
        <v>45807</v>
      </c>
      <c r="D1737" t="inlineStr">
        <is>
          <t>UPPSALA LÄN</t>
        </is>
      </c>
      <c r="E1737" t="inlineStr">
        <is>
          <t>UPPSALA</t>
        </is>
      </c>
      <c r="F1737" t="inlineStr">
        <is>
          <t>Kyrkan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9984-2025</t>
        </is>
      </c>
      <c r="B1738" s="1" t="n">
        <v>45719</v>
      </c>
      <c r="C1738" s="1" t="n">
        <v>45807</v>
      </c>
      <c r="D1738" t="inlineStr">
        <is>
          <t>UPPSALA LÄN</t>
        </is>
      </c>
      <c r="E1738" t="inlineStr">
        <is>
          <t>UPPSALA</t>
        </is>
      </c>
      <c r="F1738" t="inlineStr">
        <is>
          <t>Kyrkan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9993-2025</t>
        </is>
      </c>
      <c r="B1739" s="1" t="n">
        <v>45719</v>
      </c>
      <c r="C1739" s="1" t="n">
        <v>45807</v>
      </c>
      <c r="D1739" t="inlineStr">
        <is>
          <t>UPPSALA LÄN</t>
        </is>
      </c>
      <c r="E1739" t="inlineStr">
        <is>
          <t>UPPSALA</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9991-2025</t>
        </is>
      </c>
      <c r="B1740" s="1" t="n">
        <v>45719</v>
      </c>
      <c r="C1740" s="1" t="n">
        <v>45807</v>
      </c>
      <c r="D1740" t="inlineStr">
        <is>
          <t>UPPSALA LÄN</t>
        </is>
      </c>
      <c r="E1740" t="inlineStr">
        <is>
          <t>UPPSALA</t>
        </is>
      </c>
      <c r="F1740" t="inlineStr">
        <is>
          <t>Kyrkan</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9981-2025</t>
        </is>
      </c>
      <c r="B1741" s="1" t="n">
        <v>45719</v>
      </c>
      <c r="C1741" s="1" t="n">
        <v>45807</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9995-2025</t>
        </is>
      </c>
      <c r="B1742" s="1" t="n">
        <v>45719</v>
      </c>
      <c r="C1742" s="1" t="n">
        <v>45807</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v>
      </c>
      <c r="C1743" s="1" t="n">
        <v>45807</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10489-2025</t>
        </is>
      </c>
      <c r="B1744" s="1" t="n">
        <v>45721</v>
      </c>
      <c r="C1744" s="1" t="n">
        <v>45807</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10488-2025</t>
        </is>
      </c>
      <c r="B1745" s="1" t="n">
        <v>45721</v>
      </c>
      <c r="C1745" s="1" t="n">
        <v>45807</v>
      </c>
      <c r="D1745" t="inlineStr">
        <is>
          <t>UPPSALA LÄN</t>
        </is>
      </c>
      <c r="E1745" t="inlineStr">
        <is>
          <t>UPPSALA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10490-2025</t>
        </is>
      </c>
      <c r="B1746" s="1" t="n">
        <v>45721</v>
      </c>
      <c r="C1746" s="1" t="n">
        <v>45807</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10612-2025</t>
        </is>
      </c>
      <c r="B1747" s="1" t="n">
        <v>45721</v>
      </c>
      <c r="C1747" s="1" t="n">
        <v>45807</v>
      </c>
      <c r="D1747" t="inlineStr">
        <is>
          <t>UPPSALA LÄN</t>
        </is>
      </c>
      <c r="E1747" t="inlineStr">
        <is>
          <t>UPPSALA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11103-2025</t>
        </is>
      </c>
      <c r="B1748" s="1" t="n">
        <v>45723</v>
      </c>
      <c r="C1748" s="1" t="n">
        <v>45807</v>
      </c>
      <c r="D1748" t="inlineStr">
        <is>
          <t>UPPSALA LÄN</t>
        </is>
      </c>
      <c r="E1748" t="inlineStr">
        <is>
          <t>UPPSALA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11119-2025</t>
        </is>
      </c>
      <c r="B1749" s="1" t="n">
        <v>45723</v>
      </c>
      <c r="C1749" s="1" t="n">
        <v>45807</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11184-2025</t>
        </is>
      </c>
      <c r="B1750" s="1" t="n">
        <v>45725</v>
      </c>
      <c r="C1750" s="1" t="n">
        <v>45807</v>
      </c>
      <c r="D1750" t="inlineStr">
        <is>
          <t>UPPSALA LÄN</t>
        </is>
      </c>
      <c r="E1750" t="inlineStr">
        <is>
          <t>UPPSALA</t>
        </is>
      </c>
      <c r="F1750" t="inlineStr">
        <is>
          <t>Bergvik skog öst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11339-2025</t>
        </is>
      </c>
      <c r="B1751" s="1" t="n">
        <v>45726</v>
      </c>
      <c r="C1751" s="1" t="n">
        <v>45807</v>
      </c>
      <c r="D1751" t="inlineStr">
        <is>
          <t>UPPSALA LÄN</t>
        </is>
      </c>
      <c r="E1751" t="inlineStr">
        <is>
          <t>UPPSALA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11409-2025</t>
        </is>
      </c>
      <c r="B1752" s="1" t="n">
        <v>45726</v>
      </c>
      <c r="C1752" s="1" t="n">
        <v>45807</v>
      </c>
      <c r="D1752" t="inlineStr">
        <is>
          <t>UPPSALA LÄN</t>
        </is>
      </c>
      <c r="E1752" t="inlineStr">
        <is>
          <t>UPPSALA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12282-2025</t>
        </is>
      </c>
      <c r="B1753" s="1" t="n">
        <v>45729</v>
      </c>
      <c r="C1753" s="1" t="n">
        <v>45807</v>
      </c>
      <c r="D1753" t="inlineStr">
        <is>
          <t>UPPSALA LÄN</t>
        </is>
      </c>
      <c r="E1753" t="inlineStr">
        <is>
          <t>UPPSALA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12211-2025</t>
        </is>
      </c>
      <c r="B1754" s="1" t="n">
        <v>45729</v>
      </c>
      <c r="C1754" s="1" t="n">
        <v>45807</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12209-2025</t>
        </is>
      </c>
      <c r="B1755" s="1" t="n">
        <v>45729</v>
      </c>
      <c r="C1755" s="1" t="n">
        <v>45807</v>
      </c>
      <c r="D1755" t="inlineStr">
        <is>
          <t>UPPSALA LÄN</t>
        </is>
      </c>
      <c r="E1755" t="inlineStr">
        <is>
          <t>UPPSALA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12287-2025</t>
        </is>
      </c>
      <c r="B1756" s="1" t="n">
        <v>45729</v>
      </c>
      <c r="C1756" s="1" t="n">
        <v>45807</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12284-2025</t>
        </is>
      </c>
      <c r="B1757" s="1" t="n">
        <v>45729</v>
      </c>
      <c r="C1757" s="1" t="n">
        <v>45807</v>
      </c>
      <c r="D1757" t="inlineStr">
        <is>
          <t>UPPSALA LÄN</t>
        </is>
      </c>
      <c r="E1757" t="inlineStr">
        <is>
          <t>UPPSALA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v>
      </c>
      <c r="C1758" s="1" t="n">
        <v>45807</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12828-2025</t>
        </is>
      </c>
      <c r="B1759" s="1" t="n">
        <v>45733</v>
      </c>
      <c r="C1759" s="1" t="n">
        <v>45807</v>
      </c>
      <c r="D1759" t="inlineStr">
        <is>
          <t>UPPSALA LÄN</t>
        </is>
      </c>
      <c r="E1759" t="inlineStr">
        <is>
          <t>UPPSALA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12830-2025</t>
        </is>
      </c>
      <c r="B1760" s="1" t="n">
        <v>45733</v>
      </c>
      <c r="C1760" s="1" t="n">
        <v>45807</v>
      </c>
      <c r="D1760" t="inlineStr">
        <is>
          <t>UPPSALA LÄN</t>
        </is>
      </c>
      <c r="E1760" t="inlineStr">
        <is>
          <t>UPPSALA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13491-2025</t>
        </is>
      </c>
      <c r="B1761" s="1" t="n">
        <v>45736</v>
      </c>
      <c r="C1761" s="1" t="n">
        <v>45807</v>
      </c>
      <c r="D1761" t="inlineStr">
        <is>
          <t>UPPSALA LÄN</t>
        </is>
      </c>
      <c r="E1761" t="inlineStr">
        <is>
          <t>UPPSALA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13492-2025</t>
        </is>
      </c>
      <c r="B1762" s="1" t="n">
        <v>45736</v>
      </c>
      <c r="C1762" s="1" t="n">
        <v>45807</v>
      </c>
      <c r="D1762" t="inlineStr">
        <is>
          <t>UPPSALA LÄN</t>
        </is>
      </c>
      <c r="E1762" t="inlineStr">
        <is>
          <t>UPPSALA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13590-2025</t>
        </is>
      </c>
      <c r="B1763" s="1" t="n">
        <v>45736</v>
      </c>
      <c r="C1763" s="1" t="n">
        <v>45807</v>
      </c>
      <c r="D1763" t="inlineStr">
        <is>
          <t>UPPSALA LÄN</t>
        </is>
      </c>
      <c r="E1763" t="inlineStr">
        <is>
          <t>UPPSALA</t>
        </is>
      </c>
      <c r="F1763" t="inlineStr">
        <is>
          <t>Allmännings- och besparingsskogar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13502-2025</t>
        </is>
      </c>
      <c r="B1764" s="1" t="n">
        <v>45736</v>
      </c>
      <c r="C1764" s="1" t="n">
        <v>45807</v>
      </c>
      <c r="D1764" t="inlineStr">
        <is>
          <t>UPPSALA LÄN</t>
        </is>
      </c>
      <c r="E1764" t="inlineStr">
        <is>
          <t>UPPSALA</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13602-2025</t>
        </is>
      </c>
      <c r="B1765" s="1" t="n">
        <v>45736</v>
      </c>
      <c r="C1765" s="1" t="n">
        <v>45807</v>
      </c>
      <c r="D1765" t="inlineStr">
        <is>
          <t>UPPSALA LÄN</t>
        </is>
      </c>
      <c r="E1765" t="inlineStr">
        <is>
          <t>UPPSALA</t>
        </is>
      </c>
      <c r="F1765" t="inlineStr">
        <is>
          <t>Allmännings- och besparingsskogar</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13742-2025</t>
        </is>
      </c>
      <c r="B1766" s="1" t="n">
        <v>45737</v>
      </c>
      <c r="C1766" s="1" t="n">
        <v>45807</v>
      </c>
      <c r="D1766" t="inlineStr">
        <is>
          <t>UPPSALA LÄN</t>
        </is>
      </c>
      <c r="E1766" t="inlineStr">
        <is>
          <t>UPPSALA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13914-2025</t>
        </is>
      </c>
      <c r="B1767" s="1" t="n">
        <v>45737</v>
      </c>
      <c r="C1767" s="1" t="n">
        <v>45807</v>
      </c>
      <c r="D1767" t="inlineStr">
        <is>
          <t>UPPSALA LÄN</t>
        </is>
      </c>
      <c r="E1767" t="inlineStr">
        <is>
          <t>UPPSALA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13908-2025</t>
        </is>
      </c>
      <c r="B1768" s="1" t="n">
        <v>45737</v>
      </c>
      <c r="C1768" s="1" t="n">
        <v>45807</v>
      </c>
      <c r="D1768" t="inlineStr">
        <is>
          <t>UPPSALA LÄN</t>
        </is>
      </c>
      <c r="E1768" t="inlineStr">
        <is>
          <t>UPPSALA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14400-2025</t>
        </is>
      </c>
      <c r="B1769" s="1" t="n">
        <v>45741</v>
      </c>
      <c r="C1769" s="1" t="n">
        <v>45807</v>
      </c>
      <c r="D1769" t="inlineStr">
        <is>
          <t>UPPSALA LÄN</t>
        </is>
      </c>
      <c r="E1769" t="inlineStr">
        <is>
          <t>UPPSALA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14652-2025</t>
        </is>
      </c>
      <c r="B1770" s="1" t="n">
        <v>45742</v>
      </c>
      <c r="C1770" s="1" t="n">
        <v>45807</v>
      </c>
      <c r="D1770" t="inlineStr">
        <is>
          <t>UPPSALA LÄN</t>
        </is>
      </c>
      <c r="E1770" t="inlineStr">
        <is>
          <t>UPPSALA</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14907-2025</t>
        </is>
      </c>
      <c r="B1771" s="1" t="n">
        <v>45743</v>
      </c>
      <c r="C1771" s="1" t="n">
        <v>45807</v>
      </c>
      <c r="D1771" t="inlineStr">
        <is>
          <t>UPPSALA LÄN</t>
        </is>
      </c>
      <c r="E1771" t="inlineStr">
        <is>
          <t>UPPSALA</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15264-2025</t>
        </is>
      </c>
      <c r="B1772" s="1" t="n">
        <v>45744</v>
      </c>
      <c r="C1772" s="1" t="n">
        <v>45807</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15473-2025</t>
        </is>
      </c>
      <c r="B1773" s="1" t="n">
        <v>45747</v>
      </c>
      <c r="C1773" s="1" t="n">
        <v>45807</v>
      </c>
      <c r="D1773" t="inlineStr">
        <is>
          <t>UPPSALA LÄN</t>
        </is>
      </c>
      <c r="E1773" t="inlineStr">
        <is>
          <t>UPPSALA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15937-2025</t>
        </is>
      </c>
      <c r="B1774" s="1" t="n">
        <v>45749</v>
      </c>
      <c r="C1774" s="1" t="n">
        <v>45807</v>
      </c>
      <c r="D1774" t="inlineStr">
        <is>
          <t>UPPSALA LÄN</t>
        </is>
      </c>
      <c r="E1774" t="inlineStr">
        <is>
          <t>UPPSALA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16288-2025</t>
        </is>
      </c>
      <c r="B1775" s="1" t="n">
        <v>45751</v>
      </c>
      <c r="C1775" s="1" t="n">
        <v>45807</v>
      </c>
      <c r="D1775" t="inlineStr">
        <is>
          <t>UPPSALA LÄN</t>
        </is>
      </c>
      <c r="E1775" t="inlineStr">
        <is>
          <t>UPPSALA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17250-2025</t>
        </is>
      </c>
      <c r="B1776" s="1" t="n">
        <v>45756</v>
      </c>
      <c r="C1776" s="1" t="n">
        <v>45807</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17211-2025</t>
        </is>
      </c>
      <c r="B1777" s="1" t="n">
        <v>45756</v>
      </c>
      <c r="C1777" s="1" t="n">
        <v>45807</v>
      </c>
      <c r="D1777" t="inlineStr">
        <is>
          <t>UPPSALA LÄN</t>
        </is>
      </c>
      <c r="E1777" t="inlineStr">
        <is>
          <t>UPPSALA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17587-2025</t>
        </is>
      </c>
      <c r="B1778" s="1" t="n">
        <v>45757</v>
      </c>
      <c r="C1778" s="1" t="n">
        <v>45807</v>
      </c>
      <c r="D1778" t="inlineStr">
        <is>
          <t>UPPSALA LÄN</t>
        </is>
      </c>
      <c r="E1778" t="inlineStr">
        <is>
          <t>UPPSALA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17593-2025</t>
        </is>
      </c>
      <c r="B1779" s="1" t="n">
        <v>45757</v>
      </c>
      <c r="C1779" s="1" t="n">
        <v>45807</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17595-2025</t>
        </is>
      </c>
      <c r="B1780" s="1" t="n">
        <v>45757</v>
      </c>
      <c r="C1780" s="1" t="n">
        <v>45807</v>
      </c>
      <c r="D1780" t="inlineStr">
        <is>
          <t>UPPSALA LÄN</t>
        </is>
      </c>
      <c r="E1780" t="inlineStr">
        <is>
          <t>UPPSALA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17596-2025</t>
        </is>
      </c>
      <c r="B1781" s="1" t="n">
        <v>45757</v>
      </c>
      <c r="C1781" s="1" t="n">
        <v>45807</v>
      </c>
      <c r="D1781" t="inlineStr">
        <is>
          <t>UPPSALA LÄN</t>
        </is>
      </c>
      <c r="E1781" t="inlineStr">
        <is>
          <t>UPPSALA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17658-2025</t>
        </is>
      </c>
      <c r="B1782" s="1" t="n">
        <v>45758</v>
      </c>
      <c r="C1782" s="1" t="n">
        <v>45807</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18058-2025</t>
        </is>
      </c>
      <c r="B1783" s="1" t="n">
        <v>45761</v>
      </c>
      <c r="C1783" s="1" t="n">
        <v>45807</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18054-2025</t>
        </is>
      </c>
      <c r="B1784" s="1" t="n">
        <v>45761</v>
      </c>
      <c r="C1784" s="1" t="n">
        <v>45807</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18330-2025</t>
        </is>
      </c>
      <c r="B1785" s="1" t="n">
        <v>45762</v>
      </c>
      <c r="C1785" s="1" t="n">
        <v>45807</v>
      </c>
      <c r="D1785" t="inlineStr">
        <is>
          <t>UPPSALA LÄN</t>
        </is>
      </c>
      <c r="E1785" t="inlineStr">
        <is>
          <t>UPPSALA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18410-2025</t>
        </is>
      </c>
      <c r="B1786" s="1" t="n">
        <v>45762</v>
      </c>
      <c r="C1786" s="1" t="n">
        <v>45807</v>
      </c>
      <c r="D1786" t="inlineStr">
        <is>
          <t>UPPSALA LÄN</t>
        </is>
      </c>
      <c r="E1786" t="inlineStr">
        <is>
          <t>UPPSALA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18717-2025</t>
        </is>
      </c>
      <c r="B1787" s="1" t="n">
        <v>45763</v>
      </c>
      <c r="C1787" s="1" t="n">
        <v>45807</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18781-2025</t>
        </is>
      </c>
      <c r="B1788" s="1" t="n">
        <v>45763</v>
      </c>
      <c r="C1788" s="1" t="n">
        <v>45807</v>
      </c>
      <c r="D1788" t="inlineStr">
        <is>
          <t>UPPSALA LÄN</t>
        </is>
      </c>
      <c r="E1788" t="inlineStr">
        <is>
          <t>UPPSALA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18626-2025</t>
        </is>
      </c>
      <c r="B1789" s="1" t="n">
        <v>45763</v>
      </c>
      <c r="C1789" s="1" t="n">
        <v>45807</v>
      </c>
      <c r="D1789" t="inlineStr">
        <is>
          <t>UPPSALA LÄN</t>
        </is>
      </c>
      <c r="E1789" t="inlineStr">
        <is>
          <t>UPPSALA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18805-2025</t>
        </is>
      </c>
      <c r="B1790" s="1" t="n">
        <v>45763</v>
      </c>
      <c r="C1790" s="1" t="n">
        <v>45807</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18625-2025</t>
        </is>
      </c>
      <c r="B1791" s="1" t="n">
        <v>45763</v>
      </c>
      <c r="C1791" s="1" t="n">
        <v>45807</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19345-2025</t>
        </is>
      </c>
      <c r="B1792" s="1" t="n">
        <v>45769</v>
      </c>
      <c r="C1792" s="1" t="n">
        <v>45807</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19613-2025</t>
        </is>
      </c>
      <c r="B1793" s="1" t="n">
        <v>45770</v>
      </c>
      <c r="C1793" s="1" t="n">
        <v>45807</v>
      </c>
      <c r="D1793" t="inlineStr">
        <is>
          <t>UPPSALA LÄN</t>
        </is>
      </c>
      <c r="E1793" t="inlineStr">
        <is>
          <t>UPPSALA</t>
        </is>
      </c>
      <c r="F1793" t="inlineStr">
        <is>
          <t>Övriga Aktiebolag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20152-2025</t>
        </is>
      </c>
      <c r="B1794" s="1" t="n">
        <v>45772</v>
      </c>
      <c r="C1794" s="1" t="n">
        <v>45807</v>
      </c>
      <c r="D1794" t="inlineStr">
        <is>
          <t>UPPSALA LÄN</t>
        </is>
      </c>
      <c r="E1794" t="inlineStr">
        <is>
          <t>UPPSALA</t>
        </is>
      </c>
      <c r="F1794" t="inlineStr">
        <is>
          <t>Allmännings- och besparingsskogar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20248-2025</t>
        </is>
      </c>
      <c r="B1795" s="1" t="n">
        <v>45772</v>
      </c>
      <c r="C1795" s="1" t="n">
        <v>45807</v>
      </c>
      <c r="D1795" t="inlineStr">
        <is>
          <t>UPPSALA LÄN</t>
        </is>
      </c>
      <c r="E1795" t="inlineStr">
        <is>
          <t>UPPSALA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20418-2025</t>
        </is>
      </c>
      <c r="B1796" s="1" t="n">
        <v>45775</v>
      </c>
      <c r="C1796" s="1" t="n">
        <v>45807</v>
      </c>
      <c r="D1796" t="inlineStr">
        <is>
          <t>UPPSALA LÄN</t>
        </is>
      </c>
      <c r="E1796" t="inlineStr">
        <is>
          <t>UPPSALA</t>
        </is>
      </c>
      <c r="F1796" t="inlineStr">
        <is>
          <t>Allmännings- och besparingsskogar</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20797-2025</t>
        </is>
      </c>
      <c r="B1797" s="1" t="n">
        <v>45776</v>
      </c>
      <c r="C1797" s="1" t="n">
        <v>45807</v>
      </c>
      <c r="D1797" t="inlineStr">
        <is>
          <t>UPPSALA LÄN</t>
        </is>
      </c>
      <c r="E1797" t="inlineStr">
        <is>
          <t>UPPSALA</t>
        </is>
      </c>
      <c r="F1797" t="inlineStr">
        <is>
          <t>Kommuner</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20686-2025</t>
        </is>
      </c>
      <c r="B1798" s="1" t="n">
        <v>45776</v>
      </c>
      <c r="C1798" s="1" t="n">
        <v>45807</v>
      </c>
      <c r="D1798" t="inlineStr">
        <is>
          <t>UPPSALA LÄN</t>
        </is>
      </c>
      <c r="E1798" t="inlineStr">
        <is>
          <t>UPPSALA</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20703-2025</t>
        </is>
      </c>
      <c r="B1799" s="1" t="n">
        <v>45776</v>
      </c>
      <c r="C1799" s="1" t="n">
        <v>45807</v>
      </c>
      <c r="D1799" t="inlineStr">
        <is>
          <t>UPPSALA LÄN</t>
        </is>
      </c>
      <c r="E1799" t="inlineStr">
        <is>
          <t>UPPSALA</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20712-2025</t>
        </is>
      </c>
      <c r="B1800" s="1" t="n">
        <v>45776</v>
      </c>
      <c r="C1800" s="1" t="n">
        <v>45807</v>
      </c>
      <c r="D1800" t="inlineStr">
        <is>
          <t>UPPSALA LÄN</t>
        </is>
      </c>
      <c r="E1800" t="inlineStr">
        <is>
          <t>UPPSALA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21033-2025</t>
        </is>
      </c>
      <c r="B1801" s="1" t="n">
        <v>45777</v>
      </c>
      <c r="C1801" s="1" t="n">
        <v>45807</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20888-2025</t>
        </is>
      </c>
      <c r="B1802" s="1" t="n">
        <v>45777</v>
      </c>
      <c r="C1802" s="1" t="n">
        <v>45807</v>
      </c>
      <c r="D1802" t="inlineStr">
        <is>
          <t>UPPSALA LÄN</t>
        </is>
      </c>
      <c r="E1802" t="inlineStr">
        <is>
          <t>UPPSALA</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20928-2025</t>
        </is>
      </c>
      <c r="B1803" s="1" t="n">
        <v>45777</v>
      </c>
      <c r="C1803" s="1" t="n">
        <v>45807</v>
      </c>
      <c r="D1803" t="inlineStr">
        <is>
          <t>UPPSALA LÄN</t>
        </is>
      </c>
      <c r="E1803" t="inlineStr">
        <is>
          <t>UPPSALA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20858-2025</t>
        </is>
      </c>
      <c r="B1804" s="1" t="n">
        <v>45777</v>
      </c>
      <c r="C1804" s="1" t="n">
        <v>45807</v>
      </c>
      <c r="D1804" t="inlineStr">
        <is>
          <t>UPPSALA LÄN</t>
        </is>
      </c>
      <c r="E1804" t="inlineStr">
        <is>
          <t>UPPSALA</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20874-2025</t>
        </is>
      </c>
      <c r="B1805" s="1" t="n">
        <v>45777</v>
      </c>
      <c r="C1805" s="1" t="n">
        <v>45807</v>
      </c>
      <c r="D1805" t="inlineStr">
        <is>
          <t>UPPSALA LÄN</t>
        </is>
      </c>
      <c r="E1805" t="inlineStr">
        <is>
          <t>UPPSALA</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21217-2025</t>
        </is>
      </c>
      <c r="B1806" s="1" t="n">
        <v>45779</v>
      </c>
      <c r="C1806" s="1" t="n">
        <v>45807</v>
      </c>
      <c r="D1806" t="inlineStr">
        <is>
          <t>UPPSALA LÄN</t>
        </is>
      </c>
      <c r="E1806" t="inlineStr">
        <is>
          <t>UPPSALA</t>
        </is>
      </c>
      <c r="F1806" t="inlineStr">
        <is>
          <t>Holmen skog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21279-2025</t>
        </is>
      </c>
      <c r="B1807" s="1" t="n">
        <v>45779</v>
      </c>
      <c r="C1807" s="1" t="n">
        <v>45807</v>
      </c>
      <c r="D1807" t="inlineStr">
        <is>
          <t>UPPSALA LÄN</t>
        </is>
      </c>
      <c r="E1807" t="inlineStr">
        <is>
          <t>UPPSALA</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21281-2025</t>
        </is>
      </c>
      <c r="B1808" s="1" t="n">
        <v>45779</v>
      </c>
      <c r="C1808" s="1" t="n">
        <v>45807</v>
      </c>
      <c r="D1808" t="inlineStr">
        <is>
          <t>UPPSALA LÄN</t>
        </is>
      </c>
      <c r="E1808" t="inlineStr">
        <is>
          <t>UPPSALA</t>
        </is>
      </c>
      <c r="F1808" t="inlineStr">
        <is>
          <t>Övriga Aktiebolag</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21748-2025</t>
        </is>
      </c>
      <c r="B1809" s="1" t="n">
        <v>45783</v>
      </c>
      <c r="C1809" s="1" t="n">
        <v>45807</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21936-2025</t>
        </is>
      </c>
      <c r="B1810" s="1" t="n">
        <v>45784</v>
      </c>
      <c r="C1810" s="1" t="n">
        <v>45807</v>
      </c>
      <c r="D1810" t="inlineStr">
        <is>
          <t>UPPSALA LÄN</t>
        </is>
      </c>
      <c r="E1810" t="inlineStr">
        <is>
          <t>UPPSALA</t>
        </is>
      </c>
      <c r="F1810" t="inlineStr">
        <is>
          <t>Bergvik skog öst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22018-2025</t>
        </is>
      </c>
      <c r="B1811" s="1" t="n">
        <v>45784</v>
      </c>
      <c r="C1811" s="1" t="n">
        <v>45807</v>
      </c>
      <c r="D1811" t="inlineStr">
        <is>
          <t>UPPSALA LÄN</t>
        </is>
      </c>
      <c r="E1811" t="inlineStr">
        <is>
          <t>UPPSALA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22930-2025</t>
        </is>
      </c>
      <c r="B1812" s="1" t="n">
        <v>45790</v>
      </c>
      <c r="C1812" s="1" t="n">
        <v>45807</v>
      </c>
      <c r="D1812" t="inlineStr">
        <is>
          <t>UPPSALA LÄN</t>
        </is>
      </c>
      <c r="E1812" t="inlineStr">
        <is>
          <t>UPPSALA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22951-2025</t>
        </is>
      </c>
      <c r="B1813" s="1" t="n">
        <v>45790</v>
      </c>
      <c r="C1813" s="1" t="n">
        <v>45807</v>
      </c>
      <c r="D1813" t="inlineStr">
        <is>
          <t>UPPSALA LÄN</t>
        </is>
      </c>
      <c r="E1813" t="inlineStr">
        <is>
          <t>UPPSALA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22953-2025</t>
        </is>
      </c>
      <c r="B1814" s="1" t="n">
        <v>45790</v>
      </c>
      <c r="C1814" s="1" t="n">
        <v>45807</v>
      </c>
      <c r="D1814" t="inlineStr">
        <is>
          <t>UPPSALA LÄN</t>
        </is>
      </c>
      <c r="E1814" t="inlineStr">
        <is>
          <t>UPPSALA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24284-2025</t>
        </is>
      </c>
      <c r="B1815" s="1" t="n">
        <v>45797</v>
      </c>
      <c r="C1815" s="1" t="n">
        <v>45807</v>
      </c>
      <c r="D1815" t="inlineStr">
        <is>
          <t>UPPSALA LÄN</t>
        </is>
      </c>
      <c r="E1815" t="inlineStr">
        <is>
          <t>UPPSALA</t>
        </is>
      </c>
      <c r="F1815" t="inlineStr">
        <is>
          <t>Holmen skog AB</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24268-2025</t>
        </is>
      </c>
      <c r="B1816" s="1" t="n">
        <v>45797</v>
      </c>
      <c r="C1816" s="1" t="n">
        <v>45807</v>
      </c>
      <c r="D1816" t="inlineStr">
        <is>
          <t>UPPSALA LÄN</t>
        </is>
      </c>
      <c r="E1816" t="inlineStr">
        <is>
          <t>UPPSALA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24521-2025</t>
        </is>
      </c>
      <c r="B1817" s="1" t="n">
        <v>45798</v>
      </c>
      <c r="C1817" s="1" t="n">
        <v>45807</v>
      </c>
      <c r="D1817" t="inlineStr">
        <is>
          <t>UPPSALA LÄN</t>
        </is>
      </c>
      <c r="E1817" t="inlineStr">
        <is>
          <t>UPPSALA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24525-2025</t>
        </is>
      </c>
      <c r="B1818" s="1" t="n">
        <v>45798</v>
      </c>
      <c r="C1818" s="1" t="n">
        <v>45807</v>
      </c>
      <c r="D1818" t="inlineStr">
        <is>
          <t>UPPSALA LÄN</t>
        </is>
      </c>
      <c r="E1818" t="inlineStr">
        <is>
          <t>UPPSALA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24913-2025</t>
        </is>
      </c>
      <c r="B1819" s="1" t="n">
        <v>45799</v>
      </c>
      <c r="C1819" s="1" t="n">
        <v>45807</v>
      </c>
      <c r="D1819" t="inlineStr">
        <is>
          <t>UPPSALA LÄN</t>
        </is>
      </c>
      <c r="E1819" t="inlineStr">
        <is>
          <t>UPPSALA</t>
        </is>
      </c>
      <c r="F1819" t="inlineStr">
        <is>
          <t>Sveaskog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25025-2025</t>
        </is>
      </c>
      <c r="B1820" s="1" t="n">
        <v>45799</v>
      </c>
      <c r="C1820" s="1" t="n">
        <v>45807</v>
      </c>
      <c r="D1820" t="inlineStr">
        <is>
          <t>UPPSALA LÄN</t>
        </is>
      </c>
      <c r="E1820" t="inlineStr">
        <is>
          <t>UPPSALA</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25030-2025</t>
        </is>
      </c>
      <c r="B1821" s="1" t="n">
        <v>45799</v>
      </c>
      <c r="C1821" s="1" t="n">
        <v>45807</v>
      </c>
      <c r="D1821" t="inlineStr">
        <is>
          <t>UPPSALA LÄN</t>
        </is>
      </c>
      <c r="E1821" t="inlineStr">
        <is>
          <t>UPPSALA</t>
        </is>
      </c>
      <c r="F1821" t="inlineStr">
        <is>
          <t>Sveaskog</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25052-2025</t>
        </is>
      </c>
      <c r="B1822" s="1" t="n">
        <v>45799</v>
      </c>
      <c r="C1822" s="1" t="n">
        <v>45807</v>
      </c>
      <c r="D1822" t="inlineStr">
        <is>
          <t>UPPSALA LÄN</t>
        </is>
      </c>
      <c r="E1822" t="inlineStr">
        <is>
          <t>UPPSALA</t>
        </is>
      </c>
      <c r="F1822" t="inlineStr">
        <is>
          <t>Bergvik skog öst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24909-2025</t>
        </is>
      </c>
      <c r="B1823" s="1" t="n">
        <v>45799</v>
      </c>
      <c r="C1823" s="1" t="n">
        <v>45807</v>
      </c>
      <c r="D1823" t="inlineStr">
        <is>
          <t>UPPSALA LÄN</t>
        </is>
      </c>
      <c r="E1823" t="inlineStr">
        <is>
          <t>UPPSALA</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24916-2025</t>
        </is>
      </c>
      <c r="B1824" s="1" t="n">
        <v>45799</v>
      </c>
      <c r="C1824" s="1" t="n">
        <v>45807</v>
      </c>
      <c r="D1824" t="inlineStr">
        <is>
          <t>UPPSALA LÄN</t>
        </is>
      </c>
      <c r="E1824" t="inlineStr">
        <is>
          <t>UPPSALA</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25026-2025</t>
        </is>
      </c>
      <c r="B1825" s="1" t="n">
        <v>45799</v>
      </c>
      <c r="C1825" s="1" t="n">
        <v>45807</v>
      </c>
      <c r="D1825" t="inlineStr">
        <is>
          <t>UPPSALA LÄN</t>
        </is>
      </c>
      <c r="E1825" t="inlineStr">
        <is>
          <t>UPPSALA</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25055-2025</t>
        </is>
      </c>
      <c r="B1826" s="1" t="n">
        <v>45799</v>
      </c>
      <c r="C1826" s="1" t="n">
        <v>45807</v>
      </c>
      <c r="D1826" t="inlineStr">
        <is>
          <t>UPPSALA LÄN</t>
        </is>
      </c>
      <c r="E1826" t="inlineStr">
        <is>
          <t>UPPSALA</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24794-2025</t>
        </is>
      </c>
      <c r="B1827" s="1" t="n">
        <v>45799</v>
      </c>
      <c r="C1827" s="1" t="n">
        <v>45807</v>
      </c>
      <c r="D1827" t="inlineStr">
        <is>
          <t>UPPSALA LÄN</t>
        </is>
      </c>
      <c r="E1827" t="inlineStr">
        <is>
          <t>UPPSALA</t>
        </is>
      </c>
      <c r="F1827" t="inlineStr">
        <is>
          <t>BillerudKorsnäs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24912-2025</t>
        </is>
      </c>
      <c r="B1828" s="1" t="n">
        <v>45799</v>
      </c>
      <c r="C1828" s="1" t="n">
        <v>45807</v>
      </c>
      <c r="D1828" t="inlineStr">
        <is>
          <t>UPPSALA LÄN</t>
        </is>
      </c>
      <c r="E1828" t="inlineStr">
        <is>
          <t>UPPSALA</t>
        </is>
      </c>
      <c r="F1828" t="inlineStr">
        <is>
          <t>Sveaskog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24915-2025</t>
        </is>
      </c>
      <c r="B1829" s="1" t="n">
        <v>45799</v>
      </c>
      <c r="C1829" s="1" t="n">
        <v>45807</v>
      </c>
      <c r="D1829" t="inlineStr">
        <is>
          <t>UPPSALA LÄN</t>
        </is>
      </c>
      <c r="E1829" t="inlineStr">
        <is>
          <t>UPPSALA</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45807</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24961-2025</t>
        </is>
      </c>
      <c r="B1831" s="1" t="n">
        <v>45799</v>
      </c>
      <c r="C1831" s="1" t="n">
        <v>45807</v>
      </c>
      <c r="D1831" t="inlineStr">
        <is>
          <t>UPPSALA LÄN</t>
        </is>
      </c>
      <c r="E1831" t="inlineStr">
        <is>
          <t>UPPSALA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25674-2025</t>
        </is>
      </c>
      <c r="B1832" s="1" t="n">
        <v>45803</v>
      </c>
      <c r="C1832" s="1" t="n">
        <v>45807</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25513-2025</t>
        </is>
      </c>
      <c r="B1833" s="1" t="n">
        <v>45803</v>
      </c>
      <c r="C1833" s="1" t="n">
        <v>45807</v>
      </c>
      <c r="D1833" t="inlineStr">
        <is>
          <t>UPPSALA LÄN</t>
        </is>
      </c>
      <c r="E1833" t="inlineStr">
        <is>
          <t>UPPSALA</t>
        </is>
      </c>
      <c r="F1833" t="inlineStr">
        <is>
          <t>Bergvik skog öst AB</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26131-2025</t>
        </is>
      </c>
      <c r="B1834" s="1" t="n">
        <v>45805</v>
      </c>
      <c r="C1834" s="1" t="n">
        <v>45807</v>
      </c>
      <c r="D1834" t="inlineStr">
        <is>
          <t>UPPSALA LÄN</t>
        </is>
      </c>
      <c r="E1834" t="inlineStr">
        <is>
          <t>UPPSALA</t>
        </is>
      </c>
      <c r="F1834" t="inlineStr">
        <is>
          <t>Bergvik skog öst AB</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26141-2025</t>
        </is>
      </c>
      <c r="B1835" s="1" t="n">
        <v>45805</v>
      </c>
      <c r="C1835" s="1" t="n">
        <v>45807</v>
      </c>
      <c r="D1835" t="inlineStr">
        <is>
          <t>UPPSALA LÄN</t>
        </is>
      </c>
      <c r="E1835" t="inlineStr">
        <is>
          <t>UPPSALA</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26130-2025</t>
        </is>
      </c>
      <c r="B1836" s="1" t="n">
        <v>45805</v>
      </c>
      <c r="C1836" s="1" t="n">
        <v>45807</v>
      </c>
      <c r="D1836" t="inlineStr">
        <is>
          <t>UPPSALA LÄN</t>
        </is>
      </c>
      <c r="E1836" t="inlineStr">
        <is>
          <t>UPPSALA</t>
        </is>
      </c>
      <c r="F1836" t="inlineStr">
        <is>
          <t>Bergvik skog öst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26139-2025</t>
        </is>
      </c>
      <c r="B1837" s="1" t="n">
        <v>45805</v>
      </c>
      <c r="C1837" s="1" t="n">
        <v>45807</v>
      </c>
      <c r="D1837" t="inlineStr">
        <is>
          <t>UPPSALA LÄN</t>
        </is>
      </c>
      <c r="E1837" t="inlineStr">
        <is>
          <t>UPPSALA</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c r="A1838" t="inlineStr">
        <is>
          <t>A 26155-2025</t>
        </is>
      </c>
      <c r="B1838" s="1" t="n">
        <v>45805</v>
      </c>
      <c r="C1838" s="1" t="n">
        <v>45807</v>
      </c>
      <c r="D1838" t="inlineStr">
        <is>
          <t>UPPSALA LÄN</t>
        </is>
      </c>
      <c r="E1838" t="inlineStr">
        <is>
          <t>UPPSALA</t>
        </is>
      </c>
      <c r="F1838" t="inlineStr">
        <is>
          <t>Holmen skog AB</t>
        </is>
      </c>
      <c r="G1838" t="n">
        <v>1.4</v>
      </c>
      <c r="H1838" t="n">
        <v>0</v>
      </c>
      <c r="I1838" t="n">
        <v>0</v>
      </c>
      <c r="J1838" t="n">
        <v>0</v>
      </c>
      <c r="K1838" t="n">
        <v>0</v>
      </c>
      <c r="L1838" t="n">
        <v>0</v>
      </c>
      <c r="M1838" t="n">
        <v>0</v>
      </c>
      <c r="N1838" t="n">
        <v>0</v>
      </c>
      <c r="O1838" t="n">
        <v>0</v>
      </c>
      <c r="P1838" t="n">
        <v>0</v>
      </c>
      <c r="Q1838" t="n">
        <v>0</v>
      </c>
      <c r="R1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2025-05-30T17:46:30Z</dcterms:created>
  <dcterms:modified xmlns:dcterms="http://purl.org/dc/terms/" xmlns:xsi="http://www.w3.org/2001/XMLSchema-instance" xsi:type="dcterms:W3CDTF">2025-05-30T17:46:32Z</dcterms:modified>
</cp:coreProperties>
</file>