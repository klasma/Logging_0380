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45645</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45645</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45645</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45645</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45645</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45645</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45645</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45645</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45645</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45645</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45645</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45645</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45645</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45645</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45645</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45645</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45645</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45645</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45645</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45645</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45645</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45645</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45645</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45645</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45645</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45645</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45645</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45645</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45645</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45645</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45645</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45645</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45645</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45645</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45645</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45645</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45645</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45645</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45645</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45645</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45645</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45645</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45645</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45645</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45645</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45645</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45645</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45645</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45645</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45645</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45645</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45645</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45645</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45645</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45645</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45645</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45645</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45645</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45645</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45645</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45645</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45645</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15297-2022</t>
        </is>
      </c>
      <c r="B128" s="1" t="n">
        <v>44659</v>
      </c>
      <c r="C128" s="1" t="n">
        <v>45645</v>
      </c>
      <c r="D128" t="inlineStr">
        <is>
          <t>UPPSALA LÄN</t>
        </is>
      </c>
      <c r="E128" t="inlineStr">
        <is>
          <t>UPPSALA</t>
        </is>
      </c>
      <c r="F128" t="inlineStr">
        <is>
          <t>Övriga Aktiebolag</t>
        </is>
      </c>
      <c r="G128" t="n">
        <v>6.6</v>
      </c>
      <c r="H128" t="n">
        <v>0</v>
      </c>
      <c r="I128" t="n">
        <v>1</v>
      </c>
      <c r="J128" t="n">
        <v>0</v>
      </c>
      <c r="K128" t="n">
        <v>0</v>
      </c>
      <c r="L128" t="n">
        <v>0</v>
      </c>
      <c r="M128" t="n">
        <v>0</v>
      </c>
      <c r="N128" t="n">
        <v>0</v>
      </c>
      <c r="O128" t="n">
        <v>0</v>
      </c>
      <c r="P128" t="n">
        <v>0</v>
      </c>
      <c r="Q128" t="n">
        <v>1</v>
      </c>
      <c r="R128" s="2" t="inlineStr">
        <is>
          <t>Stor aspticka</t>
        </is>
      </c>
      <c r="S128">
        <f>HYPERLINK("https://klasma.github.io/Logging_0380/artfynd/A 15297-2022 artfynd.xlsx", "A 15297-2022")</f>
        <v/>
      </c>
      <c r="T128">
        <f>HYPERLINK("https://klasma.github.io/Logging_0380/kartor/A 15297-2022 karta.png", "A 15297-2022")</f>
        <v/>
      </c>
      <c r="V128">
        <f>HYPERLINK("https://klasma.github.io/Logging_0380/klagomål/A 15297-2022 FSC-klagomål.docx", "A 15297-2022")</f>
        <v/>
      </c>
      <c r="W128">
        <f>HYPERLINK("https://klasma.github.io/Logging_0380/klagomålsmail/A 15297-2022 FSC-klagomål mail.docx", "A 15297-2022")</f>
        <v/>
      </c>
      <c r="X128">
        <f>HYPERLINK("https://klasma.github.io/Logging_0380/tillsyn/A 15297-2022 tillsynsbegäran.docx", "A 15297-2022")</f>
        <v/>
      </c>
      <c r="Y128">
        <f>HYPERLINK("https://klasma.github.io/Logging_0380/tillsynsmail/A 15297-2022 tillsynsbegäran mail.docx", "A 15297-2022")</f>
        <v/>
      </c>
    </row>
    <row r="129" ht="15" customHeight="1">
      <c r="A129" t="inlineStr">
        <is>
          <t>A 19376-2022</t>
        </is>
      </c>
      <c r="B129" s="1" t="n">
        <v>44692</v>
      </c>
      <c r="C129" s="1" t="n">
        <v>45645</v>
      </c>
      <c r="D129" t="inlineStr">
        <is>
          <t>UPPSALA LÄN</t>
        </is>
      </c>
      <c r="E129" t="inlineStr">
        <is>
          <t>UPPSALA</t>
        </is>
      </c>
      <c r="F129" t="inlineStr">
        <is>
          <t>Bergvik skog öst AB</t>
        </is>
      </c>
      <c r="G129" t="n">
        <v>6.8</v>
      </c>
      <c r="H129" t="n">
        <v>0</v>
      </c>
      <c r="I129" t="n">
        <v>1</v>
      </c>
      <c r="J129" t="n">
        <v>0</v>
      </c>
      <c r="K129" t="n">
        <v>0</v>
      </c>
      <c r="L129" t="n">
        <v>0</v>
      </c>
      <c r="M129" t="n">
        <v>0</v>
      </c>
      <c r="N129" t="n">
        <v>0</v>
      </c>
      <c r="O129" t="n">
        <v>0</v>
      </c>
      <c r="P129" t="n">
        <v>0</v>
      </c>
      <c r="Q129" t="n">
        <v>1</v>
      </c>
      <c r="R129" s="2" t="inlineStr">
        <is>
          <t>Vårärt</t>
        </is>
      </c>
      <c r="S129">
        <f>HYPERLINK("https://klasma.github.io/Logging_0380/artfynd/A 19376-2022 artfynd.xlsx", "A 19376-2022")</f>
        <v/>
      </c>
      <c r="T129">
        <f>HYPERLINK("https://klasma.github.io/Logging_0380/kartor/A 19376-2022 karta.png", "A 19376-2022")</f>
        <v/>
      </c>
      <c r="V129">
        <f>HYPERLINK("https://klasma.github.io/Logging_0380/klagomål/A 19376-2022 FSC-klagomål.docx", "A 19376-2022")</f>
        <v/>
      </c>
      <c r="W129">
        <f>HYPERLINK("https://klasma.github.io/Logging_0380/klagomålsmail/A 19376-2022 FSC-klagomål mail.docx", "A 19376-2022")</f>
        <v/>
      </c>
      <c r="X129">
        <f>HYPERLINK("https://klasma.github.io/Logging_0380/tillsyn/A 19376-2022 tillsynsbegäran.docx", "A 19376-2022")</f>
        <v/>
      </c>
      <c r="Y129">
        <f>HYPERLINK("https://klasma.github.io/Logging_0380/tillsynsmail/A 19376-2022 tillsynsbegäran mail.docx", "A 19376-2022")</f>
        <v/>
      </c>
    </row>
    <row r="130" ht="15" customHeight="1">
      <c r="A130" t="inlineStr">
        <is>
          <t>A 23141-2022</t>
        </is>
      </c>
      <c r="B130" s="1" t="n">
        <v>44719</v>
      </c>
      <c r="C130" s="1" t="n">
        <v>45645</v>
      </c>
      <c r="D130" t="inlineStr">
        <is>
          <t>UPPSALA LÄN</t>
        </is>
      </c>
      <c r="E130" t="inlineStr">
        <is>
          <t>UPPSALA</t>
        </is>
      </c>
      <c r="G130" t="n">
        <v>3.1</v>
      </c>
      <c r="H130" t="n">
        <v>1</v>
      </c>
      <c r="I130" t="n">
        <v>0</v>
      </c>
      <c r="J130" t="n">
        <v>0</v>
      </c>
      <c r="K130" t="n">
        <v>0</v>
      </c>
      <c r="L130" t="n">
        <v>0</v>
      </c>
      <c r="M130" t="n">
        <v>0</v>
      </c>
      <c r="N130" t="n">
        <v>0</v>
      </c>
      <c r="O130" t="n">
        <v>0</v>
      </c>
      <c r="P130" t="n">
        <v>0</v>
      </c>
      <c r="Q130" t="n">
        <v>1</v>
      </c>
      <c r="R130" s="2" t="inlineStr">
        <is>
          <t>Enkelbeckasin</t>
        </is>
      </c>
      <c r="S130">
        <f>HYPERLINK("https://klasma.github.io/Logging_0380/artfynd/A 23141-2022 artfynd.xlsx", "A 23141-2022")</f>
        <v/>
      </c>
      <c r="T130">
        <f>HYPERLINK("https://klasma.github.io/Logging_0380/kartor/A 23141-2022 karta.png", "A 23141-2022")</f>
        <v/>
      </c>
      <c r="V130">
        <f>HYPERLINK("https://klasma.github.io/Logging_0380/klagomål/A 23141-2022 FSC-klagomål.docx", "A 23141-2022")</f>
        <v/>
      </c>
      <c r="W130">
        <f>HYPERLINK("https://klasma.github.io/Logging_0380/klagomålsmail/A 23141-2022 FSC-klagomål mail.docx", "A 23141-2022")</f>
        <v/>
      </c>
      <c r="X130">
        <f>HYPERLINK("https://klasma.github.io/Logging_0380/tillsyn/A 23141-2022 tillsynsbegäran.docx", "A 23141-2022")</f>
        <v/>
      </c>
      <c r="Y130">
        <f>HYPERLINK("https://klasma.github.io/Logging_0380/tillsynsmail/A 23141-2022 tillsynsbegäran mail.docx", "A 23141-2022")</f>
        <v/>
      </c>
      <c r="Z130">
        <f>HYPERLINK("https://klasma.github.io/Logging_0380/fåglar/A 23141-2022 prioriterade fågelarter.docx", "A 23141-2022")</f>
        <v/>
      </c>
    </row>
    <row r="131" ht="15" customHeight="1">
      <c r="A131" t="inlineStr">
        <is>
          <t>A 25119-2022</t>
        </is>
      </c>
      <c r="B131" s="1" t="n">
        <v>44729</v>
      </c>
      <c r="C131" s="1" t="n">
        <v>45645</v>
      </c>
      <c r="D131" t="inlineStr">
        <is>
          <t>UPPSALA LÄN</t>
        </is>
      </c>
      <c r="E131" t="inlineStr">
        <is>
          <t>UPPSALA</t>
        </is>
      </c>
      <c r="F131" t="inlineStr">
        <is>
          <t>Kommuner</t>
        </is>
      </c>
      <c r="G131" t="n">
        <v>0.9</v>
      </c>
      <c r="H131" t="n">
        <v>0</v>
      </c>
      <c r="I131" t="n">
        <v>1</v>
      </c>
      <c r="J131" t="n">
        <v>0</v>
      </c>
      <c r="K131" t="n">
        <v>0</v>
      </c>
      <c r="L131" t="n">
        <v>0</v>
      </c>
      <c r="M131" t="n">
        <v>0</v>
      </c>
      <c r="N131" t="n">
        <v>0</v>
      </c>
      <c r="O131" t="n">
        <v>0</v>
      </c>
      <c r="P131" t="n">
        <v>0</v>
      </c>
      <c r="Q131" t="n">
        <v>1</v>
      </c>
      <c r="R131" s="2" t="inlineStr">
        <is>
          <t>Stor aspticka</t>
        </is>
      </c>
      <c r="S131">
        <f>HYPERLINK("https://klasma.github.io/Logging_0380/artfynd/A 25119-2022 artfynd.xlsx", "A 25119-2022")</f>
        <v/>
      </c>
      <c r="T131">
        <f>HYPERLINK("https://klasma.github.io/Logging_0380/kartor/A 25119-2022 karta.png", "A 25119-2022")</f>
        <v/>
      </c>
      <c r="V131">
        <f>HYPERLINK("https://klasma.github.io/Logging_0380/klagomål/A 25119-2022 FSC-klagomål.docx", "A 25119-2022")</f>
        <v/>
      </c>
      <c r="W131">
        <f>HYPERLINK("https://klasma.github.io/Logging_0380/klagomålsmail/A 25119-2022 FSC-klagomål mail.docx", "A 25119-2022")</f>
        <v/>
      </c>
      <c r="X131">
        <f>HYPERLINK("https://klasma.github.io/Logging_0380/tillsyn/A 25119-2022 tillsynsbegäran.docx", "A 25119-2022")</f>
        <v/>
      </c>
      <c r="Y131">
        <f>HYPERLINK("https://klasma.github.io/Logging_0380/tillsynsmail/A 25119-2022 tillsynsbegäran mail.docx", "A 25119-2022")</f>
        <v/>
      </c>
    </row>
    <row r="132" ht="15" customHeight="1">
      <c r="A132" t="inlineStr">
        <is>
          <t>A 46634-2022</t>
        </is>
      </c>
      <c r="B132" s="1" t="n">
        <v>44849</v>
      </c>
      <c r="C132" s="1" t="n">
        <v>45645</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49015-2022</t>
        </is>
      </c>
      <c r="B133" s="1" t="n">
        <v>44855</v>
      </c>
      <c r="C133" s="1" t="n">
        <v>45645</v>
      </c>
      <c r="D133" t="inlineStr">
        <is>
          <t>UPPSALA LÄN</t>
        </is>
      </c>
      <c r="E133" t="inlineStr">
        <is>
          <t>UPPSALA</t>
        </is>
      </c>
      <c r="F133" t="inlineStr">
        <is>
          <t>Kommuner</t>
        </is>
      </c>
      <c r="G133" t="n">
        <v>4.5</v>
      </c>
      <c r="H133" t="n">
        <v>0</v>
      </c>
      <c r="I133" t="n">
        <v>0</v>
      </c>
      <c r="J133" t="n">
        <v>1</v>
      </c>
      <c r="K133" t="n">
        <v>0</v>
      </c>
      <c r="L133" t="n">
        <v>0</v>
      </c>
      <c r="M133" t="n">
        <v>0</v>
      </c>
      <c r="N133" t="n">
        <v>0</v>
      </c>
      <c r="O133" t="n">
        <v>1</v>
      </c>
      <c r="P133" t="n">
        <v>0</v>
      </c>
      <c r="Q133" t="n">
        <v>1</v>
      </c>
      <c r="R133" s="2" t="inlineStr">
        <is>
          <t>Harticka</t>
        </is>
      </c>
      <c r="S133">
        <f>HYPERLINK("https://klasma.github.io/Logging_0380/artfynd/A 49015-2022 artfynd.xlsx", "A 49015-2022")</f>
        <v/>
      </c>
      <c r="T133">
        <f>HYPERLINK("https://klasma.github.io/Logging_0380/kartor/A 49015-2022 karta.png", "A 49015-2022")</f>
        <v/>
      </c>
      <c r="V133">
        <f>HYPERLINK("https://klasma.github.io/Logging_0380/klagomål/A 49015-2022 FSC-klagomål.docx", "A 49015-2022")</f>
        <v/>
      </c>
      <c r="W133">
        <f>HYPERLINK("https://klasma.github.io/Logging_0380/klagomålsmail/A 49015-2022 FSC-klagomål mail.docx", "A 49015-2022")</f>
        <v/>
      </c>
      <c r="X133">
        <f>HYPERLINK("https://klasma.github.io/Logging_0380/tillsyn/A 49015-2022 tillsynsbegäran.docx", "A 49015-2022")</f>
        <v/>
      </c>
      <c r="Y133">
        <f>HYPERLINK("https://klasma.github.io/Logging_0380/tillsynsmail/A 49015-2022 tillsynsbegäran mail.docx", "A 49015-2022")</f>
        <v/>
      </c>
    </row>
    <row r="134" ht="15" customHeight="1">
      <c r="A134" t="inlineStr">
        <is>
          <t>A 57793-2022</t>
        </is>
      </c>
      <c r="B134" s="1" t="n">
        <v>44897</v>
      </c>
      <c r="C134" s="1" t="n">
        <v>45645</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Talltita</t>
        </is>
      </c>
      <c r="S134">
        <f>HYPERLINK("https://klasma.github.io/Logging_0380/artfynd/A 57793-2022 artfynd.xlsx", "A 57793-2022")</f>
        <v/>
      </c>
      <c r="T134">
        <f>HYPERLINK("https://klasma.github.io/Logging_0380/kartor/A 57793-2022 karta.png", "A 57793-2022")</f>
        <v/>
      </c>
      <c r="V134">
        <f>HYPERLINK("https://klasma.github.io/Logging_0380/klagomål/A 57793-2022 FSC-klagomål.docx", "A 57793-2022")</f>
        <v/>
      </c>
      <c r="W134">
        <f>HYPERLINK("https://klasma.github.io/Logging_0380/klagomålsmail/A 57793-2022 FSC-klagomål mail.docx", "A 57793-2022")</f>
        <v/>
      </c>
      <c r="X134">
        <f>HYPERLINK("https://klasma.github.io/Logging_0380/tillsyn/A 57793-2022 tillsynsbegäran.docx", "A 57793-2022")</f>
        <v/>
      </c>
      <c r="Y134">
        <f>HYPERLINK("https://klasma.github.io/Logging_0380/tillsynsmail/A 57793-2022 tillsynsbegäran mail.docx", "A 57793-2022")</f>
        <v/>
      </c>
      <c r="Z134">
        <f>HYPERLINK("https://klasma.github.io/Logging_0380/fåglar/A 57793-2022 prioriterade fågelarter.docx", "A 57793-2022")</f>
        <v/>
      </c>
    </row>
    <row r="135" ht="15" customHeight="1">
      <c r="A135" t="inlineStr">
        <is>
          <t>A 60055-2022</t>
        </is>
      </c>
      <c r="B135" s="1" t="n">
        <v>44909</v>
      </c>
      <c r="C135" s="1" t="n">
        <v>45645</v>
      </c>
      <c r="D135" t="inlineStr">
        <is>
          <t>UPPSALA LÄN</t>
        </is>
      </c>
      <c r="E135" t="inlineStr">
        <is>
          <t>UPPSALA</t>
        </is>
      </c>
      <c r="G135" t="n">
        <v>11.4</v>
      </c>
      <c r="H135" t="n">
        <v>1</v>
      </c>
      <c r="I135" t="n">
        <v>0</v>
      </c>
      <c r="J135" t="n">
        <v>0</v>
      </c>
      <c r="K135" t="n">
        <v>0</v>
      </c>
      <c r="L135" t="n">
        <v>0</v>
      </c>
      <c r="M135" t="n">
        <v>0</v>
      </c>
      <c r="N135" t="n">
        <v>0</v>
      </c>
      <c r="O135" t="n">
        <v>0</v>
      </c>
      <c r="P135" t="n">
        <v>0</v>
      </c>
      <c r="Q135" t="n">
        <v>1</v>
      </c>
      <c r="R135" s="2" t="inlineStr">
        <is>
          <t>Tjäder</t>
        </is>
      </c>
      <c r="S135">
        <f>HYPERLINK("https://klasma.github.io/Logging_0380/artfynd/A 60055-2022 artfynd.xlsx", "A 60055-2022")</f>
        <v/>
      </c>
      <c r="T135">
        <f>HYPERLINK("https://klasma.github.io/Logging_0380/kartor/A 60055-2022 karta.png", "A 60055-2022")</f>
        <v/>
      </c>
      <c r="V135">
        <f>HYPERLINK("https://klasma.github.io/Logging_0380/klagomål/A 60055-2022 FSC-klagomål.docx", "A 60055-2022")</f>
        <v/>
      </c>
      <c r="W135">
        <f>HYPERLINK("https://klasma.github.io/Logging_0380/klagomålsmail/A 60055-2022 FSC-klagomål mail.docx", "A 60055-2022")</f>
        <v/>
      </c>
      <c r="X135">
        <f>HYPERLINK("https://klasma.github.io/Logging_0380/tillsyn/A 60055-2022 tillsynsbegäran.docx", "A 60055-2022")</f>
        <v/>
      </c>
      <c r="Y135">
        <f>HYPERLINK("https://klasma.github.io/Logging_0380/tillsynsmail/A 60055-2022 tillsynsbegäran mail.docx", "A 60055-2022")</f>
        <v/>
      </c>
      <c r="Z135">
        <f>HYPERLINK("https://klasma.github.io/Logging_0380/fåglar/A 60055-2022 prioriterade fågelarter.docx", "A 60055-2022")</f>
        <v/>
      </c>
    </row>
    <row r="136" ht="15" customHeight="1">
      <c r="A136" t="inlineStr">
        <is>
          <t>A 61818-2022</t>
        </is>
      </c>
      <c r="B136" s="1" t="n">
        <v>44917</v>
      </c>
      <c r="C136" s="1" t="n">
        <v>45645</v>
      </c>
      <c r="D136" t="inlineStr">
        <is>
          <t>UPPSALA LÄN</t>
        </is>
      </c>
      <c r="E136" t="inlineStr">
        <is>
          <t>UPPSALA</t>
        </is>
      </c>
      <c r="F136" t="inlineStr">
        <is>
          <t>Holmen skog AB</t>
        </is>
      </c>
      <c r="G136" t="n">
        <v>0.8</v>
      </c>
      <c r="H136" t="n">
        <v>0</v>
      </c>
      <c r="I136" t="n">
        <v>0</v>
      </c>
      <c r="J136" t="n">
        <v>1</v>
      </c>
      <c r="K136" t="n">
        <v>0</v>
      </c>
      <c r="L136" t="n">
        <v>0</v>
      </c>
      <c r="M136" t="n">
        <v>0</v>
      </c>
      <c r="N136" t="n">
        <v>0</v>
      </c>
      <c r="O136" t="n">
        <v>1</v>
      </c>
      <c r="P136" t="n">
        <v>0</v>
      </c>
      <c r="Q136" t="n">
        <v>1</v>
      </c>
      <c r="R136" s="2" t="inlineStr">
        <is>
          <t>Blekticka</t>
        </is>
      </c>
      <c r="S136">
        <f>HYPERLINK("https://klasma.github.io/Logging_0380/artfynd/A 61818-2022 artfynd.xlsx", "A 61818-2022")</f>
        <v/>
      </c>
      <c r="T136">
        <f>HYPERLINK("https://klasma.github.io/Logging_0380/kartor/A 61818-2022 karta.png", "A 61818-2022")</f>
        <v/>
      </c>
      <c r="V136">
        <f>HYPERLINK("https://klasma.github.io/Logging_0380/klagomål/A 61818-2022 FSC-klagomål.docx", "A 61818-2022")</f>
        <v/>
      </c>
      <c r="W136">
        <f>HYPERLINK("https://klasma.github.io/Logging_0380/klagomålsmail/A 61818-2022 FSC-klagomål mail.docx", "A 61818-2022")</f>
        <v/>
      </c>
      <c r="X136">
        <f>HYPERLINK("https://klasma.github.io/Logging_0380/tillsyn/A 61818-2022 tillsynsbegäran.docx", "A 61818-2022")</f>
        <v/>
      </c>
      <c r="Y136">
        <f>HYPERLINK("https://klasma.github.io/Logging_0380/tillsynsmail/A 61818-2022 tillsynsbegäran mail.docx", "A 61818-2022")</f>
        <v/>
      </c>
    </row>
    <row r="137" ht="15" customHeight="1">
      <c r="A137" t="inlineStr">
        <is>
          <t>A 61830-2022</t>
        </is>
      </c>
      <c r="B137" s="1" t="n">
        <v>44917</v>
      </c>
      <c r="C137" s="1" t="n">
        <v>45645</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5009-2023</t>
        </is>
      </c>
      <c r="B138" s="1" t="n">
        <v>44958</v>
      </c>
      <c r="C138" s="1" t="n">
        <v>45645</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5750-2023</t>
        </is>
      </c>
      <c r="B139" s="1" t="n">
        <v>44963</v>
      </c>
      <c r="C139" s="1" t="n">
        <v>45645</v>
      </c>
      <c r="D139" t="inlineStr">
        <is>
          <t>UPPSALA LÄN</t>
        </is>
      </c>
      <c r="E139" t="inlineStr">
        <is>
          <t>UPPSALA</t>
        </is>
      </c>
      <c r="G139" t="n">
        <v>13.8</v>
      </c>
      <c r="H139" t="n">
        <v>0</v>
      </c>
      <c r="I139" t="n">
        <v>0</v>
      </c>
      <c r="J139" t="n">
        <v>0</v>
      </c>
      <c r="K139" t="n">
        <v>1</v>
      </c>
      <c r="L139" t="n">
        <v>0</v>
      </c>
      <c r="M139" t="n">
        <v>0</v>
      </c>
      <c r="N139" t="n">
        <v>0</v>
      </c>
      <c r="O139" t="n">
        <v>1</v>
      </c>
      <c r="P139" t="n">
        <v>1</v>
      </c>
      <c r="Q139" t="n">
        <v>1</v>
      </c>
      <c r="R139" s="2" t="inlineStr">
        <is>
          <t>Raggbock</t>
        </is>
      </c>
      <c r="S139">
        <f>HYPERLINK("https://klasma.github.io/Logging_0380/artfynd/A 5750-2023 artfynd.xlsx", "A 5750-2023")</f>
        <v/>
      </c>
      <c r="T139">
        <f>HYPERLINK("https://klasma.github.io/Logging_0380/kartor/A 5750-2023 karta.png", "A 5750-2023")</f>
        <v/>
      </c>
      <c r="V139">
        <f>HYPERLINK("https://klasma.github.io/Logging_0380/klagomål/A 5750-2023 FSC-klagomål.docx", "A 5750-2023")</f>
        <v/>
      </c>
      <c r="W139">
        <f>HYPERLINK("https://klasma.github.io/Logging_0380/klagomålsmail/A 5750-2023 FSC-klagomål mail.docx", "A 5750-2023")</f>
        <v/>
      </c>
      <c r="X139">
        <f>HYPERLINK("https://klasma.github.io/Logging_0380/tillsyn/A 5750-2023 tillsynsbegäran.docx", "A 5750-2023")</f>
        <v/>
      </c>
      <c r="Y139">
        <f>HYPERLINK("https://klasma.github.io/Logging_0380/tillsynsmail/A 5750-2023 tillsynsbegäran mail.docx", "A 5750-2023")</f>
        <v/>
      </c>
    </row>
    <row r="140" ht="15" customHeight="1">
      <c r="A140" t="inlineStr">
        <is>
          <t>A 13154-2023</t>
        </is>
      </c>
      <c r="B140" s="1" t="n">
        <v>45002</v>
      </c>
      <c r="C140" s="1" t="n">
        <v>45645</v>
      </c>
      <c r="D140" t="inlineStr">
        <is>
          <t>UPPSALA LÄN</t>
        </is>
      </c>
      <c r="E140" t="inlineStr">
        <is>
          <t>UPPSALA</t>
        </is>
      </c>
      <c r="F140" t="inlineStr">
        <is>
          <t>Holmen skog AB</t>
        </is>
      </c>
      <c r="G140" t="n">
        <v>2.6</v>
      </c>
      <c r="H140" t="n">
        <v>0</v>
      </c>
      <c r="I140" t="n">
        <v>1</v>
      </c>
      <c r="J140" t="n">
        <v>0</v>
      </c>
      <c r="K140" t="n">
        <v>0</v>
      </c>
      <c r="L140" t="n">
        <v>0</v>
      </c>
      <c r="M140" t="n">
        <v>0</v>
      </c>
      <c r="N140" t="n">
        <v>0</v>
      </c>
      <c r="O140" t="n">
        <v>0</v>
      </c>
      <c r="P140" t="n">
        <v>0</v>
      </c>
      <c r="Q140" t="n">
        <v>1</v>
      </c>
      <c r="R140" s="2" t="inlineStr">
        <is>
          <t>Korallblylav</t>
        </is>
      </c>
      <c r="S140">
        <f>HYPERLINK("https://klasma.github.io/Logging_0380/artfynd/A 13154-2023 artfynd.xlsx", "A 13154-2023")</f>
        <v/>
      </c>
      <c r="T140">
        <f>HYPERLINK("https://klasma.github.io/Logging_0380/kartor/A 13154-2023 karta.png", "A 13154-2023")</f>
        <v/>
      </c>
      <c r="V140">
        <f>HYPERLINK("https://klasma.github.io/Logging_0380/klagomål/A 13154-2023 FSC-klagomål.docx", "A 13154-2023")</f>
        <v/>
      </c>
      <c r="W140">
        <f>HYPERLINK("https://klasma.github.io/Logging_0380/klagomålsmail/A 13154-2023 FSC-klagomål mail.docx", "A 13154-2023")</f>
        <v/>
      </c>
      <c r="X140">
        <f>HYPERLINK("https://klasma.github.io/Logging_0380/tillsyn/A 13154-2023 tillsynsbegäran.docx", "A 13154-2023")</f>
        <v/>
      </c>
      <c r="Y140">
        <f>HYPERLINK("https://klasma.github.io/Logging_0380/tillsynsmail/A 13154-2023 tillsynsbegäran mail.docx", "A 13154-2023")</f>
        <v/>
      </c>
    </row>
    <row r="141" ht="15" customHeight="1">
      <c r="A141" t="inlineStr">
        <is>
          <t>A 15722-2023</t>
        </is>
      </c>
      <c r="B141" s="1" t="n">
        <v>45021</v>
      </c>
      <c r="C141" s="1" t="n">
        <v>45645</v>
      </c>
      <c r="D141" t="inlineStr">
        <is>
          <t>UPPSALA LÄN</t>
        </is>
      </c>
      <c r="E141" t="inlineStr">
        <is>
          <t>UPPSALA</t>
        </is>
      </c>
      <c r="G141" t="n">
        <v>15.2</v>
      </c>
      <c r="H141" t="n">
        <v>0</v>
      </c>
      <c r="I141" t="n">
        <v>1</v>
      </c>
      <c r="J141" t="n">
        <v>0</v>
      </c>
      <c r="K141" t="n">
        <v>0</v>
      </c>
      <c r="L141" t="n">
        <v>0</v>
      </c>
      <c r="M141" t="n">
        <v>0</v>
      </c>
      <c r="N141" t="n">
        <v>0</v>
      </c>
      <c r="O141" t="n">
        <v>0</v>
      </c>
      <c r="P141" t="n">
        <v>0</v>
      </c>
      <c r="Q141" t="n">
        <v>1</v>
      </c>
      <c r="R141" s="2" t="inlineStr">
        <is>
          <t>Tibast</t>
        </is>
      </c>
      <c r="S141">
        <f>HYPERLINK("https://klasma.github.io/Logging_0380/artfynd/A 15722-2023 artfynd.xlsx", "A 15722-2023")</f>
        <v/>
      </c>
      <c r="T141">
        <f>HYPERLINK("https://klasma.github.io/Logging_0380/kartor/A 15722-2023 karta.png", "A 15722-2023")</f>
        <v/>
      </c>
      <c r="V141">
        <f>HYPERLINK("https://klasma.github.io/Logging_0380/klagomål/A 15722-2023 FSC-klagomål.docx", "A 15722-2023")</f>
        <v/>
      </c>
      <c r="W141">
        <f>HYPERLINK("https://klasma.github.io/Logging_0380/klagomålsmail/A 15722-2023 FSC-klagomål mail.docx", "A 15722-2023")</f>
        <v/>
      </c>
      <c r="X141">
        <f>HYPERLINK("https://klasma.github.io/Logging_0380/tillsyn/A 15722-2023 tillsynsbegäran.docx", "A 15722-2023")</f>
        <v/>
      </c>
      <c r="Y141">
        <f>HYPERLINK("https://klasma.github.io/Logging_0380/tillsynsmail/A 15722-2023 tillsynsbegäran mail.docx", "A 15722-2023")</f>
        <v/>
      </c>
    </row>
    <row r="142" ht="15" customHeight="1">
      <c r="A142" t="inlineStr">
        <is>
          <t>A 15919-2023</t>
        </is>
      </c>
      <c r="B142" s="1" t="n">
        <v>45022</v>
      </c>
      <c r="C142" s="1" t="n">
        <v>45645</v>
      </c>
      <c r="D142" t="inlineStr">
        <is>
          <t>UPPSALA LÄN</t>
        </is>
      </c>
      <c r="E142" t="inlineStr">
        <is>
          <t>UPPSALA</t>
        </is>
      </c>
      <c r="F142" t="inlineStr">
        <is>
          <t>Holmen skog AB</t>
        </is>
      </c>
      <c r="G142" t="n">
        <v>10</v>
      </c>
      <c r="H142" t="n">
        <v>1</v>
      </c>
      <c r="I142" t="n">
        <v>0</v>
      </c>
      <c r="J142" t="n">
        <v>0</v>
      </c>
      <c r="K142" t="n">
        <v>0</v>
      </c>
      <c r="L142" t="n">
        <v>0</v>
      </c>
      <c r="M142" t="n">
        <v>0</v>
      </c>
      <c r="N142" t="n">
        <v>0</v>
      </c>
      <c r="O142" t="n">
        <v>0</v>
      </c>
      <c r="P142" t="n">
        <v>0</v>
      </c>
      <c r="Q142" t="n">
        <v>1</v>
      </c>
      <c r="R142" s="2" t="inlineStr">
        <is>
          <t>Blåsippa</t>
        </is>
      </c>
      <c r="S142">
        <f>HYPERLINK("https://klasma.github.io/Logging_0380/artfynd/A 15919-2023 artfynd.xlsx", "A 15919-2023")</f>
        <v/>
      </c>
      <c r="T142">
        <f>HYPERLINK("https://klasma.github.io/Logging_0380/kartor/A 15919-2023 karta.png", "A 15919-2023")</f>
        <v/>
      </c>
      <c r="V142">
        <f>HYPERLINK("https://klasma.github.io/Logging_0380/klagomål/A 15919-2023 FSC-klagomål.docx", "A 15919-2023")</f>
        <v/>
      </c>
      <c r="W142">
        <f>HYPERLINK("https://klasma.github.io/Logging_0380/klagomålsmail/A 15919-2023 FSC-klagomål mail.docx", "A 15919-2023")</f>
        <v/>
      </c>
      <c r="X142">
        <f>HYPERLINK("https://klasma.github.io/Logging_0380/tillsyn/A 15919-2023 tillsynsbegäran.docx", "A 15919-2023")</f>
        <v/>
      </c>
      <c r="Y142">
        <f>HYPERLINK("https://klasma.github.io/Logging_0380/tillsynsmail/A 15919-2023 tillsynsbegäran mail.docx", "A 15919-2023")</f>
        <v/>
      </c>
    </row>
    <row r="143" ht="15" customHeight="1">
      <c r="A143" t="inlineStr">
        <is>
          <t>A 15918-2023</t>
        </is>
      </c>
      <c r="B143" s="1" t="n">
        <v>45022</v>
      </c>
      <c r="C143" s="1" t="n">
        <v>45645</v>
      </c>
      <c r="D143" t="inlineStr">
        <is>
          <t>UPPSALA LÄN</t>
        </is>
      </c>
      <c r="E143" t="inlineStr">
        <is>
          <t>UPPSALA</t>
        </is>
      </c>
      <c r="F143" t="inlineStr">
        <is>
          <t>Holmen skog AB</t>
        </is>
      </c>
      <c r="G143" t="n">
        <v>3.2</v>
      </c>
      <c r="H143" t="n">
        <v>1</v>
      </c>
      <c r="I143" t="n">
        <v>0</v>
      </c>
      <c r="J143" t="n">
        <v>0</v>
      </c>
      <c r="K143" t="n">
        <v>0</v>
      </c>
      <c r="L143" t="n">
        <v>0</v>
      </c>
      <c r="M143" t="n">
        <v>0</v>
      </c>
      <c r="N143" t="n">
        <v>0</v>
      </c>
      <c r="O143" t="n">
        <v>0</v>
      </c>
      <c r="P143" t="n">
        <v>0</v>
      </c>
      <c r="Q143" t="n">
        <v>1</v>
      </c>
      <c r="R143" s="2" t="inlineStr">
        <is>
          <t>Blåsippa</t>
        </is>
      </c>
      <c r="S143">
        <f>HYPERLINK("https://klasma.github.io/Logging_0380/artfynd/A 15918-2023 artfynd.xlsx", "A 15918-2023")</f>
        <v/>
      </c>
      <c r="T143">
        <f>HYPERLINK("https://klasma.github.io/Logging_0380/kartor/A 15918-2023 karta.png", "A 15918-2023")</f>
        <v/>
      </c>
      <c r="V143">
        <f>HYPERLINK("https://klasma.github.io/Logging_0380/klagomål/A 15918-2023 FSC-klagomål.docx", "A 15918-2023")</f>
        <v/>
      </c>
      <c r="W143">
        <f>HYPERLINK("https://klasma.github.io/Logging_0380/klagomålsmail/A 15918-2023 FSC-klagomål mail.docx", "A 15918-2023")</f>
        <v/>
      </c>
      <c r="X143">
        <f>HYPERLINK("https://klasma.github.io/Logging_0380/tillsyn/A 15918-2023 tillsynsbegäran.docx", "A 15918-2023")</f>
        <v/>
      </c>
      <c r="Y143">
        <f>HYPERLINK("https://klasma.github.io/Logging_0380/tillsynsmail/A 15918-2023 tillsynsbegäran mail.docx", "A 15918-2023")</f>
        <v/>
      </c>
    </row>
    <row r="144" ht="15" customHeight="1">
      <c r="A144" t="inlineStr">
        <is>
          <t>A 20172-2023</t>
        </is>
      </c>
      <c r="B144" s="1" t="n">
        <v>45055</v>
      </c>
      <c r="C144" s="1" t="n">
        <v>45645</v>
      </c>
      <c r="D144" t="inlineStr">
        <is>
          <t>UPPSALA LÄN</t>
        </is>
      </c>
      <c r="E144" t="inlineStr">
        <is>
          <t>UPPSALA</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HYPERLINK("https://klasma.github.io/Logging_0380/artfynd/A 20172-2023 artfynd.xlsx", "A 20172-2023")</f>
        <v/>
      </c>
      <c r="T144">
        <f>HYPERLINK("https://klasma.github.io/Logging_0380/kartor/A 20172-2023 karta.png", "A 20172-2023")</f>
        <v/>
      </c>
      <c r="V144">
        <f>HYPERLINK("https://klasma.github.io/Logging_0380/klagomål/A 20172-2023 FSC-klagomål.docx", "A 20172-2023")</f>
        <v/>
      </c>
      <c r="W144">
        <f>HYPERLINK("https://klasma.github.io/Logging_0380/klagomålsmail/A 20172-2023 FSC-klagomål mail.docx", "A 20172-2023")</f>
        <v/>
      </c>
      <c r="X144">
        <f>HYPERLINK("https://klasma.github.io/Logging_0380/tillsyn/A 20172-2023 tillsynsbegäran.docx", "A 20172-2023")</f>
        <v/>
      </c>
      <c r="Y144">
        <f>HYPERLINK("https://klasma.github.io/Logging_0380/tillsynsmail/A 20172-2023 tillsynsbegäran mail.docx", "A 20172-2023")</f>
        <v/>
      </c>
    </row>
    <row r="145" ht="15" customHeight="1">
      <c r="A145" t="inlineStr">
        <is>
          <t>A 20930-2023</t>
        </is>
      </c>
      <c r="B145" s="1" t="n">
        <v>45061</v>
      </c>
      <c r="C145" s="1" t="n">
        <v>45645</v>
      </c>
      <c r="D145" t="inlineStr">
        <is>
          <t>UPPSALA LÄN</t>
        </is>
      </c>
      <c r="E145" t="inlineStr">
        <is>
          <t>UPPSALA</t>
        </is>
      </c>
      <c r="G145" t="n">
        <v>5.1</v>
      </c>
      <c r="H145" t="n">
        <v>0</v>
      </c>
      <c r="I145" t="n">
        <v>1</v>
      </c>
      <c r="J145" t="n">
        <v>0</v>
      </c>
      <c r="K145" t="n">
        <v>0</v>
      </c>
      <c r="L145" t="n">
        <v>0</v>
      </c>
      <c r="M145" t="n">
        <v>0</v>
      </c>
      <c r="N145" t="n">
        <v>0</v>
      </c>
      <c r="O145" t="n">
        <v>0</v>
      </c>
      <c r="P145" t="n">
        <v>0</v>
      </c>
      <c r="Q145" t="n">
        <v>1</v>
      </c>
      <c r="R145" s="2" t="inlineStr">
        <is>
          <t>Grönpyrola</t>
        </is>
      </c>
      <c r="S145">
        <f>HYPERLINK("https://klasma.github.io/Logging_0380/artfynd/A 20930-2023 artfynd.xlsx", "A 20930-2023")</f>
        <v/>
      </c>
      <c r="T145">
        <f>HYPERLINK("https://klasma.github.io/Logging_0380/kartor/A 20930-2023 karta.png", "A 20930-2023")</f>
        <v/>
      </c>
      <c r="V145">
        <f>HYPERLINK("https://klasma.github.io/Logging_0380/klagomål/A 20930-2023 FSC-klagomål.docx", "A 20930-2023")</f>
        <v/>
      </c>
      <c r="W145">
        <f>HYPERLINK("https://klasma.github.io/Logging_0380/klagomålsmail/A 20930-2023 FSC-klagomål mail.docx", "A 20930-2023")</f>
        <v/>
      </c>
      <c r="X145">
        <f>HYPERLINK("https://klasma.github.io/Logging_0380/tillsyn/A 20930-2023 tillsynsbegäran.docx", "A 20930-2023")</f>
        <v/>
      </c>
      <c r="Y145">
        <f>HYPERLINK("https://klasma.github.io/Logging_0380/tillsynsmail/A 20930-2023 tillsynsbegäran mail.docx", "A 20930-2023")</f>
        <v/>
      </c>
    </row>
    <row r="146" ht="15" customHeight="1">
      <c r="A146" t="inlineStr">
        <is>
          <t>A 20923-2023</t>
        </is>
      </c>
      <c r="B146" s="1" t="n">
        <v>45061</v>
      </c>
      <c r="C146" s="1" t="n">
        <v>45645</v>
      </c>
      <c r="D146" t="inlineStr">
        <is>
          <t>UPPSALA LÄN</t>
        </is>
      </c>
      <c r="E146" t="inlineStr">
        <is>
          <t>UPPSALA</t>
        </is>
      </c>
      <c r="G146" t="n">
        <v>1.1</v>
      </c>
      <c r="H146" t="n">
        <v>0</v>
      </c>
      <c r="I146" t="n">
        <v>1</v>
      </c>
      <c r="J146" t="n">
        <v>0</v>
      </c>
      <c r="K146" t="n">
        <v>0</v>
      </c>
      <c r="L146" t="n">
        <v>0</v>
      </c>
      <c r="M146" t="n">
        <v>0</v>
      </c>
      <c r="N146" t="n">
        <v>0</v>
      </c>
      <c r="O146" t="n">
        <v>0</v>
      </c>
      <c r="P146" t="n">
        <v>0</v>
      </c>
      <c r="Q146" t="n">
        <v>1</v>
      </c>
      <c r="R146" s="2" t="inlineStr">
        <is>
          <t>Dvärghäxört</t>
        </is>
      </c>
      <c r="S146">
        <f>HYPERLINK("https://klasma.github.io/Logging_0380/artfynd/A 20923-2023 artfynd.xlsx", "A 20923-2023")</f>
        <v/>
      </c>
      <c r="T146">
        <f>HYPERLINK("https://klasma.github.io/Logging_0380/kartor/A 20923-2023 karta.png", "A 20923-2023")</f>
        <v/>
      </c>
      <c r="V146">
        <f>HYPERLINK("https://klasma.github.io/Logging_0380/klagomål/A 20923-2023 FSC-klagomål.docx", "A 20923-2023")</f>
        <v/>
      </c>
      <c r="W146">
        <f>HYPERLINK("https://klasma.github.io/Logging_0380/klagomålsmail/A 20923-2023 FSC-klagomål mail.docx", "A 20923-2023")</f>
        <v/>
      </c>
      <c r="X146">
        <f>HYPERLINK("https://klasma.github.io/Logging_0380/tillsyn/A 20923-2023 tillsynsbegäran.docx", "A 20923-2023")</f>
        <v/>
      </c>
      <c r="Y146">
        <f>HYPERLINK("https://klasma.github.io/Logging_0380/tillsynsmail/A 20923-2023 tillsynsbegäran mail.docx", "A 20923-2023")</f>
        <v/>
      </c>
    </row>
    <row r="147" ht="15" customHeight="1">
      <c r="A147" t="inlineStr">
        <is>
          <t>A 22958-2023</t>
        </is>
      </c>
      <c r="B147" s="1" t="n">
        <v>45072</v>
      </c>
      <c r="C147" s="1" t="n">
        <v>45645</v>
      </c>
      <c r="D147" t="inlineStr">
        <is>
          <t>UPPSALA LÄN</t>
        </is>
      </c>
      <c r="E147" t="inlineStr">
        <is>
          <t>UPPSALA</t>
        </is>
      </c>
      <c r="F147" t="inlineStr">
        <is>
          <t>Holmen skog AB</t>
        </is>
      </c>
      <c r="G147" t="n">
        <v>6.4</v>
      </c>
      <c r="H147" t="n">
        <v>0</v>
      </c>
      <c r="I147" t="n">
        <v>0</v>
      </c>
      <c r="J147" t="n">
        <v>1</v>
      </c>
      <c r="K147" t="n">
        <v>0</v>
      </c>
      <c r="L147" t="n">
        <v>0</v>
      </c>
      <c r="M147" t="n">
        <v>0</v>
      </c>
      <c r="N147" t="n">
        <v>0</v>
      </c>
      <c r="O147" t="n">
        <v>1</v>
      </c>
      <c r="P147" t="n">
        <v>0</v>
      </c>
      <c r="Q147" t="n">
        <v>1</v>
      </c>
      <c r="R147" s="2" t="inlineStr">
        <is>
          <t>Krusfrö</t>
        </is>
      </c>
      <c r="S147">
        <f>HYPERLINK("https://klasma.github.io/Logging_0380/artfynd/A 22958-2023 artfynd.xlsx", "A 22958-2023")</f>
        <v/>
      </c>
      <c r="T147">
        <f>HYPERLINK("https://klasma.github.io/Logging_0380/kartor/A 22958-2023 karta.png", "A 22958-2023")</f>
        <v/>
      </c>
      <c r="V147">
        <f>HYPERLINK("https://klasma.github.io/Logging_0380/klagomål/A 22958-2023 FSC-klagomål.docx", "A 22958-2023")</f>
        <v/>
      </c>
      <c r="W147">
        <f>HYPERLINK("https://klasma.github.io/Logging_0380/klagomålsmail/A 22958-2023 FSC-klagomål mail.docx", "A 22958-2023")</f>
        <v/>
      </c>
      <c r="X147">
        <f>HYPERLINK("https://klasma.github.io/Logging_0380/tillsyn/A 22958-2023 tillsynsbegäran.docx", "A 22958-2023")</f>
        <v/>
      </c>
      <c r="Y147">
        <f>HYPERLINK("https://klasma.github.io/Logging_0380/tillsynsmail/A 22958-2023 tillsynsbegäran mail.docx", "A 22958-2023")</f>
        <v/>
      </c>
    </row>
    <row r="148" ht="15" customHeight="1">
      <c r="A148" t="inlineStr">
        <is>
          <t>A 27848-2023</t>
        </is>
      </c>
      <c r="B148" s="1" t="n">
        <v>45098</v>
      </c>
      <c r="C148" s="1" t="n">
        <v>45645</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28951-2023</t>
        </is>
      </c>
      <c r="B149" s="1" t="n">
        <v>45104</v>
      </c>
      <c r="C149" s="1" t="n">
        <v>45645</v>
      </c>
      <c r="D149" t="inlineStr">
        <is>
          <t>UPPSALA LÄN</t>
        </is>
      </c>
      <c r="E149" t="inlineStr">
        <is>
          <t>UPPSALA</t>
        </is>
      </c>
      <c r="G149" t="n">
        <v>3.7</v>
      </c>
      <c r="H149" t="n">
        <v>0</v>
      </c>
      <c r="I149" t="n">
        <v>1</v>
      </c>
      <c r="J149" t="n">
        <v>0</v>
      </c>
      <c r="K149" t="n">
        <v>0</v>
      </c>
      <c r="L149" t="n">
        <v>0</v>
      </c>
      <c r="M149" t="n">
        <v>0</v>
      </c>
      <c r="N149" t="n">
        <v>0</v>
      </c>
      <c r="O149" t="n">
        <v>0</v>
      </c>
      <c r="P149" t="n">
        <v>0</v>
      </c>
      <c r="Q149" t="n">
        <v>1</v>
      </c>
      <c r="R149" s="2" t="inlineStr">
        <is>
          <t>Grönpyrola</t>
        </is>
      </c>
      <c r="S149">
        <f>HYPERLINK("https://klasma.github.io/Logging_0380/artfynd/A 28951-2023 artfynd.xlsx", "A 28951-2023")</f>
        <v/>
      </c>
      <c r="T149">
        <f>HYPERLINK("https://klasma.github.io/Logging_0380/kartor/A 28951-2023 karta.png", "A 28951-2023")</f>
        <v/>
      </c>
      <c r="V149">
        <f>HYPERLINK("https://klasma.github.io/Logging_0380/klagomål/A 28951-2023 FSC-klagomål.docx", "A 28951-2023")</f>
        <v/>
      </c>
      <c r="W149">
        <f>HYPERLINK("https://klasma.github.io/Logging_0380/klagomålsmail/A 28951-2023 FSC-klagomål mail.docx", "A 28951-2023")</f>
        <v/>
      </c>
      <c r="X149">
        <f>HYPERLINK("https://klasma.github.io/Logging_0380/tillsyn/A 28951-2023 tillsynsbegäran.docx", "A 28951-2023")</f>
        <v/>
      </c>
      <c r="Y149">
        <f>HYPERLINK("https://klasma.github.io/Logging_0380/tillsynsmail/A 28951-2023 tillsynsbegäran mail.docx", "A 28951-2023")</f>
        <v/>
      </c>
    </row>
    <row r="150" ht="15" customHeight="1">
      <c r="A150" t="inlineStr">
        <is>
          <t>A 29906-2023</t>
        </is>
      </c>
      <c r="B150" s="1" t="n">
        <v>45107</v>
      </c>
      <c r="C150" s="1" t="n">
        <v>45645</v>
      </c>
      <c r="D150" t="inlineStr">
        <is>
          <t>UPPSALA LÄN</t>
        </is>
      </c>
      <c r="E150" t="inlineStr">
        <is>
          <t>UPPSALA</t>
        </is>
      </c>
      <c r="F150" t="inlineStr">
        <is>
          <t>Kyrkan</t>
        </is>
      </c>
      <c r="G150" t="n">
        <v>0.5</v>
      </c>
      <c r="H150" t="n">
        <v>0</v>
      </c>
      <c r="I150" t="n">
        <v>1</v>
      </c>
      <c r="J150" t="n">
        <v>0</v>
      </c>
      <c r="K150" t="n">
        <v>0</v>
      </c>
      <c r="L150" t="n">
        <v>0</v>
      </c>
      <c r="M150" t="n">
        <v>0</v>
      </c>
      <c r="N150" t="n">
        <v>0</v>
      </c>
      <c r="O150" t="n">
        <v>0</v>
      </c>
      <c r="P150" t="n">
        <v>0</v>
      </c>
      <c r="Q150" t="n">
        <v>1</v>
      </c>
      <c r="R150" s="2" t="inlineStr">
        <is>
          <t>Sotriska</t>
        </is>
      </c>
      <c r="S150">
        <f>HYPERLINK("https://klasma.github.io/Logging_0380/artfynd/A 29906-2023 artfynd.xlsx", "A 29906-2023")</f>
        <v/>
      </c>
      <c r="T150">
        <f>HYPERLINK("https://klasma.github.io/Logging_0380/kartor/A 29906-2023 karta.png", "A 29906-2023")</f>
        <v/>
      </c>
      <c r="V150">
        <f>HYPERLINK("https://klasma.github.io/Logging_0380/klagomål/A 29906-2023 FSC-klagomål.docx", "A 29906-2023")</f>
        <v/>
      </c>
      <c r="W150">
        <f>HYPERLINK("https://klasma.github.io/Logging_0380/klagomålsmail/A 29906-2023 FSC-klagomål mail.docx", "A 29906-2023")</f>
        <v/>
      </c>
      <c r="X150">
        <f>HYPERLINK("https://klasma.github.io/Logging_0380/tillsyn/A 29906-2023 tillsynsbegäran.docx", "A 29906-2023")</f>
        <v/>
      </c>
      <c r="Y150">
        <f>HYPERLINK("https://klasma.github.io/Logging_0380/tillsynsmail/A 29906-2023 tillsynsbegäran mail.docx", "A 29906-2023")</f>
        <v/>
      </c>
    </row>
    <row r="151" ht="15" customHeight="1">
      <c r="A151" t="inlineStr">
        <is>
          <t>A 32668-2023</t>
        </is>
      </c>
      <c r="B151" s="1" t="n">
        <v>45121</v>
      </c>
      <c r="C151" s="1" t="n">
        <v>45645</v>
      </c>
      <c r="D151" t="inlineStr">
        <is>
          <t>UPPSALA LÄN</t>
        </is>
      </c>
      <c r="E151" t="inlineStr">
        <is>
          <t>UPPSALA</t>
        </is>
      </c>
      <c r="F151" t="inlineStr">
        <is>
          <t>Holmen skog AB</t>
        </is>
      </c>
      <c r="G151" t="n">
        <v>6.3</v>
      </c>
      <c r="H151" t="n">
        <v>1</v>
      </c>
      <c r="I151" t="n">
        <v>0</v>
      </c>
      <c r="J151" t="n">
        <v>0</v>
      </c>
      <c r="K151" t="n">
        <v>0</v>
      </c>
      <c r="L151" t="n">
        <v>0</v>
      </c>
      <c r="M151" t="n">
        <v>0</v>
      </c>
      <c r="N151" t="n">
        <v>0</v>
      </c>
      <c r="O151" t="n">
        <v>0</v>
      </c>
      <c r="P151" t="n">
        <v>0</v>
      </c>
      <c r="Q151" t="n">
        <v>1</v>
      </c>
      <c r="R151" s="2" t="inlineStr">
        <is>
          <t>Blåsippa</t>
        </is>
      </c>
      <c r="S151">
        <f>HYPERLINK("https://klasma.github.io/Logging_0380/artfynd/A 32668-2023 artfynd.xlsx", "A 32668-2023")</f>
        <v/>
      </c>
      <c r="T151">
        <f>HYPERLINK("https://klasma.github.io/Logging_0380/kartor/A 32668-2023 karta.png", "A 32668-2023")</f>
        <v/>
      </c>
      <c r="V151">
        <f>HYPERLINK("https://klasma.github.io/Logging_0380/klagomål/A 32668-2023 FSC-klagomål.docx", "A 32668-2023")</f>
        <v/>
      </c>
      <c r="W151">
        <f>HYPERLINK("https://klasma.github.io/Logging_0380/klagomålsmail/A 32668-2023 FSC-klagomål mail.docx", "A 32668-2023")</f>
        <v/>
      </c>
      <c r="X151">
        <f>HYPERLINK("https://klasma.github.io/Logging_0380/tillsyn/A 32668-2023 tillsynsbegäran.docx", "A 32668-2023")</f>
        <v/>
      </c>
      <c r="Y151">
        <f>HYPERLINK("https://klasma.github.io/Logging_0380/tillsynsmail/A 32668-2023 tillsynsbegäran mail.docx", "A 32668-2023")</f>
        <v/>
      </c>
    </row>
    <row r="152" ht="15" customHeight="1">
      <c r="A152" t="inlineStr">
        <is>
          <t>A 32755-2023</t>
        </is>
      </c>
      <c r="B152" s="1" t="n">
        <v>45123</v>
      </c>
      <c r="C152" s="1" t="n">
        <v>45645</v>
      </c>
      <c r="D152" t="inlineStr">
        <is>
          <t>UPPSALA LÄN</t>
        </is>
      </c>
      <c r="E152" t="inlineStr">
        <is>
          <t>UPPSALA</t>
        </is>
      </c>
      <c r="G152" t="n">
        <v>5.7</v>
      </c>
      <c r="H152" t="n">
        <v>1</v>
      </c>
      <c r="I152" t="n">
        <v>0</v>
      </c>
      <c r="J152" t="n">
        <v>1</v>
      </c>
      <c r="K152" t="n">
        <v>0</v>
      </c>
      <c r="L152" t="n">
        <v>0</v>
      </c>
      <c r="M152" t="n">
        <v>0</v>
      </c>
      <c r="N152" t="n">
        <v>0</v>
      </c>
      <c r="O152" t="n">
        <v>1</v>
      </c>
      <c r="P152" t="n">
        <v>0</v>
      </c>
      <c r="Q152" t="n">
        <v>1</v>
      </c>
      <c r="R152" s="2" t="inlineStr">
        <is>
          <t>Spillkråka</t>
        </is>
      </c>
      <c r="S152">
        <f>HYPERLINK("https://klasma.github.io/Logging_0380/artfynd/A 32755-2023 artfynd.xlsx", "A 32755-2023")</f>
        <v/>
      </c>
      <c r="T152">
        <f>HYPERLINK("https://klasma.github.io/Logging_0380/kartor/A 32755-2023 karta.png", "A 32755-2023")</f>
        <v/>
      </c>
      <c r="V152">
        <f>HYPERLINK("https://klasma.github.io/Logging_0380/klagomål/A 32755-2023 FSC-klagomål.docx", "A 32755-2023")</f>
        <v/>
      </c>
      <c r="W152">
        <f>HYPERLINK("https://klasma.github.io/Logging_0380/klagomålsmail/A 32755-2023 FSC-klagomål mail.docx", "A 32755-2023")</f>
        <v/>
      </c>
      <c r="X152">
        <f>HYPERLINK("https://klasma.github.io/Logging_0380/tillsyn/A 32755-2023 tillsynsbegäran.docx", "A 32755-2023")</f>
        <v/>
      </c>
      <c r="Y152">
        <f>HYPERLINK("https://klasma.github.io/Logging_0380/tillsynsmail/A 32755-2023 tillsynsbegäran mail.docx", "A 32755-2023")</f>
        <v/>
      </c>
      <c r="Z152">
        <f>HYPERLINK("https://klasma.github.io/Logging_0380/fåglar/A 32755-2023 prioriterade fågelarter.docx", "A 32755-2023")</f>
        <v/>
      </c>
    </row>
    <row r="153" ht="15" customHeight="1">
      <c r="A153" t="inlineStr">
        <is>
          <t>A 34732-2023</t>
        </is>
      </c>
      <c r="B153" s="1" t="n">
        <v>45139</v>
      </c>
      <c r="C153" s="1" t="n">
        <v>45645</v>
      </c>
      <c r="D153" t="inlineStr">
        <is>
          <t>UPPSALA LÄN</t>
        </is>
      </c>
      <c r="E153" t="inlineStr">
        <is>
          <t>UPPSALA</t>
        </is>
      </c>
      <c r="G153" t="n">
        <v>8.1</v>
      </c>
      <c r="H153" t="n">
        <v>1</v>
      </c>
      <c r="I153" t="n">
        <v>1</v>
      </c>
      <c r="J153" t="n">
        <v>0</v>
      </c>
      <c r="K153" t="n">
        <v>0</v>
      </c>
      <c r="L153" t="n">
        <v>0</v>
      </c>
      <c r="M153" t="n">
        <v>0</v>
      </c>
      <c r="N153" t="n">
        <v>0</v>
      </c>
      <c r="O153" t="n">
        <v>0</v>
      </c>
      <c r="P153" t="n">
        <v>0</v>
      </c>
      <c r="Q153" t="n">
        <v>1</v>
      </c>
      <c r="R153" s="2" t="inlineStr">
        <is>
          <t>Grön sköldmossa</t>
        </is>
      </c>
      <c r="S153">
        <f>HYPERLINK("https://klasma.github.io/Logging_0380/artfynd/A 34732-2023 artfynd.xlsx", "A 34732-2023")</f>
        <v/>
      </c>
      <c r="T153">
        <f>HYPERLINK("https://klasma.github.io/Logging_0380/kartor/A 34732-2023 karta.png", "A 34732-2023")</f>
        <v/>
      </c>
      <c r="V153">
        <f>HYPERLINK("https://klasma.github.io/Logging_0380/klagomål/A 34732-2023 FSC-klagomål.docx", "A 34732-2023")</f>
        <v/>
      </c>
      <c r="W153">
        <f>HYPERLINK("https://klasma.github.io/Logging_0380/klagomålsmail/A 34732-2023 FSC-klagomål mail.docx", "A 34732-2023")</f>
        <v/>
      </c>
      <c r="X153">
        <f>HYPERLINK("https://klasma.github.io/Logging_0380/tillsyn/A 34732-2023 tillsynsbegäran.docx", "A 34732-2023")</f>
        <v/>
      </c>
      <c r="Y153">
        <f>HYPERLINK("https://klasma.github.io/Logging_0380/tillsynsmail/A 34732-2023 tillsynsbegäran mail.docx", "A 34732-2023")</f>
        <v/>
      </c>
    </row>
    <row r="154" ht="15" customHeight="1">
      <c r="A154" t="inlineStr">
        <is>
          <t>A 39741-2023</t>
        </is>
      </c>
      <c r="B154" s="1" t="n">
        <v>45167</v>
      </c>
      <c r="C154" s="1" t="n">
        <v>45645</v>
      </c>
      <c r="D154" t="inlineStr">
        <is>
          <t>UPPSALA LÄN</t>
        </is>
      </c>
      <c r="E154" t="inlineStr">
        <is>
          <t>UPPSALA</t>
        </is>
      </c>
      <c r="G154" t="n">
        <v>5.6</v>
      </c>
      <c r="H154" t="n">
        <v>1</v>
      </c>
      <c r="I154" t="n">
        <v>0</v>
      </c>
      <c r="J154" t="n">
        <v>1</v>
      </c>
      <c r="K154" t="n">
        <v>0</v>
      </c>
      <c r="L154" t="n">
        <v>0</v>
      </c>
      <c r="M154" t="n">
        <v>0</v>
      </c>
      <c r="N154" t="n">
        <v>0</v>
      </c>
      <c r="O154" t="n">
        <v>1</v>
      </c>
      <c r="P154" t="n">
        <v>0</v>
      </c>
      <c r="Q154" t="n">
        <v>1</v>
      </c>
      <c r="R154" s="2" t="inlineStr">
        <is>
          <t>Entita</t>
        </is>
      </c>
      <c r="S154">
        <f>HYPERLINK("https://klasma.github.io/Logging_0380/artfynd/A 39741-2023 artfynd.xlsx", "A 39741-2023")</f>
        <v/>
      </c>
      <c r="T154">
        <f>HYPERLINK("https://klasma.github.io/Logging_0380/kartor/A 39741-2023 karta.png", "A 39741-2023")</f>
        <v/>
      </c>
      <c r="V154">
        <f>HYPERLINK("https://klasma.github.io/Logging_0380/klagomål/A 39741-2023 FSC-klagomål.docx", "A 39741-2023")</f>
        <v/>
      </c>
      <c r="W154">
        <f>HYPERLINK("https://klasma.github.io/Logging_0380/klagomålsmail/A 39741-2023 FSC-klagomål mail.docx", "A 39741-2023")</f>
        <v/>
      </c>
      <c r="X154">
        <f>HYPERLINK("https://klasma.github.io/Logging_0380/tillsyn/A 39741-2023 tillsynsbegäran.docx", "A 39741-2023")</f>
        <v/>
      </c>
      <c r="Y154">
        <f>HYPERLINK("https://klasma.github.io/Logging_0380/tillsynsmail/A 39741-2023 tillsynsbegäran mail.docx", "A 39741-2023")</f>
        <v/>
      </c>
      <c r="Z154">
        <f>HYPERLINK("https://klasma.github.io/Logging_0380/fåglar/A 39741-2023 prioriterade fågelarter.docx", "A 39741-2023")</f>
        <v/>
      </c>
    </row>
    <row r="155" ht="15" customHeight="1">
      <c r="A155" t="inlineStr">
        <is>
          <t>A 49990-2023</t>
        </is>
      </c>
      <c r="B155" s="1" t="n">
        <v>45215</v>
      </c>
      <c r="C155" s="1" t="n">
        <v>45645</v>
      </c>
      <c r="D155" t="inlineStr">
        <is>
          <t>UPPSALA LÄN</t>
        </is>
      </c>
      <c r="E155" t="inlineStr">
        <is>
          <t>UPPSALA</t>
        </is>
      </c>
      <c r="G155" t="n">
        <v>2</v>
      </c>
      <c r="H155" t="n">
        <v>1</v>
      </c>
      <c r="I155" t="n">
        <v>0</v>
      </c>
      <c r="J155" t="n">
        <v>0</v>
      </c>
      <c r="K155" t="n">
        <v>0</v>
      </c>
      <c r="L155" t="n">
        <v>0</v>
      </c>
      <c r="M155" t="n">
        <v>0</v>
      </c>
      <c r="N155" t="n">
        <v>0</v>
      </c>
      <c r="O155" t="n">
        <v>0</v>
      </c>
      <c r="P155" t="n">
        <v>0</v>
      </c>
      <c r="Q155" t="n">
        <v>1</v>
      </c>
      <c r="R155" s="2" t="inlineStr">
        <is>
          <t>Järnsparv</t>
        </is>
      </c>
      <c r="S155">
        <f>HYPERLINK("https://klasma.github.io/Logging_0380/artfynd/A 49990-2023 artfynd.xlsx", "A 49990-2023")</f>
        <v/>
      </c>
      <c r="T155">
        <f>HYPERLINK("https://klasma.github.io/Logging_0380/kartor/A 49990-2023 karta.png", "A 49990-2023")</f>
        <v/>
      </c>
      <c r="V155">
        <f>HYPERLINK("https://klasma.github.io/Logging_0380/klagomål/A 49990-2023 FSC-klagomål.docx", "A 49990-2023")</f>
        <v/>
      </c>
      <c r="W155">
        <f>HYPERLINK("https://klasma.github.io/Logging_0380/klagomålsmail/A 49990-2023 FSC-klagomål mail.docx", "A 49990-2023")</f>
        <v/>
      </c>
      <c r="X155">
        <f>HYPERLINK("https://klasma.github.io/Logging_0380/tillsyn/A 49990-2023 tillsynsbegäran.docx", "A 49990-2023")</f>
        <v/>
      </c>
      <c r="Y155">
        <f>HYPERLINK("https://klasma.github.io/Logging_0380/tillsynsmail/A 49990-2023 tillsynsbegäran mail.docx", "A 49990-2023")</f>
        <v/>
      </c>
      <c r="Z155">
        <f>HYPERLINK("https://klasma.github.io/Logging_0380/fåglar/A 49990-2023 prioriterade fågelarter.docx", "A 49990-2023")</f>
        <v/>
      </c>
    </row>
    <row r="156" ht="15" customHeight="1">
      <c r="A156" t="inlineStr">
        <is>
          <t>A 51540-2023</t>
        </is>
      </c>
      <c r="B156" s="1" t="n">
        <v>45222</v>
      </c>
      <c r="C156" s="1" t="n">
        <v>45645</v>
      </c>
      <c r="D156" t="inlineStr">
        <is>
          <t>UPPSALA LÄN</t>
        </is>
      </c>
      <c r="E156" t="inlineStr">
        <is>
          <t>UPPSALA</t>
        </is>
      </c>
      <c r="G156" t="n">
        <v>6.4</v>
      </c>
      <c r="H156" t="n">
        <v>0</v>
      </c>
      <c r="I156" t="n">
        <v>0</v>
      </c>
      <c r="J156" t="n">
        <v>1</v>
      </c>
      <c r="K156" t="n">
        <v>0</v>
      </c>
      <c r="L156" t="n">
        <v>0</v>
      </c>
      <c r="M156" t="n">
        <v>0</v>
      </c>
      <c r="N156" t="n">
        <v>0</v>
      </c>
      <c r="O156" t="n">
        <v>1</v>
      </c>
      <c r="P156" t="n">
        <v>0</v>
      </c>
      <c r="Q156" t="n">
        <v>1</v>
      </c>
      <c r="R156" s="2" t="inlineStr">
        <is>
          <t>Svedjenäva</t>
        </is>
      </c>
      <c r="S156">
        <f>HYPERLINK("https://klasma.github.io/Logging_0380/artfynd/A 51540-2023 artfynd.xlsx", "A 51540-2023")</f>
        <v/>
      </c>
      <c r="T156">
        <f>HYPERLINK("https://klasma.github.io/Logging_0380/kartor/A 51540-2023 karta.png", "A 51540-2023")</f>
        <v/>
      </c>
      <c r="V156">
        <f>HYPERLINK("https://klasma.github.io/Logging_0380/klagomål/A 51540-2023 FSC-klagomål.docx", "A 51540-2023")</f>
        <v/>
      </c>
      <c r="W156">
        <f>HYPERLINK("https://klasma.github.io/Logging_0380/klagomålsmail/A 51540-2023 FSC-klagomål mail.docx", "A 51540-2023")</f>
        <v/>
      </c>
      <c r="X156">
        <f>HYPERLINK("https://klasma.github.io/Logging_0380/tillsyn/A 51540-2023 tillsynsbegäran.docx", "A 51540-2023")</f>
        <v/>
      </c>
      <c r="Y156">
        <f>HYPERLINK("https://klasma.github.io/Logging_0380/tillsynsmail/A 51540-2023 tillsynsbegäran mail.docx", "A 51540-2023")</f>
        <v/>
      </c>
    </row>
    <row r="157" ht="15" customHeight="1">
      <c r="A157" t="inlineStr">
        <is>
          <t>A 57332-2023</t>
        </is>
      </c>
      <c r="B157" s="1" t="n">
        <v>45245</v>
      </c>
      <c r="C157" s="1" t="n">
        <v>45645</v>
      </c>
      <c r="D157" t="inlineStr">
        <is>
          <t>UPPSALA LÄN</t>
        </is>
      </c>
      <c r="E157" t="inlineStr">
        <is>
          <t>UPPSALA</t>
        </is>
      </c>
      <c r="F157" t="inlineStr">
        <is>
          <t>Allmännings- och besparingsskogar</t>
        </is>
      </c>
      <c r="G157" t="n">
        <v>11.4</v>
      </c>
      <c r="H157" t="n">
        <v>1</v>
      </c>
      <c r="I157" t="n">
        <v>0</v>
      </c>
      <c r="J157" t="n">
        <v>0</v>
      </c>
      <c r="K157" t="n">
        <v>1</v>
      </c>
      <c r="L157" t="n">
        <v>0</v>
      </c>
      <c r="M157" t="n">
        <v>0</v>
      </c>
      <c r="N157" t="n">
        <v>0</v>
      </c>
      <c r="O157" t="n">
        <v>1</v>
      </c>
      <c r="P157" t="n">
        <v>1</v>
      </c>
      <c r="Q157" t="n">
        <v>1</v>
      </c>
      <c r="R157" s="2" t="inlineStr">
        <is>
          <t>Knärot</t>
        </is>
      </c>
      <c r="S157">
        <f>HYPERLINK("https://klasma.github.io/Logging_0380/artfynd/A 57332-2023 artfynd.xlsx", "A 57332-2023")</f>
        <v/>
      </c>
      <c r="T157">
        <f>HYPERLINK("https://klasma.github.io/Logging_0380/kartor/A 57332-2023 karta.png", "A 57332-2023")</f>
        <v/>
      </c>
      <c r="U157">
        <f>HYPERLINK("https://klasma.github.io/Logging_0380/knärot/A 57332-2023 karta knärot.png", "A 57332-2023")</f>
        <v/>
      </c>
      <c r="V157">
        <f>HYPERLINK("https://klasma.github.io/Logging_0380/klagomål/A 57332-2023 FSC-klagomål.docx", "A 57332-2023")</f>
        <v/>
      </c>
      <c r="W157">
        <f>HYPERLINK("https://klasma.github.io/Logging_0380/klagomålsmail/A 57332-2023 FSC-klagomål mail.docx", "A 57332-2023")</f>
        <v/>
      </c>
      <c r="X157">
        <f>HYPERLINK("https://klasma.github.io/Logging_0380/tillsyn/A 57332-2023 tillsynsbegäran.docx", "A 57332-2023")</f>
        <v/>
      </c>
      <c r="Y157">
        <f>HYPERLINK("https://klasma.github.io/Logging_0380/tillsynsmail/A 57332-2023 tillsynsbegäran mail.docx", "A 57332-2023")</f>
        <v/>
      </c>
    </row>
    <row r="158" ht="15" customHeight="1">
      <c r="A158" t="inlineStr">
        <is>
          <t>A 61068-2023</t>
        </is>
      </c>
      <c r="B158" s="1" t="n">
        <v>45259</v>
      </c>
      <c r="C158" s="1" t="n">
        <v>45645</v>
      </c>
      <c r="D158" t="inlineStr">
        <is>
          <t>UPPSALA LÄN</t>
        </is>
      </c>
      <c r="E158" t="inlineStr">
        <is>
          <t>UPPSALA</t>
        </is>
      </c>
      <c r="F158" t="inlineStr">
        <is>
          <t>Övriga Aktiebolag</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HYPERLINK("https://klasma.github.io/Logging_0380/artfynd/A 61068-2023 artfynd.xlsx", "A 61068-2023")</f>
        <v/>
      </c>
      <c r="T158">
        <f>HYPERLINK("https://klasma.github.io/Logging_0380/kartor/A 61068-2023 karta.png", "A 61068-2023")</f>
        <v/>
      </c>
      <c r="U158">
        <f>HYPERLINK("https://klasma.github.io/Logging_0380/knärot/A 61068-2023 karta knärot.png", "A 61068-2023")</f>
        <v/>
      </c>
      <c r="V158">
        <f>HYPERLINK("https://klasma.github.io/Logging_0380/klagomål/A 61068-2023 FSC-klagomål.docx", "A 61068-2023")</f>
        <v/>
      </c>
      <c r="W158">
        <f>HYPERLINK("https://klasma.github.io/Logging_0380/klagomålsmail/A 61068-2023 FSC-klagomål mail.docx", "A 61068-2023")</f>
        <v/>
      </c>
      <c r="X158">
        <f>HYPERLINK("https://klasma.github.io/Logging_0380/tillsyn/A 61068-2023 tillsynsbegäran.docx", "A 61068-2023")</f>
        <v/>
      </c>
      <c r="Y158">
        <f>HYPERLINK("https://klasma.github.io/Logging_0380/tillsynsmail/A 61068-2023 tillsynsbegäran mail.docx", "A 61068-2023")</f>
        <v/>
      </c>
    </row>
    <row r="159" ht="15" customHeight="1">
      <c r="A159" t="inlineStr">
        <is>
          <t>A 61066-2023</t>
        </is>
      </c>
      <c r="B159" s="1" t="n">
        <v>45259</v>
      </c>
      <c r="C159" s="1" t="n">
        <v>45645</v>
      </c>
      <c r="D159" t="inlineStr">
        <is>
          <t>UPPSALA LÄN</t>
        </is>
      </c>
      <c r="E159" t="inlineStr">
        <is>
          <t>UPPSALA</t>
        </is>
      </c>
      <c r="F159" t="inlineStr">
        <is>
          <t>Övriga Aktiebolag</t>
        </is>
      </c>
      <c r="G159" t="n">
        <v>4.7</v>
      </c>
      <c r="H159" t="n">
        <v>0</v>
      </c>
      <c r="I159" t="n">
        <v>0</v>
      </c>
      <c r="J159" t="n">
        <v>1</v>
      </c>
      <c r="K159" t="n">
        <v>0</v>
      </c>
      <c r="L159" t="n">
        <v>0</v>
      </c>
      <c r="M159" t="n">
        <v>0</v>
      </c>
      <c r="N159" t="n">
        <v>0</v>
      </c>
      <c r="O159" t="n">
        <v>1</v>
      </c>
      <c r="P159" t="n">
        <v>0</v>
      </c>
      <c r="Q159" t="n">
        <v>1</v>
      </c>
      <c r="R159" s="2" t="inlineStr">
        <is>
          <t>Igelkott</t>
        </is>
      </c>
      <c r="S159">
        <f>HYPERLINK("https://klasma.github.io/Logging_0380/artfynd/A 61066-2023 artfynd.xlsx", "A 61066-2023")</f>
        <v/>
      </c>
      <c r="T159">
        <f>HYPERLINK("https://klasma.github.io/Logging_0380/kartor/A 61066-2023 karta.png", "A 61066-2023")</f>
        <v/>
      </c>
      <c r="V159">
        <f>HYPERLINK("https://klasma.github.io/Logging_0380/klagomål/A 61066-2023 FSC-klagomål.docx", "A 61066-2023")</f>
        <v/>
      </c>
      <c r="W159">
        <f>HYPERLINK("https://klasma.github.io/Logging_0380/klagomålsmail/A 61066-2023 FSC-klagomål mail.docx", "A 61066-2023")</f>
        <v/>
      </c>
      <c r="X159">
        <f>HYPERLINK("https://klasma.github.io/Logging_0380/tillsyn/A 61066-2023 tillsynsbegäran.docx", "A 61066-2023")</f>
        <v/>
      </c>
      <c r="Y159">
        <f>HYPERLINK("https://klasma.github.io/Logging_0380/tillsynsmail/A 61066-2023 tillsynsbegäran mail.docx", "A 61066-2023")</f>
        <v/>
      </c>
    </row>
    <row r="160" ht="15" customHeight="1">
      <c r="A160" t="inlineStr">
        <is>
          <t>A 63172-2023</t>
        </is>
      </c>
      <c r="B160" s="1" t="n">
        <v>45273</v>
      </c>
      <c r="C160" s="1" t="n">
        <v>45645</v>
      </c>
      <c r="D160" t="inlineStr">
        <is>
          <t>UPPSALA LÄN</t>
        </is>
      </c>
      <c r="E160" t="inlineStr">
        <is>
          <t>UPPSALA</t>
        </is>
      </c>
      <c r="G160" t="n">
        <v>1.8</v>
      </c>
      <c r="H160" t="n">
        <v>0</v>
      </c>
      <c r="I160" t="n">
        <v>1</v>
      </c>
      <c r="J160" t="n">
        <v>0</v>
      </c>
      <c r="K160" t="n">
        <v>0</v>
      </c>
      <c r="L160" t="n">
        <v>0</v>
      </c>
      <c r="M160" t="n">
        <v>0</v>
      </c>
      <c r="N160" t="n">
        <v>0</v>
      </c>
      <c r="O160" t="n">
        <v>0</v>
      </c>
      <c r="P160" t="n">
        <v>0</v>
      </c>
      <c r="Q160" t="n">
        <v>1</v>
      </c>
      <c r="R160" s="2" t="inlineStr">
        <is>
          <t>Ögonpyrola</t>
        </is>
      </c>
      <c r="S160">
        <f>HYPERLINK("https://klasma.github.io/Logging_0380/artfynd/A 63172-2023 artfynd.xlsx", "A 63172-2023")</f>
        <v/>
      </c>
      <c r="T160">
        <f>HYPERLINK("https://klasma.github.io/Logging_0380/kartor/A 63172-2023 karta.png", "A 63172-2023")</f>
        <v/>
      </c>
      <c r="V160">
        <f>HYPERLINK("https://klasma.github.io/Logging_0380/klagomål/A 63172-2023 FSC-klagomål.docx", "A 63172-2023")</f>
        <v/>
      </c>
      <c r="W160">
        <f>HYPERLINK("https://klasma.github.io/Logging_0380/klagomålsmail/A 63172-2023 FSC-klagomål mail.docx", "A 63172-2023")</f>
        <v/>
      </c>
      <c r="X160">
        <f>HYPERLINK("https://klasma.github.io/Logging_0380/tillsyn/A 63172-2023 tillsynsbegäran.docx", "A 63172-2023")</f>
        <v/>
      </c>
      <c r="Y160">
        <f>HYPERLINK("https://klasma.github.io/Logging_0380/tillsynsmail/A 63172-2023 tillsynsbegäran mail.docx", "A 63172-2023")</f>
        <v/>
      </c>
    </row>
    <row r="161" ht="15" customHeight="1">
      <c r="A161" t="inlineStr">
        <is>
          <t>A 584-2024</t>
        </is>
      </c>
      <c r="B161" s="1" t="n">
        <v>45299</v>
      </c>
      <c r="C161" s="1" t="n">
        <v>45645</v>
      </c>
      <c r="D161" t="inlineStr">
        <is>
          <t>UPPSALA LÄN</t>
        </is>
      </c>
      <c r="E161" t="inlineStr">
        <is>
          <t>UPPSALA</t>
        </is>
      </c>
      <c r="G161" t="n">
        <v>0.8</v>
      </c>
      <c r="H161" t="n">
        <v>1</v>
      </c>
      <c r="I161" t="n">
        <v>0</v>
      </c>
      <c r="J161" t="n">
        <v>0</v>
      </c>
      <c r="K161" t="n">
        <v>1</v>
      </c>
      <c r="L161" t="n">
        <v>0</v>
      </c>
      <c r="M161" t="n">
        <v>0</v>
      </c>
      <c r="N161" t="n">
        <v>0</v>
      </c>
      <c r="O161" t="n">
        <v>1</v>
      </c>
      <c r="P161" t="n">
        <v>1</v>
      </c>
      <c r="Q161" t="n">
        <v>1</v>
      </c>
      <c r="R161" s="2" t="inlineStr">
        <is>
          <t>Väddnätfjäril</t>
        </is>
      </c>
      <c r="S161">
        <f>HYPERLINK("https://klasma.github.io/Logging_0380/artfynd/A 584-2024 artfynd.xlsx", "A 584-2024")</f>
        <v/>
      </c>
      <c r="T161">
        <f>HYPERLINK("https://klasma.github.io/Logging_0380/kartor/A 584-2024 karta.png", "A 584-2024")</f>
        <v/>
      </c>
      <c r="V161">
        <f>HYPERLINK("https://klasma.github.io/Logging_0380/klagomål/A 584-2024 FSC-klagomål.docx", "A 584-2024")</f>
        <v/>
      </c>
      <c r="W161">
        <f>HYPERLINK("https://klasma.github.io/Logging_0380/klagomålsmail/A 584-2024 FSC-klagomål mail.docx", "A 584-2024")</f>
        <v/>
      </c>
      <c r="X161">
        <f>HYPERLINK("https://klasma.github.io/Logging_0380/tillsyn/A 584-2024 tillsynsbegäran.docx", "A 584-2024")</f>
        <v/>
      </c>
      <c r="Y161">
        <f>HYPERLINK("https://klasma.github.io/Logging_0380/tillsynsmail/A 584-2024 tillsynsbegäran mail.docx", "A 584-2024")</f>
        <v/>
      </c>
    </row>
    <row r="162" ht="15" customHeight="1">
      <c r="A162" t="inlineStr">
        <is>
          <t>A 2729-2024</t>
        </is>
      </c>
      <c r="B162" s="1" t="n">
        <v>45314</v>
      </c>
      <c r="C162" s="1" t="n">
        <v>45645</v>
      </c>
      <c r="D162" t="inlineStr">
        <is>
          <t>UPPSALA LÄN</t>
        </is>
      </c>
      <c r="E162" t="inlineStr">
        <is>
          <t>UPPSALA</t>
        </is>
      </c>
      <c r="G162" t="n">
        <v>3.3</v>
      </c>
      <c r="H162" t="n">
        <v>1</v>
      </c>
      <c r="I162" t="n">
        <v>0</v>
      </c>
      <c r="J162" t="n">
        <v>0</v>
      </c>
      <c r="K162" t="n">
        <v>0</v>
      </c>
      <c r="L162" t="n">
        <v>0</v>
      </c>
      <c r="M162" t="n">
        <v>0</v>
      </c>
      <c r="N162" t="n">
        <v>0</v>
      </c>
      <c r="O162" t="n">
        <v>0</v>
      </c>
      <c r="P162" t="n">
        <v>0</v>
      </c>
      <c r="Q162" t="n">
        <v>1</v>
      </c>
      <c r="R162" s="2" t="inlineStr">
        <is>
          <t>Revlummer</t>
        </is>
      </c>
      <c r="S162">
        <f>HYPERLINK("https://klasma.github.io/Logging_0380/artfynd/A 2729-2024 artfynd.xlsx", "A 2729-2024")</f>
        <v/>
      </c>
      <c r="T162">
        <f>HYPERLINK("https://klasma.github.io/Logging_0380/kartor/A 2729-2024 karta.png", "A 2729-2024")</f>
        <v/>
      </c>
      <c r="V162">
        <f>HYPERLINK("https://klasma.github.io/Logging_0380/klagomål/A 2729-2024 FSC-klagomål.docx", "A 2729-2024")</f>
        <v/>
      </c>
      <c r="W162">
        <f>HYPERLINK("https://klasma.github.io/Logging_0380/klagomålsmail/A 2729-2024 FSC-klagomål mail.docx", "A 2729-2024")</f>
        <v/>
      </c>
      <c r="X162">
        <f>HYPERLINK("https://klasma.github.io/Logging_0380/tillsyn/A 2729-2024 tillsynsbegäran.docx", "A 2729-2024")</f>
        <v/>
      </c>
      <c r="Y162">
        <f>HYPERLINK("https://klasma.github.io/Logging_0380/tillsynsmail/A 2729-2024 tillsynsbegäran mail.docx", "A 2729-2024")</f>
        <v/>
      </c>
    </row>
    <row r="163" ht="15" customHeight="1">
      <c r="A163" t="inlineStr">
        <is>
          <t>A 5972-2024</t>
        </is>
      </c>
      <c r="B163" s="1" t="n">
        <v>45336</v>
      </c>
      <c r="C163" s="1" t="n">
        <v>45645</v>
      </c>
      <c r="D163" t="inlineStr">
        <is>
          <t>UPPSALA LÄN</t>
        </is>
      </c>
      <c r="E163" t="inlineStr">
        <is>
          <t>UPPSALA</t>
        </is>
      </c>
      <c r="G163" t="n">
        <v>1.6</v>
      </c>
      <c r="H163" t="n">
        <v>1</v>
      </c>
      <c r="I163" t="n">
        <v>0</v>
      </c>
      <c r="J163" t="n">
        <v>0</v>
      </c>
      <c r="K163" t="n">
        <v>0</v>
      </c>
      <c r="L163" t="n">
        <v>0</v>
      </c>
      <c r="M163" t="n">
        <v>0</v>
      </c>
      <c r="N163" t="n">
        <v>0</v>
      </c>
      <c r="O163" t="n">
        <v>0</v>
      </c>
      <c r="P163" t="n">
        <v>0</v>
      </c>
      <c r="Q163" t="n">
        <v>1</v>
      </c>
      <c r="R163" s="2" t="inlineStr">
        <is>
          <t>Sparvuggla</t>
        </is>
      </c>
      <c r="S163">
        <f>HYPERLINK("https://klasma.github.io/Logging_0380/artfynd/A 5972-2024 artfynd.xlsx", "A 5972-2024")</f>
        <v/>
      </c>
      <c r="T163">
        <f>HYPERLINK("https://klasma.github.io/Logging_0380/kartor/A 5972-2024 karta.png", "A 5972-2024")</f>
        <v/>
      </c>
      <c r="V163">
        <f>HYPERLINK("https://klasma.github.io/Logging_0380/klagomål/A 5972-2024 FSC-klagomål.docx", "A 5972-2024")</f>
        <v/>
      </c>
      <c r="W163">
        <f>HYPERLINK("https://klasma.github.io/Logging_0380/klagomålsmail/A 5972-2024 FSC-klagomål mail.docx", "A 5972-2024")</f>
        <v/>
      </c>
      <c r="X163">
        <f>HYPERLINK("https://klasma.github.io/Logging_0380/tillsyn/A 5972-2024 tillsynsbegäran.docx", "A 5972-2024")</f>
        <v/>
      </c>
      <c r="Y163">
        <f>HYPERLINK("https://klasma.github.io/Logging_0380/tillsynsmail/A 5972-2024 tillsynsbegäran mail.docx", "A 5972-2024")</f>
        <v/>
      </c>
      <c r="Z163">
        <f>HYPERLINK("https://klasma.github.io/Logging_0380/fåglar/A 5972-2024 prioriterade fågelarter.docx", "A 5972-2024")</f>
        <v/>
      </c>
    </row>
    <row r="164" ht="15" customHeight="1">
      <c r="A164" t="inlineStr">
        <is>
          <t>A 6044-2024</t>
        </is>
      </c>
      <c r="B164" s="1" t="n">
        <v>45336</v>
      </c>
      <c r="C164" s="1" t="n">
        <v>45645</v>
      </c>
      <c r="D164" t="inlineStr">
        <is>
          <t>UPPSALA LÄN</t>
        </is>
      </c>
      <c r="E164" t="inlineStr">
        <is>
          <t>UPPSALA</t>
        </is>
      </c>
      <c r="F164" t="inlineStr">
        <is>
          <t>Holmen skog AB</t>
        </is>
      </c>
      <c r="G164" t="n">
        <v>7.4</v>
      </c>
      <c r="H164" t="n">
        <v>0</v>
      </c>
      <c r="I164" t="n">
        <v>0</v>
      </c>
      <c r="J164" t="n">
        <v>1</v>
      </c>
      <c r="K164" t="n">
        <v>0</v>
      </c>
      <c r="L164" t="n">
        <v>0</v>
      </c>
      <c r="M164" t="n">
        <v>0</v>
      </c>
      <c r="N164" t="n">
        <v>0</v>
      </c>
      <c r="O164" t="n">
        <v>1</v>
      </c>
      <c r="P164" t="n">
        <v>0</v>
      </c>
      <c r="Q164" t="n">
        <v>1</v>
      </c>
      <c r="R164" s="2" t="inlineStr">
        <is>
          <t>Gul dropplav</t>
        </is>
      </c>
      <c r="S164">
        <f>HYPERLINK("https://klasma.github.io/Logging_0380/artfynd/A 6044-2024 artfynd.xlsx", "A 6044-2024")</f>
        <v/>
      </c>
      <c r="T164">
        <f>HYPERLINK("https://klasma.github.io/Logging_0380/kartor/A 6044-2024 karta.png", "A 6044-2024")</f>
        <v/>
      </c>
      <c r="V164">
        <f>HYPERLINK("https://klasma.github.io/Logging_0380/klagomål/A 6044-2024 FSC-klagomål.docx", "A 6044-2024")</f>
        <v/>
      </c>
      <c r="W164">
        <f>HYPERLINK("https://klasma.github.io/Logging_0380/klagomålsmail/A 6044-2024 FSC-klagomål mail.docx", "A 6044-2024")</f>
        <v/>
      </c>
      <c r="X164">
        <f>HYPERLINK("https://klasma.github.io/Logging_0380/tillsyn/A 6044-2024 tillsynsbegäran.docx", "A 6044-2024")</f>
        <v/>
      </c>
      <c r="Y164">
        <f>HYPERLINK("https://klasma.github.io/Logging_0380/tillsynsmail/A 6044-2024 tillsynsbegäran mail.docx", "A 6044-2024")</f>
        <v/>
      </c>
    </row>
    <row r="165" ht="15" customHeight="1">
      <c r="A165" t="inlineStr">
        <is>
          <t>A 7395-2024</t>
        </is>
      </c>
      <c r="B165" s="1" t="n">
        <v>45345</v>
      </c>
      <c r="C165" s="1" t="n">
        <v>45645</v>
      </c>
      <c r="D165" t="inlineStr">
        <is>
          <t>UPPSALA LÄN</t>
        </is>
      </c>
      <c r="E165" t="inlineStr">
        <is>
          <t>UPPSALA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HYPERLINK("https://klasma.github.io/Logging_0380/artfynd/A 7395-2024 artfynd.xlsx", "A 7395-2024")</f>
        <v/>
      </c>
      <c r="T165">
        <f>HYPERLINK("https://klasma.github.io/Logging_0380/kartor/A 7395-2024 karta.png", "A 7395-2024")</f>
        <v/>
      </c>
      <c r="U165">
        <f>HYPERLINK("https://klasma.github.io/Logging_0380/knärot/A 7395-2024 karta knärot.png", "A 7395-2024")</f>
        <v/>
      </c>
      <c r="V165">
        <f>HYPERLINK("https://klasma.github.io/Logging_0380/klagomål/A 7395-2024 FSC-klagomål.docx", "A 7395-2024")</f>
        <v/>
      </c>
      <c r="W165">
        <f>HYPERLINK("https://klasma.github.io/Logging_0380/klagomålsmail/A 7395-2024 FSC-klagomål mail.docx", "A 7395-2024")</f>
        <v/>
      </c>
      <c r="X165">
        <f>HYPERLINK("https://klasma.github.io/Logging_0380/tillsyn/A 7395-2024 tillsynsbegäran.docx", "A 7395-2024")</f>
        <v/>
      </c>
      <c r="Y165">
        <f>HYPERLINK("https://klasma.github.io/Logging_0380/tillsynsmail/A 7395-2024 tillsynsbegäran mail.docx", "A 7395-2024")</f>
        <v/>
      </c>
    </row>
    <row r="166" ht="15" customHeight="1">
      <c r="A166" t="inlineStr">
        <is>
          <t>A 7397-2024</t>
        </is>
      </c>
      <c r="B166" s="1" t="n">
        <v>45345</v>
      </c>
      <c r="C166" s="1" t="n">
        <v>45645</v>
      </c>
      <c r="D166" t="inlineStr">
        <is>
          <t>UPPSALA LÄN</t>
        </is>
      </c>
      <c r="E166" t="inlineStr">
        <is>
          <t>UPPSALA</t>
        </is>
      </c>
      <c r="G166" t="n">
        <v>3.4</v>
      </c>
      <c r="H166" t="n">
        <v>0</v>
      </c>
      <c r="I166" t="n">
        <v>1</v>
      </c>
      <c r="J166" t="n">
        <v>0</v>
      </c>
      <c r="K166" t="n">
        <v>0</v>
      </c>
      <c r="L166" t="n">
        <v>0</v>
      </c>
      <c r="M166" t="n">
        <v>0</v>
      </c>
      <c r="N166" t="n">
        <v>0</v>
      </c>
      <c r="O166" t="n">
        <v>0</v>
      </c>
      <c r="P166" t="n">
        <v>0</v>
      </c>
      <c r="Q166" t="n">
        <v>1</v>
      </c>
      <c r="R166" s="2" t="inlineStr">
        <is>
          <t>Svavelriska</t>
        </is>
      </c>
      <c r="S166">
        <f>HYPERLINK("https://klasma.github.io/Logging_0380/artfynd/A 7397-2024 artfynd.xlsx", "A 7397-2024")</f>
        <v/>
      </c>
      <c r="T166">
        <f>HYPERLINK("https://klasma.github.io/Logging_0380/kartor/A 7397-2024 karta.png", "A 7397-2024")</f>
        <v/>
      </c>
      <c r="U166">
        <f>HYPERLINK("https://klasma.github.io/Logging_0380/knärot/A 7397-2024 karta knärot.png", "A 7397-2024")</f>
        <v/>
      </c>
      <c r="V166">
        <f>HYPERLINK("https://klasma.github.io/Logging_0380/klagomål/A 7397-2024 FSC-klagomål.docx", "A 7397-2024")</f>
        <v/>
      </c>
      <c r="W166">
        <f>HYPERLINK("https://klasma.github.io/Logging_0380/klagomålsmail/A 7397-2024 FSC-klagomål mail.docx", "A 7397-2024")</f>
        <v/>
      </c>
      <c r="X166">
        <f>HYPERLINK("https://klasma.github.io/Logging_0380/tillsyn/A 7397-2024 tillsynsbegäran.docx", "A 7397-2024")</f>
        <v/>
      </c>
      <c r="Y166">
        <f>HYPERLINK("https://klasma.github.io/Logging_0380/tillsynsmail/A 7397-2024 tillsynsbegäran mail.docx", "A 7397-2024")</f>
        <v/>
      </c>
    </row>
    <row r="167" ht="15" customHeight="1">
      <c r="A167" t="inlineStr">
        <is>
          <t>A 8398-2024</t>
        </is>
      </c>
      <c r="B167" s="1" t="n">
        <v>45352</v>
      </c>
      <c r="C167" s="1" t="n">
        <v>45645</v>
      </c>
      <c r="D167" t="inlineStr">
        <is>
          <t>UPPSALA LÄN</t>
        </is>
      </c>
      <c r="E167" t="inlineStr">
        <is>
          <t>UPPSALA</t>
        </is>
      </c>
      <c r="G167" t="n">
        <v>6.2</v>
      </c>
      <c r="H167" t="n">
        <v>1</v>
      </c>
      <c r="I167" t="n">
        <v>0</v>
      </c>
      <c r="J167" t="n">
        <v>0</v>
      </c>
      <c r="K167" t="n">
        <v>0</v>
      </c>
      <c r="L167" t="n">
        <v>0</v>
      </c>
      <c r="M167" t="n">
        <v>0</v>
      </c>
      <c r="N167" t="n">
        <v>0</v>
      </c>
      <c r="O167" t="n">
        <v>0</v>
      </c>
      <c r="P167" t="n">
        <v>0</v>
      </c>
      <c r="Q167" t="n">
        <v>1</v>
      </c>
      <c r="R167" s="2" t="inlineStr">
        <is>
          <t>Tjäder</t>
        </is>
      </c>
      <c r="S167">
        <f>HYPERLINK("https://klasma.github.io/Logging_0380/artfynd/A 8398-2024 artfynd.xlsx", "A 8398-2024")</f>
        <v/>
      </c>
      <c r="T167">
        <f>HYPERLINK("https://klasma.github.io/Logging_0380/kartor/A 8398-2024 karta.png", "A 8398-2024")</f>
        <v/>
      </c>
      <c r="V167">
        <f>HYPERLINK("https://klasma.github.io/Logging_0380/klagomål/A 8398-2024 FSC-klagomål.docx", "A 8398-2024")</f>
        <v/>
      </c>
      <c r="W167">
        <f>HYPERLINK("https://klasma.github.io/Logging_0380/klagomålsmail/A 8398-2024 FSC-klagomål mail.docx", "A 8398-2024")</f>
        <v/>
      </c>
      <c r="X167">
        <f>HYPERLINK("https://klasma.github.io/Logging_0380/tillsyn/A 8398-2024 tillsynsbegäran.docx", "A 8398-2024")</f>
        <v/>
      </c>
      <c r="Y167">
        <f>HYPERLINK("https://klasma.github.io/Logging_0380/tillsynsmail/A 8398-2024 tillsynsbegäran mail.docx", "A 8398-2024")</f>
        <v/>
      </c>
      <c r="Z167">
        <f>HYPERLINK("https://klasma.github.io/Logging_0380/fåglar/A 8398-2024 prioriterade fågelarter.docx", "A 8398-2024")</f>
        <v/>
      </c>
    </row>
    <row r="168" ht="15" customHeight="1">
      <c r="A168" t="inlineStr">
        <is>
          <t>A 9206-2024</t>
        </is>
      </c>
      <c r="B168" s="1" t="n">
        <v>45358</v>
      </c>
      <c r="C168" s="1" t="n">
        <v>45645</v>
      </c>
      <c r="D168" t="inlineStr">
        <is>
          <t>UPPSALA LÄN</t>
        </is>
      </c>
      <c r="E168" t="inlineStr">
        <is>
          <t>UPPSALA</t>
        </is>
      </c>
      <c r="F168" t="inlineStr">
        <is>
          <t>Allmännings- och besparingsskogar</t>
        </is>
      </c>
      <c r="G168" t="n">
        <v>22.2</v>
      </c>
      <c r="H168" t="n">
        <v>1</v>
      </c>
      <c r="I168" t="n">
        <v>0</v>
      </c>
      <c r="J168" t="n">
        <v>0</v>
      </c>
      <c r="K168" t="n">
        <v>1</v>
      </c>
      <c r="L168" t="n">
        <v>0</v>
      </c>
      <c r="M168" t="n">
        <v>0</v>
      </c>
      <c r="N168" t="n">
        <v>0</v>
      </c>
      <c r="O168" t="n">
        <v>1</v>
      </c>
      <c r="P168" t="n">
        <v>1</v>
      </c>
      <c r="Q168" t="n">
        <v>1</v>
      </c>
      <c r="R168" s="2" t="inlineStr">
        <is>
          <t>Knärot</t>
        </is>
      </c>
      <c r="S168">
        <f>HYPERLINK("https://klasma.github.io/Logging_0380/artfynd/A 9206-2024 artfynd.xlsx", "A 9206-2024")</f>
        <v/>
      </c>
      <c r="T168">
        <f>HYPERLINK("https://klasma.github.io/Logging_0380/kartor/A 9206-2024 karta.png", "A 9206-2024")</f>
        <v/>
      </c>
      <c r="U168">
        <f>HYPERLINK("https://klasma.github.io/Logging_0380/knärot/A 9206-2024 karta knärot.png", "A 9206-2024")</f>
        <v/>
      </c>
      <c r="V168">
        <f>HYPERLINK("https://klasma.github.io/Logging_0380/klagomål/A 9206-2024 FSC-klagomål.docx", "A 9206-2024")</f>
        <v/>
      </c>
      <c r="W168">
        <f>HYPERLINK("https://klasma.github.io/Logging_0380/klagomålsmail/A 9206-2024 FSC-klagomål mail.docx", "A 9206-2024")</f>
        <v/>
      </c>
      <c r="X168">
        <f>HYPERLINK("https://klasma.github.io/Logging_0380/tillsyn/A 9206-2024 tillsynsbegäran.docx", "A 9206-2024")</f>
        <v/>
      </c>
      <c r="Y168">
        <f>HYPERLINK("https://klasma.github.io/Logging_0380/tillsynsmail/A 9206-2024 tillsynsbegäran mail.docx", "A 9206-2024")</f>
        <v/>
      </c>
    </row>
    <row r="169" ht="15" customHeight="1">
      <c r="A169" t="inlineStr">
        <is>
          <t>A 13093-2024</t>
        </is>
      </c>
      <c r="B169" s="1" t="n">
        <v>45385</v>
      </c>
      <c r="C169" s="1" t="n">
        <v>45645</v>
      </c>
      <c r="D169" t="inlineStr">
        <is>
          <t>UPPSALA LÄN</t>
        </is>
      </c>
      <c r="E169" t="inlineStr">
        <is>
          <t>UPPSALA</t>
        </is>
      </c>
      <c r="G169" t="n">
        <v>1.1</v>
      </c>
      <c r="H169" t="n">
        <v>1</v>
      </c>
      <c r="I169" t="n">
        <v>1</v>
      </c>
      <c r="J169" t="n">
        <v>0</v>
      </c>
      <c r="K169" t="n">
        <v>0</v>
      </c>
      <c r="L169" t="n">
        <v>0</v>
      </c>
      <c r="M169" t="n">
        <v>0</v>
      </c>
      <c r="N169" t="n">
        <v>0</v>
      </c>
      <c r="O169" t="n">
        <v>0</v>
      </c>
      <c r="P169" t="n">
        <v>0</v>
      </c>
      <c r="Q169" t="n">
        <v>1</v>
      </c>
      <c r="R169" s="2" t="inlineStr">
        <is>
          <t>Skogsknipprot</t>
        </is>
      </c>
      <c r="S169">
        <f>HYPERLINK("https://klasma.github.io/Logging_0380/artfynd/A 13093-2024 artfynd.xlsx", "A 13093-2024")</f>
        <v/>
      </c>
      <c r="T169">
        <f>HYPERLINK("https://klasma.github.io/Logging_0380/kartor/A 13093-2024 karta.png", "A 13093-2024")</f>
        <v/>
      </c>
      <c r="V169">
        <f>HYPERLINK("https://klasma.github.io/Logging_0380/klagomål/A 13093-2024 FSC-klagomål.docx", "A 13093-2024")</f>
        <v/>
      </c>
      <c r="W169">
        <f>HYPERLINK("https://klasma.github.io/Logging_0380/klagomålsmail/A 13093-2024 FSC-klagomål mail.docx", "A 13093-2024")</f>
        <v/>
      </c>
      <c r="X169">
        <f>HYPERLINK("https://klasma.github.io/Logging_0380/tillsyn/A 13093-2024 tillsynsbegäran.docx", "A 13093-2024")</f>
        <v/>
      </c>
      <c r="Y169">
        <f>HYPERLINK("https://klasma.github.io/Logging_0380/tillsynsmail/A 13093-2024 tillsynsbegäran mail.docx", "A 13093-2024")</f>
        <v/>
      </c>
    </row>
    <row r="170" ht="15" customHeight="1">
      <c r="A170" t="inlineStr">
        <is>
          <t>A 13661-2024</t>
        </is>
      </c>
      <c r="B170" s="1" t="n">
        <v>45390</v>
      </c>
      <c r="C170" s="1" t="n">
        <v>45645</v>
      </c>
      <c r="D170" t="inlineStr">
        <is>
          <t>UPPSALA LÄN</t>
        </is>
      </c>
      <c r="E170" t="inlineStr">
        <is>
          <t>UPPSALA</t>
        </is>
      </c>
      <c r="F170" t="inlineStr">
        <is>
          <t>Holmen skog AB</t>
        </is>
      </c>
      <c r="G170" t="n">
        <v>3.7</v>
      </c>
      <c r="H170" t="n">
        <v>0</v>
      </c>
      <c r="I170" t="n">
        <v>0</v>
      </c>
      <c r="J170" t="n">
        <v>1</v>
      </c>
      <c r="K170" t="n">
        <v>0</v>
      </c>
      <c r="L170" t="n">
        <v>0</v>
      </c>
      <c r="M170" t="n">
        <v>0</v>
      </c>
      <c r="N170" t="n">
        <v>0</v>
      </c>
      <c r="O170" t="n">
        <v>1</v>
      </c>
      <c r="P170" t="n">
        <v>0</v>
      </c>
      <c r="Q170" t="n">
        <v>1</v>
      </c>
      <c r="R170" s="2" t="inlineStr">
        <is>
          <t>Skogsklocka</t>
        </is>
      </c>
      <c r="S170">
        <f>HYPERLINK("https://klasma.github.io/Logging_0380/artfynd/A 13661-2024 artfynd.xlsx", "A 13661-2024")</f>
        <v/>
      </c>
      <c r="T170">
        <f>HYPERLINK("https://klasma.github.io/Logging_0380/kartor/A 13661-2024 karta.png", "A 13661-2024")</f>
        <v/>
      </c>
      <c r="V170">
        <f>HYPERLINK("https://klasma.github.io/Logging_0380/klagomål/A 13661-2024 FSC-klagomål.docx", "A 13661-2024")</f>
        <v/>
      </c>
      <c r="W170">
        <f>HYPERLINK("https://klasma.github.io/Logging_0380/klagomålsmail/A 13661-2024 FSC-klagomål mail.docx", "A 13661-2024")</f>
        <v/>
      </c>
      <c r="X170">
        <f>HYPERLINK("https://klasma.github.io/Logging_0380/tillsyn/A 13661-2024 tillsynsbegäran.docx", "A 13661-2024")</f>
        <v/>
      </c>
      <c r="Y170">
        <f>HYPERLINK("https://klasma.github.io/Logging_0380/tillsynsmail/A 13661-2024 tillsynsbegäran mail.docx", "A 13661-2024")</f>
        <v/>
      </c>
    </row>
    <row r="171" ht="15" customHeight="1">
      <c r="A171" t="inlineStr">
        <is>
          <t>A 18348-2024</t>
        </is>
      </c>
      <c r="B171" s="1" t="n">
        <v>45422</v>
      </c>
      <c r="C171" s="1" t="n">
        <v>45645</v>
      </c>
      <c r="D171" t="inlineStr">
        <is>
          <t>UPPSALA LÄN</t>
        </is>
      </c>
      <c r="E171" t="inlineStr">
        <is>
          <t>UPPSALA</t>
        </is>
      </c>
      <c r="F171" t="inlineStr">
        <is>
          <t>Holmen skog AB</t>
        </is>
      </c>
      <c r="G171" t="n">
        <v>2.8</v>
      </c>
      <c r="H171" t="n">
        <v>0</v>
      </c>
      <c r="I171" t="n">
        <v>0</v>
      </c>
      <c r="J171" t="n">
        <v>1</v>
      </c>
      <c r="K171" t="n">
        <v>0</v>
      </c>
      <c r="L171" t="n">
        <v>0</v>
      </c>
      <c r="M171" t="n">
        <v>0</v>
      </c>
      <c r="N171" t="n">
        <v>0</v>
      </c>
      <c r="O171" t="n">
        <v>1</v>
      </c>
      <c r="P171" t="n">
        <v>0</v>
      </c>
      <c r="Q171" t="n">
        <v>1</v>
      </c>
      <c r="R171" s="2" t="inlineStr">
        <is>
          <t>Granticka</t>
        </is>
      </c>
      <c r="S171">
        <f>HYPERLINK("https://klasma.github.io/Logging_0380/artfynd/A 18348-2024 artfynd.xlsx", "A 18348-2024")</f>
        <v/>
      </c>
      <c r="T171">
        <f>HYPERLINK("https://klasma.github.io/Logging_0380/kartor/A 18348-2024 karta.png", "A 18348-2024")</f>
        <v/>
      </c>
      <c r="V171">
        <f>HYPERLINK("https://klasma.github.io/Logging_0380/klagomål/A 18348-2024 FSC-klagomål.docx", "A 18348-2024")</f>
        <v/>
      </c>
      <c r="W171">
        <f>HYPERLINK("https://klasma.github.io/Logging_0380/klagomålsmail/A 18348-2024 FSC-klagomål mail.docx", "A 18348-2024")</f>
        <v/>
      </c>
      <c r="X171">
        <f>HYPERLINK("https://klasma.github.io/Logging_0380/tillsyn/A 18348-2024 tillsynsbegäran.docx", "A 18348-2024")</f>
        <v/>
      </c>
      <c r="Y171">
        <f>HYPERLINK("https://klasma.github.io/Logging_0380/tillsynsmail/A 18348-2024 tillsynsbegäran mail.docx", "A 18348-2024")</f>
        <v/>
      </c>
    </row>
    <row r="172" ht="15" customHeight="1">
      <c r="A172" t="inlineStr">
        <is>
          <t>A 18509-2024</t>
        </is>
      </c>
      <c r="B172" s="1" t="n">
        <v>45425</v>
      </c>
      <c r="C172" s="1" t="n">
        <v>45645</v>
      </c>
      <c r="D172" t="inlineStr">
        <is>
          <t>UPPSALA LÄN</t>
        </is>
      </c>
      <c r="E172" t="inlineStr">
        <is>
          <t>UPPSALA</t>
        </is>
      </c>
      <c r="G172" t="n">
        <v>4</v>
      </c>
      <c r="H172" t="n">
        <v>0</v>
      </c>
      <c r="I172" t="n">
        <v>1</v>
      </c>
      <c r="J172" t="n">
        <v>0</v>
      </c>
      <c r="K172" t="n">
        <v>0</v>
      </c>
      <c r="L172" t="n">
        <v>0</v>
      </c>
      <c r="M172" t="n">
        <v>0</v>
      </c>
      <c r="N172" t="n">
        <v>0</v>
      </c>
      <c r="O172" t="n">
        <v>0</v>
      </c>
      <c r="P172" t="n">
        <v>0</v>
      </c>
      <c r="Q172" t="n">
        <v>1</v>
      </c>
      <c r="R172" s="2" t="inlineStr">
        <is>
          <t>Fällmossa</t>
        </is>
      </c>
      <c r="S172">
        <f>HYPERLINK("https://klasma.github.io/Logging_0380/artfynd/A 18509-2024 artfynd.xlsx", "A 18509-2024")</f>
        <v/>
      </c>
      <c r="T172">
        <f>HYPERLINK("https://klasma.github.io/Logging_0380/kartor/A 18509-2024 karta.png", "A 18509-2024")</f>
        <v/>
      </c>
      <c r="V172">
        <f>HYPERLINK("https://klasma.github.io/Logging_0380/klagomål/A 18509-2024 FSC-klagomål.docx", "A 18509-2024")</f>
        <v/>
      </c>
      <c r="W172">
        <f>HYPERLINK("https://klasma.github.io/Logging_0380/klagomålsmail/A 18509-2024 FSC-klagomål mail.docx", "A 18509-2024")</f>
        <v/>
      </c>
      <c r="X172">
        <f>HYPERLINK("https://klasma.github.io/Logging_0380/tillsyn/A 18509-2024 tillsynsbegäran.docx", "A 18509-2024")</f>
        <v/>
      </c>
      <c r="Y172">
        <f>HYPERLINK("https://klasma.github.io/Logging_0380/tillsynsmail/A 18509-2024 tillsynsbegäran mail.docx", "A 18509-2024")</f>
        <v/>
      </c>
    </row>
    <row r="173" ht="15" customHeight="1">
      <c r="A173" t="inlineStr">
        <is>
          <t>A 21671-2024</t>
        </is>
      </c>
      <c r="B173" s="1" t="n">
        <v>45442</v>
      </c>
      <c r="C173" s="1" t="n">
        <v>45645</v>
      </c>
      <c r="D173" t="inlineStr">
        <is>
          <t>UPPSALA LÄN</t>
        </is>
      </c>
      <c r="E173" t="inlineStr">
        <is>
          <t>UPPSALA</t>
        </is>
      </c>
      <c r="G173" t="n">
        <v>3.7</v>
      </c>
      <c r="H173" t="n">
        <v>1</v>
      </c>
      <c r="I173" t="n">
        <v>0</v>
      </c>
      <c r="J173" t="n">
        <v>0</v>
      </c>
      <c r="K173" t="n">
        <v>1</v>
      </c>
      <c r="L173" t="n">
        <v>0</v>
      </c>
      <c r="M173" t="n">
        <v>0</v>
      </c>
      <c r="N173" t="n">
        <v>0</v>
      </c>
      <c r="O173" t="n">
        <v>1</v>
      </c>
      <c r="P173" t="n">
        <v>1</v>
      </c>
      <c r="Q173" t="n">
        <v>1</v>
      </c>
      <c r="R173" s="2" t="inlineStr">
        <is>
          <t>Knärot</t>
        </is>
      </c>
      <c r="S173">
        <f>HYPERLINK("https://klasma.github.io/Logging_0380/artfynd/A 21671-2024 artfynd.xlsx", "A 21671-2024")</f>
        <v/>
      </c>
      <c r="T173">
        <f>HYPERLINK("https://klasma.github.io/Logging_0380/kartor/A 21671-2024 karta.png", "A 21671-2024")</f>
        <v/>
      </c>
      <c r="U173">
        <f>HYPERLINK("https://klasma.github.io/Logging_0380/knärot/A 21671-2024 karta knärot.png", "A 21671-2024")</f>
        <v/>
      </c>
      <c r="V173">
        <f>HYPERLINK("https://klasma.github.io/Logging_0380/klagomål/A 21671-2024 FSC-klagomål.docx", "A 21671-2024")</f>
        <v/>
      </c>
      <c r="W173">
        <f>HYPERLINK("https://klasma.github.io/Logging_0380/klagomålsmail/A 21671-2024 FSC-klagomål mail.docx", "A 21671-2024")</f>
        <v/>
      </c>
      <c r="X173">
        <f>HYPERLINK("https://klasma.github.io/Logging_0380/tillsyn/A 21671-2024 tillsynsbegäran.docx", "A 21671-2024")</f>
        <v/>
      </c>
      <c r="Y173">
        <f>HYPERLINK("https://klasma.github.io/Logging_0380/tillsynsmail/A 21671-2024 tillsynsbegäran mail.docx", "A 21671-2024")</f>
        <v/>
      </c>
    </row>
    <row r="174" ht="15" customHeight="1">
      <c r="A174" t="inlineStr">
        <is>
          <t>A 23321-2024</t>
        </is>
      </c>
      <c r="B174" s="1" t="n">
        <v>45453</v>
      </c>
      <c r="C174" s="1" t="n">
        <v>45645</v>
      </c>
      <c r="D174" t="inlineStr">
        <is>
          <t>UPPSALA LÄN</t>
        </is>
      </c>
      <c r="E174" t="inlineStr">
        <is>
          <t>UPPSALA</t>
        </is>
      </c>
      <c r="G174" t="n">
        <v>11.8</v>
      </c>
      <c r="H174" t="n">
        <v>1</v>
      </c>
      <c r="I174" t="n">
        <v>0</v>
      </c>
      <c r="J174" t="n">
        <v>1</v>
      </c>
      <c r="K174" t="n">
        <v>0</v>
      </c>
      <c r="L174" t="n">
        <v>0</v>
      </c>
      <c r="M174" t="n">
        <v>0</v>
      </c>
      <c r="N174" t="n">
        <v>0</v>
      </c>
      <c r="O174" t="n">
        <v>1</v>
      </c>
      <c r="P174" t="n">
        <v>0</v>
      </c>
      <c r="Q174" t="n">
        <v>1</v>
      </c>
      <c r="R174" s="2" t="inlineStr">
        <is>
          <t>Talltita</t>
        </is>
      </c>
      <c r="S174">
        <f>HYPERLINK("https://klasma.github.io/Logging_0380/artfynd/A 23321-2024 artfynd.xlsx", "A 23321-2024")</f>
        <v/>
      </c>
      <c r="T174">
        <f>HYPERLINK("https://klasma.github.io/Logging_0380/kartor/A 23321-2024 karta.png", "A 23321-2024")</f>
        <v/>
      </c>
      <c r="U174">
        <f>HYPERLINK("https://klasma.github.io/Logging_0380/knärot/A 23321-2024 karta knärot.png", "A 23321-2024")</f>
        <v/>
      </c>
      <c r="V174">
        <f>HYPERLINK("https://klasma.github.io/Logging_0380/klagomål/A 23321-2024 FSC-klagomål.docx", "A 23321-2024")</f>
        <v/>
      </c>
      <c r="W174">
        <f>HYPERLINK("https://klasma.github.io/Logging_0380/klagomålsmail/A 23321-2024 FSC-klagomål mail.docx", "A 23321-2024")</f>
        <v/>
      </c>
      <c r="X174">
        <f>HYPERLINK("https://klasma.github.io/Logging_0380/tillsyn/A 23321-2024 tillsynsbegäran.docx", "A 23321-2024")</f>
        <v/>
      </c>
      <c r="Y174">
        <f>HYPERLINK("https://klasma.github.io/Logging_0380/tillsynsmail/A 23321-2024 tillsynsbegäran mail.docx", "A 23321-2024")</f>
        <v/>
      </c>
      <c r="Z174">
        <f>HYPERLINK("https://klasma.github.io/Logging_0380/fåglar/A 23321-2024 prioriterade fågelarter.docx", "A 23321-2024")</f>
        <v/>
      </c>
    </row>
    <row r="175" ht="15" customHeight="1">
      <c r="A175" t="inlineStr">
        <is>
          <t>A 25482-2024</t>
        </is>
      </c>
      <c r="B175" s="1" t="n">
        <v>45463</v>
      </c>
      <c r="C175" s="1" t="n">
        <v>45645</v>
      </c>
      <c r="D175" t="inlineStr">
        <is>
          <t>UPPSALA LÄN</t>
        </is>
      </c>
      <c r="E175" t="inlineStr">
        <is>
          <t>UPPSALA</t>
        </is>
      </c>
      <c r="F175" t="inlineStr">
        <is>
          <t>Övriga Aktiebolag</t>
        </is>
      </c>
      <c r="G175" t="n">
        <v>1</v>
      </c>
      <c r="H175" t="n">
        <v>0</v>
      </c>
      <c r="I175" t="n">
        <v>1</v>
      </c>
      <c r="J175" t="n">
        <v>0</v>
      </c>
      <c r="K175" t="n">
        <v>0</v>
      </c>
      <c r="L175" t="n">
        <v>0</v>
      </c>
      <c r="M175" t="n">
        <v>0</v>
      </c>
      <c r="N175" t="n">
        <v>0</v>
      </c>
      <c r="O175" t="n">
        <v>0</v>
      </c>
      <c r="P175" t="n">
        <v>0</v>
      </c>
      <c r="Q175" t="n">
        <v>1</v>
      </c>
      <c r="R175" s="2" t="inlineStr">
        <is>
          <t>Stor aspticka</t>
        </is>
      </c>
      <c r="S175">
        <f>HYPERLINK("https://klasma.github.io/Logging_0380/artfynd/A 25482-2024 artfynd.xlsx", "A 25482-2024")</f>
        <v/>
      </c>
      <c r="T175">
        <f>HYPERLINK("https://klasma.github.io/Logging_0380/kartor/A 25482-2024 karta.png", "A 25482-2024")</f>
        <v/>
      </c>
      <c r="V175">
        <f>HYPERLINK("https://klasma.github.io/Logging_0380/klagomål/A 25482-2024 FSC-klagomål.docx", "A 25482-2024")</f>
        <v/>
      </c>
      <c r="W175">
        <f>HYPERLINK("https://klasma.github.io/Logging_0380/klagomålsmail/A 25482-2024 FSC-klagomål mail.docx", "A 25482-2024")</f>
        <v/>
      </c>
      <c r="X175">
        <f>HYPERLINK("https://klasma.github.io/Logging_0380/tillsyn/A 25482-2024 tillsynsbegäran.docx", "A 25482-2024")</f>
        <v/>
      </c>
      <c r="Y175">
        <f>HYPERLINK("https://klasma.github.io/Logging_0380/tillsynsmail/A 25482-2024 tillsynsbegäran mail.docx", "A 25482-2024")</f>
        <v/>
      </c>
    </row>
    <row r="176" ht="15" customHeight="1">
      <c r="A176" t="inlineStr">
        <is>
          <t>A 25729-2024</t>
        </is>
      </c>
      <c r="B176" s="1" t="n">
        <v>45464</v>
      </c>
      <c r="C176" s="1" t="n">
        <v>45645</v>
      </c>
      <c r="D176" t="inlineStr">
        <is>
          <t>UPPSALA LÄN</t>
        </is>
      </c>
      <c r="E176" t="inlineStr">
        <is>
          <t>UPPSALA</t>
        </is>
      </c>
      <c r="G176" t="n">
        <v>22.3</v>
      </c>
      <c r="H176" t="n">
        <v>0</v>
      </c>
      <c r="I176" t="n">
        <v>0</v>
      </c>
      <c r="J176" t="n">
        <v>1</v>
      </c>
      <c r="K176" t="n">
        <v>0</v>
      </c>
      <c r="L176" t="n">
        <v>0</v>
      </c>
      <c r="M176" t="n">
        <v>0</v>
      </c>
      <c r="N176" t="n">
        <v>0</v>
      </c>
      <c r="O176" t="n">
        <v>1</v>
      </c>
      <c r="P176" t="n">
        <v>0</v>
      </c>
      <c r="Q176" t="n">
        <v>1</v>
      </c>
      <c r="R176" s="2" t="inlineStr">
        <is>
          <t>Ullticka</t>
        </is>
      </c>
      <c r="S176">
        <f>HYPERLINK("https://klasma.github.io/Logging_0380/artfynd/A 25729-2024 artfynd.xlsx", "A 25729-2024")</f>
        <v/>
      </c>
      <c r="T176">
        <f>HYPERLINK("https://klasma.github.io/Logging_0380/kartor/A 25729-2024 karta.png", "A 25729-2024")</f>
        <v/>
      </c>
      <c r="V176">
        <f>HYPERLINK("https://klasma.github.io/Logging_0380/klagomål/A 25729-2024 FSC-klagomål.docx", "A 25729-2024")</f>
        <v/>
      </c>
      <c r="W176">
        <f>HYPERLINK("https://klasma.github.io/Logging_0380/klagomålsmail/A 25729-2024 FSC-klagomål mail.docx", "A 25729-2024")</f>
        <v/>
      </c>
      <c r="X176">
        <f>HYPERLINK("https://klasma.github.io/Logging_0380/tillsyn/A 25729-2024 tillsynsbegäran.docx", "A 25729-2024")</f>
        <v/>
      </c>
      <c r="Y176">
        <f>HYPERLINK("https://klasma.github.io/Logging_0380/tillsynsmail/A 25729-2024 tillsynsbegäran mail.docx", "A 25729-2024")</f>
        <v/>
      </c>
    </row>
    <row r="177" ht="15" customHeight="1">
      <c r="A177" t="inlineStr">
        <is>
          <t>A 29139-2024</t>
        </is>
      </c>
      <c r="B177" s="1" t="n">
        <v>45482</v>
      </c>
      <c r="C177" s="1" t="n">
        <v>45645</v>
      </c>
      <c r="D177" t="inlineStr">
        <is>
          <t>UPPSALA LÄN</t>
        </is>
      </c>
      <c r="E177" t="inlineStr">
        <is>
          <t>UPPSALA</t>
        </is>
      </c>
      <c r="F177" t="inlineStr">
        <is>
          <t>Allmännings- och besparingsskogar</t>
        </is>
      </c>
      <c r="G177" t="n">
        <v>26.4</v>
      </c>
      <c r="H177" t="n">
        <v>0</v>
      </c>
      <c r="I177" t="n">
        <v>0</v>
      </c>
      <c r="J177" t="n">
        <v>1</v>
      </c>
      <c r="K177" t="n">
        <v>0</v>
      </c>
      <c r="L177" t="n">
        <v>0</v>
      </c>
      <c r="M177" t="n">
        <v>0</v>
      </c>
      <c r="N177" t="n">
        <v>0</v>
      </c>
      <c r="O177" t="n">
        <v>1</v>
      </c>
      <c r="P177" t="n">
        <v>0</v>
      </c>
      <c r="Q177" t="n">
        <v>1</v>
      </c>
      <c r="R177" s="2" t="inlineStr">
        <is>
          <t>Granskugglöpare</t>
        </is>
      </c>
      <c r="S177">
        <f>HYPERLINK("https://klasma.github.io/Logging_0380/artfynd/A 29139-2024 artfynd.xlsx", "A 29139-2024")</f>
        <v/>
      </c>
      <c r="T177">
        <f>HYPERLINK("https://klasma.github.io/Logging_0380/kartor/A 29139-2024 karta.png", "A 29139-2024")</f>
        <v/>
      </c>
      <c r="V177">
        <f>HYPERLINK("https://klasma.github.io/Logging_0380/klagomål/A 29139-2024 FSC-klagomål.docx", "A 29139-2024")</f>
        <v/>
      </c>
      <c r="W177">
        <f>HYPERLINK("https://klasma.github.io/Logging_0380/klagomålsmail/A 29139-2024 FSC-klagomål mail.docx", "A 29139-2024")</f>
        <v/>
      </c>
      <c r="X177">
        <f>HYPERLINK("https://klasma.github.io/Logging_0380/tillsyn/A 29139-2024 tillsynsbegäran.docx", "A 29139-2024")</f>
        <v/>
      </c>
      <c r="Y177">
        <f>HYPERLINK("https://klasma.github.io/Logging_0380/tillsynsmail/A 29139-2024 tillsynsbegäran mail.docx", "A 29139-2024")</f>
        <v/>
      </c>
    </row>
    <row r="178" ht="15" customHeight="1">
      <c r="A178" t="inlineStr">
        <is>
          <t>A 34159-2024</t>
        </is>
      </c>
      <c r="B178" s="1" t="n">
        <v>45524</v>
      </c>
      <c r="C178" s="1" t="n">
        <v>45645</v>
      </c>
      <c r="D178" t="inlineStr">
        <is>
          <t>UPPSALA LÄN</t>
        </is>
      </c>
      <c r="E178" t="inlineStr">
        <is>
          <t>UPPSALA</t>
        </is>
      </c>
      <c r="G178" t="n">
        <v>3.7</v>
      </c>
      <c r="H178" t="n">
        <v>0</v>
      </c>
      <c r="I178" t="n">
        <v>1</v>
      </c>
      <c r="J178" t="n">
        <v>0</v>
      </c>
      <c r="K178" t="n">
        <v>0</v>
      </c>
      <c r="L178" t="n">
        <v>0</v>
      </c>
      <c r="M178" t="n">
        <v>0</v>
      </c>
      <c r="N178" t="n">
        <v>0</v>
      </c>
      <c r="O178" t="n">
        <v>0</v>
      </c>
      <c r="P178" t="n">
        <v>0</v>
      </c>
      <c r="Q178" t="n">
        <v>1</v>
      </c>
      <c r="R178" s="2" t="inlineStr">
        <is>
          <t>Granbarkgnagare</t>
        </is>
      </c>
      <c r="S178">
        <f>HYPERLINK("https://klasma.github.io/Logging_0380/artfynd/A 34159-2024 artfynd.xlsx", "A 34159-2024")</f>
        <v/>
      </c>
      <c r="T178">
        <f>HYPERLINK("https://klasma.github.io/Logging_0380/kartor/A 34159-2024 karta.png", "A 34159-2024")</f>
        <v/>
      </c>
      <c r="V178">
        <f>HYPERLINK("https://klasma.github.io/Logging_0380/klagomål/A 34159-2024 FSC-klagomål.docx", "A 34159-2024")</f>
        <v/>
      </c>
      <c r="W178">
        <f>HYPERLINK("https://klasma.github.io/Logging_0380/klagomålsmail/A 34159-2024 FSC-klagomål mail.docx", "A 34159-2024")</f>
        <v/>
      </c>
      <c r="X178">
        <f>HYPERLINK("https://klasma.github.io/Logging_0380/tillsyn/A 34159-2024 tillsynsbegäran.docx", "A 34159-2024")</f>
        <v/>
      </c>
      <c r="Y178">
        <f>HYPERLINK("https://klasma.github.io/Logging_0380/tillsynsmail/A 34159-2024 tillsynsbegäran mail.docx", "A 34159-2024")</f>
        <v/>
      </c>
    </row>
    <row r="179" ht="15" customHeight="1">
      <c r="A179" t="inlineStr">
        <is>
          <t>A 37563-2024</t>
        </is>
      </c>
      <c r="B179" s="1" t="n">
        <v>45541</v>
      </c>
      <c r="C179" s="1" t="n">
        <v>45645</v>
      </c>
      <c r="D179" t="inlineStr">
        <is>
          <t>UPPSALA LÄN</t>
        </is>
      </c>
      <c r="E179" t="inlineStr">
        <is>
          <t>UPPSALA</t>
        </is>
      </c>
      <c r="F179" t="inlineStr">
        <is>
          <t>Övriga Aktiebolag</t>
        </is>
      </c>
      <c r="G179" t="n">
        <v>6.1</v>
      </c>
      <c r="H179" t="n">
        <v>0</v>
      </c>
      <c r="I179" t="n">
        <v>0</v>
      </c>
      <c r="J179" t="n">
        <v>1</v>
      </c>
      <c r="K179" t="n">
        <v>0</v>
      </c>
      <c r="L179" t="n">
        <v>0</v>
      </c>
      <c r="M179" t="n">
        <v>0</v>
      </c>
      <c r="N179" t="n">
        <v>0</v>
      </c>
      <c r="O179" t="n">
        <v>1</v>
      </c>
      <c r="P179" t="n">
        <v>0</v>
      </c>
      <c r="Q179" t="n">
        <v>1</v>
      </c>
      <c r="R179" s="2" t="inlineStr">
        <is>
          <t>Skogshare</t>
        </is>
      </c>
      <c r="S179">
        <f>HYPERLINK("https://klasma.github.io/Logging_0380/artfynd/A 37563-2024 artfynd.xlsx", "A 37563-2024")</f>
        <v/>
      </c>
      <c r="T179">
        <f>HYPERLINK("https://klasma.github.io/Logging_0380/kartor/A 37563-2024 karta.png", "A 37563-2024")</f>
        <v/>
      </c>
      <c r="V179">
        <f>HYPERLINK("https://klasma.github.io/Logging_0380/klagomål/A 37563-2024 FSC-klagomål.docx", "A 37563-2024")</f>
        <v/>
      </c>
      <c r="W179">
        <f>HYPERLINK("https://klasma.github.io/Logging_0380/klagomålsmail/A 37563-2024 FSC-klagomål mail.docx", "A 37563-2024")</f>
        <v/>
      </c>
      <c r="X179">
        <f>HYPERLINK("https://klasma.github.io/Logging_0380/tillsyn/A 37563-2024 tillsynsbegäran.docx", "A 37563-2024")</f>
        <v/>
      </c>
      <c r="Y179">
        <f>HYPERLINK("https://klasma.github.io/Logging_0380/tillsynsmail/A 37563-2024 tillsynsbegäran mail.docx", "A 37563-2024")</f>
        <v/>
      </c>
    </row>
    <row r="180" ht="15" customHeight="1">
      <c r="A180" t="inlineStr">
        <is>
          <t>A 42787-2024</t>
        </is>
      </c>
      <c r="B180" s="1" t="n">
        <v>45566</v>
      </c>
      <c r="C180" s="1" t="n">
        <v>45645</v>
      </c>
      <c r="D180" t="inlineStr">
        <is>
          <t>UPPSALA LÄN</t>
        </is>
      </c>
      <c r="E180" t="inlineStr">
        <is>
          <t>UPPSALA</t>
        </is>
      </c>
      <c r="G180" t="n">
        <v>3.2</v>
      </c>
      <c r="H180" t="n">
        <v>1</v>
      </c>
      <c r="I180" t="n">
        <v>0</v>
      </c>
      <c r="J180" t="n">
        <v>0</v>
      </c>
      <c r="K180" t="n">
        <v>0</v>
      </c>
      <c r="L180" t="n">
        <v>0</v>
      </c>
      <c r="M180" t="n">
        <v>0</v>
      </c>
      <c r="N180" t="n">
        <v>0</v>
      </c>
      <c r="O180" t="n">
        <v>0</v>
      </c>
      <c r="P180" t="n">
        <v>0</v>
      </c>
      <c r="Q180" t="n">
        <v>1</v>
      </c>
      <c r="R180" s="2" t="inlineStr">
        <is>
          <t>Mattlummer</t>
        </is>
      </c>
      <c r="S180">
        <f>HYPERLINK("https://klasma.github.io/Logging_0380/artfynd/A 42787-2024 artfynd.xlsx", "A 42787-2024")</f>
        <v/>
      </c>
      <c r="T180">
        <f>HYPERLINK("https://klasma.github.io/Logging_0380/kartor/A 42787-2024 karta.png", "A 42787-2024")</f>
        <v/>
      </c>
      <c r="V180">
        <f>HYPERLINK("https://klasma.github.io/Logging_0380/klagomål/A 42787-2024 FSC-klagomål.docx", "A 42787-2024")</f>
        <v/>
      </c>
      <c r="W180">
        <f>HYPERLINK("https://klasma.github.io/Logging_0380/klagomålsmail/A 42787-2024 FSC-klagomål mail.docx", "A 42787-2024")</f>
        <v/>
      </c>
      <c r="X180">
        <f>HYPERLINK("https://klasma.github.io/Logging_0380/tillsyn/A 42787-2024 tillsynsbegäran.docx", "A 42787-2024")</f>
        <v/>
      </c>
      <c r="Y180">
        <f>HYPERLINK("https://klasma.github.io/Logging_0380/tillsynsmail/A 42787-2024 tillsynsbegäran mail.docx", "A 42787-2024")</f>
        <v/>
      </c>
    </row>
    <row r="181" ht="15" customHeight="1">
      <c r="A181" t="inlineStr">
        <is>
          <t>A 54144-2024</t>
        </is>
      </c>
      <c r="B181" s="1" t="n">
        <v>45616</v>
      </c>
      <c r="C181" s="1" t="n">
        <v>45645</v>
      </c>
      <c r="D181" t="inlineStr">
        <is>
          <t>UPPSALA LÄN</t>
        </is>
      </c>
      <c r="E181" t="inlineStr">
        <is>
          <t>UPPSALA</t>
        </is>
      </c>
      <c r="G181" t="n">
        <v>3.2</v>
      </c>
      <c r="H181" t="n">
        <v>0</v>
      </c>
      <c r="I181" t="n">
        <v>1</v>
      </c>
      <c r="J181" t="n">
        <v>0</v>
      </c>
      <c r="K181" t="n">
        <v>0</v>
      </c>
      <c r="L181" t="n">
        <v>0</v>
      </c>
      <c r="M181" t="n">
        <v>0</v>
      </c>
      <c r="N181" t="n">
        <v>0</v>
      </c>
      <c r="O181" t="n">
        <v>0</v>
      </c>
      <c r="P181" t="n">
        <v>0</v>
      </c>
      <c r="Q181" t="n">
        <v>1</v>
      </c>
      <c r="R181" s="2" t="inlineStr">
        <is>
          <t>Svavelriska</t>
        </is>
      </c>
      <c r="S181">
        <f>HYPERLINK("https://klasma.github.io/Logging_0380/artfynd/A 54144-2024 artfynd.xlsx", "A 54144-2024")</f>
        <v/>
      </c>
      <c r="T181">
        <f>HYPERLINK("https://klasma.github.io/Logging_0380/kartor/A 54144-2024 karta.png", "A 54144-2024")</f>
        <v/>
      </c>
      <c r="V181">
        <f>HYPERLINK("https://klasma.github.io/Logging_0380/klagomål/A 54144-2024 FSC-klagomål.docx", "A 54144-2024")</f>
        <v/>
      </c>
      <c r="W181">
        <f>HYPERLINK("https://klasma.github.io/Logging_0380/klagomålsmail/A 54144-2024 FSC-klagomål mail.docx", "A 54144-2024")</f>
        <v/>
      </c>
      <c r="X181">
        <f>HYPERLINK("https://klasma.github.io/Logging_0380/tillsyn/A 54144-2024 tillsynsbegäran.docx", "A 54144-2024")</f>
        <v/>
      </c>
      <c r="Y181">
        <f>HYPERLINK("https://klasma.github.io/Logging_0380/tillsynsmail/A 54144-2024 tillsynsbegäran mail.docx", "A 54144-2024")</f>
        <v/>
      </c>
    </row>
    <row r="182" ht="15" customHeight="1">
      <c r="A182" t="inlineStr">
        <is>
          <t>A 59588-2024</t>
        </is>
      </c>
      <c r="B182" s="1" t="n">
        <v>45638</v>
      </c>
      <c r="C182" s="1" t="n">
        <v>45645</v>
      </c>
      <c r="D182" t="inlineStr">
        <is>
          <t>UPPSALA LÄN</t>
        </is>
      </c>
      <c r="E182" t="inlineStr">
        <is>
          <t>UPPSALA</t>
        </is>
      </c>
      <c r="G182" t="n">
        <v>3.4</v>
      </c>
      <c r="H182" t="n">
        <v>1</v>
      </c>
      <c r="I182" t="n">
        <v>0</v>
      </c>
      <c r="J182" t="n">
        <v>0</v>
      </c>
      <c r="K182" t="n">
        <v>1</v>
      </c>
      <c r="L182" t="n">
        <v>0</v>
      </c>
      <c r="M182" t="n">
        <v>0</v>
      </c>
      <c r="N182" t="n">
        <v>0</v>
      </c>
      <c r="O182" t="n">
        <v>1</v>
      </c>
      <c r="P182" t="n">
        <v>1</v>
      </c>
      <c r="Q182" t="n">
        <v>1</v>
      </c>
      <c r="R182" s="2" t="inlineStr">
        <is>
          <t>Knärot</t>
        </is>
      </c>
      <c r="S182">
        <f>HYPERLINK("https://klasma.github.io/Logging_0380/artfynd/A 59588-2024 artfynd.xlsx", "A 59588-2024")</f>
        <v/>
      </c>
      <c r="T182">
        <f>HYPERLINK("https://klasma.github.io/Logging_0380/kartor/A 59588-2024 karta.png", "A 59588-2024")</f>
        <v/>
      </c>
      <c r="U182">
        <f>HYPERLINK("https://klasma.github.io/Logging_0380/knärot/A 59588-2024 karta knärot.png", "A 59588-2024")</f>
        <v/>
      </c>
      <c r="V182">
        <f>HYPERLINK("https://klasma.github.io/Logging_0380/klagomål/A 59588-2024 FSC-klagomål.docx", "A 59588-2024")</f>
        <v/>
      </c>
      <c r="W182">
        <f>HYPERLINK("https://klasma.github.io/Logging_0380/klagomålsmail/A 59588-2024 FSC-klagomål mail.docx", "A 59588-2024")</f>
        <v/>
      </c>
      <c r="X182">
        <f>HYPERLINK("https://klasma.github.io/Logging_0380/tillsyn/A 59588-2024 tillsynsbegäran.docx", "A 59588-2024")</f>
        <v/>
      </c>
      <c r="Y182">
        <f>HYPERLINK("https://klasma.github.io/Logging_0380/tillsynsmail/A 59588-2024 tillsynsbegäran mail.docx", "A 59588-2024")</f>
        <v/>
      </c>
    </row>
    <row r="183" ht="15" customHeight="1">
      <c r="A183" t="inlineStr">
        <is>
          <t>A 17828-2019</t>
        </is>
      </c>
      <c r="B183" s="1" t="n">
        <v>43556</v>
      </c>
      <c r="C183" s="1" t="n">
        <v>45645</v>
      </c>
      <c r="D183" t="inlineStr">
        <is>
          <t>UPPSALA LÄN</t>
        </is>
      </c>
      <c r="E183" t="inlineStr">
        <is>
          <t>UPPSALA</t>
        </is>
      </c>
      <c r="G183" t="n">
        <v>2.8</v>
      </c>
      <c r="H183" t="n">
        <v>0</v>
      </c>
      <c r="I183" t="n">
        <v>0</v>
      </c>
      <c r="J183" t="n">
        <v>0</v>
      </c>
      <c r="K183" t="n">
        <v>0</v>
      </c>
      <c r="L183" t="n">
        <v>0</v>
      </c>
      <c r="M183" t="n">
        <v>0</v>
      </c>
      <c r="N183" t="n">
        <v>0</v>
      </c>
      <c r="O183" t="n">
        <v>0</v>
      </c>
      <c r="P183" t="n">
        <v>0</v>
      </c>
      <c r="Q183" t="n">
        <v>0</v>
      </c>
      <c r="R183" s="2" t="inlineStr"/>
    </row>
    <row r="184" ht="15" customHeight="1">
      <c r="A184" t="inlineStr">
        <is>
          <t>A 18446-2019</t>
        </is>
      </c>
      <c r="B184" s="1" t="n">
        <v>43559</v>
      </c>
      <c r="C184" s="1" t="n">
        <v>45645</v>
      </c>
      <c r="D184" t="inlineStr">
        <is>
          <t>UPPSALA LÄN</t>
        </is>
      </c>
      <c r="E184" t="inlineStr">
        <is>
          <t>UPPSALA</t>
        </is>
      </c>
      <c r="G184" t="n">
        <v>9.1</v>
      </c>
      <c r="H184" t="n">
        <v>0</v>
      </c>
      <c r="I184" t="n">
        <v>0</v>
      </c>
      <c r="J184" t="n">
        <v>0</v>
      </c>
      <c r="K184" t="n">
        <v>0</v>
      </c>
      <c r="L184" t="n">
        <v>0</v>
      </c>
      <c r="M184" t="n">
        <v>0</v>
      </c>
      <c r="N184" t="n">
        <v>0</v>
      </c>
      <c r="O184" t="n">
        <v>0</v>
      </c>
      <c r="P184" t="n">
        <v>0</v>
      </c>
      <c r="Q184" t="n">
        <v>0</v>
      </c>
      <c r="R184" s="2" t="inlineStr"/>
    </row>
    <row r="185" ht="15" customHeight="1">
      <c r="A185" t="inlineStr">
        <is>
          <t>A 18554-2019</t>
        </is>
      </c>
      <c r="B185" s="1" t="n">
        <v>43559</v>
      </c>
      <c r="C185" s="1" t="n">
        <v>45645</v>
      </c>
      <c r="D185" t="inlineStr">
        <is>
          <t>UPPSALA LÄN</t>
        </is>
      </c>
      <c r="E185" t="inlineStr">
        <is>
          <t>UPPSALA</t>
        </is>
      </c>
      <c r="G185" t="n">
        <v>5.6</v>
      </c>
      <c r="H185" t="n">
        <v>0</v>
      </c>
      <c r="I185" t="n">
        <v>0</v>
      </c>
      <c r="J185" t="n">
        <v>0</v>
      </c>
      <c r="K185" t="n">
        <v>0</v>
      </c>
      <c r="L185" t="n">
        <v>0</v>
      </c>
      <c r="M185" t="n">
        <v>0</v>
      </c>
      <c r="N185" t="n">
        <v>0</v>
      </c>
      <c r="O185" t="n">
        <v>0</v>
      </c>
      <c r="P185" t="n">
        <v>0</v>
      </c>
      <c r="Q185" t="n">
        <v>0</v>
      </c>
      <c r="R185" s="2" t="inlineStr"/>
    </row>
    <row r="186" ht="15" customHeight="1">
      <c r="A186" t="inlineStr">
        <is>
          <t>A 18810-2019</t>
        </is>
      </c>
      <c r="B186" s="1" t="n">
        <v>43560</v>
      </c>
      <c r="C186" s="1" t="n">
        <v>45645</v>
      </c>
      <c r="D186" t="inlineStr">
        <is>
          <t>UPPSALA LÄN</t>
        </is>
      </c>
      <c r="E186" t="inlineStr">
        <is>
          <t>UPPSALA</t>
        </is>
      </c>
      <c r="G186" t="n">
        <v>4</v>
      </c>
      <c r="H186" t="n">
        <v>0</v>
      </c>
      <c r="I186" t="n">
        <v>0</v>
      </c>
      <c r="J186" t="n">
        <v>0</v>
      </c>
      <c r="K186" t="n">
        <v>0</v>
      </c>
      <c r="L186" t="n">
        <v>0</v>
      </c>
      <c r="M186" t="n">
        <v>0</v>
      </c>
      <c r="N186" t="n">
        <v>0</v>
      </c>
      <c r="O186" t="n">
        <v>0</v>
      </c>
      <c r="P186" t="n">
        <v>0</v>
      </c>
      <c r="Q186" t="n">
        <v>0</v>
      </c>
      <c r="R186" s="2" t="inlineStr"/>
    </row>
    <row r="187" ht="15" customHeight="1">
      <c r="A187" t="inlineStr">
        <is>
          <t>A 20011-2019</t>
        </is>
      </c>
      <c r="B187" s="1" t="n">
        <v>43570</v>
      </c>
      <c r="C187" s="1" t="n">
        <v>45645</v>
      </c>
      <c r="D187" t="inlineStr">
        <is>
          <t>UPPSALA LÄN</t>
        </is>
      </c>
      <c r="E187" t="inlineStr">
        <is>
          <t>UPPSALA</t>
        </is>
      </c>
      <c r="G187" t="n">
        <v>6.3</v>
      </c>
      <c r="H187" t="n">
        <v>0</v>
      </c>
      <c r="I187" t="n">
        <v>0</v>
      </c>
      <c r="J187" t="n">
        <v>0</v>
      </c>
      <c r="K187" t="n">
        <v>0</v>
      </c>
      <c r="L187" t="n">
        <v>0</v>
      </c>
      <c r="M187" t="n">
        <v>0</v>
      </c>
      <c r="N187" t="n">
        <v>0</v>
      </c>
      <c r="O187" t="n">
        <v>0</v>
      </c>
      <c r="P187" t="n">
        <v>0</v>
      </c>
      <c r="Q187" t="n">
        <v>0</v>
      </c>
      <c r="R187" s="2" t="inlineStr"/>
    </row>
    <row r="188" ht="15" customHeight="1">
      <c r="A188" t="inlineStr">
        <is>
          <t>A 21087-2019</t>
        </is>
      </c>
      <c r="B188" s="1" t="n">
        <v>43578</v>
      </c>
      <c r="C188" s="1" t="n">
        <v>45645</v>
      </c>
      <c r="D188" t="inlineStr">
        <is>
          <t>UPPSALA LÄN</t>
        </is>
      </c>
      <c r="E188" t="inlineStr">
        <is>
          <t>UPPSALA</t>
        </is>
      </c>
      <c r="G188" t="n">
        <v>1.8</v>
      </c>
      <c r="H188" t="n">
        <v>0</v>
      </c>
      <c r="I188" t="n">
        <v>0</v>
      </c>
      <c r="J188" t="n">
        <v>0</v>
      </c>
      <c r="K188" t="n">
        <v>0</v>
      </c>
      <c r="L188" t="n">
        <v>0</v>
      </c>
      <c r="M188" t="n">
        <v>0</v>
      </c>
      <c r="N188" t="n">
        <v>0</v>
      </c>
      <c r="O188" t="n">
        <v>0</v>
      </c>
      <c r="P188" t="n">
        <v>0</v>
      </c>
      <c r="Q188" t="n">
        <v>0</v>
      </c>
      <c r="R188" s="2" t="inlineStr"/>
    </row>
    <row r="189" ht="15" customHeight="1">
      <c r="A189" t="inlineStr">
        <is>
          <t>A 21082-2019</t>
        </is>
      </c>
      <c r="B189" s="1" t="n">
        <v>43578</v>
      </c>
      <c r="C189" s="1" t="n">
        <v>45645</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21862-2019</t>
        </is>
      </c>
      <c r="B190" s="1" t="n">
        <v>43583</v>
      </c>
      <c r="C190" s="1" t="n">
        <v>45645</v>
      </c>
      <c r="D190" t="inlineStr">
        <is>
          <t>UPPSALA LÄN</t>
        </is>
      </c>
      <c r="E190" t="inlineStr">
        <is>
          <t>UPPSALA</t>
        </is>
      </c>
      <c r="G190" t="n">
        <v>9.5</v>
      </c>
      <c r="H190" t="n">
        <v>0</v>
      </c>
      <c r="I190" t="n">
        <v>0</v>
      </c>
      <c r="J190" t="n">
        <v>0</v>
      </c>
      <c r="K190" t="n">
        <v>0</v>
      </c>
      <c r="L190" t="n">
        <v>0</v>
      </c>
      <c r="M190" t="n">
        <v>0</v>
      </c>
      <c r="N190" t="n">
        <v>0</v>
      </c>
      <c r="O190" t="n">
        <v>0</v>
      </c>
      <c r="P190" t="n">
        <v>0</v>
      </c>
      <c r="Q190" t="n">
        <v>0</v>
      </c>
      <c r="R190" s="2" t="inlineStr"/>
    </row>
    <row r="191" ht="15" customHeight="1">
      <c r="A191" t="inlineStr">
        <is>
          <t>A 22153-2019</t>
        </is>
      </c>
      <c r="B191" s="1" t="n">
        <v>43585</v>
      </c>
      <c r="C191" s="1" t="n">
        <v>45645</v>
      </c>
      <c r="D191" t="inlineStr">
        <is>
          <t>UPPSALA LÄN</t>
        </is>
      </c>
      <c r="E191" t="inlineStr">
        <is>
          <t>UPPSALA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23042-2019</t>
        </is>
      </c>
      <c r="B192" s="1" t="n">
        <v>43591</v>
      </c>
      <c r="C192" s="1" t="n">
        <v>45645</v>
      </c>
      <c r="D192" t="inlineStr">
        <is>
          <t>UPPSALA LÄN</t>
        </is>
      </c>
      <c r="E192" t="inlineStr">
        <is>
          <t>UPPSALA</t>
        </is>
      </c>
      <c r="G192" t="n">
        <v>2.7</v>
      </c>
      <c r="H192" t="n">
        <v>0</v>
      </c>
      <c r="I192" t="n">
        <v>0</v>
      </c>
      <c r="J192" t="n">
        <v>0</v>
      </c>
      <c r="K192" t="n">
        <v>0</v>
      </c>
      <c r="L192" t="n">
        <v>0</v>
      </c>
      <c r="M192" t="n">
        <v>0</v>
      </c>
      <c r="N192" t="n">
        <v>0</v>
      </c>
      <c r="O192" t="n">
        <v>0</v>
      </c>
      <c r="P192" t="n">
        <v>0</v>
      </c>
      <c r="Q192" t="n">
        <v>0</v>
      </c>
      <c r="R192" s="2" t="inlineStr"/>
    </row>
    <row r="193" ht="15" customHeight="1">
      <c r="A193" t="inlineStr">
        <is>
          <t>A 23262-2019</t>
        </is>
      </c>
      <c r="B193" s="1" t="n">
        <v>43592</v>
      </c>
      <c r="C193" s="1" t="n">
        <v>45645</v>
      </c>
      <c r="D193" t="inlineStr">
        <is>
          <t>UPPSALA LÄN</t>
        </is>
      </c>
      <c r="E193" t="inlineStr">
        <is>
          <t>UPPSALA</t>
        </is>
      </c>
      <c r="F193" t="inlineStr">
        <is>
          <t>Kyrkan</t>
        </is>
      </c>
      <c r="G193" t="n">
        <v>7.6</v>
      </c>
      <c r="H193" t="n">
        <v>0</v>
      </c>
      <c r="I193" t="n">
        <v>0</v>
      </c>
      <c r="J193" t="n">
        <v>0</v>
      </c>
      <c r="K193" t="n">
        <v>0</v>
      </c>
      <c r="L193" t="n">
        <v>0</v>
      </c>
      <c r="M193" t="n">
        <v>0</v>
      </c>
      <c r="N193" t="n">
        <v>0</v>
      </c>
      <c r="O193" t="n">
        <v>0</v>
      </c>
      <c r="P193" t="n">
        <v>0</v>
      </c>
      <c r="Q193" t="n">
        <v>0</v>
      </c>
      <c r="R193" s="2" t="inlineStr"/>
    </row>
    <row r="194" ht="15" customHeight="1">
      <c r="A194" t="inlineStr">
        <is>
          <t>A 24998-2019</t>
        </is>
      </c>
      <c r="B194" s="1" t="n">
        <v>43600</v>
      </c>
      <c r="C194" s="1" t="n">
        <v>45645</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25164-2019</t>
        </is>
      </c>
      <c r="B195" s="1" t="n">
        <v>43605</v>
      </c>
      <c r="C195" s="1" t="n">
        <v>45645</v>
      </c>
      <c r="D195" t="inlineStr">
        <is>
          <t>UPPSALA LÄN</t>
        </is>
      </c>
      <c r="E195" t="inlineStr">
        <is>
          <t>UPPSALA</t>
        </is>
      </c>
      <c r="G195" t="n">
        <v>1.6</v>
      </c>
      <c r="H195" t="n">
        <v>0</v>
      </c>
      <c r="I195" t="n">
        <v>0</v>
      </c>
      <c r="J195" t="n">
        <v>0</v>
      </c>
      <c r="K195" t="n">
        <v>0</v>
      </c>
      <c r="L195" t="n">
        <v>0</v>
      </c>
      <c r="M195" t="n">
        <v>0</v>
      </c>
      <c r="N195" t="n">
        <v>0</v>
      </c>
      <c r="O195" t="n">
        <v>0</v>
      </c>
      <c r="P195" t="n">
        <v>0</v>
      </c>
      <c r="Q195" t="n">
        <v>0</v>
      </c>
      <c r="R195" s="2" t="inlineStr"/>
    </row>
    <row r="196" ht="15" customHeight="1">
      <c r="A196" t="inlineStr">
        <is>
          <t>A 25157-2019</t>
        </is>
      </c>
      <c r="B196" s="1" t="n">
        <v>43605</v>
      </c>
      <c r="C196" s="1" t="n">
        <v>45645</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25667-2019</t>
        </is>
      </c>
      <c r="B197" s="1" t="n">
        <v>43607</v>
      </c>
      <c r="C197" s="1" t="n">
        <v>45645</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29105-2019</t>
        </is>
      </c>
      <c r="B198" s="1" t="n">
        <v>43628</v>
      </c>
      <c r="C198" s="1" t="n">
        <v>45645</v>
      </c>
      <c r="D198" t="inlineStr">
        <is>
          <t>UPPSALA LÄN</t>
        </is>
      </c>
      <c r="E198" t="inlineStr">
        <is>
          <t>UPPSALA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29183-2019</t>
        </is>
      </c>
      <c r="B199" s="1" t="n">
        <v>43628</v>
      </c>
      <c r="C199" s="1" t="n">
        <v>45645</v>
      </c>
      <c r="D199" t="inlineStr">
        <is>
          <t>UPPSALA LÄN</t>
        </is>
      </c>
      <c r="E199" t="inlineStr">
        <is>
          <t>UPPSALA</t>
        </is>
      </c>
      <c r="F199" t="inlineStr">
        <is>
          <t>Allmännings- och besparingsskogar</t>
        </is>
      </c>
      <c r="G199" t="n">
        <v>6.3</v>
      </c>
      <c r="H199" t="n">
        <v>0</v>
      </c>
      <c r="I199" t="n">
        <v>0</v>
      </c>
      <c r="J199" t="n">
        <v>0</v>
      </c>
      <c r="K199" t="n">
        <v>0</v>
      </c>
      <c r="L199" t="n">
        <v>0</v>
      </c>
      <c r="M199" t="n">
        <v>0</v>
      </c>
      <c r="N199" t="n">
        <v>0</v>
      </c>
      <c r="O199" t="n">
        <v>0</v>
      </c>
      <c r="P199" t="n">
        <v>0</v>
      </c>
      <c r="Q199" t="n">
        <v>0</v>
      </c>
      <c r="R199" s="2" t="inlineStr"/>
    </row>
    <row r="200" ht="15" customHeight="1">
      <c r="A200" t="inlineStr">
        <is>
          <t>A 29081-2019</t>
        </is>
      </c>
      <c r="B200" s="1" t="n">
        <v>43628</v>
      </c>
      <c r="C200" s="1" t="n">
        <v>45645</v>
      </c>
      <c r="D200" t="inlineStr">
        <is>
          <t>UPPSALA LÄN</t>
        </is>
      </c>
      <c r="E200" t="inlineStr">
        <is>
          <t>UPPSALA</t>
        </is>
      </c>
      <c r="G200" t="n">
        <v>8.4</v>
      </c>
      <c r="H200" t="n">
        <v>0</v>
      </c>
      <c r="I200" t="n">
        <v>0</v>
      </c>
      <c r="J200" t="n">
        <v>0</v>
      </c>
      <c r="K200" t="n">
        <v>0</v>
      </c>
      <c r="L200" t="n">
        <v>0</v>
      </c>
      <c r="M200" t="n">
        <v>0</v>
      </c>
      <c r="N200" t="n">
        <v>0</v>
      </c>
      <c r="O200" t="n">
        <v>0</v>
      </c>
      <c r="P200" t="n">
        <v>0</v>
      </c>
      <c r="Q200" t="n">
        <v>0</v>
      </c>
      <c r="R200" s="2" t="inlineStr"/>
    </row>
    <row r="201" ht="15" customHeight="1">
      <c r="A201" t="inlineStr">
        <is>
          <t>A 29719-2019</t>
        </is>
      </c>
      <c r="B201" s="1" t="n">
        <v>43630</v>
      </c>
      <c r="C201" s="1" t="n">
        <v>45645</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29713-2019</t>
        </is>
      </c>
      <c r="B202" s="1" t="n">
        <v>43630</v>
      </c>
      <c r="C202" s="1" t="n">
        <v>45645</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32558-2019</t>
        </is>
      </c>
      <c r="B203" s="1" t="n">
        <v>43647</v>
      </c>
      <c r="C203" s="1" t="n">
        <v>45645</v>
      </c>
      <c r="D203" t="inlineStr">
        <is>
          <t>UPPSALA LÄN</t>
        </is>
      </c>
      <c r="E203" t="inlineStr">
        <is>
          <t>UPPSALA</t>
        </is>
      </c>
      <c r="G203" t="n">
        <v>4.2</v>
      </c>
      <c r="H203" t="n">
        <v>0</v>
      </c>
      <c r="I203" t="n">
        <v>0</v>
      </c>
      <c r="J203" t="n">
        <v>0</v>
      </c>
      <c r="K203" t="n">
        <v>0</v>
      </c>
      <c r="L203" t="n">
        <v>0</v>
      </c>
      <c r="M203" t="n">
        <v>0</v>
      </c>
      <c r="N203" t="n">
        <v>0</v>
      </c>
      <c r="O203" t="n">
        <v>0</v>
      </c>
      <c r="P203" t="n">
        <v>0</v>
      </c>
      <c r="Q203" t="n">
        <v>0</v>
      </c>
      <c r="R203" s="2" t="inlineStr"/>
    </row>
    <row r="204" ht="15" customHeight="1">
      <c r="A204" t="inlineStr">
        <is>
          <t>A 34560-2019</t>
        </is>
      </c>
      <c r="B204" s="1" t="n">
        <v>43647</v>
      </c>
      <c r="C204" s="1" t="n">
        <v>45645</v>
      </c>
      <c r="D204" t="inlineStr">
        <is>
          <t>UPPSALA LÄN</t>
        </is>
      </c>
      <c r="E204" t="inlineStr">
        <is>
          <t>UPPSALA</t>
        </is>
      </c>
      <c r="G204" t="n">
        <v>8.6</v>
      </c>
      <c r="H204" t="n">
        <v>0</v>
      </c>
      <c r="I204" t="n">
        <v>0</v>
      </c>
      <c r="J204" t="n">
        <v>0</v>
      </c>
      <c r="K204" t="n">
        <v>0</v>
      </c>
      <c r="L204" t="n">
        <v>0</v>
      </c>
      <c r="M204" t="n">
        <v>0</v>
      </c>
      <c r="N204" t="n">
        <v>0</v>
      </c>
      <c r="O204" t="n">
        <v>0</v>
      </c>
      <c r="P204" t="n">
        <v>0</v>
      </c>
      <c r="Q204" t="n">
        <v>0</v>
      </c>
      <c r="R204" s="2" t="inlineStr"/>
    </row>
    <row r="205" ht="15" customHeight="1">
      <c r="A205" t="inlineStr">
        <is>
          <t>A 32830-2019</t>
        </is>
      </c>
      <c r="B205" s="1" t="n">
        <v>43648</v>
      </c>
      <c r="C205" s="1" t="n">
        <v>45645</v>
      </c>
      <c r="D205" t="inlineStr">
        <is>
          <t>UPPSALA LÄN</t>
        </is>
      </c>
      <c r="E205" t="inlineStr">
        <is>
          <t>UPPSALA</t>
        </is>
      </c>
      <c r="G205" t="n">
        <v>13.6</v>
      </c>
      <c r="H205" t="n">
        <v>0</v>
      </c>
      <c r="I205" t="n">
        <v>0</v>
      </c>
      <c r="J205" t="n">
        <v>0</v>
      </c>
      <c r="K205" t="n">
        <v>0</v>
      </c>
      <c r="L205" t="n">
        <v>0</v>
      </c>
      <c r="M205" t="n">
        <v>0</v>
      </c>
      <c r="N205" t="n">
        <v>0</v>
      </c>
      <c r="O205" t="n">
        <v>0</v>
      </c>
      <c r="P205" t="n">
        <v>0</v>
      </c>
      <c r="Q205" t="n">
        <v>0</v>
      </c>
      <c r="R205" s="2" t="inlineStr"/>
    </row>
    <row r="206" ht="15" customHeight="1">
      <c r="A206" t="inlineStr">
        <is>
          <t>A 33602-2019</t>
        </is>
      </c>
      <c r="B206" s="1" t="n">
        <v>43651</v>
      </c>
      <c r="C206" s="1" t="n">
        <v>45645</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33614-2019</t>
        </is>
      </c>
      <c r="B207" s="1" t="n">
        <v>43651</v>
      </c>
      <c r="C207" s="1" t="n">
        <v>45645</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33615-2019</t>
        </is>
      </c>
      <c r="B208" s="1" t="n">
        <v>43651</v>
      </c>
      <c r="C208" s="1" t="n">
        <v>45645</v>
      </c>
      <c r="D208" t="inlineStr">
        <is>
          <t>UPPSALA LÄN</t>
        </is>
      </c>
      <c r="E208" t="inlineStr">
        <is>
          <t>UPPSALA</t>
        </is>
      </c>
      <c r="G208" t="n">
        <v>1.4</v>
      </c>
      <c r="H208" t="n">
        <v>0</v>
      </c>
      <c r="I208" t="n">
        <v>0</v>
      </c>
      <c r="J208" t="n">
        <v>0</v>
      </c>
      <c r="K208" t="n">
        <v>0</v>
      </c>
      <c r="L208" t="n">
        <v>0</v>
      </c>
      <c r="M208" t="n">
        <v>0</v>
      </c>
      <c r="N208" t="n">
        <v>0</v>
      </c>
      <c r="O208" t="n">
        <v>0</v>
      </c>
      <c r="P208" t="n">
        <v>0</v>
      </c>
      <c r="Q208" t="n">
        <v>0</v>
      </c>
      <c r="R208" s="2" t="inlineStr"/>
    </row>
    <row r="209" ht="15" customHeight="1">
      <c r="A209" t="inlineStr">
        <is>
          <t>A 33596-2019</t>
        </is>
      </c>
      <c r="B209" s="1" t="n">
        <v>43651</v>
      </c>
      <c r="C209" s="1" t="n">
        <v>45645</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34007-2019</t>
        </is>
      </c>
      <c r="B210" s="1" t="n">
        <v>43654</v>
      </c>
      <c r="C210" s="1" t="n">
        <v>45645</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34063-2019</t>
        </is>
      </c>
      <c r="B211" s="1" t="n">
        <v>43654</v>
      </c>
      <c r="C211" s="1" t="n">
        <v>45645</v>
      </c>
      <c r="D211" t="inlineStr">
        <is>
          <t>UPPSALA LÄN</t>
        </is>
      </c>
      <c r="E211" t="inlineStr">
        <is>
          <t>UPPSALA</t>
        </is>
      </c>
      <c r="G211" t="n">
        <v>1.5</v>
      </c>
      <c r="H211" t="n">
        <v>0</v>
      </c>
      <c r="I211" t="n">
        <v>0</v>
      </c>
      <c r="J211" t="n">
        <v>0</v>
      </c>
      <c r="K211" t="n">
        <v>0</v>
      </c>
      <c r="L211" t="n">
        <v>0</v>
      </c>
      <c r="M211" t="n">
        <v>0</v>
      </c>
      <c r="N211" t="n">
        <v>0</v>
      </c>
      <c r="O211" t="n">
        <v>0</v>
      </c>
      <c r="P211" t="n">
        <v>0</v>
      </c>
      <c r="Q211" t="n">
        <v>0</v>
      </c>
      <c r="R211" s="2" t="inlineStr"/>
    </row>
    <row r="212" ht="15" customHeight="1">
      <c r="A212" t="inlineStr">
        <is>
          <t>A 34331-2019</t>
        </is>
      </c>
      <c r="B212" s="1" t="n">
        <v>43656</v>
      </c>
      <c r="C212" s="1" t="n">
        <v>45645</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36345-2019</t>
        </is>
      </c>
      <c r="B213" s="1" t="n">
        <v>43661</v>
      </c>
      <c r="C213" s="1" t="n">
        <v>45645</v>
      </c>
      <c r="D213" t="inlineStr">
        <is>
          <t>UPPSALA LÄN</t>
        </is>
      </c>
      <c r="E213" t="inlineStr">
        <is>
          <t>UPPSALA</t>
        </is>
      </c>
      <c r="G213" t="n">
        <v>5.3</v>
      </c>
      <c r="H213" t="n">
        <v>0</v>
      </c>
      <c r="I213" t="n">
        <v>0</v>
      </c>
      <c r="J213" t="n">
        <v>0</v>
      </c>
      <c r="K213" t="n">
        <v>0</v>
      </c>
      <c r="L213" t="n">
        <v>0</v>
      </c>
      <c r="M213" t="n">
        <v>0</v>
      </c>
      <c r="N213" t="n">
        <v>0</v>
      </c>
      <c r="O213" t="n">
        <v>0</v>
      </c>
      <c r="P213" t="n">
        <v>0</v>
      </c>
      <c r="Q213" t="n">
        <v>0</v>
      </c>
      <c r="R213" s="2" t="inlineStr"/>
    </row>
    <row r="214" ht="15" customHeight="1">
      <c r="A214" t="inlineStr">
        <is>
          <t>A 36394-2019</t>
        </is>
      </c>
      <c r="B214" s="1" t="n">
        <v>43663</v>
      </c>
      <c r="C214" s="1" t="n">
        <v>45645</v>
      </c>
      <c r="D214" t="inlineStr">
        <is>
          <t>UPPSALA LÄN</t>
        </is>
      </c>
      <c r="E214" t="inlineStr">
        <is>
          <t>UPPSALA</t>
        </is>
      </c>
      <c r="G214" t="n">
        <v>2.4</v>
      </c>
      <c r="H214" t="n">
        <v>0</v>
      </c>
      <c r="I214" t="n">
        <v>0</v>
      </c>
      <c r="J214" t="n">
        <v>0</v>
      </c>
      <c r="K214" t="n">
        <v>0</v>
      </c>
      <c r="L214" t="n">
        <v>0</v>
      </c>
      <c r="M214" t="n">
        <v>0</v>
      </c>
      <c r="N214" t="n">
        <v>0</v>
      </c>
      <c r="O214" t="n">
        <v>0</v>
      </c>
      <c r="P214" t="n">
        <v>0</v>
      </c>
      <c r="Q214" t="n">
        <v>0</v>
      </c>
      <c r="R214" s="2" t="inlineStr"/>
    </row>
    <row r="215" ht="15" customHeight="1">
      <c r="A215" t="inlineStr">
        <is>
          <t>A 37234-2019</t>
        </is>
      </c>
      <c r="B215" s="1" t="n">
        <v>43677</v>
      </c>
      <c r="C215" s="1" t="n">
        <v>45645</v>
      </c>
      <c r="D215" t="inlineStr">
        <is>
          <t>UPPSALA LÄN</t>
        </is>
      </c>
      <c r="E215" t="inlineStr">
        <is>
          <t>UPPSALA</t>
        </is>
      </c>
      <c r="G215" t="n">
        <v>3.2</v>
      </c>
      <c r="H215" t="n">
        <v>0</v>
      </c>
      <c r="I215" t="n">
        <v>0</v>
      </c>
      <c r="J215" t="n">
        <v>0</v>
      </c>
      <c r="K215" t="n">
        <v>0</v>
      </c>
      <c r="L215" t="n">
        <v>0</v>
      </c>
      <c r="M215" t="n">
        <v>0</v>
      </c>
      <c r="N215" t="n">
        <v>0</v>
      </c>
      <c r="O215" t="n">
        <v>0</v>
      </c>
      <c r="P215" t="n">
        <v>0</v>
      </c>
      <c r="Q215" t="n">
        <v>0</v>
      </c>
      <c r="R215" s="2" t="inlineStr"/>
    </row>
    <row r="216" ht="15" customHeight="1">
      <c r="A216" t="inlineStr">
        <is>
          <t>A 37711-2019</t>
        </is>
      </c>
      <c r="B216" s="1" t="n">
        <v>43682</v>
      </c>
      <c r="C216" s="1" t="n">
        <v>45645</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38684-2019</t>
        </is>
      </c>
      <c r="B217" s="1" t="n">
        <v>43686</v>
      </c>
      <c r="C217" s="1" t="n">
        <v>45645</v>
      </c>
      <c r="D217" t="inlineStr">
        <is>
          <t>UPPSALA LÄN</t>
        </is>
      </c>
      <c r="E217" t="inlineStr">
        <is>
          <t>UPPSALA</t>
        </is>
      </c>
      <c r="G217" t="n">
        <v>0.4</v>
      </c>
      <c r="H217" t="n">
        <v>0</v>
      </c>
      <c r="I217" t="n">
        <v>0</v>
      </c>
      <c r="J217" t="n">
        <v>0</v>
      </c>
      <c r="K217" t="n">
        <v>0</v>
      </c>
      <c r="L217" t="n">
        <v>0</v>
      </c>
      <c r="M217" t="n">
        <v>0</v>
      </c>
      <c r="N217" t="n">
        <v>0</v>
      </c>
      <c r="O217" t="n">
        <v>0</v>
      </c>
      <c r="P217" t="n">
        <v>0</v>
      </c>
      <c r="Q217" t="n">
        <v>0</v>
      </c>
      <c r="R217" s="2" t="inlineStr"/>
    </row>
    <row r="218" ht="15" customHeight="1">
      <c r="A218" t="inlineStr">
        <is>
          <t>A 40151-2019</t>
        </is>
      </c>
      <c r="B218" s="1" t="n">
        <v>43693</v>
      </c>
      <c r="C218" s="1" t="n">
        <v>45645</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41609-2019</t>
        </is>
      </c>
      <c r="B219" s="1" t="n">
        <v>43696</v>
      </c>
      <c r="C219" s="1" t="n">
        <v>45645</v>
      </c>
      <c r="D219" t="inlineStr">
        <is>
          <t>UPPSALA LÄN</t>
        </is>
      </c>
      <c r="E219" t="inlineStr">
        <is>
          <t>UPPSALA</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41653-2019</t>
        </is>
      </c>
      <c r="B220" s="1" t="n">
        <v>43696</v>
      </c>
      <c r="C220" s="1" t="n">
        <v>45645</v>
      </c>
      <c r="D220" t="inlineStr">
        <is>
          <t>UPPSALA LÄN</t>
        </is>
      </c>
      <c r="E220" t="inlineStr">
        <is>
          <t>UPPSALA</t>
        </is>
      </c>
      <c r="G220" t="n">
        <v>5.2</v>
      </c>
      <c r="H220" t="n">
        <v>0</v>
      </c>
      <c r="I220" t="n">
        <v>0</v>
      </c>
      <c r="J220" t="n">
        <v>0</v>
      </c>
      <c r="K220" t="n">
        <v>0</v>
      </c>
      <c r="L220" t="n">
        <v>0</v>
      </c>
      <c r="M220" t="n">
        <v>0</v>
      </c>
      <c r="N220" t="n">
        <v>0</v>
      </c>
      <c r="O220" t="n">
        <v>0</v>
      </c>
      <c r="P220" t="n">
        <v>0</v>
      </c>
      <c r="Q220" t="n">
        <v>0</v>
      </c>
      <c r="R220" s="2" t="inlineStr"/>
    </row>
    <row r="221" ht="15" customHeight="1">
      <c r="A221" t="inlineStr">
        <is>
          <t>A 41524-2019</t>
        </is>
      </c>
      <c r="B221" s="1" t="n">
        <v>43699</v>
      </c>
      <c r="C221" s="1" t="n">
        <v>45645</v>
      </c>
      <c r="D221" t="inlineStr">
        <is>
          <t>UPPSALA LÄN</t>
        </is>
      </c>
      <c r="E221" t="inlineStr">
        <is>
          <t>UPPSALA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41535-2019</t>
        </is>
      </c>
      <c r="B222" s="1" t="n">
        <v>43699</v>
      </c>
      <c r="C222" s="1" t="n">
        <v>45645</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41695-2019</t>
        </is>
      </c>
      <c r="B223" s="1" t="n">
        <v>43699</v>
      </c>
      <c r="C223" s="1" t="n">
        <v>45645</v>
      </c>
      <c r="D223" t="inlineStr">
        <is>
          <t>UPPSALA LÄN</t>
        </is>
      </c>
      <c r="E223" t="inlineStr">
        <is>
          <t>UPPSALA</t>
        </is>
      </c>
      <c r="G223" t="n">
        <v>3.1</v>
      </c>
      <c r="H223" t="n">
        <v>0</v>
      </c>
      <c r="I223" t="n">
        <v>0</v>
      </c>
      <c r="J223" t="n">
        <v>0</v>
      </c>
      <c r="K223" t="n">
        <v>0</v>
      </c>
      <c r="L223" t="n">
        <v>0</v>
      </c>
      <c r="M223" t="n">
        <v>0</v>
      </c>
      <c r="N223" t="n">
        <v>0</v>
      </c>
      <c r="O223" t="n">
        <v>0</v>
      </c>
      <c r="P223" t="n">
        <v>0</v>
      </c>
      <c r="Q223" t="n">
        <v>0</v>
      </c>
      <c r="R223" s="2" t="inlineStr"/>
    </row>
    <row r="224" ht="15" customHeight="1">
      <c r="A224" t="inlineStr">
        <is>
          <t>A 42111-2019</t>
        </is>
      </c>
      <c r="B224" s="1" t="n">
        <v>43703</v>
      </c>
      <c r="C224" s="1" t="n">
        <v>45645</v>
      </c>
      <c r="D224" t="inlineStr">
        <is>
          <t>UPPSALA LÄN</t>
        </is>
      </c>
      <c r="E224" t="inlineStr">
        <is>
          <t>UPPSALA</t>
        </is>
      </c>
      <c r="G224" t="n">
        <v>2.7</v>
      </c>
      <c r="H224" t="n">
        <v>0</v>
      </c>
      <c r="I224" t="n">
        <v>0</v>
      </c>
      <c r="J224" t="n">
        <v>0</v>
      </c>
      <c r="K224" t="n">
        <v>0</v>
      </c>
      <c r="L224" t="n">
        <v>0</v>
      </c>
      <c r="M224" t="n">
        <v>0</v>
      </c>
      <c r="N224" t="n">
        <v>0</v>
      </c>
      <c r="O224" t="n">
        <v>0</v>
      </c>
      <c r="P224" t="n">
        <v>0</v>
      </c>
      <c r="Q224" t="n">
        <v>0</v>
      </c>
      <c r="R224" s="2" t="inlineStr"/>
    </row>
    <row r="225" ht="15" customHeight="1">
      <c r="A225" t="inlineStr">
        <is>
          <t>A 42986-2019</t>
        </is>
      </c>
      <c r="B225" s="1" t="n">
        <v>43705</v>
      </c>
      <c r="C225" s="1" t="n">
        <v>45645</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43222-2019</t>
        </is>
      </c>
      <c r="B226" s="1" t="n">
        <v>43706</v>
      </c>
      <c r="C226" s="1" t="n">
        <v>45645</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43410-2019</t>
        </is>
      </c>
      <c r="B227" s="1" t="n">
        <v>43706</v>
      </c>
      <c r="C227" s="1" t="n">
        <v>45645</v>
      </c>
      <c r="D227" t="inlineStr">
        <is>
          <t>UPPSALA LÄN</t>
        </is>
      </c>
      <c r="E227" t="inlineStr">
        <is>
          <t>UPPSALA</t>
        </is>
      </c>
      <c r="F227" t="inlineStr">
        <is>
          <t>Övriga statliga verk och myndigheter</t>
        </is>
      </c>
      <c r="G227" t="n">
        <v>8.6</v>
      </c>
      <c r="H227" t="n">
        <v>0</v>
      </c>
      <c r="I227" t="n">
        <v>0</v>
      </c>
      <c r="J227" t="n">
        <v>0</v>
      </c>
      <c r="K227" t="n">
        <v>0</v>
      </c>
      <c r="L227" t="n">
        <v>0</v>
      </c>
      <c r="M227" t="n">
        <v>0</v>
      </c>
      <c r="N227" t="n">
        <v>0</v>
      </c>
      <c r="O227" t="n">
        <v>0</v>
      </c>
      <c r="P227" t="n">
        <v>0</v>
      </c>
      <c r="Q227" t="n">
        <v>0</v>
      </c>
      <c r="R227" s="2" t="inlineStr"/>
    </row>
    <row r="228" ht="15" customHeight="1">
      <c r="A228" t="inlineStr">
        <is>
          <t>A 43715-2019</t>
        </is>
      </c>
      <c r="B228" s="1" t="n">
        <v>43706</v>
      </c>
      <c r="C228" s="1" t="n">
        <v>45645</v>
      </c>
      <c r="D228" t="inlineStr">
        <is>
          <t>UPPSALA LÄN</t>
        </is>
      </c>
      <c r="E228" t="inlineStr">
        <is>
          <t>UPPSALA</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43224-2019</t>
        </is>
      </c>
      <c r="B229" s="1" t="n">
        <v>43706</v>
      </c>
      <c r="C229" s="1" t="n">
        <v>45645</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43435-2019</t>
        </is>
      </c>
      <c r="B230" s="1" t="n">
        <v>43706</v>
      </c>
      <c r="C230" s="1" t="n">
        <v>45645</v>
      </c>
      <c r="D230" t="inlineStr">
        <is>
          <t>UPPSALA LÄN</t>
        </is>
      </c>
      <c r="E230" t="inlineStr">
        <is>
          <t>UPPSALA</t>
        </is>
      </c>
      <c r="G230" t="n">
        <v>5.4</v>
      </c>
      <c r="H230" t="n">
        <v>0</v>
      </c>
      <c r="I230" t="n">
        <v>0</v>
      </c>
      <c r="J230" t="n">
        <v>0</v>
      </c>
      <c r="K230" t="n">
        <v>0</v>
      </c>
      <c r="L230" t="n">
        <v>0</v>
      </c>
      <c r="M230" t="n">
        <v>0</v>
      </c>
      <c r="N230" t="n">
        <v>0</v>
      </c>
      <c r="O230" t="n">
        <v>0</v>
      </c>
      <c r="P230" t="n">
        <v>0</v>
      </c>
      <c r="Q230" t="n">
        <v>0</v>
      </c>
      <c r="R230" s="2" t="inlineStr"/>
    </row>
    <row r="231" ht="15" customHeight="1">
      <c r="A231" t="inlineStr">
        <is>
          <t>A 43722-2019</t>
        </is>
      </c>
      <c r="B231" s="1" t="n">
        <v>43706</v>
      </c>
      <c r="C231" s="1" t="n">
        <v>45645</v>
      </c>
      <c r="D231" t="inlineStr">
        <is>
          <t>UPPSALA LÄN</t>
        </is>
      </c>
      <c r="E231" t="inlineStr">
        <is>
          <t>UPPSALA</t>
        </is>
      </c>
      <c r="F231" t="inlineStr">
        <is>
          <t>Övriga statliga verk och myndigheter</t>
        </is>
      </c>
      <c r="G231" t="n">
        <v>0.6</v>
      </c>
      <c r="H231" t="n">
        <v>0</v>
      </c>
      <c r="I231" t="n">
        <v>0</v>
      </c>
      <c r="J231" t="n">
        <v>0</v>
      </c>
      <c r="K231" t="n">
        <v>0</v>
      </c>
      <c r="L231" t="n">
        <v>0</v>
      </c>
      <c r="M231" t="n">
        <v>0</v>
      </c>
      <c r="N231" t="n">
        <v>0</v>
      </c>
      <c r="O231" t="n">
        <v>0</v>
      </c>
      <c r="P231" t="n">
        <v>0</v>
      </c>
      <c r="Q231" t="n">
        <v>0</v>
      </c>
      <c r="R231" s="2" t="inlineStr"/>
    </row>
    <row r="232" ht="15" customHeight="1">
      <c r="A232" t="inlineStr">
        <is>
          <t>A 43704-2019</t>
        </is>
      </c>
      <c r="B232" s="1" t="n">
        <v>43707</v>
      </c>
      <c r="C232" s="1" t="n">
        <v>45645</v>
      </c>
      <c r="D232" t="inlineStr">
        <is>
          <t>UPPSALA LÄN</t>
        </is>
      </c>
      <c r="E232" t="inlineStr">
        <is>
          <t>UPPSALA</t>
        </is>
      </c>
      <c r="F232" t="inlineStr">
        <is>
          <t>Bergvik skog öst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43725-2019</t>
        </is>
      </c>
      <c r="B233" s="1" t="n">
        <v>43707</v>
      </c>
      <c r="C233" s="1" t="n">
        <v>45645</v>
      </c>
      <c r="D233" t="inlineStr">
        <is>
          <t>UPPSALA LÄN</t>
        </is>
      </c>
      <c r="E233" t="inlineStr">
        <is>
          <t>UPPSALA</t>
        </is>
      </c>
      <c r="G233" t="n">
        <v>1.4</v>
      </c>
      <c r="H233" t="n">
        <v>0</v>
      </c>
      <c r="I233" t="n">
        <v>0</v>
      </c>
      <c r="J233" t="n">
        <v>0</v>
      </c>
      <c r="K233" t="n">
        <v>0</v>
      </c>
      <c r="L233" t="n">
        <v>0</v>
      </c>
      <c r="M233" t="n">
        <v>0</v>
      </c>
      <c r="N233" t="n">
        <v>0</v>
      </c>
      <c r="O233" t="n">
        <v>0</v>
      </c>
      <c r="P233" t="n">
        <v>0</v>
      </c>
      <c r="Q233" t="n">
        <v>0</v>
      </c>
      <c r="R233" s="2" t="inlineStr"/>
    </row>
    <row r="234" ht="15" customHeight="1">
      <c r="A234" t="inlineStr">
        <is>
          <t>A 44109-2019</t>
        </is>
      </c>
      <c r="B234" s="1" t="n">
        <v>43707</v>
      </c>
      <c r="C234" s="1" t="n">
        <v>45645</v>
      </c>
      <c r="D234" t="inlineStr">
        <is>
          <t>UPPSALA LÄN</t>
        </is>
      </c>
      <c r="E234" t="inlineStr">
        <is>
          <t>UPPSALA</t>
        </is>
      </c>
      <c r="F234" t="inlineStr">
        <is>
          <t>Allmännings- och besparingsskogar</t>
        </is>
      </c>
      <c r="G234" t="n">
        <v>81.3</v>
      </c>
      <c r="H234" t="n">
        <v>0</v>
      </c>
      <c r="I234" t="n">
        <v>0</v>
      </c>
      <c r="J234" t="n">
        <v>0</v>
      </c>
      <c r="K234" t="n">
        <v>0</v>
      </c>
      <c r="L234" t="n">
        <v>0</v>
      </c>
      <c r="M234" t="n">
        <v>0</v>
      </c>
      <c r="N234" t="n">
        <v>0</v>
      </c>
      <c r="O234" t="n">
        <v>0</v>
      </c>
      <c r="P234" t="n">
        <v>0</v>
      </c>
      <c r="Q234" t="n">
        <v>0</v>
      </c>
      <c r="R234" s="2" t="inlineStr"/>
    </row>
    <row r="235" ht="15" customHeight="1">
      <c r="A235" t="inlineStr">
        <is>
          <t>A 43713-2019</t>
        </is>
      </c>
      <c r="B235" s="1" t="n">
        <v>43707</v>
      </c>
      <c r="C235" s="1" t="n">
        <v>45645</v>
      </c>
      <c r="D235" t="inlineStr">
        <is>
          <t>UPPSALA LÄN</t>
        </is>
      </c>
      <c r="E235" t="inlineStr">
        <is>
          <t>UPPSALA</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43853-2019</t>
        </is>
      </c>
      <c r="B236" s="1" t="n">
        <v>43707</v>
      </c>
      <c r="C236" s="1" t="n">
        <v>45645</v>
      </c>
      <c r="D236" t="inlineStr">
        <is>
          <t>UPPSALA LÄN</t>
        </is>
      </c>
      <c r="E236" t="inlineStr">
        <is>
          <t>UPPSALA</t>
        </is>
      </c>
      <c r="F236" t="inlineStr">
        <is>
          <t>Övriga statliga verk och myndigheter</t>
        </is>
      </c>
      <c r="G236" t="n">
        <v>1.8</v>
      </c>
      <c r="H236" t="n">
        <v>0</v>
      </c>
      <c r="I236" t="n">
        <v>0</v>
      </c>
      <c r="J236" t="n">
        <v>0</v>
      </c>
      <c r="K236" t="n">
        <v>0</v>
      </c>
      <c r="L236" t="n">
        <v>0</v>
      </c>
      <c r="M236" t="n">
        <v>0</v>
      </c>
      <c r="N236" t="n">
        <v>0</v>
      </c>
      <c r="O236" t="n">
        <v>0</v>
      </c>
      <c r="P236" t="n">
        <v>0</v>
      </c>
      <c r="Q236" t="n">
        <v>0</v>
      </c>
      <c r="R236" s="2" t="inlineStr"/>
    </row>
    <row r="237" ht="15" customHeight="1">
      <c r="A237" t="inlineStr">
        <is>
          <t>A 44141-2019</t>
        </is>
      </c>
      <c r="B237" s="1" t="n">
        <v>43710</v>
      </c>
      <c r="C237" s="1" t="n">
        <v>45645</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44701-2019</t>
        </is>
      </c>
      <c r="B238" s="1" t="n">
        <v>43712</v>
      </c>
      <c r="C238" s="1" t="n">
        <v>45645</v>
      </c>
      <c r="D238" t="inlineStr">
        <is>
          <t>UPPSALA LÄN</t>
        </is>
      </c>
      <c r="E238" t="inlineStr">
        <is>
          <t>UPPSALA</t>
        </is>
      </c>
      <c r="G238" t="n">
        <v>3.4</v>
      </c>
      <c r="H238" t="n">
        <v>0</v>
      </c>
      <c r="I238" t="n">
        <v>0</v>
      </c>
      <c r="J238" t="n">
        <v>0</v>
      </c>
      <c r="K238" t="n">
        <v>0</v>
      </c>
      <c r="L238" t="n">
        <v>0</v>
      </c>
      <c r="M238" t="n">
        <v>0</v>
      </c>
      <c r="N238" t="n">
        <v>0</v>
      </c>
      <c r="O238" t="n">
        <v>0</v>
      </c>
      <c r="P238" t="n">
        <v>0</v>
      </c>
      <c r="Q238" t="n">
        <v>0</v>
      </c>
      <c r="R238" s="2" t="inlineStr"/>
    </row>
    <row r="239" ht="15" customHeight="1">
      <c r="A239" t="inlineStr">
        <is>
          <t>A 44687-2019</t>
        </is>
      </c>
      <c r="B239" s="1" t="n">
        <v>43712</v>
      </c>
      <c r="C239" s="1" t="n">
        <v>45645</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45010-2019</t>
        </is>
      </c>
      <c r="B240" s="1" t="n">
        <v>43713</v>
      </c>
      <c r="C240" s="1" t="n">
        <v>45645</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45574-2019</t>
        </is>
      </c>
      <c r="B241" s="1" t="n">
        <v>43716</v>
      </c>
      <c r="C241" s="1" t="n">
        <v>45645</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46311-2019</t>
        </is>
      </c>
      <c r="B242" s="1" t="n">
        <v>43718</v>
      </c>
      <c r="C242" s="1" t="n">
        <v>45645</v>
      </c>
      <c r="D242" t="inlineStr">
        <is>
          <t>UPPSALA LÄN</t>
        </is>
      </c>
      <c r="E242" t="inlineStr">
        <is>
          <t>UPPSALA</t>
        </is>
      </c>
      <c r="G242" t="n">
        <v>1.1</v>
      </c>
      <c r="H242" t="n">
        <v>0</v>
      </c>
      <c r="I242" t="n">
        <v>0</v>
      </c>
      <c r="J242" t="n">
        <v>0</v>
      </c>
      <c r="K242" t="n">
        <v>0</v>
      </c>
      <c r="L242" t="n">
        <v>0</v>
      </c>
      <c r="M242" t="n">
        <v>0</v>
      </c>
      <c r="N242" t="n">
        <v>0</v>
      </c>
      <c r="O242" t="n">
        <v>0</v>
      </c>
      <c r="P242" t="n">
        <v>0</v>
      </c>
      <c r="Q242" t="n">
        <v>0</v>
      </c>
      <c r="R242" s="2" t="inlineStr"/>
    </row>
    <row r="243" ht="15" customHeight="1">
      <c r="A243" t="inlineStr">
        <is>
          <t>A 46307-2019</t>
        </is>
      </c>
      <c r="B243" s="1" t="n">
        <v>43718</v>
      </c>
      <c r="C243" s="1" t="n">
        <v>45645</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46151-2019</t>
        </is>
      </c>
      <c r="B244" s="1" t="n">
        <v>43718</v>
      </c>
      <c r="C244" s="1" t="n">
        <v>45645</v>
      </c>
      <c r="D244" t="inlineStr">
        <is>
          <t>UPPSALA LÄN</t>
        </is>
      </c>
      <c r="E244" t="inlineStr">
        <is>
          <t>UPPSALA</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46157-2019</t>
        </is>
      </c>
      <c r="B245" s="1" t="n">
        <v>43718</v>
      </c>
      <c r="C245" s="1" t="n">
        <v>45645</v>
      </c>
      <c r="D245" t="inlineStr">
        <is>
          <t>UPPSALA LÄN</t>
        </is>
      </c>
      <c r="E245" t="inlineStr">
        <is>
          <t>UPPSALA</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46310-2019</t>
        </is>
      </c>
      <c r="B246" s="1" t="n">
        <v>43718</v>
      </c>
      <c r="C246" s="1" t="n">
        <v>45645</v>
      </c>
      <c r="D246" t="inlineStr">
        <is>
          <t>UPPSALA LÄN</t>
        </is>
      </c>
      <c r="E246" t="inlineStr">
        <is>
          <t>UPPSALA</t>
        </is>
      </c>
      <c r="G246" t="n">
        <v>7</v>
      </c>
      <c r="H246" t="n">
        <v>0</v>
      </c>
      <c r="I246" t="n">
        <v>0</v>
      </c>
      <c r="J246" t="n">
        <v>0</v>
      </c>
      <c r="K246" t="n">
        <v>0</v>
      </c>
      <c r="L246" t="n">
        <v>0</v>
      </c>
      <c r="M246" t="n">
        <v>0</v>
      </c>
      <c r="N246" t="n">
        <v>0</v>
      </c>
      <c r="O246" t="n">
        <v>0</v>
      </c>
      <c r="P246" t="n">
        <v>0</v>
      </c>
      <c r="Q246" t="n">
        <v>0</v>
      </c>
      <c r="R246" s="2" t="inlineStr"/>
    </row>
    <row r="247" ht="15" customHeight="1">
      <c r="A247" t="inlineStr">
        <is>
          <t>A 46147-2019</t>
        </is>
      </c>
      <c r="B247" s="1" t="n">
        <v>43718</v>
      </c>
      <c r="C247" s="1" t="n">
        <v>45645</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46877-2019</t>
        </is>
      </c>
      <c r="B248" s="1" t="n">
        <v>43720</v>
      </c>
      <c r="C248" s="1" t="n">
        <v>45645</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46896-2019</t>
        </is>
      </c>
      <c r="B249" s="1" t="n">
        <v>43720</v>
      </c>
      <c r="C249" s="1" t="n">
        <v>45645</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48485-2019</t>
        </is>
      </c>
      <c r="B250" s="1" t="n">
        <v>43727</v>
      </c>
      <c r="C250" s="1" t="n">
        <v>45645</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49567-2019</t>
        </is>
      </c>
      <c r="B251" s="1" t="n">
        <v>43730</v>
      </c>
      <c r="C251" s="1" t="n">
        <v>45645</v>
      </c>
      <c r="D251" t="inlineStr">
        <is>
          <t>UPPSALA LÄN</t>
        </is>
      </c>
      <c r="E251" t="inlineStr">
        <is>
          <t>UPPSALA</t>
        </is>
      </c>
      <c r="G251" t="n">
        <v>6</v>
      </c>
      <c r="H251" t="n">
        <v>0</v>
      </c>
      <c r="I251" t="n">
        <v>0</v>
      </c>
      <c r="J251" t="n">
        <v>0</v>
      </c>
      <c r="K251" t="n">
        <v>0</v>
      </c>
      <c r="L251" t="n">
        <v>0</v>
      </c>
      <c r="M251" t="n">
        <v>0</v>
      </c>
      <c r="N251" t="n">
        <v>0</v>
      </c>
      <c r="O251" t="n">
        <v>0</v>
      </c>
      <c r="P251" t="n">
        <v>0</v>
      </c>
      <c r="Q251" t="n">
        <v>0</v>
      </c>
      <c r="R251" s="2" t="inlineStr"/>
    </row>
    <row r="252" ht="15" customHeight="1">
      <c r="A252" t="inlineStr">
        <is>
          <t>A 50180-2019</t>
        </is>
      </c>
      <c r="B252" s="1" t="n">
        <v>43733</v>
      </c>
      <c r="C252" s="1" t="n">
        <v>45645</v>
      </c>
      <c r="D252" t="inlineStr">
        <is>
          <t>UPPSALA LÄN</t>
        </is>
      </c>
      <c r="E252" t="inlineStr">
        <is>
          <t>UPPSALA</t>
        </is>
      </c>
      <c r="F252" t="inlineStr">
        <is>
          <t>Allmännings- och besparingsskogar</t>
        </is>
      </c>
      <c r="G252" t="n">
        <v>3.7</v>
      </c>
      <c r="H252" t="n">
        <v>0</v>
      </c>
      <c r="I252" t="n">
        <v>0</v>
      </c>
      <c r="J252" t="n">
        <v>0</v>
      </c>
      <c r="K252" t="n">
        <v>0</v>
      </c>
      <c r="L252" t="n">
        <v>0</v>
      </c>
      <c r="M252" t="n">
        <v>0</v>
      </c>
      <c r="N252" t="n">
        <v>0</v>
      </c>
      <c r="O252" t="n">
        <v>0</v>
      </c>
      <c r="P252" t="n">
        <v>0</v>
      </c>
      <c r="Q252" t="n">
        <v>0</v>
      </c>
      <c r="R252" s="2" t="inlineStr"/>
    </row>
    <row r="253" ht="15" customHeight="1">
      <c r="A253" t="inlineStr">
        <is>
          <t>A 50387-2019</t>
        </is>
      </c>
      <c r="B253" s="1" t="n">
        <v>43735</v>
      </c>
      <c r="C253" s="1" t="n">
        <v>45645</v>
      </c>
      <c r="D253" t="inlineStr">
        <is>
          <t>UPPSALA LÄN</t>
        </is>
      </c>
      <c r="E253" t="inlineStr">
        <is>
          <t>UPPSALA</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50415-2019</t>
        </is>
      </c>
      <c r="B254" s="1" t="n">
        <v>43735</v>
      </c>
      <c r="C254" s="1" t="n">
        <v>45645</v>
      </c>
      <c r="D254" t="inlineStr">
        <is>
          <t>UPPSALA LÄN</t>
        </is>
      </c>
      <c r="E254" t="inlineStr">
        <is>
          <t>UPPSALA</t>
        </is>
      </c>
      <c r="F254" t="inlineStr">
        <is>
          <t>Kyrkan</t>
        </is>
      </c>
      <c r="G254" t="n">
        <v>13.6</v>
      </c>
      <c r="H254" t="n">
        <v>0</v>
      </c>
      <c r="I254" t="n">
        <v>0</v>
      </c>
      <c r="J254" t="n">
        <v>0</v>
      </c>
      <c r="K254" t="n">
        <v>0</v>
      </c>
      <c r="L254" t="n">
        <v>0</v>
      </c>
      <c r="M254" t="n">
        <v>0</v>
      </c>
      <c r="N254" t="n">
        <v>0</v>
      </c>
      <c r="O254" t="n">
        <v>0</v>
      </c>
      <c r="P254" t="n">
        <v>0</v>
      </c>
      <c r="Q254" t="n">
        <v>0</v>
      </c>
      <c r="R254" s="2" t="inlineStr"/>
    </row>
    <row r="255" ht="15" customHeight="1">
      <c r="A255" t="inlineStr">
        <is>
          <t>A 50616-2019</t>
        </is>
      </c>
      <c r="B255" s="1" t="n">
        <v>43736</v>
      </c>
      <c r="C255" s="1" t="n">
        <v>45645</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52386-2019</t>
        </is>
      </c>
      <c r="B256" s="1" t="n">
        <v>43745</v>
      </c>
      <c r="C256" s="1" t="n">
        <v>45645</v>
      </c>
      <c r="D256" t="inlineStr">
        <is>
          <t>UPPSALA LÄN</t>
        </is>
      </c>
      <c r="E256" t="inlineStr">
        <is>
          <t>UPPSALA</t>
        </is>
      </c>
      <c r="G256" t="n">
        <v>15.7</v>
      </c>
      <c r="H256" t="n">
        <v>0</v>
      </c>
      <c r="I256" t="n">
        <v>0</v>
      </c>
      <c r="J256" t="n">
        <v>0</v>
      </c>
      <c r="K256" t="n">
        <v>0</v>
      </c>
      <c r="L256" t="n">
        <v>0</v>
      </c>
      <c r="M256" t="n">
        <v>0</v>
      </c>
      <c r="N256" t="n">
        <v>0</v>
      </c>
      <c r="O256" t="n">
        <v>0</v>
      </c>
      <c r="P256" t="n">
        <v>0</v>
      </c>
      <c r="Q256" t="n">
        <v>0</v>
      </c>
      <c r="R256" s="2" t="inlineStr"/>
    </row>
    <row r="257" ht="15" customHeight="1">
      <c r="A257" t="inlineStr">
        <is>
          <t>A 52419-2019</t>
        </is>
      </c>
      <c r="B257" s="1" t="n">
        <v>43745</v>
      </c>
      <c r="C257" s="1" t="n">
        <v>45645</v>
      </c>
      <c r="D257" t="inlineStr">
        <is>
          <t>UPPSALA LÄN</t>
        </is>
      </c>
      <c r="E257" t="inlineStr">
        <is>
          <t>UPPSALA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52950-2019</t>
        </is>
      </c>
      <c r="B258" s="1" t="n">
        <v>43747</v>
      </c>
      <c r="C258" s="1" t="n">
        <v>45645</v>
      </c>
      <c r="D258" t="inlineStr">
        <is>
          <t>UPPSALA LÄN</t>
        </is>
      </c>
      <c r="E258" t="inlineStr">
        <is>
          <t>UPPSALA</t>
        </is>
      </c>
      <c r="G258" t="n">
        <v>0.2</v>
      </c>
      <c r="H258" t="n">
        <v>0</v>
      </c>
      <c r="I258" t="n">
        <v>0</v>
      </c>
      <c r="J258" t="n">
        <v>0</v>
      </c>
      <c r="K258" t="n">
        <v>0</v>
      </c>
      <c r="L258" t="n">
        <v>0</v>
      </c>
      <c r="M258" t="n">
        <v>0</v>
      </c>
      <c r="N258" t="n">
        <v>0</v>
      </c>
      <c r="O258" t="n">
        <v>0</v>
      </c>
      <c r="P258" t="n">
        <v>0</v>
      </c>
      <c r="Q258" t="n">
        <v>0</v>
      </c>
      <c r="R258" s="2" t="inlineStr"/>
    </row>
    <row r="259" ht="15" customHeight="1">
      <c r="A259" t="inlineStr">
        <is>
          <t>A 53303-2019</t>
        </is>
      </c>
      <c r="B259" s="1" t="n">
        <v>43747</v>
      </c>
      <c r="C259" s="1" t="n">
        <v>45645</v>
      </c>
      <c r="D259" t="inlineStr">
        <is>
          <t>UPPSALA LÄN</t>
        </is>
      </c>
      <c r="E259" t="inlineStr">
        <is>
          <t>UPPSALA</t>
        </is>
      </c>
      <c r="F259" t="inlineStr">
        <is>
          <t>Allmännings- och besparingsskogar</t>
        </is>
      </c>
      <c r="G259" t="n">
        <v>17.5</v>
      </c>
      <c r="H259" t="n">
        <v>0</v>
      </c>
      <c r="I259" t="n">
        <v>0</v>
      </c>
      <c r="J259" t="n">
        <v>0</v>
      </c>
      <c r="K259" t="n">
        <v>0</v>
      </c>
      <c r="L259" t="n">
        <v>0</v>
      </c>
      <c r="M259" t="n">
        <v>0</v>
      </c>
      <c r="N259" t="n">
        <v>0</v>
      </c>
      <c r="O259" t="n">
        <v>0</v>
      </c>
      <c r="P259" t="n">
        <v>0</v>
      </c>
      <c r="Q259" t="n">
        <v>0</v>
      </c>
      <c r="R259" s="2" t="inlineStr"/>
    </row>
    <row r="260" ht="15" customHeight="1">
      <c r="A260" t="inlineStr">
        <is>
          <t>A 53316-2019</t>
        </is>
      </c>
      <c r="B260" s="1" t="n">
        <v>43748</v>
      </c>
      <c r="C260" s="1" t="n">
        <v>45645</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54757-2019</t>
        </is>
      </c>
      <c r="B261" s="1" t="n">
        <v>43755</v>
      </c>
      <c r="C261" s="1" t="n">
        <v>45645</v>
      </c>
      <c r="D261" t="inlineStr">
        <is>
          <t>UPPSALA LÄN</t>
        </is>
      </c>
      <c r="E261" t="inlineStr">
        <is>
          <t>UPPSALA</t>
        </is>
      </c>
      <c r="F261" t="inlineStr">
        <is>
          <t>Övriga statliga verk och myndigheter</t>
        </is>
      </c>
      <c r="G261" t="n">
        <v>1.5</v>
      </c>
      <c r="H261" t="n">
        <v>0</v>
      </c>
      <c r="I261" t="n">
        <v>0</v>
      </c>
      <c r="J261" t="n">
        <v>0</v>
      </c>
      <c r="K261" t="n">
        <v>0</v>
      </c>
      <c r="L261" t="n">
        <v>0</v>
      </c>
      <c r="M261" t="n">
        <v>0</v>
      </c>
      <c r="N261" t="n">
        <v>0</v>
      </c>
      <c r="O261" t="n">
        <v>0</v>
      </c>
      <c r="P261" t="n">
        <v>0</v>
      </c>
      <c r="Q261" t="n">
        <v>0</v>
      </c>
      <c r="R261" s="2" t="inlineStr"/>
    </row>
    <row r="262" ht="15" customHeight="1">
      <c r="A262" t="inlineStr">
        <is>
          <t>A 56041-2019</t>
        </is>
      </c>
      <c r="B262" s="1" t="n">
        <v>43759</v>
      </c>
      <c r="C262" s="1" t="n">
        <v>45645</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56634-2019</t>
        </is>
      </c>
      <c r="B263" s="1" t="n">
        <v>43763</v>
      </c>
      <c r="C263" s="1" t="n">
        <v>45645</v>
      </c>
      <c r="D263" t="inlineStr">
        <is>
          <t>UPPSALA LÄN</t>
        </is>
      </c>
      <c r="E263" t="inlineStr">
        <is>
          <t>UPPSALA</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58445-2019</t>
        </is>
      </c>
      <c r="B264" s="1" t="n">
        <v>43773</v>
      </c>
      <c r="C264" s="1" t="n">
        <v>45645</v>
      </c>
      <c r="D264" t="inlineStr">
        <is>
          <t>UPPSALA LÄN</t>
        </is>
      </c>
      <c r="E264" t="inlineStr">
        <is>
          <t>UPPSALA</t>
        </is>
      </c>
      <c r="G264" t="n">
        <v>5</v>
      </c>
      <c r="H264" t="n">
        <v>0</v>
      </c>
      <c r="I264" t="n">
        <v>0</v>
      </c>
      <c r="J264" t="n">
        <v>0</v>
      </c>
      <c r="K264" t="n">
        <v>0</v>
      </c>
      <c r="L264" t="n">
        <v>0</v>
      </c>
      <c r="M264" t="n">
        <v>0</v>
      </c>
      <c r="N264" t="n">
        <v>0</v>
      </c>
      <c r="O264" t="n">
        <v>0</v>
      </c>
      <c r="P264" t="n">
        <v>0</v>
      </c>
      <c r="Q264" t="n">
        <v>0</v>
      </c>
      <c r="R264" s="2" t="inlineStr"/>
    </row>
    <row r="265" ht="15" customHeight="1">
      <c r="A265" t="inlineStr">
        <is>
          <t>A 58527-2019</t>
        </is>
      </c>
      <c r="B265" s="1" t="n">
        <v>43773</v>
      </c>
      <c r="C265" s="1" t="n">
        <v>45645</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58903-2019</t>
        </is>
      </c>
      <c r="B266" s="1" t="n">
        <v>43773</v>
      </c>
      <c r="C266" s="1" t="n">
        <v>45645</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60011-2019</t>
        </is>
      </c>
      <c r="B267" s="1" t="n">
        <v>43777</v>
      </c>
      <c r="C267" s="1" t="n">
        <v>45645</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60159-2019</t>
        </is>
      </c>
      <c r="B268" s="1" t="n">
        <v>43777</v>
      </c>
      <c r="C268" s="1" t="n">
        <v>45645</v>
      </c>
      <c r="D268" t="inlineStr">
        <is>
          <t>UPPSALA LÄN</t>
        </is>
      </c>
      <c r="E268" t="inlineStr">
        <is>
          <t>UPPSALA</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60163-2019</t>
        </is>
      </c>
      <c r="B269" s="1" t="n">
        <v>43780</v>
      </c>
      <c r="C269" s="1" t="n">
        <v>45645</v>
      </c>
      <c r="D269" t="inlineStr">
        <is>
          <t>UPPSALA LÄN</t>
        </is>
      </c>
      <c r="E269" t="inlineStr">
        <is>
          <t>UPPSALA</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60579-2019</t>
        </is>
      </c>
      <c r="B270" s="1" t="n">
        <v>43780</v>
      </c>
      <c r="C270" s="1" t="n">
        <v>45645</v>
      </c>
      <c r="D270" t="inlineStr">
        <is>
          <t>UPPSALA LÄN</t>
        </is>
      </c>
      <c r="E270" t="inlineStr">
        <is>
          <t>UPPSALA</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62308-2019</t>
        </is>
      </c>
      <c r="B271" s="1" t="n">
        <v>43782</v>
      </c>
      <c r="C271" s="1" t="n">
        <v>45645</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61667-2019</t>
        </is>
      </c>
      <c r="B272" s="1" t="n">
        <v>43784</v>
      </c>
      <c r="C272" s="1" t="n">
        <v>45645</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63145-2019</t>
        </is>
      </c>
      <c r="B273" s="1" t="n">
        <v>43791</v>
      </c>
      <c r="C273" s="1" t="n">
        <v>45645</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63091-2019</t>
        </is>
      </c>
      <c r="B274" s="1" t="n">
        <v>43791</v>
      </c>
      <c r="C274" s="1" t="n">
        <v>45645</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63099-2019</t>
        </is>
      </c>
      <c r="B275" s="1" t="n">
        <v>43791</v>
      </c>
      <c r="C275" s="1" t="n">
        <v>45645</v>
      </c>
      <c r="D275" t="inlineStr">
        <is>
          <t>UPPSALA LÄN</t>
        </is>
      </c>
      <c r="E275" t="inlineStr">
        <is>
          <t>UPPSALA</t>
        </is>
      </c>
      <c r="G275" t="n">
        <v>4.4</v>
      </c>
      <c r="H275" t="n">
        <v>0</v>
      </c>
      <c r="I275" t="n">
        <v>0</v>
      </c>
      <c r="J275" t="n">
        <v>0</v>
      </c>
      <c r="K275" t="n">
        <v>0</v>
      </c>
      <c r="L275" t="n">
        <v>0</v>
      </c>
      <c r="M275" t="n">
        <v>0</v>
      </c>
      <c r="N275" t="n">
        <v>0</v>
      </c>
      <c r="O275" t="n">
        <v>0</v>
      </c>
      <c r="P275" t="n">
        <v>0</v>
      </c>
      <c r="Q275" t="n">
        <v>0</v>
      </c>
      <c r="R275" s="2" t="inlineStr"/>
    </row>
    <row r="276" ht="15" customHeight="1">
      <c r="A276" t="inlineStr">
        <is>
          <t>A 63118-2019</t>
        </is>
      </c>
      <c r="B276" s="1" t="n">
        <v>43791</v>
      </c>
      <c r="C276" s="1" t="n">
        <v>45645</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63589-2019</t>
        </is>
      </c>
      <c r="B277" s="1" t="n">
        <v>43795</v>
      </c>
      <c r="C277" s="1" t="n">
        <v>45645</v>
      </c>
      <c r="D277" t="inlineStr">
        <is>
          <t>UPPSALA LÄN</t>
        </is>
      </c>
      <c r="E277" t="inlineStr">
        <is>
          <t>UPPSALA</t>
        </is>
      </c>
      <c r="G277" t="n">
        <v>3.8</v>
      </c>
      <c r="H277" t="n">
        <v>0</v>
      </c>
      <c r="I277" t="n">
        <v>0</v>
      </c>
      <c r="J277" t="n">
        <v>0</v>
      </c>
      <c r="K277" t="n">
        <v>0</v>
      </c>
      <c r="L277" t="n">
        <v>0</v>
      </c>
      <c r="M277" t="n">
        <v>0</v>
      </c>
      <c r="N277" t="n">
        <v>0</v>
      </c>
      <c r="O277" t="n">
        <v>0</v>
      </c>
      <c r="P277" t="n">
        <v>0</v>
      </c>
      <c r="Q277" t="n">
        <v>0</v>
      </c>
      <c r="R277" s="2" t="inlineStr"/>
    </row>
    <row r="278" ht="15" customHeight="1">
      <c r="A278" t="inlineStr">
        <is>
          <t>A 63757-2019</t>
        </is>
      </c>
      <c r="B278" s="1" t="n">
        <v>43795</v>
      </c>
      <c r="C278" s="1" t="n">
        <v>45645</v>
      </c>
      <c r="D278" t="inlineStr">
        <is>
          <t>UPPSALA LÄN</t>
        </is>
      </c>
      <c r="E278" t="inlineStr">
        <is>
          <t>UPPSALA</t>
        </is>
      </c>
      <c r="G278" t="n">
        <v>6.9</v>
      </c>
      <c r="H278" t="n">
        <v>0</v>
      </c>
      <c r="I278" t="n">
        <v>0</v>
      </c>
      <c r="J278" t="n">
        <v>0</v>
      </c>
      <c r="K278" t="n">
        <v>0</v>
      </c>
      <c r="L278" t="n">
        <v>0</v>
      </c>
      <c r="M278" t="n">
        <v>0</v>
      </c>
      <c r="N278" t="n">
        <v>0</v>
      </c>
      <c r="O278" t="n">
        <v>0</v>
      </c>
      <c r="P278" t="n">
        <v>0</v>
      </c>
      <c r="Q278" t="n">
        <v>0</v>
      </c>
      <c r="R278" s="2" t="inlineStr"/>
    </row>
    <row r="279" ht="15" customHeight="1">
      <c r="A279" t="inlineStr">
        <is>
          <t>A 63756-2019</t>
        </is>
      </c>
      <c r="B279" s="1" t="n">
        <v>43795</v>
      </c>
      <c r="C279" s="1" t="n">
        <v>45645</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64836-2019</t>
        </is>
      </c>
      <c r="B280" s="1" t="n">
        <v>43801</v>
      </c>
      <c r="C280" s="1" t="n">
        <v>45645</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64834-2019</t>
        </is>
      </c>
      <c r="B281" s="1" t="n">
        <v>43801</v>
      </c>
      <c r="C281" s="1" t="n">
        <v>45645</v>
      </c>
      <c r="D281" t="inlineStr">
        <is>
          <t>UPPSALA LÄN</t>
        </is>
      </c>
      <c r="E281" t="inlineStr">
        <is>
          <t>UPPSALA</t>
        </is>
      </c>
      <c r="G281" t="n">
        <v>1.3</v>
      </c>
      <c r="H281" t="n">
        <v>0</v>
      </c>
      <c r="I281" t="n">
        <v>0</v>
      </c>
      <c r="J281" t="n">
        <v>0</v>
      </c>
      <c r="K281" t="n">
        <v>0</v>
      </c>
      <c r="L281" t="n">
        <v>0</v>
      </c>
      <c r="M281" t="n">
        <v>0</v>
      </c>
      <c r="N281" t="n">
        <v>0</v>
      </c>
      <c r="O281" t="n">
        <v>0</v>
      </c>
      <c r="P281" t="n">
        <v>0</v>
      </c>
      <c r="Q281" t="n">
        <v>0</v>
      </c>
      <c r="R281" s="2" t="inlineStr"/>
    </row>
    <row r="282" ht="15" customHeight="1">
      <c r="A282" t="inlineStr">
        <is>
          <t>A 65527-2019</t>
        </is>
      </c>
      <c r="B282" s="1" t="n">
        <v>43803</v>
      </c>
      <c r="C282" s="1" t="n">
        <v>45645</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65668-2019</t>
        </is>
      </c>
      <c r="B283" s="1" t="n">
        <v>43804</v>
      </c>
      <c r="C283" s="1" t="n">
        <v>45645</v>
      </c>
      <c r="D283" t="inlineStr">
        <is>
          <t>UPPSALA LÄN</t>
        </is>
      </c>
      <c r="E283" t="inlineStr">
        <is>
          <t>UPPSALA</t>
        </is>
      </c>
      <c r="G283" t="n">
        <v>7.6</v>
      </c>
      <c r="H283" t="n">
        <v>0</v>
      </c>
      <c r="I283" t="n">
        <v>0</v>
      </c>
      <c r="J283" t="n">
        <v>0</v>
      </c>
      <c r="K283" t="n">
        <v>0</v>
      </c>
      <c r="L283" t="n">
        <v>0</v>
      </c>
      <c r="M283" t="n">
        <v>0</v>
      </c>
      <c r="N283" t="n">
        <v>0</v>
      </c>
      <c r="O283" t="n">
        <v>0</v>
      </c>
      <c r="P283" t="n">
        <v>0</v>
      </c>
      <c r="Q283" t="n">
        <v>0</v>
      </c>
      <c r="R283" s="2" t="inlineStr"/>
    </row>
    <row r="284" ht="15" customHeight="1">
      <c r="A284" t="inlineStr">
        <is>
          <t>A 66167-2019</t>
        </is>
      </c>
      <c r="B284" s="1" t="n">
        <v>43808</v>
      </c>
      <c r="C284" s="1" t="n">
        <v>45645</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66270-2019</t>
        </is>
      </c>
      <c r="B285" s="1" t="n">
        <v>43808</v>
      </c>
      <c r="C285" s="1" t="n">
        <v>45645</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67108-2019</t>
        </is>
      </c>
      <c r="B286" s="1" t="n">
        <v>43811</v>
      </c>
      <c r="C286" s="1" t="n">
        <v>45645</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67281-2019</t>
        </is>
      </c>
      <c r="B287" s="1" t="n">
        <v>43812</v>
      </c>
      <c r="C287" s="1" t="n">
        <v>45645</v>
      </c>
      <c r="D287" t="inlineStr">
        <is>
          <t>UPPSALA LÄN</t>
        </is>
      </c>
      <c r="E287" t="inlineStr">
        <is>
          <t>UPPSALA</t>
        </is>
      </c>
      <c r="F287" t="inlineStr">
        <is>
          <t>Allmännings- och besparingsskogar</t>
        </is>
      </c>
      <c r="G287" t="n">
        <v>1.2</v>
      </c>
      <c r="H287" t="n">
        <v>0</v>
      </c>
      <c r="I287" t="n">
        <v>0</v>
      </c>
      <c r="J287" t="n">
        <v>0</v>
      </c>
      <c r="K287" t="n">
        <v>0</v>
      </c>
      <c r="L287" t="n">
        <v>0</v>
      </c>
      <c r="M287" t="n">
        <v>0</v>
      </c>
      <c r="N287" t="n">
        <v>0</v>
      </c>
      <c r="O287" t="n">
        <v>0</v>
      </c>
      <c r="P287" t="n">
        <v>0</v>
      </c>
      <c r="Q287" t="n">
        <v>0</v>
      </c>
      <c r="R287" s="2" t="inlineStr"/>
    </row>
    <row r="288" ht="15" customHeight="1">
      <c r="A288" t="inlineStr">
        <is>
          <t>A 67508-2019</t>
        </is>
      </c>
      <c r="B288" s="1" t="n">
        <v>43814</v>
      </c>
      <c r="C288" s="1" t="n">
        <v>45645</v>
      </c>
      <c r="D288" t="inlineStr">
        <is>
          <t>UPPSALA LÄN</t>
        </is>
      </c>
      <c r="E288" t="inlineStr">
        <is>
          <t>UPPSALA</t>
        </is>
      </c>
      <c r="F288" t="inlineStr">
        <is>
          <t>Allmännings- och besparingsskogar</t>
        </is>
      </c>
      <c r="G288" t="n">
        <v>4.9</v>
      </c>
      <c r="H288" t="n">
        <v>0</v>
      </c>
      <c r="I288" t="n">
        <v>0</v>
      </c>
      <c r="J288" t="n">
        <v>0</v>
      </c>
      <c r="K288" t="n">
        <v>0</v>
      </c>
      <c r="L288" t="n">
        <v>0</v>
      </c>
      <c r="M288" t="n">
        <v>0</v>
      </c>
      <c r="N288" t="n">
        <v>0</v>
      </c>
      <c r="O288" t="n">
        <v>0</v>
      </c>
      <c r="P288" t="n">
        <v>0</v>
      </c>
      <c r="Q288" t="n">
        <v>0</v>
      </c>
      <c r="R288" s="2" t="inlineStr"/>
    </row>
    <row r="289" ht="15" customHeight="1">
      <c r="A289" t="inlineStr">
        <is>
          <t>A 67504-2019</t>
        </is>
      </c>
      <c r="B289" s="1" t="n">
        <v>43814</v>
      </c>
      <c r="C289" s="1" t="n">
        <v>45645</v>
      </c>
      <c r="D289" t="inlineStr">
        <is>
          <t>UPPSALA LÄN</t>
        </is>
      </c>
      <c r="E289" t="inlineStr">
        <is>
          <t>UPPSALA</t>
        </is>
      </c>
      <c r="F289" t="inlineStr">
        <is>
          <t>Allmännings- och besparingsskogar</t>
        </is>
      </c>
      <c r="G289" t="n">
        <v>21.9</v>
      </c>
      <c r="H289" t="n">
        <v>0</v>
      </c>
      <c r="I289" t="n">
        <v>0</v>
      </c>
      <c r="J289" t="n">
        <v>0</v>
      </c>
      <c r="K289" t="n">
        <v>0</v>
      </c>
      <c r="L289" t="n">
        <v>0</v>
      </c>
      <c r="M289" t="n">
        <v>0</v>
      </c>
      <c r="N289" t="n">
        <v>0</v>
      </c>
      <c r="O289" t="n">
        <v>0</v>
      </c>
      <c r="P289" t="n">
        <v>0</v>
      </c>
      <c r="Q289" t="n">
        <v>0</v>
      </c>
      <c r="R289" s="2" t="inlineStr"/>
    </row>
    <row r="290" ht="15" customHeight="1">
      <c r="A290" t="inlineStr">
        <is>
          <t>A 67720-2019</t>
        </is>
      </c>
      <c r="B290" s="1" t="n">
        <v>43815</v>
      </c>
      <c r="C290" s="1" t="n">
        <v>45645</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67592-2019</t>
        </is>
      </c>
      <c r="B291" s="1" t="n">
        <v>43815</v>
      </c>
      <c r="C291" s="1" t="n">
        <v>45645</v>
      </c>
      <c r="D291" t="inlineStr">
        <is>
          <t>UPPSALA LÄN</t>
        </is>
      </c>
      <c r="E291" t="inlineStr">
        <is>
          <t>UPPSALA</t>
        </is>
      </c>
      <c r="F291" t="inlineStr">
        <is>
          <t>Övriga statliga verk och myndigheter</t>
        </is>
      </c>
      <c r="G291" t="n">
        <v>0.8</v>
      </c>
      <c r="H291" t="n">
        <v>0</v>
      </c>
      <c r="I291" t="n">
        <v>0</v>
      </c>
      <c r="J291" t="n">
        <v>0</v>
      </c>
      <c r="K291" t="n">
        <v>0</v>
      </c>
      <c r="L291" t="n">
        <v>0</v>
      </c>
      <c r="M291" t="n">
        <v>0</v>
      </c>
      <c r="N291" t="n">
        <v>0</v>
      </c>
      <c r="O291" t="n">
        <v>0</v>
      </c>
      <c r="P291" t="n">
        <v>0</v>
      </c>
      <c r="Q291" t="n">
        <v>0</v>
      </c>
      <c r="R291" s="2" t="inlineStr"/>
    </row>
    <row r="292" ht="15" customHeight="1">
      <c r="A292" t="inlineStr">
        <is>
          <t>A 68264-2019</t>
        </is>
      </c>
      <c r="B292" s="1" t="n">
        <v>43817</v>
      </c>
      <c r="C292" s="1" t="n">
        <v>45645</v>
      </c>
      <c r="D292" t="inlineStr">
        <is>
          <t>UPPSALA LÄN</t>
        </is>
      </c>
      <c r="E292" t="inlineStr">
        <is>
          <t>UPPSALA</t>
        </is>
      </c>
      <c r="G292" t="n">
        <v>2.9</v>
      </c>
      <c r="H292" t="n">
        <v>0</v>
      </c>
      <c r="I292" t="n">
        <v>0</v>
      </c>
      <c r="J292" t="n">
        <v>0</v>
      </c>
      <c r="K292" t="n">
        <v>0</v>
      </c>
      <c r="L292" t="n">
        <v>0</v>
      </c>
      <c r="M292" t="n">
        <v>0</v>
      </c>
      <c r="N292" t="n">
        <v>0</v>
      </c>
      <c r="O292" t="n">
        <v>0</v>
      </c>
      <c r="P292" t="n">
        <v>0</v>
      </c>
      <c r="Q292" t="n">
        <v>0</v>
      </c>
      <c r="R292" s="2" t="inlineStr"/>
    </row>
    <row r="293" ht="15" customHeight="1">
      <c r="A293" t="inlineStr">
        <is>
          <t>A 68265-2019</t>
        </is>
      </c>
      <c r="B293" s="1" t="n">
        <v>43817</v>
      </c>
      <c r="C293" s="1" t="n">
        <v>45645</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68317-2019</t>
        </is>
      </c>
      <c r="B294" s="1" t="n">
        <v>43818</v>
      </c>
      <c r="C294" s="1" t="n">
        <v>45645</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68316-2019</t>
        </is>
      </c>
      <c r="B295" s="1" t="n">
        <v>43818</v>
      </c>
      <c r="C295" s="1" t="n">
        <v>45645</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68908-2019</t>
        </is>
      </c>
      <c r="B296" s="1" t="n">
        <v>43822</v>
      </c>
      <c r="C296" s="1" t="n">
        <v>45645</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529-2020</t>
        </is>
      </c>
      <c r="B297" s="1" t="n">
        <v>43837</v>
      </c>
      <c r="C297" s="1" t="n">
        <v>45645</v>
      </c>
      <c r="D297" t="inlineStr">
        <is>
          <t>UPPSALA LÄN</t>
        </is>
      </c>
      <c r="E297" t="inlineStr">
        <is>
          <t>UPPSALA</t>
        </is>
      </c>
      <c r="G297" t="n">
        <v>1.6</v>
      </c>
      <c r="H297" t="n">
        <v>0</v>
      </c>
      <c r="I297" t="n">
        <v>0</v>
      </c>
      <c r="J297" t="n">
        <v>0</v>
      </c>
      <c r="K297" t="n">
        <v>0</v>
      </c>
      <c r="L297" t="n">
        <v>0</v>
      </c>
      <c r="M297" t="n">
        <v>0</v>
      </c>
      <c r="N297" t="n">
        <v>0</v>
      </c>
      <c r="O297" t="n">
        <v>0</v>
      </c>
      <c r="P297" t="n">
        <v>0</v>
      </c>
      <c r="Q297" t="n">
        <v>0</v>
      </c>
      <c r="R297" s="2" t="inlineStr"/>
    </row>
    <row r="298" ht="15" customHeight="1">
      <c r="A298" t="inlineStr">
        <is>
          <t>A 1891-2020</t>
        </is>
      </c>
      <c r="B298" s="1" t="n">
        <v>43837</v>
      </c>
      <c r="C298" s="1" t="n">
        <v>45645</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701-2020</t>
        </is>
      </c>
      <c r="B299" s="1" t="n">
        <v>43838</v>
      </c>
      <c r="C299" s="1" t="n">
        <v>45645</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1171-2020</t>
        </is>
      </c>
      <c r="B300" s="1" t="n">
        <v>43840</v>
      </c>
      <c r="C300" s="1" t="n">
        <v>45645</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1688-2020</t>
        </is>
      </c>
      <c r="B301" s="1" t="n">
        <v>43844</v>
      </c>
      <c r="C301" s="1" t="n">
        <v>45645</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2162-2020</t>
        </is>
      </c>
      <c r="B302" s="1" t="n">
        <v>43846</v>
      </c>
      <c r="C302" s="1" t="n">
        <v>45645</v>
      </c>
      <c r="D302" t="inlineStr">
        <is>
          <t>UPPSALA LÄN</t>
        </is>
      </c>
      <c r="E302" t="inlineStr">
        <is>
          <t>UPPSALA</t>
        </is>
      </c>
      <c r="G302" t="n">
        <v>2.5</v>
      </c>
      <c r="H302" t="n">
        <v>0</v>
      </c>
      <c r="I302" t="n">
        <v>0</v>
      </c>
      <c r="J302" t="n">
        <v>0</v>
      </c>
      <c r="K302" t="n">
        <v>0</v>
      </c>
      <c r="L302" t="n">
        <v>0</v>
      </c>
      <c r="M302" t="n">
        <v>0</v>
      </c>
      <c r="N302" t="n">
        <v>0</v>
      </c>
      <c r="O302" t="n">
        <v>0</v>
      </c>
      <c r="P302" t="n">
        <v>0</v>
      </c>
      <c r="Q302" t="n">
        <v>0</v>
      </c>
      <c r="R302" s="2" t="inlineStr"/>
    </row>
    <row r="303" ht="15" customHeight="1">
      <c r="A303" t="inlineStr">
        <is>
          <t>A 2895-2020</t>
        </is>
      </c>
      <c r="B303" s="1" t="n">
        <v>43850</v>
      </c>
      <c r="C303" s="1" t="n">
        <v>45645</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3693-2020</t>
        </is>
      </c>
      <c r="B304" s="1" t="n">
        <v>43853</v>
      </c>
      <c r="C304" s="1" t="n">
        <v>45645</v>
      </c>
      <c r="D304" t="inlineStr">
        <is>
          <t>UPPSALA LÄN</t>
        </is>
      </c>
      <c r="E304" t="inlineStr">
        <is>
          <t>UPPSALA</t>
        </is>
      </c>
      <c r="F304" t="inlineStr">
        <is>
          <t>Bergvik skog öst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3516-2020</t>
        </is>
      </c>
      <c r="B305" s="1" t="n">
        <v>43853</v>
      </c>
      <c r="C305" s="1" t="n">
        <v>45645</v>
      </c>
      <c r="D305" t="inlineStr">
        <is>
          <t>UPPSALA LÄN</t>
        </is>
      </c>
      <c r="E305" t="inlineStr">
        <is>
          <t>UPPSALA</t>
        </is>
      </c>
      <c r="G305" t="n">
        <v>9.4</v>
      </c>
      <c r="H305" t="n">
        <v>0</v>
      </c>
      <c r="I305" t="n">
        <v>0</v>
      </c>
      <c r="J305" t="n">
        <v>0</v>
      </c>
      <c r="K305" t="n">
        <v>0</v>
      </c>
      <c r="L305" t="n">
        <v>0</v>
      </c>
      <c r="M305" t="n">
        <v>0</v>
      </c>
      <c r="N305" t="n">
        <v>0</v>
      </c>
      <c r="O305" t="n">
        <v>0</v>
      </c>
      <c r="P305" t="n">
        <v>0</v>
      </c>
      <c r="Q305" t="n">
        <v>0</v>
      </c>
      <c r="R305" s="2" t="inlineStr"/>
    </row>
    <row r="306" ht="15" customHeight="1">
      <c r="A306" t="inlineStr">
        <is>
          <t>A 6313-2020</t>
        </is>
      </c>
      <c r="B306" s="1" t="n">
        <v>43866</v>
      </c>
      <c r="C306" s="1" t="n">
        <v>45645</v>
      </c>
      <c r="D306" t="inlineStr">
        <is>
          <t>UPPSALA LÄN</t>
        </is>
      </c>
      <c r="E306" t="inlineStr">
        <is>
          <t>UPPSALA</t>
        </is>
      </c>
      <c r="F306" t="inlineStr">
        <is>
          <t>Övriga statliga verk och myndigheter</t>
        </is>
      </c>
      <c r="G306" t="n">
        <v>3.4</v>
      </c>
      <c r="H306" t="n">
        <v>0</v>
      </c>
      <c r="I306" t="n">
        <v>0</v>
      </c>
      <c r="J306" t="n">
        <v>0</v>
      </c>
      <c r="K306" t="n">
        <v>0</v>
      </c>
      <c r="L306" t="n">
        <v>0</v>
      </c>
      <c r="M306" t="n">
        <v>0</v>
      </c>
      <c r="N306" t="n">
        <v>0</v>
      </c>
      <c r="O306" t="n">
        <v>0</v>
      </c>
      <c r="P306" t="n">
        <v>0</v>
      </c>
      <c r="Q306" t="n">
        <v>0</v>
      </c>
      <c r="R306" s="2" t="inlineStr"/>
    </row>
    <row r="307" ht="15" customHeight="1">
      <c r="A307" t="inlineStr">
        <is>
          <t>A 6315-2020</t>
        </is>
      </c>
      <c r="B307" s="1" t="n">
        <v>43866</v>
      </c>
      <c r="C307" s="1" t="n">
        <v>45645</v>
      </c>
      <c r="D307" t="inlineStr">
        <is>
          <t>UPPSALA LÄN</t>
        </is>
      </c>
      <c r="E307" t="inlineStr">
        <is>
          <t>UPPSALA</t>
        </is>
      </c>
      <c r="F307" t="inlineStr">
        <is>
          <t>Övriga statliga verk och myndigheter</t>
        </is>
      </c>
      <c r="G307" t="n">
        <v>1.9</v>
      </c>
      <c r="H307" t="n">
        <v>0</v>
      </c>
      <c r="I307" t="n">
        <v>0</v>
      </c>
      <c r="J307" t="n">
        <v>0</v>
      </c>
      <c r="K307" t="n">
        <v>0</v>
      </c>
      <c r="L307" t="n">
        <v>0</v>
      </c>
      <c r="M307" t="n">
        <v>0</v>
      </c>
      <c r="N307" t="n">
        <v>0</v>
      </c>
      <c r="O307" t="n">
        <v>0</v>
      </c>
      <c r="P307" t="n">
        <v>0</v>
      </c>
      <c r="Q307" t="n">
        <v>0</v>
      </c>
      <c r="R307" s="2" t="inlineStr"/>
    </row>
    <row r="308" ht="15" customHeight="1">
      <c r="A308" t="inlineStr">
        <is>
          <t>A 6655-2020</t>
        </is>
      </c>
      <c r="B308" s="1" t="n">
        <v>43867</v>
      </c>
      <c r="C308" s="1" t="n">
        <v>45645</v>
      </c>
      <c r="D308" t="inlineStr">
        <is>
          <t>UPPSALA LÄN</t>
        </is>
      </c>
      <c r="E308" t="inlineStr">
        <is>
          <t>UPPSALA</t>
        </is>
      </c>
      <c r="G308" t="n">
        <v>7.3</v>
      </c>
      <c r="H308" t="n">
        <v>0</v>
      </c>
      <c r="I308" t="n">
        <v>0</v>
      </c>
      <c r="J308" t="n">
        <v>0</v>
      </c>
      <c r="K308" t="n">
        <v>0</v>
      </c>
      <c r="L308" t="n">
        <v>0</v>
      </c>
      <c r="M308" t="n">
        <v>0</v>
      </c>
      <c r="N308" t="n">
        <v>0</v>
      </c>
      <c r="O308" t="n">
        <v>0</v>
      </c>
      <c r="P308" t="n">
        <v>0</v>
      </c>
      <c r="Q308" t="n">
        <v>0</v>
      </c>
      <c r="R308" s="2" t="inlineStr"/>
    </row>
    <row r="309" ht="15" customHeight="1">
      <c r="A309" t="inlineStr">
        <is>
          <t>A 8261-2020</t>
        </is>
      </c>
      <c r="B309" s="1" t="n">
        <v>43874</v>
      </c>
      <c r="C309" s="1" t="n">
        <v>45645</v>
      </c>
      <c r="D309" t="inlineStr">
        <is>
          <t>UPPSALA LÄN</t>
        </is>
      </c>
      <c r="E309" t="inlineStr">
        <is>
          <t>UPPSALA</t>
        </is>
      </c>
      <c r="G309" t="n">
        <v>5.1</v>
      </c>
      <c r="H309" t="n">
        <v>0</v>
      </c>
      <c r="I309" t="n">
        <v>0</v>
      </c>
      <c r="J309" t="n">
        <v>0</v>
      </c>
      <c r="K309" t="n">
        <v>0</v>
      </c>
      <c r="L309" t="n">
        <v>0</v>
      </c>
      <c r="M309" t="n">
        <v>0</v>
      </c>
      <c r="N309" t="n">
        <v>0</v>
      </c>
      <c r="O309" t="n">
        <v>0</v>
      </c>
      <c r="P309" t="n">
        <v>0</v>
      </c>
      <c r="Q309" t="n">
        <v>0</v>
      </c>
      <c r="R309" s="2" t="inlineStr"/>
    </row>
    <row r="310" ht="15" customHeight="1">
      <c r="A310" t="inlineStr">
        <is>
          <t>A 8646-2020</t>
        </is>
      </c>
      <c r="B310" s="1" t="n">
        <v>43878</v>
      </c>
      <c r="C310" s="1" t="n">
        <v>45645</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8902-2020</t>
        </is>
      </c>
      <c r="B311" s="1" t="n">
        <v>43878</v>
      </c>
      <c r="C311" s="1" t="n">
        <v>45645</v>
      </c>
      <c r="D311" t="inlineStr">
        <is>
          <t>UPPSALA LÄN</t>
        </is>
      </c>
      <c r="E311" t="inlineStr">
        <is>
          <t>UPPSALA</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9011-2020</t>
        </is>
      </c>
      <c r="B312" s="1" t="n">
        <v>43879</v>
      </c>
      <c r="C312" s="1" t="n">
        <v>45645</v>
      </c>
      <c r="D312" t="inlineStr">
        <is>
          <t>UPPSALA LÄN</t>
        </is>
      </c>
      <c r="E312" t="inlineStr">
        <is>
          <t>UPPSALA</t>
        </is>
      </c>
      <c r="F312" t="inlineStr">
        <is>
          <t>Övriga statliga verk och myndigheter</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9084-2020</t>
        </is>
      </c>
      <c r="B313" s="1" t="n">
        <v>43879</v>
      </c>
      <c r="C313" s="1" t="n">
        <v>45645</v>
      </c>
      <c r="D313" t="inlineStr">
        <is>
          <t>UPPSALA LÄN</t>
        </is>
      </c>
      <c r="E313" t="inlineStr">
        <is>
          <t>UPPSALA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9257-2020</t>
        </is>
      </c>
      <c r="B314" s="1" t="n">
        <v>43879</v>
      </c>
      <c r="C314" s="1" t="n">
        <v>45645</v>
      </c>
      <c r="D314" t="inlineStr">
        <is>
          <t>UPPSALA LÄN</t>
        </is>
      </c>
      <c r="E314" t="inlineStr">
        <is>
          <t>UPPSALA</t>
        </is>
      </c>
      <c r="F314" t="inlineStr">
        <is>
          <t>Bergvik skog öst AB</t>
        </is>
      </c>
      <c r="G314" t="n">
        <v>5.8</v>
      </c>
      <c r="H314" t="n">
        <v>0</v>
      </c>
      <c r="I314" t="n">
        <v>0</v>
      </c>
      <c r="J314" t="n">
        <v>0</v>
      </c>
      <c r="K314" t="n">
        <v>0</v>
      </c>
      <c r="L314" t="n">
        <v>0</v>
      </c>
      <c r="M314" t="n">
        <v>0</v>
      </c>
      <c r="N314" t="n">
        <v>0</v>
      </c>
      <c r="O314" t="n">
        <v>0</v>
      </c>
      <c r="P314" t="n">
        <v>0</v>
      </c>
      <c r="Q314" t="n">
        <v>0</v>
      </c>
      <c r="R314" s="2" t="inlineStr"/>
    </row>
    <row r="315" ht="15" customHeight="1">
      <c r="A315" t="inlineStr">
        <is>
          <t>A 9658-2020</t>
        </is>
      </c>
      <c r="B315" s="1" t="n">
        <v>43881</v>
      </c>
      <c r="C315" s="1" t="n">
        <v>45645</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10003-2020</t>
        </is>
      </c>
      <c r="B316" s="1" t="n">
        <v>43882</v>
      </c>
      <c r="C316" s="1" t="n">
        <v>45645</v>
      </c>
      <c r="D316" t="inlineStr">
        <is>
          <t>UPPSALA LÄN</t>
        </is>
      </c>
      <c r="E316" t="inlineStr">
        <is>
          <t>UPPSALA</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9949-2020</t>
        </is>
      </c>
      <c r="B317" s="1" t="n">
        <v>43882</v>
      </c>
      <c r="C317" s="1" t="n">
        <v>45645</v>
      </c>
      <c r="D317" t="inlineStr">
        <is>
          <t>UPPSALA LÄN</t>
        </is>
      </c>
      <c r="E317" t="inlineStr">
        <is>
          <t>UPPSALA</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10033-2020</t>
        </is>
      </c>
      <c r="B318" s="1" t="n">
        <v>43882</v>
      </c>
      <c r="C318" s="1" t="n">
        <v>45645</v>
      </c>
      <c r="D318" t="inlineStr">
        <is>
          <t>UPPSALA LÄN</t>
        </is>
      </c>
      <c r="E318" t="inlineStr">
        <is>
          <t>UPPSALA</t>
        </is>
      </c>
      <c r="G318" t="n">
        <v>4.6</v>
      </c>
      <c r="H318" t="n">
        <v>0</v>
      </c>
      <c r="I318" t="n">
        <v>0</v>
      </c>
      <c r="J318" t="n">
        <v>0</v>
      </c>
      <c r="K318" t="n">
        <v>0</v>
      </c>
      <c r="L318" t="n">
        <v>0</v>
      </c>
      <c r="M318" t="n">
        <v>0</v>
      </c>
      <c r="N318" t="n">
        <v>0</v>
      </c>
      <c r="O318" t="n">
        <v>0</v>
      </c>
      <c r="P318" t="n">
        <v>0</v>
      </c>
      <c r="Q318" t="n">
        <v>0</v>
      </c>
      <c r="R318" s="2" t="inlineStr"/>
    </row>
    <row r="319" ht="15" customHeight="1">
      <c r="A319" t="inlineStr">
        <is>
          <t>A 10478-2020</t>
        </is>
      </c>
      <c r="B319" s="1" t="n">
        <v>43886</v>
      </c>
      <c r="C319" s="1" t="n">
        <v>45645</v>
      </c>
      <c r="D319" t="inlineStr">
        <is>
          <t>UPPSALA LÄN</t>
        </is>
      </c>
      <c r="E319" t="inlineStr">
        <is>
          <t>UPPSALA</t>
        </is>
      </c>
      <c r="G319" t="n">
        <v>1.1</v>
      </c>
      <c r="H319" t="n">
        <v>0</v>
      </c>
      <c r="I319" t="n">
        <v>0</v>
      </c>
      <c r="J319" t="n">
        <v>0</v>
      </c>
      <c r="K319" t="n">
        <v>0</v>
      </c>
      <c r="L319" t="n">
        <v>0</v>
      </c>
      <c r="M319" t="n">
        <v>0</v>
      </c>
      <c r="N319" t="n">
        <v>0</v>
      </c>
      <c r="O319" t="n">
        <v>0</v>
      </c>
      <c r="P319" t="n">
        <v>0</v>
      </c>
      <c r="Q319" t="n">
        <v>0</v>
      </c>
      <c r="R319" s="2" t="inlineStr"/>
    </row>
    <row r="320" ht="15" customHeight="1">
      <c r="A320" t="inlineStr">
        <is>
          <t>A 11540-2020</t>
        </is>
      </c>
      <c r="B320" s="1" t="n">
        <v>43887</v>
      </c>
      <c r="C320" s="1" t="n">
        <v>45645</v>
      </c>
      <c r="D320" t="inlineStr">
        <is>
          <t>UPPSALA LÄN</t>
        </is>
      </c>
      <c r="E320" t="inlineStr">
        <is>
          <t>UPPSALA</t>
        </is>
      </c>
      <c r="G320" t="n">
        <v>2.1</v>
      </c>
      <c r="H320" t="n">
        <v>0</v>
      </c>
      <c r="I320" t="n">
        <v>0</v>
      </c>
      <c r="J320" t="n">
        <v>0</v>
      </c>
      <c r="K320" t="n">
        <v>0</v>
      </c>
      <c r="L320" t="n">
        <v>0</v>
      </c>
      <c r="M320" t="n">
        <v>0</v>
      </c>
      <c r="N320" t="n">
        <v>0</v>
      </c>
      <c r="O320" t="n">
        <v>0</v>
      </c>
      <c r="P320" t="n">
        <v>0</v>
      </c>
      <c r="Q320" t="n">
        <v>0</v>
      </c>
      <c r="R320" s="2" t="inlineStr"/>
    </row>
    <row r="321" ht="15" customHeight="1">
      <c r="A321" t="inlineStr">
        <is>
          <t>A 11174-2020</t>
        </is>
      </c>
      <c r="B321" s="1" t="n">
        <v>43891</v>
      </c>
      <c r="C321" s="1" t="n">
        <v>45645</v>
      </c>
      <c r="D321" t="inlineStr">
        <is>
          <t>UPPSALA LÄN</t>
        </is>
      </c>
      <c r="E321" t="inlineStr">
        <is>
          <t>UPPSALA</t>
        </is>
      </c>
      <c r="F321" t="inlineStr">
        <is>
          <t>Övriga statliga verk och myndigheter</t>
        </is>
      </c>
      <c r="G321" t="n">
        <v>2.8</v>
      </c>
      <c r="H321" t="n">
        <v>0</v>
      </c>
      <c r="I321" t="n">
        <v>0</v>
      </c>
      <c r="J321" t="n">
        <v>0</v>
      </c>
      <c r="K321" t="n">
        <v>0</v>
      </c>
      <c r="L321" t="n">
        <v>0</v>
      </c>
      <c r="M321" t="n">
        <v>0</v>
      </c>
      <c r="N321" t="n">
        <v>0</v>
      </c>
      <c r="O321" t="n">
        <v>0</v>
      </c>
      <c r="P321" t="n">
        <v>0</v>
      </c>
      <c r="Q321" t="n">
        <v>0</v>
      </c>
      <c r="R321" s="2" t="inlineStr"/>
    </row>
    <row r="322" ht="15" customHeight="1">
      <c r="A322" t="inlineStr">
        <is>
          <t>A 12626-2020</t>
        </is>
      </c>
      <c r="B322" s="1" t="n">
        <v>43892</v>
      </c>
      <c r="C322" s="1" t="n">
        <v>45645</v>
      </c>
      <c r="D322" t="inlineStr">
        <is>
          <t>UPPSALA LÄN</t>
        </is>
      </c>
      <c r="E322" t="inlineStr">
        <is>
          <t>UPPSALA</t>
        </is>
      </c>
      <c r="G322" t="n">
        <v>11.4</v>
      </c>
      <c r="H322" t="n">
        <v>0</v>
      </c>
      <c r="I322" t="n">
        <v>0</v>
      </c>
      <c r="J322" t="n">
        <v>0</v>
      </c>
      <c r="K322" t="n">
        <v>0</v>
      </c>
      <c r="L322" t="n">
        <v>0</v>
      </c>
      <c r="M322" t="n">
        <v>0</v>
      </c>
      <c r="N322" t="n">
        <v>0</v>
      </c>
      <c r="O322" t="n">
        <v>0</v>
      </c>
      <c r="P322" t="n">
        <v>0</v>
      </c>
      <c r="Q322" t="n">
        <v>0</v>
      </c>
      <c r="R322" s="2" t="inlineStr"/>
    </row>
    <row r="323" ht="15" customHeight="1">
      <c r="A323" t="inlineStr">
        <is>
          <t>A 11336-2020</t>
        </is>
      </c>
      <c r="B323" s="1" t="n">
        <v>43892</v>
      </c>
      <c r="C323" s="1" t="n">
        <v>45645</v>
      </c>
      <c r="D323" t="inlineStr">
        <is>
          <t>UPPSALA LÄN</t>
        </is>
      </c>
      <c r="E323" t="inlineStr">
        <is>
          <t>UPPSALA</t>
        </is>
      </c>
      <c r="F323" t="inlineStr">
        <is>
          <t>Kyrkan</t>
        </is>
      </c>
      <c r="G323" t="n">
        <v>3.2</v>
      </c>
      <c r="H323" t="n">
        <v>0</v>
      </c>
      <c r="I323" t="n">
        <v>0</v>
      </c>
      <c r="J323" t="n">
        <v>0</v>
      </c>
      <c r="K323" t="n">
        <v>0</v>
      </c>
      <c r="L323" t="n">
        <v>0</v>
      </c>
      <c r="M323" t="n">
        <v>0</v>
      </c>
      <c r="N323" t="n">
        <v>0</v>
      </c>
      <c r="O323" t="n">
        <v>0</v>
      </c>
      <c r="P323" t="n">
        <v>0</v>
      </c>
      <c r="Q323" t="n">
        <v>0</v>
      </c>
      <c r="R323" s="2" t="inlineStr"/>
    </row>
    <row r="324" ht="15" customHeight="1">
      <c r="A324" t="inlineStr">
        <is>
          <t>A 11320-2020</t>
        </is>
      </c>
      <c r="B324" s="1" t="n">
        <v>43892</v>
      </c>
      <c r="C324" s="1" t="n">
        <v>45645</v>
      </c>
      <c r="D324" t="inlineStr">
        <is>
          <t>UPPSALA LÄN</t>
        </is>
      </c>
      <c r="E324" t="inlineStr">
        <is>
          <t>UPPSALA</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12028-2020</t>
        </is>
      </c>
      <c r="B325" s="1" t="n">
        <v>43894</v>
      </c>
      <c r="C325" s="1" t="n">
        <v>45645</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12055-2020</t>
        </is>
      </c>
      <c r="B326" s="1" t="n">
        <v>43894</v>
      </c>
      <c r="C326" s="1" t="n">
        <v>45645</v>
      </c>
      <c r="D326" t="inlineStr">
        <is>
          <t>UPPSALA LÄN</t>
        </is>
      </c>
      <c r="E326" t="inlineStr">
        <is>
          <t>UPPSALA</t>
        </is>
      </c>
      <c r="G326" t="n">
        <v>6.2</v>
      </c>
      <c r="H326" t="n">
        <v>0</v>
      </c>
      <c r="I326" t="n">
        <v>0</v>
      </c>
      <c r="J326" t="n">
        <v>0</v>
      </c>
      <c r="K326" t="n">
        <v>0</v>
      </c>
      <c r="L326" t="n">
        <v>0</v>
      </c>
      <c r="M326" t="n">
        <v>0</v>
      </c>
      <c r="N326" t="n">
        <v>0</v>
      </c>
      <c r="O326" t="n">
        <v>0</v>
      </c>
      <c r="P326" t="n">
        <v>0</v>
      </c>
      <c r="Q326" t="n">
        <v>0</v>
      </c>
      <c r="R326" s="2" t="inlineStr"/>
    </row>
    <row r="327" ht="15" customHeight="1">
      <c r="A327" t="inlineStr">
        <is>
          <t>A 12848-2020</t>
        </is>
      </c>
      <c r="B327" s="1" t="n">
        <v>43899</v>
      </c>
      <c r="C327" s="1" t="n">
        <v>45645</v>
      </c>
      <c r="D327" t="inlineStr">
        <is>
          <t>UPPSALA LÄN</t>
        </is>
      </c>
      <c r="E327" t="inlineStr">
        <is>
          <t>UPPSALA</t>
        </is>
      </c>
      <c r="G327" t="n">
        <v>10.3</v>
      </c>
      <c r="H327" t="n">
        <v>0</v>
      </c>
      <c r="I327" t="n">
        <v>0</v>
      </c>
      <c r="J327" t="n">
        <v>0</v>
      </c>
      <c r="K327" t="n">
        <v>0</v>
      </c>
      <c r="L327" t="n">
        <v>0</v>
      </c>
      <c r="M327" t="n">
        <v>0</v>
      </c>
      <c r="N327" t="n">
        <v>0</v>
      </c>
      <c r="O327" t="n">
        <v>0</v>
      </c>
      <c r="P327" t="n">
        <v>0</v>
      </c>
      <c r="Q327" t="n">
        <v>0</v>
      </c>
      <c r="R327" s="2" t="inlineStr"/>
    </row>
    <row r="328" ht="15" customHeight="1">
      <c r="A328" t="inlineStr">
        <is>
          <t>A 12781-2020</t>
        </is>
      </c>
      <c r="B328" s="1" t="n">
        <v>43899</v>
      </c>
      <c r="C328" s="1" t="n">
        <v>45645</v>
      </c>
      <c r="D328" t="inlineStr">
        <is>
          <t>UPPSALA LÄN</t>
        </is>
      </c>
      <c r="E328" t="inlineStr">
        <is>
          <t>UPPSALA</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13636-2020</t>
        </is>
      </c>
      <c r="B329" s="1" t="n">
        <v>43903</v>
      </c>
      <c r="C329" s="1" t="n">
        <v>45645</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14469-2020</t>
        </is>
      </c>
      <c r="B330" s="1" t="n">
        <v>43908</v>
      </c>
      <c r="C330" s="1" t="n">
        <v>45645</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14423-2020</t>
        </is>
      </c>
      <c r="B331" s="1" t="n">
        <v>43908</v>
      </c>
      <c r="C331" s="1" t="n">
        <v>45645</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14472-2020</t>
        </is>
      </c>
      <c r="B332" s="1" t="n">
        <v>43908</v>
      </c>
      <c r="C332" s="1" t="n">
        <v>45645</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14427-2020</t>
        </is>
      </c>
      <c r="B333" s="1" t="n">
        <v>43908</v>
      </c>
      <c r="C333" s="1" t="n">
        <v>45645</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15344-2020</t>
        </is>
      </c>
      <c r="B334" s="1" t="n">
        <v>43913</v>
      </c>
      <c r="C334" s="1" t="n">
        <v>45645</v>
      </c>
      <c r="D334" t="inlineStr">
        <is>
          <t>UPPSALA LÄN</t>
        </is>
      </c>
      <c r="E334" t="inlineStr">
        <is>
          <t>UPPSALA</t>
        </is>
      </c>
      <c r="F334" t="inlineStr">
        <is>
          <t>Holmen skog AB</t>
        </is>
      </c>
      <c r="G334" t="n">
        <v>3.4</v>
      </c>
      <c r="H334" t="n">
        <v>0</v>
      </c>
      <c r="I334" t="n">
        <v>0</v>
      </c>
      <c r="J334" t="n">
        <v>0</v>
      </c>
      <c r="K334" t="n">
        <v>0</v>
      </c>
      <c r="L334" t="n">
        <v>0</v>
      </c>
      <c r="M334" t="n">
        <v>0</v>
      </c>
      <c r="N334" t="n">
        <v>0</v>
      </c>
      <c r="O334" t="n">
        <v>0</v>
      </c>
      <c r="P334" t="n">
        <v>0</v>
      </c>
      <c r="Q334" t="n">
        <v>0</v>
      </c>
      <c r="R334" s="2" t="inlineStr"/>
    </row>
    <row r="335" ht="15" customHeight="1">
      <c r="A335" t="inlineStr">
        <is>
          <t>A 18106-2020</t>
        </is>
      </c>
      <c r="B335" s="1" t="n">
        <v>43927</v>
      </c>
      <c r="C335" s="1" t="n">
        <v>45645</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18114-2020</t>
        </is>
      </c>
      <c r="B336" s="1" t="n">
        <v>43927</v>
      </c>
      <c r="C336" s="1" t="n">
        <v>45645</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18469-2020</t>
        </is>
      </c>
      <c r="B337" s="1" t="n">
        <v>43929</v>
      </c>
      <c r="C337" s="1" t="n">
        <v>45645</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19210-2020</t>
        </is>
      </c>
      <c r="B338" s="1" t="n">
        <v>43937</v>
      </c>
      <c r="C338" s="1" t="n">
        <v>45645</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20218-2020</t>
        </is>
      </c>
      <c r="B339" s="1" t="n">
        <v>43944</v>
      </c>
      <c r="C339" s="1" t="n">
        <v>45645</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20506-2020</t>
        </is>
      </c>
      <c r="B340" s="1" t="n">
        <v>43948</v>
      </c>
      <c r="C340" s="1" t="n">
        <v>45645</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20490-2020</t>
        </is>
      </c>
      <c r="B341" s="1" t="n">
        <v>43948</v>
      </c>
      <c r="C341" s="1" t="n">
        <v>45645</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20960-2020</t>
        </is>
      </c>
      <c r="B342" s="1" t="n">
        <v>43950</v>
      </c>
      <c r="C342" s="1" t="n">
        <v>45645</v>
      </c>
      <c r="D342" t="inlineStr">
        <is>
          <t>UPPSALA LÄN</t>
        </is>
      </c>
      <c r="E342" t="inlineStr">
        <is>
          <t>UPPSALA</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24300-2020</t>
        </is>
      </c>
      <c r="B343" s="1" t="n">
        <v>43973</v>
      </c>
      <c r="C343" s="1" t="n">
        <v>45645</v>
      </c>
      <c r="D343" t="inlineStr">
        <is>
          <t>UPPSALA LÄN</t>
        </is>
      </c>
      <c r="E343" t="inlineStr">
        <is>
          <t>UPPSALA</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24287-2020</t>
        </is>
      </c>
      <c r="B344" s="1" t="n">
        <v>43976</v>
      </c>
      <c r="C344" s="1" t="n">
        <v>45645</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25798-2020</t>
        </is>
      </c>
      <c r="B345" s="1" t="n">
        <v>43984</v>
      </c>
      <c r="C345" s="1" t="n">
        <v>45645</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26488-2020</t>
        </is>
      </c>
      <c r="B346" s="1" t="n">
        <v>43987</v>
      </c>
      <c r="C346" s="1" t="n">
        <v>45645</v>
      </c>
      <c r="D346" t="inlineStr">
        <is>
          <t>UPPSALA LÄN</t>
        </is>
      </c>
      <c r="E346" t="inlineStr">
        <is>
          <t>UPPSALA</t>
        </is>
      </c>
      <c r="G346" t="n">
        <v>2.9</v>
      </c>
      <c r="H346" t="n">
        <v>0</v>
      </c>
      <c r="I346" t="n">
        <v>0</v>
      </c>
      <c r="J346" t="n">
        <v>0</v>
      </c>
      <c r="K346" t="n">
        <v>0</v>
      </c>
      <c r="L346" t="n">
        <v>0</v>
      </c>
      <c r="M346" t="n">
        <v>0</v>
      </c>
      <c r="N346" t="n">
        <v>0</v>
      </c>
      <c r="O346" t="n">
        <v>0</v>
      </c>
      <c r="P346" t="n">
        <v>0</v>
      </c>
      <c r="Q346" t="n">
        <v>0</v>
      </c>
      <c r="R346" s="2" t="inlineStr"/>
    </row>
    <row r="347" ht="15" customHeight="1">
      <c r="A347" t="inlineStr">
        <is>
          <t>A 26492-2020</t>
        </is>
      </c>
      <c r="B347" s="1" t="n">
        <v>43987</v>
      </c>
      <c r="C347" s="1" t="n">
        <v>45645</v>
      </c>
      <c r="D347" t="inlineStr">
        <is>
          <t>UPPSALA LÄN</t>
        </is>
      </c>
      <c r="E347" t="inlineStr">
        <is>
          <t>UPPSALA</t>
        </is>
      </c>
      <c r="G347" t="n">
        <v>9.5</v>
      </c>
      <c r="H347" t="n">
        <v>0</v>
      </c>
      <c r="I347" t="n">
        <v>0</v>
      </c>
      <c r="J347" t="n">
        <v>0</v>
      </c>
      <c r="K347" t="n">
        <v>0</v>
      </c>
      <c r="L347" t="n">
        <v>0</v>
      </c>
      <c r="M347" t="n">
        <v>0</v>
      </c>
      <c r="N347" t="n">
        <v>0</v>
      </c>
      <c r="O347" t="n">
        <v>0</v>
      </c>
      <c r="P347" t="n">
        <v>0</v>
      </c>
      <c r="Q347" t="n">
        <v>0</v>
      </c>
      <c r="R347" s="2" t="inlineStr"/>
    </row>
    <row r="348" ht="15" customHeight="1">
      <c r="A348" t="inlineStr">
        <is>
          <t>A 26856-2020</t>
        </is>
      </c>
      <c r="B348" s="1" t="n">
        <v>43990</v>
      </c>
      <c r="C348" s="1" t="n">
        <v>45645</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28565-2020</t>
        </is>
      </c>
      <c r="B349" s="1" t="n">
        <v>43999</v>
      </c>
      <c r="C349" s="1" t="n">
        <v>45645</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28514-2020</t>
        </is>
      </c>
      <c r="B350" s="1" t="n">
        <v>43999</v>
      </c>
      <c r="C350" s="1" t="n">
        <v>45645</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28993-2020</t>
        </is>
      </c>
      <c r="B351" s="1" t="n">
        <v>44000</v>
      </c>
      <c r="C351" s="1" t="n">
        <v>45645</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29034-2020</t>
        </is>
      </c>
      <c r="B352" s="1" t="n">
        <v>44000</v>
      </c>
      <c r="C352" s="1" t="n">
        <v>45645</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30196-2020</t>
        </is>
      </c>
      <c r="B353" s="1" t="n">
        <v>44007</v>
      </c>
      <c r="C353" s="1" t="n">
        <v>45645</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30208-2020</t>
        </is>
      </c>
      <c r="B354" s="1" t="n">
        <v>44007</v>
      </c>
      <c r="C354" s="1" t="n">
        <v>45645</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31219-2020</t>
        </is>
      </c>
      <c r="B355" s="1" t="n">
        <v>44012</v>
      </c>
      <c r="C355" s="1" t="n">
        <v>45645</v>
      </c>
      <c r="D355" t="inlineStr">
        <is>
          <t>UPPSALA LÄN</t>
        </is>
      </c>
      <c r="E355" t="inlineStr">
        <is>
          <t>UPPSALA</t>
        </is>
      </c>
      <c r="F355" t="inlineStr">
        <is>
          <t>Bergvik skog öst AB</t>
        </is>
      </c>
      <c r="G355" t="n">
        <v>7.4</v>
      </c>
      <c r="H355" t="n">
        <v>0</v>
      </c>
      <c r="I355" t="n">
        <v>0</v>
      </c>
      <c r="J355" t="n">
        <v>0</v>
      </c>
      <c r="K355" t="n">
        <v>0</v>
      </c>
      <c r="L355" t="n">
        <v>0</v>
      </c>
      <c r="M355" t="n">
        <v>0</v>
      </c>
      <c r="N355" t="n">
        <v>0</v>
      </c>
      <c r="O355" t="n">
        <v>0</v>
      </c>
      <c r="P355" t="n">
        <v>0</v>
      </c>
      <c r="Q355" t="n">
        <v>0</v>
      </c>
      <c r="R355" s="2" t="inlineStr"/>
    </row>
    <row r="356" ht="15" customHeight="1">
      <c r="A356" t="inlineStr">
        <is>
          <t>A 31430-2020</t>
        </is>
      </c>
      <c r="B356" s="1" t="n">
        <v>44013</v>
      </c>
      <c r="C356" s="1" t="n">
        <v>45645</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31932-2020</t>
        </is>
      </c>
      <c r="B357" s="1" t="n">
        <v>44014</v>
      </c>
      <c r="C357" s="1" t="n">
        <v>45645</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32235-2020</t>
        </is>
      </c>
      <c r="B358" s="1" t="n">
        <v>44015</v>
      </c>
      <c r="C358" s="1" t="n">
        <v>45645</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32340-2020</t>
        </is>
      </c>
      <c r="B359" s="1" t="n">
        <v>44016</v>
      </c>
      <c r="C359" s="1" t="n">
        <v>45645</v>
      </c>
      <c r="D359" t="inlineStr">
        <is>
          <t>UPPSALA LÄN</t>
        </is>
      </c>
      <c r="E359" t="inlineStr">
        <is>
          <t>UPPSALA</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32608-2020</t>
        </is>
      </c>
      <c r="B360" s="1" t="n">
        <v>44019</v>
      </c>
      <c r="C360" s="1" t="n">
        <v>45645</v>
      </c>
      <c r="D360" t="inlineStr">
        <is>
          <t>UPPSALA LÄN</t>
        </is>
      </c>
      <c r="E360" t="inlineStr">
        <is>
          <t>UPPSALA</t>
        </is>
      </c>
      <c r="F360" t="inlineStr">
        <is>
          <t>Bergvik skog öst AB</t>
        </is>
      </c>
      <c r="G360" t="n">
        <v>5.7</v>
      </c>
      <c r="H360" t="n">
        <v>0</v>
      </c>
      <c r="I360" t="n">
        <v>0</v>
      </c>
      <c r="J360" t="n">
        <v>0</v>
      </c>
      <c r="K360" t="n">
        <v>0</v>
      </c>
      <c r="L360" t="n">
        <v>0</v>
      </c>
      <c r="M360" t="n">
        <v>0</v>
      </c>
      <c r="N360" t="n">
        <v>0</v>
      </c>
      <c r="O360" t="n">
        <v>0</v>
      </c>
      <c r="P360" t="n">
        <v>0</v>
      </c>
      <c r="Q360" t="n">
        <v>0</v>
      </c>
      <c r="R360" s="2" t="inlineStr"/>
    </row>
    <row r="361" ht="15" customHeight="1">
      <c r="A361" t="inlineStr">
        <is>
          <t>A 33658-2020</t>
        </is>
      </c>
      <c r="B361" s="1" t="n">
        <v>44026</v>
      </c>
      <c r="C361" s="1" t="n">
        <v>45645</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34205-2020</t>
        </is>
      </c>
      <c r="B362" s="1" t="n">
        <v>44029</v>
      </c>
      <c r="C362" s="1" t="n">
        <v>45645</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34565-2020</t>
        </is>
      </c>
      <c r="B363" s="1" t="n">
        <v>44033</v>
      </c>
      <c r="C363" s="1" t="n">
        <v>45645</v>
      </c>
      <c r="D363" t="inlineStr">
        <is>
          <t>UPPSALA LÄN</t>
        </is>
      </c>
      <c r="E363" t="inlineStr">
        <is>
          <t>UPPSALA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34753-2020</t>
        </is>
      </c>
      <c r="B364" s="1" t="n">
        <v>44035</v>
      </c>
      <c r="C364" s="1" t="n">
        <v>45645</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34749-2020</t>
        </is>
      </c>
      <c r="B365" s="1" t="n">
        <v>44035</v>
      </c>
      <c r="C365" s="1" t="n">
        <v>45645</v>
      </c>
      <c r="D365" t="inlineStr">
        <is>
          <t>UPPSALA LÄN</t>
        </is>
      </c>
      <c r="E365" t="inlineStr">
        <is>
          <t>UPPSALA</t>
        </is>
      </c>
      <c r="G365" t="n">
        <v>5.5</v>
      </c>
      <c r="H365" t="n">
        <v>0</v>
      </c>
      <c r="I365" t="n">
        <v>0</v>
      </c>
      <c r="J365" t="n">
        <v>0</v>
      </c>
      <c r="K365" t="n">
        <v>0</v>
      </c>
      <c r="L365" t="n">
        <v>0</v>
      </c>
      <c r="M365" t="n">
        <v>0</v>
      </c>
      <c r="N365" t="n">
        <v>0</v>
      </c>
      <c r="O365" t="n">
        <v>0</v>
      </c>
      <c r="P365" t="n">
        <v>0</v>
      </c>
      <c r="Q365" t="n">
        <v>0</v>
      </c>
      <c r="R365" s="2" t="inlineStr"/>
    </row>
    <row r="366" ht="15" customHeight="1">
      <c r="A366" t="inlineStr">
        <is>
          <t>A 35281-2020</t>
        </is>
      </c>
      <c r="B366" s="1" t="n">
        <v>44041</v>
      </c>
      <c r="C366" s="1" t="n">
        <v>45645</v>
      </c>
      <c r="D366" t="inlineStr">
        <is>
          <t>UPPSALA LÄN</t>
        </is>
      </c>
      <c r="E366" t="inlineStr">
        <is>
          <t>UPPSALA</t>
        </is>
      </c>
      <c r="F366" t="inlineStr">
        <is>
          <t>Bergvik skog öst AB</t>
        </is>
      </c>
      <c r="G366" t="n">
        <v>3.1</v>
      </c>
      <c r="H366" t="n">
        <v>0</v>
      </c>
      <c r="I366" t="n">
        <v>0</v>
      </c>
      <c r="J366" t="n">
        <v>0</v>
      </c>
      <c r="K366" t="n">
        <v>0</v>
      </c>
      <c r="L366" t="n">
        <v>0</v>
      </c>
      <c r="M366" t="n">
        <v>0</v>
      </c>
      <c r="N366" t="n">
        <v>0</v>
      </c>
      <c r="O366" t="n">
        <v>0</v>
      </c>
      <c r="P366" t="n">
        <v>0</v>
      </c>
      <c r="Q366" t="n">
        <v>0</v>
      </c>
      <c r="R366" s="2" t="inlineStr"/>
    </row>
    <row r="367" ht="15" customHeight="1">
      <c r="A367" t="inlineStr">
        <is>
          <t>A 36035-2020</t>
        </is>
      </c>
      <c r="B367" s="1" t="n">
        <v>44048</v>
      </c>
      <c r="C367" s="1" t="n">
        <v>45645</v>
      </c>
      <c r="D367" t="inlineStr">
        <is>
          <t>UPPSALA LÄN</t>
        </is>
      </c>
      <c r="E367" t="inlineStr">
        <is>
          <t>UPPSALA</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36202-2020</t>
        </is>
      </c>
      <c r="B368" s="1" t="n">
        <v>44048</v>
      </c>
      <c r="C368" s="1" t="n">
        <v>45645</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36198-2020</t>
        </is>
      </c>
      <c r="B369" s="1" t="n">
        <v>44048</v>
      </c>
      <c r="C369" s="1" t="n">
        <v>45645</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36350-2020</t>
        </is>
      </c>
      <c r="B370" s="1" t="n">
        <v>44049</v>
      </c>
      <c r="C370" s="1" t="n">
        <v>45645</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36512-2020</t>
        </is>
      </c>
      <c r="B371" s="1" t="n">
        <v>44050</v>
      </c>
      <c r="C371" s="1" t="n">
        <v>45645</v>
      </c>
      <c r="D371" t="inlineStr">
        <is>
          <t>UPPSALA LÄN</t>
        </is>
      </c>
      <c r="E371" t="inlineStr">
        <is>
          <t>UPPSALA</t>
        </is>
      </c>
      <c r="G371" t="n">
        <v>5.8</v>
      </c>
      <c r="H371" t="n">
        <v>0</v>
      </c>
      <c r="I371" t="n">
        <v>0</v>
      </c>
      <c r="J371" t="n">
        <v>0</v>
      </c>
      <c r="K371" t="n">
        <v>0</v>
      </c>
      <c r="L371" t="n">
        <v>0</v>
      </c>
      <c r="M371" t="n">
        <v>0</v>
      </c>
      <c r="N371" t="n">
        <v>0</v>
      </c>
      <c r="O371" t="n">
        <v>0</v>
      </c>
      <c r="P371" t="n">
        <v>0</v>
      </c>
      <c r="Q371" t="n">
        <v>0</v>
      </c>
      <c r="R371" s="2" t="inlineStr"/>
    </row>
    <row r="372" ht="15" customHeight="1">
      <c r="A372" t="inlineStr">
        <is>
          <t>A 37276-2020</t>
        </is>
      </c>
      <c r="B372" s="1" t="n">
        <v>44055</v>
      </c>
      <c r="C372" s="1" t="n">
        <v>45645</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37669-2020</t>
        </is>
      </c>
      <c r="B373" s="1" t="n">
        <v>44056</v>
      </c>
      <c r="C373" s="1" t="n">
        <v>45645</v>
      </c>
      <c r="D373" t="inlineStr">
        <is>
          <t>UPPSALA LÄN</t>
        </is>
      </c>
      <c r="E373" t="inlineStr">
        <is>
          <t>UPPSALA</t>
        </is>
      </c>
      <c r="G373" t="n">
        <v>5.1</v>
      </c>
      <c r="H373" t="n">
        <v>0</v>
      </c>
      <c r="I373" t="n">
        <v>0</v>
      </c>
      <c r="J373" t="n">
        <v>0</v>
      </c>
      <c r="K373" t="n">
        <v>0</v>
      </c>
      <c r="L373" t="n">
        <v>0</v>
      </c>
      <c r="M373" t="n">
        <v>0</v>
      </c>
      <c r="N373" t="n">
        <v>0</v>
      </c>
      <c r="O373" t="n">
        <v>0</v>
      </c>
      <c r="P373" t="n">
        <v>0</v>
      </c>
      <c r="Q373" t="n">
        <v>0</v>
      </c>
      <c r="R373" s="2" t="inlineStr"/>
    </row>
    <row r="374" ht="15" customHeight="1">
      <c r="A374" t="inlineStr">
        <is>
          <t>A 39233-2020</t>
        </is>
      </c>
      <c r="B374" s="1" t="n">
        <v>44063</v>
      </c>
      <c r="C374" s="1" t="n">
        <v>45645</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39178-2020</t>
        </is>
      </c>
      <c r="B375" s="1" t="n">
        <v>44063</v>
      </c>
      <c r="C375" s="1" t="n">
        <v>45645</v>
      </c>
      <c r="D375" t="inlineStr">
        <is>
          <t>UPPSALA LÄN</t>
        </is>
      </c>
      <c r="E375" t="inlineStr">
        <is>
          <t>UPPSALA</t>
        </is>
      </c>
      <c r="F375" t="inlineStr">
        <is>
          <t>Bergvik skog öst AB</t>
        </is>
      </c>
      <c r="G375" t="n">
        <v>2.6</v>
      </c>
      <c r="H375" t="n">
        <v>0</v>
      </c>
      <c r="I375" t="n">
        <v>0</v>
      </c>
      <c r="J375" t="n">
        <v>0</v>
      </c>
      <c r="K375" t="n">
        <v>0</v>
      </c>
      <c r="L375" t="n">
        <v>0</v>
      </c>
      <c r="M375" t="n">
        <v>0</v>
      </c>
      <c r="N375" t="n">
        <v>0</v>
      </c>
      <c r="O375" t="n">
        <v>0</v>
      </c>
      <c r="P375" t="n">
        <v>0</v>
      </c>
      <c r="Q375" t="n">
        <v>0</v>
      </c>
      <c r="R375" s="2" t="inlineStr"/>
    </row>
    <row r="376" ht="15" customHeight="1">
      <c r="A376" t="inlineStr">
        <is>
          <t>A 39236-2020</t>
        </is>
      </c>
      <c r="B376" s="1" t="n">
        <v>44063</v>
      </c>
      <c r="C376" s="1" t="n">
        <v>45645</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39272-2020</t>
        </is>
      </c>
      <c r="B377" s="1" t="n">
        <v>44063</v>
      </c>
      <c r="C377" s="1" t="n">
        <v>45645</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40894-2020</t>
        </is>
      </c>
      <c r="B378" s="1" t="n">
        <v>44070</v>
      </c>
      <c r="C378" s="1" t="n">
        <v>45645</v>
      </c>
      <c r="D378" t="inlineStr">
        <is>
          <t>UPPSALA LÄN</t>
        </is>
      </c>
      <c r="E378" t="inlineStr">
        <is>
          <t>UPPSALA</t>
        </is>
      </c>
      <c r="G378" t="n">
        <v>7.1</v>
      </c>
      <c r="H378" t="n">
        <v>0</v>
      </c>
      <c r="I378" t="n">
        <v>0</v>
      </c>
      <c r="J378" t="n">
        <v>0</v>
      </c>
      <c r="K378" t="n">
        <v>0</v>
      </c>
      <c r="L378" t="n">
        <v>0</v>
      </c>
      <c r="M378" t="n">
        <v>0</v>
      </c>
      <c r="N378" t="n">
        <v>0</v>
      </c>
      <c r="O378" t="n">
        <v>0</v>
      </c>
      <c r="P378" t="n">
        <v>0</v>
      </c>
      <c r="Q378" t="n">
        <v>0</v>
      </c>
      <c r="R378" s="2" t="inlineStr"/>
    </row>
    <row r="379" ht="15" customHeight="1">
      <c r="A379" t="inlineStr">
        <is>
          <t>A 42341-2020</t>
        </is>
      </c>
      <c r="B379" s="1" t="n">
        <v>44076</v>
      </c>
      <c r="C379" s="1" t="n">
        <v>45645</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43968-2020</t>
        </is>
      </c>
      <c r="B380" s="1" t="n">
        <v>44083</v>
      </c>
      <c r="C380" s="1" t="n">
        <v>45645</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45930-2020</t>
        </is>
      </c>
      <c r="B381" s="1" t="n">
        <v>44091</v>
      </c>
      <c r="C381" s="1" t="n">
        <v>45645</v>
      </c>
      <c r="D381" t="inlineStr">
        <is>
          <t>UPPSALA LÄN</t>
        </is>
      </c>
      <c r="E381" t="inlineStr">
        <is>
          <t>UPPSALA</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46633-2020</t>
        </is>
      </c>
      <c r="B382" s="1" t="n">
        <v>44095</v>
      </c>
      <c r="C382" s="1" t="n">
        <v>45645</v>
      </c>
      <c r="D382" t="inlineStr">
        <is>
          <t>UPPSALA LÄN</t>
        </is>
      </c>
      <c r="E382" t="inlineStr">
        <is>
          <t>UPPSALA</t>
        </is>
      </c>
      <c r="G382" t="n">
        <v>4.2</v>
      </c>
      <c r="H382" t="n">
        <v>0</v>
      </c>
      <c r="I382" t="n">
        <v>0</v>
      </c>
      <c r="J382" t="n">
        <v>0</v>
      </c>
      <c r="K382" t="n">
        <v>0</v>
      </c>
      <c r="L382" t="n">
        <v>0</v>
      </c>
      <c r="M382" t="n">
        <v>0</v>
      </c>
      <c r="N382" t="n">
        <v>0</v>
      </c>
      <c r="O382" t="n">
        <v>0</v>
      </c>
      <c r="P382" t="n">
        <v>0</v>
      </c>
      <c r="Q382" t="n">
        <v>0</v>
      </c>
      <c r="R382" s="2" t="inlineStr"/>
    </row>
    <row r="383" ht="15" customHeight="1">
      <c r="A383" t="inlineStr">
        <is>
          <t>A 46647-2020</t>
        </is>
      </c>
      <c r="B383" s="1" t="n">
        <v>44095</v>
      </c>
      <c r="C383" s="1" t="n">
        <v>45645</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48786-2020</t>
        </is>
      </c>
      <c r="B384" s="1" t="n">
        <v>44103</v>
      </c>
      <c r="C384" s="1" t="n">
        <v>45645</v>
      </c>
      <c r="D384" t="inlineStr">
        <is>
          <t>UPPSALA LÄN</t>
        </is>
      </c>
      <c r="E384" t="inlineStr">
        <is>
          <t>UPPSALA</t>
        </is>
      </c>
      <c r="G384" t="n">
        <v>0.4</v>
      </c>
      <c r="H384" t="n">
        <v>0</v>
      </c>
      <c r="I384" t="n">
        <v>0</v>
      </c>
      <c r="J384" t="n">
        <v>0</v>
      </c>
      <c r="K384" t="n">
        <v>0</v>
      </c>
      <c r="L384" t="n">
        <v>0</v>
      </c>
      <c r="M384" t="n">
        <v>0</v>
      </c>
      <c r="N384" t="n">
        <v>0</v>
      </c>
      <c r="O384" t="n">
        <v>0</v>
      </c>
      <c r="P384" t="n">
        <v>0</v>
      </c>
      <c r="Q384" t="n">
        <v>0</v>
      </c>
      <c r="R384" s="2" t="inlineStr"/>
    </row>
    <row r="385" ht="15" customHeight="1">
      <c r="A385" t="inlineStr">
        <is>
          <t>A 49363-2020</t>
        </is>
      </c>
      <c r="B385" s="1" t="n">
        <v>44105</v>
      </c>
      <c r="C385" s="1" t="n">
        <v>45645</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49409-2020</t>
        </is>
      </c>
      <c r="B386" s="1" t="n">
        <v>44105</v>
      </c>
      <c r="C386" s="1" t="n">
        <v>45645</v>
      </c>
      <c r="D386" t="inlineStr">
        <is>
          <t>UPPSALA LÄN</t>
        </is>
      </c>
      <c r="E386" t="inlineStr">
        <is>
          <t>UPPSALA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49404-2020</t>
        </is>
      </c>
      <c r="B387" s="1" t="n">
        <v>44105</v>
      </c>
      <c r="C387" s="1" t="n">
        <v>45645</v>
      </c>
      <c r="D387" t="inlineStr">
        <is>
          <t>UPPSALA LÄN</t>
        </is>
      </c>
      <c r="E387" t="inlineStr">
        <is>
          <t>UPPSALA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49821-2020</t>
        </is>
      </c>
      <c r="B388" s="1" t="n">
        <v>44106</v>
      </c>
      <c r="C388" s="1" t="n">
        <v>45645</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49931-2020</t>
        </is>
      </c>
      <c r="B389" s="1" t="n">
        <v>44109</v>
      </c>
      <c r="C389" s="1" t="n">
        <v>45645</v>
      </c>
      <c r="D389" t="inlineStr">
        <is>
          <t>UPPSALA LÄN</t>
        </is>
      </c>
      <c r="E389" t="inlineStr">
        <is>
          <t>UPPSALA</t>
        </is>
      </c>
      <c r="G389" t="n">
        <v>3.4</v>
      </c>
      <c r="H389" t="n">
        <v>0</v>
      </c>
      <c r="I389" t="n">
        <v>0</v>
      </c>
      <c r="J389" t="n">
        <v>0</v>
      </c>
      <c r="K389" t="n">
        <v>0</v>
      </c>
      <c r="L389" t="n">
        <v>0</v>
      </c>
      <c r="M389" t="n">
        <v>0</v>
      </c>
      <c r="N389" t="n">
        <v>0</v>
      </c>
      <c r="O389" t="n">
        <v>0</v>
      </c>
      <c r="P389" t="n">
        <v>0</v>
      </c>
      <c r="Q389" t="n">
        <v>0</v>
      </c>
      <c r="R389" s="2" t="inlineStr"/>
    </row>
    <row r="390" ht="15" customHeight="1">
      <c r="A390" t="inlineStr">
        <is>
          <t>A 52717-2020</t>
        </is>
      </c>
      <c r="B390" s="1" t="n">
        <v>44119</v>
      </c>
      <c r="C390" s="1" t="n">
        <v>45645</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53346-2020</t>
        </is>
      </c>
      <c r="B391" s="1" t="n">
        <v>44123</v>
      </c>
      <c r="C391" s="1" t="n">
        <v>45645</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53379-2020</t>
        </is>
      </c>
      <c r="B392" s="1" t="n">
        <v>44123</v>
      </c>
      <c r="C392" s="1" t="n">
        <v>45645</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54742-2020</t>
        </is>
      </c>
      <c r="B393" s="1" t="n">
        <v>44126</v>
      </c>
      <c r="C393" s="1" t="n">
        <v>45645</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55220-2020</t>
        </is>
      </c>
      <c r="B394" s="1" t="n">
        <v>44130</v>
      </c>
      <c r="C394" s="1" t="n">
        <v>45645</v>
      </c>
      <c r="D394" t="inlineStr">
        <is>
          <t>UPPSALA LÄN</t>
        </is>
      </c>
      <c r="E394" t="inlineStr">
        <is>
          <t>UPPSALA</t>
        </is>
      </c>
      <c r="G394" t="n">
        <v>2.8</v>
      </c>
      <c r="H394" t="n">
        <v>0</v>
      </c>
      <c r="I394" t="n">
        <v>0</v>
      </c>
      <c r="J394" t="n">
        <v>0</v>
      </c>
      <c r="K394" t="n">
        <v>0</v>
      </c>
      <c r="L394" t="n">
        <v>0</v>
      </c>
      <c r="M394" t="n">
        <v>0</v>
      </c>
      <c r="N394" t="n">
        <v>0</v>
      </c>
      <c r="O394" t="n">
        <v>0</v>
      </c>
      <c r="P394" t="n">
        <v>0</v>
      </c>
      <c r="Q394" t="n">
        <v>0</v>
      </c>
      <c r="R394" s="2" t="inlineStr"/>
    </row>
    <row r="395" ht="15" customHeight="1">
      <c r="A395" t="inlineStr">
        <is>
          <t>A 55953-2020</t>
        </is>
      </c>
      <c r="B395" s="1" t="n">
        <v>44131</v>
      </c>
      <c r="C395" s="1" t="n">
        <v>45645</v>
      </c>
      <c r="D395" t="inlineStr">
        <is>
          <t>UPPSALA LÄN</t>
        </is>
      </c>
      <c r="E395" t="inlineStr">
        <is>
          <t>UPPSALA</t>
        </is>
      </c>
      <c r="F395" t="inlineStr">
        <is>
          <t>Allmännings- och besparingsskogar</t>
        </is>
      </c>
      <c r="G395" t="n">
        <v>74.40000000000001</v>
      </c>
      <c r="H395" t="n">
        <v>0</v>
      </c>
      <c r="I395" t="n">
        <v>0</v>
      </c>
      <c r="J395" t="n">
        <v>0</v>
      </c>
      <c r="K395" t="n">
        <v>0</v>
      </c>
      <c r="L395" t="n">
        <v>0</v>
      </c>
      <c r="M395" t="n">
        <v>0</v>
      </c>
      <c r="N395" t="n">
        <v>0</v>
      </c>
      <c r="O395" t="n">
        <v>0</v>
      </c>
      <c r="P395" t="n">
        <v>0</v>
      </c>
      <c r="Q395" t="n">
        <v>0</v>
      </c>
      <c r="R395" s="2" t="inlineStr"/>
    </row>
    <row r="396" ht="15" customHeight="1">
      <c r="A396" t="inlineStr">
        <is>
          <t>A 56097-2020</t>
        </is>
      </c>
      <c r="B396" s="1" t="n">
        <v>44131</v>
      </c>
      <c r="C396" s="1" t="n">
        <v>45645</v>
      </c>
      <c r="D396" t="inlineStr">
        <is>
          <t>UPPSALA LÄN</t>
        </is>
      </c>
      <c r="E396" t="inlineStr">
        <is>
          <t>UPPSALA</t>
        </is>
      </c>
      <c r="F396" t="inlineStr">
        <is>
          <t>Allmännings- och besparingsskogar</t>
        </is>
      </c>
      <c r="G396" t="n">
        <v>10.6</v>
      </c>
      <c r="H396" t="n">
        <v>0</v>
      </c>
      <c r="I396" t="n">
        <v>0</v>
      </c>
      <c r="J396" t="n">
        <v>0</v>
      </c>
      <c r="K396" t="n">
        <v>0</v>
      </c>
      <c r="L396" t="n">
        <v>0</v>
      </c>
      <c r="M396" t="n">
        <v>0</v>
      </c>
      <c r="N396" t="n">
        <v>0</v>
      </c>
      <c r="O396" t="n">
        <v>0</v>
      </c>
      <c r="P396" t="n">
        <v>0</v>
      </c>
      <c r="Q396" t="n">
        <v>0</v>
      </c>
      <c r="R396" s="2" t="inlineStr"/>
    </row>
    <row r="397" ht="15" customHeight="1">
      <c r="A397" t="inlineStr">
        <is>
          <t>A 56466-2020</t>
        </is>
      </c>
      <c r="B397" s="1" t="n">
        <v>44134</v>
      </c>
      <c r="C397" s="1" t="n">
        <v>45645</v>
      </c>
      <c r="D397" t="inlineStr">
        <is>
          <t>UPPSALA LÄN</t>
        </is>
      </c>
      <c r="E397" t="inlineStr">
        <is>
          <t>UPPSALA</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57041-2020</t>
        </is>
      </c>
      <c r="B398" s="1" t="n">
        <v>44137</v>
      </c>
      <c r="C398" s="1" t="n">
        <v>45645</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57271-2020</t>
        </is>
      </c>
      <c r="B399" s="1" t="n">
        <v>44139</v>
      </c>
      <c r="C399" s="1" t="n">
        <v>45645</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57451-2020</t>
        </is>
      </c>
      <c r="B400" s="1" t="n">
        <v>44139</v>
      </c>
      <c r="C400" s="1" t="n">
        <v>45645</v>
      </c>
      <c r="D400" t="inlineStr">
        <is>
          <t>UPPSALA LÄN</t>
        </is>
      </c>
      <c r="E400" t="inlineStr">
        <is>
          <t>UPPSALA</t>
        </is>
      </c>
      <c r="G400" t="n">
        <v>1.5</v>
      </c>
      <c r="H400" t="n">
        <v>0</v>
      </c>
      <c r="I400" t="n">
        <v>0</v>
      </c>
      <c r="J400" t="n">
        <v>0</v>
      </c>
      <c r="K400" t="n">
        <v>0</v>
      </c>
      <c r="L400" t="n">
        <v>0</v>
      </c>
      <c r="M400" t="n">
        <v>0</v>
      </c>
      <c r="N400" t="n">
        <v>0</v>
      </c>
      <c r="O400" t="n">
        <v>0</v>
      </c>
      <c r="P400" t="n">
        <v>0</v>
      </c>
      <c r="Q400" t="n">
        <v>0</v>
      </c>
      <c r="R400" s="2" t="inlineStr"/>
    </row>
    <row r="401" ht="15" customHeight="1">
      <c r="A401" t="inlineStr">
        <is>
          <t>A 57466-2020</t>
        </is>
      </c>
      <c r="B401" s="1" t="n">
        <v>44139</v>
      </c>
      <c r="C401" s="1" t="n">
        <v>45645</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58070-2020</t>
        </is>
      </c>
      <c r="B402" s="1" t="n">
        <v>44140</v>
      </c>
      <c r="C402" s="1" t="n">
        <v>45645</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58058-2020</t>
        </is>
      </c>
      <c r="B403" s="1" t="n">
        <v>44144</v>
      </c>
      <c r="C403" s="1" t="n">
        <v>45645</v>
      </c>
      <c r="D403" t="inlineStr">
        <is>
          <t>UPPSALA LÄN</t>
        </is>
      </c>
      <c r="E403" t="inlineStr">
        <is>
          <t>UPPSALA</t>
        </is>
      </c>
      <c r="G403" t="n">
        <v>4.4</v>
      </c>
      <c r="H403" t="n">
        <v>0</v>
      </c>
      <c r="I403" t="n">
        <v>0</v>
      </c>
      <c r="J403" t="n">
        <v>0</v>
      </c>
      <c r="K403" t="n">
        <v>0</v>
      </c>
      <c r="L403" t="n">
        <v>0</v>
      </c>
      <c r="M403" t="n">
        <v>0</v>
      </c>
      <c r="N403" t="n">
        <v>0</v>
      </c>
      <c r="O403" t="n">
        <v>0</v>
      </c>
      <c r="P403" t="n">
        <v>0</v>
      </c>
      <c r="Q403" t="n">
        <v>0</v>
      </c>
      <c r="R403" s="2" t="inlineStr"/>
    </row>
    <row r="404" ht="15" customHeight="1">
      <c r="A404" t="inlineStr">
        <is>
          <t>A 58056-2020</t>
        </is>
      </c>
      <c r="B404" s="1" t="n">
        <v>44144</v>
      </c>
      <c r="C404" s="1" t="n">
        <v>45645</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58288-2020</t>
        </is>
      </c>
      <c r="B405" s="1" t="n">
        <v>44144</v>
      </c>
      <c r="C405" s="1" t="n">
        <v>45645</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58928-2020</t>
        </is>
      </c>
      <c r="B406" s="1" t="n">
        <v>44146</v>
      </c>
      <c r="C406" s="1" t="n">
        <v>45645</v>
      </c>
      <c r="D406" t="inlineStr">
        <is>
          <t>UPPSALA LÄN</t>
        </is>
      </c>
      <c r="E406" t="inlineStr">
        <is>
          <t>UPPSALA</t>
        </is>
      </c>
      <c r="G406" t="n">
        <v>10.6</v>
      </c>
      <c r="H406" t="n">
        <v>0</v>
      </c>
      <c r="I406" t="n">
        <v>0</v>
      </c>
      <c r="J406" t="n">
        <v>0</v>
      </c>
      <c r="K406" t="n">
        <v>0</v>
      </c>
      <c r="L406" t="n">
        <v>0</v>
      </c>
      <c r="M406" t="n">
        <v>0</v>
      </c>
      <c r="N406" t="n">
        <v>0</v>
      </c>
      <c r="O406" t="n">
        <v>0</v>
      </c>
      <c r="P406" t="n">
        <v>0</v>
      </c>
      <c r="Q406" t="n">
        <v>0</v>
      </c>
      <c r="R406" s="2" t="inlineStr"/>
    </row>
    <row r="407" ht="15" customHeight="1">
      <c r="A407" t="inlineStr">
        <is>
          <t>A 59952-2020</t>
        </is>
      </c>
      <c r="B407" s="1" t="n">
        <v>44151</v>
      </c>
      <c r="C407" s="1" t="n">
        <v>45645</v>
      </c>
      <c r="D407" t="inlineStr">
        <is>
          <t>UPPSALA LÄN</t>
        </is>
      </c>
      <c r="E407" t="inlineStr">
        <is>
          <t>UPPSALA</t>
        </is>
      </c>
      <c r="G407" t="n">
        <v>25.8</v>
      </c>
      <c r="H407" t="n">
        <v>0</v>
      </c>
      <c r="I407" t="n">
        <v>0</v>
      </c>
      <c r="J407" t="n">
        <v>0</v>
      </c>
      <c r="K407" t="n">
        <v>0</v>
      </c>
      <c r="L407" t="n">
        <v>0</v>
      </c>
      <c r="M407" t="n">
        <v>0</v>
      </c>
      <c r="N407" t="n">
        <v>0</v>
      </c>
      <c r="O407" t="n">
        <v>0</v>
      </c>
      <c r="P407" t="n">
        <v>0</v>
      </c>
      <c r="Q407" t="n">
        <v>0</v>
      </c>
      <c r="R407" s="2" t="inlineStr"/>
    </row>
    <row r="408" ht="15" customHeight="1">
      <c r="A408" t="inlineStr">
        <is>
          <t>A 60702-2020</t>
        </is>
      </c>
      <c r="B408" s="1" t="n">
        <v>44153</v>
      </c>
      <c r="C408" s="1" t="n">
        <v>45645</v>
      </c>
      <c r="D408" t="inlineStr">
        <is>
          <t>UPPSALA LÄN</t>
        </is>
      </c>
      <c r="E408" t="inlineStr">
        <is>
          <t>UPPSALA</t>
        </is>
      </c>
      <c r="F408" t="inlineStr">
        <is>
          <t>Övriga statliga verk och myndigheter</t>
        </is>
      </c>
      <c r="G408" t="n">
        <v>1.4</v>
      </c>
      <c r="H408" t="n">
        <v>0</v>
      </c>
      <c r="I408" t="n">
        <v>0</v>
      </c>
      <c r="J408" t="n">
        <v>0</v>
      </c>
      <c r="K408" t="n">
        <v>0</v>
      </c>
      <c r="L408" t="n">
        <v>0</v>
      </c>
      <c r="M408" t="n">
        <v>0</v>
      </c>
      <c r="N408" t="n">
        <v>0</v>
      </c>
      <c r="O408" t="n">
        <v>0</v>
      </c>
      <c r="P408" t="n">
        <v>0</v>
      </c>
      <c r="Q408" t="n">
        <v>0</v>
      </c>
      <c r="R408" s="2" t="inlineStr"/>
    </row>
    <row r="409" ht="15" customHeight="1">
      <c r="A409" t="inlineStr">
        <is>
          <t>A 61265-2020</t>
        </is>
      </c>
      <c r="B409" s="1" t="n">
        <v>44155</v>
      </c>
      <c r="C409" s="1" t="n">
        <v>45645</v>
      </c>
      <c r="D409" t="inlineStr">
        <is>
          <t>UPPSALA LÄN</t>
        </is>
      </c>
      <c r="E409" t="inlineStr">
        <is>
          <t>UPPSALA</t>
        </is>
      </c>
      <c r="G409" t="n">
        <v>4.7</v>
      </c>
      <c r="H409" t="n">
        <v>0</v>
      </c>
      <c r="I409" t="n">
        <v>0</v>
      </c>
      <c r="J409" t="n">
        <v>0</v>
      </c>
      <c r="K409" t="n">
        <v>0</v>
      </c>
      <c r="L409" t="n">
        <v>0</v>
      </c>
      <c r="M409" t="n">
        <v>0</v>
      </c>
      <c r="N409" t="n">
        <v>0</v>
      </c>
      <c r="O409" t="n">
        <v>0</v>
      </c>
      <c r="P409" t="n">
        <v>0</v>
      </c>
      <c r="Q409" t="n">
        <v>0</v>
      </c>
      <c r="R409" s="2" t="inlineStr"/>
    </row>
    <row r="410" ht="15" customHeight="1">
      <c r="A410" t="inlineStr">
        <is>
          <t>A 61271-2020</t>
        </is>
      </c>
      <c r="B410" s="1" t="n">
        <v>44155</v>
      </c>
      <c r="C410" s="1" t="n">
        <v>45645</v>
      </c>
      <c r="D410" t="inlineStr">
        <is>
          <t>UPPSALA LÄN</t>
        </is>
      </c>
      <c r="E410" t="inlineStr">
        <is>
          <t>UPPSALA</t>
        </is>
      </c>
      <c r="G410" t="n">
        <v>3.5</v>
      </c>
      <c r="H410" t="n">
        <v>0</v>
      </c>
      <c r="I410" t="n">
        <v>0</v>
      </c>
      <c r="J410" t="n">
        <v>0</v>
      </c>
      <c r="K410" t="n">
        <v>0</v>
      </c>
      <c r="L410" t="n">
        <v>0</v>
      </c>
      <c r="M410" t="n">
        <v>0</v>
      </c>
      <c r="N410" t="n">
        <v>0</v>
      </c>
      <c r="O410" t="n">
        <v>0</v>
      </c>
      <c r="P410" t="n">
        <v>0</v>
      </c>
      <c r="Q410" t="n">
        <v>0</v>
      </c>
      <c r="R410" s="2" t="inlineStr"/>
    </row>
    <row r="411" ht="15" customHeight="1">
      <c r="A411" t="inlineStr">
        <is>
          <t>A 62094-2020</t>
        </is>
      </c>
      <c r="B411" s="1" t="n">
        <v>44159</v>
      </c>
      <c r="C411" s="1" t="n">
        <v>45645</v>
      </c>
      <c r="D411" t="inlineStr">
        <is>
          <t>UPPSALA LÄN</t>
        </is>
      </c>
      <c r="E411" t="inlineStr">
        <is>
          <t>UPPSALA</t>
        </is>
      </c>
      <c r="F411" t="inlineStr">
        <is>
          <t>Bergvik skog öst AB</t>
        </is>
      </c>
      <c r="G411" t="n">
        <v>3.4</v>
      </c>
      <c r="H411" t="n">
        <v>0</v>
      </c>
      <c r="I411" t="n">
        <v>0</v>
      </c>
      <c r="J411" t="n">
        <v>0</v>
      </c>
      <c r="K411" t="n">
        <v>0</v>
      </c>
      <c r="L411" t="n">
        <v>0</v>
      </c>
      <c r="M411" t="n">
        <v>0</v>
      </c>
      <c r="N411" t="n">
        <v>0</v>
      </c>
      <c r="O411" t="n">
        <v>0</v>
      </c>
      <c r="P411" t="n">
        <v>0</v>
      </c>
      <c r="Q411" t="n">
        <v>0</v>
      </c>
      <c r="R411" s="2" t="inlineStr"/>
    </row>
    <row r="412" ht="15" customHeight="1">
      <c r="A412" t="inlineStr">
        <is>
          <t>A 62352-2020</t>
        </is>
      </c>
      <c r="B412" s="1" t="n">
        <v>44159</v>
      </c>
      <c r="C412" s="1" t="n">
        <v>45645</v>
      </c>
      <c r="D412" t="inlineStr">
        <is>
          <t>UPPSALA LÄN</t>
        </is>
      </c>
      <c r="E412" t="inlineStr">
        <is>
          <t>UPPSALA</t>
        </is>
      </c>
      <c r="F412" t="inlineStr">
        <is>
          <t>Allmännings- och besparingsskogar</t>
        </is>
      </c>
      <c r="G412" t="n">
        <v>12.9</v>
      </c>
      <c r="H412" t="n">
        <v>0</v>
      </c>
      <c r="I412" t="n">
        <v>0</v>
      </c>
      <c r="J412" t="n">
        <v>0</v>
      </c>
      <c r="K412" t="n">
        <v>0</v>
      </c>
      <c r="L412" t="n">
        <v>0</v>
      </c>
      <c r="M412" t="n">
        <v>0</v>
      </c>
      <c r="N412" t="n">
        <v>0</v>
      </c>
      <c r="O412" t="n">
        <v>0</v>
      </c>
      <c r="P412" t="n">
        <v>0</v>
      </c>
      <c r="Q412" t="n">
        <v>0</v>
      </c>
      <c r="R412" s="2" t="inlineStr"/>
    </row>
    <row r="413" ht="15" customHeight="1">
      <c r="A413" t="inlineStr">
        <is>
          <t>A 62504-2020</t>
        </is>
      </c>
      <c r="B413" s="1" t="n">
        <v>44160</v>
      </c>
      <c r="C413" s="1" t="n">
        <v>45645</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62729-2020</t>
        </is>
      </c>
      <c r="B414" s="1" t="n">
        <v>44161</v>
      </c>
      <c r="C414" s="1" t="n">
        <v>45645</v>
      </c>
      <c r="D414" t="inlineStr">
        <is>
          <t>UPPSALA LÄN</t>
        </is>
      </c>
      <c r="E414" t="inlineStr">
        <is>
          <t>UPPSALA</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62655-2020</t>
        </is>
      </c>
      <c r="B415" s="1" t="n">
        <v>44161</v>
      </c>
      <c r="C415" s="1" t="n">
        <v>45645</v>
      </c>
      <c r="D415" t="inlineStr">
        <is>
          <t>UPPSALA LÄN</t>
        </is>
      </c>
      <c r="E415" t="inlineStr">
        <is>
          <t>UPPSALA</t>
        </is>
      </c>
      <c r="F415" t="inlineStr">
        <is>
          <t>Holmen skog AB</t>
        </is>
      </c>
      <c r="G415" t="n">
        <v>2.7</v>
      </c>
      <c r="H415" t="n">
        <v>0</v>
      </c>
      <c r="I415" t="n">
        <v>0</v>
      </c>
      <c r="J415" t="n">
        <v>0</v>
      </c>
      <c r="K415" t="n">
        <v>0</v>
      </c>
      <c r="L415" t="n">
        <v>0</v>
      </c>
      <c r="M415" t="n">
        <v>0</v>
      </c>
      <c r="N415" t="n">
        <v>0</v>
      </c>
      <c r="O415" t="n">
        <v>0</v>
      </c>
      <c r="P415" t="n">
        <v>0</v>
      </c>
      <c r="Q415" t="n">
        <v>0</v>
      </c>
      <c r="R415" s="2" t="inlineStr"/>
    </row>
    <row r="416" ht="15" customHeight="1">
      <c r="A416" t="inlineStr">
        <is>
          <t>A 63145-2020</t>
        </is>
      </c>
      <c r="B416" s="1" t="n">
        <v>44162</v>
      </c>
      <c r="C416" s="1" t="n">
        <v>45645</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63529-2020</t>
        </is>
      </c>
      <c r="B417" s="1" t="n">
        <v>44165</v>
      </c>
      <c r="C417" s="1" t="n">
        <v>45645</v>
      </c>
      <c r="D417" t="inlineStr">
        <is>
          <t>UPPSALA LÄN</t>
        </is>
      </c>
      <c r="E417" t="inlineStr">
        <is>
          <t>UPPSALA</t>
        </is>
      </c>
      <c r="F417" t="inlineStr">
        <is>
          <t>Övriga statliga verk och myndigheter</t>
        </is>
      </c>
      <c r="G417" t="n">
        <v>2.4</v>
      </c>
      <c r="H417" t="n">
        <v>0</v>
      </c>
      <c r="I417" t="n">
        <v>0</v>
      </c>
      <c r="J417" t="n">
        <v>0</v>
      </c>
      <c r="K417" t="n">
        <v>0</v>
      </c>
      <c r="L417" t="n">
        <v>0</v>
      </c>
      <c r="M417" t="n">
        <v>0</v>
      </c>
      <c r="N417" t="n">
        <v>0</v>
      </c>
      <c r="O417" t="n">
        <v>0</v>
      </c>
      <c r="P417" t="n">
        <v>0</v>
      </c>
      <c r="Q417" t="n">
        <v>0</v>
      </c>
      <c r="R417" s="2" t="inlineStr"/>
    </row>
    <row r="418" ht="15" customHeight="1">
      <c r="A418" t="inlineStr">
        <is>
          <t>A 63749-2020</t>
        </is>
      </c>
      <c r="B418" s="1" t="n">
        <v>44166</v>
      </c>
      <c r="C418" s="1" t="n">
        <v>45645</v>
      </c>
      <c r="D418" t="inlineStr">
        <is>
          <t>UPPSALA LÄN</t>
        </is>
      </c>
      <c r="E418" t="inlineStr">
        <is>
          <t>UPPSALA</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64128-2020</t>
        </is>
      </c>
      <c r="B419" s="1" t="n">
        <v>44167</v>
      </c>
      <c r="C419" s="1" t="n">
        <v>45645</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64353-2020</t>
        </is>
      </c>
      <c r="B420" s="1" t="n">
        <v>44168</v>
      </c>
      <c r="C420" s="1" t="n">
        <v>45645</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64333-2020</t>
        </is>
      </c>
      <c r="B421" s="1" t="n">
        <v>44168</v>
      </c>
      <c r="C421" s="1" t="n">
        <v>45645</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66984-2020</t>
        </is>
      </c>
      <c r="B422" s="1" t="n">
        <v>44180</v>
      </c>
      <c r="C422" s="1" t="n">
        <v>45645</v>
      </c>
      <c r="D422" t="inlineStr">
        <is>
          <t>UPPSALA LÄN</t>
        </is>
      </c>
      <c r="E422" t="inlineStr">
        <is>
          <t>UPPSALA</t>
        </is>
      </c>
      <c r="F422" t="inlineStr">
        <is>
          <t>Övriga statliga verk och myndigheter</t>
        </is>
      </c>
      <c r="G422" t="n">
        <v>2.1</v>
      </c>
      <c r="H422" t="n">
        <v>0</v>
      </c>
      <c r="I422" t="n">
        <v>0</v>
      </c>
      <c r="J422" t="n">
        <v>0</v>
      </c>
      <c r="K422" t="n">
        <v>0</v>
      </c>
      <c r="L422" t="n">
        <v>0</v>
      </c>
      <c r="M422" t="n">
        <v>0</v>
      </c>
      <c r="N422" t="n">
        <v>0</v>
      </c>
      <c r="O422" t="n">
        <v>0</v>
      </c>
      <c r="P422" t="n">
        <v>0</v>
      </c>
      <c r="Q422" t="n">
        <v>0</v>
      </c>
      <c r="R422" s="2" t="inlineStr"/>
    </row>
    <row r="423" ht="15" customHeight="1">
      <c r="A423" t="inlineStr">
        <is>
          <t>A 265-2021</t>
        </is>
      </c>
      <c r="B423" s="1" t="n">
        <v>44200</v>
      </c>
      <c r="C423" s="1" t="n">
        <v>45645</v>
      </c>
      <c r="D423" t="inlineStr">
        <is>
          <t>UPPSALA LÄN</t>
        </is>
      </c>
      <c r="E423" t="inlineStr">
        <is>
          <t>UPPSALA</t>
        </is>
      </c>
      <c r="G423" t="n">
        <v>3.1</v>
      </c>
      <c r="H423" t="n">
        <v>0</v>
      </c>
      <c r="I423" t="n">
        <v>0</v>
      </c>
      <c r="J423" t="n">
        <v>0</v>
      </c>
      <c r="K423" t="n">
        <v>0</v>
      </c>
      <c r="L423" t="n">
        <v>0</v>
      </c>
      <c r="M423" t="n">
        <v>0</v>
      </c>
      <c r="N423" t="n">
        <v>0</v>
      </c>
      <c r="O423" t="n">
        <v>0</v>
      </c>
      <c r="P423" t="n">
        <v>0</v>
      </c>
      <c r="Q423" t="n">
        <v>0</v>
      </c>
      <c r="R423" s="2" t="inlineStr"/>
    </row>
    <row r="424" ht="15" customHeight="1">
      <c r="A424" t="inlineStr">
        <is>
          <t>A 1020-2021</t>
        </is>
      </c>
      <c r="B424" s="1" t="n">
        <v>44207</v>
      </c>
      <c r="C424" s="1" t="n">
        <v>45645</v>
      </c>
      <c r="D424" t="inlineStr">
        <is>
          <t>UPPSALA LÄN</t>
        </is>
      </c>
      <c r="E424" t="inlineStr">
        <is>
          <t>UPPSALA</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45645</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1617-2021</t>
        </is>
      </c>
      <c r="B426" s="1" t="n">
        <v>44209</v>
      </c>
      <c r="C426" s="1" t="n">
        <v>45645</v>
      </c>
      <c r="D426" t="inlineStr">
        <is>
          <t>UPPSALA LÄN</t>
        </is>
      </c>
      <c r="E426" t="inlineStr">
        <is>
          <t>UPPSALA</t>
        </is>
      </c>
      <c r="G426" t="n">
        <v>2.5</v>
      </c>
      <c r="H426" t="n">
        <v>0</v>
      </c>
      <c r="I426" t="n">
        <v>0</v>
      </c>
      <c r="J426" t="n">
        <v>0</v>
      </c>
      <c r="K426" t="n">
        <v>0</v>
      </c>
      <c r="L426" t="n">
        <v>0</v>
      </c>
      <c r="M426" t="n">
        <v>0</v>
      </c>
      <c r="N426" t="n">
        <v>0</v>
      </c>
      <c r="O426" t="n">
        <v>0</v>
      </c>
      <c r="P426" t="n">
        <v>0</v>
      </c>
      <c r="Q426" t="n">
        <v>0</v>
      </c>
      <c r="R426" s="2" t="inlineStr"/>
    </row>
    <row r="427" ht="15" customHeight="1">
      <c r="A427" t="inlineStr">
        <is>
          <t>A 1855-2021</t>
        </is>
      </c>
      <c r="B427" s="1" t="n">
        <v>44210</v>
      </c>
      <c r="C427" s="1" t="n">
        <v>45645</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2169-2021</t>
        </is>
      </c>
      <c r="B428" s="1" t="n">
        <v>44211</v>
      </c>
      <c r="C428" s="1" t="n">
        <v>45645</v>
      </c>
      <c r="D428" t="inlineStr">
        <is>
          <t>UPPSALA LÄN</t>
        </is>
      </c>
      <c r="E428" t="inlineStr">
        <is>
          <t>UPPSALA</t>
        </is>
      </c>
      <c r="G428" t="n">
        <v>0.7</v>
      </c>
      <c r="H428" t="n">
        <v>0</v>
      </c>
      <c r="I428" t="n">
        <v>0</v>
      </c>
      <c r="J428" t="n">
        <v>0</v>
      </c>
      <c r="K428" t="n">
        <v>0</v>
      </c>
      <c r="L428" t="n">
        <v>0</v>
      </c>
      <c r="M428" t="n">
        <v>0</v>
      </c>
      <c r="N428" t="n">
        <v>0</v>
      </c>
      <c r="O428" t="n">
        <v>0</v>
      </c>
      <c r="P428" t="n">
        <v>0</v>
      </c>
      <c r="Q428" t="n">
        <v>0</v>
      </c>
      <c r="R428" s="2" t="inlineStr"/>
    </row>
    <row r="429" ht="15" customHeight="1">
      <c r="A429" t="inlineStr">
        <is>
          <t>A 3864-2021</t>
        </is>
      </c>
      <c r="B429" s="1" t="n">
        <v>44216</v>
      </c>
      <c r="C429" s="1" t="n">
        <v>45645</v>
      </c>
      <c r="D429" t="inlineStr">
        <is>
          <t>UPPSALA LÄN</t>
        </is>
      </c>
      <c r="E429" t="inlineStr">
        <is>
          <t>UPPSALA</t>
        </is>
      </c>
      <c r="G429" t="n">
        <v>2.9</v>
      </c>
      <c r="H429" t="n">
        <v>0</v>
      </c>
      <c r="I429" t="n">
        <v>0</v>
      </c>
      <c r="J429" t="n">
        <v>0</v>
      </c>
      <c r="K429" t="n">
        <v>0</v>
      </c>
      <c r="L429" t="n">
        <v>0</v>
      </c>
      <c r="M429" t="n">
        <v>0</v>
      </c>
      <c r="N429" t="n">
        <v>0</v>
      </c>
      <c r="O429" t="n">
        <v>0</v>
      </c>
      <c r="P429" t="n">
        <v>0</v>
      </c>
      <c r="Q429" t="n">
        <v>0</v>
      </c>
      <c r="R429" s="2" t="inlineStr"/>
    </row>
    <row r="430" ht="15" customHeight="1">
      <c r="A430" t="inlineStr">
        <is>
          <t>A 3874-2021</t>
        </is>
      </c>
      <c r="B430" s="1" t="n">
        <v>44216</v>
      </c>
      <c r="C430" s="1" t="n">
        <v>45645</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3955-2021</t>
        </is>
      </c>
      <c r="B431" s="1" t="n">
        <v>44222</v>
      </c>
      <c r="C431" s="1" t="n">
        <v>45645</v>
      </c>
      <c r="D431" t="inlineStr">
        <is>
          <t>UPPSALA LÄN</t>
        </is>
      </c>
      <c r="E431" t="inlineStr">
        <is>
          <t>UPPSALA</t>
        </is>
      </c>
      <c r="G431" t="n">
        <v>2.3</v>
      </c>
      <c r="H431" t="n">
        <v>0</v>
      </c>
      <c r="I431" t="n">
        <v>0</v>
      </c>
      <c r="J431" t="n">
        <v>0</v>
      </c>
      <c r="K431" t="n">
        <v>0</v>
      </c>
      <c r="L431" t="n">
        <v>0</v>
      </c>
      <c r="M431" t="n">
        <v>0</v>
      </c>
      <c r="N431" t="n">
        <v>0</v>
      </c>
      <c r="O431" t="n">
        <v>0</v>
      </c>
      <c r="P431" t="n">
        <v>0</v>
      </c>
      <c r="Q431" t="n">
        <v>0</v>
      </c>
      <c r="R431" s="2" t="inlineStr"/>
    </row>
    <row r="432" ht="15" customHeight="1">
      <c r="A432" t="inlineStr">
        <is>
          <t>A 4875-2021</t>
        </is>
      </c>
      <c r="B432" s="1" t="n">
        <v>44223</v>
      </c>
      <c r="C432" s="1" t="n">
        <v>45645</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5663-2021</t>
        </is>
      </c>
      <c r="B433" s="1" t="n">
        <v>44230</v>
      </c>
      <c r="C433" s="1" t="n">
        <v>45645</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8114-2021</t>
        </is>
      </c>
      <c r="B434" s="1" t="n">
        <v>44243</v>
      </c>
      <c r="C434" s="1" t="n">
        <v>45645</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8494-2021</t>
        </is>
      </c>
      <c r="B435" s="1" t="n">
        <v>44245</v>
      </c>
      <c r="C435" s="1" t="n">
        <v>45645</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9700-2021</t>
        </is>
      </c>
      <c r="B436" s="1" t="n">
        <v>44252</v>
      </c>
      <c r="C436" s="1" t="n">
        <v>45645</v>
      </c>
      <c r="D436" t="inlineStr">
        <is>
          <t>UPPSALA LÄN</t>
        </is>
      </c>
      <c r="E436" t="inlineStr">
        <is>
          <t>UPPSALA</t>
        </is>
      </c>
      <c r="G436" t="n">
        <v>3.3</v>
      </c>
      <c r="H436" t="n">
        <v>0</v>
      </c>
      <c r="I436" t="n">
        <v>0</v>
      </c>
      <c r="J436" t="n">
        <v>0</v>
      </c>
      <c r="K436" t="n">
        <v>0</v>
      </c>
      <c r="L436" t="n">
        <v>0</v>
      </c>
      <c r="M436" t="n">
        <v>0</v>
      </c>
      <c r="N436" t="n">
        <v>0</v>
      </c>
      <c r="O436" t="n">
        <v>0</v>
      </c>
      <c r="P436" t="n">
        <v>0</v>
      </c>
      <c r="Q436" t="n">
        <v>0</v>
      </c>
      <c r="R436" s="2" t="inlineStr"/>
    </row>
    <row r="437" ht="15" customHeight="1">
      <c r="A437" t="inlineStr">
        <is>
          <t>A 9712-2021</t>
        </is>
      </c>
      <c r="B437" s="1" t="n">
        <v>44252</v>
      </c>
      <c r="C437" s="1" t="n">
        <v>45645</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12225-2021</t>
        </is>
      </c>
      <c r="B438" s="1" t="n">
        <v>44266</v>
      </c>
      <c r="C438" s="1" t="n">
        <v>45645</v>
      </c>
      <c r="D438" t="inlineStr">
        <is>
          <t>UPPSALA LÄN</t>
        </is>
      </c>
      <c r="E438" t="inlineStr">
        <is>
          <t>UPPSALA</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12152-2021</t>
        </is>
      </c>
      <c r="B439" s="1" t="n">
        <v>44266</v>
      </c>
      <c r="C439" s="1" t="n">
        <v>45645</v>
      </c>
      <c r="D439" t="inlineStr">
        <is>
          <t>UPPSALA LÄN</t>
        </is>
      </c>
      <c r="E439" t="inlineStr">
        <is>
          <t>UPPSALA</t>
        </is>
      </c>
      <c r="F439" t="inlineStr">
        <is>
          <t>Bergvik skog öst AB</t>
        </is>
      </c>
      <c r="G439" t="n">
        <v>0.4</v>
      </c>
      <c r="H439" t="n">
        <v>0</v>
      </c>
      <c r="I439" t="n">
        <v>0</v>
      </c>
      <c r="J439" t="n">
        <v>0</v>
      </c>
      <c r="K439" t="n">
        <v>0</v>
      </c>
      <c r="L439" t="n">
        <v>0</v>
      </c>
      <c r="M439" t="n">
        <v>0</v>
      </c>
      <c r="N439" t="n">
        <v>0</v>
      </c>
      <c r="O439" t="n">
        <v>0</v>
      </c>
      <c r="P439" t="n">
        <v>0</v>
      </c>
      <c r="Q439" t="n">
        <v>0</v>
      </c>
      <c r="R439" s="2" t="inlineStr"/>
    </row>
    <row r="440" ht="15" customHeight="1">
      <c r="A440" t="inlineStr">
        <is>
          <t>A 12172-2021</t>
        </is>
      </c>
      <c r="B440" s="1" t="n">
        <v>44266</v>
      </c>
      <c r="C440" s="1" t="n">
        <v>45645</v>
      </c>
      <c r="D440" t="inlineStr">
        <is>
          <t>UPPSALA LÄN</t>
        </is>
      </c>
      <c r="E440" t="inlineStr">
        <is>
          <t>UPPSALA</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12194-2021</t>
        </is>
      </c>
      <c r="B441" s="1" t="n">
        <v>44266</v>
      </c>
      <c r="C441" s="1" t="n">
        <v>45645</v>
      </c>
      <c r="D441" t="inlineStr">
        <is>
          <t>UPPSALA LÄN</t>
        </is>
      </c>
      <c r="E441" t="inlineStr">
        <is>
          <t>UPPSALA</t>
        </is>
      </c>
      <c r="F441" t="inlineStr">
        <is>
          <t>Bergvik skog öst AB</t>
        </is>
      </c>
      <c r="G441" t="n">
        <v>2.1</v>
      </c>
      <c r="H441" t="n">
        <v>0</v>
      </c>
      <c r="I441" t="n">
        <v>0</v>
      </c>
      <c r="J441" t="n">
        <v>0</v>
      </c>
      <c r="K441" t="n">
        <v>0</v>
      </c>
      <c r="L441" t="n">
        <v>0</v>
      </c>
      <c r="M441" t="n">
        <v>0</v>
      </c>
      <c r="N441" t="n">
        <v>0</v>
      </c>
      <c r="O441" t="n">
        <v>0</v>
      </c>
      <c r="P441" t="n">
        <v>0</v>
      </c>
      <c r="Q441" t="n">
        <v>0</v>
      </c>
      <c r="R441" s="2" t="inlineStr"/>
    </row>
    <row r="442" ht="15" customHeight="1">
      <c r="A442" t="inlineStr">
        <is>
          <t>A 12313-2021</t>
        </is>
      </c>
      <c r="B442" s="1" t="n">
        <v>44266</v>
      </c>
      <c r="C442" s="1" t="n">
        <v>45645</v>
      </c>
      <c r="D442" t="inlineStr">
        <is>
          <t>UPPSALA LÄN</t>
        </is>
      </c>
      <c r="E442" t="inlineStr">
        <is>
          <t>UPPSALA</t>
        </is>
      </c>
      <c r="G442" t="n">
        <v>23.6</v>
      </c>
      <c r="H442" t="n">
        <v>0</v>
      </c>
      <c r="I442" t="n">
        <v>0</v>
      </c>
      <c r="J442" t="n">
        <v>0</v>
      </c>
      <c r="K442" t="n">
        <v>0</v>
      </c>
      <c r="L442" t="n">
        <v>0</v>
      </c>
      <c r="M442" t="n">
        <v>0</v>
      </c>
      <c r="N442" t="n">
        <v>0</v>
      </c>
      <c r="O442" t="n">
        <v>0</v>
      </c>
      <c r="P442" t="n">
        <v>0</v>
      </c>
      <c r="Q442" t="n">
        <v>0</v>
      </c>
      <c r="R442" s="2" t="inlineStr"/>
    </row>
    <row r="443" ht="15" customHeight="1">
      <c r="A443" t="inlineStr">
        <is>
          <t>A 13010-2021</t>
        </is>
      </c>
      <c r="B443" s="1" t="n">
        <v>44271</v>
      </c>
      <c r="C443" s="1" t="n">
        <v>45645</v>
      </c>
      <c r="D443" t="inlineStr">
        <is>
          <t>UPPSALA LÄN</t>
        </is>
      </c>
      <c r="E443" t="inlineStr">
        <is>
          <t>UPPSALA</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13420-2021</t>
        </is>
      </c>
      <c r="B444" s="1" t="n">
        <v>44273</v>
      </c>
      <c r="C444" s="1" t="n">
        <v>45645</v>
      </c>
      <c r="D444" t="inlineStr">
        <is>
          <t>UPPSALA LÄN</t>
        </is>
      </c>
      <c r="E444" t="inlineStr">
        <is>
          <t>UPPSALA</t>
        </is>
      </c>
      <c r="G444" t="n">
        <v>1.9</v>
      </c>
      <c r="H444" t="n">
        <v>0</v>
      </c>
      <c r="I444" t="n">
        <v>0</v>
      </c>
      <c r="J444" t="n">
        <v>0</v>
      </c>
      <c r="K444" t="n">
        <v>0</v>
      </c>
      <c r="L444" t="n">
        <v>0</v>
      </c>
      <c r="M444" t="n">
        <v>0</v>
      </c>
      <c r="N444" t="n">
        <v>0</v>
      </c>
      <c r="O444" t="n">
        <v>0</v>
      </c>
      <c r="P444" t="n">
        <v>0</v>
      </c>
      <c r="Q444" t="n">
        <v>0</v>
      </c>
      <c r="R444" s="2" t="inlineStr"/>
    </row>
    <row r="445" ht="15" customHeight="1">
      <c r="A445" t="inlineStr">
        <is>
          <t>A 14026-2021</t>
        </is>
      </c>
      <c r="B445" s="1" t="n">
        <v>44277</v>
      </c>
      <c r="C445" s="1" t="n">
        <v>45645</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14022-2021</t>
        </is>
      </c>
      <c r="B446" s="1" t="n">
        <v>44277</v>
      </c>
      <c r="C446" s="1" t="n">
        <v>45645</v>
      </c>
      <c r="D446" t="inlineStr">
        <is>
          <t>UPPSALA LÄN</t>
        </is>
      </c>
      <c r="E446" t="inlineStr">
        <is>
          <t>UPPSALA</t>
        </is>
      </c>
      <c r="G446" t="n">
        <v>11.1</v>
      </c>
      <c r="H446" t="n">
        <v>0</v>
      </c>
      <c r="I446" t="n">
        <v>0</v>
      </c>
      <c r="J446" t="n">
        <v>0</v>
      </c>
      <c r="K446" t="n">
        <v>0</v>
      </c>
      <c r="L446" t="n">
        <v>0</v>
      </c>
      <c r="M446" t="n">
        <v>0</v>
      </c>
      <c r="N446" t="n">
        <v>0</v>
      </c>
      <c r="O446" t="n">
        <v>0</v>
      </c>
      <c r="P446" t="n">
        <v>0</v>
      </c>
      <c r="Q446" t="n">
        <v>0</v>
      </c>
      <c r="R446" s="2" t="inlineStr"/>
    </row>
    <row r="447" ht="15" customHeight="1">
      <c r="A447" t="inlineStr">
        <is>
          <t>A 14341-2021</t>
        </is>
      </c>
      <c r="B447" s="1" t="n">
        <v>44279</v>
      </c>
      <c r="C447" s="1" t="n">
        <v>45645</v>
      </c>
      <c r="D447" t="inlineStr">
        <is>
          <t>UPPSALA LÄN</t>
        </is>
      </c>
      <c r="E447" t="inlineStr">
        <is>
          <t>UPPSALA</t>
        </is>
      </c>
      <c r="G447" t="n">
        <v>8.9</v>
      </c>
      <c r="H447" t="n">
        <v>0</v>
      </c>
      <c r="I447" t="n">
        <v>0</v>
      </c>
      <c r="J447" t="n">
        <v>0</v>
      </c>
      <c r="K447" t="n">
        <v>0</v>
      </c>
      <c r="L447" t="n">
        <v>0</v>
      </c>
      <c r="M447" t="n">
        <v>0</v>
      </c>
      <c r="N447" t="n">
        <v>0</v>
      </c>
      <c r="O447" t="n">
        <v>0</v>
      </c>
      <c r="P447" t="n">
        <v>0</v>
      </c>
      <c r="Q447" t="n">
        <v>0</v>
      </c>
      <c r="R447" s="2" t="inlineStr"/>
    </row>
    <row r="448" ht="15" customHeight="1">
      <c r="A448" t="inlineStr">
        <is>
          <t>A 14941-2021</t>
        </is>
      </c>
      <c r="B448" s="1" t="n">
        <v>44281</v>
      </c>
      <c r="C448" s="1" t="n">
        <v>45645</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15816-2021</t>
        </is>
      </c>
      <c r="B449" s="1" t="n">
        <v>44286</v>
      </c>
      <c r="C449" s="1" t="n">
        <v>45645</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15820-2021</t>
        </is>
      </c>
      <c r="B450" s="1" t="n">
        <v>44286</v>
      </c>
      <c r="C450" s="1" t="n">
        <v>45645</v>
      </c>
      <c r="D450" t="inlineStr">
        <is>
          <t>UPPSALA LÄN</t>
        </is>
      </c>
      <c r="E450" t="inlineStr">
        <is>
          <t>UPPSALA</t>
        </is>
      </c>
      <c r="G450" t="n">
        <v>2.1</v>
      </c>
      <c r="H450" t="n">
        <v>0</v>
      </c>
      <c r="I450" t="n">
        <v>0</v>
      </c>
      <c r="J450" t="n">
        <v>0</v>
      </c>
      <c r="K450" t="n">
        <v>0</v>
      </c>
      <c r="L450" t="n">
        <v>0</v>
      </c>
      <c r="M450" t="n">
        <v>0</v>
      </c>
      <c r="N450" t="n">
        <v>0</v>
      </c>
      <c r="O450" t="n">
        <v>0</v>
      </c>
      <c r="P450" t="n">
        <v>0</v>
      </c>
      <c r="Q450" t="n">
        <v>0</v>
      </c>
      <c r="R450" s="2" t="inlineStr"/>
    </row>
    <row r="451" ht="15" customHeight="1">
      <c r="A451" t="inlineStr">
        <is>
          <t>A 16592-2021</t>
        </is>
      </c>
      <c r="B451" s="1" t="n">
        <v>44294</v>
      </c>
      <c r="C451" s="1" t="n">
        <v>45645</v>
      </c>
      <c r="D451" t="inlineStr">
        <is>
          <t>UPPSALA LÄN</t>
        </is>
      </c>
      <c r="E451" t="inlineStr">
        <is>
          <t>UPPSALA</t>
        </is>
      </c>
      <c r="F451" t="inlineStr">
        <is>
          <t>Övriga Aktiebolag</t>
        </is>
      </c>
      <c r="G451" t="n">
        <v>1.6</v>
      </c>
      <c r="H451" t="n">
        <v>0</v>
      </c>
      <c r="I451" t="n">
        <v>0</v>
      </c>
      <c r="J451" t="n">
        <v>0</v>
      </c>
      <c r="K451" t="n">
        <v>0</v>
      </c>
      <c r="L451" t="n">
        <v>0</v>
      </c>
      <c r="M451" t="n">
        <v>0</v>
      </c>
      <c r="N451" t="n">
        <v>0</v>
      </c>
      <c r="O451" t="n">
        <v>0</v>
      </c>
      <c r="P451" t="n">
        <v>0</v>
      </c>
      <c r="Q451" t="n">
        <v>0</v>
      </c>
      <c r="R451" s="2" t="inlineStr"/>
    </row>
    <row r="452" ht="15" customHeight="1">
      <c r="A452" t="inlineStr">
        <is>
          <t>A 16615-2021</t>
        </is>
      </c>
      <c r="B452" s="1" t="n">
        <v>44294</v>
      </c>
      <c r="C452" s="1" t="n">
        <v>45645</v>
      </c>
      <c r="D452" t="inlineStr">
        <is>
          <t>UPPSALA LÄN</t>
        </is>
      </c>
      <c r="E452" t="inlineStr">
        <is>
          <t>UPPSALA</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16684-2021</t>
        </is>
      </c>
      <c r="B453" s="1" t="n">
        <v>44294</v>
      </c>
      <c r="C453" s="1" t="n">
        <v>45645</v>
      </c>
      <c r="D453" t="inlineStr">
        <is>
          <t>UPPSALA LÄN</t>
        </is>
      </c>
      <c r="E453" t="inlineStr">
        <is>
          <t>UPPSALA</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17262-2021</t>
        </is>
      </c>
      <c r="B454" s="1" t="n">
        <v>44297</v>
      </c>
      <c r="C454" s="1" t="n">
        <v>45645</v>
      </c>
      <c r="D454" t="inlineStr">
        <is>
          <t>UPPSALA LÄN</t>
        </is>
      </c>
      <c r="E454" t="inlineStr">
        <is>
          <t>UPPSALA</t>
        </is>
      </c>
      <c r="F454" t="inlineStr">
        <is>
          <t>Allmännings- och besparingsskogar</t>
        </is>
      </c>
      <c r="G454" t="n">
        <v>1</v>
      </c>
      <c r="H454" t="n">
        <v>0</v>
      </c>
      <c r="I454" t="n">
        <v>0</v>
      </c>
      <c r="J454" t="n">
        <v>0</v>
      </c>
      <c r="K454" t="n">
        <v>0</v>
      </c>
      <c r="L454" t="n">
        <v>0</v>
      </c>
      <c r="M454" t="n">
        <v>0</v>
      </c>
      <c r="N454" t="n">
        <v>0</v>
      </c>
      <c r="O454" t="n">
        <v>0</v>
      </c>
      <c r="P454" t="n">
        <v>0</v>
      </c>
      <c r="Q454" t="n">
        <v>0</v>
      </c>
      <c r="R454" s="2" t="inlineStr"/>
    </row>
    <row r="455" ht="15" customHeight="1">
      <c r="A455" t="inlineStr">
        <is>
          <t>A 17250-2021</t>
        </is>
      </c>
      <c r="B455" s="1" t="n">
        <v>44297</v>
      </c>
      <c r="C455" s="1" t="n">
        <v>45645</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17536-2021</t>
        </is>
      </c>
      <c r="B456" s="1" t="n">
        <v>44299</v>
      </c>
      <c r="C456" s="1" t="n">
        <v>45645</v>
      </c>
      <c r="D456" t="inlineStr">
        <is>
          <t>UPPSALA LÄN</t>
        </is>
      </c>
      <c r="E456" t="inlineStr">
        <is>
          <t>UPPSALA</t>
        </is>
      </c>
      <c r="F456" t="inlineStr">
        <is>
          <t>Holmen skog AB</t>
        </is>
      </c>
      <c r="G456" t="n">
        <v>7.6</v>
      </c>
      <c r="H456" t="n">
        <v>0</v>
      </c>
      <c r="I456" t="n">
        <v>0</v>
      </c>
      <c r="J456" t="n">
        <v>0</v>
      </c>
      <c r="K456" t="n">
        <v>0</v>
      </c>
      <c r="L456" t="n">
        <v>0</v>
      </c>
      <c r="M456" t="n">
        <v>0</v>
      </c>
      <c r="N456" t="n">
        <v>0</v>
      </c>
      <c r="O456" t="n">
        <v>0</v>
      </c>
      <c r="P456" t="n">
        <v>0</v>
      </c>
      <c r="Q456" t="n">
        <v>0</v>
      </c>
      <c r="R456" s="2" t="inlineStr"/>
    </row>
    <row r="457" ht="15" customHeight="1">
      <c r="A457" t="inlineStr">
        <is>
          <t>A 18906-2021</t>
        </is>
      </c>
      <c r="B457" s="1" t="n">
        <v>44308</v>
      </c>
      <c r="C457" s="1" t="n">
        <v>45645</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19927-2021</t>
        </is>
      </c>
      <c r="B458" s="1" t="n">
        <v>44313</v>
      </c>
      <c r="C458" s="1" t="n">
        <v>45645</v>
      </c>
      <c r="D458" t="inlineStr">
        <is>
          <t>UPPSALA LÄN</t>
        </is>
      </c>
      <c r="E458" t="inlineStr">
        <is>
          <t>UPPSALA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19947-2021</t>
        </is>
      </c>
      <c r="B459" s="1" t="n">
        <v>44313</v>
      </c>
      <c r="C459" s="1" t="n">
        <v>45645</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20276-2021</t>
        </is>
      </c>
      <c r="B460" s="1" t="n">
        <v>44314</v>
      </c>
      <c r="C460" s="1" t="n">
        <v>45645</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20271-2021</t>
        </is>
      </c>
      <c r="B461" s="1" t="n">
        <v>44314</v>
      </c>
      <c r="C461" s="1" t="n">
        <v>45645</v>
      </c>
      <c r="D461" t="inlineStr">
        <is>
          <t>UPPSALA LÄN</t>
        </is>
      </c>
      <c r="E461" t="inlineStr">
        <is>
          <t>UPPSALA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20609-2021</t>
        </is>
      </c>
      <c r="B462" s="1" t="n">
        <v>44316</v>
      </c>
      <c r="C462" s="1" t="n">
        <v>45645</v>
      </c>
      <c r="D462" t="inlineStr">
        <is>
          <t>UPPSALA LÄN</t>
        </is>
      </c>
      <c r="E462" t="inlineStr">
        <is>
          <t>UPPSALA</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22070-2021</t>
        </is>
      </c>
      <c r="B463" s="1" t="n">
        <v>44323</v>
      </c>
      <c r="C463" s="1" t="n">
        <v>45645</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22946-2021</t>
        </is>
      </c>
      <c r="B464" s="1" t="n">
        <v>44328</v>
      </c>
      <c r="C464" s="1" t="n">
        <v>45645</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23877-2021</t>
        </is>
      </c>
      <c r="B465" s="1" t="n">
        <v>44335</v>
      </c>
      <c r="C465" s="1" t="n">
        <v>45645</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25613-2021</t>
        </is>
      </c>
      <c r="B466" s="1" t="n">
        <v>44343</v>
      </c>
      <c r="C466" s="1" t="n">
        <v>45645</v>
      </c>
      <c r="D466" t="inlineStr">
        <is>
          <t>UPPSALA LÄN</t>
        </is>
      </c>
      <c r="E466" t="inlineStr">
        <is>
          <t>UPPSALA</t>
        </is>
      </c>
      <c r="G466" t="n">
        <v>2.1</v>
      </c>
      <c r="H466" t="n">
        <v>0</v>
      </c>
      <c r="I466" t="n">
        <v>0</v>
      </c>
      <c r="J466" t="n">
        <v>0</v>
      </c>
      <c r="K466" t="n">
        <v>0</v>
      </c>
      <c r="L466" t="n">
        <v>0</v>
      </c>
      <c r="M466" t="n">
        <v>0</v>
      </c>
      <c r="N466" t="n">
        <v>0</v>
      </c>
      <c r="O466" t="n">
        <v>0</v>
      </c>
      <c r="P466" t="n">
        <v>0</v>
      </c>
      <c r="Q466" t="n">
        <v>0</v>
      </c>
      <c r="R466" s="2" t="inlineStr"/>
    </row>
    <row r="467" ht="15" customHeight="1">
      <c r="A467" t="inlineStr">
        <is>
          <t>A 26785-2021</t>
        </is>
      </c>
      <c r="B467" s="1" t="n">
        <v>44349</v>
      </c>
      <c r="C467" s="1" t="n">
        <v>45645</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27365-2021</t>
        </is>
      </c>
      <c r="B468" s="1" t="n">
        <v>44351</v>
      </c>
      <c r="C468" s="1" t="n">
        <v>45645</v>
      </c>
      <c r="D468" t="inlineStr">
        <is>
          <t>UPPSALA LÄN</t>
        </is>
      </c>
      <c r="E468" t="inlineStr">
        <is>
          <t>UPPSALA</t>
        </is>
      </c>
      <c r="F468" t="inlineStr">
        <is>
          <t>Allmännings- och besparingsskogar</t>
        </is>
      </c>
      <c r="G468" t="n">
        <v>20.5</v>
      </c>
      <c r="H468" t="n">
        <v>0</v>
      </c>
      <c r="I468" t="n">
        <v>0</v>
      </c>
      <c r="J468" t="n">
        <v>0</v>
      </c>
      <c r="K468" t="n">
        <v>0</v>
      </c>
      <c r="L468" t="n">
        <v>0</v>
      </c>
      <c r="M468" t="n">
        <v>0</v>
      </c>
      <c r="N468" t="n">
        <v>0</v>
      </c>
      <c r="O468" t="n">
        <v>0</v>
      </c>
      <c r="P468" t="n">
        <v>0</v>
      </c>
      <c r="Q468" t="n">
        <v>0</v>
      </c>
      <c r="R468" s="2" t="inlineStr"/>
    </row>
    <row r="469" ht="15" customHeight="1">
      <c r="A469" t="inlineStr">
        <is>
          <t>A 28694-2021</t>
        </is>
      </c>
      <c r="B469" s="1" t="n">
        <v>44357</v>
      </c>
      <c r="C469" s="1" t="n">
        <v>45645</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29145-2021</t>
        </is>
      </c>
      <c r="B470" s="1" t="n">
        <v>44358</v>
      </c>
      <c r="C470" s="1" t="n">
        <v>45645</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30655-2021</t>
        </is>
      </c>
      <c r="B471" s="1" t="n">
        <v>44365</v>
      </c>
      <c r="C471" s="1" t="n">
        <v>45645</v>
      </c>
      <c r="D471" t="inlineStr">
        <is>
          <t>UPPSALA LÄN</t>
        </is>
      </c>
      <c r="E471" t="inlineStr">
        <is>
          <t>UPPSALA</t>
        </is>
      </c>
      <c r="F471" t="inlineStr">
        <is>
          <t>Holmen skog AB</t>
        </is>
      </c>
      <c r="G471" t="n">
        <v>5.8</v>
      </c>
      <c r="H471" t="n">
        <v>0</v>
      </c>
      <c r="I471" t="n">
        <v>0</v>
      </c>
      <c r="J471" t="n">
        <v>0</v>
      </c>
      <c r="K471" t="n">
        <v>0</v>
      </c>
      <c r="L471" t="n">
        <v>0</v>
      </c>
      <c r="M471" t="n">
        <v>0</v>
      </c>
      <c r="N471" t="n">
        <v>0</v>
      </c>
      <c r="O471" t="n">
        <v>0</v>
      </c>
      <c r="P471" t="n">
        <v>0</v>
      </c>
      <c r="Q471" t="n">
        <v>0</v>
      </c>
      <c r="R471" s="2" t="inlineStr"/>
    </row>
    <row r="472" ht="15" customHeight="1">
      <c r="A472" t="inlineStr">
        <is>
          <t>A 30656-2021</t>
        </is>
      </c>
      <c r="B472" s="1" t="n">
        <v>44365</v>
      </c>
      <c r="C472" s="1" t="n">
        <v>45645</v>
      </c>
      <c r="D472" t="inlineStr">
        <is>
          <t>UPPSALA LÄN</t>
        </is>
      </c>
      <c r="E472" t="inlineStr">
        <is>
          <t>UPPSALA</t>
        </is>
      </c>
      <c r="G472" t="n">
        <v>6.7</v>
      </c>
      <c r="H472" t="n">
        <v>0</v>
      </c>
      <c r="I472" t="n">
        <v>0</v>
      </c>
      <c r="J472" t="n">
        <v>0</v>
      </c>
      <c r="K472" t="n">
        <v>0</v>
      </c>
      <c r="L472" t="n">
        <v>0</v>
      </c>
      <c r="M472" t="n">
        <v>0</v>
      </c>
      <c r="N472" t="n">
        <v>0</v>
      </c>
      <c r="O472" t="n">
        <v>0</v>
      </c>
      <c r="P472" t="n">
        <v>0</v>
      </c>
      <c r="Q472" t="n">
        <v>0</v>
      </c>
      <c r="R472" s="2" t="inlineStr"/>
    </row>
    <row r="473" ht="15" customHeight="1">
      <c r="A473" t="inlineStr">
        <is>
          <t>A 31646-2021</t>
        </is>
      </c>
      <c r="B473" s="1" t="n">
        <v>44369</v>
      </c>
      <c r="C473" s="1" t="n">
        <v>45645</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31662-2021</t>
        </is>
      </c>
      <c r="B474" s="1" t="n">
        <v>44369</v>
      </c>
      <c r="C474" s="1" t="n">
        <v>45645</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31829-2021</t>
        </is>
      </c>
      <c r="B475" s="1" t="n">
        <v>44370</v>
      </c>
      <c r="C475" s="1" t="n">
        <v>45645</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32276-2021</t>
        </is>
      </c>
      <c r="B476" s="1" t="n">
        <v>44371</v>
      </c>
      <c r="C476" s="1" t="n">
        <v>45645</v>
      </c>
      <c r="D476" t="inlineStr">
        <is>
          <t>UPPSALA LÄN</t>
        </is>
      </c>
      <c r="E476" t="inlineStr">
        <is>
          <t>UPPSALA</t>
        </is>
      </c>
      <c r="G476" t="n">
        <v>3.7</v>
      </c>
      <c r="H476" t="n">
        <v>0</v>
      </c>
      <c r="I476" t="n">
        <v>0</v>
      </c>
      <c r="J476" t="n">
        <v>0</v>
      </c>
      <c r="K476" t="n">
        <v>0</v>
      </c>
      <c r="L476" t="n">
        <v>0</v>
      </c>
      <c r="M476" t="n">
        <v>0</v>
      </c>
      <c r="N476" t="n">
        <v>0</v>
      </c>
      <c r="O476" t="n">
        <v>0</v>
      </c>
      <c r="P476" t="n">
        <v>0</v>
      </c>
      <c r="Q476" t="n">
        <v>0</v>
      </c>
      <c r="R476" s="2" t="inlineStr"/>
    </row>
    <row r="477" ht="15" customHeight="1">
      <c r="A477" t="inlineStr">
        <is>
          <t>A 32428-2021</t>
        </is>
      </c>
      <c r="B477" s="1" t="n">
        <v>44371</v>
      </c>
      <c r="C477" s="1" t="n">
        <v>45645</v>
      </c>
      <c r="D477" t="inlineStr">
        <is>
          <t>UPPSALA LÄN</t>
        </is>
      </c>
      <c r="E477" t="inlineStr">
        <is>
          <t>UPPSALA</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32955-2021</t>
        </is>
      </c>
      <c r="B478" s="1" t="n">
        <v>44376</v>
      </c>
      <c r="C478" s="1" t="n">
        <v>45645</v>
      </c>
      <c r="D478" t="inlineStr">
        <is>
          <t>UPPSALA LÄN</t>
        </is>
      </c>
      <c r="E478" t="inlineStr">
        <is>
          <t>UPPSALA</t>
        </is>
      </c>
      <c r="F478" t="inlineStr">
        <is>
          <t>Bergvik skog öst AB</t>
        </is>
      </c>
      <c r="G478" t="n">
        <v>10</v>
      </c>
      <c r="H478" t="n">
        <v>0</v>
      </c>
      <c r="I478" t="n">
        <v>0</v>
      </c>
      <c r="J478" t="n">
        <v>0</v>
      </c>
      <c r="K478" t="n">
        <v>0</v>
      </c>
      <c r="L478" t="n">
        <v>0</v>
      </c>
      <c r="M478" t="n">
        <v>0</v>
      </c>
      <c r="N478" t="n">
        <v>0</v>
      </c>
      <c r="O478" t="n">
        <v>0</v>
      </c>
      <c r="P478" t="n">
        <v>0</v>
      </c>
      <c r="Q478" t="n">
        <v>0</v>
      </c>
      <c r="R478" s="2" t="inlineStr"/>
    </row>
    <row r="479" ht="15" customHeight="1">
      <c r="A479" t="inlineStr">
        <is>
          <t>A 33797-2021</t>
        </is>
      </c>
      <c r="B479" s="1" t="n">
        <v>44378</v>
      </c>
      <c r="C479" s="1" t="n">
        <v>45645</v>
      </c>
      <c r="D479" t="inlineStr">
        <is>
          <t>UPPSALA LÄN</t>
        </is>
      </c>
      <c r="E479" t="inlineStr">
        <is>
          <t>UPPSALA</t>
        </is>
      </c>
      <c r="G479" t="n">
        <v>1</v>
      </c>
      <c r="H479" t="n">
        <v>0</v>
      </c>
      <c r="I479" t="n">
        <v>0</v>
      </c>
      <c r="J479" t="n">
        <v>0</v>
      </c>
      <c r="K479" t="n">
        <v>0</v>
      </c>
      <c r="L479" t="n">
        <v>0</v>
      </c>
      <c r="M479" t="n">
        <v>0</v>
      </c>
      <c r="N479" t="n">
        <v>0</v>
      </c>
      <c r="O479" t="n">
        <v>0</v>
      </c>
      <c r="P479" t="n">
        <v>0</v>
      </c>
      <c r="Q479" t="n">
        <v>0</v>
      </c>
      <c r="R479" s="2" t="inlineStr"/>
    </row>
    <row r="480" ht="15" customHeight="1">
      <c r="A480" t="inlineStr">
        <is>
          <t>A 33920-2021</t>
        </is>
      </c>
      <c r="B480" s="1" t="n">
        <v>44378</v>
      </c>
      <c r="C480" s="1" t="n">
        <v>45645</v>
      </c>
      <c r="D480" t="inlineStr">
        <is>
          <t>UPPSALA LÄN</t>
        </is>
      </c>
      <c r="E480" t="inlineStr">
        <is>
          <t>UPPSALA</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34020-2021</t>
        </is>
      </c>
      <c r="B481" s="1" t="n">
        <v>44379</v>
      </c>
      <c r="C481" s="1" t="n">
        <v>45645</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34039-2021</t>
        </is>
      </c>
      <c r="B482" s="1" t="n">
        <v>44379</v>
      </c>
      <c r="C482" s="1" t="n">
        <v>45645</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34043-2021</t>
        </is>
      </c>
      <c r="B483" s="1" t="n">
        <v>44379</v>
      </c>
      <c r="C483" s="1" t="n">
        <v>45645</v>
      </c>
      <c r="D483" t="inlineStr">
        <is>
          <t>UPPSALA LÄN</t>
        </is>
      </c>
      <c r="E483" t="inlineStr">
        <is>
          <t>UPPSALA</t>
        </is>
      </c>
      <c r="G483" t="n">
        <v>2.2</v>
      </c>
      <c r="H483" t="n">
        <v>0</v>
      </c>
      <c r="I483" t="n">
        <v>0</v>
      </c>
      <c r="J483" t="n">
        <v>0</v>
      </c>
      <c r="K483" t="n">
        <v>0</v>
      </c>
      <c r="L483" t="n">
        <v>0</v>
      </c>
      <c r="M483" t="n">
        <v>0</v>
      </c>
      <c r="N483" t="n">
        <v>0</v>
      </c>
      <c r="O483" t="n">
        <v>0</v>
      </c>
      <c r="P483" t="n">
        <v>0</v>
      </c>
      <c r="Q483" t="n">
        <v>0</v>
      </c>
      <c r="R483" s="2" t="inlineStr"/>
    </row>
    <row r="484" ht="15" customHeight="1">
      <c r="A484" t="inlineStr">
        <is>
          <t>A 34265-2021</t>
        </is>
      </c>
      <c r="B484" s="1" t="n">
        <v>44379</v>
      </c>
      <c r="C484" s="1" t="n">
        <v>45645</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34249-2021</t>
        </is>
      </c>
      <c r="B485" s="1" t="n">
        <v>44379</v>
      </c>
      <c r="C485" s="1" t="n">
        <v>45645</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34243-2021</t>
        </is>
      </c>
      <c r="B486" s="1" t="n">
        <v>44379</v>
      </c>
      <c r="C486" s="1" t="n">
        <v>45645</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34263-2021</t>
        </is>
      </c>
      <c r="B487" s="1" t="n">
        <v>44379</v>
      </c>
      <c r="C487" s="1" t="n">
        <v>45645</v>
      </c>
      <c r="D487" t="inlineStr">
        <is>
          <t>UPPSALA LÄN</t>
        </is>
      </c>
      <c r="E487" t="inlineStr">
        <is>
          <t>UPPSALA</t>
        </is>
      </c>
      <c r="G487" t="n">
        <v>5.8</v>
      </c>
      <c r="H487" t="n">
        <v>0</v>
      </c>
      <c r="I487" t="n">
        <v>0</v>
      </c>
      <c r="J487" t="n">
        <v>0</v>
      </c>
      <c r="K487" t="n">
        <v>0</v>
      </c>
      <c r="L487" t="n">
        <v>0</v>
      </c>
      <c r="M487" t="n">
        <v>0</v>
      </c>
      <c r="N487" t="n">
        <v>0</v>
      </c>
      <c r="O487" t="n">
        <v>0</v>
      </c>
      <c r="P487" t="n">
        <v>0</v>
      </c>
      <c r="Q487" t="n">
        <v>0</v>
      </c>
      <c r="R487" s="2" t="inlineStr"/>
    </row>
    <row r="488" ht="15" customHeight="1">
      <c r="A488" t="inlineStr">
        <is>
          <t>A 34838-2021</t>
        </is>
      </c>
      <c r="B488" s="1" t="n">
        <v>44383</v>
      </c>
      <c r="C488" s="1" t="n">
        <v>45645</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34825-2021</t>
        </is>
      </c>
      <c r="B489" s="1" t="n">
        <v>44383</v>
      </c>
      <c r="C489" s="1" t="n">
        <v>45645</v>
      </c>
      <c r="D489" t="inlineStr">
        <is>
          <t>UPPSALA LÄN</t>
        </is>
      </c>
      <c r="E489" t="inlineStr">
        <is>
          <t>UPPSALA</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35630-2021</t>
        </is>
      </c>
      <c r="B490" s="1" t="n">
        <v>44386</v>
      </c>
      <c r="C490" s="1" t="n">
        <v>45645</v>
      </c>
      <c r="D490" t="inlineStr">
        <is>
          <t>UPPSALA LÄN</t>
        </is>
      </c>
      <c r="E490" t="inlineStr">
        <is>
          <t>UPPSALA</t>
        </is>
      </c>
      <c r="G490" t="n">
        <v>6</v>
      </c>
      <c r="H490" t="n">
        <v>0</v>
      </c>
      <c r="I490" t="n">
        <v>0</v>
      </c>
      <c r="J490" t="n">
        <v>0</v>
      </c>
      <c r="K490" t="n">
        <v>0</v>
      </c>
      <c r="L490" t="n">
        <v>0</v>
      </c>
      <c r="M490" t="n">
        <v>0</v>
      </c>
      <c r="N490" t="n">
        <v>0</v>
      </c>
      <c r="O490" t="n">
        <v>0</v>
      </c>
      <c r="P490" t="n">
        <v>0</v>
      </c>
      <c r="Q490" t="n">
        <v>0</v>
      </c>
      <c r="R490" s="2" t="inlineStr"/>
    </row>
    <row r="491" ht="15" customHeight="1">
      <c r="A491" t="inlineStr">
        <is>
          <t>A 36304-2021</t>
        </is>
      </c>
      <c r="B491" s="1" t="n">
        <v>44390</v>
      </c>
      <c r="C491" s="1" t="n">
        <v>45645</v>
      </c>
      <c r="D491" t="inlineStr">
        <is>
          <t>UPPSALA LÄN</t>
        </is>
      </c>
      <c r="E491" t="inlineStr">
        <is>
          <t>UPPSALA</t>
        </is>
      </c>
      <c r="G491" t="n">
        <v>7.4</v>
      </c>
      <c r="H491" t="n">
        <v>0</v>
      </c>
      <c r="I491" t="n">
        <v>0</v>
      </c>
      <c r="J491" t="n">
        <v>0</v>
      </c>
      <c r="K491" t="n">
        <v>0</v>
      </c>
      <c r="L491" t="n">
        <v>0</v>
      </c>
      <c r="M491" t="n">
        <v>0</v>
      </c>
      <c r="N491" t="n">
        <v>0</v>
      </c>
      <c r="O491" t="n">
        <v>0</v>
      </c>
      <c r="P491" t="n">
        <v>0</v>
      </c>
      <c r="Q491" t="n">
        <v>0</v>
      </c>
      <c r="R491" s="2" t="inlineStr"/>
    </row>
    <row r="492" ht="15" customHeight="1">
      <c r="A492" t="inlineStr">
        <is>
          <t>A 36721-2021</t>
        </is>
      </c>
      <c r="B492" s="1" t="n">
        <v>44392</v>
      </c>
      <c r="C492" s="1" t="n">
        <v>45645</v>
      </c>
      <c r="D492" t="inlineStr">
        <is>
          <t>UPPSALA LÄN</t>
        </is>
      </c>
      <c r="E492" t="inlineStr">
        <is>
          <t>UPPSALA</t>
        </is>
      </c>
      <c r="F492" t="inlineStr">
        <is>
          <t>Bergvik skog öst AB</t>
        </is>
      </c>
      <c r="G492" t="n">
        <v>5.8</v>
      </c>
      <c r="H492" t="n">
        <v>0</v>
      </c>
      <c r="I492" t="n">
        <v>0</v>
      </c>
      <c r="J492" t="n">
        <v>0</v>
      </c>
      <c r="K492" t="n">
        <v>0</v>
      </c>
      <c r="L492" t="n">
        <v>0</v>
      </c>
      <c r="M492" t="n">
        <v>0</v>
      </c>
      <c r="N492" t="n">
        <v>0</v>
      </c>
      <c r="O492" t="n">
        <v>0</v>
      </c>
      <c r="P492" t="n">
        <v>0</v>
      </c>
      <c r="Q492" t="n">
        <v>0</v>
      </c>
      <c r="R492" s="2" t="inlineStr"/>
    </row>
    <row r="493" ht="15" customHeight="1">
      <c r="A493" t="inlineStr">
        <is>
          <t>A 36998-2021</t>
        </is>
      </c>
      <c r="B493" s="1" t="n">
        <v>44393</v>
      </c>
      <c r="C493" s="1" t="n">
        <v>45645</v>
      </c>
      <c r="D493" t="inlineStr">
        <is>
          <t>UPPSALA LÄN</t>
        </is>
      </c>
      <c r="E493" t="inlineStr">
        <is>
          <t>UPPSALA</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37162-2021</t>
        </is>
      </c>
      <c r="B494" s="1" t="n">
        <v>44395</v>
      </c>
      <c r="C494" s="1" t="n">
        <v>45645</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37763-2021</t>
        </is>
      </c>
      <c r="B495" s="1" t="n">
        <v>44400</v>
      </c>
      <c r="C495" s="1" t="n">
        <v>45645</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37819-2021</t>
        </is>
      </c>
      <c r="B496" s="1" t="n">
        <v>44403</v>
      </c>
      <c r="C496" s="1" t="n">
        <v>45645</v>
      </c>
      <c r="D496" t="inlineStr">
        <is>
          <t>UPPSALA LÄN</t>
        </is>
      </c>
      <c r="E496" t="inlineStr">
        <is>
          <t>UPPSALA</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v>
      </c>
      <c r="C497" s="1" t="n">
        <v>45645</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38469-2021</t>
        </is>
      </c>
      <c r="B498" s="1" t="n">
        <v>44407</v>
      </c>
      <c r="C498" s="1" t="n">
        <v>45645</v>
      </c>
      <c r="D498" t="inlineStr">
        <is>
          <t>UPPSALA LÄN</t>
        </is>
      </c>
      <c r="E498" t="inlineStr">
        <is>
          <t>UPPSALA</t>
        </is>
      </c>
      <c r="F498" t="inlineStr">
        <is>
          <t>Bergvik skog öst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38463-2021</t>
        </is>
      </c>
      <c r="B499" s="1" t="n">
        <v>44407</v>
      </c>
      <c r="C499" s="1" t="n">
        <v>45645</v>
      </c>
      <c r="D499" t="inlineStr">
        <is>
          <t>UPPSALA LÄN</t>
        </is>
      </c>
      <c r="E499" t="inlineStr">
        <is>
          <t>UPPSALA</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40500-2021</t>
        </is>
      </c>
      <c r="B500" s="1" t="n">
        <v>44420</v>
      </c>
      <c r="C500" s="1" t="n">
        <v>45645</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40507-2021</t>
        </is>
      </c>
      <c r="B501" s="1" t="n">
        <v>44420</v>
      </c>
      <c r="C501" s="1" t="n">
        <v>45645</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45645</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42294-2021</t>
        </is>
      </c>
      <c r="B503" s="1" t="n">
        <v>44427</v>
      </c>
      <c r="C503" s="1" t="n">
        <v>45645</v>
      </c>
      <c r="D503" t="inlineStr">
        <is>
          <t>UPPSALA LÄN</t>
        </is>
      </c>
      <c r="E503" t="inlineStr">
        <is>
          <t>UPPSALA</t>
        </is>
      </c>
      <c r="G503" t="n">
        <v>1.6</v>
      </c>
      <c r="H503" t="n">
        <v>0</v>
      </c>
      <c r="I503" t="n">
        <v>0</v>
      </c>
      <c r="J503" t="n">
        <v>0</v>
      </c>
      <c r="K503" t="n">
        <v>0</v>
      </c>
      <c r="L503" t="n">
        <v>0</v>
      </c>
      <c r="M503" t="n">
        <v>0</v>
      </c>
      <c r="N503" t="n">
        <v>0</v>
      </c>
      <c r="O503" t="n">
        <v>0</v>
      </c>
      <c r="P503" t="n">
        <v>0</v>
      </c>
      <c r="Q503" t="n">
        <v>0</v>
      </c>
      <c r="R503" s="2" t="inlineStr"/>
    </row>
    <row r="504" ht="15" customHeight="1">
      <c r="A504" t="inlineStr">
        <is>
          <t>A 44315-2021</t>
        </is>
      </c>
      <c r="B504" s="1" t="n">
        <v>44435</v>
      </c>
      <c r="C504" s="1" t="n">
        <v>45645</v>
      </c>
      <c r="D504" t="inlineStr">
        <is>
          <t>UPPSALA LÄN</t>
        </is>
      </c>
      <c r="E504" t="inlineStr">
        <is>
          <t>UPPSALA</t>
        </is>
      </c>
      <c r="G504" t="n">
        <v>5.2</v>
      </c>
      <c r="H504" t="n">
        <v>0</v>
      </c>
      <c r="I504" t="n">
        <v>0</v>
      </c>
      <c r="J504" t="n">
        <v>0</v>
      </c>
      <c r="K504" t="n">
        <v>0</v>
      </c>
      <c r="L504" t="n">
        <v>0</v>
      </c>
      <c r="M504" t="n">
        <v>0</v>
      </c>
      <c r="N504" t="n">
        <v>0</v>
      </c>
      <c r="O504" t="n">
        <v>0</v>
      </c>
      <c r="P504" t="n">
        <v>0</v>
      </c>
      <c r="Q504" t="n">
        <v>0</v>
      </c>
      <c r="R504" s="2" t="inlineStr"/>
    </row>
    <row r="505" ht="15" customHeight="1">
      <c r="A505" t="inlineStr">
        <is>
          <t>A 44781-2021</t>
        </is>
      </c>
      <c r="B505" s="1" t="n">
        <v>44438</v>
      </c>
      <c r="C505" s="1" t="n">
        <v>45645</v>
      </c>
      <c r="D505" t="inlineStr">
        <is>
          <t>UPPSALA LÄN</t>
        </is>
      </c>
      <c r="E505" t="inlineStr">
        <is>
          <t>UPPSALA</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46097-2021</t>
        </is>
      </c>
      <c r="B506" s="1" t="n">
        <v>44442</v>
      </c>
      <c r="C506" s="1" t="n">
        <v>45645</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46099-2021</t>
        </is>
      </c>
      <c r="B507" s="1" t="n">
        <v>44442</v>
      </c>
      <c r="C507" s="1" t="n">
        <v>45645</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46553-2021</t>
        </is>
      </c>
      <c r="B508" s="1" t="n">
        <v>44445</v>
      </c>
      <c r="C508" s="1" t="n">
        <v>45645</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46920-2021</t>
        </is>
      </c>
      <c r="B509" s="1" t="n">
        <v>44446</v>
      </c>
      <c r="C509" s="1" t="n">
        <v>45645</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46916-2021</t>
        </is>
      </c>
      <c r="B510" s="1" t="n">
        <v>44446</v>
      </c>
      <c r="C510" s="1" t="n">
        <v>45645</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47367-2021</t>
        </is>
      </c>
      <c r="B511" s="1" t="n">
        <v>44447</v>
      </c>
      <c r="C511" s="1" t="n">
        <v>45645</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48918-2021</t>
        </is>
      </c>
      <c r="B512" s="1" t="n">
        <v>44453</v>
      </c>
      <c r="C512" s="1" t="n">
        <v>45645</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49274-2021</t>
        </is>
      </c>
      <c r="B513" s="1" t="n">
        <v>44454</v>
      </c>
      <c r="C513" s="1" t="n">
        <v>45645</v>
      </c>
      <c r="D513" t="inlineStr">
        <is>
          <t>UPPSALA LÄN</t>
        </is>
      </c>
      <c r="E513" t="inlineStr">
        <is>
          <t>UPPSALA</t>
        </is>
      </c>
      <c r="G513" t="n">
        <v>8.5</v>
      </c>
      <c r="H513" t="n">
        <v>0</v>
      </c>
      <c r="I513" t="n">
        <v>0</v>
      </c>
      <c r="J513" t="n">
        <v>0</v>
      </c>
      <c r="K513" t="n">
        <v>0</v>
      </c>
      <c r="L513" t="n">
        <v>0</v>
      </c>
      <c r="M513" t="n">
        <v>0</v>
      </c>
      <c r="N513" t="n">
        <v>0</v>
      </c>
      <c r="O513" t="n">
        <v>0</v>
      </c>
      <c r="P513" t="n">
        <v>0</v>
      </c>
      <c r="Q513" t="n">
        <v>0</v>
      </c>
      <c r="R513" s="2" t="inlineStr"/>
    </row>
    <row r="514" ht="15" customHeight="1">
      <c r="A514" t="inlineStr">
        <is>
          <t>A 51050-2021</t>
        </is>
      </c>
      <c r="B514" s="1" t="n">
        <v>44459</v>
      </c>
      <c r="C514" s="1" t="n">
        <v>45645</v>
      </c>
      <c r="D514" t="inlineStr">
        <is>
          <t>UPPSALA LÄN</t>
        </is>
      </c>
      <c r="E514" t="inlineStr">
        <is>
          <t>UPPSALA</t>
        </is>
      </c>
      <c r="F514" t="inlineStr">
        <is>
          <t>Övriga Aktiebolag</t>
        </is>
      </c>
      <c r="G514" t="n">
        <v>7.5</v>
      </c>
      <c r="H514" t="n">
        <v>0</v>
      </c>
      <c r="I514" t="n">
        <v>0</v>
      </c>
      <c r="J514" t="n">
        <v>0</v>
      </c>
      <c r="K514" t="n">
        <v>0</v>
      </c>
      <c r="L514" t="n">
        <v>0</v>
      </c>
      <c r="M514" t="n">
        <v>0</v>
      </c>
      <c r="N514" t="n">
        <v>0</v>
      </c>
      <c r="O514" t="n">
        <v>0</v>
      </c>
      <c r="P514" t="n">
        <v>0</v>
      </c>
      <c r="Q514" t="n">
        <v>0</v>
      </c>
      <c r="R514" s="2" t="inlineStr"/>
    </row>
    <row r="515" ht="15" customHeight="1">
      <c r="A515" t="inlineStr">
        <is>
          <t>A 51821-2021</t>
        </is>
      </c>
      <c r="B515" s="1" t="n">
        <v>44461</v>
      </c>
      <c r="C515" s="1" t="n">
        <v>45645</v>
      </c>
      <c r="D515" t="inlineStr">
        <is>
          <t>UPPSALA LÄN</t>
        </is>
      </c>
      <c r="E515" t="inlineStr">
        <is>
          <t>UPPSALA</t>
        </is>
      </c>
      <c r="F515" t="inlineStr">
        <is>
          <t>Övriga Aktiebolag</t>
        </is>
      </c>
      <c r="G515" t="n">
        <v>5.3</v>
      </c>
      <c r="H515" t="n">
        <v>0</v>
      </c>
      <c r="I515" t="n">
        <v>0</v>
      </c>
      <c r="J515" t="n">
        <v>0</v>
      </c>
      <c r="K515" t="n">
        <v>0</v>
      </c>
      <c r="L515" t="n">
        <v>0</v>
      </c>
      <c r="M515" t="n">
        <v>0</v>
      </c>
      <c r="N515" t="n">
        <v>0</v>
      </c>
      <c r="O515" t="n">
        <v>0</v>
      </c>
      <c r="P515" t="n">
        <v>0</v>
      </c>
      <c r="Q515" t="n">
        <v>0</v>
      </c>
      <c r="R515" s="2" t="inlineStr"/>
    </row>
    <row r="516" ht="15" customHeight="1">
      <c r="A516" t="inlineStr">
        <is>
          <t>A 51396-2021</t>
        </is>
      </c>
      <c r="B516" s="1" t="n">
        <v>44461</v>
      </c>
      <c r="C516" s="1" t="n">
        <v>45645</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52083-2021</t>
        </is>
      </c>
      <c r="B517" s="1" t="n">
        <v>44463</v>
      </c>
      <c r="C517" s="1" t="n">
        <v>45645</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54168-2021</t>
        </is>
      </c>
      <c r="B518" s="1" t="n">
        <v>44470</v>
      </c>
      <c r="C518" s="1" t="n">
        <v>45645</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55823-2021</t>
        </is>
      </c>
      <c r="B519" s="1" t="n">
        <v>44476</v>
      </c>
      <c r="C519" s="1" t="n">
        <v>45645</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56042-2021</t>
        </is>
      </c>
      <c r="B520" s="1" t="n">
        <v>44477</v>
      </c>
      <c r="C520" s="1" t="n">
        <v>45645</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56049-2021</t>
        </is>
      </c>
      <c r="B521" s="1" t="n">
        <v>44477</v>
      </c>
      <c r="C521" s="1" t="n">
        <v>45645</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56463-2021</t>
        </is>
      </c>
      <c r="B522" s="1" t="n">
        <v>44479</v>
      </c>
      <c r="C522" s="1" t="n">
        <v>45645</v>
      </c>
      <c r="D522" t="inlineStr">
        <is>
          <t>UPPSALA LÄN</t>
        </is>
      </c>
      <c r="E522" t="inlineStr">
        <is>
          <t>UPPSALA</t>
        </is>
      </c>
      <c r="G522" t="n">
        <v>6.4</v>
      </c>
      <c r="H522" t="n">
        <v>0</v>
      </c>
      <c r="I522" t="n">
        <v>0</v>
      </c>
      <c r="J522" t="n">
        <v>0</v>
      </c>
      <c r="K522" t="n">
        <v>0</v>
      </c>
      <c r="L522" t="n">
        <v>0</v>
      </c>
      <c r="M522" t="n">
        <v>0</v>
      </c>
      <c r="N522" t="n">
        <v>0</v>
      </c>
      <c r="O522" t="n">
        <v>0</v>
      </c>
      <c r="P522" t="n">
        <v>0</v>
      </c>
      <c r="Q522" t="n">
        <v>0</v>
      </c>
      <c r="R522" s="2" t="inlineStr"/>
    </row>
    <row r="523" ht="15" customHeight="1">
      <c r="A523" t="inlineStr">
        <is>
          <t>A 56769-2021</t>
        </is>
      </c>
      <c r="B523" s="1" t="n">
        <v>44481</v>
      </c>
      <c r="C523" s="1" t="n">
        <v>45645</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57647-2021</t>
        </is>
      </c>
      <c r="B524" s="1" t="n">
        <v>44484</v>
      </c>
      <c r="C524" s="1" t="n">
        <v>45645</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57890-2021</t>
        </is>
      </c>
      <c r="B525" s="1" t="n">
        <v>44486</v>
      </c>
      <c r="C525" s="1" t="n">
        <v>45645</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58767-2021</t>
        </is>
      </c>
      <c r="B526" s="1" t="n">
        <v>44489</v>
      </c>
      <c r="C526" s="1" t="n">
        <v>45645</v>
      </c>
      <c r="D526" t="inlineStr">
        <is>
          <t>UPPSALA LÄN</t>
        </is>
      </c>
      <c r="E526" t="inlineStr">
        <is>
          <t>UPPSALA</t>
        </is>
      </c>
      <c r="G526" t="n">
        <v>4.8</v>
      </c>
      <c r="H526" t="n">
        <v>0</v>
      </c>
      <c r="I526" t="n">
        <v>0</v>
      </c>
      <c r="J526" t="n">
        <v>0</v>
      </c>
      <c r="K526" t="n">
        <v>0</v>
      </c>
      <c r="L526" t="n">
        <v>0</v>
      </c>
      <c r="M526" t="n">
        <v>0</v>
      </c>
      <c r="N526" t="n">
        <v>0</v>
      </c>
      <c r="O526" t="n">
        <v>0</v>
      </c>
      <c r="P526" t="n">
        <v>0</v>
      </c>
      <c r="Q526" t="n">
        <v>0</v>
      </c>
      <c r="R526" s="2" t="inlineStr"/>
    </row>
    <row r="527" ht="15" customHeight="1">
      <c r="A527" t="inlineStr">
        <is>
          <t>A 58897-2021</t>
        </is>
      </c>
      <c r="B527" s="1" t="n">
        <v>44489</v>
      </c>
      <c r="C527" s="1" t="n">
        <v>45645</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59241-2021</t>
        </is>
      </c>
      <c r="B528" s="1" t="n">
        <v>44490</v>
      </c>
      <c r="C528" s="1" t="n">
        <v>45645</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59484-2021</t>
        </is>
      </c>
      <c r="B529" s="1" t="n">
        <v>44491</v>
      </c>
      <c r="C529" s="1" t="n">
        <v>45645</v>
      </c>
      <c r="D529" t="inlineStr">
        <is>
          <t>UPPSALA LÄN</t>
        </is>
      </c>
      <c r="E529" t="inlineStr">
        <is>
          <t>UPPSALA</t>
        </is>
      </c>
      <c r="F529" t="inlineStr">
        <is>
          <t>Bergvik skog öst AB</t>
        </is>
      </c>
      <c r="G529" t="n">
        <v>1.2</v>
      </c>
      <c r="H529" t="n">
        <v>0</v>
      </c>
      <c r="I529" t="n">
        <v>0</v>
      </c>
      <c r="J529" t="n">
        <v>0</v>
      </c>
      <c r="K529" t="n">
        <v>0</v>
      </c>
      <c r="L529" t="n">
        <v>0</v>
      </c>
      <c r="M529" t="n">
        <v>0</v>
      </c>
      <c r="N529" t="n">
        <v>0</v>
      </c>
      <c r="O529" t="n">
        <v>0</v>
      </c>
      <c r="P529" t="n">
        <v>0</v>
      </c>
      <c r="Q529" t="n">
        <v>0</v>
      </c>
      <c r="R529" s="2" t="inlineStr"/>
    </row>
    <row r="530" ht="15" customHeight="1">
      <c r="A530" t="inlineStr">
        <is>
          <t>A 59500-2021</t>
        </is>
      </c>
      <c r="B530" s="1" t="n">
        <v>44491</v>
      </c>
      <c r="C530" s="1" t="n">
        <v>45645</v>
      </c>
      <c r="D530" t="inlineStr">
        <is>
          <t>UPPSALA LÄN</t>
        </is>
      </c>
      <c r="E530" t="inlineStr">
        <is>
          <t>UPPSALA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v>
      </c>
      <c r="C531" s="1" t="n">
        <v>45645</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45645</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60032-2021</t>
        </is>
      </c>
      <c r="B533" s="1" t="n">
        <v>44495</v>
      </c>
      <c r="C533" s="1" t="n">
        <v>45645</v>
      </c>
      <c r="D533" t="inlineStr">
        <is>
          <t>UPPSALA LÄN</t>
        </is>
      </c>
      <c r="E533" t="inlineStr">
        <is>
          <t>UPPSALA</t>
        </is>
      </c>
      <c r="G533" t="n">
        <v>1.8</v>
      </c>
      <c r="H533" t="n">
        <v>0</v>
      </c>
      <c r="I533" t="n">
        <v>0</v>
      </c>
      <c r="J533" t="n">
        <v>0</v>
      </c>
      <c r="K533" t="n">
        <v>0</v>
      </c>
      <c r="L533" t="n">
        <v>0</v>
      </c>
      <c r="M533" t="n">
        <v>0</v>
      </c>
      <c r="N533" t="n">
        <v>0</v>
      </c>
      <c r="O533" t="n">
        <v>0</v>
      </c>
      <c r="P533" t="n">
        <v>0</v>
      </c>
      <c r="Q533" t="n">
        <v>0</v>
      </c>
      <c r="R533" s="2" t="inlineStr"/>
    </row>
    <row r="534" ht="15" customHeight="1">
      <c r="A534" t="inlineStr">
        <is>
          <t>A 61008-2021</t>
        </is>
      </c>
      <c r="B534" s="1" t="n">
        <v>44497</v>
      </c>
      <c r="C534" s="1" t="n">
        <v>45645</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60917-2021</t>
        </is>
      </c>
      <c r="B535" s="1" t="n">
        <v>44497</v>
      </c>
      <c r="C535" s="1" t="n">
        <v>45645</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60925-2021</t>
        </is>
      </c>
      <c r="B536" s="1" t="n">
        <v>44497</v>
      </c>
      <c r="C536" s="1" t="n">
        <v>45645</v>
      </c>
      <c r="D536" t="inlineStr">
        <is>
          <t>UPPSALA LÄN</t>
        </is>
      </c>
      <c r="E536" t="inlineStr">
        <is>
          <t>UPPSALA</t>
        </is>
      </c>
      <c r="G536" t="n">
        <v>3.7</v>
      </c>
      <c r="H536" t="n">
        <v>0</v>
      </c>
      <c r="I536" t="n">
        <v>0</v>
      </c>
      <c r="J536" t="n">
        <v>0</v>
      </c>
      <c r="K536" t="n">
        <v>0</v>
      </c>
      <c r="L536" t="n">
        <v>0</v>
      </c>
      <c r="M536" t="n">
        <v>0</v>
      </c>
      <c r="N536" t="n">
        <v>0</v>
      </c>
      <c r="O536" t="n">
        <v>0</v>
      </c>
      <c r="P536" t="n">
        <v>0</v>
      </c>
      <c r="Q536" t="n">
        <v>0</v>
      </c>
      <c r="R536" s="2" t="inlineStr"/>
    </row>
    <row r="537" ht="15" customHeight="1">
      <c r="A537" t="inlineStr">
        <is>
          <t>A 61805-2021</t>
        </is>
      </c>
      <c r="B537" s="1" t="n">
        <v>44501</v>
      </c>
      <c r="C537" s="1" t="n">
        <v>45645</v>
      </c>
      <c r="D537" t="inlineStr">
        <is>
          <t>UPPSALA LÄN</t>
        </is>
      </c>
      <c r="E537" t="inlineStr">
        <is>
          <t>UPPSALA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62471-2021</t>
        </is>
      </c>
      <c r="B538" s="1" t="n">
        <v>44503</v>
      </c>
      <c r="C538" s="1" t="n">
        <v>45645</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62865-2021</t>
        </is>
      </c>
      <c r="B539" s="1" t="n">
        <v>44504</v>
      </c>
      <c r="C539" s="1" t="n">
        <v>45645</v>
      </c>
      <c r="D539" t="inlineStr">
        <is>
          <t>UPPSALA LÄN</t>
        </is>
      </c>
      <c r="E539" t="inlineStr">
        <is>
          <t>UPPSALA</t>
        </is>
      </c>
      <c r="F539" t="inlineStr">
        <is>
          <t>Bergvik skog öst AB</t>
        </is>
      </c>
      <c r="G539" t="n">
        <v>1.7</v>
      </c>
      <c r="H539" t="n">
        <v>0</v>
      </c>
      <c r="I539" t="n">
        <v>0</v>
      </c>
      <c r="J539" t="n">
        <v>0</v>
      </c>
      <c r="K539" t="n">
        <v>0</v>
      </c>
      <c r="L539" t="n">
        <v>0</v>
      </c>
      <c r="M539" t="n">
        <v>0</v>
      </c>
      <c r="N539" t="n">
        <v>0</v>
      </c>
      <c r="O539" t="n">
        <v>0</v>
      </c>
      <c r="P539" t="n">
        <v>0</v>
      </c>
      <c r="Q539" t="n">
        <v>0</v>
      </c>
      <c r="R539" s="2" t="inlineStr"/>
    </row>
    <row r="540" ht="15" customHeight="1">
      <c r="A540" t="inlineStr">
        <is>
          <t>A 63011-2021</t>
        </is>
      </c>
      <c r="B540" s="1" t="n">
        <v>44504</v>
      </c>
      <c r="C540" s="1" t="n">
        <v>45645</v>
      </c>
      <c r="D540" t="inlineStr">
        <is>
          <t>UPPSALA LÄN</t>
        </is>
      </c>
      <c r="E540" t="inlineStr">
        <is>
          <t>UPPSALA</t>
        </is>
      </c>
      <c r="G540" t="n">
        <v>11.2</v>
      </c>
      <c r="H540" t="n">
        <v>0</v>
      </c>
      <c r="I540" t="n">
        <v>0</v>
      </c>
      <c r="J540" t="n">
        <v>0</v>
      </c>
      <c r="K540" t="n">
        <v>0</v>
      </c>
      <c r="L540" t="n">
        <v>0</v>
      </c>
      <c r="M540" t="n">
        <v>0</v>
      </c>
      <c r="N540" t="n">
        <v>0</v>
      </c>
      <c r="O540" t="n">
        <v>0</v>
      </c>
      <c r="P540" t="n">
        <v>0</v>
      </c>
      <c r="Q540" t="n">
        <v>0</v>
      </c>
      <c r="R540" s="2" t="inlineStr"/>
    </row>
    <row r="541" ht="15" customHeight="1">
      <c r="A541" t="inlineStr">
        <is>
          <t>A 63307-2021</t>
        </is>
      </c>
      <c r="B541" s="1" t="n">
        <v>44508</v>
      </c>
      <c r="C541" s="1" t="n">
        <v>45645</v>
      </c>
      <c r="D541" t="inlineStr">
        <is>
          <t>UPPSALA LÄN</t>
        </is>
      </c>
      <c r="E541" t="inlineStr">
        <is>
          <t>UPPSALA</t>
        </is>
      </c>
      <c r="F541" t="inlineStr">
        <is>
          <t>Bergvik skog öst AB</t>
        </is>
      </c>
      <c r="G541" t="n">
        <v>2.8</v>
      </c>
      <c r="H541" t="n">
        <v>0</v>
      </c>
      <c r="I541" t="n">
        <v>0</v>
      </c>
      <c r="J541" t="n">
        <v>0</v>
      </c>
      <c r="K541" t="n">
        <v>0</v>
      </c>
      <c r="L541" t="n">
        <v>0</v>
      </c>
      <c r="M541" t="n">
        <v>0</v>
      </c>
      <c r="N541" t="n">
        <v>0</v>
      </c>
      <c r="O541" t="n">
        <v>0</v>
      </c>
      <c r="P541" t="n">
        <v>0</v>
      </c>
      <c r="Q541" t="n">
        <v>0</v>
      </c>
      <c r="R541" s="2" t="inlineStr"/>
    </row>
    <row r="542" ht="15" customHeight="1">
      <c r="A542" t="inlineStr">
        <is>
          <t>A 64016-2021</t>
        </is>
      </c>
      <c r="B542" s="1" t="n">
        <v>44510</v>
      </c>
      <c r="C542" s="1" t="n">
        <v>45645</v>
      </c>
      <c r="D542" t="inlineStr">
        <is>
          <t>UPPSALA LÄN</t>
        </is>
      </c>
      <c r="E542" t="inlineStr">
        <is>
          <t>UPPSALA</t>
        </is>
      </c>
      <c r="G542" t="n">
        <v>2.1</v>
      </c>
      <c r="H542" t="n">
        <v>0</v>
      </c>
      <c r="I542" t="n">
        <v>0</v>
      </c>
      <c r="J542" t="n">
        <v>0</v>
      </c>
      <c r="K542" t="n">
        <v>0</v>
      </c>
      <c r="L542" t="n">
        <v>0</v>
      </c>
      <c r="M542" t="n">
        <v>0</v>
      </c>
      <c r="N542" t="n">
        <v>0</v>
      </c>
      <c r="O542" t="n">
        <v>0</v>
      </c>
      <c r="P542" t="n">
        <v>0</v>
      </c>
      <c r="Q542" t="n">
        <v>0</v>
      </c>
      <c r="R542" s="2" t="inlineStr"/>
    </row>
    <row r="543" ht="15" customHeight="1">
      <c r="A543" t="inlineStr">
        <is>
          <t>A 64857-2021</t>
        </is>
      </c>
      <c r="B543" s="1" t="n">
        <v>44512</v>
      </c>
      <c r="C543" s="1" t="n">
        <v>45645</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64856-2021</t>
        </is>
      </c>
      <c r="B544" s="1" t="n">
        <v>44512</v>
      </c>
      <c r="C544" s="1" t="n">
        <v>45645</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64858-2021</t>
        </is>
      </c>
      <c r="B545" s="1" t="n">
        <v>44512</v>
      </c>
      <c r="C545" s="1" t="n">
        <v>45645</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64855-2021</t>
        </is>
      </c>
      <c r="B546" s="1" t="n">
        <v>44512</v>
      </c>
      <c r="C546" s="1" t="n">
        <v>45645</v>
      </c>
      <c r="D546" t="inlineStr">
        <is>
          <t>UPPSALA LÄN</t>
        </is>
      </c>
      <c r="E546" t="inlineStr">
        <is>
          <t>UPPSALA</t>
        </is>
      </c>
      <c r="G546" t="n">
        <v>3.1</v>
      </c>
      <c r="H546" t="n">
        <v>0</v>
      </c>
      <c r="I546" t="n">
        <v>0</v>
      </c>
      <c r="J546" t="n">
        <v>0</v>
      </c>
      <c r="K546" t="n">
        <v>0</v>
      </c>
      <c r="L546" t="n">
        <v>0</v>
      </c>
      <c r="M546" t="n">
        <v>0</v>
      </c>
      <c r="N546" t="n">
        <v>0</v>
      </c>
      <c r="O546" t="n">
        <v>0</v>
      </c>
      <c r="P546" t="n">
        <v>0</v>
      </c>
      <c r="Q546" t="n">
        <v>0</v>
      </c>
      <c r="R546" s="2" t="inlineStr"/>
    </row>
    <row r="547" ht="15" customHeight="1">
      <c r="A547" t="inlineStr">
        <is>
          <t>A 65132-2021</t>
        </is>
      </c>
      <c r="B547" s="1" t="n">
        <v>44515</v>
      </c>
      <c r="C547" s="1" t="n">
        <v>45645</v>
      </c>
      <c r="D547" t="inlineStr">
        <is>
          <t>UPPSALA LÄN</t>
        </is>
      </c>
      <c r="E547" t="inlineStr">
        <is>
          <t>UPPSALA</t>
        </is>
      </c>
      <c r="G547" t="n">
        <v>1.9</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45645</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65695-2021</t>
        </is>
      </c>
      <c r="B549" s="1" t="n">
        <v>44516</v>
      </c>
      <c r="C549" s="1" t="n">
        <v>45645</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65809-2021</t>
        </is>
      </c>
      <c r="B550" s="1" t="n">
        <v>44517</v>
      </c>
      <c r="C550" s="1" t="n">
        <v>45645</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45645</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65964-2021</t>
        </is>
      </c>
      <c r="B552" s="1" t="n">
        <v>44517</v>
      </c>
      <c r="C552" s="1" t="n">
        <v>45645</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66239-2021</t>
        </is>
      </c>
      <c r="B553" s="1" t="n">
        <v>44518</v>
      </c>
      <c r="C553" s="1" t="n">
        <v>45645</v>
      </c>
      <c r="D553" t="inlineStr">
        <is>
          <t>UPPSALA LÄN</t>
        </is>
      </c>
      <c r="E553" t="inlineStr">
        <is>
          <t>UPPSALA</t>
        </is>
      </c>
      <c r="G553" t="n">
        <v>4.2</v>
      </c>
      <c r="H553" t="n">
        <v>0</v>
      </c>
      <c r="I553" t="n">
        <v>0</v>
      </c>
      <c r="J553" t="n">
        <v>0</v>
      </c>
      <c r="K553" t="n">
        <v>0</v>
      </c>
      <c r="L553" t="n">
        <v>0</v>
      </c>
      <c r="M553" t="n">
        <v>0</v>
      </c>
      <c r="N553" t="n">
        <v>0</v>
      </c>
      <c r="O553" t="n">
        <v>0</v>
      </c>
      <c r="P553" t="n">
        <v>0</v>
      </c>
      <c r="Q553" t="n">
        <v>0</v>
      </c>
      <c r="R553" s="2" t="inlineStr"/>
    </row>
    <row r="554" ht="15" customHeight="1">
      <c r="A554" t="inlineStr">
        <is>
          <t>A 66690-2021</t>
        </is>
      </c>
      <c r="B554" s="1" t="n">
        <v>44519</v>
      </c>
      <c r="C554" s="1" t="n">
        <v>45645</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66686-2021</t>
        </is>
      </c>
      <c r="B555" s="1" t="n">
        <v>44519</v>
      </c>
      <c r="C555" s="1" t="n">
        <v>45645</v>
      </c>
      <c r="D555" t="inlineStr">
        <is>
          <t>UPPSALA LÄN</t>
        </is>
      </c>
      <c r="E555" t="inlineStr">
        <is>
          <t>UPPSALA</t>
        </is>
      </c>
      <c r="G555" t="n">
        <v>6.4</v>
      </c>
      <c r="H555" t="n">
        <v>0</v>
      </c>
      <c r="I555" t="n">
        <v>0</v>
      </c>
      <c r="J555" t="n">
        <v>0</v>
      </c>
      <c r="K555" t="n">
        <v>0</v>
      </c>
      <c r="L555" t="n">
        <v>0</v>
      </c>
      <c r="M555" t="n">
        <v>0</v>
      </c>
      <c r="N555" t="n">
        <v>0</v>
      </c>
      <c r="O555" t="n">
        <v>0</v>
      </c>
      <c r="P555" t="n">
        <v>0</v>
      </c>
      <c r="Q555" t="n">
        <v>0</v>
      </c>
      <c r="R555" s="2" t="inlineStr"/>
    </row>
    <row r="556" ht="15" customHeight="1">
      <c r="A556" t="inlineStr">
        <is>
          <t>A 66794-2021</t>
        </is>
      </c>
      <c r="B556" s="1" t="n">
        <v>44522</v>
      </c>
      <c r="C556" s="1" t="n">
        <v>45645</v>
      </c>
      <c r="D556" t="inlineStr">
        <is>
          <t>UPPSALA LÄN</t>
        </is>
      </c>
      <c r="E556" t="inlineStr">
        <is>
          <t>UPPSALA</t>
        </is>
      </c>
      <c r="G556" t="n">
        <v>4.9</v>
      </c>
      <c r="H556" t="n">
        <v>0</v>
      </c>
      <c r="I556" t="n">
        <v>0</v>
      </c>
      <c r="J556" t="n">
        <v>0</v>
      </c>
      <c r="K556" t="n">
        <v>0</v>
      </c>
      <c r="L556" t="n">
        <v>0</v>
      </c>
      <c r="M556" t="n">
        <v>0</v>
      </c>
      <c r="N556" t="n">
        <v>0</v>
      </c>
      <c r="O556" t="n">
        <v>0</v>
      </c>
      <c r="P556" t="n">
        <v>0</v>
      </c>
      <c r="Q556" t="n">
        <v>0</v>
      </c>
      <c r="R556" s="2" t="inlineStr"/>
    </row>
    <row r="557" ht="15" customHeight="1">
      <c r="A557" t="inlineStr">
        <is>
          <t>A 66927-2021</t>
        </is>
      </c>
      <c r="B557" s="1" t="n">
        <v>44522</v>
      </c>
      <c r="C557" s="1" t="n">
        <v>45645</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66983-2021</t>
        </is>
      </c>
      <c r="B558" s="1" t="n">
        <v>44522</v>
      </c>
      <c r="C558" s="1" t="n">
        <v>45645</v>
      </c>
      <c r="D558" t="inlineStr">
        <is>
          <t>UPPSALA LÄN</t>
        </is>
      </c>
      <c r="E558" t="inlineStr">
        <is>
          <t>UPPSALA</t>
        </is>
      </c>
      <c r="G558" t="n">
        <v>2.5</v>
      </c>
      <c r="H558" t="n">
        <v>0</v>
      </c>
      <c r="I558" t="n">
        <v>0</v>
      </c>
      <c r="J558" t="n">
        <v>0</v>
      </c>
      <c r="K558" t="n">
        <v>0</v>
      </c>
      <c r="L558" t="n">
        <v>0</v>
      </c>
      <c r="M558" t="n">
        <v>0</v>
      </c>
      <c r="N558" t="n">
        <v>0</v>
      </c>
      <c r="O558" t="n">
        <v>0</v>
      </c>
      <c r="P558" t="n">
        <v>0</v>
      </c>
      <c r="Q558" t="n">
        <v>0</v>
      </c>
      <c r="R558" s="2" t="inlineStr"/>
    </row>
    <row r="559" ht="15" customHeight="1">
      <c r="A559" t="inlineStr">
        <is>
          <t>A 67991-2021</t>
        </is>
      </c>
      <c r="B559" s="1" t="n">
        <v>44525</v>
      </c>
      <c r="C559" s="1" t="n">
        <v>45645</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68696-2021</t>
        </is>
      </c>
      <c r="B560" s="1" t="n">
        <v>44526</v>
      </c>
      <c r="C560" s="1" t="n">
        <v>45645</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45645</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68296-2021</t>
        </is>
      </c>
      <c r="B562" s="1" t="n">
        <v>44526</v>
      </c>
      <c r="C562" s="1" t="n">
        <v>45645</v>
      </c>
      <c r="D562" t="inlineStr">
        <is>
          <t>UPPSALA LÄN</t>
        </is>
      </c>
      <c r="E562" t="inlineStr">
        <is>
          <t>UPPSALA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69067-2021</t>
        </is>
      </c>
      <c r="B563" s="1" t="n">
        <v>44530</v>
      </c>
      <c r="C563" s="1" t="n">
        <v>45645</v>
      </c>
      <c r="D563" t="inlineStr">
        <is>
          <t>UPPSALA LÄN</t>
        </is>
      </c>
      <c r="E563" t="inlineStr">
        <is>
          <t>UPPSALA</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69432-2021</t>
        </is>
      </c>
      <c r="B564" s="1" t="n">
        <v>44531</v>
      </c>
      <c r="C564" s="1" t="n">
        <v>45645</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69214-2021</t>
        </is>
      </c>
      <c r="B565" s="1" t="n">
        <v>44531</v>
      </c>
      <c r="C565" s="1" t="n">
        <v>45645</v>
      </c>
      <c r="D565" t="inlineStr">
        <is>
          <t>UPPSALA LÄN</t>
        </is>
      </c>
      <c r="E565" t="inlineStr">
        <is>
          <t>UPPSALA</t>
        </is>
      </c>
      <c r="F565" t="inlineStr">
        <is>
          <t>Bergvik skog öst AB</t>
        </is>
      </c>
      <c r="G565" t="n">
        <v>3.4</v>
      </c>
      <c r="H565" t="n">
        <v>0</v>
      </c>
      <c r="I565" t="n">
        <v>0</v>
      </c>
      <c r="J565" t="n">
        <v>0</v>
      </c>
      <c r="K565" t="n">
        <v>0</v>
      </c>
      <c r="L565" t="n">
        <v>0</v>
      </c>
      <c r="M565" t="n">
        <v>0</v>
      </c>
      <c r="N565" t="n">
        <v>0</v>
      </c>
      <c r="O565" t="n">
        <v>0</v>
      </c>
      <c r="P565" t="n">
        <v>0</v>
      </c>
      <c r="Q565" t="n">
        <v>0</v>
      </c>
      <c r="R565" s="2" t="inlineStr"/>
    </row>
    <row r="566" ht="15" customHeight="1">
      <c r="A566" t="inlineStr">
        <is>
          <t>A 69397-2021</t>
        </is>
      </c>
      <c r="B566" s="1" t="n">
        <v>44531</v>
      </c>
      <c r="C566" s="1" t="n">
        <v>45645</v>
      </c>
      <c r="D566" t="inlineStr">
        <is>
          <t>UPPSALA LÄN</t>
        </is>
      </c>
      <c r="E566" t="inlineStr">
        <is>
          <t>UPPSALA</t>
        </is>
      </c>
      <c r="F566" t="inlineStr">
        <is>
          <t>Bergvik skog öst AB</t>
        </is>
      </c>
      <c r="G566" t="n">
        <v>3.3</v>
      </c>
      <c r="H566" t="n">
        <v>0</v>
      </c>
      <c r="I566" t="n">
        <v>0</v>
      </c>
      <c r="J566" t="n">
        <v>0</v>
      </c>
      <c r="K566" t="n">
        <v>0</v>
      </c>
      <c r="L566" t="n">
        <v>0</v>
      </c>
      <c r="M566" t="n">
        <v>0</v>
      </c>
      <c r="N566" t="n">
        <v>0</v>
      </c>
      <c r="O566" t="n">
        <v>0</v>
      </c>
      <c r="P566" t="n">
        <v>0</v>
      </c>
      <c r="Q566" t="n">
        <v>0</v>
      </c>
      <c r="R566" s="2" t="inlineStr"/>
    </row>
    <row r="567" ht="15" customHeight="1">
      <c r="A567" t="inlineStr">
        <is>
          <t>A 69436-2021</t>
        </is>
      </c>
      <c r="B567" s="1" t="n">
        <v>44531</v>
      </c>
      <c r="C567" s="1" t="n">
        <v>45645</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69439-2021</t>
        </is>
      </c>
      <c r="B568" s="1" t="n">
        <v>44531</v>
      </c>
      <c r="C568" s="1" t="n">
        <v>45645</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69711-2021</t>
        </is>
      </c>
      <c r="B569" s="1" t="n">
        <v>44532</v>
      </c>
      <c r="C569" s="1" t="n">
        <v>45645</v>
      </c>
      <c r="D569" t="inlineStr">
        <is>
          <t>UPPSALA LÄN</t>
        </is>
      </c>
      <c r="E569" t="inlineStr">
        <is>
          <t>UPPSALA</t>
        </is>
      </c>
      <c r="G569" t="n">
        <v>10.2</v>
      </c>
      <c r="H569" t="n">
        <v>0</v>
      </c>
      <c r="I569" t="n">
        <v>0</v>
      </c>
      <c r="J569" t="n">
        <v>0</v>
      </c>
      <c r="K569" t="n">
        <v>0</v>
      </c>
      <c r="L569" t="n">
        <v>0</v>
      </c>
      <c r="M569" t="n">
        <v>0</v>
      </c>
      <c r="N569" t="n">
        <v>0</v>
      </c>
      <c r="O569" t="n">
        <v>0</v>
      </c>
      <c r="P569" t="n">
        <v>0</v>
      </c>
      <c r="Q569" t="n">
        <v>0</v>
      </c>
      <c r="R569" s="2" t="inlineStr"/>
    </row>
    <row r="570" ht="15" customHeight="1">
      <c r="A570" t="inlineStr">
        <is>
          <t>A 69595-2021</t>
        </is>
      </c>
      <c r="B570" s="1" t="n">
        <v>44532</v>
      </c>
      <c r="C570" s="1" t="n">
        <v>45645</v>
      </c>
      <c r="D570" t="inlineStr">
        <is>
          <t>UPPSALA LÄN</t>
        </is>
      </c>
      <c r="E570" t="inlineStr">
        <is>
          <t>UPPSALA</t>
        </is>
      </c>
      <c r="G570" t="n">
        <v>3.9</v>
      </c>
      <c r="H570" t="n">
        <v>0</v>
      </c>
      <c r="I570" t="n">
        <v>0</v>
      </c>
      <c r="J570" t="n">
        <v>0</v>
      </c>
      <c r="K570" t="n">
        <v>0</v>
      </c>
      <c r="L570" t="n">
        <v>0</v>
      </c>
      <c r="M570" t="n">
        <v>0</v>
      </c>
      <c r="N570" t="n">
        <v>0</v>
      </c>
      <c r="O570" t="n">
        <v>0</v>
      </c>
      <c r="P570" t="n">
        <v>0</v>
      </c>
      <c r="Q570" t="n">
        <v>0</v>
      </c>
      <c r="R570" s="2" t="inlineStr"/>
    </row>
    <row r="571" ht="15" customHeight="1">
      <c r="A571" t="inlineStr">
        <is>
          <t>A 69698-2021</t>
        </is>
      </c>
      <c r="B571" s="1" t="n">
        <v>44532</v>
      </c>
      <c r="C571" s="1" t="n">
        <v>45645</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45645</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70032-2021</t>
        </is>
      </c>
      <c r="B573" s="1" t="n">
        <v>44533</v>
      </c>
      <c r="C573" s="1" t="n">
        <v>45645</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70031-2021</t>
        </is>
      </c>
      <c r="B574" s="1" t="n">
        <v>44533</v>
      </c>
      <c r="C574" s="1" t="n">
        <v>45645</v>
      </c>
      <c r="D574" t="inlineStr">
        <is>
          <t>UPPSALA LÄN</t>
        </is>
      </c>
      <c r="E574" t="inlineStr">
        <is>
          <t>UPPSALA</t>
        </is>
      </c>
      <c r="G574" t="n">
        <v>1.4</v>
      </c>
      <c r="H574" t="n">
        <v>0</v>
      </c>
      <c r="I574" t="n">
        <v>0</v>
      </c>
      <c r="J574" t="n">
        <v>0</v>
      </c>
      <c r="K574" t="n">
        <v>0</v>
      </c>
      <c r="L574" t="n">
        <v>0</v>
      </c>
      <c r="M574" t="n">
        <v>0</v>
      </c>
      <c r="N574" t="n">
        <v>0</v>
      </c>
      <c r="O574" t="n">
        <v>0</v>
      </c>
      <c r="P574" t="n">
        <v>0</v>
      </c>
      <c r="Q574" t="n">
        <v>0</v>
      </c>
      <c r="R574" s="2" t="inlineStr"/>
    </row>
    <row r="575" ht="15" customHeight="1">
      <c r="A575" t="inlineStr">
        <is>
          <t>A 70359-2021</t>
        </is>
      </c>
      <c r="B575" s="1" t="n">
        <v>44535</v>
      </c>
      <c r="C575" s="1" t="n">
        <v>45645</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70228-2021</t>
        </is>
      </c>
      <c r="B576" s="1" t="n">
        <v>44535</v>
      </c>
      <c r="C576" s="1" t="n">
        <v>45645</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70996-2021</t>
        </is>
      </c>
      <c r="B577" s="1" t="n">
        <v>44538</v>
      </c>
      <c r="C577" s="1" t="n">
        <v>45645</v>
      </c>
      <c r="D577" t="inlineStr">
        <is>
          <t>UPPSALA LÄN</t>
        </is>
      </c>
      <c r="E577" t="inlineStr">
        <is>
          <t>UPPSALA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71563-2021</t>
        </is>
      </c>
      <c r="B578" s="1" t="n">
        <v>44540</v>
      </c>
      <c r="C578" s="1" t="n">
        <v>45645</v>
      </c>
      <c r="D578" t="inlineStr">
        <is>
          <t>UPPSALA LÄN</t>
        </is>
      </c>
      <c r="E578" t="inlineStr">
        <is>
          <t>UPPSALA</t>
        </is>
      </c>
      <c r="F578" t="inlineStr">
        <is>
          <t>Allmännings- och besparingsskogar</t>
        </is>
      </c>
      <c r="G578" t="n">
        <v>7.7</v>
      </c>
      <c r="H578" t="n">
        <v>0</v>
      </c>
      <c r="I578" t="n">
        <v>0</v>
      </c>
      <c r="J578" t="n">
        <v>0</v>
      </c>
      <c r="K578" t="n">
        <v>0</v>
      </c>
      <c r="L578" t="n">
        <v>0</v>
      </c>
      <c r="M578" t="n">
        <v>0</v>
      </c>
      <c r="N578" t="n">
        <v>0</v>
      </c>
      <c r="O578" t="n">
        <v>0</v>
      </c>
      <c r="P578" t="n">
        <v>0</v>
      </c>
      <c r="Q578" t="n">
        <v>0</v>
      </c>
      <c r="R578" s="2" t="inlineStr"/>
    </row>
    <row r="579" ht="15" customHeight="1">
      <c r="A579" t="inlineStr">
        <is>
          <t>A 71675-2021</t>
        </is>
      </c>
      <c r="B579" s="1" t="n">
        <v>44543</v>
      </c>
      <c r="C579" s="1" t="n">
        <v>45645</v>
      </c>
      <c r="D579" t="inlineStr">
        <is>
          <t>UPPSALA LÄN</t>
        </is>
      </c>
      <c r="E579" t="inlineStr">
        <is>
          <t>UPPSALA</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71643-2021</t>
        </is>
      </c>
      <c r="B580" s="1" t="n">
        <v>44543</v>
      </c>
      <c r="C580" s="1" t="n">
        <v>45645</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71671-2021</t>
        </is>
      </c>
      <c r="B581" s="1" t="n">
        <v>44543</v>
      </c>
      <c r="C581" s="1" t="n">
        <v>45645</v>
      </c>
      <c r="D581" t="inlineStr">
        <is>
          <t>UPPSALA LÄN</t>
        </is>
      </c>
      <c r="E581" t="inlineStr">
        <is>
          <t>UPPSALA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72225-2021</t>
        </is>
      </c>
      <c r="B582" s="1" t="n">
        <v>44544</v>
      </c>
      <c r="C582" s="1" t="n">
        <v>45645</v>
      </c>
      <c r="D582" t="inlineStr">
        <is>
          <t>UPPSALA LÄN</t>
        </is>
      </c>
      <c r="E582" t="inlineStr">
        <is>
          <t>UPPSALA</t>
        </is>
      </c>
      <c r="G582" t="n">
        <v>6.2</v>
      </c>
      <c r="H582" t="n">
        <v>0</v>
      </c>
      <c r="I582" t="n">
        <v>0</v>
      </c>
      <c r="J582" t="n">
        <v>0</v>
      </c>
      <c r="K582" t="n">
        <v>0</v>
      </c>
      <c r="L582" t="n">
        <v>0</v>
      </c>
      <c r="M582" t="n">
        <v>0</v>
      </c>
      <c r="N582" t="n">
        <v>0</v>
      </c>
      <c r="O582" t="n">
        <v>0</v>
      </c>
      <c r="P582" t="n">
        <v>0</v>
      </c>
      <c r="Q582" t="n">
        <v>0</v>
      </c>
      <c r="R582" s="2" t="inlineStr"/>
    </row>
    <row r="583" ht="15" customHeight="1">
      <c r="A583" t="inlineStr">
        <is>
          <t>A 72224-2021</t>
        </is>
      </c>
      <c r="B583" s="1" t="n">
        <v>44544</v>
      </c>
      <c r="C583" s="1" t="n">
        <v>45645</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72973-2021</t>
        </is>
      </c>
      <c r="B584" s="1" t="n">
        <v>44548</v>
      </c>
      <c r="C584" s="1" t="n">
        <v>45645</v>
      </c>
      <c r="D584" t="inlineStr">
        <is>
          <t>UPPSALA LÄN</t>
        </is>
      </c>
      <c r="E584" t="inlineStr">
        <is>
          <t>UPPSALA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73326-2021</t>
        </is>
      </c>
      <c r="B585" s="1" t="n">
        <v>44548</v>
      </c>
      <c r="C585" s="1" t="n">
        <v>45645</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73044-2021</t>
        </is>
      </c>
      <c r="B586" s="1" t="n">
        <v>44550</v>
      </c>
      <c r="C586" s="1" t="n">
        <v>45645</v>
      </c>
      <c r="D586" t="inlineStr">
        <is>
          <t>UPPSALA LÄN</t>
        </is>
      </c>
      <c r="E586" t="inlineStr">
        <is>
          <t>UPPSALA</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73468-2021</t>
        </is>
      </c>
      <c r="B587" s="1" t="n">
        <v>44551</v>
      </c>
      <c r="C587" s="1" t="n">
        <v>45645</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73518-2021</t>
        </is>
      </c>
      <c r="B588" s="1" t="n">
        <v>44551</v>
      </c>
      <c r="C588" s="1" t="n">
        <v>45645</v>
      </c>
      <c r="D588" t="inlineStr">
        <is>
          <t>UPPSALA LÄN</t>
        </is>
      </c>
      <c r="E588" t="inlineStr">
        <is>
          <t>UPPSALA</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73531-2021</t>
        </is>
      </c>
      <c r="B589" s="1" t="n">
        <v>44551</v>
      </c>
      <c r="C589" s="1" t="n">
        <v>45645</v>
      </c>
      <c r="D589" t="inlineStr">
        <is>
          <t>UPPSALA LÄN</t>
        </is>
      </c>
      <c r="E589" t="inlineStr">
        <is>
          <t>UPPSALA</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74019-2021</t>
        </is>
      </c>
      <c r="B590" s="1" t="n">
        <v>44553</v>
      </c>
      <c r="C590" s="1" t="n">
        <v>45645</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74023-2021</t>
        </is>
      </c>
      <c r="B591" s="1" t="n">
        <v>44553</v>
      </c>
      <c r="C591" s="1" t="n">
        <v>45645</v>
      </c>
      <c r="D591" t="inlineStr">
        <is>
          <t>UPPSALA LÄN</t>
        </is>
      </c>
      <c r="E591" t="inlineStr">
        <is>
          <t>UPPSALA</t>
        </is>
      </c>
      <c r="G591" t="n">
        <v>5.4</v>
      </c>
      <c r="H591" t="n">
        <v>0</v>
      </c>
      <c r="I591" t="n">
        <v>0</v>
      </c>
      <c r="J591" t="n">
        <v>0</v>
      </c>
      <c r="K591" t="n">
        <v>0</v>
      </c>
      <c r="L591" t="n">
        <v>0</v>
      </c>
      <c r="M591" t="n">
        <v>0</v>
      </c>
      <c r="N591" t="n">
        <v>0</v>
      </c>
      <c r="O591" t="n">
        <v>0</v>
      </c>
      <c r="P591" t="n">
        <v>0</v>
      </c>
      <c r="Q591" t="n">
        <v>0</v>
      </c>
      <c r="R591" s="2" t="inlineStr"/>
    </row>
    <row r="592" ht="15" customHeight="1">
      <c r="A592" t="inlineStr">
        <is>
          <t>A 74493-2021</t>
        </is>
      </c>
      <c r="B592" s="1" t="n">
        <v>44560</v>
      </c>
      <c r="C592" s="1" t="n">
        <v>45645</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74495-2021</t>
        </is>
      </c>
      <c r="B593" s="1" t="n">
        <v>44560</v>
      </c>
      <c r="C593" s="1" t="n">
        <v>45645</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612-2022</t>
        </is>
      </c>
      <c r="B594" s="1" t="n">
        <v>44567</v>
      </c>
      <c r="C594" s="1" t="n">
        <v>45645</v>
      </c>
      <c r="D594" t="inlineStr">
        <is>
          <t>UPPSALA LÄN</t>
        </is>
      </c>
      <c r="E594" t="inlineStr">
        <is>
          <t>UPPSALA</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733-2022</t>
        </is>
      </c>
      <c r="B595" s="1" t="n">
        <v>44568</v>
      </c>
      <c r="C595" s="1" t="n">
        <v>45645</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v>
      </c>
      <c r="C596" s="1" t="n">
        <v>45645</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750-2022</t>
        </is>
      </c>
      <c r="B597" s="1" t="n">
        <v>44569</v>
      </c>
      <c r="C597" s="1" t="n">
        <v>45645</v>
      </c>
      <c r="D597" t="inlineStr">
        <is>
          <t>UPPSALA LÄN</t>
        </is>
      </c>
      <c r="E597" t="inlineStr">
        <is>
          <t>UPPSALA</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759-2022</t>
        </is>
      </c>
      <c r="B598" s="1" t="n">
        <v>44569</v>
      </c>
      <c r="C598" s="1" t="n">
        <v>45645</v>
      </c>
      <c r="D598" t="inlineStr">
        <is>
          <t>UPPSALA LÄN</t>
        </is>
      </c>
      <c r="E598" t="inlineStr">
        <is>
          <t>UPPSALA</t>
        </is>
      </c>
      <c r="F598" t="inlineStr">
        <is>
          <t>Holmen skog AB</t>
        </is>
      </c>
      <c r="G598" t="n">
        <v>3.6</v>
      </c>
      <c r="H598" t="n">
        <v>0</v>
      </c>
      <c r="I598" t="n">
        <v>0</v>
      </c>
      <c r="J598" t="n">
        <v>0</v>
      </c>
      <c r="K598" t="n">
        <v>0</v>
      </c>
      <c r="L598" t="n">
        <v>0</v>
      </c>
      <c r="M598" t="n">
        <v>0</v>
      </c>
      <c r="N598" t="n">
        <v>0</v>
      </c>
      <c r="O598" t="n">
        <v>0</v>
      </c>
      <c r="P598" t="n">
        <v>0</v>
      </c>
      <c r="Q598" t="n">
        <v>0</v>
      </c>
      <c r="R598" s="2" t="inlineStr"/>
    </row>
    <row r="599" ht="15" customHeight="1">
      <c r="A599" t="inlineStr">
        <is>
          <t>A 758-2022</t>
        </is>
      </c>
      <c r="B599" s="1" t="n">
        <v>44569</v>
      </c>
      <c r="C599" s="1" t="n">
        <v>45645</v>
      </c>
      <c r="D599" t="inlineStr">
        <is>
          <t>UPPSALA LÄN</t>
        </is>
      </c>
      <c r="E599" t="inlineStr">
        <is>
          <t>UPPSALA</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917-2022</t>
        </is>
      </c>
      <c r="B600" s="1" t="n">
        <v>44571</v>
      </c>
      <c r="C600" s="1" t="n">
        <v>45645</v>
      </c>
      <c r="D600" t="inlineStr">
        <is>
          <t>UPPSALA LÄN</t>
        </is>
      </c>
      <c r="E600" t="inlineStr">
        <is>
          <t>UPPSALA</t>
        </is>
      </c>
      <c r="F600" t="inlineStr">
        <is>
          <t>Bergvik skog öst AB</t>
        </is>
      </c>
      <c r="G600" t="n">
        <v>4.1</v>
      </c>
      <c r="H600" t="n">
        <v>0</v>
      </c>
      <c r="I600" t="n">
        <v>0</v>
      </c>
      <c r="J600" t="n">
        <v>0</v>
      </c>
      <c r="K600" t="n">
        <v>0</v>
      </c>
      <c r="L600" t="n">
        <v>0</v>
      </c>
      <c r="M600" t="n">
        <v>0</v>
      </c>
      <c r="N600" t="n">
        <v>0</v>
      </c>
      <c r="O600" t="n">
        <v>0</v>
      </c>
      <c r="P600" t="n">
        <v>0</v>
      </c>
      <c r="Q600" t="n">
        <v>0</v>
      </c>
      <c r="R600" s="2" t="inlineStr"/>
    </row>
    <row r="601" ht="15" customHeight="1">
      <c r="A601" t="inlineStr">
        <is>
          <t>A 874-2022</t>
        </is>
      </c>
      <c r="B601" s="1" t="n">
        <v>44571</v>
      </c>
      <c r="C601" s="1" t="n">
        <v>45645</v>
      </c>
      <c r="D601" t="inlineStr">
        <is>
          <t>UPPSALA LÄN</t>
        </is>
      </c>
      <c r="E601" t="inlineStr">
        <is>
          <t>UPPSALA</t>
        </is>
      </c>
      <c r="G601" t="n">
        <v>7.2</v>
      </c>
      <c r="H601" t="n">
        <v>0</v>
      </c>
      <c r="I601" t="n">
        <v>0</v>
      </c>
      <c r="J601" t="n">
        <v>0</v>
      </c>
      <c r="K601" t="n">
        <v>0</v>
      </c>
      <c r="L601" t="n">
        <v>0</v>
      </c>
      <c r="M601" t="n">
        <v>0</v>
      </c>
      <c r="N601" t="n">
        <v>0</v>
      </c>
      <c r="O601" t="n">
        <v>0</v>
      </c>
      <c r="P601" t="n">
        <v>0</v>
      </c>
      <c r="Q601" t="n">
        <v>0</v>
      </c>
      <c r="R601" s="2" t="inlineStr"/>
    </row>
    <row r="602" ht="15" customHeight="1">
      <c r="A602" t="inlineStr">
        <is>
          <t>A 1037-2022</t>
        </is>
      </c>
      <c r="B602" s="1" t="n">
        <v>44571</v>
      </c>
      <c r="C602" s="1" t="n">
        <v>45645</v>
      </c>
      <c r="D602" t="inlineStr">
        <is>
          <t>UPPSALA LÄN</t>
        </is>
      </c>
      <c r="E602" t="inlineStr">
        <is>
          <t>UPPSALA</t>
        </is>
      </c>
      <c r="F602" t="inlineStr">
        <is>
          <t>Holmen skog AB</t>
        </is>
      </c>
      <c r="G602" t="n">
        <v>2.7</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v>
      </c>
      <c r="C603" s="1" t="n">
        <v>45645</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1298-2022</t>
        </is>
      </c>
      <c r="B604" s="1" t="n">
        <v>44572</v>
      </c>
      <c r="C604" s="1" t="n">
        <v>45645</v>
      </c>
      <c r="D604" t="inlineStr">
        <is>
          <t>UPPSALA LÄN</t>
        </is>
      </c>
      <c r="E604" t="inlineStr">
        <is>
          <t>UPPSALA</t>
        </is>
      </c>
      <c r="F604" t="inlineStr">
        <is>
          <t>Holmen skog AB</t>
        </is>
      </c>
      <c r="G604" t="n">
        <v>5.3</v>
      </c>
      <c r="H604" t="n">
        <v>0</v>
      </c>
      <c r="I604" t="n">
        <v>0</v>
      </c>
      <c r="J604" t="n">
        <v>0</v>
      </c>
      <c r="K604" t="n">
        <v>0</v>
      </c>
      <c r="L604" t="n">
        <v>0</v>
      </c>
      <c r="M604" t="n">
        <v>0</v>
      </c>
      <c r="N604" t="n">
        <v>0</v>
      </c>
      <c r="O604" t="n">
        <v>0</v>
      </c>
      <c r="P604" t="n">
        <v>0</v>
      </c>
      <c r="Q604" t="n">
        <v>0</v>
      </c>
      <c r="R604" s="2" t="inlineStr"/>
    </row>
    <row r="605" ht="15" customHeight="1">
      <c r="A605" t="inlineStr">
        <is>
          <t>A 1731-2022</t>
        </is>
      </c>
      <c r="B605" s="1" t="n">
        <v>44574</v>
      </c>
      <c r="C605" s="1" t="n">
        <v>45645</v>
      </c>
      <c r="D605" t="inlineStr">
        <is>
          <t>UPPSALA LÄN</t>
        </is>
      </c>
      <c r="E605" t="inlineStr">
        <is>
          <t>UPPSALA</t>
        </is>
      </c>
      <c r="G605" t="n">
        <v>10.1</v>
      </c>
      <c r="H605" t="n">
        <v>0</v>
      </c>
      <c r="I605" t="n">
        <v>0</v>
      </c>
      <c r="J605" t="n">
        <v>0</v>
      </c>
      <c r="K605" t="n">
        <v>0</v>
      </c>
      <c r="L605" t="n">
        <v>0</v>
      </c>
      <c r="M605" t="n">
        <v>0</v>
      </c>
      <c r="N605" t="n">
        <v>0</v>
      </c>
      <c r="O605" t="n">
        <v>0</v>
      </c>
      <c r="P605" t="n">
        <v>0</v>
      </c>
      <c r="Q605" t="n">
        <v>0</v>
      </c>
      <c r="R605" s="2" t="inlineStr"/>
    </row>
    <row r="606" ht="15" customHeight="1">
      <c r="A606" t="inlineStr">
        <is>
          <t>A 1963-2022</t>
        </is>
      </c>
      <c r="B606" s="1" t="n">
        <v>44575</v>
      </c>
      <c r="C606" s="1" t="n">
        <v>45645</v>
      </c>
      <c r="D606" t="inlineStr">
        <is>
          <t>UPPSALA LÄN</t>
        </is>
      </c>
      <c r="E606" t="inlineStr">
        <is>
          <t>UPPSALA</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1975-2022</t>
        </is>
      </c>
      <c r="B607" s="1" t="n">
        <v>44575</v>
      </c>
      <c r="C607" s="1" t="n">
        <v>45645</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1936-2022</t>
        </is>
      </c>
      <c r="B608" s="1" t="n">
        <v>44575</v>
      </c>
      <c r="C608" s="1" t="n">
        <v>45645</v>
      </c>
      <c r="D608" t="inlineStr">
        <is>
          <t>UPPSALA LÄN</t>
        </is>
      </c>
      <c r="E608" t="inlineStr">
        <is>
          <t>UPPSALA</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1978-2022</t>
        </is>
      </c>
      <c r="B609" s="1" t="n">
        <v>44575</v>
      </c>
      <c r="C609" s="1" t="n">
        <v>45645</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2017-2022</t>
        </is>
      </c>
      <c r="B610" s="1" t="n">
        <v>44575</v>
      </c>
      <c r="C610" s="1" t="n">
        <v>45645</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2228-2022</t>
        </is>
      </c>
      <c r="B611" s="1" t="n">
        <v>44578</v>
      </c>
      <c r="C611" s="1" t="n">
        <v>45645</v>
      </c>
      <c r="D611" t="inlineStr">
        <is>
          <t>UPPSALA LÄN</t>
        </is>
      </c>
      <c r="E611" t="inlineStr">
        <is>
          <t>UPPSALA</t>
        </is>
      </c>
      <c r="F611" t="inlineStr">
        <is>
          <t>Bergvik skog öst AB</t>
        </is>
      </c>
      <c r="G611" t="n">
        <v>3.9</v>
      </c>
      <c r="H611" t="n">
        <v>0</v>
      </c>
      <c r="I611" t="n">
        <v>0</v>
      </c>
      <c r="J611" t="n">
        <v>0</v>
      </c>
      <c r="K611" t="n">
        <v>0</v>
      </c>
      <c r="L611" t="n">
        <v>0</v>
      </c>
      <c r="M611" t="n">
        <v>0</v>
      </c>
      <c r="N611" t="n">
        <v>0</v>
      </c>
      <c r="O611" t="n">
        <v>0</v>
      </c>
      <c r="P611" t="n">
        <v>0</v>
      </c>
      <c r="Q611" t="n">
        <v>0</v>
      </c>
      <c r="R611" s="2" t="inlineStr"/>
    </row>
    <row r="612" ht="15" customHeight="1">
      <c r="A612" t="inlineStr">
        <is>
          <t>A 2927-2022</t>
        </is>
      </c>
      <c r="B612" s="1" t="n">
        <v>44581</v>
      </c>
      <c r="C612" s="1" t="n">
        <v>45645</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3259-2022</t>
        </is>
      </c>
      <c r="B613" s="1" t="n">
        <v>44583</v>
      </c>
      <c r="C613" s="1" t="n">
        <v>45645</v>
      </c>
      <c r="D613" t="inlineStr">
        <is>
          <t>UPPSALA LÄN</t>
        </is>
      </c>
      <c r="E613" t="inlineStr">
        <is>
          <t>UPPSALA</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3261-2022</t>
        </is>
      </c>
      <c r="B614" s="1" t="n">
        <v>44583</v>
      </c>
      <c r="C614" s="1" t="n">
        <v>45645</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3252-2022</t>
        </is>
      </c>
      <c r="B615" s="1" t="n">
        <v>44583</v>
      </c>
      <c r="C615" s="1" t="n">
        <v>45645</v>
      </c>
      <c r="D615" t="inlineStr">
        <is>
          <t>UPPSALA LÄN</t>
        </is>
      </c>
      <c r="E615" t="inlineStr">
        <is>
          <t>UPPSALA</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3258-2022</t>
        </is>
      </c>
      <c r="B616" s="1" t="n">
        <v>44583</v>
      </c>
      <c r="C616" s="1" t="n">
        <v>45645</v>
      </c>
      <c r="D616" t="inlineStr">
        <is>
          <t>UPPSALA LÄN</t>
        </is>
      </c>
      <c r="E616" t="inlineStr">
        <is>
          <t>UPPSALA</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3262-2022</t>
        </is>
      </c>
      <c r="B617" s="1" t="n">
        <v>44583</v>
      </c>
      <c r="C617" s="1" t="n">
        <v>45645</v>
      </c>
      <c r="D617" t="inlineStr">
        <is>
          <t>UPPSALA LÄN</t>
        </is>
      </c>
      <c r="E617" t="inlineStr">
        <is>
          <t>UPPSALA</t>
        </is>
      </c>
      <c r="F617" t="inlineStr">
        <is>
          <t>Holmen skog AB</t>
        </is>
      </c>
      <c r="G617" t="n">
        <v>5.4</v>
      </c>
      <c r="H617" t="n">
        <v>0</v>
      </c>
      <c r="I617" t="n">
        <v>0</v>
      </c>
      <c r="J617" t="n">
        <v>0</v>
      </c>
      <c r="K617" t="n">
        <v>0</v>
      </c>
      <c r="L617" t="n">
        <v>0</v>
      </c>
      <c r="M617" t="n">
        <v>0</v>
      </c>
      <c r="N617" t="n">
        <v>0</v>
      </c>
      <c r="O617" t="n">
        <v>0</v>
      </c>
      <c r="P617" t="n">
        <v>0</v>
      </c>
      <c r="Q617" t="n">
        <v>0</v>
      </c>
      <c r="R617" s="2" t="inlineStr"/>
    </row>
    <row r="618" ht="15" customHeight="1">
      <c r="A618" t="inlineStr">
        <is>
          <t>A 3255-2022</t>
        </is>
      </c>
      <c r="B618" s="1" t="n">
        <v>44583</v>
      </c>
      <c r="C618" s="1" t="n">
        <v>45645</v>
      </c>
      <c r="D618" t="inlineStr">
        <is>
          <t>UPPSALA LÄN</t>
        </is>
      </c>
      <c r="E618" t="inlineStr">
        <is>
          <t>UPPSALA</t>
        </is>
      </c>
      <c r="F618" t="inlineStr">
        <is>
          <t>Holmen skog AB</t>
        </is>
      </c>
      <c r="G618" t="n">
        <v>5.6</v>
      </c>
      <c r="H618" t="n">
        <v>0</v>
      </c>
      <c r="I618" t="n">
        <v>0</v>
      </c>
      <c r="J618" t="n">
        <v>0</v>
      </c>
      <c r="K618" t="n">
        <v>0</v>
      </c>
      <c r="L618" t="n">
        <v>0</v>
      </c>
      <c r="M618" t="n">
        <v>0</v>
      </c>
      <c r="N618" t="n">
        <v>0</v>
      </c>
      <c r="O618" t="n">
        <v>0</v>
      </c>
      <c r="P618" t="n">
        <v>0</v>
      </c>
      <c r="Q618" t="n">
        <v>0</v>
      </c>
      <c r="R618" s="2" t="inlineStr"/>
    </row>
    <row r="619" ht="15" customHeight="1">
      <c r="A619" t="inlineStr">
        <is>
          <t>A 3260-2022</t>
        </is>
      </c>
      <c r="B619" s="1" t="n">
        <v>44583</v>
      </c>
      <c r="C619" s="1" t="n">
        <v>45645</v>
      </c>
      <c r="D619" t="inlineStr">
        <is>
          <t>UPPSALA LÄN</t>
        </is>
      </c>
      <c r="E619" t="inlineStr">
        <is>
          <t>UPPSALA</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3284-2022</t>
        </is>
      </c>
      <c r="B620" s="1" t="n">
        <v>44584</v>
      </c>
      <c r="C620" s="1" t="n">
        <v>45645</v>
      </c>
      <c r="D620" t="inlineStr">
        <is>
          <t>UPPSALA LÄN</t>
        </is>
      </c>
      <c r="E620" t="inlineStr">
        <is>
          <t>UPPSALA</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3287-2022</t>
        </is>
      </c>
      <c r="B621" s="1" t="n">
        <v>44584</v>
      </c>
      <c r="C621" s="1" t="n">
        <v>45645</v>
      </c>
      <c r="D621" t="inlineStr">
        <is>
          <t>UPPSALA LÄN</t>
        </is>
      </c>
      <c r="E621" t="inlineStr">
        <is>
          <t>UPPSALA</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4059-2022</t>
        </is>
      </c>
      <c r="B622" s="1" t="n">
        <v>44588</v>
      </c>
      <c r="C622" s="1" t="n">
        <v>45645</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4312-2022</t>
        </is>
      </c>
      <c r="B623" s="1" t="n">
        <v>44588</v>
      </c>
      <c r="C623" s="1" t="n">
        <v>45645</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4444-2022</t>
        </is>
      </c>
      <c r="B624" s="1" t="n">
        <v>44589</v>
      </c>
      <c r="C624" s="1" t="n">
        <v>45645</v>
      </c>
      <c r="D624" t="inlineStr">
        <is>
          <t>UPPSALA LÄN</t>
        </is>
      </c>
      <c r="E624" t="inlineStr">
        <is>
          <t>UPPSALA</t>
        </is>
      </c>
      <c r="G624" t="n">
        <v>3.2</v>
      </c>
      <c r="H624" t="n">
        <v>0</v>
      </c>
      <c r="I624" t="n">
        <v>0</v>
      </c>
      <c r="J624" t="n">
        <v>0</v>
      </c>
      <c r="K624" t="n">
        <v>0</v>
      </c>
      <c r="L624" t="n">
        <v>0</v>
      </c>
      <c r="M624" t="n">
        <v>0</v>
      </c>
      <c r="N624" t="n">
        <v>0</v>
      </c>
      <c r="O624" t="n">
        <v>0</v>
      </c>
      <c r="P624" t="n">
        <v>0</v>
      </c>
      <c r="Q624" t="n">
        <v>0</v>
      </c>
      <c r="R624" s="2" t="inlineStr"/>
    </row>
    <row r="625" ht="15" customHeight="1">
      <c r="A625" t="inlineStr">
        <is>
          <t>A 4929-2022</t>
        </is>
      </c>
      <c r="B625" s="1" t="n">
        <v>44593</v>
      </c>
      <c r="C625" s="1" t="n">
        <v>45645</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5027-2022</t>
        </is>
      </c>
      <c r="B626" s="1" t="n">
        <v>44593</v>
      </c>
      <c r="C626" s="1" t="n">
        <v>45645</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5081-2022</t>
        </is>
      </c>
      <c r="B627" s="1" t="n">
        <v>44593</v>
      </c>
      <c r="C627" s="1" t="n">
        <v>45645</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5007-2022</t>
        </is>
      </c>
      <c r="B628" s="1" t="n">
        <v>44593</v>
      </c>
      <c r="C628" s="1" t="n">
        <v>45645</v>
      </c>
      <c r="D628" t="inlineStr">
        <is>
          <t>UPPSALA LÄN</t>
        </is>
      </c>
      <c r="E628" t="inlineStr">
        <is>
          <t>UPPSALA</t>
        </is>
      </c>
      <c r="F628" t="inlineStr">
        <is>
          <t>BillerudKorsnäs AB</t>
        </is>
      </c>
      <c r="G628" t="n">
        <v>3.6</v>
      </c>
      <c r="H628" t="n">
        <v>0</v>
      </c>
      <c r="I628" t="n">
        <v>0</v>
      </c>
      <c r="J628" t="n">
        <v>0</v>
      </c>
      <c r="K628" t="n">
        <v>0</v>
      </c>
      <c r="L628" t="n">
        <v>0</v>
      </c>
      <c r="M628" t="n">
        <v>0</v>
      </c>
      <c r="N628" t="n">
        <v>0</v>
      </c>
      <c r="O628" t="n">
        <v>0</v>
      </c>
      <c r="P628" t="n">
        <v>0</v>
      </c>
      <c r="Q628" t="n">
        <v>0</v>
      </c>
      <c r="R628" s="2" t="inlineStr"/>
    </row>
    <row r="629" ht="15" customHeight="1">
      <c r="A629" t="inlineStr">
        <is>
          <t>A 5006-2022</t>
        </is>
      </c>
      <c r="B629" s="1" t="n">
        <v>44593</v>
      </c>
      <c r="C629" s="1" t="n">
        <v>45645</v>
      </c>
      <c r="D629" t="inlineStr">
        <is>
          <t>UPPSALA LÄN</t>
        </is>
      </c>
      <c r="E629" t="inlineStr">
        <is>
          <t>UPPSALA</t>
        </is>
      </c>
      <c r="F629" t="inlineStr">
        <is>
          <t>BillerudKorsnäs AB</t>
        </is>
      </c>
      <c r="G629" t="n">
        <v>1.4</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v>
      </c>
      <c r="C630" s="1" t="n">
        <v>45645</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5309-2022</t>
        </is>
      </c>
      <c r="B631" s="1" t="n">
        <v>44594</v>
      </c>
      <c r="C631" s="1" t="n">
        <v>45645</v>
      </c>
      <c r="D631" t="inlineStr">
        <is>
          <t>UPPSALA LÄN</t>
        </is>
      </c>
      <c r="E631" t="inlineStr">
        <is>
          <t>UPPSALA</t>
        </is>
      </c>
      <c r="G631" t="n">
        <v>4.8</v>
      </c>
      <c r="H631" t="n">
        <v>0</v>
      </c>
      <c r="I631" t="n">
        <v>0</v>
      </c>
      <c r="J631" t="n">
        <v>0</v>
      </c>
      <c r="K631" t="n">
        <v>0</v>
      </c>
      <c r="L631" t="n">
        <v>0</v>
      </c>
      <c r="M631" t="n">
        <v>0</v>
      </c>
      <c r="N631" t="n">
        <v>0</v>
      </c>
      <c r="O631" t="n">
        <v>0</v>
      </c>
      <c r="P631" t="n">
        <v>0</v>
      </c>
      <c r="Q631" t="n">
        <v>0</v>
      </c>
      <c r="R631" s="2" t="inlineStr"/>
    </row>
    <row r="632" ht="15" customHeight="1">
      <c r="A632" t="inlineStr">
        <is>
          <t>A 5189-2022</t>
        </is>
      </c>
      <c r="B632" s="1" t="n">
        <v>44594</v>
      </c>
      <c r="C632" s="1" t="n">
        <v>45645</v>
      </c>
      <c r="D632" t="inlineStr">
        <is>
          <t>UPPSALA LÄN</t>
        </is>
      </c>
      <c r="E632" t="inlineStr">
        <is>
          <t>UPPSALA</t>
        </is>
      </c>
      <c r="G632" t="n">
        <v>5.9</v>
      </c>
      <c r="H632" t="n">
        <v>0</v>
      </c>
      <c r="I632" t="n">
        <v>0</v>
      </c>
      <c r="J632" t="n">
        <v>0</v>
      </c>
      <c r="K632" t="n">
        <v>0</v>
      </c>
      <c r="L632" t="n">
        <v>0</v>
      </c>
      <c r="M632" t="n">
        <v>0</v>
      </c>
      <c r="N632" t="n">
        <v>0</v>
      </c>
      <c r="O632" t="n">
        <v>0</v>
      </c>
      <c r="P632" t="n">
        <v>0</v>
      </c>
      <c r="Q632" t="n">
        <v>0</v>
      </c>
      <c r="R632" s="2" t="inlineStr"/>
    </row>
    <row r="633" ht="15" customHeight="1">
      <c r="A633" t="inlineStr">
        <is>
          <t>A 5924-2022</t>
        </is>
      </c>
      <c r="B633" s="1" t="n">
        <v>44598</v>
      </c>
      <c r="C633" s="1" t="n">
        <v>45645</v>
      </c>
      <c r="D633" t="inlineStr">
        <is>
          <t>UPPSALA LÄN</t>
        </is>
      </c>
      <c r="E633" t="inlineStr">
        <is>
          <t>UPPSALA</t>
        </is>
      </c>
      <c r="G633" t="n">
        <v>6.8</v>
      </c>
      <c r="H633" t="n">
        <v>0</v>
      </c>
      <c r="I633" t="n">
        <v>0</v>
      </c>
      <c r="J633" t="n">
        <v>0</v>
      </c>
      <c r="K633" t="n">
        <v>0</v>
      </c>
      <c r="L633" t="n">
        <v>0</v>
      </c>
      <c r="M633" t="n">
        <v>0</v>
      </c>
      <c r="N633" t="n">
        <v>0</v>
      </c>
      <c r="O633" t="n">
        <v>0</v>
      </c>
      <c r="P633" t="n">
        <v>0</v>
      </c>
      <c r="Q633" t="n">
        <v>0</v>
      </c>
      <c r="R633" s="2" t="inlineStr"/>
    </row>
    <row r="634" ht="15" customHeight="1">
      <c r="A634" t="inlineStr">
        <is>
          <t>A 5989-2022</t>
        </is>
      </c>
      <c r="B634" s="1" t="n">
        <v>44599</v>
      </c>
      <c r="C634" s="1" t="n">
        <v>45645</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6009-2022</t>
        </is>
      </c>
      <c r="B635" s="1" t="n">
        <v>44599</v>
      </c>
      <c r="C635" s="1" t="n">
        <v>45645</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5996-2022</t>
        </is>
      </c>
      <c r="B636" s="1" t="n">
        <v>44599</v>
      </c>
      <c r="C636" s="1" t="n">
        <v>45645</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6339-2022</t>
        </is>
      </c>
      <c r="B637" s="1" t="n">
        <v>44600</v>
      </c>
      <c r="C637" s="1" t="n">
        <v>45645</v>
      </c>
      <c r="D637" t="inlineStr">
        <is>
          <t>UPPSALA LÄN</t>
        </is>
      </c>
      <c r="E637" t="inlineStr">
        <is>
          <t>UPPSALA</t>
        </is>
      </c>
      <c r="G637" t="n">
        <v>18.7</v>
      </c>
      <c r="H637" t="n">
        <v>0</v>
      </c>
      <c r="I637" t="n">
        <v>0</v>
      </c>
      <c r="J637" t="n">
        <v>0</v>
      </c>
      <c r="K637" t="n">
        <v>0</v>
      </c>
      <c r="L637" t="n">
        <v>0</v>
      </c>
      <c r="M637" t="n">
        <v>0</v>
      </c>
      <c r="N637" t="n">
        <v>0</v>
      </c>
      <c r="O637" t="n">
        <v>0</v>
      </c>
      <c r="P637" t="n">
        <v>0</v>
      </c>
      <c r="Q637" t="n">
        <v>0</v>
      </c>
      <c r="R637" s="2" t="inlineStr"/>
    </row>
    <row r="638" ht="15" customHeight="1">
      <c r="A638" t="inlineStr">
        <is>
          <t>A 6408-2022</t>
        </is>
      </c>
      <c r="B638" s="1" t="n">
        <v>44600</v>
      </c>
      <c r="C638" s="1" t="n">
        <v>45645</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6717-2022</t>
        </is>
      </c>
      <c r="B639" s="1" t="n">
        <v>44602</v>
      </c>
      <c r="C639" s="1" t="n">
        <v>45645</v>
      </c>
      <c r="D639" t="inlineStr">
        <is>
          <t>UPPSALA LÄN</t>
        </is>
      </c>
      <c r="E639" t="inlineStr">
        <is>
          <t>UPPSALA</t>
        </is>
      </c>
      <c r="F639" t="inlineStr">
        <is>
          <t>Övriga Aktiebolag</t>
        </is>
      </c>
      <c r="G639" t="n">
        <v>6.7</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45645</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45645</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6850-2022</t>
        </is>
      </c>
      <c r="B642" s="1" t="n">
        <v>44602</v>
      </c>
      <c r="C642" s="1" t="n">
        <v>45645</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6851-2022</t>
        </is>
      </c>
      <c r="B643" s="1" t="n">
        <v>44602</v>
      </c>
      <c r="C643" s="1" t="n">
        <v>45645</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6855-2022</t>
        </is>
      </c>
      <c r="B644" s="1" t="n">
        <v>44602</v>
      </c>
      <c r="C644" s="1" t="n">
        <v>45645</v>
      </c>
      <c r="D644" t="inlineStr">
        <is>
          <t>UPPSALA LÄN</t>
        </is>
      </c>
      <c r="E644" t="inlineStr">
        <is>
          <t>UPPSALA</t>
        </is>
      </c>
      <c r="G644" t="n">
        <v>4.6</v>
      </c>
      <c r="H644" t="n">
        <v>0</v>
      </c>
      <c r="I644" t="n">
        <v>0</v>
      </c>
      <c r="J644" t="n">
        <v>0</v>
      </c>
      <c r="K644" t="n">
        <v>0</v>
      </c>
      <c r="L644" t="n">
        <v>0</v>
      </c>
      <c r="M644" t="n">
        <v>0</v>
      </c>
      <c r="N644" t="n">
        <v>0</v>
      </c>
      <c r="O644" t="n">
        <v>0</v>
      </c>
      <c r="P644" t="n">
        <v>0</v>
      </c>
      <c r="Q644" t="n">
        <v>0</v>
      </c>
      <c r="R644" s="2" t="inlineStr"/>
    </row>
    <row r="645" ht="15" customHeight="1">
      <c r="A645" t="inlineStr">
        <is>
          <t>A 6860-2022</t>
        </is>
      </c>
      <c r="B645" s="1" t="n">
        <v>44602</v>
      </c>
      <c r="C645" s="1" t="n">
        <v>45645</v>
      </c>
      <c r="D645" t="inlineStr">
        <is>
          <t>UPPSALA LÄN</t>
        </is>
      </c>
      <c r="E645" t="inlineStr">
        <is>
          <t>UPPSALA</t>
        </is>
      </c>
      <c r="G645" t="n">
        <v>14.8</v>
      </c>
      <c r="H645" t="n">
        <v>0</v>
      </c>
      <c r="I645" t="n">
        <v>0</v>
      </c>
      <c r="J645" t="n">
        <v>0</v>
      </c>
      <c r="K645" t="n">
        <v>0</v>
      </c>
      <c r="L645" t="n">
        <v>0</v>
      </c>
      <c r="M645" t="n">
        <v>0</v>
      </c>
      <c r="N645" t="n">
        <v>0</v>
      </c>
      <c r="O645" t="n">
        <v>0</v>
      </c>
      <c r="P645" t="n">
        <v>0</v>
      </c>
      <c r="Q645" t="n">
        <v>0</v>
      </c>
      <c r="R645" s="2" t="inlineStr"/>
    </row>
    <row r="646" ht="15" customHeight="1">
      <c r="A646" t="inlineStr">
        <is>
          <t>A 6989-2022</t>
        </is>
      </c>
      <c r="B646" s="1" t="n">
        <v>44603</v>
      </c>
      <c r="C646" s="1" t="n">
        <v>45645</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7040-2022</t>
        </is>
      </c>
      <c r="B647" s="1" t="n">
        <v>44603</v>
      </c>
      <c r="C647" s="1" t="n">
        <v>45645</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7124-2022</t>
        </is>
      </c>
      <c r="B648" s="1" t="n">
        <v>44603</v>
      </c>
      <c r="C648" s="1" t="n">
        <v>45645</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7409-2022</t>
        </is>
      </c>
      <c r="B649" s="1" t="n">
        <v>44606</v>
      </c>
      <c r="C649" s="1" t="n">
        <v>45645</v>
      </c>
      <c r="D649" t="inlineStr">
        <is>
          <t>UPPSALA LÄN</t>
        </is>
      </c>
      <c r="E649" t="inlineStr">
        <is>
          <t>UPPSALA</t>
        </is>
      </c>
      <c r="G649" t="n">
        <v>4.3</v>
      </c>
      <c r="H649" t="n">
        <v>0</v>
      </c>
      <c r="I649" t="n">
        <v>0</v>
      </c>
      <c r="J649" t="n">
        <v>0</v>
      </c>
      <c r="K649" t="n">
        <v>0</v>
      </c>
      <c r="L649" t="n">
        <v>0</v>
      </c>
      <c r="M649" t="n">
        <v>0</v>
      </c>
      <c r="N649" t="n">
        <v>0</v>
      </c>
      <c r="O649" t="n">
        <v>0</v>
      </c>
      <c r="P649" t="n">
        <v>0</v>
      </c>
      <c r="Q649" t="n">
        <v>0</v>
      </c>
      <c r="R649" s="2" t="inlineStr"/>
    </row>
    <row r="650" ht="15" customHeight="1">
      <c r="A650" t="inlineStr">
        <is>
          <t>A 7899-2022</t>
        </is>
      </c>
      <c r="B650" s="1" t="n">
        <v>44608</v>
      </c>
      <c r="C650" s="1" t="n">
        <v>45645</v>
      </c>
      <c r="D650" t="inlineStr">
        <is>
          <t>UPPSALA LÄN</t>
        </is>
      </c>
      <c r="E650" t="inlineStr">
        <is>
          <t>UPPSALA</t>
        </is>
      </c>
      <c r="F650" t="inlineStr">
        <is>
          <t>Övriga Aktiebolag</t>
        </is>
      </c>
      <c r="G650" t="n">
        <v>7.1</v>
      </c>
      <c r="H650" t="n">
        <v>0</v>
      </c>
      <c r="I650" t="n">
        <v>0</v>
      </c>
      <c r="J650" t="n">
        <v>0</v>
      </c>
      <c r="K650" t="n">
        <v>0</v>
      </c>
      <c r="L650" t="n">
        <v>0</v>
      </c>
      <c r="M650" t="n">
        <v>0</v>
      </c>
      <c r="N650" t="n">
        <v>0</v>
      </c>
      <c r="O650" t="n">
        <v>0</v>
      </c>
      <c r="P650" t="n">
        <v>0</v>
      </c>
      <c r="Q650" t="n">
        <v>0</v>
      </c>
      <c r="R650" s="2" t="inlineStr"/>
    </row>
    <row r="651" ht="15" customHeight="1">
      <c r="A651" t="inlineStr">
        <is>
          <t>A 8090-2022</t>
        </is>
      </c>
      <c r="B651" s="1" t="n">
        <v>44608</v>
      </c>
      <c r="C651" s="1" t="n">
        <v>45645</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45645</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8007-2022</t>
        </is>
      </c>
      <c r="B653" s="1" t="n">
        <v>44609</v>
      </c>
      <c r="C653" s="1" t="n">
        <v>45645</v>
      </c>
      <c r="D653" t="inlineStr">
        <is>
          <t>UPPSALA LÄN</t>
        </is>
      </c>
      <c r="E653" t="inlineStr">
        <is>
          <t>UPPSALA</t>
        </is>
      </c>
      <c r="F653" t="inlineStr">
        <is>
          <t>Övriga Aktiebolag</t>
        </is>
      </c>
      <c r="G653" t="n">
        <v>2.3</v>
      </c>
      <c r="H653" t="n">
        <v>0</v>
      </c>
      <c r="I653" t="n">
        <v>0</v>
      </c>
      <c r="J653" t="n">
        <v>0</v>
      </c>
      <c r="K653" t="n">
        <v>0</v>
      </c>
      <c r="L653" t="n">
        <v>0</v>
      </c>
      <c r="M653" t="n">
        <v>0</v>
      </c>
      <c r="N653" t="n">
        <v>0</v>
      </c>
      <c r="O653" t="n">
        <v>0</v>
      </c>
      <c r="P653" t="n">
        <v>0</v>
      </c>
      <c r="Q653" t="n">
        <v>0</v>
      </c>
      <c r="R653" s="2" t="inlineStr"/>
    </row>
    <row r="654" ht="15" customHeight="1">
      <c r="A654" t="inlineStr">
        <is>
          <t>A 8132-2022</t>
        </is>
      </c>
      <c r="B654" s="1" t="n">
        <v>44609</v>
      </c>
      <c r="C654" s="1" t="n">
        <v>45645</v>
      </c>
      <c r="D654" t="inlineStr">
        <is>
          <t>UPPSALA LÄN</t>
        </is>
      </c>
      <c r="E654" t="inlineStr">
        <is>
          <t>UPPSALA</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8139-2022</t>
        </is>
      </c>
      <c r="B655" s="1" t="n">
        <v>44609</v>
      </c>
      <c r="C655" s="1" t="n">
        <v>45645</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8404-2022</t>
        </is>
      </c>
      <c r="B656" s="1" t="n">
        <v>44610</v>
      </c>
      <c r="C656" s="1" t="n">
        <v>45645</v>
      </c>
      <c r="D656" t="inlineStr">
        <is>
          <t>UPPSALA LÄN</t>
        </is>
      </c>
      <c r="E656" t="inlineStr">
        <is>
          <t>UPPSALA</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45645</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8465-2022</t>
        </is>
      </c>
      <c r="B658" s="1" t="n">
        <v>44610</v>
      </c>
      <c r="C658" s="1" t="n">
        <v>45645</v>
      </c>
      <c r="D658" t="inlineStr">
        <is>
          <t>UPPSALA LÄN</t>
        </is>
      </c>
      <c r="E658" t="inlineStr">
        <is>
          <t>UPPSALA</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8451-2022</t>
        </is>
      </c>
      <c r="B659" s="1" t="n">
        <v>44612</v>
      </c>
      <c r="C659" s="1" t="n">
        <v>45645</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8877-2022</t>
        </is>
      </c>
      <c r="B660" s="1" t="n">
        <v>44614</v>
      </c>
      <c r="C660" s="1" t="n">
        <v>45645</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8933-2022</t>
        </is>
      </c>
      <c r="B661" s="1" t="n">
        <v>44614</v>
      </c>
      <c r="C661" s="1" t="n">
        <v>45645</v>
      </c>
      <c r="D661" t="inlineStr">
        <is>
          <t>UPPSALA LÄN</t>
        </is>
      </c>
      <c r="E661" t="inlineStr">
        <is>
          <t>UPPSALA</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9206-2022</t>
        </is>
      </c>
      <c r="B662" s="1" t="n">
        <v>44616</v>
      </c>
      <c r="C662" s="1" t="n">
        <v>45645</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9242-2022</t>
        </is>
      </c>
      <c r="B663" s="1" t="n">
        <v>44616</v>
      </c>
      <c r="C663" s="1" t="n">
        <v>45645</v>
      </c>
      <c r="D663" t="inlineStr">
        <is>
          <t>UPPSALA LÄN</t>
        </is>
      </c>
      <c r="E663" t="inlineStr">
        <is>
          <t>UPPSALA</t>
        </is>
      </c>
      <c r="F663" t="inlineStr">
        <is>
          <t>Övriga Aktiebolag</t>
        </is>
      </c>
      <c r="G663" t="n">
        <v>5.9</v>
      </c>
      <c r="H663" t="n">
        <v>0</v>
      </c>
      <c r="I663" t="n">
        <v>0</v>
      </c>
      <c r="J663" t="n">
        <v>0</v>
      </c>
      <c r="K663" t="n">
        <v>0</v>
      </c>
      <c r="L663" t="n">
        <v>0</v>
      </c>
      <c r="M663" t="n">
        <v>0</v>
      </c>
      <c r="N663" t="n">
        <v>0</v>
      </c>
      <c r="O663" t="n">
        <v>0</v>
      </c>
      <c r="P663" t="n">
        <v>0</v>
      </c>
      <c r="Q663" t="n">
        <v>0</v>
      </c>
      <c r="R663" s="2" t="inlineStr"/>
    </row>
    <row r="664" ht="15" customHeight="1">
      <c r="A664" t="inlineStr">
        <is>
          <t>A 9592-2022</t>
        </is>
      </c>
      <c r="B664" s="1" t="n">
        <v>44617</v>
      </c>
      <c r="C664" s="1" t="n">
        <v>45645</v>
      </c>
      <c r="D664" t="inlineStr">
        <is>
          <t>UPPSALA LÄN</t>
        </is>
      </c>
      <c r="E664" t="inlineStr">
        <is>
          <t>UPPSALA</t>
        </is>
      </c>
      <c r="G664" t="n">
        <v>7.5</v>
      </c>
      <c r="H664" t="n">
        <v>0</v>
      </c>
      <c r="I664" t="n">
        <v>0</v>
      </c>
      <c r="J664" t="n">
        <v>0</v>
      </c>
      <c r="K664" t="n">
        <v>0</v>
      </c>
      <c r="L664" t="n">
        <v>0</v>
      </c>
      <c r="M664" t="n">
        <v>0</v>
      </c>
      <c r="N664" t="n">
        <v>0</v>
      </c>
      <c r="O664" t="n">
        <v>0</v>
      </c>
      <c r="P664" t="n">
        <v>0</v>
      </c>
      <c r="Q664" t="n">
        <v>0</v>
      </c>
      <c r="R664" s="2" t="inlineStr"/>
    </row>
    <row r="665" ht="15" customHeight="1">
      <c r="A665" t="inlineStr">
        <is>
          <t>A 10411-2022</t>
        </is>
      </c>
      <c r="B665" s="1" t="n">
        <v>44623</v>
      </c>
      <c r="C665" s="1" t="n">
        <v>45645</v>
      </c>
      <c r="D665" t="inlineStr">
        <is>
          <t>UPPSALA LÄN</t>
        </is>
      </c>
      <c r="E665" t="inlineStr">
        <is>
          <t>UPPSALA</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10383-2022</t>
        </is>
      </c>
      <c r="B666" s="1" t="n">
        <v>44623</v>
      </c>
      <c r="C666" s="1" t="n">
        <v>45645</v>
      </c>
      <c r="D666" t="inlineStr">
        <is>
          <t>UPPSALA LÄN</t>
        </is>
      </c>
      <c r="E666" t="inlineStr">
        <is>
          <t>UPPSALA</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10456-2022</t>
        </is>
      </c>
      <c r="B667" s="1" t="n">
        <v>44623</v>
      </c>
      <c r="C667" s="1" t="n">
        <v>45645</v>
      </c>
      <c r="D667" t="inlineStr">
        <is>
          <t>UPPSALA LÄN</t>
        </is>
      </c>
      <c r="E667" t="inlineStr">
        <is>
          <t>UPPSALA</t>
        </is>
      </c>
      <c r="F667" t="inlineStr">
        <is>
          <t>Övriga Aktiebolag</t>
        </is>
      </c>
      <c r="G667" t="n">
        <v>12.6</v>
      </c>
      <c r="H667" t="n">
        <v>0</v>
      </c>
      <c r="I667" t="n">
        <v>0</v>
      </c>
      <c r="J667" t="n">
        <v>0</v>
      </c>
      <c r="K667" t="n">
        <v>0</v>
      </c>
      <c r="L667" t="n">
        <v>0</v>
      </c>
      <c r="M667" t="n">
        <v>0</v>
      </c>
      <c r="N667" t="n">
        <v>0</v>
      </c>
      <c r="O667" t="n">
        <v>0</v>
      </c>
      <c r="P667" t="n">
        <v>0</v>
      </c>
      <c r="Q667" t="n">
        <v>0</v>
      </c>
      <c r="R667" s="2" t="inlineStr"/>
    </row>
    <row r="668" ht="15" customHeight="1">
      <c r="A668" t="inlineStr">
        <is>
          <t>A 10464-2022</t>
        </is>
      </c>
      <c r="B668" s="1" t="n">
        <v>44623</v>
      </c>
      <c r="C668" s="1" t="n">
        <v>45645</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10565-2022</t>
        </is>
      </c>
      <c r="B669" s="1" t="n">
        <v>44624</v>
      </c>
      <c r="C669" s="1" t="n">
        <v>45645</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10674-2022</t>
        </is>
      </c>
      <c r="B670" s="1" t="n">
        <v>44624</v>
      </c>
      <c r="C670" s="1" t="n">
        <v>45645</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11162-2022</t>
        </is>
      </c>
      <c r="B671" s="1" t="n">
        <v>44629</v>
      </c>
      <c r="C671" s="1" t="n">
        <v>45645</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11224-2022</t>
        </is>
      </c>
      <c r="B672" s="1" t="n">
        <v>44629</v>
      </c>
      <c r="C672" s="1" t="n">
        <v>45645</v>
      </c>
      <c r="D672" t="inlineStr">
        <is>
          <t>UPPSALA LÄN</t>
        </is>
      </c>
      <c r="E672" t="inlineStr">
        <is>
          <t>UPPSALA</t>
        </is>
      </c>
      <c r="F672" t="inlineStr">
        <is>
          <t>Bergvik skog öst AB</t>
        </is>
      </c>
      <c r="G672" t="n">
        <v>1.5</v>
      </c>
      <c r="H672" t="n">
        <v>0</v>
      </c>
      <c r="I672" t="n">
        <v>0</v>
      </c>
      <c r="J672" t="n">
        <v>0</v>
      </c>
      <c r="K672" t="n">
        <v>0</v>
      </c>
      <c r="L672" t="n">
        <v>0</v>
      </c>
      <c r="M672" t="n">
        <v>0</v>
      </c>
      <c r="N672" t="n">
        <v>0</v>
      </c>
      <c r="O672" t="n">
        <v>0</v>
      </c>
      <c r="P672" t="n">
        <v>0</v>
      </c>
      <c r="Q672" t="n">
        <v>0</v>
      </c>
      <c r="R672" s="2" t="inlineStr"/>
    </row>
    <row r="673" ht="15" customHeight="1">
      <c r="A673" t="inlineStr">
        <is>
          <t>A 11787-2022</t>
        </is>
      </c>
      <c r="B673" s="1" t="n">
        <v>44634</v>
      </c>
      <c r="C673" s="1" t="n">
        <v>45645</v>
      </c>
      <c r="D673" t="inlineStr">
        <is>
          <t>UPPSALA LÄN</t>
        </is>
      </c>
      <c r="E673" t="inlineStr">
        <is>
          <t>UPPSALA</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11693-2022</t>
        </is>
      </c>
      <c r="B674" s="1" t="n">
        <v>44634</v>
      </c>
      <c r="C674" s="1" t="n">
        <v>45645</v>
      </c>
      <c r="D674" t="inlineStr">
        <is>
          <t>UPPSALA LÄN</t>
        </is>
      </c>
      <c r="E674" t="inlineStr">
        <is>
          <t>UPPSALA</t>
        </is>
      </c>
      <c r="G674" t="n">
        <v>4</v>
      </c>
      <c r="H674" t="n">
        <v>0</v>
      </c>
      <c r="I674" t="n">
        <v>0</v>
      </c>
      <c r="J674" t="n">
        <v>0</v>
      </c>
      <c r="K674" t="n">
        <v>0</v>
      </c>
      <c r="L674" t="n">
        <v>0</v>
      </c>
      <c r="M674" t="n">
        <v>0</v>
      </c>
      <c r="N674" t="n">
        <v>0</v>
      </c>
      <c r="O674" t="n">
        <v>0</v>
      </c>
      <c r="P674" t="n">
        <v>0</v>
      </c>
      <c r="Q674" t="n">
        <v>0</v>
      </c>
      <c r="R674" s="2" t="inlineStr"/>
    </row>
    <row r="675" ht="15" customHeight="1">
      <c r="A675" t="inlineStr">
        <is>
          <t>A 12221-2022</t>
        </is>
      </c>
      <c r="B675" s="1" t="n">
        <v>44637</v>
      </c>
      <c r="C675" s="1" t="n">
        <v>45645</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12293-2022</t>
        </is>
      </c>
      <c r="B676" s="1" t="n">
        <v>44637</v>
      </c>
      <c r="C676" s="1" t="n">
        <v>45645</v>
      </c>
      <c r="D676" t="inlineStr">
        <is>
          <t>UPPSALA LÄN</t>
        </is>
      </c>
      <c r="E676" t="inlineStr">
        <is>
          <t>UPPSALA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13009-2022</t>
        </is>
      </c>
      <c r="B677" s="1" t="n">
        <v>44643</v>
      </c>
      <c r="C677" s="1" t="n">
        <v>45645</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13134-2022</t>
        </is>
      </c>
      <c r="B678" s="1" t="n">
        <v>44644</v>
      </c>
      <c r="C678" s="1" t="n">
        <v>45645</v>
      </c>
      <c r="D678" t="inlineStr">
        <is>
          <t>UPPSALA LÄN</t>
        </is>
      </c>
      <c r="E678" t="inlineStr">
        <is>
          <t>UPPSALA</t>
        </is>
      </c>
      <c r="F678" t="inlineStr">
        <is>
          <t>Övriga Aktiebolag</t>
        </is>
      </c>
      <c r="G678" t="n">
        <v>3.2</v>
      </c>
      <c r="H678" t="n">
        <v>0</v>
      </c>
      <c r="I678" t="n">
        <v>0</v>
      </c>
      <c r="J678" t="n">
        <v>0</v>
      </c>
      <c r="K678" t="n">
        <v>0</v>
      </c>
      <c r="L678" t="n">
        <v>0</v>
      </c>
      <c r="M678" t="n">
        <v>0</v>
      </c>
      <c r="N678" t="n">
        <v>0</v>
      </c>
      <c r="O678" t="n">
        <v>0</v>
      </c>
      <c r="P678" t="n">
        <v>0</v>
      </c>
      <c r="Q678" t="n">
        <v>0</v>
      </c>
      <c r="R678" s="2" t="inlineStr"/>
    </row>
    <row r="679" ht="15" customHeight="1">
      <c r="A679" t="inlineStr">
        <is>
          <t>A 13128-2022</t>
        </is>
      </c>
      <c r="B679" s="1" t="n">
        <v>44644</v>
      </c>
      <c r="C679" s="1" t="n">
        <v>45645</v>
      </c>
      <c r="D679" t="inlineStr">
        <is>
          <t>UPPSALA LÄN</t>
        </is>
      </c>
      <c r="E679" t="inlineStr">
        <is>
          <t>UPPSALA</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13386-2022</t>
        </is>
      </c>
      <c r="B680" s="1" t="n">
        <v>44645</v>
      </c>
      <c r="C680" s="1" t="n">
        <v>45645</v>
      </c>
      <c r="D680" t="inlineStr">
        <is>
          <t>UPPSALA LÄN</t>
        </is>
      </c>
      <c r="E680" t="inlineStr">
        <is>
          <t>UPPSALA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13343-2022</t>
        </is>
      </c>
      <c r="B681" s="1" t="n">
        <v>44645</v>
      </c>
      <c r="C681" s="1" t="n">
        <v>45645</v>
      </c>
      <c r="D681" t="inlineStr">
        <is>
          <t>UPPSALA LÄN</t>
        </is>
      </c>
      <c r="E681" t="inlineStr">
        <is>
          <t>UPPSALA</t>
        </is>
      </c>
      <c r="F681" t="inlineStr">
        <is>
          <t>Övriga Aktiebolag</t>
        </is>
      </c>
      <c r="G681" t="n">
        <v>1.9</v>
      </c>
      <c r="H681" t="n">
        <v>0</v>
      </c>
      <c r="I681" t="n">
        <v>0</v>
      </c>
      <c r="J681" t="n">
        <v>0</v>
      </c>
      <c r="K681" t="n">
        <v>0</v>
      </c>
      <c r="L681" t="n">
        <v>0</v>
      </c>
      <c r="M681" t="n">
        <v>0</v>
      </c>
      <c r="N681" t="n">
        <v>0</v>
      </c>
      <c r="O681" t="n">
        <v>0</v>
      </c>
      <c r="P681" t="n">
        <v>0</v>
      </c>
      <c r="Q681" t="n">
        <v>0</v>
      </c>
      <c r="R681" s="2" t="inlineStr"/>
    </row>
    <row r="682" ht="15" customHeight="1">
      <c r="A682" t="inlineStr">
        <is>
          <t>A 13892-2022</t>
        </is>
      </c>
      <c r="B682" s="1" t="n">
        <v>44649</v>
      </c>
      <c r="C682" s="1" t="n">
        <v>45645</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13901-2022</t>
        </is>
      </c>
      <c r="B683" s="1" t="n">
        <v>44649</v>
      </c>
      <c r="C683" s="1" t="n">
        <v>45645</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14337-2022</t>
        </is>
      </c>
      <c r="B684" s="1" t="n">
        <v>44652</v>
      </c>
      <c r="C684" s="1" t="n">
        <v>45645</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14355-2022</t>
        </is>
      </c>
      <c r="B685" s="1" t="n">
        <v>44652</v>
      </c>
      <c r="C685" s="1" t="n">
        <v>45645</v>
      </c>
      <c r="D685" t="inlineStr">
        <is>
          <t>UPPSALA LÄN</t>
        </is>
      </c>
      <c r="E685" t="inlineStr">
        <is>
          <t>UPPSALA</t>
        </is>
      </c>
      <c r="F685" t="inlineStr">
        <is>
          <t>Bergvik skog öst AB</t>
        </is>
      </c>
      <c r="G685" t="n">
        <v>7.8</v>
      </c>
      <c r="H685" t="n">
        <v>0</v>
      </c>
      <c r="I685" t="n">
        <v>0</v>
      </c>
      <c r="J685" t="n">
        <v>0</v>
      </c>
      <c r="K685" t="n">
        <v>0</v>
      </c>
      <c r="L685" t="n">
        <v>0</v>
      </c>
      <c r="M685" t="n">
        <v>0</v>
      </c>
      <c r="N685" t="n">
        <v>0</v>
      </c>
      <c r="O685" t="n">
        <v>0</v>
      </c>
      <c r="P685" t="n">
        <v>0</v>
      </c>
      <c r="Q685" t="n">
        <v>0</v>
      </c>
      <c r="R685" s="2" t="inlineStr"/>
    </row>
    <row r="686" ht="15" customHeight="1">
      <c r="A686" t="inlineStr">
        <is>
          <t>A 14340-2022</t>
        </is>
      </c>
      <c r="B686" s="1" t="n">
        <v>44652</v>
      </c>
      <c r="C686" s="1" t="n">
        <v>45645</v>
      </c>
      <c r="D686" t="inlineStr">
        <is>
          <t>UPPSALA LÄN</t>
        </is>
      </c>
      <c r="E686" t="inlineStr">
        <is>
          <t>UPPSALA</t>
        </is>
      </c>
      <c r="F686" t="inlineStr">
        <is>
          <t>Bergvik skog öst AB</t>
        </is>
      </c>
      <c r="G686" t="n">
        <v>4</v>
      </c>
      <c r="H686" t="n">
        <v>0</v>
      </c>
      <c r="I686" t="n">
        <v>0</v>
      </c>
      <c r="J686" t="n">
        <v>0</v>
      </c>
      <c r="K686" t="n">
        <v>0</v>
      </c>
      <c r="L686" t="n">
        <v>0</v>
      </c>
      <c r="M686" t="n">
        <v>0</v>
      </c>
      <c r="N686" t="n">
        <v>0</v>
      </c>
      <c r="O686" t="n">
        <v>0</v>
      </c>
      <c r="P686" t="n">
        <v>0</v>
      </c>
      <c r="Q686" t="n">
        <v>0</v>
      </c>
      <c r="R686" s="2" t="inlineStr"/>
    </row>
    <row r="687" ht="15" customHeight="1">
      <c r="A687" t="inlineStr">
        <is>
          <t>A 14622-2022</t>
        </is>
      </c>
      <c r="B687" s="1" t="n">
        <v>44655</v>
      </c>
      <c r="C687" s="1" t="n">
        <v>45645</v>
      </c>
      <c r="D687" t="inlineStr">
        <is>
          <t>UPPSALA LÄN</t>
        </is>
      </c>
      <c r="E687" t="inlineStr">
        <is>
          <t>UPPSALA</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15436-2022</t>
        </is>
      </c>
      <c r="B688" s="1" t="n">
        <v>44659</v>
      </c>
      <c r="C688" s="1" t="n">
        <v>45645</v>
      </c>
      <c r="D688" t="inlineStr">
        <is>
          <t>UPPSALA LÄN</t>
        </is>
      </c>
      <c r="E688" t="inlineStr">
        <is>
          <t>UPPSALA</t>
        </is>
      </c>
      <c r="G688" t="n">
        <v>14.4</v>
      </c>
      <c r="H688" t="n">
        <v>0</v>
      </c>
      <c r="I688" t="n">
        <v>0</v>
      </c>
      <c r="J688" t="n">
        <v>0</v>
      </c>
      <c r="K688" t="n">
        <v>0</v>
      </c>
      <c r="L688" t="n">
        <v>0</v>
      </c>
      <c r="M688" t="n">
        <v>0</v>
      </c>
      <c r="N688" t="n">
        <v>0</v>
      </c>
      <c r="O688" t="n">
        <v>0</v>
      </c>
      <c r="P688" t="n">
        <v>0</v>
      </c>
      <c r="Q688" t="n">
        <v>0</v>
      </c>
      <c r="R688" s="2" t="inlineStr"/>
    </row>
    <row r="689" ht="15" customHeight="1">
      <c r="A689" t="inlineStr">
        <is>
          <t>A 15377-2022</t>
        </is>
      </c>
      <c r="B689" s="1" t="n">
        <v>44659</v>
      </c>
      <c r="C689" s="1" t="n">
        <v>45645</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15310-2022</t>
        </is>
      </c>
      <c r="B690" s="1" t="n">
        <v>44659</v>
      </c>
      <c r="C690" s="1" t="n">
        <v>45645</v>
      </c>
      <c r="D690" t="inlineStr">
        <is>
          <t>UPPSALA LÄN</t>
        </is>
      </c>
      <c r="E690" t="inlineStr">
        <is>
          <t>UPPSALA</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45645</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45645</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45645</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45645</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45645</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45645</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45645</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45645</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45645</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45645</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45645</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45645</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45645</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45645</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45645</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45645</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45645</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45645</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45645</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45645</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45645</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45645</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45645</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45645</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45645</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45645</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45645</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45645</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45645</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45645</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45645</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45645</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45645</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45645</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45645</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45645</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45645</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45645</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45645</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45645</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45645</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45645</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45645</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45645</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45645</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45645</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45645</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45645</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45645</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45645</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45645</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45645</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45645</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45645</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45645</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45645</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45645</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45645</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45645</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45645</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45645</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45645</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45645</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45645</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45645</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45645</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45645</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45645</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45645</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45645</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45645</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45645</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45645</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45645</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45645</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45645</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45645</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45645</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45645</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45645</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45645</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45645</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45645</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45645</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45645</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45645</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45645</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45645</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45645</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45645</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45645</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45645</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45645</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45645</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45645</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45645</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45645</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45645</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45645</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45645</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45645</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45645</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45645</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45645</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45645</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45645</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45645</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45645</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45645</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45645</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45645</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45645</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45645</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45645</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45645</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45645</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45645</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45645</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45645</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45645</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45645</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45645</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45645</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45645</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45645</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45645</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45645</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45645</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45645</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45645</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45645</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45645</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45645</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45645</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45645</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45645</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45645</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45645</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45645</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45645</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45645</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45645</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45645</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45645</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45645</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45645</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45645</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45645</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45645</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45645</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45645</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45645</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45645</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45645</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45645</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45645</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45645</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45645</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45645</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45645</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45645</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45645</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45645</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45645</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45645</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45645</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45645</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45645</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45645</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45645</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45645</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45645</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45645</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45645</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45645</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45645</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45645</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45645</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45645</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45645</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45645</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45645</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45645</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45645</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45645</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45645</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45645</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45645</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45645</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45645</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45645</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45645</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45645</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45645</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45645</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45645</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45645</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45645</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45645</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45645</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45645</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45645</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45645</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45645</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45645</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45645</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45645</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45645</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45645</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45645</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45645</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45645</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45645</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45645</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45645</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45645</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45645</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45645</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45645</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45645</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45645</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45645</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45645</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45645</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45645</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45645</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45645</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45645</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45645</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45645</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45645</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45645</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45645</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45645</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45645</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45645</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45645</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45645</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45645</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45645</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45645</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45645</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45645</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45645</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45645</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45645</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45645</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45645</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45645</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45645</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45645</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45645</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45645</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45645</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45645</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45645</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45645</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45645</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45645</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45645</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45645</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45645</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45645</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45645</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45645</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45645</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45645</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45645</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45645</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45645</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45645</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45645</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45645</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45645</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45645</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45645</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45645</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45645</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45645</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45645</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45645</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45645</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45645</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45645</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45645</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45645</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45645</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45645</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45645</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45645</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45645</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45645</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45645</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45645</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45645</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45645</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45645</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45645</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45645</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45645</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45645</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45645</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45645</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45645</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45645</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45645</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45645</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45645</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45645</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45645</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45645</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45645</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45645</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45645</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45645</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45645</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45645</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45645</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45645</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45645</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45645</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45645</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45645</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45645</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45645</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45645</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45645</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45645</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45645</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45645</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45645</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45645</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45645</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45645</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45645</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45645</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45645</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45645</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45645</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45645</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45645</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45645</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45645</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45645</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45645</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45645</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45645</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45645</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45645</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45645</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45645</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45645</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45645</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45645</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45645</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45645</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45645</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45645</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45645</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45645</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45645</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45645</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45645</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45645</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45645</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45645</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45645</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45645</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45645</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45645</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45645</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45645</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45645</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45645</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45645</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45645</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45645</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45645</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45645</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45645</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45645</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45645</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45645</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45645</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45645</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45645</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45645</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45645</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45645</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45645</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45645</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45645</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45645</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45645</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45645</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45645</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45645</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45645</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45645</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45645</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45645</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45645</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45645</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45645</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45645</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45645</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45645</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45645</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45645</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45645</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45645</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45645</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45645</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45645</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45645</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45645</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45645</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45645</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45645</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45645</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45645</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45645</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45645</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45645</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45645</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45645</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45645</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45645</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45645</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45645</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45645</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45645</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45645</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45645</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45645</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45645</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45645</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45645</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45645</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45645</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45645</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45645</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45645</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45645</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45645</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45645</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45645</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45645</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45645</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45645</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45645</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45645</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45645</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45645</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45645</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45645</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45645</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45645</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45645</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45645</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45645</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45645</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45645</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45645</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45645</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45645</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45645</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45645</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45645</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45645</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45645</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45645</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45645</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45645</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45645</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45645</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45645</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45645</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45645</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45645</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45645</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45645</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45645</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45645</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45645</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45645</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45645</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45645</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45645</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45645</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45645</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45645</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45645</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45645</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45645</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45645</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45645</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45645</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45645</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45645</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45645</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45645</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45645</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45645</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45645</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45645</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45645</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45645</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45645</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45645</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45645</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45645</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45645</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45645</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45645</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45645</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45645</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45645</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45645</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45645</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45645</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45645</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45645</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45645</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45645</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45645</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45645</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45645</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45645</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45645</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45645</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45645</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45645</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45645</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45645</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45645</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45645</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45645</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45645</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45645</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45645</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45645</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45645</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45645</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45645</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45645</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45645</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45645</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45645</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45645</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45645</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45645</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45645</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45645</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45645</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45645</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45645</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45645</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45645</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45645</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45645</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45645</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45645</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45645</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45645</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45645</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45645</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45645</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45645</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45645</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45645</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45645</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45645</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45645</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45645</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45645</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45645</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45645</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45645</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45645</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45645</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45645</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45645</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45645</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45645</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45645</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45645</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45645</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45645</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45645</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45645</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45645</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45645</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45645</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45645</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45645</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45645</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45645</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45645</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45645</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45645</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45645</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45645</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45645</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45645</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45645</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45645</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45645</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45645</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45645</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45645</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45645</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45645</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45645</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45645</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45645</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45645</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45645</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45645</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45645</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45645</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45645</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45645</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45645</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45645</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45645</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45645</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45645</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45645</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45645</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45645</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45645</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45645</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45645</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45645</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45645</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45645</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45645</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45645</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45645</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45645</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45645</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45645</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45645</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45645</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45645</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45645</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45645</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45645</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45645</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45645</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45645</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45645</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45645</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45645</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45645</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45645</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45645</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45645</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45645</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45645</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45645</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45645</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45645</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45645</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45645</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45645</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45645</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45645</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45645</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45645</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45645</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45645</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45645</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45645</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45645</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45645</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45645</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45645</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45645</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45645</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45645</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45645</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45645</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45645</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45645</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45645</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45645</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45645</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45645</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45645</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45645</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45645</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45645</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45645</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45645</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45645</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45645</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45645</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45645</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45645</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45645</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45645</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45645</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45645</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45645</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45645</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45645</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45645</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45645</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45645</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45645</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45645</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45645</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45645</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45645</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45645</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45645</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45645</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45645</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45645</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45645</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45645</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45645</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45645</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45645</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45645</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45645</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45645</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45645</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45645</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45645</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45645</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45645</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45645</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45645</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45645</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45645</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45645</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45645</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45645</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45645</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45645</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45645</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45645</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45645</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45645</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45645</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45645</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45645</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45645</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45645</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45645</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45645</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45645</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45645</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45645</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45645</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45645</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45645</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45645</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45645</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45645</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45645</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45645</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45645</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45645</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45645</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45645</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45645</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45645</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45645</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45645</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45645</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45645</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45645</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45645</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45645</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45645</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45645</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45645</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45645</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45645</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45645</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45645</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45645</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45645</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45645</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45645</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45645</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45645</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45645</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45645</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45645</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45645</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45645</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45645</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45645</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45645</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45645</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45645</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45645</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45645</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45645</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45645</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45645</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45645</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45645</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45645</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45645</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45645</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45645</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45645</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45645</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45645</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45645</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45645</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45645</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45645</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45645</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45645</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45645</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45645</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45645</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45645</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45645</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45645</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45645</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45645</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45645</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45645</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45645</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45645</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45645</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45645</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45645</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45645</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45645</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45645</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45645</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45645</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45645</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45645</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45645</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45645</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45645</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45645</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45645</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45645</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45645</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45645</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45645</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45645</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45645</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45645</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45645</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45645</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45645</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45645</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45645</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45645</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45645</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45645</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45645</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45645</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45645</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45645</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45645</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45645</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45645</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45645</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45645</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45645</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45645</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45645</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45645</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45645</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45645</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45645</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45645</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45645</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45645</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45645</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45645</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45645</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45645</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45645</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45645</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45645</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45645</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45645</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45645</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45645</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45645</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45645</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45645</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45645</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45645</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45645</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45645</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45645</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45645</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45645</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45645</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45645</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45645</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45645</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45645</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45645</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45645</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45645</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53365-2024</t>
        </is>
      </c>
      <c r="B1603" s="1" t="n">
        <v>45614</v>
      </c>
      <c r="C1603" s="1" t="n">
        <v>45645</v>
      </c>
      <c r="D1603" t="inlineStr">
        <is>
          <t>UPPSALA LÄN</t>
        </is>
      </c>
      <c r="E1603" t="inlineStr">
        <is>
          <t>UPPSALA</t>
        </is>
      </c>
      <c r="F1603" t="inlineStr">
        <is>
          <t>Allmännings- och besparingsskogar</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53588-2024</t>
        </is>
      </c>
      <c r="B1604" s="1" t="n">
        <v>45614</v>
      </c>
      <c r="C1604" s="1" t="n">
        <v>45645</v>
      </c>
      <c r="D1604" t="inlineStr">
        <is>
          <t>UPPSALA LÄN</t>
        </is>
      </c>
      <c r="E1604" t="inlineStr">
        <is>
          <t>UPPSALA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45645</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45645</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53384-2024</t>
        </is>
      </c>
      <c r="B1607" s="1" t="n">
        <v>45614</v>
      </c>
      <c r="C1607" s="1" t="n">
        <v>45645</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53266-2024</t>
        </is>
      </c>
      <c r="B1608" s="1" t="n">
        <v>45614</v>
      </c>
      <c r="C1608" s="1" t="n">
        <v>45645</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45645</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45645</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45645</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45645</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45645</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45645</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45645</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45645</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45645</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45645</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45645</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45645</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45645</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45645</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59116-2024</t>
        </is>
      </c>
      <c r="B1623" s="1" t="n">
        <v>45637</v>
      </c>
      <c r="C1623" s="1" t="n">
        <v>45645</v>
      </c>
      <c r="D1623" t="inlineStr">
        <is>
          <t>UPPSALA LÄN</t>
        </is>
      </c>
      <c r="E1623" t="inlineStr">
        <is>
          <t>UPPSALA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45645</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45645</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59358-2024</t>
        </is>
      </c>
      <c r="B1626" s="1" t="n">
        <v>45638</v>
      </c>
      <c r="C1626" s="1" t="n">
        <v>45645</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59547-2024</t>
        </is>
      </c>
      <c r="B1627" s="1" t="n">
        <v>45638</v>
      </c>
      <c r="C1627" s="1" t="n">
        <v>45645</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59562-2024</t>
        </is>
      </c>
      <c r="B1628" s="1" t="n">
        <v>45638</v>
      </c>
      <c r="C1628" s="1" t="n">
        <v>45645</v>
      </c>
      <c r="D1628" t="inlineStr">
        <is>
          <t>UPPSALA LÄN</t>
        </is>
      </c>
      <c r="E1628" t="inlineStr">
        <is>
          <t>UPPSALA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59587-2024</t>
        </is>
      </c>
      <c r="B1629" s="1" t="n">
        <v>45638</v>
      </c>
      <c r="C1629" s="1" t="n">
        <v>45645</v>
      </c>
      <c r="D1629" t="inlineStr">
        <is>
          <t>UPPSALA LÄN</t>
        </is>
      </c>
      <c r="E1629" t="inlineStr">
        <is>
          <t>UPPSALA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45645</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60003-2024</t>
        </is>
      </c>
      <c r="B1631" s="1" t="n">
        <v>45642</v>
      </c>
      <c r="C1631" s="1" t="n">
        <v>45645</v>
      </c>
      <c r="D1631" t="inlineStr">
        <is>
          <t>UPPSALA LÄN</t>
        </is>
      </c>
      <c r="E1631" t="inlineStr">
        <is>
          <t>UPPSALA</t>
        </is>
      </c>
      <c r="F1631" t="inlineStr">
        <is>
          <t>Bergvik skog väst AB</t>
        </is>
      </c>
      <c r="G1631" t="n">
        <v>14.5</v>
      </c>
      <c r="H1631" t="n">
        <v>0</v>
      </c>
      <c r="I1631" t="n">
        <v>0</v>
      </c>
      <c r="J1631" t="n">
        <v>0</v>
      </c>
      <c r="K1631" t="n">
        <v>0</v>
      </c>
      <c r="L1631" t="n">
        <v>0</v>
      </c>
      <c r="M1631" t="n">
        <v>0</v>
      </c>
      <c r="N1631" t="n">
        <v>0</v>
      </c>
      <c r="O1631" t="n">
        <v>0</v>
      </c>
      <c r="P1631" t="n">
        <v>0</v>
      </c>
      <c r="Q1631" t="n">
        <v>0</v>
      </c>
      <c r="R1631" s="2" t="inlineStr"/>
    </row>
    <row r="1632" ht="15" customHeight="1">
      <c r="A1632" t="inlineStr">
        <is>
          <t>A 60167-2024</t>
        </is>
      </c>
      <c r="B1632" s="1" t="n">
        <v>45642</v>
      </c>
      <c r="C1632" s="1" t="n">
        <v>45645</v>
      </c>
      <c r="D1632" t="inlineStr">
        <is>
          <t>UPPSALA LÄN</t>
        </is>
      </c>
      <c r="E1632" t="inlineStr">
        <is>
          <t>UPPSALA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45645</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60445-2024</t>
        </is>
      </c>
      <c r="B1634" s="1" t="n">
        <v>45643</v>
      </c>
      <c r="C1634" s="1" t="n">
        <v>45645</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60807-2024</t>
        </is>
      </c>
      <c r="B1635" s="1" t="n">
        <v>45644</v>
      </c>
      <c r="C1635" s="1" t="n">
        <v>45645</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60820-2024</t>
        </is>
      </c>
      <c r="B1636" s="1" t="n">
        <v>45644</v>
      </c>
      <c r="C1636" s="1" t="n">
        <v>45645</v>
      </c>
      <c r="D1636" t="inlineStr">
        <is>
          <t>UPPSALA LÄN</t>
        </is>
      </c>
      <c r="E1636" t="inlineStr">
        <is>
          <t>UPPSALA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45645</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45645</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45645</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60811-2024</t>
        </is>
      </c>
      <c r="B1640" s="1" t="n">
        <v>45644</v>
      </c>
      <c r="C1640" s="1" t="n">
        <v>45645</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c r="A1641" t="inlineStr">
        <is>
          <t>A 60729-2024</t>
        </is>
      </c>
      <c r="B1641" s="1" t="n">
        <v>45644</v>
      </c>
      <c r="C1641" s="1" t="n">
        <v>45645</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2024-12-19T14:45:49Z</dcterms:created>
  <dcterms:modified xmlns:dcterms="http://purl.org/dc/terms/" xmlns:xsi="http://www.w3.org/2001/XMLSchema-instance" xsi:type="dcterms:W3CDTF">2024-12-19T14:45:50Z</dcterms:modified>
</cp:coreProperties>
</file>